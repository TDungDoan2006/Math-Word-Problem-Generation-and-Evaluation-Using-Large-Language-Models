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GPT4.1\All\householdfinance\"/>
    </mc:Choice>
  </mc:AlternateContent>
  <xr:revisionPtr revIDLastSave="0" documentId="13_ncr:1_{07320BC0-B8D8-41DE-834E-F9CC6B5D4D7F}" xr6:coauthVersionLast="47" xr6:coauthVersionMax="47" xr10:uidLastSave="{00000000-0000-0000-0000-000000000000}"/>
  <bookViews>
    <workbookView xWindow="-108" yWindow="-108" windowWidth="23256" windowHeight="12456" firstSheet="2" activeTab="5" xr2:uid="{00000000-000D-0000-FFFF-FFFF00000000}"/>
  </bookViews>
  <sheets>
    <sheet name="householdfinance_v4_1" sheetId="1" r:id="rId1"/>
    <sheet name="householdfinance_v4_2" sheetId="2" r:id="rId2"/>
    <sheet name="householdfinance_v4_3" sheetId="3" r:id="rId3"/>
    <sheet name="householdfinance_v4_4" sheetId="4" r:id="rId4"/>
    <sheet name="householdfinance_v4_5" sheetId="5" r:id="rId5"/>
    <sheet name="Compiled Vo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c r="G3" i="6" s="1"/>
  <c r="E3" i="6"/>
  <c r="F3" i="6"/>
  <c r="H3" i="6"/>
  <c r="I3" i="6"/>
  <c r="J3" i="6"/>
  <c r="K3" i="6"/>
  <c r="L3" i="6"/>
  <c r="M3" i="6"/>
  <c r="N3" i="6"/>
  <c r="D4" i="6"/>
  <c r="I4" i="6"/>
  <c r="D5" i="6"/>
  <c r="E5" i="6" s="1"/>
  <c r="K5" i="6"/>
  <c r="L5" i="6"/>
  <c r="M5" i="6"/>
  <c r="N5" i="6"/>
  <c r="D6" i="6"/>
  <c r="E6" i="6" s="1"/>
  <c r="L6" i="6"/>
  <c r="M6" i="6"/>
  <c r="N6" i="6"/>
  <c r="D7" i="6"/>
  <c r="E7" i="6"/>
  <c r="F7" i="6"/>
  <c r="G7" i="6"/>
  <c r="L7" i="6"/>
  <c r="D8" i="6"/>
  <c r="E8" i="6" s="1"/>
  <c r="F8" i="6"/>
  <c r="G8" i="6"/>
  <c r="M8" i="6"/>
  <c r="N8" i="6"/>
  <c r="D9" i="6"/>
  <c r="E9" i="6"/>
  <c r="F9" i="6"/>
  <c r="D10" i="6"/>
  <c r="E10" i="6" s="1"/>
  <c r="H10" i="6" s="1"/>
  <c r="F10" i="6"/>
  <c r="I10" i="6"/>
  <c r="D11" i="6"/>
  <c r="I11" i="6"/>
  <c r="K11" i="6"/>
  <c r="D12" i="6"/>
  <c r="M12" i="6" s="1"/>
  <c r="E12" i="6"/>
  <c r="F12" i="6"/>
  <c r="G12" i="6"/>
  <c r="I12" i="6"/>
  <c r="K12" i="6"/>
  <c r="L12" i="6"/>
  <c r="N12" i="6"/>
  <c r="D13" i="6"/>
  <c r="N13" i="6" s="1"/>
  <c r="F13" i="6"/>
  <c r="G13" i="6"/>
  <c r="I13" i="6"/>
  <c r="K13" i="6"/>
  <c r="L13" i="6"/>
  <c r="M13" i="6"/>
  <c r="D14" i="6"/>
  <c r="F14" i="6" s="1"/>
  <c r="E14" i="6"/>
  <c r="G14" i="6"/>
  <c r="H14" i="6"/>
  <c r="I14" i="6"/>
  <c r="J14" i="6"/>
  <c r="K14" i="6"/>
  <c r="L14" i="6"/>
  <c r="M14" i="6"/>
  <c r="N14" i="6"/>
  <c r="D15" i="6"/>
  <c r="E15" i="6"/>
  <c r="F15" i="6"/>
  <c r="G15" i="6"/>
  <c r="H15" i="6"/>
  <c r="I15" i="6"/>
  <c r="J15" i="6"/>
  <c r="K15" i="6"/>
  <c r="L15" i="6"/>
  <c r="M15" i="6"/>
  <c r="N15" i="6"/>
  <c r="D16" i="6"/>
  <c r="L16" i="6"/>
  <c r="M16" i="6"/>
  <c r="N16" i="6"/>
  <c r="D17" i="6"/>
  <c r="E17" i="6"/>
  <c r="H17" i="6"/>
  <c r="K17" i="6"/>
  <c r="D18" i="6"/>
  <c r="G18" i="6" s="1"/>
  <c r="E18" i="6"/>
  <c r="F18" i="6"/>
  <c r="I18" i="6"/>
  <c r="K18" i="6"/>
  <c r="L18" i="6"/>
  <c r="M18" i="6"/>
  <c r="N18" i="6"/>
  <c r="D19" i="6"/>
  <c r="L19" i="6"/>
  <c r="M19" i="6"/>
  <c r="N19" i="6"/>
  <c r="D20" i="6"/>
  <c r="E20" i="6"/>
  <c r="F20" i="6"/>
  <c r="G20" i="6"/>
  <c r="D21" i="6"/>
  <c r="E21" i="6"/>
  <c r="F21" i="6"/>
  <c r="G21" i="6"/>
  <c r="I21" i="6"/>
  <c r="L21" i="6"/>
  <c r="N21" i="6"/>
  <c r="D22" i="6"/>
  <c r="I22" i="6"/>
  <c r="D23" i="6"/>
  <c r="E23" i="6"/>
  <c r="F23" i="6"/>
  <c r="G23" i="6"/>
  <c r="D24" i="6"/>
  <c r="M24" i="6" s="1"/>
  <c r="E24" i="6"/>
  <c r="F24" i="6"/>
  <c r="G24" i="6"/>
  <c r="H24" i="6"/>
  <c r="I24" i="6"/>
  <c r="K24" i="6"/>
  <c r="L24" i="6"/>
  <c r="N24" i="6"/>
  <c r="D25" i="6"/>
  <c r="F25" i="6" s="1"/>
  <c r="G25" i="6"/>
  <c r="I25" i="6"/>
  <c r="K25" i="6"/>
  <c r="L25" i="6"/>
  <c r="M25" i="6"/>
  <c r="D26" i="6"/>
  <c r="F26" i="6" s="1"/>
  <c r="E26" i="6"/>
  <c r="G26" i="6"/>
  <c r="H26" i="6"/>
  <c r="I26" i="6"/>
  <c r="J26" i="6"/>
  <c r="K26" i="6"/>
  <c r="L26" i="6"/>
  <c r="M26" i="6"/>
  <c r="N26" i="6"/>
  <c r="D27" i="6"/>
  <c r="E27" i="6"/>
  <c r="F27" i="6"/>
  <c r="G27" i="6"/>
  <c r="I27" i="6"/>
  <c r="K27" i="6"/>
  <c r="L27" i="6"/>
  <c r="M27" i="6"/>
  <c r="N27" i="6"/>
  <c r="D28" i="6"/>
  <c r="F28" i="6"/>
  <c r="D29" i="6"/>
  <c r="E29" i="6" s="1"/>
  <c r="H29" i="6" s="1"/>
  <c r="K29" i="6"/>
  <c r="L29" i="6"/>
  <c r="D30" i="6"/>
  <c r="G30" i="6" s="1"/>
  <c r="F30" i="6"/>
  <c r="I30" i="6"/>
  <c r="K30" i="6"/>
  <c r="L30" i="6"/>
  <c r="M30" i="6"/>
  <c r="N30" i="6"/>
  <c r="D31" i="6"/>
  <c r="L31" i="6"/>
  <c r="M31" i="6"/>
  <c r="D32" i="6"/>
  <c r="E32" i="6"/>
  <c r="F32" i="6"/>
  <c r="G32" i="6"/>
  <c r="N32" i="6"/>
  <c r="D33" i="6"/>
  <c r="I33" i="6" s="1"/>
  <c r="K33" i="6"/>
  <c r="D34" i="6"/>
  <c r="E34" i="6" s="1"/>
  <c r="F34" i="6"/>
  <c r="G34" i="6"/>
  <c r="H34" i="6"/>
  <c r="I34" i="6"/>
  <c r="J34" i="6"/>
  <c r="L34" i="6"/>
  <c r="M34" i="6"/>
  <c r="D35" i="6"/>
  <c r="I35" i="6"/>
  <c r="K35" i="6"/>
  <c r="N35" i="6"/>
  <c r="D36" i="6"/>
  <c r="M36" i="6" s="1"/>
  <c r="E36" i="6"/>
  <c r="F36" i="6"/>
  <c r="G36" i="6"/>
  <c r="I36" i="6"/>
  <c r="K36" i="6"/>
  <c r="L36" i="6"/>
  <c r="N36" i="6"/>
  <c r="D37" i="6"/>
  <c r="F37" i="6"/>
  <c r="G37" i="6"/>
  <c r="I37" i="6"/>
  <c r="D38" i="6"/>
  <c r="G38" i="6" s="1"/>
  <c r="E38" i="6"/>
  <c r="H38" i="6" s="1"/>
  <c r="I38" i="6"/>
  <c r="D39" i="6"/>
  <c r="E39" i="6"/>
  <c r="F39" i="6"/>
  <c r="G39" i="6"/>
  <c r="H39" i="6"/>
  <c r="I39" i="6"/>
  <c r="J39" i="6"/>
  <c r="K39" i="6"/>
  <c r="L39" i="6"/>
  <c r="M39" i="6"/>
  <c r="N39" i="6"/>
  <c r="D40" i="6"/>
  <c r="E40" i="6" s="1"/>
  <c r="H40" i="6" s="1"/>
  <c r="F40" i="6"/>
  <c r="G40" i="6"/>
  <c r="I40" i="6"/>
  <c r="J40" i="6"/>
  <c r="K40" i="6"/>
  <c r="L40" i="6"/>
  <c r="M40" i="6"/>
  <c r="N40" i="6"/>
  <c r="D41" i="6"/>
  <c r="E41" i="6" s="1"/>
  <c r="D42" i="6"/>
  <c r="G42" i="6" s="1"/>
  <c r="E42" i="6"/>
  <c r="F42" i="6"/>
  <c r="I42" i="6"/>
  <c r="D43" i="6"/>
  <c r="E43" i="6"/>
  <c r="F43" i="6"/>
  <c r="G43" i="6"/>
  <c r="M43" i="6"/>
  <c r="D44" i="6"/>
  <c r="E44" i="6"/>
  <c r="F44" i="6"/>
  <c r="G44" i="6"/>
  <c r="H44" i="6"/>
  <c r="J44" i="6"/>
  <c r="K44" i="6"/>
  <c r="M44" i="6"/>
  <c r="N44" i="6"/>
  <c r="D45" i="6"/>
  <c r="E45" i="6"/>
  <c r="K45" i="6"/>
  <c r="L45" i="6"/>
  <c r="N45" i="6"/>
  <c r="D46" i="6"/>
  <c r="E46" i="6"/>
  <c r="F46" i="6"/>
  <c r="G46" i="6"/>
  <c r="H46" i="6"/>
  <c r="D47" i="6"/>
  <c r="I47" i="6" s="1"/>
  <c r="D48" i="6"/>
  <c r="M48" i="6" s="1"/>
  <c r="E48" i="6"/>
  <c r="F48" i="6"/>
  <c r="J48" i="6" s="1"/>
  <c r="G48" i="6"/>
  <c r="H48" i="6"/>
  <c r="I48" i="6"/>
  <c r="K48" i="6"/>
  <c r="L48" i="6"/>
  <c r="N48" i="6"/>
  <c r="D49" i="6"/>
  <c r="F49" i="6" s="1"/>
  <c r="G49" i="6"/>
  <c r="I49" i="6"/>
  <c r="K49" i="6"/>
  <c r="L49" i="6"/>
  <c r="M49" i="6"/>
  <c r="D50" i="6"/>
  <c r="E50" i="6" s="1"/>
  <c r="L50" i="6"/>
  <c r="M50" i="6"/>
  <c r="N50" i="6"/>
  <c r="D51" i="6"/>
  <c r="G51" i="6" s="1"/>
  <c r="E51" i="6"/>
  <c r="J51" i="6" s="1"/>
  <c r="F51" i="6"/>
  <c r="H51" i="6"/>
  <c r="I51" i="6"/>
  <c r="K51" i="6"/>
  <c r="L51" i="6"/>
  <c r="M51" i="6"/>
  <c r="N51" i="6"/>
  <c r="D52" i="6"/>
  <c r="L52" i="6" s="1"/>
  <c r="F52" i="6"/>
  <c r="G52" i="6"/>
  <c r="D53" i="6"/>
  <c r="F53" i="6" s="1"/>
  <c r="G53" i="6"/>
  <c r="I53" i="6"/>
  <c r="K53" i="6"/>
  <c r="L53" i="6"/>
  <c r="M53" i="6"/>
  <c r="N53" i="6"/>
  <c r="D54" i="6"/>
  <c r="G54" i="6" s="1"/>
  <c r="F54" i="6"/>
  <c r="I54" i="6"/>
  <c r="K54" i="6"/>
  <c r="L54" i="6"/>
  <c r="M54" i="6"/>
  <c r="N54" i="6"/>
  <c r="D55" i="6"/>
  <c r="E55" i="6" s="1"/>
  <c r="K55" i="6"/>
  <c r="M55" i="6"/>
  <c r="N55" i="6"/>
  <c r="D56" i="6"/>
  <c r="D57" i="6"/>
  <c r="E57" i="6"/>
  <c r="F57" i="6"/>
  <c r="H57" i="6"/>
  <c r="I57" i="6"/>
  <c r="D58" i="6"/>
  <c r="E58" i="6"/>
  <c r="H58" i="6" s="1"/>
  <c r="F58" i="6"/>
  <c r="J58" i="6"/>
  <c r="L58" i="6"/>
  <c r="D59" i="6"/>
  <c r="L59" i="6" s="1"/>
  <c r="F59" i="6"/>
  <c r="G59" i="6"/>
  <c r="I59" i="6"/>
  <c r="K59" i="6"/>
  <c r="M59" i="6"/>
  <c r="N59" i="6"/>
  <c r="D60" i="6"/>
  <c r="M60" i="6" s="1"/>
  <c r="F60" i="6"/>
  <c r="I60" i="6"/>
  <c r="K60" i="6"/>
  <c r="L60" i="6"/>
  <c r="N60" i="6"/>
  <c r="D61" i="6"/>
  <c r="M61" i="6" s="1"/>
  <c r="E61" i="6"/>
  <c r="L61" i="6"/>
  <c r="D62" i="6"/>
  <c r="F62" i="6"/>
  <c r="G62" i="6"/>
  <c r="D63" i="6"/>
  <c r="E63" i="6"/>
  <c r="F63" i="6"/>
  <c r="G63" i="6"/>
  <c r="H63" i="6"/>
  <c r="I63" i="6"/>
  <c r="K63" i="6"/>
  <c r="L63" i="6"/>
  <c r="M63" i="6"/>
  <c r="N63" i="6"/>
  <c r="D64" i="6"/>
  <c r="I64" i="6" s="1"/>
  <c r="D65" i="6"/>
  <c r="E65" i="6"/>
  <c r="H65" i="6" s="1"/>
  <c r="G65" i="6"/>
  <c r="I65" i="6"/>
  <c r="D66" i="6"/>
  <c r="F66" i="6"/>
  <c r="I66" i="6"/>
  <c r="K66" i="6"/>
  <c r="L66" i="6"/>
  <c r="M66" i="6"/>
  <c r="N66" i="6"/>
  <c r="D67" i="6"/>
  <c r="E67" i="6" s="1"/>
  <c r="F67" i="6"/>
  <c r="I67" i="6"/>
  <c r="K67" i="6"/>
  <c r="L67" i="6"/>
  <c r="M67" i="6"/>
  <c r="N67" i="6"/>
  <c r="D68" i="6"/>
  <c r="E68" i="6"/>
  <c r="H68" i="6" s="1"/>
  <c r="K68" i="6"/>
  <c r="L68" i="6"/>
  <c r="D69" i="6"/>
  <c r="E69" i="6"/>
  <c r="F69" i="6"/>
  <c r="G69" i="6"/>
  <c r="K69" i="6"/>
  <c r="M69" i="6"/>
  <c r="N69" i="6"/>
  <c r="D70" i="6"/>
  <c r="F70" i="6" s="1"/>
  <c r="E70" i="6"/>
  <c r="M70" i="6"/>
  <c r="D71" i="6"/>
  <c r="G71" i="6" s="1"/>
  <c r="E71" i="6"/>
  <c r="H71" i="6"/>
  <c r="I71" i="6"/>
  <c r="K71" i="6"/>
  <c r="D72" i="6"/>
  <c r="F72" i="6" s="1"/>
  <c r="I72" i="6"/>
  <c r="K72" i="6"/>
  <c r="L72" i="6"/>
  <c r="N72" i="6"/>
  <c r="D73" i="6"/>
  <c r="N73" i="6" s="1"/>
  <c r="F73" i="6"/>
  <c r="I73" i="6"/>
  <c r="K73" i="6"/>
  <c r="L73" i="6"/>
  <c r="M73" i="6"/>
  <c r="D74" i="6"/>
  <c r="K74" i="6"/>
  <c r="L74" i="6"/>
  <c r="M74" i="6"/>
  <c r="D75" i="6"/>
  <c r="E75" i="6"/>
  <c r="F75" i="6"/>
  <c r="G75" i="6"/>
  <c r="I75" i="6"/>
  <c r="K75" i="6"/>
  <c r="L75" i="6"/>
  <c r="M75" i="6"/>
  <c r="N75" i="6"/>
  <c r="D76" i="6"/>
  <c r="M76" i="6" s="1"/>
  <c r="F76" i="6"/>
  <c r="N76" i="6"/>
  <c r="D77" i="6"/>
  <c r="G77" i="6"/>
  <c r="D78" i="6"/>
  <c r="E78" i="6" s="1"/>
  <c r="H78" i="6"/>
  <c r="I78" i="6"/>
  <c r="K78" i="6"/>
  <c r="L78" i="6"/>
  <c r="D79" i="6"/>
  <c r="F79" i="6"/>
  <c r="G79" i="6"/>
  <c r="D80" i="6"/>
  <c r="I80" i="6" s="1"/>
  <c r="F80" i="6"/>
  <c r="K80" i="6"/>
  <c r="L80" i="6"/>
  <c r="M80" i="6"/>
  <c r="N80" i="6"/>
  <c r="D81" i="6"/>
  <c r="E81" i="6"/>
  <c r="H81" i="6"/>
  <c r="K81" i="6"/>
  <c r="L81" i="6"/>
  <c r="M81" i="6"/>
  <c r="N81" i="6"/>
  <c r="D82" i="6"/>
  <c r="E82" i="6" s="1"/>
  <c r="F82" i="6"/>
  <c r="G82" i="6"/>
  <c r="D83" i="6"/>
  <c r="I83" i="6" s="1"/>
  <c r="E83" i="6"/>
  <c r="D84" i="6"/>
  <c r="E84" i="6"/>
  <c r="H84" i="6" s="1"/>
  <c r="I84" i="6"/>
  <c r="K84" i="6"/>
  <c r="D85" i="6"/>
  <c r="F85" i="6"/>
  <c r="G85" i="6"/>
  <c r="I85" i="6"/>
  <c r="D86" i="6"/>
  <c r="E86" i="6" s="1"/>
  <c r="F86" i="6"/>
  <c r="J86" i="6" s="1"/>
  <c r="H86" i="6"/>
  <c r="I86" i="6"/>
  <c r="K86" i="6"/>
  <c r="L86" i="6"/>
  <c r="M86" i="6"/>
  <c r="N86" i="6"/>
  <c r="D87" i="6"/>
  <c r="E87" i="6"/>
  <c r="H87" i="6" s="1"/>
  <c r="F87" i="6"/>
  <c r="G87" i="6"/>
  <c r="I87" i="6"/>
  <c r="J87" i="6"/>
  <c r="K87" i="6"/>
  <c r="L87" i="6"/>
  <c r="M87" i="6"/>
  <c r="N87" i="6"/>
  <c r="D88" i="6"/>
  <c r="F88" i="6"/>
  <c r="D89" i="6"/>
  <c r="E89" i="6"/>
  <c r="G89" i="6"/>
  <c r="H89" i="6"/>
  <c r="I89" i="6"/>
  <c r="K89" i="6"/>
  <c r="D90" i="6"/>
  <c r="E90" i="6"/>
  <c r="H90" i="6" s="1"/>
  <c r="F90" i="6"/>
  <c r="I90" i="6"/>
  <c r="K90" i="6"/>
  <c r="M90" i="6"/>
  <c r="D91" i="6"/>
  <c r="E91" i="6"/>
  <c r="H91" i="6" s="1"/>
  <c r="K91" i="6"/>
  <c r="L91" i="6"/>
  <c r="M91" i="6"/>
  <c r="D92" i="6"/>
  <c r="D93" i="6"/>
  <c r="F93" i="6"/>
  <c r="I93" i="6"/>
  <c r="K93" i="6"/>
  <c r="L93" i="6"/>
  <c r="M93" i="6"/>
  <c r="D94" i="6"/>
  <c r="E94" i="6" s="1"/>
  <c r="H94" i="6"/>
  <c r="L94" i="6"/>
  <c r="M94" i="6"/>
  <c r="N94" i="6"/>
  <c r="D95" i="6"/>
  <c r="E95" i="6"/>
  <c r="F95" i="6"/>
  <c r="G95" i="6"/>
  <c r="N95" i="6"/>
  <c r="D96" i="6"/>
  <c r="G96" i="6" s="1"/>
  <c r="E96" i="6"/>
  <c r="F96" i="6"/>
  <c r="H96" i="6"/>
  <c r="I96" i="6"/>
  <c r="J96" i="6"/>
  <c r="L96" i="6"/>
  <c r="D97" i="6"/>
  <c r="E97" i="6" s="1"/>
  <c r="G97" i="6"/>
  <c r="H97" i="6"/>
  <c r="I97" i="6"/>
  <c r="K97" i="6"/>
  <c r="L97" i="6"/>
  <c r="D98" i="6"/>
  <c r="F98" i="6"/>
  <c r="G98" i="6"/>
  <c r="K98" i="6"/>
  <c r="L98" i="6"/>
  <c r="M98" i="6"/>
  <c r="N98" i="6"/>
  <c r="D99" i="6"/>
  <c r="E99" i="6"/>
  <c r="J99" i="6" s="1"/>
  <c r="F99" i="6"/>
  <c r="G99" i="6"/>
  <c r="I99" i="6"/>
  <c r="K99" i="6"/>
  <c r="L99" i="6"/>
  <c r="M99" i="6"/>
  <c r="N99" i="6"/>
  <c r="D100" i="6"/>
  <c r="G100" i="6"/>
  <c r="I100" i="6"/>
  <c r="D101" i="6"/>
  <c r="F101" i="6" s="1"/>
  <c r="E101" i="6"/>
  <c r="G101" i="6"/>
  <c r="I101" i="6"/>
  <c r="K101" i="6"/>
  <c r="L101" i="6"/>
  <c r="M101" i="6"/>
  <c r="N101" i="6"/>
  <c r="D102" i="6"/>
  <c r="N102" i="6" s="1"/>
  <c r="E102" i="6"/>
  <c r="D103" i="6"/>
  <c r="E103" i="6"/>
  <c r="H103" i="6" s="1"/>
  <c r="F103" i="6"/>
  <c r="G103" i="6"/>
  <c r="I103" i="6"/>
  <c r="J103" i="6"/>
  <c r="D104" i="6"/>
  <c r="E104" i="6"/>
  <c r="H104" i="6" s="1"/>
  <c r="F104" i="6"/>
  <c r="G104" i="6"/>
  <c r="K104" i="6"/>
  <c r="L104" i="6"/>
  <c r="M104" i="6"/>
  <c r="D105" i="6"/>
  <c r="I105" i="6" s="1"/>
  <c r="K105" i="6"/>
  <c r="L105" i="6"/>
  <c r="M105" i="6"/>
  <c r="D106" i="6"/>
  <c r="F106" i="6" s="1"/>
  <c r="E106" i="6"/>
  <c r="G106" i="6"/>
  <c r="I106" i="6"/>
  <c r="K106" i="6"/>
  <c r="L106" i="6"/>
  <c r="M106" i="6"/>
  <c r="N106" i="6"/>
  <c r="D107" i="6"/>
  <c r="F107" i="6"/>
  <c r="D108" i="6"/>
  <c r="E108" i="6"/>
  <c r="H108" i="6" s="1"/>
  <c r="G108" i="6"/>
  <c r="I108" i="6"/>
  <c r="K108" i="6"/>
  <c r="L108" i="6"/>
  <c r="M108" i="6"/>
  <c r="D109" i="6"/>
  <c r="E109" i="6"/>
  <c r="F109" i="6"/>
  <c r="J109" i="6" s="1"/>
  <c r="H109" i="6"/>
  <c r="K109" i="6"/>
  <c r="L109" i="6"/>
  <c r="M109" i="6"/>
  <c r="N109" i="6"/>
  <c r="D110" i="6"/>
  <c r="E110" i="6"/>
  <c r="K110" i="6"/>
  <c r="L110" i="6"/>
  <c r="D111" i="6"/>
  <c r="E111" i="6" s="1"/>
  <c r="F111" i="6"/>
  <c r="G111" i="6"/>
  <c r="N111" i="6"/>
  <c r="D112" i="6"/>
  <c r="E112" i="6"/>
  <c r="F112" i="6"/>
  <c r="G112" i="6"/>
  <c r="D113" i="6"/>
  <c r="E113" i="6"/>
  <c r="F113" i="6"/>
  <c r="G113" i="6"/>
  <c r="H113" i="6"/>
  <c r="I113" i="6"/>
  <c r="J113" i="6"/>
  <c r="L113" i="6"/>
  <c r="N113" i="6"/>
  <c r="D114" i="6"/>
  <c r="I114" i="6" s="1"/>
  <c r="E114" i="6"/>
  <c r="H114" i="6" s="1"/>
  <c r="K114" i="6"/>
  <c r="M114" i="6"/>
  <c r="D115" i="6"/>
  <c r="E115" i="6"/>
  <c r="F115" i="6"/>
  <c r="G115" i="6"/>
  <c r="H115" i="6"/>
  <c r="D116" i="6"/>
  <c r="N116" i="6" s="1"/>
  <c r="E116" i="6"/>
  <c r="F116" i="6"/>
  <c r="G116" i="6"/>
  <c r="H116" i="6"/>
  <c r="I116" i="6"/>
  <c r="J116" i="6"/>
  <c r="K116" i="6"/>
  <c r="L116" i="6"/>
  <c r="M116" i="6"/>
  <c r="D117" i="6"/>
  <c r="F117" i="6"/>
  <c r="G117" i="6"/>
  <c r="I117" i="6"/>
  <c r="K117" i="6"/>
  <c r="L117" i="6"/>
  <c r="M117" i="6"/>
  <c r="D118" i="6"/>
  <c r="F118" i="6" s="1"/>
  <c r="E118" i="6"/>
  <c r="G118" i="6"/>
  <c r="H118" i="6"/>
  <c r="I118" i="6"/>
  <c r="J118" i="6"/>
  <c r="K118" i="6"/>
  <c r="L118" i="6"/>
  <c r="M118" i="6"/>
  <c r="N118" i="6"/>
  <c r="D119" i="6"/>
  <c r="K119" i="6"/>
  <c r="L119" i="6"/>
  <c r="M119" i="6"/>
  <c r="D120" i="6"/>
  <c r="G120" i="6" s="1"/>
  <c r="E120" i="6"/>
  <c r="I120" i="6"/>
  <c r="M120" i="6"/>
  <c r="N120" i="6"/>
  <c r="D121" i="6"/>
  <c r="E121" i="6"/>
  <c r="F121" i="6"/>
  <c r="H121" i="6"/>
  <c r="J121" i="6"/>
  <c r="D122" i="6"/>
  <c r="E122" i="6"/>
  <c r="F122" i="6"/>
  <c r="G122" i="6"/>
  <c r="H122" i="6"/>
  <c r="I122" i="6"/>
  <c r="K122" i="6"/>
  <c r="L122" i="6"/>
  <c r="M122" i="6"/>
  <c r="N122" i="6"/>
  <c r="D123" i="6"/>
  <c r="K123" i="6" s="1"/>
  <c r="F123" i="6"/>
  <c r="G123" i="6"/>
  <c r="I123" i="6"/>
  <c r="L123" i="6"/>
  <c r="M123" i="6"/>
  <c r="N123" i="6"/>
  <c r="D124" i="6"/>
  <c r="M124" i="6" s="1"/>
  <c r="E124" i="6"/>
  <c r="H124" i="6" s="1"/>
  <c r="I124" i="6"/>
  <c r="D125" i="6"/>
  <c r="I125" i="6" s="1"/>
  <c r="E125" i="6"/>
  <c r="F125" i="6"/>
  <c r="K125" i="6"/>
  <c r="L125" i="6"/>
  <c r="M125" i="6"/>
  <c r="N125" i="6"/>
  <c r="D126" i="6"/>
  <c r="G126" i="6" s="1"/>
  <c r="E126" i="6"/>
  <c r="F126" i="6"/>
  <c r="H126" i="6"/>
  <c r="L126" i="6"/>
  <c r="M126" i="6"/>
  <c r="N126" i="6"/>
  <c r="D127" i="6"/>
  <c r="M127" i="6" s="1"/>
  <c r="E127" i="6"/>
  <c r="F127" i="6"/>
  <c r="G127" i="6"/>
  <c r="D128" i="6"/>
  <c r="G128" i="6" s="1"/>
  <c r="E128" i="6"/>
  <c r="F128" i="6"/>
  <c r="H128" i="6"/>
  <c r="I128" i="6"/>
  <c r="J128" i="6"/>
  <c r="N128" i="6"/>
  <c r="D129" i="6"/>
  <c r="G129" i="6" s="1"/>
  <c r="E129" i="6"/>
  <c r="F129" i="6"/>
  <c r="H129" i="6"/>
  <c r="I129" i="6"/>
  <c r="J129" i="6"/>
  <c r="K129" i="6"/>
  <c r="D130" i="6"/>
  <c r="K130" i="6" s="1"/>
  <c r="E130" i="6"/>
  <c r="H130" i="6" s="1"/>
  <c r="F130" i="6"/>
  <c r="G130" i="6"/>
  <c r="D131" i="6"/>
  <c r="N131" i="6" s="1"/>
  <c r="E131" i="6"/>
  <c r="F131" i="6"/>
  <c r="G131" i="6"/>
  <c r="H131" i="6"/>
  <c r="I131" i="6"/>
  <c r="J131" i="6"/>
  <c r="K131" i="6"/>
  <c r="L131" i="6"/>
  <c r="M131" i="6"/>
  <c r="D132" i="6"/>
  <c r="E132" i="6"/>
  <c r="H132" i="6" s="1"/>
  <c r="F132" i="6"/>
  <c r="G132" i="6"/>
  <c r="I132" i="6"/>
  <c r="J132" i="6"/>
  <c r="K132" i="6"/>
  <c r="L132" i="6"/>
  <c r="M132" i="6"/>
  <c r="N132" i="6"/>
  <c r="D133" i="6"/>
  <c r="E133" i="6" s="1"/>
  <c r="F133" i="6"/>
  <c r="G133" i="6"/>
  <c r="H133" i="6"/>
  <c r="I133" i="6"/>
  <c r="J133" i="6"/>
  <c r="K133" i="6"/>
  <c r="L133" i="6"/>
  <c r="M133" i="6"/>
  <c r="N133" i="6"/>
  <c r="D134" i="6"/>
  <c r="F134" i="6" s="1"/>
  <c r="E134" i="6"/>
  <c r="H134" i="6" s="1"/>
  <c r="G134" i="6"/>
  <c r="I134" i="6"/>
  <c r="J134" i="6"/>
  <c r="K134" i="6"/>
  <c r="L134" i="6"/>
  <c r="M134" i="6"/>
  <c r="N134" i="6"/>
  <c r="D135" i="6"/>
  <c r="G135" i="6" s="1"/>
  <c r="E135" i="6"/>
  <c r="H135" i="6" s="1"/>
  <c r="D136" i="6"/>
  <c r="I136" i="6" s="1"/>
  <c r="E136" i="6"/>
  <c r="H136" i="6" s="1"/>
  <c r="F136" i="6"/>
  <c r="G136" i="6"/>
  <c r="D137" i="6"/>
  <c r="I137" i="6" s="1"/>
  <c r="F137" i="6"/>
  <c r="G137" i="6"/>
  <c r="D138" i="6"/>
  <c r="M138" i="6" s="1"/>
  <c r="E138" i="6"/>
  <c r="F138" i="6"/>
  <c r="G138" i="6"/>
  <c r="H138" i="6"/>
  <c r="I138" i="6"/>
  <c r="K138" i="6"/>
  <c r="L138" i="6"/>
  <c r="D139" i="6"/>
  <c r="K139" i="6" s="1"/>
  <c r="F139" i="6"/>
  <c r="G139" i="6"/>
  <c r="I139" i="6"/>
  <c r="L139" i="6"/>
  <c r="M139" i="6"/>
  <c r="N139" i="6"/>
  <c r="D140" i="6"/>
  <c r="L140" i="6" s="1"/>
  <c r="E140" i="6"/>
  <c r="F140" i="6"/>
  <c r="H140" i="6"/>
  <c r="I140" i="6"/>
  <c r="J140" i="6"/>
  <c r="K140" i="6"/>
  <c r="M140" i="6"/>
  <c r="N140" i="6"/>
  <c r="D141" i="6"/>
  <c r="M141" i="6" s="1"/>
  <c r="E141" i="6"/>
  <c r="D142" i="6"/>
  <c r="N142" i="6" s="1"/>
  <c r="E142" i="6"/>
  <c r="H142" i="6" s="1"/>
  <c r="F142" i="6"/>
  <c r="G142" i="6"/>
  <c r="D143" i="6"/>
  <c r="K143" i="6" s="1"/>
  <c r="F143" i="6"/>
  <c r="G143" i="6"/>
  <c r="I143" i="6"/>
  <c r="D144" i="6"/>
  <c r="E144" i="6"/>
  <c r="F144" i="6"/>
  <c r="G144" i="6"/>
  <c r="H144" i="6"/>
  <c r="I144" i="6"/>
  <c r="J144" i="6"/>
  <c r="K144" i="6"/>
  <c r="L144" i="6"/>
  <c r="M144" i="6"/>
  <c r="N144" i="6"/>
  <c r="D145" i="6"/>
  <c r="E145" i="6" s="1"/>
  <c r="F145" i="6"/>
  <c r="G145" i="6"/>
  <c r="H145" i="6"/>
  <c r="I145" i="6"/>
  <c r="J145" i="6"/>
  <c r="K145" i="6"/>
  <c r="L145" i="6"/>
  <c r="D146" i="6"/>
  <c r="F146" i="6" s="1"/>
  <c r="G146" i="6"/>
  <c r="I146" i="6"/>
  <c r="K146" i="6"/>
  <c r="L146" i="6"/>
  <c r="M146" i="6"/>
  <c r="N146" i="6"/>
  <c r="D147" i="6"/>
  <c r="G147" i="6" s="1"/>
  <c r="E147" i="6"/>
  <c r="H147" i="6" s="1"/>
  <c r="F147" i="6"/>
  <c r="I147" i="6"/>
  <c r="J147" i="6"/>
  <c r="K147" i="6"/>
  <c r="L147" i="6"/>
  <c r="M147" i="6"/>
  <c r="N147" i="6"/>
  <c r="D148" i="6"/>
  <c r="F148" i="6" s="1"/>
  <c r="E148" i="6"/>
  <c r="H148" i="6" s="1"/>
  <c r="D149" i="6"/>
  <c r="I149" i="6" s="1"/>
  <c r="E149" i="6"/>
  <c r="H149" i="6" s="1"/>
  <c r="F149" i="6"/>
  <c r="G149" i="6"/>
  <c r="D150" i="6"/>
  <c r="K150" i="6" s="1"/>
  <c r="F150" i="6"/>
  <c r="G150" i="6"/>
  <c r="I150" i="6"/>
  <c r="D151" i="6"/>
  <c r="K151" i="6" s="1"/>
  <c r="E151" i="6"/>
  <c r="F151" i="6"/>
  <c r="G151" i="6"/>
  <c r="H151" i="6"/>
  <c r="I151" i="6"/>
  <c r="J151" i="6"/>
  <c r="L151" i="6"/>
  <c r="D152" i="6"/>
  <c r="L152" i="6" s="1"/>
  <c r="F152" i="6"/>
  <c r="G152" i="6"/>
  <c r="I152" i="6"/>
  <c r="K152" i="6"/>
  <c r="M152" i="6"/>
  <c r="N152" i="6"/>
  <c r="D153" i="6"/>
  <c r="M153" i="6" s="1"/>
  <c r="E153" i="6"/>
  <c r="F153" i="6"/>
  <c r="H153" i="6"/>
  <c r="I153" i="6"/>
  <c r="J153" i="6"/>
  <c r="K153" i="6"/>
  <c r="L153" i="6"/>
  <c r="N153" i="6"/>
  <c r="D154" i="6"/>
  <c r="N154" i="6" s="1"/>
  <c r="E154" i="6"/>
  <c r="H154" i="6" s="1"/>
  <c r="D155" i="6"/>
  <c r="I155" i="6" s="1"/>
  <c r="E155" i="6"/>
  <c r="H155" i="6" s="1"/>
  <c r="F155" i="6"/>
  <c r="G155" i="6"/>
  <c r="D156" i="6"/>
  <c r="E156" i="6"/>
  <c r="J156" i="6" s="1"/>
  <c r="F156" i="6"/>
  <c r="G156" i="6"/>
  <c r="H156" i="6"/>
  <c r="I156" i="6"/>
  <c r="K156" i="6"/>
  <c r="L156" i="6"/>
  <c r="M156" i="6"/>
  <c r="N156" i="6"/>
  <c r="D157" i="6"/>
  <c r="E157" i="6" s="1"/>
  <c r="G157" i="6"/>
  <c r="H157" i="6"/>
  <c r="I157" i="6"/>
  <c r="D158" i="6"/>
  <c r="F158" i="6" s="1"/>
  <c r="E158" i="6"/>
  <c r="H158" i="6" s="1"/>
  <c r="G158" i="6"/>
  <c r="I158" i="6"/>
  <c r="J158" i="6"/>
  <c r="K158" i="6"/>
  <c r="L158" i="6"/>
  <c r="D159" i="6"/>
  <c r="G159" i="6" s="1"/>
  <c r="F159" i="6"/>
  <c r="I159" i="6"/>
  <c r="K159" i="6"/>
  <c r="L159" i="6"/>
  <c r="M159" i="6"/>
  <c r="N159" i="6"/>
  <c r="D160" i="6"/>
  <c r="E160" i="6" s="1"/>
  <c r="F160" i="6"/>
  <c r="I160" i="6"/>
  <c r="K160" i="6"/>
  <c r="L160" i="6"/>
  <c r="M160" i="6"/>
  <c r="N160" i="6"/>
  <c r="D161" i="6"/>
  <c r="I161" i="6" s="1"/>
  <c r="E161" i="6"/>
  <c r="H161" i="6" s="1"/>
  <c r="D162" i="6"/>
  <c r="K162" i="6" s="1"/>
  <c r="E162" i="6"/>
  <c r="F162" i="6"/>
  <c r="G162" i="6"/>
  <c r="D163" i="6"/>
  <c r="K163" i="6" s="1"/>
  <c r="F163" i="6"/>
  <c r="G163" i="6"/>
  <c r="I163" i="6"/>
  <c r="D164" i="6"/>
  <c r="L164" i="6" s="1"/>
  <c r="E164" i="6"/>
  <c r="F164" i="6"/>
  <c r="G164" i="6"/>
  <c r="H164" i="6"/>
  <c r="I164" i="6"/>
  <c r="J164" i="6"/>
  <c r="K164" i="6"/>
  <c r="D165" i="6"/>
  <c r="E165" i="6"/>
  <c r="F165" i="6"/>
  <c r="G165" i="6"/>
  <c r="H165" i="6"/>
  <c r="I165" i="6"/>
  <c r="J165" i="6"/>
  <c r="K165" i="6"/>
  <c r="L165" i="6"/>
  <c r="M165" i="6"/>
  <c r="N165" i="6"/>
  <c r="D166" i="6"/>
  <c r="N166" i="6" s="1"/>
  <c r="F166" i="6"/>
  <c r="G166" i="6"/>
  <c r="I166" i="6"/>
  <c r="K166" i="6"/>
  <c r="L166" i="6"/>
  <c r="M166" i="6"/>
  <c r="D167" i="6"/>
  <c r="F167" i="6" s="1"/>
  <c r="J167" i="6" s="1"/>
  <c r="E167" i="6"/>
  <c r="G167" i="6"/>
  <c r="H167" i="6"/>
  <c r="I167" i="6"/>
  <c r="K167" i="6"/>
  <c r="L167" i="6"/>
  <c r="M167" i="6"/>
  <c r="N167" i="6"/>
  <c r="D168" i="6"/>
  <c r="E168" i="6" s="1"/>
  <c r="F168" i="6"/>
  <c r="I168" i="6"/>
  <c r="K168" i="6"/>
  <c r="L168" i="6"/>
  <c r="M168" i="6"/>
  <c r="N168" i="6"/>
  <c r="D169" i="6"/>
  <c r="E169" i="6" s="1"/>
  <c r="D170" i="6"/>
  <c r="F170" i="6" s="1"/>
  <c r="E170" i="6"/>
  <c r="H170" i="6" s="1"/>
  <c r="D171" i="6"/>
  <c r="G171" i="6" s="1"/>
  <c r="E171" i="6"/>
  <c r="H171" i="6" s="1"/>
  <c r="F171" i="6"/>
  <c r="D172" i="6"/>
  <c r="I172" i="6" s="1"/>
  <c r="E172" i="6"/>
  <c r="H172" i="6" s="1"/>
  <c r="F172" i="6"/>
  <c r="G172" i="6"/>
  <c r="D173" i="6"/>
  <c r="I173" i="6" s="1"/>
  <c r="E173" i="6"/>
  <c r="J173" i="6" s="1"/>
  <c r="F173" i="6"/>
  <c r="G173" i="6"/>
  <c r="H173" i="6"/>
  <c r="N173" i="6"/>
  <c r="D174" i="6"/>
  <c r="N174" i="6" s="1"/>
  <c r="F174" i="6"/>
  <c r="G174" i="6"/>
  <c r="I174" i="6"/>
  <c r="D175" i="6"/>
  <c r="K175" i="6" s="1"/>
  <c r="E175" i="6"/>
  <c r="G175" i="6"/>
  <c r="H175" i="6"/>
  <c r="I175" i="6"/>
  <c r="D176" i="6"/>
  <c r="L176" i="6" s="1"/>
  <c r="E176" i="6"/>
  <c r="F176" i="6"/>
  <c r="G176" i="6"/>
  <c r="H176" i="6"/>
  <c r="I176" i="6"/>
  <c r="J176" i="6"/>
  <c r="K176" i="6"/>
  <c r="D177" i="6"/>
  <c r="E177" i="6"/>
  <c r="F177" i="6"/>
  <c r="G177" i="6"/>
  <c r="H177" i="6"/>
  <c r="I177" i="6"/>
  <c r="J177" i="6"/>
  <c r="K177" i="6"/>
  <c r="L177" i="6"/>
  <c r="M177" i="6"/>
  <c r="N177" i="6"/>
  <c r="D2" i="6"/>
  <c r="F2" i="6" s="1"/>
  <c r="H169" i="6" l="1"/>
  <c r="H82" i="6"/>
  <c r="J82" i="6"/>
  <c r="H55" i="6"/>
  <c r="J55" i="6"/>
  <c r="J111" i="6"/>
  <c r="H111" i="6"/>
  <c r="H160" i="6"/>
  <c r="J160" i="6"/>
  <c r="H168" i="6"/>
  <c r="J168" i="6"/>
  <c r="H41" i="6"/>
  <c r="I56" i="6"/>
  <c r="K56" i="6"/>
  <c r="L56" i="6"/>
  <c r="G56" i="6"/>
  <c r="M56" i="6"/>
  <c r="N56" i="6"/>
  <c r="H110" i="6"/>
  <c r="L112" i="6"/>
  <c r="N112" i="6"/>
  <c r="H95" i="6"/>
  <c r="J95" i="6"/>
  <c r="I62" i="6"/>
  <c r="K62" i="6"/>
  <c r="N62" i="6"/>
  <c r="E62" i="6"/>
  <c r="H50" i="6"/>
  <c r="J50" i="6"/>
  <c r="J46" i="6"/>
  <c r="H32" i="6"/>
  <c r="J32" i="6"/>
  <c r="J23" i="6"/>
  <c r="H23" i="6"/>
  <c r="K9" i="6"/>
  <c r="L9" i="6"/>
  <c r="M9" i="6"/>
  <c r="G9" i="6"/>
  <c r="I9" i="6"/>
  <c r="N9" i="6"/>
  <c r="F175" i="6"/>
  <c r="J175" i="6" s="1"/>
  <c r="E174" i="6"/>
  <c r="N171" i="6"/>
  <c r="M170" i="6"/>
  <c r="L169" i="6"/>
  <c r="E163" i="6"/>
  <c r="N161" i="6"/>
  <c r="F157" i="6"/>
  <c r="J157" i="6" s="1"/>
  <c r="M154" i="6"/>
  <c r="E150" i="6"/>
  <c r="N148" i="6"/>
  <c r="E143" i="6"/>
  <c r="N141" i="6"/>
  <c r="E137" i="6"/>
  <c r="N135" i="6"/>
  <c r="G125" i="6"/>
  <c r="G121" i="6"/>
  <c r="I121" i="6"/>
  <c r="M121" i="6"/>
  <c r="N121" i="6"/>
  <c r="E119" i="6"/>
  <c r="G119" i="6"/>
  <c r="F119" i="6"/>
  <c r="I119" i="6"/>
  <c r="M115" i="6"/>
  <c r="I115" i="6"/>
  <c r="K115" i="6"/>
  <c r="L95" i="6"/>
  <c r="I95" i="6"/>
  <c r="K95" i="6"/>
  <c r="M95" i="6"/>
  <c r="J69" i="6"/>
  <c r="H69" i="6"/>
  <c r="K58" i="6"/>
  <c r="M58" i="6"/>
  <c r="N58" i="6"/>
  <c r="G58" i="6"/>
  <c r="I58" i="6"/>
  <c r="J20" i="6"/>
  <c r="H20" i="6"/>
  <c r="H18" i="6"/>
  <c r="J18" i="6"/>
  <c r="H102" i="6"/>
  <c r="I92" i="6"/>
  <c r="E92" i="6"/>
  <c r="K92" i="6"/>
  <c r="L92" i="6"/>
  <c r="M92" i="6"/>
  <c r="E88" i="6"/>
  <c r="G88" i="6"/>
  <c r="I88" i="6"/>
  <c r="K88" i="6"/>
  <c r="E28" i="6"/>
  <c r="K28" i="6"/>
  <c r="L28" i="6"/>
  <c r="M28" i="6"/>
  <c r="E4" i="6"/>
  <c r="F4" i="6"/>
  <c r="G4" i="6"/>
  <c r="K4" i="6"/>
  <c r="L4" i="6"/>
  <c r="M4" i="6"/>
  <c r="J162" i="6"/>
  <c r="J127" i="6"/>
  <c r="J112" i="6"/>
  <c r="F77" i="6"/>
  <c r="K77" i="6"/>
  <c r="L77" i="6"/>
  <c r="N77" i="6"/>
  <c r="E77" i="6"/>
  <c r="F110" i="6"/>
  <c r="J110" i="6" s="1"/>
  <c r="G110" i="6"/>
  <c r="I110" i="6"/>
  <c r="N172" i="6"/>
  <c r="M171" i="6"/>
  <c r="L170" i="6"/>
  <c r="K169" i="6"/>
  <c r="M135" i="6"/>
  <c r="K82" i="6"/>
  <c r="I82" i="6"/>
  <c r="L82" i="6"/>
  <c r="M82" i="6"/>
  <c r="N82" i="6"/>
  <c r="L171" i="6"/>
  <c r="L161" i="6"/>
  <c r="M155" i="6"/>
  <c r="K154" i="6"/>
  <c r="N91" i="6"/>
  <c r="F91" i="6"/>
  <c r="J91" i="6" s="1"/>
  <c r="G91" i="6"/>
  <c r="I91" i="6"/>
  <c r="F38" i="6"/>
  <c r="J38" i="6" s="1"/>
  <c r="M38" i="6"/>
  <c r="N38" i="6"/>
  <c r="K38" i="6"/>
  <c r="L38" i="6"/>
  <c r="K22" i="6"/>
  <c r="L22" i="6"/>
  <c r="N22" i="6"/>
  <c r="E22" i="6"/>
  <c r="F22" i="6"/>
  <c r="G22" i="6"/>
  <c r="M22" i="6"/>
  <c r="K171" i="6"/>
  <c r="N143" i="6"/>
  <c r="L142" i="6"/>
  <c r="K135" i="6"/>
  <c r="N92" i="6"/>
  <c r="M84" i="6"/>
  <c r="L84" i="6"/>
  <c r="N84" i="6"/>
  <c r="F84" i="6"/>
  <c r="J84" i="6" s="1"/>
  <c r="G84" i="6"/>
  <c r="N61" i="6"/>
  <c r="F61" i="6"/>
  <c r="J61" i="6" s="1"/>
  <c r="G61" i="6"/>
  <c r="I61" i="6"/>
  <c r="K61" i="6"/>
  <c r="N175" i="6"/>
  <c r="M174" i="6"/>
  <c r="L173" i="6"/>
  <c r="K172" i="6"/>
  <c r="J171" i="6"/>
  <c r="I170" i="6"/>
  <c r="G168" i="6"/>
  <c r="E166" i="6"/>
  <c r="N163" i="6"/>
  <c r="L162" i="6"/>
  <c r="J161" i="6"/>
  <c r="G160" i="6"/>
  <c r="E159" i="6"/>
  <c r="N157" i="6"/>
  <c r="K155" i="6"/>
  <c r="I154" i="6"/>
  <c r="G153" i="6"/>
  <c r="E152" i="6"/>
  <c r="N150" i="6"/>
  <c r="L149" i="6"/>
  <c r="J148" i="6"/>
  <c r="E146" i="6"/>
  <c r="M143" i="6"/>
  <c r="K142" i="6"/>
  <c r="I141" i="6"/>
  <c r="G140" i="6"/>
  <c r="E139" i="6"/>
  <c r="N137" i="6"/>
  <c r="L136" i="6"/>
  <c r="N127" i="6"/>
  <c r="N124" i="6"/>
  <c r="J122" i="6"/>
  <c r="M112" i="6"/>
  <c r="F108" i="6"/>
  <c r="J108" i="6" s="1"/>
  <c r="N108" i="6"/>
  <c r="L103" i="6"/>
  <c r="N103" i="6"/>
  <c r="K103" i="6"/>
  <c r="M103" i="6"/>
  <c r="H101" i="6"/>
  <c r="J101" i="6"/>
  <c r="E98" i="6"/>
  <c r="I98" i="6"/>
  <c r="F89" i="6"/>
  <c r="J89" i="6" s="1"/>
  <c r="L89" i="6"/>
  <c r="M89" i="6"/>
  <c r="N89" i="6"/>
  <c r="M83" i="6"/>
  <c r="M64" i="6"/>
  <c r="J57" i="6"/>
  <c r="J10" i="6"/>
  <c r="J8" i="6"/>
  <c r="H8" i="6"/>
  <c r="H7" i="6"/>
  <c r="J7" i="6"/>
  <c r="N169" i="6"/>
  <c r="E107" i="6"/>
  <c r="G107" i="6"/>
  <c r="K107" i="6"/>
  <c r="L107" i="6"/>
  <c r="M107" i="6"/>
  <c r="E79" i="6"/>
  <c r="K79" i="6"/>
  <c r="L79" i="6"/>
  <c r="J12" i="6"/>
  <c r="H12" i="6"/>
  <c r="N170" i="6"/>
  <c r="M130" i="6"/>
  <c r="N130" i="6"/>
  <c r="M161" i="6"/>
  <c r="N155" i="6"/>
  <c r="M148" i="6"/>
  <c r="L141" i="6"/>
  <c r="H67" i="6"/>
  <c r="J67" i="6"/>
  <c r="F55" i="6"/>
  <c r="G55" i="6"/>
  <c r="I55" i="6"/>
  <c r="L55" i="6"/>
  <c r="F41" i="6"/>
  <c r="J41" i="6" s="1"/>
  <c r="I41" i="6"/>
  <c r="G41" i="6"/>
  <c r="K41" i="6"/>
  <c r="L41" i="6"/>
  <c r="M41" i="6"/>
  <c r="N41" i="6"/>
  <c r="M142" i="6"/>
  <c r="K141" i="6"/>
  <c r="N136" i="6"/>
  <c r="E93" i="6"/>
  <c r="G93" i="6"/>
  <c r="L71" i="6"/>
  <c r="M71" i="6"/>
  <c r="N71" i="6"/>
  <c r="F71" i="6"/>
  <c r="J71" i="6" s="1"/>
  <c r="L172" i="6"/>
  <c r="I169" i="6"/>
  <c r="L155" i="6"/>
  <c r="L130" i="6"/>
  <c r="M157" i="6"/>
  <c r="J155" i="6"/>
  <c r="M150" i="6"/>
  <c r="K149" i="6"/>
  <c r="I148" i="6"/>
  <c r="L143" i="6"/>
  <c r="J142" i="6"/>
  <c r="H141" i="6"/>
  <c r="M137" i="6"/>
  <c r="K136" i="6"/>
  <c r="I135" i="6"/>
  <c r="J130" i="6"/>
  <c r="H120" i="6"/>
  <c r="J120" i="6"/>
  <c r="K112" i="6"/>
  <c r="I111" i="6"/>
  <c r="K111" i="6"/>
  <c r="L111" i="6"/>
  <c r="M111" i="6"/>
  <c r="N107" i="6"/>
  <c r="H106" i="6"/>
  <c r="J106" i="6"/>
  <c r="J104" i="6"/>
  <c r="H99" i="6"/>
  <c r="J90" i="6"/>
  <c r="N88" i="6"/>
  <c r="N79" i="6"/>
  <c r="M77" i="6"/>
  <c r="F74" i="6"/>
  <c r="G74" i="6"/>
  <c r="I74" i="6"/>
  <c r="N74" i="6"/>
  <c r="E74" i="6"/>
  <c r="J70" i="6"/>
  <c r="H70" i="6"/>
  <c r="J68" i="6"/>
  <c r="K57" i="6"/>
  <c r="L57" i="6"/>
  <c r="M57" i="6"/>
  <c r="N57" i="6"/>
  <c r="G57" i="6"/>
  <c r="N28" i="6"/>
  <c r="H27" i="6"/>
  <c r="J27" i="6"/>
  <c r="J21" i="6"/>
  <c r="H21" i="6"/>
  <c r="G102" i="6"/>
  <c r="L102" i="6"/>
  <c r="F102" i="6"/>
  <c r="J102" i="6" s="1"/>
  <c r="I102" i="6"/>
  <c r="L83" i="6"/>
  <c r="K83" i="6"/>
  <c r="N83" i="6"/>
  <c r="G83" i="6"/>
  <c r="L124" i="6"/>
  <c r="F124" i="6"/>
  <c r="G124" i="6"/>
  <c r="E52" i="6"/>
  <c r="M52" i="6"/>
  <c r="N52" i="6"/>
  <c r="I52" i="6"/>
  <c r="K127" i="6"/>
  <c r="L127" i="6"/>
  <c r="J115" i="6"/>
  <c r="E100" i="6"/>
  <c r="F100" i="6"/>
  <c r="M100" i="6"/>
  <c r="N100" i="6"/>
  <c r="M172" i="6"/>
  <c r="L148" i="6"/>
  <c r="J138" i="6"/>
  <c r="L135" i="6"/>
  <c r="H61" i="6"/>
  <c r="H36" i="6"/>
  <c r="J36" i="6"/>
  <c r="M173" i="6"/>
  <c r="L174" i="6"/>
  <c r="M176" i="6"/>
  <c r="L175" i="6"/>
  <c r="K174" i="6"/>
  <c r="G170" i="6"/>
  <c r="F169" i="6"/>
  <c r="J169" i="6" s="1"/>
  <c r="M164" i="6"/>
  <c r="L163" i="6"/>
  <c r="I162" i="6"/>
  <c r="G161" i="6"/>
  <c r="N158" i="6"/>
  <c r="L157" i="6"/>
  <c r="G154" i="6"/>
  <c r="N151" i="6"/>
  <c r="L150" i="6"/>
  <c r="J149" i="6"/>
  <c r="G148" i="6"/>
  <c r="N145" i="6"/>
  <c r="I142" i="6"/>
  <c r="G141" i="6"/>
  <c r="N138" i="6"/>
  <c r="L137" i="6"/>
  <c r="J136" i="6"/>
  <c r="I130" i="6"/>
  <c r="I127" i="6"/>
  <c r="J126" i="6"/>
  <c r="K124" i="6"/>
  <c r="L121" i="6"/>
  <c r="F120" i="6"/>
  <c r="K120" i="6"/>
  <c r="L120" i="6"/>
  <c r="N115" i="6"/>
  <c r="L114" i="6"/>
  <c r="N114" i="6"/>
  <c r="F114" i="6"/>
  <c r="J114" i="6" s="1"/>
  <c r="G114" i="6"/>
  <c r="I112" i="6"/>
  <c r="N110" i="6"/>
  <c r="M102" i="6"/>
  <c r="L100" i="6"/>
  <c r="G92" i="6"/>
  <c r="M88" i="6"/>
  <c r="H83" i="6"/>
  <c r="M79" i="6"/>
  <c r="K70" i="6"/>
  <c r="L70" i="6"/>
  <c r="N70" i="6"/>
  <c r="G70" i="6"/>
  <c r="I70" i="6"/>
  <c r="I68" i="6"/>
  <c r="F68" i="6"/>
  <c r="G68" i="6"/>
  <c r="M68" i="6"/>
  <c r="N68" i="6"/>
  <c r="M62" i="6"/>
  <c r="F56" i="6"/>
  <c r="K52" i="6"/>
  <c r="H43" i="6"/>
  <c r="J43" i="6"/>
  <c r="I28" i="6"/>
  <c r="H5" i="6"/>
  <c r="J42" i="6"/>
  <c r="H42" i="6"/>
  <c r="J9" i="6"/>
  <c r="H9" i="6"/>
  <c r="M169" i="6"/>
  <c r="L154" i="6"/>
  <c r="E105" i="6"/>
  <c r="F105" i="6"/>
  <c r="G105" i="6"/>
  <c r="K170" i="6"/>
  <c r="N162" i="6"/>
  <c r="N149" i="6"/>
  <c r="H125" i="6"/>
  <c r="J125" i="6"/>
  <c r="E76" i="6"/>
  <c r="I76" i="6"/>
  <c r="L76" i="6"/>
  <c r="G76" i="6"/>
  <c r="K76" i="6"/>
  <c r="J170" i="6"/>
  <c r="M162" i="6"/>
  <c r="K161" i="6"/>
  <c r="M149" i="6"/>
  <c r="K148" i="6"/>
  <c r="M136" i="6"/>
  <c r="K128" i="6"/>
  <c r="L128" i="6"/>
  <c r="M128" i="6"/>
  <c r="N176" i="6"/>
  <c r="M175" i="6"/>
  <c r="K173" i="6"/>
  <c r="J172" i="6"/>
  <c r="I171" i="6"/>
  <c r="G169" i="6"/>
  <c r="N164" i="6"/>
  <c r="M163" i="6"/>
  <c r="H162" i="6"/>
  <c r="F161" i="6"/>
  <c r="M158" i="6"/>
  <c r="K157" i="6"/>
  <c r="F154" i="6"/>
  <c r="J154" i="6" s="1"/>
  <c r="M151" i="6"/>
  <c r="M145" i="6"/>
  <c r="F141" i="6"/>
  <c r="J141" i="6" s="1"/>
  <c r="K137" i="6"/>
  <c r="F135" i="6"/>
  <c r="J135" i="6" s="1"/>
  <c r="L129" i="6"/>
  <c r="M129" i="6"/>
  <c r="N129" i="6"/>
  <c r="H127" i="6"/>
  <c r="I126" i="6"/>
  <c r="K126" i="6"/>
  <c r="J124" i="6"/>
  <c r="K121" i="6"/>
  <c r="N119" i="6"/>
  <c r="E117" i="6"/>
  <c r="N117" i="6"/>
  <c r="L115" i="6"/>
  <c r="H112" i="6"/>
  <c r="M110" i="6"/>
  <c r="I107" i="6"/>
  <c r="N105" i="6"/>
  <c r="K102" i="6"/>
  <c r="K100" i="6"/>
  <c r="M96" i="6"/>
  <c r="K96" i="6"/>
  <c r="N96" i="6"/>
  <c r="N93" i="6"/>
  <c r="F92" i="6"/>
  <c r="L88" i="6"/>
  <c r="F83" i="6"/>
  <c r="J83" i="6" s="1"/>
  <c r="I79" i="6"/>
  <c r="I77" i="6"/>
  <c r="E64" i="6"/>
  <c r="K64" i="6"/>
  <c r="L64" i="6"/>
  <c r="N64" i="6"/>
  <c r="F64" i="6"/>
  <c r="G64" i="6"/>
  <c r="L62" i="6"/>
  <c r="E56" i="6"/>
  <c r="L47" i="6"/>
  <c r="M47" i="6"/>
  <c r="N47" i="6"/>
  <c r="E47" i="6"/>
  <c r="F47" i="6"/>
  <c r="G47" i="6"/>
  <c r="K47" i="6"/>
  <c r="K43" i="6"/>
  <c r="N43" i="6"/>
  <c r="I43" i="6"/>
  <c r="L43" i="6"/>
  <c r="M33" i="6"/>
  <c r="L33" i="6"/>
  <c r="N33" i="6"/>
  <c r="F33" i="6"/>
  <c r="E33" i="6"/>
  <c r="G33" i="6"/>
  <c r="G28" i="6"/>
  <c r="J24" i="6"/>
  <c r="N4" i="6"/>
  <c r="N85" i="6"/>
  <c r="E85" i="6"/>
  <c r="F65" i="6"/>
  <c r="J65" i="6" s="1"/>
  <c r="M65" i="6"/>
  <c r="N65" i="6"/>
  <c r="K46" i="6"/>
  <c r="N46" i="6"/>
  <c r="I46" i="6"/>
  <c r="L46" i="6"/>
  <c r="M46" i="6"/>
  <c r="I32" i="6"/>
  <c r="L32" i="6"/>
  <c r="K32" i="6"/>
  <c r="M32" i="6"/>
  <c r="I19" i="6"/>
  <c r="K19" i="6"/>
  <c r="E19" i="6"/>
  <c r="F19" i="6"/>
  <c r="G19" i="6"/>
  <c r="L11" i="6"/>
  <c r="M11" i="6"/>
  <c r="N11" i="6"/>
  <c r="E11" i="6"/>
  <c r="F11" i="6"/>
  <c r="G11" i="6"/>
  <c r="H6" i="6"/>
  <c r="J6" i="6"/>
  <c r="I104" i="6"/>
  <c r="N104" i="6"/>
  <c r="F97" i="6"/>
  <c r="J97" i="6" s="1"/>
  <c r="F94" i="6"/>
  <c r="J94" i="6" s="1"/>
  <c r="G90" i="6"/>
  <c r="L90" i="6"/>
  <c r="N90" i="6"/>
  <c r="M85" i="6"/>
  <c r="J81" i="6"/>
  <c r="F78" i="6"/>
  <c r="J78" i="6" s="1"/>
  <c r="H75" i="6"/>
  <c r="J75" i="6"/>
  <c r="G72" i="6"/>
  <c r="I69" i="6"/>
  <c r="L69" i="6"/>
  <c r="G66" i="6"/>
  <c r="E66" i="6"/>
  <c r="J63" i="6"/>
  <c r="G50" i="6"/>
  <c r="J45" i="6"/>
  <c r="H45" i="6"/>
  <c r="K31" i="6"/>
  <c r="E31" i="6"/>
  <c r="F31" i="6"/>
  <c r="G31" i="6"/>
  <c r="I31" i="6"/>
  <c r="N31" i="6"/>
  <c r="E123" i="6"/>
  <c r="K113" i="6"/>
  <c r="M113" i="6"/>
  <c r="G109" i="6"/>
  <c r="I109" i="6"/>
  <c r="L85" i="6"/>
  <c r="F81" i="6"/>
  <c r="G81" i="6"/>
  <c r="I81" i="6"/>
  <c r="L65" i="6"/>
  <c r="M45" i="6"/>
  <c r="F45" i="6"/>
  <c r="G45" i="6"/>
  <c r="I45" i="6"/>
  <c r="L35" i="6"/>
  <c r="E35" i="6"/>
  <c r="F35" i="6"/>
  <c r="G35" i="6"/>
  <c r="M35" i="6"/>
  <c r="E16" i="6"/>
  <c r="F16" i="6"/>
  <c r="G16" i="6"/>
  <c r="I16" i="6"/>
  <c r="K16" i="6"/>
  <c r="N97" i="6"/>
  <c r="M97" i="6"/>
  <c r="K94" i="6"/>
  <c r="G94" i="6"/>
  <c r="I94" i="6"/>
  <c r="K85" i="6"/>
  <c r="G78" i="6"/>
  <c r="M78" i="6"/>
  <c r="N78" i="6"/>
  <c r="M72" i="6"/>
  <c r="E72" i="6"/>
  <c r="K65" i="6"/>
  <c r="F50" i="6"/>
  <c r="I50" i="6"/>
  <c r="K50" i="6"/>
  <c r="F29" i="6"/>
  <c r="J29" i="6" s="1"/>
  <c r="I29" i="6"/>
  <c r="M29" i="6"/>
  <c r="N29" i="6"/>
  <c r="G29" i="6"/>
  <c r="K10" i="6"/>
  <c r="L10" i="6"/>
  <c r="M10" i="6"/>
  <c r="N10" i="6"/>
  <c r="G10" i="6"/>
  <c r="F5" i="6"/>
  <c r="J5" i="6" s="1"/>
  <c r="G5" i="6"/>
  <c r="I5" i="6"/>
  <c r="N37" i="6"/>
  <c r="E37" i="6"/>
  <c r="L23" i="6"/>
  <c r="M23" i="6"/>
  <c r="I20" i="6"/>
  <c r="L20" i="6"/>
  <c r="F17" i="6"/>
  <c r="J17" i="6" s="1"/>
  <c r="G17" i="6"/>
  <c r="I17" i="6"/>
  <c r="I7" i="6"/>
  <c r="K7" i="6"/>
  <c r="G86" i="6"/>
  <c r="G80" i="6"/>
  <c r="G73" i="6"/>
  <c r="G67" i="6"/>
  <c r="G60" i="6"/>
  <c r="E59" i="6"/>
  <c r="E53" i="6"/>
  <c r="N42" i="6"/>
  <c r="M37" i="6"/>
  <c r="E30" i="6"/>
  <c r="N23" i="6"/>
  <c r="K21" i="6"/>
  <c r="M21" i="6"/>
  <c r="K6" i="6"/>
  <c r="M42" i="6"/>
  <c r="L37" i="6"/>
  <c r="K34" i="6"/>
  <c r="N34" i="6"/>
  <c r="N25" i="6"/>
  <c r="E25" i="6"/>
  <c r="K23" i="6"/>
  <c r="N20" i="6"/>
  <c r="N17" i="6"/>
  <c r="I8" i="6"/>
  <c r="K8" i="6"/>
  <c r="L8" i="6"/>
  <c r="F6" i="6"/>
  <c r="E80" i="6"/>
  <c r="E73" i="6"/>
  <c r="E60" i="6"/>
  <c r="E54" i="6"/>
  <c r="I44" i="6"/>
  <c r="L44" i="6"/>
  <c r="L42" i="6"/>
  <c r="K37" i="6"/>
  <c r="M20" i="6"/>
  <c r="M17" i="6"/>
  <c r="N7" i="6"/>
  <c r="N49" i="6"/>
  <c r="E49" i="6"/>
  <c r="K42" i="6"/>
  <c r="I23" i="6"/>
  <c r="K20" i="6"/>
  <c r="L17" i="6"/>
  <c r="M7" i="6"/>
  <c r="G6" i="6"/>
  <c r="I6" i="6"/>
  <c r="E13" i="6"/>
  <c r="E2" i="6"/>
  <c r="N2" i="6"/>
  <c r="M2" i="6"/>
  <c r="K2" i="6"/>
  <c r="I2" i="6"/>
  <c r="L2" i="6"/>
  <c r="G2" i="6"/>
  <c r="H19" i="6" l="1"/>
  <c r="J19" i="6"/>
  <c r="J60" i="6"/>
  <c r="H60" i="6"/>
  <c r="J107" i="6"/>
  <c r="H107" i="6"/>
  <c r="H62" i="6"/>
  <c r="J62" i="6"/>
  <c r="H49" i="6"/>
  <c r="J49" i="6"/>
  <c r="H80" i="6"/>
  <c r="J80" i="6"/>
  <c r="H105" i="6"/>
  <c r="J105" i="6"/>
  <c r="H166" i="6"/>
  <c r="J166" i="6"/>
  <c r="J150" i="6"/>
  <c r="H150" i="6"/>
  <c r="H72" i="6"/>
  <c r="J72" i="6"/>
  <c r="J77" i="6"/>
  <c r="H77" i="6"/>
  <c r="H100" i="6"/>
  <c r="J100" i="6"/>
  <c r="H92" i="6"/>
  <c r="J92" i="6"/>
  <c r="H117" i="6"/>
  <c r="J117" i="6"/>
  <c r="H146" i="6"/>
  <c r="J146" i="6"/>
  <c r="J73" i="6"/>
  <c r="H73" i="6"/>
  <c r="H31" i="6"/>
  <c r="J31" i="6"/>
  <c r="H85" i="6"/>
  <c r="J85" i="6"/>
  <c r="J37" i="6"/>
  <c r="H37" i="6"/>
  <c r="H98" i="6"/>
  <c r="J98" i="6"/>
  <c r="H28" i="6"/>
  <c r="J28" i="6"/>
  <c r="H119" i="6"/>
  <c r="J119" i="6"/>
  <c r="H11" i="6"/>
  <c r="J11" i="6"/>
  <c r="H22" i="6"/>
  <c r="J22" i="6"/>
  <c r="H35" i="6"/>
  <c r="J35" i="6"/>
  <c r="J13" i="6"/>
  <c r="H13" i="6"/>
  <c r="H64" i="6"/>
  <c r="J64" i="6"/>
  <c r="J76" i="6"/>
  <c r="H76" i="6"/>
  <c r="H52" i="6"/>
  <c r="J52" i="6"/>
  <c r="J163" i="6"/>
  <c r="H163" i="6"/>
  <c r="J137" i="6"/>
  <c r="H137" i="6"/>
  <c r="J66" i="6"/>
  <c r="H66" i="6"/>
  <c r="J33" i="6"/>
  <c r="H33" i="6"/>
  <c r="H47" i="6"/>
  <c r="J47" i="6"/>
  <c r="H79" i="6"/>
  <c r="J79" i="6"/>
  <c r="H139" i="6"/>
  <c r="J139" i="6"/>
  <c r="H88" i="6"/>
  <c r="J88" i="6"/>
  <c r="H53" i="6"/>
  <c r="J53" i="6"/>
  <c r="H4" i="6"/>
  <c r="J4" i="6"/>
  <c r="J143" i="6"/>
  <c r="H143" i="6"/>
  <c r="H16" i="6"/>
  <c r="J16" i="6"/>
  <c r="J30" i="6"/>
  <c r="H30" i="6"/>
  <c r="H123" i="6"/>
  <c r="J123" i="6"/>
  <c r="H74" i="6"/>
  <c r="J74" i="6"/>
  <c r="J25" i="6"/>
  <c r="H25" i="6"/>
  <c r="J174" i="6"/>
  <c r="H174" i="6"/>
  <c r="H54" i="6"/>
  <c r="J54" i="6"/>
  <c r="H56" i="6"/>
  <c r="J56" i="6"/>
  <c r="H59" i="6"/>
  <c r="J59" i="6"/>
  <c r="J93" i="6"/>
  <c r="H93" i="6"/>
  <c r="J152" i="6"/>
  <c r="H152" i="6"/>
  <c r="H159" i="6"/>
  <c r="J159" i="6"/>
  <c r="J2" i="6"/>
  <c r="H2" i="6"/>
</calcChain>
</file>

<file path=xl/sharedStrings.xml><?xml version="1.0" encoding="utf-8"?>
<sst xmlns="http://schemas.openxmlformats.org/spreadsheetml/2006/main" count="2879" uniqueCount="329">
  <si>
    <t>Evaluator</t>
  </si>
  <si>
    <t>Question</t>
  </si>
  <si>
    <t>status</t>
  </si>
  <si>
    <t>answerability</t>
  </si>
  <si>
    <t>primary_kc_alignment</t>
  </si>
  <si>
    <t>secondary_kc_alignment</t>
  </si>
  <si>
    <t>topic_alignment</t>
  </si>
  <si>
    <t>grade_alignment</t>
  </si>
  <si>
    <t>real_world_feasibility</t>
  </si>
  <si>
    <t>synergy</t>
  </si>
  <si>
    <t>clarity</t>
  </si>
  <si>
    <t>conciseness_and_relevance</t>
  </si>
  <si>
    <t>language_quality</t>
  </si>
  <si>
    <t>content_appropriateness</t>
  </si>
  <si>
    <t>explanation</t>
  </si>
  <si>
    <t>response_time</t>
  </si>
  <si>
    <t>language_quality1</t>
  </si>
  <si>
    <t>TD</t>
  </si>
  <si>
    <t>Question 1</t>
  </si>
  <si>
    <t>Question 2</t>
  </si>
  <si>
    <t>'NA</t>
  </si>
  <si>
    <t>secondary_kc_alignment: The problem only requires subtraction (450 - 215) to find out how much Sarah spent before her father gave extra money. The extra $80 from her father is not needed to solve the problem, so addition is not necessary. synergy: Addition and subtraction are not used together to solve for the answer; only subtraction is needed.</t>
  </si>
  <si>
    <t>Question 3</t>
  </si>
  <si>
    <t>D4*: The context describes sharing candies among children, which does not explicitly connect to the intended topic of 'Household finance such as income, utility bills, money, interest, savings, instalment, mortgage, financial planning etc.' The math situation is more about fair sharing/division with remainders, not a financial scenario.</t>
  </si>
  <si>
    <t>Question 4</t>
  </si>
  <si>
    <t>Question 5</t>
  </si>
  <si>
    <t>Question 6</t>
  </si>
  <si>
    <t>Question 7</t>
  </si>
  <si>
    <t>D4: The scenario is about purchasing light bulbs for a house, which is only loosely related to household finance. The context does not directly address financial elements such as cost, budgeting, expenses, or savings, which are core to the intended topic of household finance.</t>
  </si>
  <si>
    <t>Question 8</t>
  </si>
  <si>
    <t>Question 9</t>
  </si>
  <si>
    <t>Secondary KC Alignment: The problem does not require subtraction — only division is needed to answer the question. Synergy: Only division is required to solve for the amount each child receives; no combination of division and subtraction is needed.</t>
  </si>
  <si>
    <t>Question 10</t>
  </si>
  <si>
    <t>Question 11</t>
  </si>
  <si>
    <t>Question 12</t>
  </si>
  <si>
    <t>Question 13</t>
  </si>
  <si>
    <t>Primary KC alignment: 0 - Q(b) does not require students to add decimals to 2 decimal places; Q(a) is suitable but only requires standard addition, not more complex beyond 2DP. Grade alignment: 0 - The electricity bill in part (b) uses 3 decimal places ($45.605), which is beyond Primary 4 (which typically handles up to 2 decimal places). Real-world feasibility: 0 - Utility bills in Singapore (and nearly all real-world money contexts) do not use 3 decimal places, so a bill of $45.605 is not realistic.</t>
  </si>
  <si>
    <t>Question 14</t>
  </si>
  <si>
    <t>Question 15</t>
  </si>
  <si>
    <t>Question 16</t>
  </si>
  <si>
    <t>Question 17</t>
  </si>
  <si>
    <t>Question 18</t>
  </si>
  <si>
    <t>Question 19</t>
  </si>
  <si>
    <t>Question 20</t>
  </si>
  <si>
    <t>Question 21</t>
  </si>
  <si>
    <t>Question 22</t>
  </si>
  <si>
    <t>Secondary KC Alignment: 0 - The intended secondary KC is comparing and ordering fractions, but the problem only compares a whole number ($90) with the computed fractional amount (which is a whole number after calculation). The question does not require comparing two fractions. Synergy: 0 - The solution requires the use of the primary KC (fraction multiplication), but does not require the secondary KC (comparing fractions), so the components are not used in tandem.</t>
  </si>
  <si>
    <t>Question 23</t>
  </si>
  <si>
    <t>Question 24</t>
  </si>
  <si>
    <t>Secondary KC Alignment: The problem only requires the use of multiplication of fractions sequentially. There is no requirement to add any fractions together in order to solve the problem, so Addition of Fractions is not targeted. Synergy: Only the Primary KC (Multiplication of Fractions) is needed for every operation in the sequence, so the word problem does not require both the Primary and Secondary KCs to work together.</t>
  </si>
  <si>
    <t>Question 25</t>
  </si>
  <si>
    <t>Question 26</t>
  </si>
  <si>
    <t>3-The secondary knowledge component is addition of fractions, but all calculations needed are multiplication and subtraction of fractions; at no point is adding of fractions required. 4-The context is about buying fruit juice for a gathering, which falls under food and daily life, not under household finance topic such as income, utility bills, or savings.</t>
  </si>
  <si>
    <t>Question 27</t>
  </si>
  <si>
    <t>answerability: The fractions '7/4' and '5/3' of the savings exceed 1 (whole), which is illogical since you cannot use more than 100% of the savings for each expense, thus the problem is not answerable.primary_kc_alignment: Multiplying the total by improper fractions greater than 1 is not a standard operation for allocation problems at Primary 5 and doesn't teach the intended KC properly, also the intended KC is multiplying two improper fractions, but the word problem only requires multiplying a whole by a fraction.secondary_kc_alignment: The subtraction is just simple whole number subtraction, not fraction subtraction between two fractional amounts.grade_alignment: The arithmetic involving improper fractions of a whole for allocations is beyond the typical level for Primary 5 and may confuse students.real_world_feasibility: No real-world scenario would have expenses that are more than the whole of one's savings for each category.synergy: The two KCs do not work in tandem, the student only applies fraction multiplication (using improper fractions unrealistically) and then does a subtraction with whole numbers, not with fractions.</t>
  </si>
  <si>
    <t>Question 28</t>
  </si>
  <si>
    <t>Question 29</t>
  </si>
  <si>
    <t>D-4: While the problem involves baking and the use of ingredients, it does NOT actually involve any of the specified household finance topics such as income, utility bills, money, interest, savings, instalment, mortgage, or financial planning. It stays in food preparation/consumption domain, not finance.</t>
  </si>
  <si>
    <t>Question 30</t>
  </si>
  <si>
    <t>primary_kc_alignment: The main multiplication required is $3.75 [FORMULA] 100$ to get daily usage over 100 days (which equals 375), and then multiply by 0.174 (cost per kWh), so $375 [FORMULA] 0.174$. However, this does not require specifically multiplying decimals by 10, 100, 1000 and their multiples safely; it's normal decimal multiplication, but the focus is not explicitly on multiplying decimals by 10, 100, or 1000, as intended.[FORMULA]: The two parts (a) and (b) are independent; the answer from (a) is not required for (b), nor do they build on each other.</t>
  </si>
  <si>
    <t>Question 31</t>
  </si>
  <si>
    <t>Primary KC Alignment: The problem describes decimal multiplication (73.245 × 0.15), but this involves multiplying decimals not specifically by 10, 100, 1000, or their multiples, which is what the intended KC targets. The product requires multiplying decimals generally, not scaling by powers of 10. Synergy: Subtraction should be applied after multiplication, but the scenario describes subtracting the service fee from the electricity cost, which is not actually correct since the fee should be added, not subtracted—this makes the synergy between multiplication and subtraction not logically coherent as per the premise.</t>
  </si>
  <si>
    <t>Question 32</t>
  </si>
  <si>
    <t>Question 33</t>
  </si>
  <si>
    <t>language_quality: The use of '[FORMULA]' and decimal formatting ('$27.650') is not standard for financial notation—the correct format should be '$27.65'. This can confuse students and is considered a language/notation issue.</t>
  </si>
  <si>
    <t>Question 34</t>
  </si>
  <si>
    <t>Question 35</t>
  </si>
  <si>
    <t>Question 36</t>
  </si>
  <si>
    <t>Question 37</t>
  </si>
  <si>
    <t>Question 38</t>
  </si>
  <si>
    <t>Primary KC Alignment: The intended primary KC is dividing a proper fraction by a whole number, but 2[FORMULA] (an improper/mixed fraction) divided by 5 is tested here, which is different in complexity from dividing a proper fraction. Topic Alignment: The scenario is about a school fundraiser and splitting cookies, which does not fit the intended topic of household finance (income, utility bills, money, etc.).</t>
  </si>
  <si>
    <t>Question 39</t>
  </si>
  <si>
    <t>PRIMARY KC: The main operation needed is dividing $120$ by $3/4 [FORMULA] 120$ to find how many months the bills can be paid, but this results in dividing by a whole number (not a fraction by a fraction). The calculation required is $120 [FORMULA] 90$. SEC KC: No explicit need to subtract fractions; the subtraction is '120 - (2 [FORMULA] (3/4 [FORMULA] 120))', which is not subtraction of a fraction from a fraction or whole, so does not directly target the intended secondary KC. SYNERGY: The primary and secondary KCs are not necessary in tandem; the operations stand largely on their own and do not build off each other.</t>
  </si>
  <si>
    <t>Question 40</t>
  </si>
  <si>
    <t>Primary KC Alignment: The main calculation required by the problem is to find $rac{3}{4}$ of a value (i.e., multiplying by a fraction), NOT dividing a whole number or proper fraction by a proper fraction, as the primary knowledge component specifies. The division required is division by 3 to share the amount equally, but not dividing by a fraction itself. (b) even asks about dividing 'by $[FORMULA]$' but the intention and logic is about multiplication. Synergy: The application of the Primary and Secondary KCs is not dependent—fraction division is not necessary; the only connection is fractional multiplication and then conversion to decimal. The sub-parts (a), (b), and (c) do not build on each other using outputs as direct inputs, except for the initial finding in (a).</t>
  </si>
  <si>
    <t>Question 41</t>
  </si>
  <si>
    <t>Secondary KC Alignment (0): The addition of grocery and transport expenses is given within the question, but the problem only asks for the total household expenses, which is to be found from the electricity expense and percentage. The secondary KC (addition) is not required to solve the problem, as the information relating to groceries and transport is irrelevant and not used. Synergy (0): The information provided on groceries and transport is not required for solving the main question, and there is no step in the solution where results from one part are needed for another.</t>
  </si>
  <si>
    <t>Question 42</t>
  </si>
  <si>
    <t>Question 43</t>
  </si>
  <si>
    <t>Question 44</t>
  </si>
  <si>
    <t>Question 45</t>
  </si>
  <si>
    <t>Question 46</t>
  </si>
  <si>
    <t>Question 47</t>
  </si>
  <si>
    <t>Question 48</t>
  </si>
  <si>
    <t>Primary KC (matrix multiplication) is not satisfied because the question requires an element-wise (Hadamard) product, not a standard matrix multiplication, which is the expected KC for O-level matrix multiplication. The Hadamard product is not formally part of the standard curriculum at this level and does not meet the intended KC.</t>
  </si>
  <si>
    <t>Question 49</t>
  </si>
  <si>
    <t>Minh</t>
  </si>
  <si>
    <t>Primary KC Alignment: The problem requires dividing 624 (a 3-digit number) by 8, which is a 1-digit divisor. However, the answer for 624 [FORMULA] 8 is 78, which is not up to 3 digits (since 78 is only 2 digits), so it does not fully require division of a 3-digit number by a 1-digit number in the expected context of difficulty (likely targets Primary 3, but the division gives a 2-digit answer).</t>
  </si>
  <si>
    <t>D-0 The topic is 'household finance such as income, utility bills, money, interest, savings, instalment, mortgage, financial planning etc.' but the problem is about personal spending of pocket money, which is not typically classified as household finance. Household finance refers more to issues concerning the management of money by a household or family, not individual personal expenditures of pocket money.</t>
  </si>
  <si>
    <t>4: The context of the problem does not relate to 'household finance' as specified. It is about the total number of soap bars, not tracking spending, budgeting, income, or any financial aspect. The problem is about quantities, not financial calculations.</t>
  </si>
  <si>
    <t>Secondary KC Alignment: The solution does not require subtracting fractions, only multiplication of fractions and subtraction of whole numbers, so the requirement of explicitly subtracting fractions is missing. Synergy: The problem does not require an interconnected use of the primary (fraction multiplication) and secondary (fraction subtraction) KCs—the subtraction step does not involve fractions as required by the secondary KC.</t>
  </si>
  <si>
    <t>Primary KC Alignment: For the amount ($12 [FORMULA] 2[FORMULA]$), it's multiplying a whole number (12) by a mixed number, but it's more directly about money calculation and does not require the specific skill of multiplying two fractions or a fraction and a whole number as intended. The multiplication here is not between two fractions but between a whole number and a mixed number (which is correct context but not maximally challenging for Primary 5 level on KC). Secondary KC Alignment: There are only whole numbers in both options for part (b). The comparison needed is between $30$ and the actual price (likely $30$ as well), with no fractions actually compared or ordered as per secondary KC. Synergy: The secondary KC is not used in the solution process—the information from part (a) and the maths required does not demand comparison or ordering of fractions, only comparison between two whole number amounts.</t>
  </si>
  <si>
    <t>4: The context of the word problem (buying rice and its weight) does not align with 'household finance' topics such as money transactions, utility bills, savings, or financial planning. Instead, it fits more into everyday life or shopping rather than financial literacy.</t>
  </si>
  <si>
    <t>Primary KC alignment is 0: The main calculation is multiplying two decimals (132.768 × 0.183), but this does not involve multiplying a decimal by 10, 100, 1000 or their multiples as the intent states. It is simply multiplying two decimals. Thus, the problem does not require the specific KC of 'multiplying decimals (up to 3 decimal places) by 10, 100, 1000 and their multiples.'</t>
  </si>
  <si>
    <t>6. Real-World Feasibility: Amount $187.250 is not feasible as Singapore currency uses only 2 decimal places. Realistic money values would use $187.25 or $187.20 instead. 10. Language Quality: Use of '$187.250' is a formatting/notation error; standard money amounts do not contain 3 decimal places (in Singapore).</t>
  </si>
  <si>
    <t>4: The word problem is centred around sharing cake after a family gathering, which is not related to the intended topic of household finance such as income, utility bills, money, interest, savings, instalment, mortgage, or financial planning.</t>
  </si>
  <si>
    <t>D- The context is not aligned with the intended topic 'Household finance such as income, utility bills, money, interest, savings, instalment, mortgage, financial planning etc.' even though it is related to household chores; repacking detergent is not directly a finance context as required. The word problem is about volume measurement and fractions, not about a financial matter.</t>
  </si>
  <si>
    <t>Secondary KC Alignment (0): Subtraction is not needed in this question. The problem only requires finding the 'whole' given a part and a percentage. Synergy (0): Only percentage calculation is required; subtraction is not integrated at any point in the solution.</t>
  </si>
  <si>
    <t>Question 50</t>
  </si>
  <si>
    <t>Question 51</t>
  </si>
  <si>
    <t>Question 52</t>
  </si>
  <si>
    <t>Question 53</t>
  </si>
  <si>
    <t>Question 54</t>
  </si>
  <si>
    <t>Synergy:  The two parts (a) and (b) are independent; the result of (a) is not required to solve (b) and vice versa. There is no interdependence between the sub-questions as required by the synergy criterion.</t>
  </si>
  <si>
    <t>Question 55</t>
  </si>
  <si>
    <t>Question 56</t>
  </si>
  <si>
    <t>Question 57</t>
  </si>
  <si>
    <t>Question 58</t>
  </si>
  <si>
    <t>Question 59</t>
  </si>
  <si>
    <t>Question 60</t>
  </si>
  <si>
    <t>Question 61</t>
  </si>
  <si>
    <t>Primary KC Alignment: The main mathematical operation required is matrix subtraction, not multiplication. Though multiplication is mentioned, the actual method asked to sum the columns for combined expenses per category does not require matrix multiplication (it is simple summing of entries for each row). Thus, matrices multiplication is not essential or targeted in the construction of the word problem. Synergy: The solution does not require using both subtraction and multiplication in tandem to solve the question as phrased. Subtraction is used (to get C), but the calculation of the row vector (total change) is just adding the two person’s results per row, not multiplying matrices, so synergy between the two KCs is not required.</t>
  </si>
  <si>
    <t>Question 62</t>
  </si>
  <si>
    <t>Question 63</t>
  </si>
  <si>
    <t>4: The context is about allowance and saving, which relates to money, but the scenario focuses on probabilistic decision-making about saving, not directly on household finance aspects like income, bills, or concrete financial planning. This doesn't fully fit the intended topic of household finance context; rather, it is about probability events involving saving, not actual income/saving calculations or planning.</t>
  </si>
  <si>
    <t>Sarah</t>
  </si>
  <si>
    <t>4: The problem involves buying light bulbs and calculating the total number, but it does not involve any aspect of household finance such as income, bills, money management, or financial planning. It only asks about quantity, not financial cost or management.</t>
  </si>
  <si>
    <t>A: The weekly reward is $8 and is given for 5 weeks. The solution requires multiplying 8 x 5 (which is multiplying a 1-digit by a 1-digit number, not up to a 3-digit number as intended by the primary KC). Therefore, the multiplication here does not fully exercise the intended KC (multiplying whole numbers up to 3 digits by 1 digit); it only goes up to 2 digits in the product. All other criteria are satisfied.</t>
  </si>
  <si>
    <t>4- Topic Alignment: The problem is about pocket money spent on a storybook and a pencil, which is NOT within the intended topic of 'Household finance' like income, bills, financial planning, etc. It fits 'personal finance' for children, but not household finance.</t>
  </si>
  <si>
    <t>Secondary KC Alignment: The step of adding all shares together essentially reverses the division (multiplying back by 4), and then the final step is just adding $108, which is a simple calculation that does not require structured use of addition as a secondary KC; the main challenge is division. Synergy: The two KCs are not needed in tandem—the division is undone before addition is used.</t>
  </si>
  <si>
    <t>4: The scenario involves sharing coins and donating to charity, but it does not clearly fit into household finance or concepts like income, bills, or financial planning—it's more of a generic sharing and donation context.</t>
  </si>
  <si>
    <t>A. Answerability: 0. The problem states that Sarah spent 3/4 and 2/3 "of her weekly pocket money" on two things in the same week, but this sums to more than 1 whole pocket money, which is not possible (B). Primary KC Alignment: 0. The subtraction of unlike fractions is not required since scenario is already not possible and the sum exceeds the whole; therefore, the primary KC is not used for intended difficulty. F. Real-World Feasibility: 0. Spending more than the total pocket money in a single week is not realistic (A). G. Synergy: 0. As the primary KC is not necessary, there is no synergy.</t>
  </si>
  <si>
    <t>Primary KC Alignment (0): The subtraction involves more than 2 decimal places, specifically in $54.105$, which would require subtraction of decimals up to 3 decimal places. This does not match the intended primary knowledge component of subtracting decimals up to 2 decimal places only. Grade Alignment (0): Primary 4 students in Singapore are generally only expected to handle decimals up to 2 decimal places, especially in the context of money. The amount $54.105$ includes 3 decimal places, which exceeds the syllabus requirement.</t>
  </si>
  <si>
    <t>Primary KC Alignment 0: The price of box of cookies is $7.350, which is up to 3 decimal places, but Primary 4 focus is on multiplying decimals up to 2 decimal places. Also, numbers like $7.350 are not required by curriculum at this grade; this exceeds syllabus. Additionally, multiplying $4.25 x 3 and $2.49 x 2 is appropriate for this KC, but the question never specifically requires these calculations to answer the main required questions, since it eventually only asks for most/least expensive item (which does not require multiplication), and whether Sarah can afford all. Grade Alignment 0: Same as above, numbers with 3 decimal places and a price formatted as 7.350 are not aligned with P4 syllabus; word problems at this level use up to 2 decimal places.Synergy 0: The multiplication of decimals by whole numbers is not needed to answer which is most/least expensive (comparison), as this only requires looking at single unit prices, making the use of Primary and Secondary KCs not synergistic in the problem.Language Quality 0: '$7.350' is not a correct way to write money values in Singapore context (should be $7.35), which is confusing and grammatically incorrect in presenting monetary values.</t>
  </si>
  <si>
    <t>4: The problem is about using and converting measurements of cooking oil, not about household finance concepts such as income, bills, savings or financial planning.</t>
  </si>
  <si>
    <t>4. Topic Alignment: - The context is about household use of rice, but it does not specifically involve household finance topics like income, bills, money, savings, or financial planning. The problem is about rice consumption, which relates more to daily living than explicitly to household finance as defined in the criteria.</t>
  </si>
  <si>
    <t>B1. The problem does require multiplying a decimal (3.285) by a whole number (31), but neither part (a) nor (b) requires multiplication by 10, 100, 1000, or strictly their multiples; instead, it utilizes more general multiplication of a decimal by a double-digit number, which may not strictly target the intended Primary KC.</t>
  </si>
  <si>
    <t>Primary KC Alignment: The multiplication required is $2.37 [FORMULA] 100$, which tests knowledge of multiplying by a power of 10, but not up to 3 decimal places by 10, 100, 1000, or their multiples with a non-integer multiplier as would be expected at P5 level. Typically, P5 expects more complex decimals or non-integer multipliers multiplied by 10, 100, or 1000; this operation is very straightforward and may under-challenge the intended difficulty.</t>
  </si>
  <si>
    <t>3: Secondary KC subtracting decimals is not necessary because the question asks 'How much less electricity,' and gives 'Mrs Lim used x less than y', so the actual computation is just division to find out the difference (x/10), not a subtraction between two values. 7: Synergy is lacking because the student only needs to divide 245.370 by 10 to answer the specific question, not use both KC in tandem.</t>
  </si>
  <si>
    <t>D4- Topic Alignment: The problem is about cake and sharing food, not about household finance such as income, utility bills, money, interest, savings, instalment, mortgage, or financial planning, so it does not align with the specified topic.</t>
  </si>
  <si>
    <t>Primary KC Alignment (0): The intended type is 'finding the missing term in a pair of equivalent ratios', but the question is more of an application and checking consistency with a ratio after a subtraction, rather than setting up and solving for a missing term within a simple equivalent ratio pair. Synergy (0): The solving process involves subtracting the amount Amy spends and then looking at the new ratio, but solving for Amy’s amount left after spending is actually just straightforward subtraction, not requiring finding a missing term in an equivalent ratio in tandem with subtraction.</t>
  </si>
  <si>
    <t>Synergy=0: The two parts (median and range) are not dependent on each other; each can be solved independently, so the results of one part are not needed for the other.</t>
  </si>
  <si>
    <t>Question 64</t>
  </si>
  <si>
    <t>Secondary KC Alignment=0: The problem requires only subtraction to find out how much Sarah spent before her father gave her extra money; addition is not necessary to solve the problem. Synergy=0: There is no need to use both addition and subtraction together for this problem to be solved—the extra money from the father is not used in the calculation.</t>
  </si>
  <si>
    <t>4. Topic Alignment = 0: The problem is about sharing candies and not related to household finance topics like income, bills, money management, or financial planning as specified.</t>
  </si>
  <si>
    <t>4- Topic is household finance, but the question is about counting light bulbs, not related to finance topics like savings, bills, money, or planning.</t>
  </si>
  <si>
    <t>3,7: The secondary KC of subtraction is not necessary to solve for the amount each child receives—the problem can be solved solely with division. Synergy fails because knowledge of subtraction is not required, and no connected multi-step question involving subtraction is present.</t>
  </si>
  <si>
    <t xml:space="preserve">Primary KC: The electricity bill for July uses a value with 3 decimal places ($45.605$), but the intended difficulty is for adding decimals up to 2 decimal places only, which is violated. Secondary KC: The comparison requires comparison of $45.60$ and $45.605$ (2 vs 3 decimal places), but at the P4 level, students may not have been taught to compare decimals beyond 2 decimal places, especially when extra digits do not realistically occur in Singaporean utility billing.Grade alignment: Use of $45.605$ is not appropriate for P4 standard practice, which expects decimals up to 2 decimal places for money calculations.Real-world feasibility: In real-world utility bills, especially in Singapore, currency is not denominated to 3 decimal places; bills are always rounded to 2 decimal places. Thus, $45.605$ is not plausible. </t>
  </si>
  <si>
    <t>G: The two parts (a) and (b) are independent; the answer to (a) does not need (b) and vice versa. The fraction in part (b) is not required for solving part (a), so synergy between primary/secondary KCs is not achieved.</t>
  </si>
  <si>
    <t>answerability: Value '$1[FORMULA]$ of her budget' and '$2[FORMULA]$ of her budget' result in sums greater than 1 whole budget, which is illogical for expenses unless explained (exceeds 100% of the budget); unit phrasing is ambiguous (should be fractions of her budget or actual values). primary_kc_alignment: Since the fractions are of the same quantity and both are over 1 (more than the entire budget), the addition lacks real relevance and context, and the phrasing makes it unclear—also, you are not actually adding mixed numbers that make sense in this context. secondary_kc_alignment: Since the fractions are not directly compared as fractions but as labels for amounts (with the same denominator 'of her budget'), the comparison is less meaningful or even misleading, especially since both are greater than 1. synergy: The answer to (a) does not help answer (b); the two sub-questions work independently. real_world_feasibility: No one spends more than their total budget on individual items and certainly not 1 and 2 times the entire budget in a single month; the scenario is unrealistic.</t>
  </si>
  <si>
    <t>C3: The comparison required is between a whole number (90) and the amount saved, which would be a whole number after multiplying the fraction by $120. This does not require use of comparing and ordering fractions, so the intended secondary KC is not targeted. C7: The use of comparison is not dependent on the understanding or outcome of the multiplication step; once the product is known, the comparison is trivial and does not require knowledge of fractions comparison/order.</t>
  </si>
  <si>
    <t>Secondary KC Alignment: No addition of fractions is required to solve the problem—only sequential multiplication and subtraction. Synergy: Since the Secondary KC (Addition of Fractions) is not involved, the two components do not work together in the word problem.</t>
  </si>
  <si>
    <t>Primary KC Alignment(0): To multiply two improper fractions, you need two fractional numbers as factors. Here, the multiplication required is a whole number (3) times an improper fraction ($[FORMULA]$), NOT two improper fractions.[FORMULA] KC Alignment(0): Addition of fractions is not required to solve any step in this word problem; only multiplication and subtraction of fractions are needed.[FORMULA] Alignment(0): The context is about buying fruit juice for a gathering, which fits a real-world context but is NOT connected to household finance topics such as income, bills, savings, etc.</t>
  </si>
  <si>
    <t>A.1: The word problem is not answerable because the fractions 7/4 and 5/3 both exceed 1, and sum to more than her total savings, which is impossible (she cannot spend more than she has). A.2: The main calculation involves multiplying by improper fractions greater than 1, which is not suitable for the context and is mathematically incoherent for the scenario. A.3: Instead of requiring subtraction of fractions, the solution would only require subtraction of resulting dollar values, not a meaningful use of fraction subtraction. A.5: This type of mistake with improper fractions and financial context is not suitable for Primary 5. A.6: The situation is unrealistic as someone cannot spend more than their total savings. A.7: There is no authentic synergy as the fraction subtraction does not meaningfully contribute to solving the problem. A.8: The description is confusing due to the misuse of fractions (improper, sum over 1, not logical in context).</t>
  </si>
  <si>
    <t>4- The context is about baking and using chocolate, which does not explicitly relate to household finance (topic intended: income, utility bills, money, interest, savings, instalment, mortgage, financial planning etc). It is more about baking and ingredient usage, not financial matters.</t>
  </si>
  <si>
    <t>Primary KC alignment = 0 because the question does not explicitly require multiplying a decimal by 10, 100, 1000 or their multiples. Part (a) asks to multiply two decimals ($3.75 [FORMULA] 100 [FORMULA] 0.174$), but the direct multiplication by 10, 100, or 1000 is not the necessary step, merely multiplying decimals and whole numbers. If the intention was to focus practice on multiplying decimals by 10, 100, or 1000, the question should highlight such operation.</t>
  </si>
  <si>
    <t>Primary KC Alignment: The question requires multiplying 73.245 by 0.15, but this is not multiplication by 10, 100, 1000, or their multiples, as specified in the intended primary KC. It is just multiplying decimals, not with base-10 numbers. Synergy: There is no actual need to subtract the service fee from the initial calculated cost since the description says the fee should be included but Mr Lim subtracts it in his calculation, which is illogical. The problems do not require using both multiplication by multiples of 10 and subtraction in tandem for the solution.</t>
  </si>
  <si>
    <t>Primary KC Alignment: The problem deals with dividing a mixed number (improper fraction) by a whole number, not a proper fraction as specified by the intended KC. Topic Alignment: The context is school fundraising, baking, and donation, which is not related to household finance as intended (i.e., not about money, bills, income, etc.).</t>
  </si>
  <si>
    <t>Primary KC Alignment (0): The question requires dividing $120 by [FORMULA] [FORMULA] 120$, which is a whole number divided by a whole number, not a proper fraction. Division of a whole number by a proper fraction (intended KC) does not occur. | Secondary KC Alignment (0): The subtraction required is whole number minus whole number, not involving fraction subtraction (i.e. not subtracting fractions). | Synergy (0): The two questions are sequential but do not require using both KC (division and fraction subtraction) together – only basic arithmetic with some fractions.</t>
  </si>
  <si>
    <t>answerability: (b) is ill-posed: 'divided by 3/4' asks for $40 [FORMULA] 3/4 = 53.333$ which is not what was described in the scenario; contextually, each child is supposed to get 3/4 of their planned amount, not more. The question asks for an operation not supported by the context, leading to conflicting requirements. primary_kc_alignment: The problem does not require dividing a whole number or fraction by a fraction in a natural scenario (it actually requires multiplying by 3/4 to find the new amount given), so the target KC is not necessary. synergy: The secondary KC (conversion to decimals) appears only in part (b), but does not connect meaningfully with part (a) because the operation is not the right one for the context (division by 3/4 is divorced from the actual problem posed). clarity: The wording of (b) is misleading and mathematically incorrect with respect to the scenario. conciseness_and_relevance: The question (b) introduces irrelevant and confusing calculations that are not needed for the scenario, reducing relevance. language_quality: Q (b) has grammatical and conceptual flaws ("divided by 3/4" does not fit the context, confusing students).</t>
  </si>
  <si>
    <t>3. Although three expense values are mentioned, only the electricity bill (with its percentage) is necessary to solve for total monthly household expenses; addition of groceries and transport spending is not required for the solution as currently written. 7. The solution does not need to use addition (secondary KC) in tandem with the percentage calculation (primary KC); groceries and transport spending are extraneous for finding the required total.</t>
  </si>
  <si>
    <t>2. The intended primary knowledge component is multiplication of matrices (matrix multiplication in the linear algebra sense, i.e., the dot product of rows and columns using the standard definition), but the problem uses element-wise (Hadamard) multiplication instead, which is a different operation. Element-wise multiplication is not the standard 'multiplication of matrices.' This misalignment is not suitable at O-level if the intention is to test matrix multiplication as per curriculum.</t>
  </si>
  <si>
    <t>primary_kc_alignment: The problem requires dividing 624 (3 digits) by 8 (1 digit) to find the price of one chair, which aligns with Primary KC. However, the intent is for division up to 3 digits by 1 digit, but 624 divided by 8 gives 78, which is a 2-digit number. The wording 'dividing whole numbers up to 3 digits by 1 digit' focuses on the size of the dividend, but for Primary 3, division of 3-digit numbers like 624 is typically introduced in Primary 4 in Singapore. Therefore, this may not be fully suitable for Primary 3. grade_alignment: Division of 3-digit numbers (624 by 8) may not be appropriately aligned with the Primary 3 syllabus in Singapore, where 2-digit by 1-digit division is standard. synergy: Primary KC (division) and Secondary KC (multiplication) are not tightly coupled; you can solve the price for 6 more chairs with only multiplication once the price of one is found, but the two concepts don't require tandem or interdependent use.</t>
  </si>
  <si>
    <t>D* The context is about spending pocket money on snacks and a storybook, which is more of a consumer spending scenario rather than explicitly about household finance (e.g., income, bills, savings, or financial planning). The context does not closely align with the household finance topic specified.</t>
  </si>
  <si>
    <t>4: The context is about counting soap bars purchased in different packages, not household finance. No mention of money, spending, or financial planning is present. It is only arithmetic with daily items, not explicitly household finance.</t>
  </si>
  <si>
    <t>G. The two parts (a) and (b) are independent. The answer to (a) is not required to solve (b), nor vice versa. There is no synergy in requiring both the Primary and Secondary KCs together for a single, integrated solution.</t>
  </si>
  <si>
    <t>2: The calculation in (a) only requires multiplying a whole number by a mixed number ($12 [FORMULA] 2[FORMULA]$), but the intent was for the student to multiply a mixed number by a whole number, that is, $2[FORMULA] [FORMULA] 12$. This subtlety fails strict alignment to the primary intended KC. 3: The comparison in (b) is between whole numbers ($30 vs $12x2.5=$30). There are no fractions to compare or order, so the secondary KC is not necessary to solve this problem. 7: There is no synergy between primary and secondary KC because secondary KC is not required to solve or inform the answer in either part; both options are easily compared as whole numbers.</t>
  </si>
  <si>
    <t>D-4: The word problem describes buying rice, which relates to household consumption but does not clearly fit the explicit household finance topics (income, utility bills, money, interest, savings, instalment, mortgage, financial planning, etc) as specified. It focuses on quantity/weight, not money or explicit financial planning.</t>
  </si>
  <si>
    <t>2: The multiplication is multiplying 132.768 by 0.183, which is not multiplying decimals by 10, 100, 1000 or their multiples, as specifically required by the intended Primary KC.</t>
  </si>
  <si>
    <t>Clarity: The stated amount '$187.250' is ambiguous—it's more typical and clearer in Singapore finance context to write this as $187.25 (two decimal places for currency). Using three decimal places for SGD in a real-world setting is not standard and likely to confuse students. | Conciseness and Relevance: The '.250' at the end introduces unnecessary complexity and is unrealistic for cash-related contexts, as Singapore dollars are not used in thousandths (no 0.001 cent coins or bills). | Language Quality: There are minor errors in usage of decimals and in the phrase 'saved $187.250 in her savings account' which would not be written like this in standard English. Standard usage would be 'saved $187.25'.</t>
  </si>
  <si>
    <t>4: The context is about sharing cake at a family gathering, which does not relate to household finance topics like income, utility bills, money, interest, savings, instalment, mortgage, or financial planning.</t>
  </si>
  <si>
    <t>4: The problem is about repacking detergent, not household finance related to income, utility bills, money, interest, savings, instalment, mortgage, or financial planning. It does not fit the financial context specified in the intended topic (4).</t>
  </si>
  <si>
    <t>Secondary KC Alignment (WHOLE NUMBERS | Subtraction) and Synergy: The word problem only requires the use of the percentage knowledge component to find the total utility bill (the whole), given a part and percentage. There is no need to perform any subtraction operation with whole numbers in both understanding or solving the question. Therefore, the problem does not involve the intended secondary KC (subtraction), and the primary and secondary KCs are not used in tandem.</t>
  </si>
  <si>
    <t>Synergy: The two parts (a) and (b) are independent; solving (a) does not provide any information required for solving (b), nor vice versa. Both are standalone probability questions.</t>
  </si>
  <si>
    <t>D1- Topic alignment: The problem is about counting light bulbs and does not involve any household finance aspect such as money, bills, savings, etc. It does not match the intended topic of household finance.</t>
  </si>
  <si>
    <t>Primary KC Alignment: The problem only involves basic multiplication of 8 (Sarah's weekly reward) by 5 (weeks), i.e. 8 x 5, which is a 2-digit number multiplied by a 1-digit number. The stated intended level is up to 3-digit by 1-digit multiplication. However, the actual operation is below this level, not requiring multiplication of up to 3-digit numbers. This does not fully exercise the intended KC.</t>
  </si>
  <si>
    <t>D- The context is described as buying a storybook and a pencil with pocket money. However, the Intended Topic is 'Household finance such as income, utility bills, money, interest, savings, instalment, mortgage, financial planning etc.' The problem does not address household finance, focusing instead on personal expenditure by a child.</t>
  </si>
  <si>
    <t>4- The scenario involves sharing a jar of coins and giving to charity, which is not directly related to the specified topic of 'Household finance' such as income, utility bills, savings, etc. The focus is on fraction manipulation, not on practical financial planning or management.</t>
  </si>
  <si>
    <t>answerability- The problem says Sarah spent 3/4 AND 2/3 of her pocket money, which together is more than the whole amount; it is not logical unless fractions are calculated from the remaining amount, not the whole. primary_kc_alignment- The main operation actually required is to add 3/4 and 2/3, but since their sum is &gt;1, subtraction as a main skill is not possible or required here. grade_alignment- Requires understanding of improper fraction results, which may be beyond typical Primary 4 expectations, and the context (overspending) is illogical for that level. real_world_feasibility- One cannot spend more than one whole of something in a normal household finance context unless borrowing is explicitly stated. synergy- There is no real synergy: addition is done, but subtraction from 1 becomes illogical because the sum of fractions (1+5/12) exceeds 1; thus, two skills can't be used meaningfully together.</t>
  </si>
  <si>
    <t>answerability: The units given ($54.105) are not realistic for money as cents should have two decimal places. The question asks about the highest bill 'last month' but does not provide that value, making (b) unsolvable. primary_kc_alignment: The subtraction is not on decimals up to 2 decimal places because $54.105 is given, which is to 3 decimal places and is not valid for money. grade_alignment: Primary 4 students in Singapore are typically only expected to work with decimals to 2 decimal places for money. real_world_feasibility: Utility bills and money should always be limited to two decimal places (cents), so $54.105 is not possible in real life.</t>
  </si>
  <si>
    <t>Primary KC Alignment: The multiplication required in this problem involves multiplying 4.25 (2 decimal places) by 3 and 2.49 (2 decimal places) by 2, which is aligned. However, the price of cookies is $7.350 (3 decimal places), and multiplying by 1 (implicitly) is not necessary; thus, the main calculation could bypass meaningful multiplication by a 1-digit number if the student just reads the prices. It also violates the requirement for numbers up to 2 decimal places. Grade Alignment: The inclusion of $7.350 (3 decimal places) is not aligned with the Primary 4 progression, which expects decimals only up to 2 decimal places. Synergy: The problem parts are not fully synergistic; the comparison and affordability questions can be answered independently, i.e., one does not require the solution of the other directly. Language Quality: The price '7.350' uses 3 decimal places and is not standard currency formatting. This is an error for grade level and correctness.</t>
  </si>
  <si>
    <t>4: The context is about consumption of cooking oil, which is a household scenario but does not specifically tie into household finance (like income, bills, or savings). The problem is about measuring the usage of a resource rather than a financial transaction or calculation.</t>
  </si>
  <si>
    <t>4: The problem is set in a household context, but does not align with 'Household finance' because it does not touch on financial aspects like money, bills, or savings; it concerns only consumption of rice, not finance.</t>
  </si>
  <si>
    <t>2. The main multiplication operation is $3.285 [FORMULA] 31$ and $3.285 [FORMULA] 0.19$. Multiplication by 31 and 0.19 are not multiplying by 10, 100, 1000 or their exact multiples. The problem does not require multiplying by 10, 100, or 1000, so it does not target the intended primary knowledge component.</t>
  </si>
  <si>
    <t>Language Quality: The amounts use a decimal comma (e.g. $124.500$) which is not the standard currency format in Singapore, where the decimal point is used (e.g. $124.500 should be $124.50 or at most $124.500 only if contextually supporting 3 decimal places in currency). Currency is typically given to two decimal places unless otherwise stated. This may confuse students.</t>
  </si>
  <si>
    <t>4: The topic is not aligned. The scenario is about baking and cutting cake, which does not relate to household finance topics such as income, utility bills, money, interest, savings, instalment, mortgage, financial planning etc.</t>
  </si>
  <si>
    <t>1. The problem is not answerable (answerability=0) because after Amy spends $15 the new total ratio of both girls' savings is not 5:3 unless new information is provided about Amy's subsequent savings. The question asks how much Amy has left if the ratio remains 5:3, but this cannot be achieved after her spending unless Amy or her sister changes their savings, which contradicts what is stated. 2. It does not satisfy Primary KC Alignment (primary_kc_alignment=0) because solving for the missing term in a pair of equivalent ratios can't be applied after subtraction, as the ratio is altered by the spending and the constraints are contradictory. 3. Real-World Feasibility (real_world_feasibility=0): The scenario is not feasible; if Amy saves less by spending before the savings, the ratio cannot mathematically remain 5:3 unless the amount saved by her or her sister changes accordingly, which is not supported by the context. 4. Synergy (synergy=0): Since the result of the subtraction breaks the ratio’s equivalence, the ratio and subtraction KCs do not work in tandem—the logic chain is broken. 5. Clarity (clarity=0): The phrasing 'the ratio...remains 5:3' is ambiguous/conflicting given the spending action described.</t>
  </si>
  <si>
    <t>Synergy=0: The two parts (median and range) can be solved independently. The answer from part (a) is not required to solve part (b), and vice versa. There is no dependency between the two sub-questions.</t>
  </si>
  <si>
    <t>Secondary KC Alignment: The problem only requires initial subtraction (2450-21535), so addition of whole numbers is not needed. Synergy: Only the primary KC is required, so both KCs are not used in tandem.</t>
  </si>
  <si>
    <t>D4: The topic is household finance, involving money or financial planning, but the problem is about candies being distributed among children with no connection to financial concepts.</t>
  </si>
  <si>
    <t>4: The context is buying light bulbs for a house, which is general shopping, not specifically household finance such as income, bills, interest, savings, instalment, mortgage, or financial planning. Therefore, it does not align with the intended topic.</t>
  </si>
  <si>
    <t>secondary_kc_alignment- The use of subtraction (to subtract household expenses from monthly salary) is not required to find out how much each child receives; only division is necessary. synergy- Only the primary knowledge component (division) is required to answer the problem; there is no dependency between division and subtraction, nor is subtraction needed to solve for what each child received.</t>
  </si>
  <si>
    <t>Primary KC Alignment: Question (a) is aligned but question (b) presents a bill with three decimal places ($45.605) when all Singapore currency transactions are expressed up to 2 decimal places, making it misaligned with 'adding decimals (up to 2 decimal places)'.Secondary KC Alignment: Comparison involves 3 decimal places, but it is not relevant to actual currency context and exceeds the secondary KC expected difficulty and context for P4.Grade Alignment: The use of $45.605 is not appropriate for Primary 4 as Singapore currency and school curriculum always uses 2 decimal places for money; comparison beyond 2 dp is outside grade and context.Real-World Feasibility: Utility bills are never stated or paid to 3 decimal places for Singapore dollars ($45.605 impossible/illogical in real-life).</t>
  </si>
  <si>
    <t>Secondary KC Alignment(0): The problem involves comparing two whole numbers (40 from savings, and 090), not comparing or ordering fractions. Synergy(0): The comparison step does not require explicit use of the secondary KC (comparing/ordering fractions), only the result of fraction multiplication is used.</t>
  </si>
  <si>
    <t>Secondary KC Alignment (0): The problem only requires repeated multiplication of fractions and does not require addition of fractions at any point.///Synergy (0): Since only multiplication of fractions is used at each stage, there is no need to combine multiplication and addition of fractions to solve for the final answer.</t>
  </si>
  <si>
    <t>2: The problem only requires multiplication of a fraction by a whole number, not multiplying two fractions together as intended in the primary KC. 3: No addition of fractions is necessary; the problem solely involves multiplication and subtraction. 4: The scenario is about fruit juice purchase/consumption, not about household finance matters such as bills or money. 7: The questions are sequential but do not require both intended KCs synergistically, as there is no required addition of fractions or multiplication of two fractions.</t>
  </si>
  <si>
    <t>A: The fractions \([FORMULA]\) and \([FORMULA]\) imply she spends more than her total savings (1 whole) on utilities or groceries, which is impossible and creates a logical conflict.  B: To solve, direct multiplication with \([FORMULA]\) and \([FORMULA]\) is not appropriate, as they exceed 1, and thus do not align with the intended Knowledge Component of multiplying two improper fractions in a meaningful or logical way for P5 math.  C: Subtraction of the 'utilities' and 'groceries' amounts does not require subtraction of fractions, since both are calculated as amounts in dollars. S: Even if calculations were possible, the fractions provided do not produce physically meaningful values, and the required operations (multiplying and subtracting fractions) are not appropriately integrated. G: Primary 5 students are not expected to work with improper fractions greater than 1 when representing parts of a whole, and the scenario is unrealistic for their level. R: No household would allocate more than 100% of savings to either utilities or groceries, so these numbers are not feasible. C: Ambiguity arises as the fractions exceed 1, causing confusion about how the money could be allocated.</t>
  </si>
  <si>
    <t>4: The context is about baking and measuring chocolate, not on household finance (income, bills, savings etc), so it does not align with the intended topic.</t>
  </si>
  <si>
    <t>Primary KC Alignment: The multiplication required is $3.75 [FORMULA] 0.174 [FORMULA] 100$, which involves multiplying decimals, but not specifically by 10, 100, 1000 and their multiples as per the intended Primary KC. The most challenging multiplication is not the focus skill intended. Synergy: The two parts (a) and (b) are independent and not linked; the answer from one is not required for the other.</t>
  </si>
  <si>
    <t>Primary KC Alignment: The core multiplication done here is $73.245 [FORMULA] 0.15$, which does not qualify as 'multiplying decimals by 10, 100, 1000 or their multiples'; it is general decimal multiplication, not multiplication by powers of ten. Synergy: The subtraction of $1.80$ is not mathematically synergistic with the multiplication; the result of the multiplication is not needed to correctly perform the subtraction operation (the subtraction is said to be from his cost calculation, but the logic requires him to ADD the service fee, not subtract it, so the required relationship between KC's is not clearly aligned).</t>
  </si>
  <si>
    <t>4: The context is about baking for a school fundraiser and distributing cookies, not related to household finance or any of the listed financial topics (such as income, bills, or savings).</t>
  </si>
  <si>
    <t>Primary KC Alignment: The calculation required to find how many months $120 can pay for is $120 [FORMULA] (3/4 [FORMULA] 120)$, which simplifies to $120 [FORMULA] 90 = 1.33...$, and NOT a whole number divided by a proper fraction as specified. The phrasing and construction do not enforce the need to divide by a fraction. Secondary KC Alignment: The problem only requires simple subtraction of whole numbers ($120 - 2 [FORMULA] 90 = $ amount left) and NOT the explicit subtraction of fractions as a requisite. Synergy: The knowledge components (dividing a whole number by a fraction and subtracting fractions) are not used in tandem to produce an answer; instead, each operates in isolation if at all.</t>
  </si>
  <si>
    <t>answerability (Qb: 'divided by 3/4' illogical since child is receiving 3/4 of what was planned; question suggests more money than original; mismatched scenario)+primary_kc_alignment (no requirement to divide by a fraction in any step; only multiply by a fraction)+synergy (subquestion (b) does not logically follow from (a))/clarity (part b's intent is ambiguous and mathematically inconsistent)/conciseness_and_relevance (part b is not relevant to the scenario and introduces confusion)/language_quality (part b is grammatically and mathematically confusing)/</t>
  </si>
  <si>
    <t>Secondary KC Alignment (0): The secondary knowledge component is 'adding whole numbers.' However, to answer the only question posed ('What is the total amount Alice spent on her household expenses this month?'), students only need to find the whole given a part and percentage—they do not have to add the amounts spent on groceries and transport, as these are distractions. There is no requirement to add multiple amounts to solve the problem. Synergy (0): Both the Primary and Secondary KCs are not used in tandem; only percentage calculation is needed, and the additional values (groceries, transport) are not required to solve the question.</t>
  </si>
  <si>
    <t>primary_kc_alignment: The problem specifies 'multiplication of matrices' as the intended Primary KC, but the operation required is the element-wise (Hadamard) product, not the standard matrix multiplication. O-levels syllabus expects matrix multiplication in the sense of row-by-column, not Hadamard product (element-wise multiplication), so the primary KC is misaligned for Singapore's secondary curriculum.</t>
  </si>
  <si>
    <t>primary_kc_alignment: The problem requires dividing 624 by 8. 624 is a 3-digit number, but in Singapore Primary 3 curriculum, division should be by a 1-digit number. While 624 ÷ 8 matches this, the context (using $624 and division to find price per chair) might be slightly abstract for P3 unless they have already seen such money problems; contextually it's on the high end of difficulty but technically matches the KC. However, generally, price per unit scenario in P3 is introduced in P4. To be strict, if only strictly dividing up to 3 digits by 1 digit is intended, this narrowly fits, but for full alignment considering curriculum progression, this is not always expected at this level. synergy: The solution process here requires division (to find the price per chair) and then multiplication (to find the cost for 6 chairs), but these do not depend on each other's final result to start the next calculation—the multiplication is a continuation after division. However, it is marginal; the multiplication step directly uses the result from division. If synergy is interpreted as 'must use both in sequence,' this does apply, but if it requires more deeply integrated reasoning, it's weaker, so stricter marking gives 0 if strict definition is used.</t>
  </si>
  <si>
    <t>D4: The context is about buying soap bars, which relates to shopping, not specifically to household finance topics such as income, bills, or financial planning. It does not involve any money, savings, or financial detail.</t>
  </si>
  <si>
    <t>Synergy=0: The two parts (a) and (b) are not connected; the answer to part (a) is not needed to solve part (b), nor vice versa.</t>
  </si>
  <si>
    <t>Conciseness and Relevance: The problem asks the student to round the total expense to three different formats (nearest dollar, 1 decimal place, 2 decimal places). For Primary 4 in Singapore, requiring three different rounding formats in one question may be excessive and could be considered as overloading with repetitive tasks; educationally, this could be streamlined to just one or two, improving conciseness and focus.</t>
  </si>
  <si>
    <t>Primary KC Alignment: The problem requires dividing 36.45 by 5, which results in 7.29 (two decimal places). However, Primary 4 Singapore syllabus typically restricts the division of decimals by whole numbers to at MOST 2 decimal places IN THE QUESTION (i.e., numbers such as 36.45 divided by 5 are not standard; they usually involve dividends with 1 or 2 decimal places which divide evenly, e.g., 36.40 ÷ 5 = 7.28, 36.50 ÷ 5 = 7.30). In addition, requiring students to understand and perform the calculation 36.45 ÷ 5 = 7.29 is marginal for Primary 4 based on current MOE guidelines, so this should not appear as a routine item at that grade.</t>
  </si>
  <si>
    <t>Secondary KC Alignment: Mrs Lim is to use 1/4 of her total earnings to pay her electricity bill, and the question asks 'How much money does Mrs Lim have left after paying the bill?'. This calculation only requires subtracting the amount paid (which is a whole number) from the total (also a whole number), not subtracting fractions from each other. Only multiplication of fractions and whole numbers is needed. Synergy: Since the subtraction is just total - amount paid (both whole numbers), the process does not require both multiplication and subtraction of fractions to be used together.</t>
  </si>
  <si>
    <t>Primary KC Alignment: The problem asks for 2.5 (mixed number) x $12 (whole number), but it is a mixed number times a whole number, not a mixed number times a whole number as specified in the prompt; it meets this but does not require students to perform multiplication by decomposing the mixed number which is expected depth for P5. Secondary KC Alignment: The comparison is between dollar amounts, not fractions or mixed numbers or their ordering, thus not exercising comparison and ordering of fractions. Synergy: The secondary KC is not needed to solve the main problem nor to interpret the result—the two parts of the question are related through context but not through the mathematical operations required.</t>
  </si>
  <si>
    <t>4- The word problem is about buying rice for family use, but it does not relate to household finance topics such as income, bills, savings, financial planning, or similar. It is focused on quantity measurement rather than financial transactions or calculations.</t>
  </si>
  <si>
    <t>Primary KC Alignment: - The problem requires general multiplication with decimals (not necessarily by 10, 100, 1000 or their multiples, which is explicit in the intended primary knowledge component). Here, the multiplication is by 0.183, which is not a multiple of 10, 100, or 1000, so students are not required to use those specific strategies. Instead, it is just multiplying decimals generally.</t>
  </si>
  <si>
    <t>language_quality: The use of the value "$187.250" is not standard notation for money in Singapore or most countries. Typically, money is written as "$187.25" or "$187.25" (without the extra zero), as monetary values do not usually go to three decimal places. This could confuse students about proper decimal and financial notation.</t>
  </si>
  <si>
    <t>4: The context is not about household finance (income, bills, money, loans, financial planning, etc.), but about cake-sharing at a family gathering.</t>
  </si>
  <si>
    <t>4- The problem concerns repacking detergent and does not relate to household finance topics such as income, bills, money, interest, savings, or financial planning, thus the topic alignment fails.</t>
  </si>
  <si>
    <t>secondary_kc_alignment: The question only requires students to find the whole given a part and percentage, but there is no requirement for subtraction between whole numbers since it only asks for the total spent. synergy: Since subtraction is not required as part of the solution, Primary KC and Secondary KC cannot be used together in tandem.</t>
  </si>
  <si>
    <t>Synergy: 0. Both (a) and (b) are independent and do not require the result of one to solve the other. The answers to part (a) and (b) can be found separately without using information or answers from each other.</t>
  </si>
  <si>
    <t>Primary KC (matrix multiplication) is not actually required or used with correctness in the context described. The vector for change in total expenses per category (row sums) can be done by summing across rows (addition), not matrix multiplication. Subtraction is necessary, but multiplication by a column vector of ones to sum would be more concretely needed to demonstrate multiplication. Synergy not satisfied: The primary and secondary KCs are not needed in tandem; subtraction yields the difference matrix, then addition (not true matrix multiplication) provides the row sums.</t>
  </si>
  <si>
    <t>D- The problem is about counting light bulbs bought and already at home, not about finance, bills, income, interest, or any explicit financial concept. It does not align with 'Household finance' as intended topic.</t>
  </si>
  <si>
    <t>Primary KC Alignment: The problem only requires 8 x 5 (which is multiplying two single-digit numbers), but the intended primary KC is multiplying up to 3 digits by 1 digit. No such calculation is necessary or present, so it does not fully align.</t>
  </si>
  <si>
    <t>4: The context is about spending pocket money on a storybook and a pencil, which is personal expenditure, not directly aligned with household finance such as income, bills, savings, or broader financial planning. The context does not sufficiently address the 'household finance' topic as specified.</t>
  </si>
  <si>
    <t>Synergy = 0: The problem does not require the use of the result from division (individual share) as an input for the addition (total money). Since the question essentially asks to add Peter's total earnings and the savings, the step where the earnings are divided among siblings and then 'combined again' is unnecessary and convoluted. The two knowledge components are not used in tandem to reach the answer.</t>
  </si>
  <si>
    <t>D- While the question involves coins and charity, it does not clearly relate to household finance (such as income, bills, or savings) in a meaningful way. The scenario is about sharing and donation, not about typical financial planning or transactions discussed under the intended topic.</t>
  </si>
  <si>
    <t>A. Answerability: 0 - The problem asks students to add 3/4 and 2/3 as expenses from the same one 'whole' pocket money, resulting in a sum greater than 1 (i.e., spending more than all of her money). This is unrealistic and mathematically conflicts with the statement of 'one whole pocket money.'E. Grade Alignment: 0 - The problem expects students to process a situation where the sum of parts exceeds the whole, which is not typical or developmentally appropriate for Primary 4; financial contexts at this level should not present physically impossible outcomes to avoid confusion.F. Real-World Feasibility: 0 - It is not feasible for a person to spend more than their entire pocket money on two expenses in a week.</t>
  </si>
  <si>
    <t>primary_kc_alignment: The question requires subtraction involving 3 decimal place numbers ($54.105$), but the Primary KC specified is subtraction (up to 2 decimal places) only—a Primary 4 student in Singapore is not expected to subtract decimals beyond 2 decimal places.grade_alignment: Subtraction of decimals should be limited to 2 decimal places at the Primary 4 level in Singapore, but one bill ($54.105$) uses 3 decimal places, exceeding this expectation.language_quality: The dollar values are inconsistently formatted—the correct notation should be "$54.11" instead of "$54.105" after rounding. Amounts with three decimal places for money are linguistically and contextually inappropriate.</t>
  </si>
  <si>
    <t>Primary KC Alignment: The box of cookies costs $7.350, which requires handling 3 decimal places in multiplication and comparison. However, the calculation involving multiplying $4.25 and $2.49 is within 2 decimal places, but $2.49 [FORMULA] 2$ is needed, yet Primary 4 should only see maximum 2 decimal places in calculation results. A price like $7.350$ (3 decimals) is not typical and goes beyond their expected knowledge. Thus, the main calculation does not strictly need to exercise 'multiplying decimals up to 2 decimal places by 1-digit whole number' as a core step for solving the main comparison.Grade Alignment: The appearance of $7.350$ (3 decimal places) and the implied comparison and possible arithmetic with up to 3 decimal places is not suitable for Primary 4, who should only work up to 2 decimal places.Synergy: The solution does not require using multiplying decimals by a 1-digit whole number in tandem with comparing/ordering decimals; each calculation stands alone and is not integrated such that the output of one feeds directly into the next KC.Language Quality: The value "$7.350" is awkward and not consistent with standard money notation (should be "$7.35").</t>
  </si>
  <si>
    <t>D- The context is about measuring the amount of cooking oil used, rather than a household finance issue directly. Household finance as a topic specifically references financial transactions such as money, bills, savings, or planning—not physical measurements of household supplies. Therefore, topical alignment (4) is not satisfied.</t>
  </si>
  <si>
    <t>D- The problem is not well aligned with the intended topic of 'Household finance' (income, bills, money, interest, savings, instalment, mortgage, financial planning). The scenario describes rice consumption, which is more about daily life or household management, but it does not have a direct financial aspect (e.g., cost of rice, budgeting, expenses), so there is insufficient context to warrant a household finance classification.</t>
  </si>
  <si>
    <t>Primary KC Alignment: * The intended primary KC is multiplying decimals (up to 3 decimal places) by 10, 100, 1000 or their multiples. However, the calculation in part (a) is multiplying by 31, not by a power of 10 or a multiple such as 10, 100, 1000, making it inconsistent with the specified KC focus. Synergy: * The primary (decimal multiplication by powers of 10) and secondary KC (decimal comparison) are not used together in solving the problem: parts (a)/(b) are separate calculations unrelated to the comparison required in part (c).</t>
  </si>
  <si>
    <t>Primary KC Alignment: The problem requires multiplying $2.37 by 100, which is conceptually similar to multiplying a decimal by 100, but the intended KC specifically mentions multiplying decimals up to three decimal places BY 10, 100, 1000 and their multiples. Though multiplying by 100 is present, the operation is very straightforward and may not sufficiently exercise the intended complexity for Primary 5. The problem does not include other cases such as multiplying by 10 or 1000, and the difficulty is arguably too simple to test full mastery of the KC.</t>
  </si>
  <si>
    <t>Primary KC Alignment (0): The division in part (a) is $124.500 [FORMULA] 3$, which is NOT division by 10, 100, 1000 or their multiples, but by 3. Therefore, it does not target the intended primary KC as specified.</t>
  </si>
  <si>
    <t>Secondary KC Alignment (0): The problem does not require the student to perform subtraction with decimals; the answer is given directly by the difference already expressed. The calculation involves only division by 10. Synergy (0): The subtraction is described in words, but not required as a step. Division alone yields the answer, so both KCs are not needed to solve.</t>
  </si>
  <si>
    <t>4: The context is about cake baking and sharing at a family gathering, which does not align with the intended topic of household finance (income, utility bills, money, interest, savings, instalment, mortgage, financial planning, etc.). This scenario is not financial in nature.</t>
  </si>
  <si>
    <t>answerability- The core question is ill-posed: after Amy spends $15, it's unclear how the ratio of Amy's and her sister's current savings can still be exactly 5:3 unless Amy saves more or her sister saves less, which is not stated. primary_kc_alignment- The problem does not require solving for a missing term in two equivalent ratios, as the conditions to set up such a proportion are logically inconsistent after the subtraction step. synergy- The subtraction operation does not properly integrate with the ratio concept to form a meaningful step-by-step solution; instead, it creates a contradiction. clarity- The phrase 'before her sister saves any money' adds confusion, and the ratio condition post-spending is ambiguous and infeasible. conciseness_and_relevance- The word problem includes unnecessary and contradictory information that complicates the actual solvability using the intended KCs.</t>
  </si>
  <si>
    <t>D4: The problem is about cost of carpeting and finding area, not any of the main household finance topics (income, bills, interest, savings, etc) explicitly. The primary calculation is mathematical, not financial planning or bills.</t>
  </si>
  <si>
    <t>Secondary KC Alignment: The problem only requires subtraction to find how much Sarah spent before her father gave her more money. The additional $80 is mentioned but not needed for any calculation related to the question, so addition is not required nor tested for solving. Synergy: Only the subtraction operation is essential to solve the problem; addition is not required at all, so the KCs are not synergistic.</t>
  </si>
  <si>
    <t>4: The scenario is about sharing candies among children, which does not align with the intended topic of household finance (e.g., money, bills, savings, etc.).</t>
  </si>
  <si>
    <t>4- The context is bulk purchase of light bulbs for a new house, which is more closely related to household supplies rather than specific household finance topics such as income, utility bills, money, interest, savings, instalments, mortgage, or financial planning as listed in the intended topic metadata.</t>
  </si>
  <si>
    <t>3: Subtraction is not actually required to solve the problem as posed; students only need to subtract if they are determining how much is distributed to the children, but the direct question only asks for how much each child receives—which is solved directly by division. 7: The division and subtraction do not need to be used together in this problem—the subtraction (3872-320) is not needed for the main question.</t>
  </si>
  <si>
    <t>Primary KC Alignment: The electricity bill in part (b) uses 3 decimal places ($45.605$), which exceeds the intended KC of adding decimals up to 2 decimal places. Furthermore, addition in (a), although correct KC, is paired with (b) that requires understanding numbers with 3 decimal places, which is not expected at Primary 4 level. Grade Alignment: At Primary 4 in Singapore, students typically only work with decimals up to 2 places; using 3 decimal places (and especially for a monetary value) is not suitable for this level. Real-World Feasibility: Monetary amounts are never listed as $45.605$; actual bills would only be given in cents. Synergy: Part (b) is unrelated to the computation in (a) except for using the word 'electricity bill'; no result from (a) is used to answer (b).</t>
  </si>
  <si>
    <t>Synergy = 0: The two questions (a and b) are not connected; the answer from part (a) is not needed for part (b) and vice versa. Each part can be completed independently; thus, no synergy between the primary and secondary KC.</t>
  </si>
  <si>
    <t>6: The fractions $1[FORMULA]$ and $2[FORMULA]$ both describe spending 'more than the whole budget' individually, which is unrealistic. In real household finance, fractions of a budget spent should each be less than or equal to 1 (100%), or at least the total should not exceed the budget by such a large amount. This situation is not feasible for a real-world household scenario.</t>
  </si>
  <si>
    <t>Secondary KC Alignment (3): The problem only requires a direct comparison between two whole numbers (amount saved and $90). There is no need to compare or order two fractions as intended; the comparison is a simple greater/less than between whole numbers. Synergy (7): The solution does not integrate both the multiplication of fractions and the comparison and ordering of fractions, as intended by the Secondary Knowledge Component. Thus, the components are not used in tandem.</t>
  </si>
  <si>
    <t>Secondary KC Alignment (Addition): The solution only requires multiplying by fractions at each step. At no point does the student need to add any fractions to determine the final answer, so the adding fractions knowledge component is not necessary. Synergy: Because addition of fractions is not required in this problem, the two KCs are not used in tandem.</t>
  </si>
  <si>
    <t>2: Primary KC is multiplying improper fractions, but all multiplications are with a whole number (3) and an improper fraction, not two improper fractions. 3: Secondary KC is 'adding fractions', but the only calculations required are subtraction and multiplication, not addition of fractions. 4: Topic is household finance, but the problem is about food volume, specifically juice, not finances, expenses, or money.</t>
  </si>
  <si>
    <t>answerability: a) Fractions used (7/4 and 5/3) are greater than 1, which means more was spent than saved, leading to an illogical scenario for dividing up a whole into parts. b) The fractions do not represent parts of the whole, violating basic sense of partition.primary_kc_alignment: a) The solution requires multiplying a fraction by a whole number, not multiplying two fractions as required by the intended KC.secondary_kc_alignment: a) No actual fractional subtraction is required; subtraction is with whole numbers resulting from previous step, not between fractions, so intended KC is not well-aligned.grade_alignment: a) Problems expecting students to use improper fractions greater than 1 to represent partitions or allocations are not suitable for Primary 5 curriculum; b) Fractions &gt;1 in real-life contexts like this are not typically introduced until secondary level.real_world_feasibility: a) It is not possible for someone to spend more than their total savings on separate expenses both exceeding the original amount.synergy: a) There is no real need to use both skills together—the setup is faulty.clarity: a) Ambiguity in partitioning savings, and confusing use of improper fractions greater than 1.</t>
  </si>
  <si>
    <t>A: Problem contains insufficient, unclear, or conflicting information. The relationships between budget, brushes, and paints are unclear for the required calculation; not enough information to find the actual fraction of budget used for brushes.* P: The requirement asks for 'fraction of her total budget used for brushes', but the only usable brush money is '6/5' of some amount, conflicting with real expenses. Calculation of brush spending out of total is unclear; multiplication of two improper fractions is not required to answer. G: The problem involves complicated ratio reasoning and multiple relationships, which is above Primary 5 standard for fractions and proportionality. S: The synergy is missing; the intended primary KC (multiplying two improper fractions) is not required to answer the question. CL: Ambiguity and lack of clarity regarding what '6/5 of the money she spent on brushes was actually used' refers to, and unclear steps to determine the answer. CR: Not all information is relevant or necessary, especially the difference between money set aside, spent, and used—it is not clear what to do with all quantities.</t>
  </si>
  <si>
    <t>D- The topic is not aligned. The problem is about baking and using ingredients, but does NOT relate to the intended topic of household finance (income, bills, savings, etc.), although it could loosely connect if, for example, chocolate cost or income from sales were included, but as currently written it does not satisfy the specified finance context.</t>
  </si>
  <si>
    <t>Primary KC Alignment: The core decimal multiplication required is $3.75 [FORMULA] 0.174 [FORMULA] 100$, but multiplying by 0.174 is not multiplying by 10, 100, 1000 or their multiples. The intended KC specifically requests multiplying decimals by those round numbers only, not by a general decimal. Thus, the word problem does not necessitate applying the intended decimal-multiplication-by-10/100/1000 skill as required.</t>
  </si>
  <si>
    <t>answerability: - The problem asks Mr Lim to 'subtract' the service fee from his cost calculation, but in real-world context, a service fee is added, not subtracted. This introduces a contradiction, making the intended solution unanswerable or misleading. primary_kc_alignment: - The multiplication is between 73.245 and 0.15, but this is not a multiplication by 10, 100, 1000 or their multiples. Instead, it is a multiplication of decimals by decimals (not specifically aligned with the intended primary KC). synergy: - The use of subtraction is not logically or procedurally dependent on the prior multiplication step because the problem incorrectly asks for subtraction of a fee rather than addition—steps cannot be used in tandem to reach a valid answer.</t>
  </si>
  <si>
    <t>4: The problem involves dividing trays of cookies for a fundraiser, which is not related to household finance topics like income, bills, savings, etc. The scenario is about charity and food distribution, not finance.</t>
  </si>
  <si>
    <t>Primary KC Alignment: The main calculation for 'how many months of utility bills can Mrs Tan pay' (120 ÷ (3/4 * 120)) actually reduces to multiplication/division of whole numbers, not division by a proper fraction (it's division by a whole number using a fraction as a rate). The other calculation (money left after 2 months) is a subtraction of amounts, not fractions. Synergy: The questions are not dependent on each other—each can be solved independently; the result of one question is not needed as input for the other.</t>
  </si>
  <si>
    <t>2: The problem only requires multiplication by $[FORMULA]$ to find the amount received—which is fraction of a whole (multiplication), not division by a fraction, which is the intended primary KC. 3: The answer to part (b) asks for 'divided by $[FORMULA]$' but this is misaligned—the context should be multiplying by $[FORMULA]$ as per the scenario described (how much each child receives), and the amount given is then expressed as a decimal; the transition is muddled as stated. 7: The questions are not well-connected: (a) and (b) are not sequentially linked as the answer to (a) is used, but (b) is worded confusingly and seems unnecessary; (c) again is a new calculation. 8: The phrasing in (b) 'when this amount is divided by $[FORMULA]$' is mathematically and contextually incorrect, and misleading. 9: There is unnecessary complexity or confusion in part (b) as the requirement does not fit the realistic scenario and may confuse students about what operation should be used.</t>
  </si>
  <si>
    <t>Secondary KC Alignment: 0: The problem does not require adding whole numbers to find the answer; it only asks for the total household expenses based on the percentage relationship given by the electricity bill. The other amounts (groceries and transport) are not used to answer the question, so addition is unnecessary. Synergy: 0: Since only the percentage skill is needed to answer the question, Primary and Secondary KCs are not used in tandem.</t>
  </si>
  <si>
    <t>4: The problem is framed in a household finance context (cost of gas and meals cooked), but the main focus is on the proportional relationship and multiplication. While there is mention of the total cost, there is no broader financial planning, management of bills, or budgeting element as intended by the topic specification. The context is very limited to a purchase, not exploring other aspects of household finance.</t>
  </si>
  <si>
    <t>Primary KC Alignment: The question asks for the Hadamard (element-wise) product rather than conventional matrix multiplication as typically defined in secondary O-level (which usually means row-by-column multiplication). Thus, while matrix multiplication is invoked, it does not require column-by-row or dot product, but merely element-wise multiplication. In Singapore O-level, 'matrix multiplication' conventionally means the dot-product type, not the Hadamard product. It doesn't fully assess the intended component as such.</t>
  </si>
  <si>
    <t>Primary KC Alignment (0): The intended primary KC is 'dividing whole numbers up to 3 digits by 1 digit.' Here, the problem requires dividing 624 (3 digit) by 8 (1 digit), which is expected. However, Primary 3 curriculum usually restricts division to 2-digit by 1-digit, and 624 ÷ 8 may be too demanding despite alignment. If curriculum allows, assign 1; if strictly by level, assign 0. Synergy (0): The division is used to find the price of one chair, then multiplication is used to find the cost for 6. However, these do not work together in tandem (e.g. the answer to the first is entirely independent of the second step except as an input value, which is a basic two-step problem, not a synergy as described in the criteria—for strong synergy, intermediate answers must be required to solve the next part rather than each part being isolated).</t>
  </si>
  <si>
    <t>D4. Topic Alignment: The problem is about spending pocket money on snacks and a storybook, which is better categorised as personal expenditure/spending by children, not the intended topic of household finance (such as income, utility bills, savings, etc.). It does not explicitly involve broader household financial concepts.</t>
  </si>
  <si>
    <t>4: The context relates to purchasing soap but does not involve any elements of 'household finance' such as budgeting, prices, income, expenses, or monetary calculation. The problem is about counting objects (bars of soap), not finance.</t>
  </si>
  <si>
    <t>Primary KC alignment = 0: The division step in the problem is dividing the total (48) by 3, which is a 2-digit number by 1-digit, not up to 4 digits by 1 digit as specified in the intended KC. The problem remains within lower complexity than intended.</t>
  </si>
  <si>
    <t>Primary KC Alignment = 0: The main concept required to solve this problem is addition of decimals first, then subtraction, meaning addition is primary and subtraction is secondary in the solving process. To align to the intended Primary KC (subtraction of decimals), subtraction must be the central required step (e.g., direct calculation of difference), not addition. Thus, the ordering of KCs is reversed here.</t>
  </si>
  <si>
    <t>Primary KC Alignment: 0 - The problem only requires multiplying a whole number (12) by a mixed number (2 1/2), suitable for Primary 5, but the intended KC is to multiply a mixed number BY a whole number, not a whole number BY a mixed number. The focus is not clearly on the intended KC but more on a straightforward calculation. Secondary KC Alignment: 0 - The problem asks to compare two payment options, but both are whole numbers ($30 vs $32.50). No fraction comparison or ordering is required at any point, which was the intended KC. Synergy: 0 - The use of multiplication and comparison are not synergistic. The comparison step only involves whole numbers, and the fraction multiplication does not feed meaningfully into a fraction comparison or ordering step.</t>
  </si>
  <si>
    <t>D-Topic Alignment: The scenario deals with purchasing rice, but does not connect to 'household finance' such as income, utility bills, money, interest, savings, instalment, mortgage, financial planning, etc. It is about quantity/weight, not a direct financial context.</t>
  </si>
  <si>
    <t>Primary KC Alignment: The multiplication required is multiplying 132.768 by 0.183, which is not multiplying decimals by 10, 100, 1000 or their multiples, but rather multiplying by another decimal. The primary KC specifically targets multiplying by 10/100/1000/multiples, so this problem does not fully require that.</t>
  </si>
  <si>
    <t>language_quality: The dollar amount should not be written as $187.250, as standard financial notation uses up to 2 decimal places. It should be written as $187.25.</t>
  </si>
  <si>
    <t>4: The context of the word problem is sharing cake among children for a family gathering, which does not relate to household finance concepts such as income, utility bills, money, interest, savings, instalment, mortgage, or financial planning.</t>
  </si>
  <si>
    <t>4: The scenario is about repacking laundry detergent, a household activity, but does not relate to finance or any explicit aspect of the stated topic. There is no mention of money, costs, savings, or financial decision-making.</t>
  </si>
  <si>
    <t>3: Subtraction of whole numbers is not necessary to solve this problem. The problem only requires the use of percentage to find the whole from a part and its percentage. 7: The two knowledge components do not need to be used together; only the percentage knowledge is required to solve for the total.</t>
  </si>
  <si>
    <t>synergy=0: The two parts (a) and (b) are independent; the answer to (a) is not required to solve (b), and vice versa. For full synergy, the tasks should more directly depend on each other.</t>
  </si>
  <si>
    <t>7: The two parts (a) and (b) can be answered independently without relying on results from each other, so Primary KC and Secondary KC are not required to be used in tandem.</t>
  </si>
  <si>
    <t>Primary KC Alignment: The main calculation needed is matrix subtraction to obtain C. The next part—finding the change in combined expenses per category—merely requires summing across columns (simple addition), not actual matrix multiplication as per the intended primary KC. Synergy: The matrix multiplication is not actually used in solving the problem; subtraction (Secondary KC) addresses the main calculation. Thus, the two KCs are not used in true synergy.</t>
  </si>
  <si>
    <t>4: The context described, though related to savings and allowance, does not involve calculations such as managing income, handling bills, interest, instalments, mortgages, or broader financial planning as stated in 'Household finance'. The scenario focuses only on probabilistic events tied to receiving and saving allowances, not broader household finance mechanisms.</t>
  </si>
  <si>
    <t>4. The scenario involves buying light bulbs for home use, but it does not address any aspect of household finance (such as spending, budgeting, or prices). The context is general household needs, not specifically household finance.</t>
  </si>
  <si>
    <t>B1: The question only requires multiplying 8 by 5 (single digit by single digit), not up to 3 digits by 1 digit, so the Primary Knowledge Component is not aligned.</t>
  </si>
  <si>
    <t>4: The context is about spending pocket money on a storybook and pencil, which does not meet the intended topic of household finance like income, utility bills, or financial planning. The scenario concerns personal spending by a child, not household finance.</t>
  </si>
  <si>
    <t>4- The scenario is about sharing and giving coins to charity, which is a real context, but it does not clearly involve household finance topics such as income, bills, savings, financial planning, or similar. It is about sharing and charity, which is not aligned specifically to the intended topic of 'Household finance'.</t>
  </si>
  <si>
    <t>A: The problem states Sarah spent 3/4 and 2/3 of her weekly pocket money on two items, totaling more than a whole (3/4 + 2/3 = 17/12 &gt; 1), which is impossible unless she borrows money or overspends her pocket money, which is not mentioned.1: The subtraction of unlike fractions (Primary KC) is only possible if the sum does not exceed 1, or if the context supports negative answers or overspending, which is missing. Here, the relevant operation would actually be subtraction from a negative value, which is not at Primary 4 level and not well defined in the word problem context.5: The operations and context (over-expenditure/fractions &gt; 1) are not suitable for Primary 4, as students are not expected to handle such scenarios as per Singapore's curriculum.6: It's not feasible in the real world for a child to spend more than their allotted pocket money without any mention of debt or borrowing.7: There is no true synergy since the result of the addition (secondary KC) leads to an illogical or impossible scenario for subtraction (primary KC), especially for this grade.</t>
  </si>
  <si>
    <t>answerability (A): - The bill amount $[FORMULA]54.105$ is not a standard currency representation (3 decimal places); real bills have only 2 decimal places. This makes one amount ambiguous/invalid for calculations, so the question as posed is not directly answerable. primary_kc_alignment (B): - The intended primary KC is subtracting decimals up to 2 decimal places, but with a 3-decimal value involved, the subtraction may require rounding first and would not assess precisely the 2-decimal calculation skill. secondary_kc_alignment (C): - The secondary KC is on comparing and ordering decimals up to 3 decimal places, but in real household finance and at this grade, only 2 decimal places are used, so it is inauthentic and misaligned. grade_alignment (E): - Primary 4 Singapore Math curriculum only handles decimals up to 2 decimal places, and only works with money expressed in real currencies, so the 3-decimal value is beyond the expected level. real_world_feasibility (F): - Utility bills do not display or charge to 3 decimal places (in SGD or most world currencies), so the scenario is impossible in real household finance.</t>
  </si>
  <si>
    <t>answerability: 1. It is unclear how to compare 'a packet of rice' and 'a carton of milk' ($4.25 and $2.49 each, respectively) to 'the box of cookies' ($7.350, likely a typo). The comparison between unit and group prices is potentially confusing and not clearly stated. The question to 'can Sarah afford' is answerable, but there is ambiguity in comparison.primary_kc_alignment: 2. The problem requires multiplying $4.25 × 3 and $2.49 × 2, but also asks for comparison at the item level (unit price), so students may skip multiplication, defeating the purpose of making multiplying decimals the main component. Also, the box of cookies is $7.350 (3 decimal places), not up to 2 as intended.grade_alignment: 5. The problem introduces decimals to 3 decimal places ('$7.350'), which is not appropriate for Primary 4 (who are expected to work with decimals up to 2 places).synergy: 7. The comparison and calculation questions are not synergistically connected; the two main queries (most/least expensive item and affordability) can be answered independently.language_quality: 10. 'Sarah is buying groceries for her family.' and 'She also considers buying a box of cookies that costs $7.350...'—'$7.350' is awkward and a likely typo. This introduces confusion and a grammatical/notation error.</t>
  </si>
  <si>
    <t>language_quality: There is a minor formatting error with $3[FORMULA]$[FORMULA]. In LaTeX, the correct placement of the dollar sign is either before or after the entire math expression, not inside math mode with [FORMULA]. This detail may be confusing in a student-facing word problem.</t>
  </si>
  <si>
    <t>4- The scenario only concerns the consumption of cooking oil, with no direct mention or clear link to household finance topics (such as money, bills, or financial planning). While it uses a household context, the problem does not explicitly involve financial concepts.</t>
  </si>
  <si>
    <t>4: The scenario involves Mrs Tan using rice, but there is no mention of money, bills, savings, or any directly financial term. Using an amount of households goods is not strictly household finance as required by the intended topic.</t>
  </si>
  <si>
    <t>PRIMARY_KC_ALIGNMENT=0: The problem involves multiplying $3.285$ by $31$, but multiplying by $31$ does not align strictly with multiplying decimals by 10, 100, 1000 or their multiples as specified in the intended Primary Knowledge Component. The multiplication involved here focuses more on general decimal multiplication rather than specifically multiplying by base 10 multiples.</t>
  </si>
  <si>
    <t>Primary KC Alignment: The question requires dividing $124.500 by 3$, but this is NOT an example of dividing by 10, 100, 1000 or their multiples, as specified by the intended primary knowledge component. Instead, it's a general division of decimals. According to the criteria, this does not fulfill the intended primary KC (DECIMALS | Division | dividing decimals up to 3 decimal places by 10, 100, 1000 and their multiples).</t>
  </si>
  <si>
    <t>G: The amount 'how much less electricity did Mrs Lim use in the second month than in the first month?' is already given directly in the problem as 245.370/10; there is no need to use subtraction as required in the secondary KC. The answer is simply 24.537, so only division is necessary, not subtraction, so Primary and Secondary KC are not synergistic (division alone answers the question).</t>
  </si>
  <si>
    <t>4: Problem is about sharing cake at a family gathering, not related to household finance topics such as income, bills, savings, etc.</t>
  </si>
  <si>
    <t>A1- The scenario does NOT specify how much Amy actually saves this month before spending, only that she spends $15 before her sister saves, and the ratio remains 5:3. This is inconsistent because we do NOT know the total amount Amy saved this month, making the final amount indeterminate; there's a missing value or unclear logic. / B1- 'Finding the missing term in a pair of equivalent ratios' is not clearly required, because the new ratio after spending is forced to remain 5:3, but Amy reduces her amount, so the meaning of the ratio is unclear; either the word problem is illogical or not strictly about ratio calculations. / C1- Subtraction is not meaningfully required because the ratio after spending is forced, so the result does not depend on subtraction for the main step; the student cannot compute a value first and then subtract to solve for Amy's final amount. / E1- The word problem's logic and difficulty are above Primary 6, and the logic around spending before the other saves and maintaining the ratio introduces complexities outside syllabus expectations. / F1- The sequence described (Amy spends before her sister saves, and the ratio remains) is not realistic - saving and spending does NOT logically result in the same target ratio as if both simply saved their money. / G1- The subtraction and ratio do NOT work in tandem; Amy's subtraction happens before the ratio is maintained, but since the ratio is set after that, only ratio calculation is needed, not a meaningful chained process. / H1- The phrasing 'Amy decides to spend $15 from her savings before her sister saves any money, and her sister still saves the same amount as last month. How much does Amy have left...' causes ambiguity – it's unclear whether to adjust Amy's saving amount, what her new total is, or at what point the ratio applies./ I1- There is extraneous and confusing information (about timelines, before/after spending/saving) that does not directly help with calculation and undermines focus of the problem.</t>
  </si>
  <si>
    <t>D* Topic Alignment: Although the context is home renovation, the scenario is more about geometry (area of a room) and algebra (expression and evaluation) rather than household finance such as income, utility bills, savings, interest, mortgage, etc. The cost aspect is present, but doesn't deeply engage with broader household finance concepts; it only marginally refers to a single expense (cost of carpet).</t>
  </si>
  <si>
    <t>7: The two parts (finding median and finding range) do not require one result to be used in the subsequent part; they can be solved independently as the median and range are calculated from the same data set but are separate calculations.</t>
  </si>
  <si>
    <t>3: The solution only requires subtraction (450-215) to find the amount spent before receiving the extra money. The intended secondary knowledge component, addition, is not necessary for this problem. 7: There is no need to combine subtraction and addition in tandem, as the question focuses solely on the spending before the new amount was added.</t>
  </si>
  <si>
    <t>4- The context is about sharing candies among children, not a household finance scenario such as money, bills, or planning. While it is set in a household, it does not fit the intended topic of 'household finance' as defined in the examples.</t>
  </si>
  <si>
    <t>4- The context of buying light bulbs for a new house does not specifically fall under the specified household finance topics such as income, utility bills, money, interest, savings, instalment, mortgage, or financial planning. It is more related to purchasing goods rather than explicit finance topics.</t>
  </si>
  <si>
    <t>Secondary KC Alignment=0: The problem can be solved directly by division (3872-320=3552, then 3552 divided by 4 is not required; rather, the way it's structured currently, the 320 leftover makes the correct process division first, then check the remainder, but only division is necessary as posed. Synergy=0: Subtraction is not required for the solution; the question only asks how much each child received, making only division needed.</t>
  </si>
  <si>
    <t>Primary KC Alignment: The second bill in part (b) uses 3 decimal places ($45.605), but the addition in (a) is only up to 2 decimal places, which matches the KC. However, (b) asks for comparison between 2- and 3-decimal numbers, focusing more on secondary KC. Part (a) could be done at lower skill. / Grade Alignment: Primary 4 students in Singapore typically deal with decimals only up to 2 decimal places, especially around money. The use of $45.605 is not grade-appropriate. / Real-World Feasibility: Household utility bills do not reasonably have 3 decimal places in currency; bills are always given to 2 decimal places for cents. / Synergy: The parts are independent; solving (a) does not help (b), which instead simply compares June's 2-decimal electricity bill with July's improper 3-decimal one.</t>
  </si>
  <si>
    <t>Language Quality: The amounts stated as '$1[FORMULA]$ of her budget' and '$2[FORMULA]$ of her budget' suggest that Mrs Tan spent more than her whole budget, which is not typical phrasing and could confuse students. Normally, fractions of a whole (i.e., less than 1) are expected for budget allocation. This distracts from proper interpretation and standard English phrasing. The wording should say, for example, 'She spent $[FORMULA]$ of her budget on groceries.'</t>
  </si>
  <si>
    <t>secondary_kc_alignment: The comparison required is between Mrs Lim's savings (which is a whole number after multiplication) and $90, not between two fractions. Thus, comparing and ordering fractions is not strictly required. synergy: Only the multiplication of a fraction and a whole number is necessary; the answer is a whole number, and no fraction-to-fraction or combined-step comparison is actually performed.</t>
  </si>
  <si>
    <t>Secondary KC Alignment (3): The solution only requires multiplying fractions repeatedly to find what is left at each stage and finally a fraction of the remainder. There is no need for addition of fractions, as all steps are subtraction and multiplication. Synergy (7): The problem does not truly require the interaction of both the KC components. Only the primary (multiplication of fractions) is genuinely needed.</t>
  </si>
  <si>
    <t>Primary KC Alignment: The main calculation steps require multiplying a whole number by an improper fraction (e.g., 3 x 9/4), not multiplying two improper fractions as the intended component specifies. Secondary KC Alignment: The question requires subtraction, not explicit addition of fractions. Topic Alignment: The context is not about household finance but rather about food consumption at a gathering (fruit juice).</t>
  </si>
  <si>
    <t>A1+: The fractions \([FORMULA]\) and \([FORMULA]\) exceed 1, meaning Mrs Tan is spending more than her total savings on utilities and groceries, which is illogical. There is not enough money to allocate, so the question cannot be solved. B2+: Multiplying improper fractions by the total savings does not make sense when the numerators are larger than denominators; it is not an intended or logical P5 application, so the question does not properly target multiplying two improper fractions. D5+: For Primary 5, it is not appropriate to use improper fractions as allocation amounts that are more than the whole, and such context does not suit the level. F6+: It is not realistic for someone to spend more than their total savings on these expenses.</t>
  </si>
  <si>
    <t>D4(-) The scenario is about baking and ingredient usage, but does not involve the intended topic of "Household finance" such as money, bills, savings, planning, etc.</t>
  </si>
  <si>
    <t>answerability: There is a logical error. The problem says Mr Lim needs to 'subtract' the service fee from his cost calculation, but service fees are meant to be 'added'. This creates a conflict: if the intent is to add, but the question says subtract, it is not answerable as stated. primary_kc_alignment: The multiplication required is 73.245 × 0.15, which is not multiplying by 10, 100, 1000, or a multiple – it is multiplying by 0.15, not as per the intended KC. synergy: The subtraction (or rather, addition if correct) of the service fee is not logically necessary as a step after the multiplication, since the operation does not depend on the multiplication result's use in a specific way; also, the logical misstatement concerning 'subtracting' diminishes meaningful synergy.</t>
  </si>
  <si>
    <t>Primary KC Alignment (0): The problem involves dividing a mixed number (not a proper fraction) by a whole number, while the required KC is specifically dividing a proper fraction by a whole number.  Topic Alignment (0): The problem is about distributing cookies (food), not household finance topics related to income, bills, or financial planning.</t>
  </si>
  <si>
    <t>Primary KC Alignment: The word problem requires dividing $120 by (3/4)[FORMULA]120$ to get number of months, which is not dividing by a fraction, but dividing a whole number by another whole number. The main skill required is not dividing by a fraction, but rather multiplying by 3/4. Secondary KC Alignment: The word problem asks for subtraction of whole numbers/money, not fractions. Synergy: Both knowledge components are not required in tandem; the questions can be answered independently using simple arithmetic, not specifically dividing by fractions or subtracting fractions.</t>
  </si>
  <si>
    <t>Primary KC Alignment: (a) and (c) use fraction multiplication, and (b) incorrectly asks for 'divided by $3/4$' (should be 'multiplied by $3/4$', or clearer wording). The intended KC is 'division by a fraction', but the actual calculation uses multiplication by a fraction, which is conceptually not the same. Synergy: The parts are not truly synergistic. (a) and (b) both derive from the same base amount but do not require results from one question to solve the next. (b) should refer clearly to part (a)'s answer as the amount to act on.</t>
  </si>
  <si>
    <t>C3: To solve the problem, it is only necessary to use percentage to find the total household expenses. The information about groceries and transport does not need to be added to solve the question, so addition of whole numbers is not required. C7: The two knowledge components are not used in tandem; either one is sufficient to solve, making them not synergistic.</t>
  </si>
  <si>
    <t>Primary KC Alignment: The problem requires the element-wise (Hadamard) product of matrices, not standard matrix multiplication, which is the expectation for the intended knowledge component of 'multiplication of matrices.' In the Singapore O-level mathematics syllabus, 'multiplication of matrices' refers to standard matrix multiplication (dot product), not element-wise multiplication.</t>
  </si>
  <si>
    <t>4: The context is about buying apples for neighbours, which is not directly relevant to household finance topics such as income, utility bills, money management, interest, or financial planning. The scenario is more related to a purchasing activity and sharing, not financial concepts.</t>
  </si>
  <si>
    <t>Primary KC Alignment = 0: The division required here is 624 divided by 8, which involves dividing a 3-digit number by a 1-digit number. However, based on the Singapore Primary 3 syllabus, students are typically expected to divide up to 3-digit numbers by 1-digit numbers only if the quotient results in a whole number and is within the scope of their learning. Here, 624 ÷ 8 = 78, which fits the requirement. However, the problem does not explicitly demand division skills as the main step; instead, students may be able to use repeated subtraction or multiplication (guess and check) if they try. The crux here is that it's not strictly necessary to demonstrate the division algorithm, compromising the intent.Synergy = 0: The operations (division to find 1 chair's price, multiplication to find total cost for 6 chairs) are present sequentially, but the synergy is weak: division gives a standalone answer, and multiplication is then applied, but the problem could be solved by setting up an equation directly (e.g., 624/8 × 6). The requirement that the result of one operation is a necessary input for the next, with both KCs essential, is not strongly enforced here.</t>
  </si>
  <si>
    <t>D- The context of the problem is buying snacks and a storybook, which relates to personal spending but does not sufficiently fall under the strict scope of 'household finance' (e.g., income, bills, savings, financial planning).</t>
  </si>
  <si>
    <t>4: The context is about buying soap in boxes and bags, which is relevant to shopping but does not involve any household finance concepts such as income, bills, savings or planning. The problem is about counting items (soap bars) rather than any finance-related topic.</t>
  </si>
  <si>
    <t>A+ The problem cannot be answered as written: the total monthly expenses of Mrs Lim is not given, and the amounts in dollars provided are not needed or relevant to the main calculation, since they are not required for adding the given fractions. The question should indicate whether to add the given fractions (5/12 + 1/6), or to calculate based on the dollar values (120+80 over total), but as worded, the question is incomplete and confusing.</t>
  </si>
  <si>
    <t>Primary KC (FRACTIONS | Multiplication | multiplying a mixed number and a whole number) is not tested: The problem requires multiplying $2[FORMULA]$ (a mixed number) by 12 (a whole number), so it superficially seems to match. However, in this context, students actually must multiply a mixed number by a whole number, so it should align, but the multiplication is the first part ($12 [FORMULA] 2[FORMULA]$). The question seems appropriate, but perhaps did not strictly require a teaching focus on the multiplication process (such as explicit step-by-step decomposition), but will accept alignment (if you want to be strict, it is aligned). Secondary KC (FRACTIONS | Comparison and ordering | comparing and ordering fractions) is missing: Students are not asked to compare or order any fractions—the payment options are decimals ($30$ and $3[FORMULA]10=30$). There is no fraction comparison or ordering required. Synergy: The two KCs do not operate in tandem; the second part only involves comparing whole numbers/money and does not depend on use of fractions, nor are the questions chained together mathematically.</t>
  </si>
  <si>
    <t>4: The context is about purchasing rice quantity and weight, which is more about measurement (mass/weight) rather than household finance (money, savings, utility bills, etc.) as required by the specified topic.</t>
  </si>
  <si>
    <t>Primary KC Alignment: The question asks for multiplication of two decimals (one with 3 decimal places), but not by 10, 100, 1000, or their multiples. The multiplication is by 0.183, not a power of 10; therefore, it does not fully target the specified Primary Knowledge Component.</t>
  </si>
  <si>
    <t>F- The value $187.250 is not realistic for savings. In real life, people do not usually express money to three decimal places, as currency is handled in two decimal places at most; banks and households do not keep savings with mills. This makes the context unrealistic for Singaporean students.</t>
  </si>
  <si>
    <t>4: The context of the word problem is sharing cake at a family gathering, not household finance (e.g., money management, bills, interest, etc.).</t>
  </si>
  <si>
    <t>4- The problem is about repacking laundry detergent, which is a household chore, but does not specifically relate to finances (income, utility bills, money, interest, savings, instalment, mortgage, financial planning etc.) as required by the intended topic.</t>
  </si>
  <si>
    <t>Secondary KC Alignment: 0 - The problem only requires finding the whole given a part and percentage (Percentage, not Subtraction). It does not require explicit subtraction of whole numbers, as the only operation needed is to find the total given a reduced percentage. Synergy: 0 - The problem does not require using subtraction in conjunction with the percentage calculation; only the percentage concept is used to find the answer.</t>
  </si>
  <si>
    <t>7. The median and mode questions are independent; finding the median does not require the mode or vice versa, so there is no synergy between the questions.</t>
  </si>
  <si>
    <t>Primary KC: The intended primary knowledge component is matrix multiplication, but the key operation directly requested is matrix subtraction (B - A), and then combining the columns (summing) to form row vectors, which does not require or meaningfully test multiplication of matrices—just summing. Synergy: The subtraction (secondary KC) is used for C, but there is no meaningful use of matrix multiplication as a mandatory step for the solution, so primary and secondary KCs are not used in tandem. The question is essentially a subtraction and then a row sum, not a multiplication.</t>
  </si>
  <si>
    <t>D-The context of buying light bulbs is household-related, but the problem does not deal with finance (e.g., costs, expenses, budgeting or savings) as required by the intended topic. It is rather about counting objects, not financial decisions or calculations.</t>
  </si>
  <si>
    <t>Primary KC Alignment: Sarah receives $8 each week for 5 weeks, requiring the multiplication of 8 by 5, which is a 1-digit by 1-digit operation, not up to 3 digits by 1 digit as specified in the intended primary KC. The difficulty does not match Primary 3 requirements for multiplying up to 3 digits by 1 digit (e.g. 125 × 4). Synergy: The subtraction can be done independently of knowing how to multiply large numbers, since multiplying single digits (8 × 5) is a Primary 2 skill. The arithmetic does not require extended use of both KCs in tandem as expected.</t>
  </si>
  <si>
    <t>D- The context is about spending pocket money on a storybook and a pencil, which is more of a personal purchase scenario, not clearly related to household finance topics such as income, utility bills, savings, or financial planning as specified in the intended topic.</t>
  </si>
  <si>
    <t>4- The context is about sharing coins and donating to charity, which is a simple household action but does not directly connect to household finance concepts such as income, utility bills, savings, planning, etc. The problem is more general than the specified finance topic.</t>
  </si>
  <si>
    <t>A. Answerability = 0: The sum of $[FORMULA]$ and $[FORMULA]$ is more than 1, which means Sarah spent more than her total weekly pocket money (1). This is illogical and unanswerable in a real context. B. Primary KC Alignment = 0: The problem setup makes subtraction irrelevant because the sum of the fractions exceeds 1; it is not possible to find out what fraction was left using subtraction as intended. E. Grade Alignment = 0: The question encourages students to sum two fractions over 1 and then subtract from 1, which goes beyond typical syllabus for Primary 4 and risks teaching misapplication. F. Real-World Feasibility = 0: It is not feasible or realistic for someone to spend more than their total pocket money on stated items without mentioning borrowing/credit. G. Synergy = 0: Since primary KC (subtraction) is not logically applicable, synergy with addition does not exist.</t>
  </si>
  <si>
    <t xml:space="preserve">Primary KC Alignment: The subtraction task and rounding require subtraction of decimals with more than 2 decimal places (e.g., 54.105 - 53.99), which does NOT fully align with 'subtracting decimals (up to 2 decimal places)', violating the intended primary KC. / Grade Alignment: Primary 4 students in Singapore are generally only expected to interpret and operate on decimals up to 2 decimal places, not 3 decimal places (54.105), so this problem requires knowledge beyond the intended grade. </t>
  </si>
  <si>
    <t xml:space="preserve">Primary KC Alignment: The price of the box of cookies is given as $7.350, which involves a 3-decimal place number, but the multiplication students are asked to do (e.g., 3 x $4.25) only involves up to 2 decimal places. The multiplication required is within Primary 4 expectations, but using $7.350 for comparison is unusual for Singapore context and not practicing multiplication to 3 decimal places. Grade Alignment: Price listed as $7.350 exceeds the Primary 4 scope, as students at this level only work with 2 decimal places for money context. Synergy: The comparison of decimals (3dp) is not inherently linked to the multiplication required (all 2dp). There is no clear tandem use to solve the word problem. Language Quality: The price '$7.350' should be '$7.35' for currency. </t>
  </si>
  <si>
    <t>4: The scenario, while related to household cooking supplies, does not specifically relate to household finance such as income, utility bills, money, interest, savings, instalment, mortgage, or financial planning—the intended topic. It focuses only on the quantity of cooking oil used, rather than any financial aspect.</t>
  </si>
  <si>
    <t>Conciseness and Relevance: (a) asks for the answer BEFORE simplifying, which is unnecessary as (b) already requires the answer in simplest form. There is no meaningful distinction between before/after in this context for real money, as students would be taught to always simplify. The split into two parts adds redundancy rather than mathematical depth.</t>
  </si>
  <si>
    <t>D* The word problem context involves calculating rice usage, which relates to shopping or cooking, but not directly to 'household finance' like income, utility bills, or financial planning as specified in the intended topic.</t>
  </si>
  <si>
    <t>Primary KC Alignment: The key intended KC is 'multiplying decimals (up to 3 decimal places) by 10, 100, 1000 and their multiples'. The actual multiplication in the word problem is 3.285 (up to 3 dp) × 31, where 31 is NOT a multiple of 10, 100, 1000 (it's just a two-digit whole number). The intended KC would specifically require the use of multiplying decimals by 10, 100, or 1000 (or similar multiples, such as 20, 200, 3000, etc.), which this question does NOT require; here, a regular whole number (31) is used, not focusing on the place-value concept that the KC targets. Thus primary KC is NOT fully satisfied.</t>
  </si>
  <si>
    <t>2- The division required is $\$124.500 [FORMULA] 3$, which is not a division by 10, 100, 1000, or their multiples but by 3. This does not require knowledge of divisibility by powers of 10 nor does it reinforce that specific skill, thus it does not fully align with the intended primary knowledge component.</t>
  </si>
  <si>
    <t>Secondary KC Alignment (0) - The only required operation to answer the question is dividing 245.370 by 10 (primary KC); no subtraction of decimals is required to answer the problem as written. Synergy (0) - Only the result of a single division is required. There is no need to combine both division and subtraction to solve the problem.</t>
  </si>
  <si>
    <t>4: The problem is about sharing and combining fractions of food, not about household finance (e.g. income, bills, savings, mortgage, etc.). The context does not fit the intended topic.</t>
  </si>
  <si>
    <t>Primary KC Alignment (0): The problem requires setting up a ratio for Amy and her sister's savings, but after Amy spends $15, the new ratio between Amy's reduced savings and her sister's unchanged savings is not necessarily the same as 5:3 unless additional constraints are met. There is ambiguity as to how the ratio can still be 5:3 after Amy spends money and her sister’s amount stays the same. There is not enough logical basis to apply 'finding the missing term in a pair of equivalent ratios', as the described scenario can only happen if a specific, non-obvious constraint is enforced. Synergy (0): The two knowledge components (ratio and subtraction) are not used in tandem to achieve the solution. Subtraction is used after the initial ratio setup, but maintaining the ratio after subtraction is poorly motivated and possibly contradictory unless more detail is added.</t>
  </si>
  <si>
    <t>D - Topic alignment: While the scenario is a household context, the problem specifically focuses on geometric area and algebraic formulation rather than issues such as income, utility bills, interest, savings, instalment, mortgage, or financial planning. The question borders on household expenses, but the main mathematical angle is area and cost calculation, not direct household finance as defined in the criteria.</t>
  </si>
  <si>
    <t>7: The two questions (median, range) are independent and do not require using the result of one to solve the other. They are both calculated from the same initial data, but there is no integration or interdependence.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</si>
</sst>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2.798602819442749</v>
      </c>
    </row>
    <row r="3" spans="1:17" x14ac:dyDescent="0.25">
      <c r="A3" t="s">
        <v>17</v>
      </c>
      <c r="B3" t="s">
        <v>19</v>
      </c>
      <c r="C3">
        <v>0</v>
      </c>
      <c r="D3">
        <v>1</v>
      </c>
      <c r="E3">
        <v>1</v>
      </c>
      <c r="F3">
        <v>0</v>
      </c>
      <c r="G3">
        <v>1</v>
      </c>
      <c r="H3">
        <v>1</v>
      </c>
      <c r="I3">
        <v>1</v>
      </c>
      <c r="J3" t="s">
        <v>20</v>
      </c>
      <c r="K3">
        <v>1</v>
      </c>
      <c r="L3">
        <v>1</v>
      </c>
      <c r="M3">
        <v>1</v>
      </c>
      <c r="N3">
        <v>1</v>
      </c>
      <c r="O3" t="s">
        <v>21</v>
      </c>
      <c r="P3">
        <v>2.741911649703979</v>
      </c>
    </row>
    <row r="4" spans="1:17" x14ac:dyDescent="0.25">
      <c r="A4" t="s">
        <v>17</v>
      </c>
      <c r="B4" t="s">
        <v>22</v>
      </c>
      <c r="C4">
        <v>0</v>
      </c>
      <c r="D4">
        <v>1</v>
      </c>
      <c r="E4">
        <v>1</v>
      </c>
      <c r="F4">
        <v>1</v>
      </c>
      <c r="G4">
        <v>0</v>
      </c>
      <c r="H4">
        <v>1</v>
      </c>
      <c r="I4">
        <v>1</v>
      </c>
      <c r="J4">
        <v>1</v>
      </c>
      <c r="K4">
        <v>1</v>
      </c>
      <c r="L4">
        <v>1</v>
      </c>
      <c r="M4">
        <v>1</v>
      </c>
      <c r="N4">
        <v>1</v>
      </c>
      <c r="O4" t="s">
        <v>23</v>
      </c>
      <c r="P4">
        <v>2.2084112167358398</v>
      </c>
    </row>
    <row r="5" spans="1:17" x14ac:dyDescent="0.25">
      <c r="A5" t="s">
        <v>17</v>
      </c>
      <c r="B5" t="s">
        <v>24</v>
      </c>
      <c r="C5">
        <v>0</v>
      </c>
      <c r="D5">
        <v>1</v>
      </c>
      <c r="E5">
        <v>1</v>
      </c>
      <c r="F5">
        <v>1</v>
      </c>
      <c r="G5">
        <v>1</v>
      </c>
      <c r="H5">
        <v>1</v>
      </c>
      <c r="I5">
        <v>1</v>
      </c>
      <c r="J5">
        <v>1</v>
      </c>
      <c r="K5">
        <v>1</v>
      </c>
      <c r="L5">
        <v>1</v>
      </c>
      <c r="M5">
        <v>1</v>
      </c>
      <c r="N5">
        <v>1</v>
      </c>
      <c r="P5">
        <v>1.228440523147583</v>
      </c>
    </row>
    <row r="6" spans="1:17" x14ac:dyDescent="0.25">
      <c r="A6" t="s">
        <v>17</v>
      </c>
      <c r="B6" t="s">
        <v>25</v>
      </c>
      <c r="C6">
        <v>0</v>
      </c>
      <c r="D6">
        <v>1</v>
      </c>
      <c r="E6">
        <v>1</v>
      </c>
      <c r="F6">
        <v>1</v>
      </c>
      <c r="G6">
        <v>1</v>
      </c>
      <c r="H6">
        <v>1</v>
      </c>
      <c r="I6">
        <v>1</v>
      </c>
      <c r="J6">
        <v>1</v>
      </c>
      <c r="K6">
        <v>1</v>
      </c>
      <c r="L6">
        <v>1</v>
      </c>
      <c r="M6">
        <v>1</v>
      </c>
      <c r="N6">
        <v>1</v>
      </c>
      <c r="P6">
        <v>1.4809985160827639</v>
      </c>
    </row>
    <row r="7" spans="1:17" x14ac:dyDescent="0.25">
      <c r="A7" t="s">
        <v>17</v>
      </c>
      <c r="B7" t="s">
        <v>26</v>
      </c>
      <c r="C7">
        <v>0</v>
      </c>
      <c r="D7">
        <v>1</v>
      </c>
      <c r="E7">
        <v>1</v>
      </c>
      <c r="F7">
        <v>1</v>
      </c>
      <c r="G7">
        <v>1</v>
      </c>
      <c r="H7">
        <v>1</v>
      </c>
      <c r="I7">
        <v>1</v>
      </c>
      <c r="J7">
        <v>1</v>
      </c>
      <c r="K7">
        <v>1</v>
      </c>
      <c r="L7">
        <v>1</v>
      </c>
      <c r="M7">
        <v>1</v>
      </c>
      <c r="N7">
        <v>1</v>
      </c>
      <c r="P7">
        <v>1.5903060436248779</v>
      </c>
    </row>
    <row r="8" spans="1:17" x14ac:dyDescent="0.25">
      <c r="A8" t="s">
        <v>17</v>
      </c>
      <c r="B8" t="s">
        <v>27</v>
      </c>
      <c r="C8">
        <v>0</v>
      </c>
      <c r="D8">
        <v>1</v>
      </c>
      <c r="E8">
        <v>1</v>
      </c>
      <c r="F8">
        <v>1</v>
      </c>
      <c r="G8">
        <v>0</v>
      </c>
      <c r="H8">
        <v>1</v>
      </c>
      <c r="I8">
        <v>1</v>
      </c>
      <c r="J8">
        <v>1</v>
      </c>
      <c r="K8">
        <v>1</v>
      </c>
      <c r="L8">
        <v>1</v>
      </c>
      <c r="M8">
        <v>1</v>
      </c>
      <c r="N8">
        <v>1</v>
      </c>
      <c r="O8" t="s">
        <v>28</v>
      </c>
      <c r="P8">
        <v>1.7504017353057859</v>
      </c>
    </row>
    <row r="9" spans="1:17" x14ac:dyDescent="0.25">
      <c r="A9" t="s">
        <v>17</v>
      </c>
      <c r="B9" t="s">
        <v>29</v>
      </c>
      <c r="C9">
        <v>0</v>
      </c>
      <c r="D9">
        <v>1</v>
      </c>
      <c r="E9">
        <v>1</v>
      </c>
      <c r="F9">
        <v>1</v>
      </c>
      <c r="G9">
        <v>1</v>
      </c>
      <c r="H9">
        <v>1</v>
      </c>
      <c r="I9">
        <v>1</v>
      </c>
      <c r="J9">
        <v>1</v>
      </c>
      <c r="K9">
        <v>1</v>
      </c>
      <c r="L9">
        <v>1</v>
      </c>
      <c r="M9">
        <v>1</v>
      </c>
      <c r="N9">
        <v>1</v>
      </c>
      <c r="P9">
        <v>1.256360530853271</v>
      </c>
    </row>
    <row r="10" spans="1:17" x14ac:dyDescent="0.25">
      <c r="A10" t="s">
        <v>17</v>
      </c>
      <c r="B10" t="s">
        <v>30</v>
      </c>
      <c r="C10">
        <v>0</v>
      </c>
      <c r="D10">
        <v>1</v>
      </c>
      <c r="E10">
        <v>1</v>
      </c>
      <c r="F10">
        <v>0</v>
      </c>
      <c r="G10">
        <v>1</v>
      </c>
      <c r="H10">
        <v>1</v>
      </c>
      <c r="I10">
        <v>1</v>
      </c>
      <c r="J10" t="s">
        <v>20</v>
      </c>
      <c r="K10">
        <v>1</v>
      </c>
      <c r="L10">
        <v>1</v>
      </c>
      <c r="M10">
        <v>1</v>
      </c>
      <c r="N10">
        <v>1</v>
      </c>
      <c r="O10" t="s">
        <v>31</v>
      </c>
      <c r="P10">
        <v>1.7207450866699221</v>
      </c>
    </row>
    <row r="11" spans="1:17" x14ac:dyDescent="0.25">
      <c r="A11" t="s">
        <v>17</v>
      </c>
      <c r="B11" t="s">
        <v>32</v>
      </c>
      <c r="C11">
        <v>0</v>
      </c>
      <c r="D11">
        <v>1</v>
      </c>
      <c r="E11">
        <v>1</v>
      </c>
      <c r="F11">
        <v>1</v>
      </c>
      <c r="G11">
        <v>1</v>
      </c>
      <c r="H11">
        <v>1</v>
      </c>
      <c r="I11">
        <v>1</v>
      </c>
      <c r="J11">
        <v>1</v>
      </c>
      <c r="K11">
        <v>1</v>
      </c>
      <c r="L11">
        <v>1</v>
      </c>
      <c r="M11">
        <v>1</v>
      </c>
      <c r="N11">
        <v>1</v>
      </c>
      <c r="P11">
        <v>1.4076006412506099</v>
      </c>
    </row>
    <row r="12" spans="1:17" x14ac:dyDescent="0.25">
      <c r="A12" t="s">
        <v>17</v>
      </c>
      <c r="B12" t="s">
        <v>33</v>
      </c>
      <c r="C12">
        <v>0</v>
      </c>
      <c r="D12">
        <v>1</v>
      </c>
      <c r="E12">
        <v>1</v>
      </c>
      <c r="F12">
        <v>1</v>
      </c>
      <c r="G12">
        <v>1</v>
      </c>
      <c r="H12">
        <v>1</v>
      </c>
      <c r="I12">
        <v>1</v>
      </c>
      <c r="J12">
        <v>1</v>
      </c>
      <c r="K12">
        <v>1</v>
      </c>
      <c r="L12">
        <v>1</v>
      </c>
      <c r="M12">
        <v>1</v>
      </c>
      <c r="N12">
        <v>1</v>
      </c>
      <c r="P12">
        <v>1.5367052555084231</v>
      </c>
    </row>
    <row r="13" spans="1:17" x14ac:dyDescent="0.25">
      <c r="A13" t="s">
        <v>17</v>
      </c>
      <c r="B13" t="s">
        <v>34</v>
      </c>
      <c r="C13">
        <v>0</v>
      </c>
      <c r="D13">
        <v>1</v>
      </c>
      <c r="E13">
        <v>1</v>
      </c>
      <c r="F13">
        <v>1</v>
      </c>
      <c r="G13">
        <v>1</v>
      </c>
      <c r="H13">
        <v>1</v>
      </c>
      <c r="I13">
        <v>1</v>
      </c>
      <c r="J13">
        <v>1</v>
      </c>
      <c r="K13">
        <v>1</v>
      </c>
      <c r="L13">
        <v>1</v>
      </c>
      <c r="M13">
        <v>1</v>
      </c>
      <c r="N13">
        <v>1</v>
      </c>
      <c r="P13">
        <v>1.569591760635376</v>
      </c>
    </row>
    <row r="14" spans="1:17" x14ac:dyDescent="0.25">
      <c r="A14" t="s">
        <v>17</v>
      </c>
      <c r="B14" t="s">
        <v>35</v>
      </c>
      <c r="C14">
        <v>0</v>
      </c>
      <c r="D14">
        <v>1</v>
      </c>
      <c r="E14">
        <v>0</v>
      </c>
      <c r="F14">
        <v>1</v>
      </c>
      <c r="G14">
        <v>1</v>
      </c>
      <c r="H14" t="s">
        <v>20</v>
      </c>
      <c r="I14">
        <v>0</v>
      </c>
      <c r="J14" t="s">
        <v>20</v>
      </c>
      <c r="K14">
        <v>1</v>
      </c>
      <c r="L14">
        <v>1</v>
      </c>
      <c r="M14">
        <v>1</v>
      </c>
      <c r="N14">
        <v>1</v>
      </c>
      <c r="O14" t="s">
        <v>36</v>
      </c>
      <c r="P14">
        <v>6.1486973762512207</v>
      </c>
    </row>
    <row r="15" spans="1:17" x14ac:dyDescent="0.25">
      <c r="A15" t="s">
        <v>17</v>
      </c>
      <c r="B15" t="s">
        <v>37</v>
      </c>
      <c r="C15">
        <v>0</v>
      </c>
      <c r="D15">
        <v>1</v>
      </c>
      <c r="E15">
        <v>1</v>
      </c>
      <c r="F15">
        <v>1</v>
      </c>
      <c r="G15">
        <v>1</v>
      </c>
      <c r="H15">
        <v>1</v>
      </c>
      <c r="I15">
        <v>1</v>
      </c>
      <c r="J15">
        <v>1</v>
      </c>
      <c r="K15">
        <v>1</v>
      </c>
      <c r="L15">
        <v>1</v>
      </c>
      <c r="M15">
        <v>1</v>
      </c>
      <c r="N15">
        <v>1</v>
      </c>
      <c r="P15">
        <v>1.266074419021606</v>
      </c>
    </row>
    <row r="16" spans="1:17" x14ac:dyDescent="0.25">
      <c r="A16" t="s">
        <v>17</v>
      </c>
      <c r="B16" t="s">
        <v>38</v>
      </c>
      <c r="C16">
        <v>0</v>
      </c>
      <c r="D16">
        <v>1</v>
      </c>
      <c r="E16">
        <v>1</v>
      </c>
      <c r="F16">
        <v>1</v>
      </c>
      <c r="G16">
        <v>1</v>
      </c>
      <c r="H16">
        <v>1</v>
      </c>
      <c r="I16">
        <v>1</v>
      </c>
      <c r="J16">
        <v>1</v>
      </c>
      <c r="K16">
        <v>1</v>
      </c>
      <c r="L16">
        <v>1</v>
      </c>
      <c r="M16">
        <v>1</v>
      </c>
      <c r="N16">
        <v>1</v>
      </c>
      <c r="P16">
        <v>1.7776627540588379</v>
      </c>
    </row>
    <row r="17" spans="1:17" x14ac:dyDescent="0.25">
      <c r="A17" t="s">
        <v>17</v>
      </c>
      <c r="B17" t="s">
        <v>39</v>
      </c>
      <c r="C17">
        <v>0</v>
      </c>
      <c r="D17">
        <v>1</v>
      </c>
      <c r="E17">
        <v>1</v>
      </c>
      <c r="F17">
        <v>1</v>
      </c>
      <c r="G17">
        <v>1</v>
      </c>
      <c r="H17">
        <v>1</v>
      </c>
      <c r="I17">
        <v>1</v>
      </c>
      <c r="J17">
        <v>1</v>
      </c>
      <c r="K17">
        <v>1</v>
      </c>
      <c r="L17">
        <v>1</v>
      </c>
      <c r="M17">
        <v>1</v>
      </c>
      <c r="N17">
        <v>1</v>
      </c>
      <c r="P17">
        <v>3.2931232452392578</v>
      </c>
    </row>
    <row r="18" spans="1:17" x14ac:dyDescent="0.25">
      <c r="A18" t="s">
        <v>17</v>
      </c>
      <c r="B18" t="s">
        <v>40</v>
      </c>
      <c r="C18">
        <v>0</v>
      </c>
      <c r="D18">
        <v>1</v>
      </c>
      <c r="E18">
        <v>1</v>
      </c>
      <c r="F18">
        <v>1</v>
      </c>
      <c r="G18">
        <v>1</v>
      </c>
      <c r="H18">
        <v>1</v>
      </c>
      <c r="I18">
        <v>1</v>
      </c>
      <c r="J18">
        <v>1</v>
      </c>
      <c r="K18">
        <v>1</v>
      </c>
      <c r="L18">
        <v>1</v>
      </c>
      <c r="M18">
        <v>1</v>
      </c>
      <c r="N18">
        <v>1</v>
      </c>
      <c r="P18">
        <v>1.2436642646789551</v>
      </c>
    </row>
    <row r="19" spans="1:17" x14ac:dyDescent="0.25">
      <c r="A19" t="s">
        <v>17</v>
      </c>
      <c r="B19" t="s">
        <v>41</v>
      </c>
      <c r="C19">
        <v>0</v>
      </c>
      <c r="D19">
        <v>1</v>
      </c>
      <c r="E19">
        <v>1</v>
      </c>
      <c r="F19">
        <v>1</v>
      </c>
      <c r="G19">
        <v>1</v>
      </c>
      <c r="H19">
        <v>1</v>
      </c>
      <c r="I19">
        <v>1</v>
      </c>
      <c r="J19">
        <v>1</v>
      </c>
      <c r="K19">
        <v>1</v>
      </c>
      <c r="L19">
        <v>1</v>
      </c>
      <c r="M19">
        <v>1</v>
      </c>
      <c r="N19">
        <v>1</v>
      </c>
      <c r="P19">
        <v>3.2166991233825679</v>
      </c>
    </row>
    <row r="20" spans="1:17" x14ac:dyDescent="0.25">
      <c r="A20" t="s">
        <v>17</v>
      </c>
      <c r="B20" t="s">
        <v>42</v>
      </c>
      <c r="C20">
        <v>0</v>
      </c>
      <c r="D20">
        <v>1</v>
      </c>
      <c r="E20">
        <v>1</v>
      </c>
      <c r="F20">
        <v>1</v>
      </c>
      <c r="G20">
        <v>1</v>
      </c>
      <c r="H20">
        <v>1</v>
      </c>
      <c r="I20">
        <v>1</v>
      </c>
      <c r="J20">
        <v>1</v>
      </c>
      <c r="K20">
        <v>1</v>
      </c>
      <c r="L20">
        <v>1</v>
      </c>
      <c r="M20">
        <v>1</v>
      </c>
      <c r="N20">
        <v>1</v>
      </c>
      <c r="P20">
        <v>1.2960212230682371</v>
      </c>
    </row>
    <row r="21" spans="1:17" x14ac:dyDescent="0.25">
      <c r="A21" t="s">
        <v>17</v>
      </c>
      <c r="B21" t="s">
        <v>43</v>
      </c>
      <c r="C21">
        <v>0</v>
      </c>
      <c r="D21">
        <v>1</v>
      </c>
      <c r="E21">
        <v>1</v>
      </c>
      <c r="F21">
        <v>1</v>
      </c>
      <c r="G21">
        <v>1</v>
      </c>
      <c r="H21">
        <v>1</v>
      </c>
      <c r="I21">
        <v>1</v>
      </c>
      <c r="J21">
        <v>1</v>
      </c>
      <c r="K21">
        <v>1</v>
      </c>
      <c r="L21">
        <v>1</v>
      </c>
      <c r="M21">
        <v>1</v>
      </c>
      <c r="N21">
        <v>1</v>
      </c>
      <c r="P21">
        <v>1.4096179008483889</v>
      </c>
    </row>
    <row r="22" spans="1:17" x14ac:dyDescent="0.25">
      <c r="A22" t="s">
        <v>17</v>
      </c>
      <c r="B22" t="s">
        <v>44</v>
      </c>
      <c r="C22">
        <v>0</v>
      </c>
      <c r="D22">
        <v>1</v>
      </c>
      <c r="E22">
        <v>1</v>
      </c>
      <c r="F22">
        <v>1</v>
      </c>
      <c r="G22">
        <v>1</v>
      </c>
      <c r="H22">
        <v>1</v>
      </c>
      <c r="I22">
        <v>1</v>
      </c>
      <c r="J22">
        <v>1</v>
      </c>
      <c r="K22">
        <v>1</v>
      </c>
      <c r="L22">
        <v>1</v>
      </c>
      <c r="M22">
        <v>1</v>
      </c>
      <c r="N22">
        <v>1</v>
      </c>
      <c r="P22">
        <v>1.3042969703674321</v>
      </c>
    </row>
    <row r="23" spans="1:17" x14ac:dyDescent="0.25">
      <c r="A23" t="s">
        <v>17</v>
      </c>
      <c r="B23" t="s">
        <v>45</v>
      </c>
      <c r="C23">
        <v>0</v>
      </c>
      <c r="D23">
        <v>1</v>
      </c>
      <c r="E23">
        <v>1</v>
      </c>
      <c r="F23">
        <v>0</v>
      </c>
      <c r="G23">
        <v>1</v>
      </c>
      <c r="H23">
        <v>1</v>
      </c>
      <c r="I23">
        <v>1</v>
      </c>
      <c r="J23" t="s">
        <v>20</v>
      </c>
      <c r="K23">
        <v>1</v>
      </c>
      <c r="L23">
        <v>1</v>
      </c>
      <c r="M23">
        <v>1</v>
      </c>
      <c r="N23">
        <v>1</v>
      </c>
      <c r="O23" t="s">
        <v>46</v>
      </c>
      <c r="P23">
        <v>3.6889247894287109</v>
      </c>
    </row>
    <row r="24" spans="1:17" x14ac:dyDescent="0.25">
      <c r="A24" t="s">
        <v>17</v>
      </c>
      <c r="B24" t="s">
        <v>47</v>
      </c>
      <c r="C24">
        <v>0</v>
      </c>
      <c r="D24">
        <v>1</v>
      </c>
      <c r="E24">
        <v>1</v>
      </c>
      <c r="F24">
        <v>1</v>
      </c>
      <c r="G24">
        <v>1</v>
      </c>
      <c r="H24">
        <v>1</v>
      </c>
      <c r="I24">
        <v>1</v>
      </c>
      <c r="J24">
        <v>1</v>
      </c>
      <c r="K24">
        <v>1</v>
      </c>
      <c r="L24">
        <v>1</v>
      </c>
      <c r="M24">
        <v>1</v>
      </c>
      <c r="N24">
        <v>1</v>
      </c>
      <c r="P24">
        <v>3.231070995330811</v>
      </c>
    </row>
    <row r="25" spans="1:17" x14ac:dyDescent="0.25">
      <c r="A25" t="s">
        <v>17</v>
      </c>
      <c r="B25" t="s">
        <v>48</v>
      </c>
      <c r="C25">
        <v>0</v>
      </c>
      <c r="D25">
        <v>1</v>
      </c>
      <c r="E25">
        <v>1</v>
      </c>
      <c r="F25">
        <v>0</v>
      </c>
      <c r="G25">
        <v>1</v>
      </c>
      <c r="H25">
        <v>1</v>
      </c>
      <c r="I25">
        <v>1</v>
      </c>
      <c r="J25" t="s">
        <v>20</v>
      </c>
      <c r="K25">
        <v>1</v>
      </c>
      <c r="L25">
        <v>1</v>
      </c>
      <c r="M25">
        <v>1</v>
      </c>
      <c r="N25">
        <v>1</v>
      </c>
      <c r="O25" t="s">
        <v>49</v>
      </c>
      <c r="P25">
        <v>2.097420215606689</v>
      </c>
    </row>
    <row r="26" spans="1:17" x14ac:dyDescent="0.25">
      <c r="A26" t="s">
        <v>17</v>
      </c>
      <c r="B26" t="s">
        <v>50</v>
      </c>
      <c r="C26">
        <v>0</v>
      </c>
      <c r="D26">
        <v>1</v>
      </c>
      <c r="E26">
        <v>1</v>
      </c>
      <c r="F26">
        <v>1</v>
      </c>
      <c r="G26">
        <v>1</v>
      </c>
      <c r="H26">
        <v>1</v>
      </c>
      <c r="I26">
        <v>1</v>
      </c>
      <c r="J26">
        <v>1</v>
      </c>
      <c r="K26">
        <v>1</v>
      </c>
      <c r="L26">
        <v>1</v>
      </c>
      <c r="M26">
        <v>1</v>
      </c>
      <c r="N26">
        <v>1</v>
      </c>
      <c r="P26">
        <v>1.766305208206177</v>
      </c>
    </row>
    <row r="27" spans="1:17" x14ac:dyDescent="0.25">
      <c r="A27" t="s">
        <v>17</v>
      </c>
      <c r="B27" t="s">
        <v>51</v>
      </c>
      <c r="C27">
        <v>0</v>
      </c>
      <c r="D27">
        <v>1</v>
      </c>
      <c r="E27">
        <v>1</v>
      </c>
      <c r="F27">
        <v>0</v>
      </c>
      <c r="G27">
        <v>0</v>
      </c>
      <c r="H27">
        <v>1</v>
      </c>
      <c r="I27">
        <v>1</v>
      </c>
      <c r="J27" t="s">
        <v>20</v>
      </c>
      <c r="K27">
        <v>1</v>
      </c>
      <c r="L27">
        <v>1</v>
      </c>
      <c r="M27">
        <v>1</v>
      </c>
      <c r="N27">
        <v>1</v>
      </c>
      <c r="O27" t="s">
        <v>52</v>
      </c>
      <c r="P27">
        <v>3.0723376274108891</v>
      </c>
    </row>
    <row r="28" spans="1:17" x14ac:dyDescent="0.25">
      <c r="A28" t="s">
        <v>17</v>
      </c>
      <c r="B28" t="s">
        <v>53</v>
      </c>
      <c r="C28">
        <v>0</v>
      </c>
      <c r="D28">
        <v>0</v>
      </c>
      <c r="E28" t="s">
        <v>20</v>
      </c>
      <c r="F28" t="s">
        <v>20</v>
      </c>
      <c r="G28" t="s">
        <v>20</v>
      </c>
      <c r="H28" t="s">
        <v>20</v>
      </c>
      <c r="I28" t="s">
        <v>20</v>
      </c>
      <c r="J28" t="s">
        <v>20</v>
      </c>
      <c r="K28" t="s">
        <v>20</v>
      </c>
      <c r="L28" t="s">
        <v>20</v>
      </c>
      <c r="M28">
        <v>1</v>
      </c>
      <c r="N28" t="s">
        <v>20</v>
      </c>
      <c r="O28" t="s">
        <v>54</v>
      </c>
      <c r="P28">
        <v>3.8039803504943852</v>
      </c>
      <c r="Q28" t="s">
        <v>20</v>
      </c>
    </row>
    <row r="29" spans="1:17" x14ac:dyDescent="0.25">
      <c r="A29" t="s">
        <v>17</v>
      </c>
      <c r="B29" t="s">
        <v>55</v>
      </c>
      <c r="C29">
        <v>0</v>
      </c>
      <c r="D29">
        <v>1</v>
      </c>
      <c r="E29">
        <v>1</v>
      </c>
      <c r="F29">
        <v>1</v>
      </c>
      <c r="G29">
        <v>1</v>
      </c>
      <c r="H29">
        <v>1</v>
      </c>
      <c r="I29">
        <v>1</v>
      </c>
      <c r="J29">
        <v>1</v>
      </c>
      <c r="K29">
        <v>1</v>
      </c>
      <c r="L29">
        <v>1</v>
      </c>
      <c r="M29">
        <v>1</v>
      </c>
      <c r="N29">
        <v>1</v>
      </c>
      <c r="P29">
        <v>1.2004127502441411</v>
      </c>
    </row>
    <row r="30" spans="1:17" x14ac:dyDescent="0.25">
      <c r="A30" t="s">
        <v>17</v>
      </c>
      <c r="B30" t="s">
        <v>56</v>
      </c>
      <c r="C30">
        <v>0</v>
      </c>
      <c r="D30">
        <v>1</v>
      </c>
      <c r="E30">
        <v>1</v>
      </c>
      <c r="F30">
        <v>1</v>
      </c>
      <c r="G30">
        <v>0</v>
      </c>
      <c r="H30">
        <v>1</v>
      </c>
      <c r="I30">
        <v>1</v>
      </c>
      <c r="J30">
        <v>1</v>
      </c>
      <c r="K30">
        <v>1</v>
      </c>
      <c r="L30">
        <v>1</v>
      </c>
      <c r="M30">
        <v>1</v>
      </c>
      <c r="N30">
        <v>1</v>
      </c>
      <c r="O30" t="s">
        <v>57</v>
      </c>
      <c r="P30">
        <v>1.911845445632935</v>
      </c>
    </row>
    <row r="31" spans="1:17" x14ac:dyDescent="0.25">
      <c r="A31" t="s">
        <v>17</v>
      </c>
      <c r="B31" t="s">
        <v>58</v>
      </c>
      <c r="C31">
        <v>0</v>
      </c>
      <c r="D31">
        <v>1</v>
      </c>
      <c r="E31">
        <v>0</v>
      </c>
      <c r="F31">
        <v>1</v>
      </c>
      <c r="G31">
        <v>1</v>
      </c>
      <c r="H31" t="s">
        <v>20</v>
      </c>
      <c r="I31">
        <v>1</v>
      </c>
      <c r="J31" t="s">
        <v>20</v>
      </c>
      <c r="K31">
        <v>1</v>
      </c>
      <c r="L31">
        <v>1</v>
      </c>
      <c r="M31">
        <v>1</v>
      </c>
      <c r="N31">
        <v>1</v>
      </c>
      <c r="O31" t="s">
        <v>59</v>
      </c>
      <c r="P31">
        <v>3.267448902130127</v>
      </c>
    </row>
    <row r="32" spans="1:17" x14ac:dyDescent="0.25">
      <c r="A32" t="s">
        <v>17</v>
      </c>
      <c r="B32" t="s">
        <v>60</v>
      </c>
      <c r="C32">
        <v>0</v>
      </c>
      <c r="D32">
        <v>1</v>
      </c>
      <c r="E32">
        <v>0</v>
      </c>
      <c r="F32">
        <v>1</v>
      </c>
      <c r="G32">
        <v>1</v>
      </c>
      <c r="H32" t="s">
        <v>20</v>
      </c>
      <c r="I32">
        <v>1</v>
      </c>
      <c r="J32" t="s">
        <v>20</v>
      </c>
      <c r="K32">
        <v>1</v>
      </c>
      <c r="L32">
        <v>1</v>
      </c>
      <c r="M32">
        <v>1</v>
      </c>
      <c r="N32">
        <v>1</v>
      </c>
      <c r="O32" t="s">
        <v>61</v>
      </c>
      <c r="P32">
        <v>2.662971019744873</v>
      </c>
    </row>
    <row r="33" spans="1:16" x14ac:dyDescent="0.25">
      <c r="A33" t="s">
        <v>17</v>
      </c>
      <c r="B33" t="s">
        <v>62</v>
      </c>
      <c r="C33">
        <v>0</v>
      </c>
      <c r="D33">
        <v>1</v>
      </c>
      <c r="E33">
        <v>1</v>
      </c>
      <c r="F33">
        <v>1</v>
      </c>
      <c r="G33">
        <v>1</v>
      </c>
      <c r="H33">
        <v>1</v>
      </c>
      <c r="I33">
        <v>1</v>
      </c>
      <c r="J33">
        <v>1</v>
      </c>
      <c r="K33">
        <v>1</v>
      </c>
      <c r="L33">
        <v>1</v>
      </c>
      <c r="M33">
        <v>1</v>
      </c>
      <c r="N33">
        <v>1</v>
      </c>
      <c r="P33">
        <v>2.629683256149292</v>
      </c>
    </row>
    <row r="34" spans="1:16" x14ac:dyDescent="0.25">
      <c r="A34" t="s">
        <v>17</v>
      </c>
      <c r="B34" t="s">
        <v>63</v>
      </c>
      <c r="C34">
        <v>0</v>
      </c>
      <c r="D34">
        <v>1</v>
      </c>
      <c r="E34">
        <v>1</v>
      </c>
      <c r="F34">
        <v>1</v>
      </c>
      <c r="G34">
        <v>1</v>
      </c>
      <c r="H34">
        <v>1</v>
      </c>
      <c r="I34">
        <v>1</v>
      </c>
      <c r="J34">
        <v>1</v>
      </c>
      <c r="K34">
        <v>1</v>
      </c>
      <c r="L34">
        <v>1</v>
      </c>
      <c r="M34">
        <v>0</v>
      </c>
      <c r="N34">
        <v>1</v>
      </c>
      <c r="O34" t="s">
        <v>64</v>
      </c>
      <c r="P34">
        <v>1.840017557144165</v>
      </c>
    </row>
    <row r="35" spans="1:16" x14ac:dyDescent="0.25">
      <c r="A35" t="s">
        <v>17</v>
      </c>
      <c r="B35" t="s">
        <v>65</v>
      </c>
      <c r="C35">
        <v>0</v>
      </c>
      <c r="D35">
        <v>1</v>
      </c>
      <c r="E35">
        <v>1</v>
      </c>
      <c r="F35">
        <v>1</v>
      </c>
      <c r="G35">
        <v>1</v>
      </c>
      <c r="H35">
        <v>1</v>
      </c>
      <c r="I35">
        <v>1</v>
      </c>
      <c r="J35">
        <v>1</v>
      </c>
      <c r="K35">
        <v>1</v>
      </c>
      <c r="L35">
        <v>1</v>
      </c>
      <c r="M35">
        <v>1</v>
      </c>
      <c r="N35">
        <v>1</v>
      </c>
      <c r="P35">
        <v>1.575759649276733</v>
      </c>
    </row>
    <row r="36" spans="1:16" x14ac:dyDescent="0.25">
      <c r="A36" t="s">
        <v>17</v>
      </c>
      <c r="B36" t="s">
        <v>66</v>
      </c>
      <c r="C36">
        <v>0</v>
      </c>
      <c r="D36">
        <v>1</v>
      </c>
      <c r="E36">
        <v>1</v>
      </c>
      <c r="F36">
        <v>1</v>
      </c>
      <c r="G36">
        <v>1</v>
      </c>
      <c r="H36">
        <v>1</v>
      </c>
      <c r="I36">
        <v>1</v>
      </c>
      <c r="J36">
        <v>1</v>
      </c>
      <c r="K36">
        <v>1</v>
      </c>
      <c r="L36">
        <v>1</v>
      </c>
      <c r="M36">
        <v>1</v>
      </c>
      <c r="N36">
        <v>1</v>
      </c>
      <c r="P36">
        <v>1.242670059204102</v>
      </c>
    </row>
    <row r="37" spans="1:16" x14ac:dyDescent="0.25">
      <c r="A37" t="s">
        <v>17</v>
      </c>
      <c r="B37" t="s">
        <v>67</v>
      </c>
      <c r="C37">
        <v>0</v>
      </c>
      <c r="D37">
        <v>1</v>
      </c>
      <c r="E37">
        <v>1</v>
      </c>
      <c r="F37">
        <v>1</v>
      </c>
      <c r="G37">
        <v>1</v>
      </c>
      <c r="H37">
        <v>1</v>
      </c>
      <c r="I37">
        <v>1</v>
      </c>
      <c r="J37">
        <v>1</v>
      </c>
      <c r="K37">
        <v>1</v>
      </c>
      <c r="L37">
        <v>1</v>
      </c>
      <c r="M37">
        <v>1</v>
      </c>
      <c r="N37">
        <v>1</v>
      </c>
      <c r="P37">
        <v>1.236369848251343</v>
      </c>
    </row>
    <row r="38" spans="1:16" x14ac:dyDescent="0.25">
      <c r="A38" t="s">
        <v>17</v>
      </c>
      <c r="B38" t="s">
        <v>68</v>
      </c>
      <c r="C38">
        <v>0</v>
      </c>
      <c r="D38">
        <v>1</v>
      </c>
      <c r="E38">
        <v>1</v>
      </c>
      <c r="F38">
        <v>1</v>
      </c>
      <c r="G38">
        <v>1</v>
      </c>
      <c r="H38">
        <v>1</v>
      </c>
      <c r="I38">
        <v>1</v>
      </c>
      <c r="J38">
        <v>1</v>
      </c>
      <c r="K38">
        <v>1</v>
      </c>
      <c r="L38">
        <v>1</v>
      </c>
      <c r="M38">
        <v>1</v>
      </c>
      <c r="N38">
        <v>1</v>
      </c>
      <c r="P38">
        <v>1.200026273727417</v>
      </c>
    </row>
    <row r="39" spans="1:16" x14ac:dyDescent="0.25">
      <c r="A39" t="s">
        <v>17</v>
      </c>
      <c r="B39" t="s">
        <v>69</v>
      </c>
      <c r="C39">
        <v>0</v>
      </c>
      <c r="D39">
        <v>1</v>
      </c>
      <c r="E39">
        <v>0</v>
      </c>
      <c r="F39">
        <v>1</v>
      </c>
      <c r="G39">
        <v>0</v>
      </c>
      <c r="H39" t="s">
        <v>20</v>
      </c>
      <c r="I39">
        <v>1</v>
      </c>
      <c r="J39" t="s">
        <v>20</v>
      </c>
      <c r="K39">
        <v>1</v>
      </c>
      <c r="L39">
        <v>1</v>
      </c>
      <c r="M39">
        <v>1</v>
      </c>
      <c r="N39">
        <v>1</v>
      </c>
      <c r="O39" t="s">
        <v>70</v>
      </c>
      <c r="P39">
        <v>2.0618622303009029</v>
      </c>
    </row>
    <row r="40" spans="1:16" x14ac:dyDescent="0.25">
      <c r="A40" t="s">
        <v>17</v>
      </c>
      <c r="B40" t="s">
        <v>71</v>
      </c>
      <c r="C40">
        <v>0</v>
      </c>
      <c r="D40">
        <v>1</v>
      </c>
      <c r="E40">
        <v>0</v>
      </c>
      <c r="F40">
        <v>0</v>
      </c>
      <c r="G40">
        <v>1</v>
      </c>
      <c r="H40" t="s">
        <v>20</v>
      </c>
      <c r="I40">
        <v>1</v>
      </c>
      <c r="J40" t="s">
        <v>20</v>
      </c>
      <c r="K40">
        <v>1</v>
      </c>
      <c r="L40">
        <v>1</v>
      </c>
      <c r="M40">
        <v>1</v>
      </c>
      <c r="N40">
        <v>1</v>
      </c>
      <c r="O40" t="s">
        <v>72</v>
      </c>
      <c r="P40">
        <v>3.504553079605103</v>
      </c>
    </row>
    <row r="41" spans="1:16" x14ac:dyDescent="0.25">
      <c r="A41" t="s">
        <v>17</v>
      </c>
      <c r="B41" t="s">
        <v>73</v>
      </c>
      <c r="C41">
        <v>0</v>
      </c>
      <c r="D41">
        <v>1</v>
      </c>
      <c r="E41">
        <v>0</v>
      </c>
      <c r="F41">
        <v>1</v>
      </c>
      <c r="G41">
        <v>1</v>
      </c>
      <c r="H41" t="s">
        <v>20</v>
      </c>
      <c r="I41">
        <v>1</v>
      </c>
      <c r="J41" t="s">
        <v>20</v>
      </c>
      <c r="K41">
        <v>1</v>
      </c>
      <c r="L41">
        <v>1</v>
      </c>
      <c r="M41">
        <v>1</v>
      </c>
      <c r="N41">
        <v>1</v>
      </c>
      <c r="O41" t="s">
        <v>74</v>
      </c>
      <c r="P41">
        <v>3.4090862274169922</v>
      </c>
    </row>
    <row r="42" spans="1:16" x14ac:dyDescent="0.25">
      <c r="A42" t="s">
        <v>17</v>
      </c>
      <c r="B42" t="s">
        <v>75</v>
      </c>
      <c r="C42">
        <v>0</v>
      </c>
      <c r="D42">
        <v>1</v>
      </c>
      <c r="E42">
        <v>1</v>
      </c>
      <c r="F42">
        <v>0</v>
      </c>
      <c r="G42">
        <v>1</v>
      </c>
      <c r="H42">
        <v>1</v>
      </c>
      <c r="I42">
        <v>1</v>
      </c>
      <c r="J42" t="s">
        <v>20</v>
      </c>
      <c r="K42">
        <v>1</v>
      </c>
      <c r="L42">
        <v>1</v>
      </c>
      <c r="M42">
        <v>1</v>
      </c>
      <c r="N42">
        <v>1</v>
      </c>
      <c r="O42" t="s">
        <v>76</v>
      </c>
      <c r="P42">
        <v>2.4999947547912602</v>
      </c>
    </row>
    <row r="43" spans="1:16" x14ac:dyDescent="0.25">
      <c r="A43" t="s">
        <v>17</v>
      </c>
      <c r="B43" t="s">
        <v>77</v>
      </c>
      <c r="C43">
        <v>0</v>
      </c>
      <c r="D43">
        <v>1</v>
      </c>
      <c r="E43">
        <v>1</v>
      </c>
      <c r="F43">
        <v>1</v>
      </c>
      <c r="G43">
        <v>1</v>
      </c>
      <c r="H43">
        <v>1</v>
      </c>
      <c r="I43">
        <v>1</v>
      </c>
      <c r="J43">
        <v>1</v>
      </c>
      <c r="K43">
        <v>1</v>
      </c>
      <c r="L43">
        <v>1</v>
      </c>
      <c r="M43">
        <v>1</v>
      </c>
      <c r="N43">
        <v>1</v>
      </c>
      <c r="P43">
        <v>1.483054399490356</v>
      </c>
    </row>
    <row r="44" spans="1:16" x14ac:dyDescent="0.25">
      <c r="A44" t="s">
        <v>17</v>
      </c>
      <c r="B44" t="s">
        <v>78</v>
      </c>
      <c r="C44">
        <v>0</v>
      </c>
      <c r="D44">
        <v>1</v>
      </c>
      <c r="E44">
        <v>1</v>
      </c>
      <c r="F44">
        <v>1</v>
      </c>
      <c r="G44">
        <v>1</v>
      </c>
      <c r="H44">
        <v>1</v>
      </c>
      <c r="I44">
        <v>1</v>
      </c>
      <c r="J44">
        <v>1</v>
      </c>
      <c r="K44">
        <v>1</v>
      </c>
      <c r="L44">
        <v>1</v>
      </c>
      <c r="M44">
        <v>1</v>
      </c>
      <c r="N44">
        <v>1</v>
      </c>
      <c r="P44">
        <v>1.148188591003418</v>
      </c>
    </row>
    <row r="45" spans="1:16" x14ac:dyDescent="0.25">
      <c r="A45" t="s">
        <v>17</v>
      </c>
      <c r="B45" t="s">
        <v>79</v>
      </c>
      <c r="C45">
        <v>0</v>
      </c>
      <c r="D45">
        <v>1</v>
      </c>
      <c r="E45">
        <v>1</v>
      </c>
      <c r="F45">
        <v>1</v>
      </c>
      <c r="G45">
        <v>1</v>
      </c>
      <c r="H45">
        <v>1</v>
      </c>
      <c r="I45">
        <v>1</v>
      </c>
      <c r="J45">
        <v>1</v>
      </c>
      <c r="K45">
        <v>1</v>
      </c>
      <c r="L45">
        <v>1</v>
      </c>
      <c r="M45">
        <v>1</v>
      </c>
      <c r="N45">
        <v>1</v>
      </c>
      <c r="P45">
        <v>1.4787580966949461</v>
      </c>
    </row>
    <row r="46" spans="1:16" x14ac:dyDescent="0.25">
      <c r="A46" t="s">
        <v>17</v>
      </c>
      <c r="B46" t="s">
        <v>80</v>
      </c>
      <c r="C46">
        <v>0</v>
      </c>
      <c r="D46">
        <v>1</v>
      </c>
      <c r="E46">
        <v>1</v>
      </c>
      <c r="F46">
        <v>1</v>
      </c>
      <c r="G46">
        <v>1</v>
      </c>
      <c r="H46">
        <v>1</v>
      </c>
      <c r="I46">
        <v>1</v>
      </c>
      <c r="J46">
        <v>1</v>
      </c>
      <c r="K46">
        <v>1</v>
      </c>
      <c r="L46">
        <v>1</v>
      </c>
      <c r="M46">
        <v>1</v>
      </c>
      <c r="N46">
        <v>1</v>
      </c>
      <c r="P46">
        <v>1.845727682113647</v>
      </c>
    </row>
    <row r="47" spans="1:16" x14ac:dyDescent="0.25">
      <c r="A47" t="s">
        <v>17</v>
      </c>
      <c r="B47" t="s">
        <v>81</v>
      </c>
      <c r="C47">
        <v>0</v>
      </c>
      <c r="D47">
        <v>1</v>
      </c>
      <c r="E47">
        <v>1</v>
      </c>
      <c r="F47">
        <v>1</v>
      </c>
      <c r="G47">
        <v>1</v>
      </c>
      <c r="H47">
        <v>1</v>
      </c>
      <c r="I47">
        <v>1</v>
      </c>
      <c r="J47">
        <v>1</v>
      </c>
      <c r="K47">
        <v>1</v>
      </c>
      <c r="L47">
        <v>1</v>
      </c>
      <c r="M47">
        <v>1</v>
      </c>
      <c r="N47">
        <v>1</v>
      </c>
      <c r="P47">
        <v>1.444010734558105</v>
      </c>
    </row>
    <row r="48" spans="1:16" x14ac:dyDescent="0.25">
      <c r="A48" t="s">
        <v>17</v>
      </c>
      <c r="B48" t="s">
        <v>82</v>
      </c>
      <c r="C48">
        <v>0</v>
      </c>
      <c r="D48">
        <v>1</v>
      </c>
      <c r="E48">
        <v>1</v>
      </c>
      <c r="F48">
        <v>1</v>
      </c>
      <c r="G48">
        <v>1</v>
      </c>
      <c r="H48">
        <v>1</v>
      </c>
      <c r="I48">
        <v>1</v>
      </c>
      <c r="J48">
        <v>1</v>
      </c>
      <c r="K48">
        <v>1</v>
      </c>
      <c r="L48">
        <v>1</v>
      </c>
      <c r="M48">
        <v>1</v>
      </c>
      <c r="N48">
        <v>1</v>
      </c>
      <c r="P48">
        <v>1.4755997657775879</v>
      </c>
    </row>
    <row r="49" spans="1:16" x14ac:dyDescent="0.25">
      <c r="A49" t="s">
        <v>17</v>
      </c>
      <c r="B49" t="s">
        <v>83</v>
      </c>
      <c r="C49">
        <v>0</v>
      </c>
      <c r="D49">
        <v>1</v>
      </c>
      <c r="E49">
        <v>0</v>
      </c>
      <c r="F49">
        <v>1</v>
      </c>
      <c r="G49">
        <v>1</v>
      </c>
      <c r="H49" t="s">
        <v>20</v>
      </c>
      <c r="I49">
        <v>1</v>
      </c>
      <c r="J49" t="s">
        <v>20</v>
      </c>
      <c r="K49">
        <v>1</v>
      </c>
      <c r="L49">
        <v>1</v>
      </c>
      <c r="M49">
        <v>1</v>
      </c>
      <c r="N49">
        <v>1</v>
      </c>
      <c r="O49" t="s">
        <v>84</v>
      </c>
      <c r="P49">
        <v>2.018454790115356</v>
      </c>
    </row>
    <row r="50" spans="1:16" x14ac:dyDescent="0.25">
      <c r="A50" t="s">
        <v>17</v>
      </c>
      <c r="B50" t="s">
        <v>85</v>
      </c>
      <c r="C50">
        <v>0</v>
      </c>
      <c r="D50">
        <v>1</v>
      </c>
      <c r="E50">
        <v>1</v>
      </c>
      <c r="F50">
        <v>1</v>
      </c>
      <c r="G50">
        <v>1</v>
      </c>
      <c r="H50">
        <v>1</v>
      </c>
      <c r="I50">
        <v>1</v>
      </c>
      <c r="J50">
        <v>1</v>
      </c>
      <c r="K50">
        <v>1</v>
      </c>
      <c r="L50">
        <v>1</v>
      </c>
      <c r="M50">
        <v>1</v>
      </c>
      <c r="N50">
        <v>1</v>
      </c>
      <c r="P50">
        <v>1.2186028957366939</v>
      </c>
    </row>
    <row r="51" spans="1:16" x14ac:dyDescent="0.25">
      <c r="A51" t="s">
        <v>86</v>
      </c>
      <c r="B51" t="s">
        <v>18</v>
      </c>
      <c r="C51">
        <v>0</v>
      </c>
      <c r="D51">
        <v>1</v>
      </c>
      <c r="E51">
        <v>1</v>
      </c>
      <c r="F51">
        <v>1</v>
      </c>
      <c r="G51">
        <v>1</v>
      </c>
      <c r="H51">
        <v>1</v>
      </c>
      <c r="I51">
        <v>1</v>
      </c>
      <c r="J51">
        <v>1</v>
      </c>
      <c r="K51">
        <v>1</v>
      </c>
      <c r="L51">
        <v>1</v>
      </c>
      <c r="M51">
        <v>1</v>
      </c>
      <c r="N51">
        <v>1</v>
      </c>
      <c r="P51">
        <v>1.120536327362061</v>
      </c>
    </row>
    <row r="52" spans="1:16" x14ac:dyDescent="0.25">
      <c r="A52" t="s">
        <v>86</v>
      </c>
      <c r="B52" t="s">
        <v>19</v>
      </c>
      <c r="C52">
        <v>0</v>
      </c>
      <c r="D52">
        <v>1</v>
      </c>
      <c r="E52">
        <v>1</v>
      </c>
      <c r="F52">
        <v>1</v>
      </c>
      <c r="G52">
        <v>1</v>
      </c>
      <c r="H52">
        <v>1</v>
      </c>
      <c r="I52">
        <v>1</v>
      </c>
      <c r="J52">
        <v>1</v>
      </c>
      <c r="K52">
        <v>1</v>
      </c>
      <c r="L52">
        <v>1</v>
      </c>
      <c r="M52">
        <v>1</v>
      </c>
      <c r="N52">
        <v>1</v>
      </c>
      <c r="P52">
        <v>1.305919885635376</v>
      </c>
    </row>
    <row r="53" spans="1:16" x14ac:dyDescent="0.25">
      <c r="A53" t="s">
        <v>86</v>
      </c>
      <c r="B53" t="s">
        <v>22</v>
      </c>
      <c r="C53">
        <v>0</v>
      </c>
      <c r="D53">
        <v>1</v>
      </c>
      <c r="E53">
        <v>1</v>
      </c>
      <c r="F53">
        <v>1</v>
      </c>
      <c r="G53">
        <v>1</v>
      </c>
      <c r="H53">
        <v>1</v>
      </c>
      <c r="I53">
        <v>1</v>
      </c>
      <c r="J53">
        <v>1</v>
      </c>
      <c r="K53">
        <v>1</v>
      </c>
      <c r="L53">
        <v>1</v>
      </c>
      <c r="M53">
        <v>1</v>
      </c>
      <c r="N53">
        <v>1</v>
      </c>
      <c r="P53">
        <v>1.130275964736938</v>
      </c>
    </row>
    <row r="54" spans="1:16" x14ac:dyDescent="0.25">
      <c r="A54" t="s">
        <v>86</v>
      </c>
      <c r="B54" t="s">
        <v>24</v>
      </c>
      <c r="C54">
        <v>0</v>
      </c>
      <c r="D54">
        <v>1</v>
      </c>
      <c r="E54">
        <v>1</v>
      </c>
      <c r="F54">
        <v>1</v>
      </c>
      <c r="G54">
        <v>1</v>
      </c>
      <c r="H54">
        <v>1</v>
      </c>
      <c r="I54">
        <v>1</v>
      </c>
      <c r="J54">
        <v>1</v>
      </c>
      <c r="K54">
        <v>1</v>
      </c>
      <c r="L54">
        <v>1</v>
      </c>
      <c r="M54">
        <v>1</v>
      </c>
      <c r="N54">
        <v>1</v>
      </c>
      <c r="P54">
        <v>1.5797960758209231</v>
      </c>
    </row>
    <row r="55" spans="1:16" x14ac:dyDescent="0.25">
      <c r="A55" t="s">
        <v>86</v>
      </c>
      <c r="B55" t="s">
        <v>25</v>
      </c>
      <c r="C55">
        <v>0</v>
      </c>
      <c r="D55">
        <v>1</v>
      </c>
      <c r="E55">
        <v>1</v>
      </c>
      <c r="F55">
        <v>1</v>
      </c>
      <c r="G55">
        <v>1</v>
      </c>
      <c r="H55">
        <v>1</v>
      </c>
      <c r="I55">
        <v>1</v>
      </c>
      <c r="J55">
        <v>1</v>
      </c>
      <c r="K55">
        <v>1</v>
      </c>
      <c r="L55">
        <v>1</v>
      </c>
      <c r="M55">
        <v>1</v>
      </c>
      <c r="N55">
        <v>1</v>
      </c>
      <c r="P55">
        <v>1.8469517230987551</v>
      </c>
    </row>
    <row r="56" spans="1:16" x14ac:dyDescent="0.25">
      <c r="A56" t="s">
        <v>86</v>
      </c>
      <c r="B56" t="s">
        <v>26</v>
      </c>
      <c r="C56">
        <v>0</v>
      </c>
      <c r="D56">
        <v>1</v>
      </c>
      <c r="E56">
        <v>0</v>
      </c>
      <c r="F56">
        <v>1</v>
      </c>
      <c r="G56">
        <v>1</v>
      </c>
      <c r="H56" t="s">
        <v>20</v>
      </c>
      <c r="I56">
        <v>1</v>
      </c>
      <c r="J56" t="s">
        <v>20</v>
      </c>
      <c r="K56">
        <v>1</v>
      </c>
      <c r="L56">
        <v>1</v>
      </c>
      <c r="M56">
        <v>1</v>
      </c>
      <c r="N56">
        <v>1</v>
      </c>
      <c r="O56" t="s">
        <v>87</v>
      </c>
      <c r="P56">
        <v>4.3113143444061279</v>
      </c>
    </row>
    <row r="57" spans="1:16" x14ac:dyDescent="0.25">
      <c r="A57" t="s">
        <v>86</v>
      </c>
      <c r="B57" t="s">
        <v>27</v>
      </c>
      <c r="C57">
        <v>0</v>
      </c>
      <c r="D57">
        <v>1</v>
      </c>
      <c r="E57">
        <v>1</v>
      </c>
      <c r="F57">
        <v>1</v>
      </c>
      <c r="G57">
        <v>1</v>
      </c>
      <c r="H57">
        <v>1</v>
      </c>
      <c r="I57">
        <v>1</v>
      </c>
      <c r="J57">
        <v>1</v>
      </c>
      <c r="K57">
        <v>1</v>
      </c>
      <c r="L57">
        <v>1</v>
      </c>
      <c r="M57">
        <v>1</v>
      </c>
      <c r="N57">
        <v>1</v>
      </c>
      <c r="P57">
        <v>1.1910369396209719</v>
      </c>
    </row>
    <row r="58" spans="1:16" x14ac:dyDescent="0.25">
      <c r="A58" t="s">
        <v>86</v>
      </c>
      <c r="B58" t="s">
        <v>29</v>
      </c>
      <c r="C58">
        <v>0</v>
      </c>
      <c r="D58">
        <v>1</v>
      </c>
      <c r="E58">
        <v>1</v>
      </c>
      <c r="F58">
        <v>1</v>
      </c>
      <c r="G58">
        <v>0</v>
      </c>
      <c r="H58">
        <v>1</v>
      </c>
      <c r="I58">
        <v>1</v>
      </c>
      <c r="J58">
        <v>1</v>
      </c>
      <c r="K58">
        <v>1</v>
      </c>
      <c r="L58">
        <v>1</v>
      </c>
      <c r="M58">
        <v>1</v>
      </c>
      <c r="N58">
        <v>1</v>
      </c>
      <c r="O58" t="s">
        <v>88</v>
      </c>
      <c r="P58">
        <v>3.1404457092285161</v>
      </c>
    </row>
    <row r="59" spans="1:16" x14ac:dyDescent="0.25">
      <c r="A59" t="s">
        <v>86</v>
      </c>
      <c r="B59" t="s">
        <v>30</v>
      </c>
      <c r="C59">
        <v>0</v>
      </c>
      <c r="D59">
        <v>1</v>
      </c>
      <c r="E59">
        <v>1</v>
      </c>
      <c r="F59">
        <v>1</v>
      </c>
      <c r="G59">
        <v>0</v>
      </c>
      <c r="H59">
        <v>1</v>
      </c>
      <c r="I59">
        <v>1</v>
      </c>
      <c r="J59">
        <v>1</v>
      </c>
      <c r="K59">
        <v>1</v>
      </c>
      <c r="L59">
        <v>1</v>
      </c>
      <c r="M59">
        <v>1</v>
      </c>
      <c r="N59">
        <v>1</v>
      </c>
      <c r="O59" t="s">
        <v>89</v>
      </c>
      <c r="P59">
        <v>2.59400486946106</v>
      </c>
    </row>
    <row r="60" spans="1:16" x14ac:dyDescent="0.25">
      <c r="A60" t="s">
        <v>86</v>
      </c>
      <c r="B60" t="s">
        <v>32</v>
      </c>
      <c r="C60">
        <v>0</v>
      </c>
      <c r="D60">
        <v>1</v>
      </c>
      <c r="E60">
        <v>1</v>
      </c>
      <c r="F60">
        <v>1</v>
      </c>
      <c r="G60">
        <v>1</v>
      </c>
      <c r="H60">
        <v>1</v>
      </c>
      <c r="I60">
        <v>1</v>
      </c>
      <c r="J60">
        <v>1</v>
      </c>
      <c r="K60">
        <v>1</v>
      </c>
      <c r="L60">
        <v>1</v>
      </c>
      <c r="M60">
        <v>1</v>
      </c>
      <c r="N60">
        <v>1</v>
      </c>
      <c r="P60">
        <v>1.9688079357147219</v>
      </c>
    </row>
    <row r="61" spans="1:16" x14ac:dyDescent="0.25">
      <c r="A61" t="s">
        <v>86</v>
      </c>
      <c r="B61" t="s">
        <v>33</v>
      </c>
      <c r="C61">
        <v>0</v>
      </c>
      <c r="D61">
        <v>1</v>
      </c>
      <c r="E61">
        <v>1</v>
      </c>
      <c r="F61">
        <v>1</v>
      </c>
      <c r="G61">
        <v>1</v>
      </c>
      <c r="H61">
        <v>1</v>
      </c>
      <c r="I61">
        <v>1</v>
      </c>
      <c r="J61">
        <v>1</v>
      </c>
      <c r="K61">
        <v>1</v>
      </c>
      <c r="L61">
        <v>1</v>
      </c>
      <c r="M61">
        <v>1</v>
      </c>
      <c r="N61">
        <v>1</v>
      </c>
      <c r="P61">
        <v>1.368955135345459</v>
      </c>
    </row>
    <row r="62" spans="1:16" x14ac:dyDescent="0.25">
      <c r="A62" t="s">
        <v>86</v>
      </c>
      <c r="B62" t="s">
        <v>34</v>
      </c>
      <c r="C62">
        <v>0</v>
      </c>
      <c r="D62">
        <v>1</v>
      </c>
      <c r="E62">
        <v>1</v>
      </c>
      <c r="F62">
        <v>1</v>
      </c>
      <c r="G62">
        <v>1</v>
      </c>
      <c r="H62">
        <v>1</v>
      </c>
      <c r="I62">
        <v>1</v>
      </c>
      <c r="J62">
        <v>1</v>
      </c>
      <c r="K62">
        <v>1</v>
      </c>
      <c r="L62">
        <v>1</v>
      </c>
      <c r="M62">
        <v>1</v>
      </c>
      <c r="N62">
        <v>1</v>
      </c>
      <c r="P62">
        <v>2.543390274047852</v>
      </c>
    </row>
    <row r="63" spans="1:16" x14ac:dyDescent="0.25">
      <c r="A63" t="s">
        <v>86</v>
      </c>
      <c r="B63" t="s">
        <v>35</v>
      </c>
      <c r="C63">
        <v>0</v>
      </c>
      <c r="D63">
        <v>1</v>
      </c>
      <c r="E63">
        <v>1</v>
      </c>
      <c r="F63">
        <v>1</v>
      </c>
      <c r="G63">
        <v>1</v>
      </c>
      <c r="H63">
        <v>1</v>
      </c>
      <c r="I63">
        <v>1</v>
      </c>
      <c r="J63">
        <v>1</v>
      </c>
      <c r="K63">
        <v>1</v>
      </c>
      <c r="L63">
        <v>1</v>
      </c>
      <c r="M63">
        <v>1</v>
      </c>
      <c r="N63">
        <v>1</v>
      </c>
      <c r="P63">
        <v>1.9766190052032471</v>
      </c>
    </row>
    <row r="64" spans="1:16" x14ac:dyDescent="0.25">
      <c r="A64" t="s">
        <v>86</v>
      </c>
      <c r="B64" t="s">
        <v>37</v>
      </c>
      <c r="C64">
        <v>0</v>
      </c>
      <c r="D64">
        <v>1</v>
      </c>
      <c r="E64">
        <v>1</v>
      </c>
      <c r="F64">
        <v>1</v>
      </c>
      <c r="G64">
        <v>1</v>
      </c>
      <c r="H64">
        <v>1</v>
      </c>
      <c r="I64">
        <v>1</v>
      </c>
      <c r="J64">
        <v>1</v>
      </c>
      <c r="K64">
        <v>1</v>
      </c>
      <c r="L64">
        <v>1</v>
      </c>
      <c r="M64">
        <v>1</v>
      </c>
      <c r="N64">
        <v>1</v>
      </c>
      <c r="P64">
        <v>1.236909866333008</v>
      </c>
    </row>
    <row r="65" spans="1:16" x14ac:dyDescent="0.25">
      <c r="A65" t="s">
        <v>86</v>
      </c>
      <c r="B65" t="s">
        <v>38</v>
      </c>
      <c r="C65">
        <v>0</v>
      </c>
      <c r="D65">
        <v>1</v>
      </c>
      <c r="E65">
        <v>1</v>
      </c>
      <c r="F65">
        <v>1</v>
      </c>
      <c r="G65">
        <v>1</v>
      </c>
      <c r="H65">
        <v>1</v>
      </c>
      <c r="I65">
        <v>1</v>
      </c>
      <c r="J65">
        <v>1</v>
      </c>
      <c r="K65">
        <v>1</v>
      </c>
      <c r="L65">
        <v>1</v>
      </c>
      <c r="M65">
        <v>1</v>
      </c>
      <c r="N65">
        <v>1</v>
      </c>
      <c r="P65">
        <v>1.0843596458435061</v>
      </c>
    </row>
    <row r="66" spans="1:16" x14ac:dyDescent="0.25">
      <c r="A66" t="s">
        <v>86</v>
      </c>
      <c r="B66" t="s">
        <v>39</v>
      </c>
      <c r="C66">
        <v>0</v>
      </c>
      <c r="D66">
        <v>1</v>
      </c>
      <c r="E66">
        <v>1</v>
      </c>
      <c r="F66">
        <v>1</v>
      </c>
      <c r="G66">
        <v>1</v>
      </c>
      <c r="H66">
        <v>1</v>
      </c>
      <c r="I66">
        <v>1</v>
      </c>
      <c r="J66">
        <v>1</v>
      </c>
      <c r="K66">
        <v>1</v>
      </c>
      <c r="L66">
        <v>1</v>
      </c>
      <c r="M66">
        <v>1</v>
      </c>
      <c r="N66">
        <v>1</v>
      </c>
      <c r="P66">
        <v>1.282300472259521</v>
      </c>
    </row>
    <row r="67" spans="1:16" x14ac:dyDescent="0.25">
      <c r="A67" t="s">
        <v>86</v>
      </c>
      <c r="B67" t="s">
        <v>40</v>
      </c>
      <c r="C67">
        <v>0</v>
      </c>
      <c r="D67">
        <v>1</v>
      </c>
      <c r="E67">
        <v>1</v>
      </c>
      <c r="F67">
        <v>1</v>
      </c>
      <c r="G67">
        <v>1</v>
      </c>
      <c r="H67">
        <v>1</v>
      </c>
      <c r="I67">
        <v>1</v>
      </c>
      <c r="J67">
        <v>1</v>
      </c>
      <c r="K67">
        <v>1</v>
      </c>
      <c r="L67">
        <v>1</v>
      </c>
      <c r="M67">
        <v>1</v>
      </c>
      <c r="N67">
        <v>1</v>
      </c>
      <c r="P67">
        <v>1.175190687179565</v>
      </c>
    </row>
    <row r="68" spans="1:16" x14ac:dyDescent="0.25">
      <c r="A68" t="s">
        <v>86</v>
      </c>
      <c r="B68" t="s">
        <v>41</v>
      </c>
      <c r="C68">
        <v>0</v>
      </c>
      <c r="D68">
        <v>1</v>
      </c>
      <c r="E68">
        <v>1</v>
      </c>
      <c r="F68">
        <v>1</v>
      </c>
      <c r="G68">
        <v>1</v>
      </c>
      <c r="H68">
        <v>1</v>
      </c>
      <c r="I68">
        <v>1</v>
      </c>
      <c r="J68">
        <v>1</v>
      </c>
      <c r="K68">
        <v>1</v>
      </c>
      <c r="L68">
        <v>1</v>
      </c>
      <c r="M68">
        <v>1</v>
      </c>
      <c r="N68">
        <v>1</v>
      </c>
      <c r="P68">
        <v>1.7517299652099609</v>
      </c>
    </row>
    <row r="69" spans="1:16" x14ac:dyDescent="0.25">
      <c r="A69" t="s">
        <v>86</v>
      </c>
      <c r="B69" t="s">
        <v>42</v>
      </c>
      <c r="C69">
        <v>0</v>
      </c>
      <c r="D69">
        <v>1</v>
      </c>
      <c r="E69">
        <v>1</v>
      </c>
      <c r="F69">
        <v>1</v>
      </c>
      <c r="G69">
        <v>1</v>
      </c>
      <c r="H69">
        <v>1</v>
      </c>
      <c r="I69">
        <v>1</v>
      </c>
      <c r="J69">
        <v>1</v>
      </c>
      <c r="K69">
        <v>1</v>
      </c>
      <c r="L69">
        <v>1</v>
      </c>
      <c r="M69">
        <v>1</v>
      </c>
      <c r="N69">
        <v>1</v>
      </c>
      <c r="P69">
        <v>1.1277177333831789</v>
      </c>
    </row>
    <row r="70" spans="1:16" x14ac:dyDescent="0.25">
      <c r="A70" t="s">
        <v>86</v>
      </c>
      <c r="B70" t="s">
        <v>43</v>
      </c>
      <c r="C70">
        <v>0</v>
      </c>
      <c r="D70">
        <v>1</v>
      </c>
      <c r="E70">
        <v>1</v>
      </c>
      <c r="F70">
        <v>1</v>
      </c>
      <c r="G70">
        <v>1</v>
      </c>
      <c r="H70">
        <v>1</v>
      </c>
      <c r="I70">
        <v>1</v>
      </c>
      <c r="J70">
        <v>1</v>
      </c>
      <c r="K70">
        <v>1</v>
      </c>
      <c r="L70">
        <v>1</v>
      </c>
      <c r="M70">
        <v>1</v>
      </c>
      <c r="N70">
        <v>1</v>
      </c>
      <c r="P70">
        <v>1.718968868255615</v>
      </c>
    </row>
    <row r="71" spans="1:16" x14ac:dyDescent="0.25">
      <c r="A71" t="s">
        <v>86</v>
      </c>
      <c r="B71" t="s">
        <v>44</v>
      </c>
      <c r="C71">
        <v>0</v>
      </c>
      <c r="D71">
        <v>1</v>
      </c>
      <c r="E71">
        <v>1</v>
      </c>
      <c r="F71">
        <v>0</v>
      </c>
      <c r="G71">
        <v>1</v>
      </c>
      <c r="H71">
        <v>1</v>
      </c>
      <c r="I71">
        <v>1</v>
      </c>
      <c r="J71" t="s">
        <v>20</v>
      </c>
      <c r="K71">
        <v>1</v>
      </c>
      <c r="L71">
        <v>1</v>
      </c>
      <c r="M71">
        <v>1</v>
      </c>
      <c r="N71">
        <v>1</v>
      </c>
      <c r="O71" t="s">
        <v>90</v>
      </c>
      <c r="P71">
        <v>2.576501846313477</v>
      </c>
    </row>
    <row r="72" spans="1:16" x14ac:dyDescent="0.25">
      <c r="A72" t="s">
        <v>86</v>
      </c>
      <c r="B72" t="s">
        <v>45</v>
      </c>
      <c r="C72">
        <v>0</v>
      </c>
      <c r="D72">
        <v>1</v>
      </c>
      <c r="E72">
        <v>1</v>
      </c>
      <c r="F72">
        <v>1</v>
      </c>
      <c r="G72">
        <v>1</v>
      </c>
      <c r="H72">
        <v>1</v>
      </c>
      <c r="I72">
        <v>1</v>
      </c>
      <c r="J72">
        <v>1</v>
      </c>
      <c r="K72">
        <v>1</v>
      </c>
      <c r="L72">
        <v>1</v>
      </c>
      <c r="M72">
        <v>1</v>
      </c>
      <c r="N72">
        <v>1</v>
      </c>
      <c r="P72">
        <v>1.237634420394897</v>
      </c>
    </row>
    <row r="73" spans="1:16" x14ac:dyDescent="0.25">
      <c r="A73" t="s">
        <v>86</v>
      </c>
      <c r="B73" t="s">
        <v>47</v>
      </c>
      <c r="C73">
        <v>0</v>
      </c>
      <c r="D73">
        <v>1</v>
      </c>
      <c r="E73">
        <v>1</v>
      </c>
      <c r="F73">
        <v>1</v>
      </c>
      <c r="G73">
        <v>1</v>
      </c>
      <c r="H73">
        <v>1</v>
      </c>
      <c r="I73">
        <v>1</v>
      </c>
      <c r="J73">
        <v>1</v>
      </c>
      <c r="K73">
        <v>1</v>
      </c>
      <c r="L73">
        <v>1</v>
      </c>
      <c r="M73">
        <v>1</v>
      </c>
      <c r="N73">
        <v>1</v>
      </c>
      <c r="P73">
        <v>1.665798664093018</v>
      </c>
    </row>
    <row r="74" spans="1:16" x14ac:dyDescent="0.25">
      <c r="A74" t="s">
        <v>86</v>
      </c>
      <c r="B74" t="s">
        <v>48</v>
      </c>
      <c r="C74">
        <v>0</v>
      </c>
      <c r="D74">
        <v>1</v>
      </c>
      <c r="E74">
        <v>0</v>
      </c>
      <c r="F74">
        <v>0</v>
      </c>
      <c r="G74">
        <v>1</v>
      </c>
      <c r="H74" t="s">
        <v>20</v>
      </c>
      <c r="I74">
        <v>1</v>
      </c>
      <c r="J74" t="s">
        <v>20</v>
      </c>
      <c r="K74">
        <v>1</v>
      </c>
      <c r="L74">
        <v>1</v>
      </c>
      <c r="M74">
        <v>1</v>
      </c>
      <c r="N74">
        <v>1</v>
      </c>
      <c r="O74" t="s">
        <v>91</v>
      </c>
      <c r="P74">
        <v>3.992425680160522</v>
      </c>
    </row>
    <row r="75" spans="1:16" x14ac:dyDescent="0.25">
      <c r="A75" t="s">
        <v>86</v>
      </c>
      <c r="B75" t="s">
        <v>50</v>
      </c>
      <c r="C75">
        <v>0</v>
      </c>
      <c r="D75">
        <v>1</v>
      </c>
      <c r="E75">
        <v>1</v>
      </c>
      <c r="F75">
        <v>1</v>
      </c>
      <c r="G75">
        <v>1</v>
      </c>
      <c r="H75">
        <v>1</v>
      </c>
      <c r="I75">
        <v>1</v>
      </c>
      <c r="J75">
        <v>1</v>
      </c>
      <c r="K75">
        <v>1</v>
      </c>
      <c r="L75">
        <v>1</v>
      </c>
      <c r="M75">
        <v>1</v>
      </c>
      <c r="N75">
        <v>1</v>
      </c>
      <c r="P75">
        <v>1.668897151947021</v>
      </c>
    </row>
    <row r="76" spans="1:16" x14ac:dyDescent="0.25">
      <c r="A76" t="s">
        <v>86</v>
      </c>
      <c r="B76" t="s">
        <v>51</v>
      </c>
      <c r="C76">
        <v>0</v>
      </c>
      <c r="D76">
        <v>1</v>
      </c>
      <c r="E76">
        <v>1</v>
      </c>
      <c r="F76">
        <v>1</v>
      </c>
      <c r="G76">
        <v>0</v>
      </c>
      <c r="H76">
        <v>1</v>
      </c>
      <c r="I76">
        <v>1</v>
      </c>
      <c r="J76">
        <v>1</v>
      </c>
      <c r="K76">
        <v>1</v>
      </c>
      <c r="L76">
        <v>1</v>
      </c>
      <c r="M76">
        <v>1</v>
      </c>
      <c r="N76">
        <v>1</v>
      </c>
      <c r="O76" t="s">
        <v>92</v>
      </c>
      <c r="P76">
        <v>2.036379337310791</v>
      </c>
    </row>
    <row r="77" spans="1:16" x14ac:dyDescent="0.25">
      <c r="A77" t="s">
        <v>86</v>
      </c>
      <c r="B77" t="s">
        <v>53</v>
      </c>
      <c r="C77">
        <v>0</v>
      </c>
      <c r="D77">
        <v>1</v>
      </c>
      <c r="E77">
        <v>0</v>
      </c>
      <c r="F77">
        <v>1</v>
      </c>
      <c r="G77">
        <v>1</v>
      </c>
      <c r="H77" t="s">
        <v>20</v>
      </c>
      <c r="I77">
        <v>1</v>
      </c>
      <c r="J77" t="s">
        <v>20</v>
      </c>
      <c r="K77">
        <v>1</v>
      </c>
      <c r="L77">
        <v>1</v>
      </c>
      <c r="M77">
        <v>1</v>
      </c>
      <c r="N77">
        <v>1</v>
      </c>
      <c r="O77" t="s">
        <v>93</v>
      </c>
      <c r="P77">
        <v>1.9452624320983889</v>
      </c>
    </row>
    <row r="78" spans="1:16" x14ac:dyDescent="0.25">
      <c r="A78" t="s">
        <v>86</v>
      </c>
      <c r="B78" t="s">
        <v>55</v>
      </c>
      <c r="C78">
        <v>0</v>
      </c>
      <c r="D78">
        <v>1</v>
      </c>
      <c r="E78">
        <v>1</v>
      </c>
      <c r="F78">
        <v>1</v>
      </c>
      <c r="G78">
        <v>1</v>
      </c>
      <c r="H78">
        <v>1</v>
      </c>
      <c r="I78">
        <v>0</v>
      </c>
      <c r="J78">
        <v>1</v>
      </c>
      <c r="K78">
        <v>1</v>
      </c>
      <c r="L78">
        <v>1</v>
      </c>
      <c r="M78">
        <v>0</v>
      </c>
      <c r="N78">
        <v>1</v>
      </c>
      <c r="O78" t="s">
        <v>94</v>
      </c>
      <c r="P78">
        <v>2.0860803127288818</v>
      </c>
    </row>
    <row r="79" spans="1:16" x14ac:dyDescent="0.25">
      <c r="A79" t="s">
        <v>86</v>
      </c>
      <c r="B79" t="s">
        <v>56</v>
      </c>
      <c r="C79">
        <v>0</v>
      </c>
      <c r="D79">
        <v>1</v>
      </c>
      <c r="E79">
        <v>1</v>
      </c>
      <c r="F79">
        <v>1</v>
      </c>
      <c r="G79">
        <v>1</v>
      </c>
      <c r="H79">
        <v>1</v>
      </c>
      <c r="I79">
        <v>1</v>
      </c>
      <c r="J79">
        <v>1</v>
      </c>
      <c r="K79">
        <v>1</v>
      </c>
      <c r="L79">
        <v>1</v>
      </c>
      <c r="M79">
        <v>1</v>
      </c>
      <c r="N79">
        <v>1</v>
      </c>
      <c r="P79">
        <v>1.68157958984375</v>
      </c>
    </row>
    <row r="80" spans="1:16" x14ac:dyDescent="0.25">
      <c r="A80" t="s">
        <v>86</v>
      </c>
      <c r="B80" t="s">
        <v>58</v>
      </c>
      <c r="C80">
        <v>0</v>
      </c>
      <c r="D80">
        <v>1</v>
      </c>
      <c r="E80">
        <v>1</v>
      </c>
      <c r="F80">
        <v>1</v>
      </c>
      <c r="G80">
        <v>1</v>
      </c>
      <c r="H80">
        <v>1</v>
      </c>
      <c r="I80">
        <v>1</v>
      </c>
      <c r="J80">
        <v>1</v>
      </c>
      <c r="K80">
        <v>1</v>
      </c>
      <c r="L80">
        <v>1</v>
      </c>
      <c r="M80">
        <v>1</v>
      </c>
      <c r="N80">
        <v>1</v>
      </c>
      <c r="P80">
        <v>1.1946732997894289</v>
      </c>
    </row>
    <row r="81" spans="1:16" x14ac:dyDescent="0.25">
      <c r="A81" t="s">
        <v>86</v>
      </c>
      <c r="B81" t="s">
        <v>60</v>
      </c>
      <c r="C81">
        <v>0</v>
      </c>
      <c r="D81">
        <v>1</v>
      </c>
      <c r="E81">
        <v>1</v>
      </c>
      <c r="F81">
        <v>1</v>
      </c>
      <c r="G81">
        <v>1</v>
      </c>
      <c r="H81">
        <v>1</v>
      </c>
      <c r="I81">
        <v>1</v>
      </c>
      <c r="J81">
        <v>1</v>
      </c>
      <c r="K81">
        <v>1</v>
      </c>
      <c r="L81">
        <v>1</v>
      </c>
      <c r="M81">
        <v>1</v>
      </c>
      <c r="N81">
        <v>1</v>
      </c>
      <c r="P81">
        <v>1.261028051376343</v>
      </c>
    </row>
    <row r="82" spans="1:16" x14ac:dyDescent="0.25">
      <c r="A82" t="s">
        <v>86</v>
      </c>
      <c r="B82" t="s">
        <v>62</v>
      </c>
      <c r="C82">
        <v>0</v>
      </c>
      <c r="D82">
        <v>1</v>
      </c>
      <c r="E82">
        <v>1</v>
      </c>
      <c r="F82">
        <v>1</v>
      </c>
      <c r="G82">
        <v>1</v>
      </c>
      <c r="H82">
        <v>1</v>
      </c>
      <c r="I82">
        <v>1</v>
      </c>
      <c r="J82">
        <v>1</v>
      </c>
      <c r="K82">
        <v>1</v>
      </c>
      <c r="L82">
        <v>1</v>
      </c>
      <c r="M82">
        <v>1</v>
      </c>
      <c r="N82">
        <v>1</v>
      </c>
      <c r="P82">
        <v>1.2933328151702881</v>
      </c>
    </row>
    <row r="83" spans="1:16" x14ac:dyDescent="0.25">
      <c r="A83" t="s">
        <v>86</v>
      </c>
      <c r="B83" t="s">
        <v>63</v>
      </c>
      <c r="C83">
        <v>0</v>
      </c>
      <c r="D83">
        <v>1</v>
      </c>
      <c r="E83">
        <v>1</v>
      </c>
      <c r="F83">
        <v>1</v>
      </c>
      <c r="G83">
        <v>0</v>
      </c>
      <c r="H83">
        <v>1</v>
      </c>
      <c r="I83">
        <v>1</v>
      </c>
      <c r="J83">
        <v>1</v>
      </c>
      <c r="K83">
        <v>1</v>
      </c>
      <c r="L83">
        <v>1</v>
      </c>
      <c r="M83">
        <v>1</v>
      </c>
      <c r="N83">
        <v>1</v>
      </c>
      <c r="O83" t="s">
        <v>95</v>
      </c>
      <c r="P83">
        <v>1.5497334003448491</v>
      </c>
    </row>
    <row r="84" spans="1:16" x14ac:dyDescent="0.25">
      <c r="A84" t="s">
        <v>86</v>
      </c>
      <c r="B84" t="s">
        <v>65</v>
      </c>
      <c r="C84">
        <v>0</v>
      </c>
      <c r="D84">
        <v>1</v>
      </c>
      <c r="E84">
        <v>1</v>
      </c>
      <c r="F84">
        <v>1</v>
      </c>
      <c r="G84">
        <v>1</v>
      </c>
      <c r="H84">
        <v>1</v>
      </c>
      <c r="I84">
        <v>1</v>
      </c>
      <c r="J84">
        <v>1</v>
      </c>
      <c r="K84">
        <v>1</v>
      </c>
      <c r="L84">
        <v>1</v>
      </c>
      <c r="M84">
        <v>1</v>
      </c>
      <c r="N84">
        <v>1</v>
      </c>
      <c r="P84">
        <v>1.256672859191895</v>
      </c>
    </row>
    <row r="85" spans="1:16" x14ac:dyDescent="0.25">
      <c r="A85" t="s">
        <v>86</v>
      </c>
      <c r="B85" t="s">
        <v>66</v>
      </c>
      <c r="C85">
        <v>0</v>
      </c>
      <c r="D85">
        <v>1</v>
      </c>
      <c r="E85">
        <v>1</v>
      </c>
      <c r="F85">
        <v>1</v>
      </c>
      <c r="G85">
        <v>0</v>
      </c>
      <c r="H85">
        <v>1</v>
      </c>
      <c r="I85">
        <v>1</v>
      </c>
      <c r="J85">
        <v>1</v>
      </c>
      <c r="K85">
        <v>1</v>
      </c>
      <c r="L85">
        <v>1</v>
      </c>
      <c r="M85">
        <v>1</v>
      </c>
      <c r="N85">
        <v>1</v>
      </c>
      <c r="O85" t="s">
        <v>96</v>
      </c>
      <c r="P85">
        <v>1.9810893535614009</v>
      </c>
    </row>
    <row r="86" spans="1:16" x14ac:dyDescent="0.25">
      <c r="A86" t="s">
        <v>86</v>
      </c>
      <c r="B86" t="s">
        <v>67</v>
      </c>
      <c r="C86">
        <v>0</v>
      </c>
      <c r="D86">
        <v>1</v>
      </c>
      <c r="E86">
        <v>1</v>
      </c>
      <c r="F86">
        <v>0</v>
      </c>
      <c r="G86">
        <v>1</v>
      </c>
      <c r="H86">
        <v>1</v>
      </c>
      <c r="I86">
        <v>1</v>
      </c>
      <c r="J86" t="s">
        <v>20</v>
      </c>
      <c r="K86">
        <v>1</v>
      </c>
      <c r="L86">
        <v>1</v>
      </c>
      <c r="M86">
        <v>1</v>
      </c>
      <c r="N86">
        <v>1</v>
      </c>
      <c r="O86" t="s">
        <v>97</v>
      </c>
      <c r="P86">
        <v>3.541376113891602</v>
      </c>
    </row>
    <row r="87" spans="1:16" x14ac:dyDescent="0.25">
      <c r="A87" t="s">
        <v>86</v>
      </c>
      <c r="B87" t="s">
        <v>68</v>
      </c>
      <c r="C87">
        <v>0</v>
      </c>
      <c r="D87">
        <v>1</v>
      </c>
      <c r="E87">
        <v>1</v>
      </c>
      <c r="F87">
        <v>1</v>
      </c>
      <c r="G87">
        <v>1</v>
      </c>
      <c r="H87">
        <v>1</v>
      </c>
      <c r="I87">
        <v>1</v>
      </c>
      <c r="J87">
        <v>1</v>
      </c>
      <c r="K87">
        <v>1</v>
      </c>
      <c r="L87">
        <v>1</v>
      </c>
      <c r="M87">
        <v>1</v>
      </c>
      <c r="N87">
        <v>1</v>
      </c>
      <c r="P87">
        <v>1.6027436256408689</v>
      </c>
    </row>
    <row r="88" spans="1:16" x14ac:dyDescent="0.25">
      <c r="A88" t="s">
        <v>86</v>
      </c>
      <c r="B88" t="s">
        <v>69</v>
      </c>
      <c r="C88">
        <v>0</v>
      </c>
      <c r="D88">
        <v>1</v>
      </c>
      <c r="E88">
        <v>1</v>
      </c>
      <c r="F88">
        <v>1</v>
      </c>
      <c r="G88">
        <v>1</v>
      </c>
      <c r="H88">
        <v>1</v>
      </c>
      <c r="I88">
        <v>1</v>
      </c>
      <c r="J88">
        <v>1</v>
      </c>
      <c r="K88">
        <v>1</v>
      </c>
      <c r="L88">
        <v>1</v>
      </c>
      <c r="M88">
        <v>1</v>
      </c>
      <c r="N88">
        <v>1</v>
      </c>
      <c r="P88">
        <v>1.486367464065552</v>
      </c>
    </row>
    <row r="89" spans="1:16" x14ac:dyDescent="0.25">
      <c r="A89" t="s">
        <v>86</v>
      </c>
      <c r="B89" t="s">
        <v>71</v>
      </c>
      <c r="C89">
        <v>0</v>
      </c>
      <c r="D89">
        <v>1</v>
      </c>
      <c r="E89">
        <v>1</v>
      </c>
      <c r="F89">
        <v>1</v>
      </c>
      <c r="G89">
        <v>1</v>
      </c>
      <c r="H89">
        <v>1</v>
      </c>
      <c r="I89">
        <v>1</v>
      </c>
      <c r="J89">
        <v>1</v>
      </c>
      <c r="K89">
        <v>1</v>
      </c>
      <c r="L89">
        <v>1</v>
      </c>
      <c r="M89">
        <v>1</v>
      </c>
      <c r="N89">
        <v>1</v>
      </c>
      <c r="P89">
        <v>2.531804084777832</v>
      </c>
    </row>
    <row r="90" spans="1:16" x14ac:dyDescent="0.25">
      <c r="A90" t="s">
        <v>86</v>
      </c>
      <c r="B90" t="s">
        <v>73</v>
      </c>
      <c r="C90">
        <v>0</v>
      </c>
      <c r="D90">
        <v>1</v>
      </c>
      <c r="E90">
        <v>1</v>
      </c>
      <c r="F90">
        <v>1</v>
      </c>
      <c r="G90">
        <v>1</v>
      </c>
      <c r="H90">
        <v>1</v>
      </c>
      <c r="I90">
        <v>1</v>
      </c>
      <c r="J90">
        <v>1</v>
      </c>
      <c r="K90">
        <v>1</v>
      </c>
      <c r="L90">
        <v>1</v>
      </c>
      <c r="M90">
        <v>1</v>
      </c>
      <c r="N90">
        <v>1</v>
      </c>
      <c r="P90">
        <v>1.6583936214447019</v>
      </c>
    </row>
    <row r="91" spans="1:16" x14ac:dyDescent="0.25">
      <c r="A91" t="s">
        <v>86</v>
      </c>
      <c r="B91" t="s">
        <v>75</v>
      </c>
      <c r="C91">
        <v>0</v>
      </c>
      <c r="D91">
        <v>1</v>
      </c>
      <c r="E91">
        <v>1</v>
      </c>
      <c r="F91">
        <v>1</v>
      </c>
      <c r="G91">
        <v>1</v>
      </c>
      <c r="H91">
        <v>1</v>
      </c>
      <c r="I91">
        <v>1</v>
      </c>
      <c r="J91">
        <v>1</v>
      </c>
      <c r="K91">
        <v>1</v>
      </c>
      <c r="L91">
        <v>1</v>
      </c>
      <c r="M91">
        <v>1</v>
      </c>
      <c r="N91">
        <v>1</v>
      </c>
      <c r="P91">
        <v>1.2424407005310061</v>
      </c>
    </row>
    <row r="92" spans="1:16" x14ac:dyDescent="0.25">
      <c r="A92" t="s">
        <v>86</v>
      </c>
      <c r="B92" t="s">
        <v>77</v>
      </c>
      <c r="C92">
        <v>0</v>
      </c>
      <c r="D92">
        <v>1</v>
      </c>
      <c r="E92">
        <v>1</v>
      </c>
      <c r="F92">
        <v>1</v>
      </c>
      <c r="G92">
        <v>1</v>
      </c>
      <c r="H92">
        <v>1</v>
      </c>
      <c r="I92">
        <v>1</v>
      </c>
      <c r="J92">
        <v>1</v>
      </c>
      <c r="K92">
        <v>1</v>
      </c>
      <c r="L92">
        <v>1</v>
      </c>
      <c r="M92">
        <v>1</v>
      </c>
      <c r="N92">
        <v>1</v>
      </c>
      <c r="P92">
        <v>1.736711740493774</v>
      </c>
    </row>
    <row r="93" spans="1:16" x14ac:dyDescent="0.25">
      <c r="A93" t="s">
        <v>86</v>
      </c>
      <c r="B93" t="s">
        <v>78</v>
      </c>
      <c r="C93">
        <v>0</v>
      </c>
      <c r="D93">
        <v>1</v>
      </c>
      <c r="E93">
        <v>1</v>
      </c>
      <c r="F93">
        <v>1</v>
      </c>
      <c r="G93">
        <v>1</v>
      </c>
      <c r="H93">
        <v>1</v>
      </c>
      <c r="I93">
        <v>1</v>
      </c>
      <c r="J93">
        <v>1</v>
      </c>
      <c r="K93">
        <v>1</v>
      </c>
      <c r="L93">
        <v>1</v>
      </c>
      <c r="M93">
        <v>1</v>
      </c>
      <c r="N93">
        <v>1</v>
      </c>
      <c r="P93">
        <v>1.6852250099182129</v>
      </c>
    </row>
    <row r="94" spans="1:16" x14ac:dyDescent="0.25">
      <c r="A94" t="s">
        <v>86</v>
      </c>
      <c r="B94" t="s">
        <v>79</v>
      </c>
      <c r="C94">
        <v>0</v>
      </c>
      <c r="D94">
        <v>1</v>
      </c>
      <c r="E94">
        <v>1</v>
      </c>
      <c r="F94">
        <v>1</v>
      </c>
      <c r="G94">
        <v>1</v>
      </c>
      <c r="H94">
        <v>1</v>
      </c>
      <c r="I94">
        <v>1</v>
      </c>
      <c r="J94">
        <v>1</v>
      </c>
      <c r="K94">
        <v>1</v>
      </c>
      <c r="L94">
        <v>1</v>
      </c>
      <c r="M94">
        <v>1</v>
      </c>
      <c r="N94">
        <v>1</v>
      </c>
      <c r="P94">
        <v>1.760017871856689</v>
      </c>
    </row>
    <row r="95" spans="1:16" x14ac:dyDescent="0.25">
      <c r="A95" t="s">
        <v>86</v>
      </c>
      <c r="B95" t="s">
        <v>80</v>
      </c>
      <c r="C95">
        <v>0</v>
      </c>
      <c r="D95">
        <v>1</v>
      </c>
      <c r="E95">
        <v>1</v>
      </c>
      <c r="F95">
        <v>1</v>
      </c>
      <c r="G95">
        <v>1</v>
      </c>
      <c r="H95">
        <v>1</v>
      </c>
      <c r="I95">
        <v>1</v>
      </c>
      <c r="J95">
        <v>1</v>
      </c>
      <c r="K95">
        <v>1</v>
      </c>
      <c r="L95">
        <v>1</v>
      </c>
      <c r="M95">
        <v>1</v>
      </c>
      <c r="N95">
        <v>1</v>
      </c>
      <c r="P95">
        <v>1.4176497459411621</v>
      </c>
    </row>
    <row r="96" spans="1:16" x14ac:dyDescent="0.25">
      <c r="A96" t="s">
        <v>86</v>
      </c>
      <c r="B96" t="s">
        <v>81</v>
      </c>
      <c r="C96">
        <v>0</v>
      </c>
      <c r="D96">
        <v>1</v>
      </c>
      <c r="E96">
        <v>1</v>
      </c>
      <c r="F96">
        <v>1</v>
      </c>
      <c r="G96">
        <v>1</v>
      </c>
      <c r="H96">
        <v>1</v>
      </c>
      <c r="I96">
        <v>1</v>
      </c>
      <c r="J96">
        <v>1</v>
      </c>
      <c r="K96">
        <v>1</v>
      </c>
      <c r="L96">
        <v>1</v>
      </c>
      <c r="M96">
        <v>1</v>
      </c>
      <c r="N96">
        <v>1</v>
      </c>
      <c r="P96">
        <v>1.242501974105835</v>
      </c>
    </row>
    <row r="97" spans="1:16" x14ac:dyDescent="0.25">
      <c r="A97" t="s">
        <v>86</v>
      </c>
      <c r="B97" t="s">
        <v>82</v>
      </c>
      <c r="C97">
        <v>0</v>
      </c>
      <c r="D97">
        <v>1</v>
      </c>
      <c r="E97">
        <v>1</v>
      </c>
      <c r="F97">
        <v>1</v>
      </c>
      <c r="G97">
        <v>1</v>
      </c>
      <c r="H97">
        <v>1</v>
      </c>
      <c r="I97">
        <v>1</v>
      </c>
      <c r="J97">
        <v>1</v>
      </c>
      <c r="K97">
        <v>1</v>
      </c>
      <c r="L97">
        <v>1</v>
      </c>
      <c r="M97">
        <v>1</v>
      </c>
      <c r="N97">
        <v>1</v>
      </c>
      <c r="P97">
        <v>1.204164505004883</v>
      </c>
    </row>
    <row r="98" spans="1:16" x14ac:dyDescent="0.25">
      <c r="A98" t="s">
        <v>86</v>
      </c>
      <c r="B98" t="s">
        <v>83</v>
      </c>
      <c r="C98">
        <v>0</v>
      </c>
      <c r="D98">
        <v>1</v>
      </c>
      <c r="E98">
        <v>1</v>
      </c>
      <c r="F98">
        <v>1</v>
      </c>
      <c r="G98">
        <v>1</v>
      </c>
      <c r="H98">
        <v>1</v>
      </c>
      <c r="I98">
        <v>1</v>
      </c>
      <c r="J98">
        <v>1</v>
      </c>
      <c r="K98">
        <v>1</v>
      </c>
      <c r="L98">
        <v>1</v>
      </c>
      <c r="M98">
        <v>1</v>
      </c>
      <c r="N98">
        <v>1</v>
      </c>
      <c r="P98">
        <v>1.1524214744567871</v>
      </c>
    </row>
    <row r="99" spans="1:16" x14ac:dyDescent="0.25">
      <c r="A99" t="s">
        <v>86</v>
      </c>
      <c r="B99" t="s">
        <v>85</v>
      </c>
      <c r="C99">
        <v>0</v>
      </c>
      <c r="D99">
        <v>1</v>
      </c>
      <c r="E99">
        <v>1</v>
      </c>
      <c r="F99">
        <v>1</v>
      </c>
      <c r="G99">
        <v>1</v>
      </c>
      <c r="H99">
        <v>1</v>
      </c>
      <c r="I99">
        <v>1</v>
      </c>
      <c r="J99">
        <v>1</v>
      </c>
      <c r="K99">
        <v>1</v>
      </c>
      <c r="L99">
        <v>1</v>
      </c>
      <c r="M99">
        <v>1</v>
      </c>
      <c r="N99">
        <v>1</v>
      </c>
      <c r="P99">
        <v>1.2607636451721189</v>
      </c>
    </row>
    <row r="100" spans="1:16" x14ac:dyDescent="0.25">
      <c r="A100" t="s">
        <v>86</v>
      </c>
      <c r="B100" t="s">
        <v>98</v>
      </c>
      <c r="C100">
        <v>0</v>
      </c>
      <c r="D100">
        <v>1</v>
      </c>
      <c r="E100">
        <v>1</v>
      </c>
      <c r="F100">
        <v>1</v>
      </c>
      <c r="G100">
        <v>1</v>
      </c>
      <c r="H100">
        <v>1</v>
      </c>
      <c r="I100">
        <v>1</v>
      </c>
      <c r="J100">
        <v>1</v>
      </c>
      <c r="K100">
        <v>1</v>
      </c>
      <c r="L100">
        <v>1</v>
      </c>
      <c r="M100">
        <v>1</v>
      </c>
      <c r="N100">
        <v>1</v>
      </c>
      <c r="P100">
        <v>1.571591854095459</v>
      </c>
    </row>
    <row r="101" spans="1:16" x14ac:dyDescent="0.25">
      <c r="A101" t="s">
        <v>86</v>
      </c>
      <c r="B101" t="s">
        <v>99</v>
      </c>
      <c r="C101">
        <v>0</v>
      </c>
      <c r="D101">
        <v>1</v>
      </c>
      <c r="E101">
        <v>1</v>
      </c>
      <c r="F101">
        <v>1</v>
      </c>
      <c r="G101">
        <v>1</v>
      </c>
      <c r="H101">
        <v>1</v>
      </c>
      <c r="I101">
        <v>1</v>
      </c>
      <c r="J101">
        <v>1</v>
      </c>
      <c r="K101">
        <v>1</v>
      </c>
      <c r="L101">
        <v>1</v>
      </c>
      <c r="M101">
        <v>1</v>
      </c>
      <c r="N101">
        <v>1</v>
      </c>
      <c r="P101">
        <v>1.474941730499268</v>
      </c>
    </row>
    <row r="102" spans="1:16" x14ac:dyDescent="0.25">
      <c r="A102" t="s">
        <v>86</v>
      </c>
      <c r="B102" t="s">
        <v>100</v>
      </c>
      <c r="C102">
        <v>0</v>
      </c>
      <c r="D102">
        <v>1</v>
      </c>
      <c r="E102">
        <v>1</v>
      </c>
      <c r="F102">
        <v>1</v>
      </c>
      <c r="G102">
        <v>1</v>
      </c>
      <c r="H102">
        <v>1</v>
      </c>
      <c r="I102">
        <v>1</v>
      </c>
      <c r="J102">
        <v>1</v>
      </c>
      <c r="K102">
        <v>1</v>
      </c>
      <c r="L102">
        <v>1</v>
      </c>
      <c r="M102">
        <v>1</v>
      </c>
      <c r="N102">
        <v>1</v>
      </c>
      <c r="P102">
        <v>1.1256144046783449</v>
      </c>
    </row>
    <row r="103" spans="1:16" x14ac:dyDescent="0.25">
      <c r="A103" t="s">
        <v>86</v>
      </c>
      <c r="B103" t="s">
        <v>101</v>
      </c>
      <c r="C103">
        <v>0</v>
      </c>
      <c r="D103">
        <v>1</v>
      </c>
      <c r="E103">
        <v>1</v>
      </c>
      <c r="F103">
        <v>1</v>
      </c>
      <c r="G103">
        <v>1</v>
      </c>
      <c r="H103">
        <v>1</v>
      </c>
      <c r="I103">
        <v>1</v>
      </c>
      <c r="J103">
        <v>1</v>
      </c>
      <c r="K103">
        <v>1</v>
      </c>
      <c r="L103">
        <v>1</v>
      </c>
      <c r="M103">
        <v>1</v>
      </c>
      <c r="N103">
        <v>1</v>
      </c>
      <c r="P103">
        <v>1.576190710067749</v>
      </c>
    </row>
    <row r="104" spans="1:16" x14ac:dyDescent="0.25">
      <c r="A104" t="s">
        <v>86</v>
      </c>
      <c r="B104" t="s">
        <v>102</v>
      </c>
      <c r="C104">
        <v>0</v>
      </c>
      <c r="D104">
        <v>1</v>
      </c>
      <c r="E104">
        <v>1</v>
      </c>
      <c r="F104">
        <v>1</v>
      </c>
      <c r="G104">
        <v>1</v>
      </c>
      <c r="H104">
        <v>1</v>
      </c>
      <c r="I104">
        <v>1</v>
      </c>
      <c r="J104">
        <v>0</v>
      </c>
      <c r="K104">
        <v>1</v>
      </c>
      <c r="L104">
        <v>1</v>
      </c>
      <c r="M104">
        <v>1</v>
      </c>
      <c r="N104">
        <v>1</v>
      </c>
      <c r="O104" t="s">
        <v>103</v>
      </c>
      <c r="P104">
        <v>3.2782609462738042</v>
      </c>
    </row>
    <row r="105" spans="1:16" x14ac:dyDescent="0.25">
      <c r="A105" t="s">
        <v>86</v>
      </c>
      <c r="B105" t="s">
        <v>104</v>
      </c>
      <c r="C105">
        <v>0</v>
      </c>
      <c r="D105">
        <v>1</v>
      </c>
      <c r="E105">
        <v>1</v>
      </c>
      <c r="F105">
        <v>1</v>
      </c>
      <c r="G105">
        <v>1</v>
      </c>
      <c r="H105">
        <v>1</v>
      </c>
      <c r="I105">
        <v>1</v>
      </c>
      <c r="J105">
        <v>1</v>
      </c>
      <c r="K105">
        <v>1</v>
      </c>
      <c r="L105">
        <v>1</v>
      </c>
      <c r="M105">
        <v>1</v>
      </c>
      <c r="N105">
        <v>1</v>
      </c>
      <c r="P105">
        <v>1.7437093257904051</v>
      </c>
    </row>
    <row r="106" spans="1:16" x14ac:dyDescent="0.25">
      <c r="A106" t="s">
        <v>86</v>
      </c>
      <c r="B106" t="s">
        <v>105</v>
      </c>
      <c r="C106">
        <v>0</v>
      </c>
      <c r="D106">
        <v>1</v>
      </c>
      <c r="E106">
        <v>1</v>
      </c>
      <c r="F106">
        <v>1</v>
      </c>
      <c r="G106">
        <v>1</v>
      </c>
      <c r="H106">
        <v>1</v>
      </c>
      <c r="I106">
        <v>1</v>
      </c>
      <c r="J106">
        <v>1</v>
      </c>
      <c r="K106">
        <v>1</v>
      </c>
      <c r="L106">
        <v>1</v>
      </c>
      <c r="M106">
        <v>1</v>
      </c>
      <c r="N106">
        <v>1</v>
      </c>
      <c r="P106">
        <v>1.2274966239929199</v>
      </c>
    </row>
    <row r="107" spans="1:16" x14ac:dyDescent="0.25">
      <c r="A107" t="s">
        <v>86</v>
      </c>
      <c r="B107" t="s">
        <v>106</v>
      </c>
      <c r="C107">
        <v>0</v>
      </c>
      <c r="D107">
        <v>1</v>
      </c>
      <c r="E107">
        <v>1</v>
      </c>
      <c r="F107">
        <v>1</v>
      </c>
      <c r="G107">
        <v>1</v>
      </c>
      <c r="H107">
        <v>1</v>
      </c>
      <c r="I107">
        <v>1</v>
      </c>
      <c r="J107">
        <v>1</v>
      </c>
      <c r="K107">
        <v>1</v>
      </c>
      <c r="L107">
        <v>1</v>
      </c>
      <c r="M107">
        <v>1</v>
      </c>
      <c r="N107">
        <v>1</v>
      </c>
      <c r="P107">
        <v>1.4400243759155269</v>
      </c>
    </row>
    <row r="108" spans="1:16" x14ac:dyDescent="0.25">
      <c r="A108" t="s">
        <v>86</v>
      </c>
      <c r="B108" t="s">
        <v>107</v>
      </c>
      <c r="C108">
        <v>0</v>
      </c>
      <c r="D108">
        <v>1</v>
      </c>
      <c r="E108">
        <v>1</v>
      </c>
      <c r="F108">
        <v>1</v>
      </c>
      <c r="G108">
        <v>1</v>
      </c>
      <c r="H108">
        <v>1</v>
      </c>
      <c r="I108">
        <v>1</v>
      </c>
      <c r="J108">
        <v>1</v>
      </c>
      <c r="K108">
        <v>1</v>
      </c>
      <c r="L108">
        <v>1</v>
      </c>
      <c r="M108">
        <v>1</v>
      </c>
      <c r="N108">
        <v>1</v>
      </c>
      <c r="P108">
        <v>1.3680019378662109</v>
      </c>
    </row>
    <row r="109" spans="1:16" x14ac:dyDescent="0.25">
      <c r="A109" t="s">
        <v>86</v>
      </c>
      <c r="B109" t="s">
        <v>108</v>
      </c>
      <c r="C109">
        <v>0</v>
      </c>
      <c r="D109">
        <v>1</v>
      </c>
      <c r="E109">
        <v>1</v>
      </c>
      <c r="F109">
        <v>1</v>
      </c>
      <c r="G109">
        <v>1</v>
      </c>
      <c r="H109">
        <v>1</v>
      </c>
      <c r="I109">
        <v>1</v>
      </c>
      <c r="J109">
        <v>1</v>
      </c>
      <c r="K109">
        <v>1</v>
      </c>
      <c r="L109">
        <v>1</v>
      </c>
      <c r="M109">
        <v>1</v>
      </c>
      <c r="N109">
        <v>1</v>
      </c>
      <c r="P109">
        <v>1.1966068744659419</v>
      </c>
    </row>
    <row r="110" spans="1:16" x14ac:dyDescent="0.25">
      <c r="A110" t="s">
        <v>86</v>
      </c>
      <c r="B110" t="s">
        <v>109</v>
      </c>
      <c r="C110">
        <v>0</v>
      </c>
      <c r="D110">
        <v>1</v>
      </c>
      <c r="E110">
        <v>1</v>
      </c>
      <c r="F110">
        <v>1</v>
      </c>
      <c r="G110">
        <v>1</v>
      </c>
      <c r="H110">
        <v>1</v>
      </c>
      <c r="I110">
        <v>1</v>
      </c>
      <c r="J110">
        <v>1</v>
      </c>
      <c r="K110">
        <v>1</v>
      </c>
      <c r="L110">
        <v>1</v>
      </c>
      <c r="M110">
        <v>1</v>
      </c>
      <c r="N110">
        <v>1</v>
      </c>
      <c r="P110">
        <v>1.3009698390960689</v>
      </c>
    </row>
    <row r="111" spans="1:16" x14ac:dyDescent="0.25">
      <c r="A111" t="s">
        <v>86</v>
      </c>
      <c r="B111" t="s">
        <v>110</v>
      </c>
      <c r="C111">
        <v>0</v>
      </c>
      <c r="D111">
        <v>1</v>
      </c>
      <c r="E111">
        <v>0</v>
      </c>
      <c r="F111">
        <v>1</v>
      </c>
      <c r="G111">
        <v>1</v>
      </c>
      <c r="H111" t="s">
        <v>20</v>
      </c>
      <c r="I111">
        <v>1</v>
      </c>
      <c r="J111" t="s">
        <v>20</v>
      </c>
      <c r="K111">
        <v>1</v>
      </c>
      <c r="L111">
        <v>1</v>
      </c>
      <c r="M111">
        <v>1</v>
      </c>
      <c r="N111">
        <v>1</v>
      </c>
      <c r="O111" t="s">
        <v>111</v>
      </c>
      <c r="P111">
        <v>2.691637277603149</v>
      </c>
    </row>
    <row r="112" spans="1:16" x14ac:dyDescent="0.25">
      <c r="A112" t="s">
        <v>86</v>
      </c>
      <c r="B112" t="s">
        <v>112</v>
      </c>
      <c r="C112">
        <v>0</v>
      </c>
      <c r="D112">
        <v>1</v>
      </c>
      <c r="E112">
        <v>1</v>
      </c>
      <c r="F112">
        <v>1</v>
      </c>
      <c r="G112">
        <v>1</v>
      </c>
      <c r="H112">
        <v>1</v>
      </c>
      <c r="I112">
        <v>1</v>
      </c>
      <c r="J112">
        <v>1</v>
      </c>
      <c r="K112">
        <v>1</v>
      </c>
      <c r="L112">
        <v>1</v>
      </c>
      <c r="M112">
        <v>1</v>
      </c>
      <c r="N112">
        <v>1</v>
      </c>
      <c r="P112">
        <v>1.454135417938232</v>
      </c>
    </row>
    <row r="113" spans="1:17" x14ac:dyDescent="0.25">
      <c r="A113" t="s">
        <v>86</v>
      </c>
      <c r="B113" t="s">
        <v>113</v>
      </c>
      <c r="C113">
        <v>0</v>
      </c>
      <c r="D113">
        <v>1</v>
      </c>
      <c r="E113">
        <v>1</v>
      </c>
      <c r="F113">
        <v>1</v>
      </c>
      <c r="G113">
        <v>0</v>
      </c>
      <c r="H113">
        <v>1</v>
      </c>
      <c r="I113">
        <v>1</v>
      </c>
      <c r="J113">
        <v>1</v>
      </c>
      <c r="K113">
        <v>1</v>
      </c>
      <c r="L113">
        <v>1</v>
      </c>
      <c r="M113">
        <v>1</v>
      </c>
      <c r="N113">
        <v>1</v>
      </c>
      <c r="O113" t="s">
        <v>114</v>
      </c>
      <c r="P113">
        <v>2.1401164531707759</v>
      </c>
    </row>
    <row r="114" spans="1:17" x14ac:dyDescent="0.25">
      <c r="A114" t="s">
        <v>115</v>
      </c>
      <c r="B114" t="s">
        <v>18</v>
      </c>
      <c r="C114">
        <v>0</v>
      </c>
      <c r="D114">
        <v>1</v>
      </c>
      <c r="E114">
        <v>1</v>
      </c>
      <c r="F114">
        <v>1</v>
      </c>
      <c r="G114">
        <v>1</v>
      </c>
      <c r="H114">
        <v>1</v>
      </c>
      <c r="I114">
        <v>1</v>
      </c>
      <c r="J114">
        <v>1</v>
      </c>
      <c r="K114">
        <v>1</v>
      </c>
      <c r="L114">
        <v>1</v>
      </c>
      <c r="M114">
        <v>1</v>
      </c>
      <c r="N114">
        <v>1</v>
      </c>
      <c r="P114">
        <v>1.968346834182739</v>
      </c>
    </row>
    <row r="115" spans="1:17" x14ac:dyDescent="0.25">
      <c r="A115" t="s">
        <v>115</v>
      </c>
      <c r="B115" t="s">
        <v>19</v>
      </c>
      <c r="C115">
        <v>0</v>
      </c>
      <c r="D115">
        <v>1</v>
      </c>
      <c r="E115">
        <v>1</v>
      </c>
      <c r="F115">
        <v>1</v>
      </c>
      <c r="G115">
        <v>0</v>
      </c>
      <c r="H115">
        <v>1</v>
      </c>
      <c r="I115">
        <v>1</v>
      </c>
      <c r="J115">
        <v>1</v>
      </c>
      <c r="K115">
        <v>1</v>
      </c>
      <c r="L115">
        <v>1</v>
      </c>
      <c r="M115">
        <v>1</v>
      </c>
      <c r="N115">
        <v>1</v>
      </c>
      <c r="O115" t="s">
        <v>116</v>
      </c>
      <c r="P115">
        <v>1.704101085662842</v>
      </c>
    </row>
    <row r="116" spans="1:17" x14ac:dyDescent="0.25">
      <c r="A116" t="s">
        <v>115</v>
      </c>
      <c r="B116" t="s">
        <v>22</v>
      </c>
      <c r="C116">
        <v>0</v>
      </c>
      <c r="D116">
        <v>1</v>
      </c>
      <c r="E116">
        <v>0</v>
      </c>
      <c r="F116">
        <v>1</v>
      </c>
      <c r="G116">
        <v>1</v>
      </c>
      <c r="H116" t="s">
        <v>20</v>
      </c>
      <c r="I116">
        <v>1</v>
      </c>
      <c r="J116" t="s">
        <v>20</v>
      </c>
      <c r="K116">
        <v>1</v>
      </c>
      <c r="L116">
        <v>1</v>
      </c>
      <c r="M116">
        <v>1</v>
      </c>
      <c r="N116">
        <v>1</v>
      </c>
      <c r="O116" t="s">
        <v>117</v>
      </c>
      <c r="P116">
        <v>2.4258711338043208</v>
      </c>
    </row>
    <row r="117" spans="1:17" x14ac:dyDescent="0.25">
      <c r="A117" t="s">
        <v>115</v>
      </c>
      <c r="B117" t="s">
        <v>24</v>
      </c>
      <c r="C117">
        <v>0</v>
      </c>
      <c r="D117">
        <v>1</v>
      </c>
      <c r="E117">
        <v>1</v>
      </c>
      <c r="F117">
        <v>1</v>
      </c>
      <c r="G117">
        <v>1</v>
      </c>
      <c r="H117">
        <v>1</v>
      </c>
      <c r="I117">
        <v>1</v>
      </c>
      <c r="J117">
        <v>1</v>
      </c>
      <c r="K117">
        <v>1</v>
      </c>
      <c r="L117">
        <v>1</v>
      </c>
      <c r="M117">
        <v>1</v>
      </c>
      <c r="N117">
        <v>1</v>
      </c>
      <c r="P117">
        <v>1.206921339035034</v>
      </c>
    </row>
    <row r="118" spans="1:17" x14ac:dyDescent="0.25">
      <c r="A118" t="s">
        <v>115</v>
      </c>
      <c r="B118" t="s">
        <v>25</v>
      </c>
      <c r="C118">
        <v>0</v>
      </c>
      <c r="D118">
        <v>1</v>
      </c>
      <c r="E118">
        <v>1</v>
      </c>
      <c r="F118">
        <v>1</v>
      </c>
      <c r="G118">
        <v>0</v>
      </c>
      <c r="H118">
        <v>1</v>
      </c>
      <c r="I118">
        <v>1</v>
      </c>
      <c r="J118">
        <v>1</v>
      </c>
      <c r="K118">
        <v>1</v>
      </c>
      <c r="L118">
        <v>1</v>
      </c>
      <c r="M118">
        <v>1</v>
      </c>
      <c r="N118">
        <v>1</v>
      </c>
      <c r="O118" t="s">
        <v>118</v>
      </c>
      <c r="P118">
        <v>1.629323482513428</v>
      </c>
    </row>
    <row r="119" spans="1:17" x14ac:dyDescent="0.25">
      <c r="A119" t="s">
        <v>115</v>
      </c>
      <c r="B119" t="s">
        <v>26</v>
      </c>
      <c r="C119">
        <v>0</v>
      </c>
      <c r="D119">
        <v>1</v>
      </c>
      <c r="E119">
        <v>1</v>
      </c>
      <c r="F119">
        <v>1</v>
      </c>
      <c r="G119">
        <v>1</v>
      </c>
      <c r="H119">
        <v>1</v>
      </c>
      <c r="I119">
        <v>1</v>
      </c>
      <c r="J119">
        <v>1</v>
      </c>
      <c r="K119">
        <v>1</v>
      </c>
      <c r="L119">
        <v>1</v>
      </c>
      <c r="M119">
        <v>1</v>
      </c>
      <c r="N119">
        <v>1</v>
      </c>
      <c r="P119">
        <v>1.2766003608703611</v>
      </c>
    </row>
    <row r="120" spans="1:17" x14ac:dyDescent="0.25">
      <c r="A120" t="s">
        <v>115</v>
      </c>
      <c r="B120" t="s">
        <v>27</v>
      </c>
      <c r="C120">
        <v>0</v>
      </c>
      <c r="D120">
        <v>1</v>
      </c>
      <c r="E120">
        <v>1</v>
      </c>
      <c r="F120">
        <v>0</v>
      </c>
      <c r="G120">
        <v>1</v>
      </c>
      <c r="H120">
        <v>1</v>
      </c>
      <c r="I120">
        <v>1</v>
      </c>
      <c r="J120" t="s">
        <v>20</v>
      </c>
      <c r="K120">
        <v>1</v>
      </c>
      <c r="L120">
        <v>1</v>
      </c>
      <c r="M120">
        <v>1</v>
      </c>
      <c r="N120">
        <v>1</v>
      </c>
      <c r="O120" t="s">
        <v>119</v>
      </c>
      <c r="P120">
        <v>4.5298810005187988</v>
      </c>
    </row>
    <row r="121" spans="1:17" x14ac:dyDescent="0.25">
      <c r="A121" t="s">
        <v>115</v>
      </c>
      <c r="B121" t="s">
        <v>29</v>
      </c>
      <c r="C121">
        <v>0</v>
      </c>
      <c r="D121">
        <v>1</v>
      </c>
      <c r="E121">
        <v>1</v>
      </c>
      <c r="F121">
        <v>1</v>
      </c>
      <c r="G121">
        <v>0</v>
      </c>
      <c r="H121">
        <v>1</v>
      </c>
      <c r="I121">
        <v>1</v>
      </c>
      <c r="J121">
        <v>1</v>
      </c>
      <c r="K121">
        <v>1</v>
      </c>
      <c r="L121">
        <v>1</v>
      </c>
      <c r="M121">
        <v>1</v>
      </c>
      <c r="N121">
        <v>1</v>
      </c>
      <c r="O121" t="s">
        <v>120</v>
      </c>
      <c r="P121">
        <v>2.1410667896270752</v>
      </c>
    </row>
    <row r="122" spans="1:17" x14ac:dyDescent="0.25">
      <c r="A122" t="s">
        <v>115</v>
      </c>
      <c r="B122" t="s">
        <v>30</v>
      </c>
      <c r="C122">
        <v>0</v>
      </c>
      <c r="D122">
        <v>0</v>
      </c>
      <c r="E122" t="s">
        <v>20</v>
      </c>
      <c r="F122" t="s">
        <v>20</v>
      </c>
      <c r="G122" t="s">
        <v>20</v>
      </c>
      <c r="H122" t="s">
        <v>20</v>
      </c>
      <c r="I122" t="s">
        <v>20</v>
      </c>
      <c r="J122" t="s">
        <v>20</v>
      </c>
      <c r="K122" t="s">
        <v>20</v>
      </c>
      <c r="L122" t="s">
        <v>20</v>
      </c>
      <c r="M122">
        <v>1</v>
      </c>
      <c r="N122" t="s">
        <v>20</v>
      </c>
      <c r="O122" t="s">
        <v>121</v>
      </c>
      <c r="P122">
        <v>2.7410106658935551</v>
      </c>
      <c r="Q122" t="s">
        <v>20</v>
      </c>
    </row>
    <row r="123" spans="1:17" x14ac:dyDescent="0.25">
      <c r="A123" t="s">
        <v>115</v>
      </c>
      <c r="B123" t="s">
        <v>32</v>
      </c>
      <c r="C123">
        <v>0</v>
      </c>
      <c r="D123">
        <v>1</v>
      </c>
      <c r="E123">
        <v>0</v>
      </c>
      <c r="F123">
        <v>1</v>
      </c>
      <c r="G123">
        <v>1</v>
      </c>
      <c r="H123" t="s">
        <v>20</v>
      </c>
      <c r="I123">
        <v>1</v>
      </c>
      <c r="J123" t="s">
        <v>20</v>
      </c>
      <c r="K123">
        <v>1</v>
      </c>
      <c r="L123">
        <v>1</v>
      </c>
      <c r="M123">
        <v>1</v>
      </c>
      <c r="N123">
        <v>1</v>
      </c>
      <c r="O123" t="s">
        <v>122</v>
      </c>
      <c r="P123">
        <v>2.3891479969024658</v>
      </c>
    </row>
    <row r="124" spans="1:17" x14ac:dyDescent="0.25">
      <c r="A124" t="s">
        <v>115</v>
      </c>
      <c r="B124" t="s">
        <v>33</v>
      </c>
      <c r="C124">
        <v>0</v>
      </c>
      <c r="D124">
        <v>1</v>
      </c>
      <c r="E124">
        <v>0</v>
      </c>
      <c r="F124">
        <v>1</v>
      </c>
      <c r="G124">
        <v>1</v>
      </c>
      <c r="H124" t="s">
        <v>20</v>
      </c>
      <c r="I124">
        <v>1</v>
      </c>
      <c r="J124" t="s">
        <v>20</v>
      </c>
      <c r="K124">
        <v>1</v>
      </c>
      <c r="L124">
        <v>1</v>
      </c>
      <c r="M124">
        <v>0</v>
      </c>
      <c r="N124">
        <v>1</v>
      </c>
      <c r="O124" t="s">
        <v>123</v>
      </c>
      <c r="P124">
        <v>3.8160419464111328</v>
      </c>
    </row>
    <row r="125" spans="1:17" x14ac:dyDescent="0.25">
      <c r="A125" t="s">
        <v>115</v>
      </c>
      <c r="B125" t="s">
        <v>34</v>
      </c>
      <c r="C125">
        <v>0</v>
      </c>
      <c r="D125">
        <v>1</v>
      </c>
      <c r="E125">
        <v>1</v>
      </c>
      <c r="F125">
        <v>1</v>
      </c>
      <c r="G125">
        <v>1</v>
      </c>
      <c r="H125">
        <v>1</v>
      </c>
      <c r="I125">
        <v>1</v>
      </c>
      <c r="J125">
        <v>1</v>
      </c>
      <c r="K125">
        <v>1</v>
      </c>
      <c r="L125">
        <v>1</v>
      </c>
      <c r="M125">
        <v>1</v>
      </c>
      <c r="N125">
        <v>1</v>
      </c>
      <c r="P125">
        <v>1.1058568954467769</v>
      </c>
    </row>
    <row r="126" spans="1:17" x14ac:dyDescent="0.25">
      <c r="A126" t="s">
        <v>115</v>
      </c>
      <c r="B126" t="s">
        <v>35</v>
      </c>
      <c r="C126">
        <v>0</v>
      </c>
      <c r="D126">
        <v>1</v>
      </c>
      <c r="E126">
        <v>1</v>
      </c>
      <c r="F126">
        <v>1</v>
      </c>
      <c r="G126">
        <v>1</v>
      </c>
      <c r="H126">
        <v>1</v>
      </c>
      <c r="I126">
        <v>1</v>
      </c>
      <c r="J126">
        <v>1</v>
      </c>
      <c r="K126">
        <v>1</v>
      </c>
      <c r="L126">
        <v>1</v>
      </c>
      <c r="M126">
        <v>1</v>
      </c>
      <c r="N126">
        <v>1</v>
      </c>
      <c r="P126">
        <v>1.1969161033630371</v>
      </c>
    </row>
    <row r="127" spans="1:17" x14ac:dyDescent="0.25">
      <c r="A127" t="s">
        <v>115</v>
      </c>
      <c r="B127" t="s">
        <v>37</v>
      </c>
      <c r="C127">
        <v>0</v>
      </c>
      <c r="D127">
        <v>1</v>
      </c>
      <c r="E127">
        <v>1</v>
      </c>
      <c r="F127">
        <v>1</v>
      </c>
      <c r="G127">
        <v>1</v>
      </c>
      <c r="H127">
        <v>1</v>
      </c>
      <c r="I127">
        <v>1</v>
      </c>
      <c r="J127">
        <v>1</v>
      </c>
      <c r="K127">
        <v>1</v>
      </c>
      <c r="L127">
        <v>1</v>
      </c>
      <c r="M127">
        <v>1</v>
      </c>
      <c r="N127">
        <v>1</v>
      </c>
      <c r="P127">
        <v>1.5468273162841799</v>
      </c>
    </row>
    <row r="128" spans="1:17" x14ac:dyDescent="0.25">
      <c r="A128" t="s">
        <v>115</v>
      </c>
      <c r="B128" t="s">
        <v>38</v>
      </c>
      <c r="C128">
        <v>0</v>
      </c>
      <c r="D128">
        <v>1</v>
      </c>
      <c r="E128">
        <v>1</v>
      </c>
      <c r="F128">
        <v>1</v>
      </c>
      <c r="G128">
        <v>1</v>
      </c>
      <c r="H128">
        <v>1</v>
      </c>
      <c r="I128">
        <v>1</v>
      </c>
      <c r="J128">
        <v>1</v>
      </c>
      <c r="K128">
        <v>1</v>
      </c>
      <c r="L128">
        <v>1</v>
      </c>
      <c r="M128">
        <v>1</v>
      </c>
      <c r="N128">
        <v>1</v>
      </c>
      <c r="P128">
        <v>2.593998908996582</v>
      </c>
    </row>
    <row r="129" spans="1:16" x14ac:dyDescent="0.25">
      <c r="A129" t="s">
        <v>115</v>
      </c>
      <c r="B129" t="s">
        <v>39</v>
      </c>
      <c r="C129">
        <v>0</v>
      </c>
      <c r="D129">
        <v>1</v>
      </c>
      <c r="E129">
        <v>1</v>
      </c>
      <c r="F129">
        <v>1</v>
      </c>
      <c r="G129">
        <v>1</v>
      </c>
      <c r="H129">
        <v>1</v>
      </c>
      <c r="I129">
        <v>1</v>
      </c>
      <c r="J129">
        <v>1</v>
      </c>
      <c r="K129">
        <v>1</v>
      </c>
      <c r="L129">
        <v>1</v>
      </c>
      <c r="M129">
        <v>1</v>
      </c>
      <c r="N129">
        <v>1</v>
      </c>
      <c r="P129">
        <v>1.471085786819458</v>
      </c>
    </row>
    <row r="130" spans="1:16" x14ac:dyDescent="0.25">
      <c r="A130" t="s">
        <v>115</v>
      </c>
      <c r="B130" t="s">
        <v>40</v>
      </c>
      <c r="C130">
        <v>0</v>
      </c>
      <c r="D130">
        <v>1</v>
      </c>
      <c r="E130">
        <v>1</v>
      </c>
      <c r="F130">
        <v>1</v>
      </c>
      <c r="G130">
        <v>0</v>
      </c>
      <c r="H130">
        <v>1</v>
      </c>
      <c r="I130">
        <v>1</v>
      </c>
      <c r="J130">
        <v>1</v>
      </c>
      <c r="K130">
        <v>1</v>
      </c>
      <c r="L130">
        <v>1</v>
      </c>
      <c r="M130">
        <v>1</v>
      </c>
      <c r="N130">
        <v>1</v>
      </c>
      <c r="O130" t="s">
        <v>124</v>
      </c>
      <c r="P130">
        <v>1.515516996383667</v>
      </c>
    </row>
    <row r="131" spans="1:16" x14ac:dyDescent="0.25">
      <c r="A131" t="s">
        <v>115</v>
      </c>
      <c r="B131" t="s">
        <v>41</v>
      </c>
      <c r="C131">
        <v>0</v>
      </c>
      <c r="D131">
        <v>1</v>
      </c>
      <c r="E131">
        <v>1</v>
      </c>
      <c r="F131">
        <v>1</v>
      </c>
      <c r="G131">
        <v>1</v>
      </c>
      <c r="H131">
        <v>1</v>
      </c>
      <c r="I131">
        <v>1</v>
      </c>
      <c r="J131">
        <v>1</v>
      </c>
      <c r="K131">
        <v>1</v>
      </c>
      <c r="L131">
        <v>1</v>
      </c>
      <c r="M131">
        <v>1</v>
      </c>
      <c r="N131">
        <v>1</v>
      </c>
      <c r="P131">
        <v>1.3245213031768801</v>
      </c>
    </row>
    <row r="132" spans="1:16" x14ac:dyDescent="0.25">
      <c r="A132" t="s">
        <v>115</v>
      </c>
      <c r="B132" t="s">
        <v>42</v>
      </c>
      <c r="C132">
        <v>0</v>
      </c>
      <c r="D132">
        <v>1</v>
      </c>
      <c r="E132">
        <v>1</v>
      </c>
      <c r="F132">
        <v>1</v>
      </c>
      <c r="G132">
        <v>1</v>
      </c>
      <c r="H132">
        <v>1</v>
      </c>
      <c r="I132">
        <v>1</v>
      </c>
      <c r="J132">
        <v>1</v>
      </c>
      <c r="K132">
        <v>1</v>
      </c>
      <c r="L132">
        <v>1</v>
      </c>
      <c r="M132">
        <v>1</v>
      </c>
      <c r="N132">
        <v>1</v>
      </c>
      <c r="P132">
        <v>1.3198907375335689</v>
      </c>
    </row>
    <row r="133" spans="1:16" x14ac:dyDescent="0.25">
      <c r="A133" t="s">
        <v>115</v>
      </c>
      <c r="B133" t="s">
        <v>43</v>
      </c>
      <c r="C133">
        <v>0</v>
      </c>
      <c r="D133">
        <v>1</v>
      </c>
      <c r="E133">
        <v>1</v>
      </c>
      <c r="F133">
        <v>1</v>
      </c>
      <c r="G133">
        <v>0</v>
      </c>
      <c r="H133">
        <v>1</v>
      </c>
      <c r="I133">
        <v>1</v>
      </c>
      <c r="J133">
        <v>1</v>
      </c>
      <c r="K133">
        <v>1</v>
      </c>
      <c r="L133">
        <v>1</v>
      </c>
      <c r="M133">
        <v>1</v>
      </c>
      <c r="N133">
        <v>1</v>
      </c>
      <c r="O133" t="s">
        <v>125</v>
      </c>
      <c r="P133">
        <v>2.1498696804046631</v>
      </c>
    </row>
    <row r="134" spans="1:16" x14ac:dyDescent="0.25">
      <c r="A134" t="s">
        <v>115</v>
      </c>
      <c r="B134" t="s">
        <v>44</v>
      </c>
      <c r="C134">
        <v>0</v>
      </c>
      <c r="D134">
        <v>1</v>
      </c>
      <c r="E134">
        <v>1</v>
      </c>
      <c r="F134">
        <v>1</v>
      </c>
      <c r="G134">
        <v>1</v>
      </c>
      <c r="H134">
        <v>1</v>
      </c>
      <c r="I134">
        <v>1</v>
      </c>
      <c r="J134">
        <v>1</v>
      </c>
      <c r="K134">
        <v>1</v>
      </c>
      <c r="L134">
        <v>1</v>
      </c>
      <c r="M134">
        <v>1</v>
      </c>
      <c r="N134">
        <v>1</v>
      </c>
      <c r="P134">
        <v>2.6267797946929932</v>
      </c>
    </row>
    <row r="135" spans="1:16" x14ac:dyDescent="0.25">
      <c r="A135" t="s">
        <v>115</v>
      </c>
      <c r="B135" t="s">
        <v>45</v>
      </c>
      <c r="C135">
        <v>0</v>
      </c>
      <c r="D135">
        <v>1</v>
      </c>
      <c r="E135">
        <v>1</v>
      </c>
      <c r="F135">
        <v>1</v>
      </c>
      <c r="G135">
        <v>1</v>
      </c>
      <c r="H135">
        <v>1</v>
      </c>
      <c r="I135">
        <v>1</v>
      </c>
      <c r="J135">
        <v>1</v>
      </c>
      <c r="K135">
        <v>1</v>
      </c>
      <c r="L135">
        <v>1</v>
      </c>
      <c r="M135">
        <v>1</v>
      </c>
      <c r="N135">
        <v>1</v>
      </c>
      <c r="P135">
        <v>1.601113080978394</v>
      </c>
    </row>
    <row r="136" spans="1:16" x14ac:dyDescent="0.25">
      <c r="A136" t="s">
        <v>115</v>
      </c>
      <c r="B136" t="s">
        <v>47</v>
      </c>
      <c r="C136">
        <v>0</v>
      </c>
      <c r="D136">
        <v>1</v>
      </c>
      <c r="E136">
        <v>1</v>
      </c>
      <c r="F136">
        <v>1</v>
      </c>
      <c r="G136">
        <v>1</v>
      </c>
      <c r="H136">
        <v>1</v>
      </c>
      <c r="I136">
        <v>1</v>
      </c>
      <c r="J136">
        <v>1</v>
      </c>
      <c r="K136">
        <v>1</v>
      </c>
      <c r="L136">
        <v>1</v>
      </c>
      <c r="M136">
        <v>1</v>
      </c>
      <c r="N136">
        <v>1</v>
      </c>
      <c r="P136">
        <v>1.3429808616638179</v>
      </c>
    </row>
    <row r="137" spans="1:16" x14ac:dyDescent="0.25">
      <c r="A137" t="s">
        <v>115</v>
      </c>
      <c r="B137" t="s">
        <v>48</v>
      </c>
      <c r="C137">
        <v>0</v>
      </c>
      <c r="D137">
        <v>1</v>
      </c>
      <c r="E137">
        <v>0</v>
      </c>
      <c r="F137">
        <v>1</v>
      </c>
      <c r="G137">
        <v>1</v>
      </c>
      <c r="H137" t="s">
        <v>20</v>
      </c>
      <c r="I137">
        <v>1</v>
      </c>
      <c r="J137" t="s">
        <v>20</v>
      </c>
      <c r="K137">
        <v>1</v>
      </c>
      <c r="L137">
        <v>1</v>
      </c>
      <c r="M137">
        <v>1</v>
      </c>
      <c r="N137">
        <v>1</v>
      </c>
      <c r="O137" t="s">
        <v>126</v>
      </c>
      <c r="P137">
        <v>2.098711252212524</v>
      </c>
    </row>
    <row r="138" spans="1:16" x14ac:dyDescent="0.25">
      <c r="A138" t="s">
        <v>115</v>
      </c>
      <c r="B138" t="s">
        <v>50</v>
      </c>
      <c r="C138">
        <v>0</v>
      </c>
      <c r="D138">
        <v>1</v>
      </c>
      <c r="E138">
        <v>0</v>
      </c>
      <c r="F138">
        <v>1</v>
      </c>
      <c r="G138">
        <v>1</v>
      </c>
      <c r="H138" t="s">
        <v>20</v>
      </c>
      <c r="I138">
        <v>1</v>
      </c>
      <c r="J138" t="s">
        <v>20</v>
      </c>
      <c r="K138">
        <v>1</v>
      </c>
      <c r="L138">
        <v>1</v>
      </c>
      <c r="M138">
        <v>1</v>
      </c>
      <c r="N138">
        <v>1</v>
      </c>
      <c r="O138" t="s">
        <v>127</v>
      </c>
      <c r="P138">
        <v>2.4117941856384282</v>
      </c>
    </row>
    <row r="139" spans="1:16" x14ac:dyDescent="0.25">
      <c r="A139" t="s">
        <v>115</v>
      </c>
      <c r="B139" t="s">
        <v>51</v>
      </c>
      <c r="C139">
        <v>0</v>
      </c>
      <c r="D139">
        <v>1</v>
      </c>
      <c r="E139">
        <v>1</v>
      </c>
      <c r="F139">
        <v>1</v>
      </c>
      <c r="G139">
        <v>1</v>
      </c>
      <c r="H139">
        <v>1</v>
      </c>
      <c r="I139">
        <v>1</v>
      </c>
      <c r="J139">
        <v>1</v>
      </c>
      <c r="K139">
        <v>1</v>
      </c>
      <c r="L139">
        <v>1</v>
      </c>
      <c r="M139">
        <v>1</v>
      </c>
      <c r="N139">
        <v>1</v>
      </c>
      <c r="P139">
        <v>1.2762670516967769</v>
      </c>
    </row>
    <row r="140" spans="1:16" x14ac:dyDescent="0.25">
      <c r="A140" t="s">
        <v>115</v>
      </c>
      <c r="B140" t="s">
        <v>53</v>
      </c>
      <c r="C140">
        <v>0</v>
      </c>
      <c r="D140">
        <v>1</v>
      </c>
      <c r="E140">
        <v>1</v>
      </c>
      <c r="F140">
        <v>0</v>
      </c>
      <c r="G140">
        <v>1</v>
      </c>
      <c r="H140">
        <v>1</v>
      </c>
      <c r="I140">
        <v>1</v>
      </c>
      <c r="J140" t="s">
        <v>20</v>
      </c>
      <c r="K140">
        <v>1</v>
      </c>
      <c r="L140">
        <v>1</v>
      </c>
      <c r="M140">
        <v>1</v>
      </c>
      <c r="N140">
        <v>1</v>
      </c>
      <c r="O140" t="s">
        <v>128</v>
      </c>
      <c r="P140">
        <v>3.3707008361816411</v>
      </c>
    </row>
    <row r="141" spans="1:16" x14ac:dyDescent="0.25">
      <c r="A141" t="s">
        <v>115</v>
      </c>
      <c r="B141" t="s">
        <v>55</v>
      </c>
      <c r="C141">
        <v>0</v>
      </c>
      <c r="D141">
        <v>1</v>
      </c>
      <c r="E141">
        <v>1</v>
      </c>
      <c r="F141">
        <v>1</v>
      </c>
      <c r="G141">
        <v>1</v>
      </c>
      <c r="H141">
        <v>1</v>
      </c>
      <c r="I141">
        <v>1</v>
      </c>
      <c r="J141">
        <v>1</v>
      </c>
      <c r="K141">
        <v>1</v>
      </c>
      <c r="L141">
        <v>1</v>
      </c>
      <c r="M141">
        <v>1</v>
      </c>
      <c r="N141">
        <v>1</v>
      </c>
      <c r="P141">
        <v>1.1693346500396731</v>
      </c>
    </row>
    <row r="142" spans="1:16" x14ac:dyDescent="0.25">
      <c r="A142" t="s">
        <v>115</v>
      </c>
      <c r="B142" t="s">
        <v>56</v>
      </c>
      <c r="C142">
        <v>0</v>
      </c>
      <c r="D142">
        <v>1</v>
      </c>
      <c r="E142">
        <v>1</v>
      </c>
      <c r="F142">
        <v>1</v>
      </c>
      <c r="G142">
        <v>1</v>
      </c>
      <c r="H142">
        <v>1</v>
      </c>
      <c r="I142">
        <v>1</v>
      </c>
      <c r="J142">
        <v>1</v>
      </c>
      <c r="K142">
        <v>1</v>
      </c>
      <c r="L142">
        <v>1</v>
      </c>
      <c r="M142">
        <v>1</v>
      </c>
      <c r="N142">
        <v>1</v>
      </c>
      <c r="P142">
        <v>1.905261278152466</v>
      </c>
    </row>
    <row r="143" spans="1:16" x14ac:dyDescent="0.25">
      <c r="A143" t="s">
        <v>115</v>
      </c>
      <c r="B143" t="s">
        <v>58</v>
      </c>
      <c r="C143">
        <v>0</v>
      </c>
      <c r="D143">
        <v>1</v>
      </c>
      <c r="E143">
        <v>1</v>
      </c>
      <c r="F143">
        <v>1</v>
      </c>
      <c r="G143">
        <v>1</v>
      </c>
      <c r="H143">
        <v>1</v>
      </c>
      <c r="I143">
        <v>1</v>
      </c>
      <c r="J143">
        <v>1</v>
      </c>
      <c r="K143">
        <v>1</v>
      </c>
      <c r="L143">
        <v>1</v>
      </c>
      <c r="M143">
        <v>1</v>
      </c>
      <c r="N143">
        <v>1</v>
      </c>
      <c r="P143">
        <v>1.7932314872741699</v>
      </c>
    </row>
    <row r="144" spans="1:16" x14ac:dyDescent="0.25">
      <c r="A144" t="s">
        <v>115</v>
      </c>
      <c r="B144" t="s">
        <v>60</v>
      </c>
      <c r="C144">
        <v>0</v>
      </c>
      <c r="D144">
        <v>1</v>
      </c>
      <c r="E144">
        <v>1</v>
      </c>
      <c r="F144">
        <v>1</v>
      </c>
      <c r="G144">
        <v>1</v>
      </c>
      <c r="H144">
        <v>1</v>
      </c>
      <c r="I144">
        <v>1</v>
      </c>
      <c r="J144">
        <v>1</v>
      </c>
      <c r="K144">
        <v>1</v>
      </c>
      <c r="L144">
        <v>1</v>
      </c>
      <c r="M144">
        <v>1</v>
      </c>
      <c r="N144">
        <v>1</v>
      </c>
      <c r="P144">
        <v>1.1158463954925539</v>
      </c>
    </row>
    <row r="145" spans="1:16" x14ac:dyDescent="0.25">
      <c r="A145" t="s">
        <v>115</v>
      </c>
      <c r="B145" t="s">
        <v>62</v>
      </c>
      <c r="C145">
        <v>0</v>
      </c>
      <c r="D145">
        <v>1</v>
      </c>
      <c r="E145">
        <v>1</v>
      </c>
      <c r="F145">
        <v>1</v>
      </c>
      <c r="G145">
        <v>1</v>
      </c>
      <c r="H145">
        <v>1</v>
      </c>
      <c r="I145">
        <v>1</v>
      </c>
      <c r="J145">
        <v>1</v>
      </c>
      <c r="K145">
        <v>1</v>
      </c>
      <c r="L145">
        <v>1</v>
      </c>
      <c r="M145">
        <v>1</v>
      </c>
      <c r="N145">
        <v>1</v>
      </c>
      <c r="P145">
        <v>1.253036260604858</v>
      </c>
    </row>
    <row r="146" spans="1:16" x14ac:dyDescent="0.25">
      <c r="A146" t="s">
        <v>115</v>
      </c>
      <c r="B146" t="s">
        <v>63</v>
      </c>
      <c r="C146">
        <v>0</v>
      </c>
      <c r="D146">
        <v>1</v>
      </c>
      <c r="E146">
        <v>1</v>
      </c>
      <c r="F146">
        <v>1</v>
      </c>
      <c r="G146">
        <v>1</v>
      </c>
      <c r="H146">
        <v>1</v>
      </c>
      <c r="I146">
        <v>1</v>
      </c>
      <c r="J146">
        <v>1</v>
      </c>
      <c r="K146">
        <v>1</v>
      </c>
      <c r="L146">
        <v>1</v>
      </c>
      <c r="M146">
        <v>1</v>
      </c>
      <c r="N146">
        <v>1</v>
      </c>
      <c r="P146">
        <v>1.26237940788269</v>
      </c>
    </row>
    <row r="147" spans="1:16" x14ac:dyDescent="0.25">
      <c r="A147" t="s">
        <v>115</v>
      </c>
      <c r="B147" t="s">
        <v>65</v>
      </c>
      <c r="C147">
        <v>0</v>
      </c>
      <c r="D147">
        <v>1</v>
      </c>
      <c r="E147">
        <v>1</v>
      </c>
      <c r="F147">
        <v>1</v>
      </c>
      <c r="G147">
        <v>0</v>
      </c>
      <c r="H147">
        <v>1</v>
      </c>
      <c r="I147">
        <v>1</v>
      </c>
      <c r="J147">
        <v>1</v>
      </c>
      <c r="K147">
        <v>1</v>
      </c>
      <c r="L147">
        <v>1</v>
      </c>
      <c r="M147">
        <v>1</v>
      </c>
      <c r="N147">
        <v>1</v>
      </c>
      <c r="O147" t="s">
        <v>129</v>
      </c>
      <c r="P147">
        <v>2.3858366012573242</v>
      </c>
    </row>
    <row r="148" spans="1:16" x14ac:dyDescent="0.25">
      <c r="A148" t="s">
        <v>115</v>
      </c>
      <c r="B148" t="s">
        <v>66</v>
      </c>
      <c r="C148">
        <v>0</v>
      </c>
      <c r="D148">
        <v>1</v>
      </c>
      <c r="E148">
        <v>1</v>
      </c>
      <c r="F148">
        <v>1</v>
      </c>
      <c r="G148">
        <v>1</v>
      </c>
      <c r="H148">
        <v>1</v>
      </c>
      <c r="I148">
        <v>1</v>
      </c>
      <c r="J148">
        <v>1</v>
      </c>
      <c r="K148">
        <v>1</v>
      </c>
      <c r="L148">
        <v>1</v>
      </c>
      <c r="M148">
        <v>1</v>
      </c>
      <c r="N148">
        <v>1</v>
      </c>
      <c r="P148">
        <v>1.2048406600952151</v>
      </c>
    </row>
    <row r="149" spans="1:16" x14ac:dyDescent="0.25">
      <c r="A149" t="s">
        <v>115</v>
      </c>
      <c r="B149" t="s">
        <v>67</v>
      </c>
      <c r="C149">
        <v>0</v>
      </c>
      <c r="D149">
        <v>1</v>
      </c>
      <c r="E149">
        <v>1</v>
      </c>
      <c r="F149">
        <v>1</v>
      </c>
      <c r="G149">
        <v>1</v>
      </c>
      <c r="H149">
        <v>1</v>
      </c>
      <c r="I149">
        <v>1</v>
      </c>
      <c r="J149">
        <v>1</v>
      </c>
      <c r="K149">
        <v>1</v>
      </c>
      <c r="L149">
        <v>1</v>
      </c>
      <c r="M149">
        <v>1</v>
      </c>
      <c r="N149">
        <v>1</v>
      </c>
      <c r="P149">
        <v>1.224856376647949</v>
      </c>
    </row>
    <row r="150" spans="1:16" x14ac:dyDescent="0.25">
      <c r="A150" t="s">
        <v>115</v>
      </c>
      <c r="B150" t="s">
        <v>68</v>
      </c>
      <c r="C150">
        <v>0</v>
      </c>
      <c r="D150">
        <v>1</v>
      </c>
      <c r="E150">
        <v>1</v>
      </c>
      <c r="F150">
        <v>1</v>
      </c>
      <c r="G150">
        <v>1</v>
      </c>
      <c r="H150">
        <v>1</v>
      </c>
      <c r="I150">
        <v>1</v>
      </c>
      <c r="J150">
        <v>1</v>
      </c>
      <c r="K150">
        <v>1</v>
      </c>
      <c r="L150">
        <v>1</v>
      </c>
      <c r="M150">
        <v>1</v>
      </c>
      <c r="N150">
        <v>1</v>
      </c>
      <c r="P150">
        <v>1.2053763866424561</v>
      </c>
    </row>
    <row r="151" spans="1:16" x14ac:dyDescent="0.25">
      <c r="A151" t="s">
        <v>115</v>
      </c>
      <c r="B151" t="s">
        <v>69</v>
      </c>
      <c r="C151">
        <v>0</v>
      </c>
      <c r="D151">
        <v>1</v>
      </c>
      <c r="E151">
        <v>1</v>
      </c>
      <c r="F151">
        <v>1</v>
      </c>
      <c r="G151">
        <v>1</v>
      </c>
      <c r="H151">
        <v>1</v>
      </c>
      <c r="I151">
        <v>1</v>
      </c>
      <c r="J151">
        <v>1</v>
      </c>
      <c r="K151">
        <v>1</v>
      </c>
      <c r="L151">
        <v>1</v>
      </c>
      <c r="M151">
        <v>1</v>
      </c>
      <c r="N151">
        <v>1</v>
      </c>
      <c r="P151">
        <v>1.5525021553039551</v>
      </c>
    </row>
    <row r="152" spans="1:16" x14ac:dyDescent="0.25">
      <c r="A152" t="s">
        <v>115</v>
      </c>
      <c r="B152" t="s">
        <v>71</v>
      </c>
      <c r="C152">
        <v>0</v>
      </c>
      <c r="D152">
        <v>1</v>
      </c>
      <c r="E152">
        <v>1</v>
      </c>
      <c r="F152">
        <v>1</v>
      </c>
      <c r="G152">
        <v>1</v>
      </c>
      <c r="H152">
        <v>1</v>
      </c>
      <c r="I152">
        <v>1</v>
      </c>
      <c r="J152">
        <v>1</v>
      </c>
      <c r="K152">
        <v>1</v>
      </c>
      <c r="L152">
        <v>1</v>
      </c>
      <c r="M152">
        <v>1</v>
      </c>
      <c r="N152">
        <v>1</v>
      </c>
      <c r="P152">
        <v>1.333950996398926</v>
      </c>
    </row>
    <row r="153" spans="1:16" x14ac:dyDescent="0.25">
      <c r="A153" t="s">
        <v>115</v>
      </c>
      <c r="B153" t="s">
        <v>73</v>
      </c>
      <c r="C153">
        <v>0</v>
      </c>
      <c r="D153">
        <v>1</v>
      </c>
      <c r="E153">
        <v>1</v>
      </c>
      <c r="F153">
        <v>1</v>
      </c>
      <c r="G153">
        <v>1</v>
      </c>
      <c r="H153">
        <v>1</v>
      </c>
      <c r="I153">
        <v>1</v>
      </c>
      <c r="J153">
        <v>1</v>
      </c>
      <c r="K153">
        <v>1</v>
      </c>
      <c r="L153">
        <v>1</v>
      </c>
      <c r="M153">
        <v>1</v>
      </c>
      <c r="N153">
        <v>1</v>
      </c>
      <c r="P153">
        <v>1.650893926620483</v>
      </c>
    </row>
    <row r="154" spans="1:16" x14ac:dyDescent="0.25">
      <c r="A154" t="s">
        <v>115</v>
      </c>
      <c r="B154" t="s">
        <v>75</v>
      </c>
      <c r="C154">
        <v>0</v>
      </c>
      <c r="D154">
        <v>1</v>
      </c>
      <c r="E154">
        <v>1</v>
      </c>
      <c r="F154">
        <v>1</v>
      </c>
      <c r="G154">
        <v>1</v>
      </c>
      <c r="H154">
        <v>1</v>
      </c>
      <c r="I154">
        <v>1</v>
      </c>
      <c r="J154">
        <v>1</v>
      </c>
      <c r="K154">
        <v>1</v>
      </c>
      <c r="L154">
        <v>1</v>
      </c>
      <c r="M154">
        <v>1</v>
      </c>
      <c r="N154">
        <v>1</v>
      </c>
      <c r="P154">
        <v>1.304481506347656</v>
      </c>
    </row>
    <row r="155" spans="1:16" x14ac:dyDescent="0.25">
      <c r="A155" t="s">
        <v>115</v>
      </c>
      <c r="B155" t="s">
        <v>77</v>
      </c>
      <c r="C155">
        <v>0</v>
      </c>
      <c r="D155">
        <v>1</v>
      </c>
      <c r="E155">
        <v>0</v>
      </c>
      <c r="F155">
        <v>1</v>
      </c>
      <c r="G155">
        <v>1</v>
      </c>
      <c r="H155" t="s">
        <v>20</v>
      </c>
      <c r="I155">
        <v>1</v>
      </c>
      <c r="J155" t="s">
        <v>20</v>
      </c>
      <c r="K155">
        <v>1</v>
      </c>
      <c r="L155">
        <v>1</v>
      </c>
      <c r="M155">
        <v>1</v>
      </c>
      <c r="N155">
        <v>1</v>
      </c>
      <c r="O155" t="s">
        <v>130</v>
      </c>
      <c r="P155">
        <v>2.5485072135925289</v>
      </c>
    </row>
    <row r="156" spans="1:16" x14ac:dyDescent="0.25">
      <c r="A156" t="s">
        <v>115</v>
      </c>
      <c r="B156" t="s">
        <v>78</v>
      </c>
      <c r="C156">
        <v>0</v>
      </c>
      <c r="D156">
        <v>1</v>
      </c>
      <c r="E156">
        <v>1</v>
      </c>
      <c r="F156">
        <v>1</v>
      </c>
      <c r="G156">
        <v>1</v>
      </c>
      <c r="H156">
        <v>1</v>
      </c>
      <c r="I156">
        <v>1</v>
      </c>
      <c r="J156">
        <v>1</v>
      </c>
      <c r="K156">
        <v>1</v>
      </c>
      <c r="L156">
        <v>1</v>
      </c>
      <c r="M156">
        <v>1</v>
      </c>
      <c r="N156">
        <v>1</v>
      </c>
      <c r="P156">
        <v>1.2416479587554929</v>
      </c>
    </row>
    <row r="157" spans="1:16" x14ac:dyDescent="0.25">
      <c r="A157" t="s">
        <v>115</v>
      </c>
      <c r="B157" t="s">
        <v>79</v>
      </c>
      <c r="C157">
        <v>0</v>
      </c>
      <c r="D157">
        <v>1</v>
      </c>
      <c r="E157">
        <v>1</v>
      </c>
      <c r="F157">
        <v>1</v>
      </c>
      <c r="G157">
        <v>1</v>
      </c>
      <c r="H157">
        <v>1</v>
      </c>
      <c r="I157">
        <v>1</v>
      </c>
      <c r="J157">
        <v>1</v>
      </c>
      <c r="K157">
        <v>1</v>
      </c>
      <c r="L157">
        <v>1</v>
      </c>
      <c r="M157">
        <v>1</v>
      </c>
      <c r="N157">
        <v>1</v>
      </c>
      <c r="P157">
        <v>1.2890834808349609</v>
      </c>
    </row>
    <row r="158" spans="1:16" x14ac:dyDescent="0.25">
      <c r="A158" t="s">
        <v>115</v>
      </c>
      <c r="B158" t="s">
        <v>80</v>
      </c>
      <c r="C158">
        <v>0</v>
      </c>
      <c r="D158">
        <v>1</v>
      </c>
      <c r="E158">
        <v>1</v>
      </c>
      <c r="F158">
        <v>1</v>
      </c>
      <c r="G158">
        <v>1</v>
      </c>
      <c r="H158">
        <v>1</v>
      </c>
      <c r="I158">
        <v>1</v>
      </c>
      <c r="J158">
        <v>1</v>
      </c>
      <c r="K158">
        <v>1</v>
      </c>
      <c r="L158">
        <v>1</v>
      </c>
      <c r="M158">
        <v>1</v>
      </c>
      <c r="N158">
        <v>1</v>
      </c>
      <c r="P158">
        <v>1.4331169128417971</v>
      </c>
    </row>
    <row r="159" spans="1:16" x14ac:dyDescent="0.25">
      <c r="A159" t="s">
        <v>115</v>
      </c>
      <c r="B159" t="s">
        <v>81</v>
      </c>
      <c r="C159">
        <v>0</v>
      </c>
      <c r="D159">
        <v>1</v>
      </c>
      <c r="E159">
        <v>1</v>
      </c>
      <c r="F159">
        <v>1</v>
      </c>
      <c r="G159">
        <v>1</v>
      </c>
      <c r="H159">
        <v>1</v>
      </c>
      <c r="I159">
        <v>1</v>
      </c>
      <c r="J159">
        <v>1</v>
      </c>
      <c r="K159">
        <v>1</v>
      </c>
      <c r="L159">
        <v>1</v>
      </c>
      <c r="M159">
        <v>1</v>
      </c>
      <c r="N159">
        <v>1</v>
      </c>
      <c r="P159">
        <v>1.2134461402893071</v>
      </c>
    </row>
    <row r="160" spans="1:16" x14ac:dyDescent="0.25">
      <c r="A160" t="s">
        <v>115</v>
      </c>
      <c r="B160" t="s">
        <v>82</v>
      </c>
      <c r="C160">
        <v>0</v>
      </c>
      <c r="D160">
        <v>1</v>
      </c>
      <c r="E160">
        <v>1</v>
      </c>
      <c r="F160">
        <v>1</v>
      </c>
      <c r="G160">
        <v>1</v>
      </c>
      <c r="H160">
        <v>1</v>
      </c>
      <c r="I160">
        <v>1</v>
      </c>
      <c r="J160">
        <v>1</v>
      </c>
      <c r="K160">
        <v>1</v>
      </c>
      <c r="L160">
        <v>1</v>
      </c>
      <c r="M160">
        <v>1</v>
      </c>
      <c r="N160">
        <v>1</v>
      </c>
      <c r="P160">
        <v>1.130382776260376</v>
      </c>
    </row>
    <row r="161" spans="1:16" x14ac:dyDescent="0.25">
      <c r="A161" t="s">
        <v>115</v>
      </c>
      <c r="B161" t="s">
        <v>83</v>
      </c>
      <c r="C161">
        <v>0</v>
      </c>
      <c r="D161">
        <v>1</v>
      </c>
      <c r="E161">
        <v>1</v>
      </c>
      <c r="F161">
        <v>1</v>
      </c>
      <c r="G161">
        <v>1</v>
      </c>
      <c r="H161">
        <v>1</v>
      </c>
      <c r="I161">
        <v>1</v>
      </c>
      <c r="J161">
        <v>1</v>
      </c>
      <c r="K161">
        <v>1</v>
      </c>
      <c r="L161">
        <v>1</v>
      </c>
      <c r="M161">
        <v>1</v>
      </c>
      <c r="N161">
        <v>1</v>
      </c>
      <c r="P161">
        <v>1.6864099502563481</v>
      </c>
    </row>
    <row r="162" spans="1:16" x14ac:dyDescent="0.25">
      <c r="A162" t="s">
        <v>115</v>
      </c>
      <c r="B162" t="s">
        <v>85</v>
      </c>
      <c r="C162">
        <v>0</v>
      </c>
      <c r="D162">
        <v>1</v>
      </c>
      <c r="E162">
        <v>1</v>
      </c>
      <c r="F162">
        <v>1</v>
      </c>
      <c r="G162">
        <v>1</v>
      </c>
      <c r="H162">
        <v>1</v>
      </c>
      <c r="I162">
        <v>1</v>
      </c>
      <c r="J162">
        <v>1</v>
      </c>
      <c r="K162">
        <v>1</v>
      </c>
      <c r="L162">
        <v>1</v>
      </c>
      <c r="M162">
        <v>1</v>
      </c>
      <c r="N162">
        <v>1</v>
      </c>
      <c r="P162">
        <v>1.198415994644165</v>
      </c>
    </row>
    <row r="163" spans="1:16" x14ac:dyDescent="0.25">
      <c r="A163" t="s">
        <v>115</v>
      </c>
      <c r="B163" t="s">
        <v>98</v>
      </c>
      <c r="C163">
        <v>0</v>
      </c>
      <c r="D163">
        <v>1</v>
      </c>
      <c r="E163">
        <v>1</v>
      </c>
      <c r="F163">
        <v>1</v>
      </c>
      <c r="G163">
        <v>1</v>
      </c>
      <c r="H163">
        <v>1</v>
      </c>
      <c r="I163">
        <v>1</v>
      </c>
      <c r="J163">
        <v>1</v>
      </c>
      <c r="K163">
        <v>1</v>
      </c>
      <c r="L163">
        <v>1</v>
      </c>
      <c r="M163">
        <v>1</v>
      </c>
      <c r="N163">
        <v>1</v>
      </c>
      <c r="P163">
        <v>1.6693341732025151</v>
      </c>
    </row>
    <row r="164" spans="1:16" x14ac:dyDescent="0.25">
      <c r="A164" t="s">
        <v>115</v>
      </c>
      <c r="B164" t="s">
        <v>99</v>
      </c>
      <c r="C164">
        <v>0</v>
      </c>
      <c r="D164">
        <v>1</v>
      </c>
      <c r="E164">
        <v>1</v>
      </c>
      <c r="F164">
        <v>1</v>
      </c>
      <c r="G164">
        <v>1</v>
      </c>
      <c r="H164">
        <v>1</v>
      </c>
      <c r="I164">
        <v>1</v>
      </c>
      <c r="J164">
        <v>1</v>
      </c>
      <c r="K164">
        <v>1</v>
      </c>
      <c r="L164">
        <v>1</v>
      </c>
      <c r="M164">
        <v>1</v>
      </c>
      <c r="N164">
        <v>1</v>
      </c>
      <c r="P164">
        <v>1.8705606460571289</v>
      </c>
    </row>
    <row r="165" spans="1:16" x14ac:dyDescent="0.25">
      <c r="A165" t="s">
        <v>115</v>
      </c>
      <c r="B165" t="s">
        <v>100</v>
      </c>
      <c r="C165">
        <v>0</v>
      </c>
      <c r="D165">
        <v>1</v>
      </c>
      <c r="E165">
        <v>1</v>
      </c>
      <c r="F165">
        <v>1</v>
      </c>
      <c r="G165">
        <v>1</v>
      </c>
      <c r="H165">
        <v>1</v>
      </c>
      <c r="I165">
        <v>1</v>
      </c>
      <c r="J165">
        <v>1</v>
      </c>
      <c r="K165">
        <v>1</v>
      </c>
      <c r="L165">
        <v>1</v>
      </c>
      <c r="M165">
        <v>1</v>
      </c>
      <c r="N165">
        <v>1</v>
      </c>
      <c r="P165">
        <v>1.7123303413391111</v>
      </c>
    </row>
    <row r="166" spans="1:16" x14ac:dyDescent="0.25">
      <c r="A166" t="s">
        <v>115</v>
      </c>
      <c r="B166" t="s">
        <v>101</v>
      </c>
      <c r="C166">
        <v>0</v>
      </c>
      <c r="D166">
        <v>1</v>
      </c>
      <c r="E166">
        <v>1</v>
      </c>
      <c r="F166">
        <v>1</v>
      </c>
      <c r="G166">
        <v>1</v>
      </c>
      <c r="H166">
        <v>1</v>
      </c>
      <c r="I166">
        <v>1</v>
      </c>
      <c r="J166">
        <v>1</v>
      </c>
      <c r="K166">
        <v>1</v>
      </c>
      <c r="L166">
        <v>1</v>
      </c>
      <c r="M166">
        <v>1</v>
      </c>
      <c r="N166">
        <v>1</v>
      </c>
      <c r="P166">
        <v>1.545173168182373</v>
      </c>
    </row>
    <row r="167" spans="1:16" x14ac:dyDescent="0.25">
      <c r="A167" t="s">
        <v>115</v>
      </c>
      <c r="B167" t="s">
        <v>102</v>
      </c>
      <c r="C167">
        <v>0</v>
      </c>
      <c r="D167">
        <v>1</v>
      </c>
      <c r="E167">
        <v>1</v>
      </c>
      <c r="F167">
        <v>1</v>
      </c>
      <c r="G167">
        <v>1</v>
      </c>
      <c r="H167">
        <v>1</v>
      </c>
      <c r="I167">
        <v>1</v>
      </c>
      <c r="J167">
        <v>1</v>
      </c>
      <c r="K167">
        <v>1</v>
      </c>
      <c r="L167">
        <v>1</v>
      </c>
      <c r="M167">
        <v>1</v>
      </c>
      <c r="N167">
        <v>1</v>
      </c>
      <c r="P167">
        <v>1.1317236423492429</v>
      </c>
    </row>
    <row r="168" spans="1:16" x14ac:dyDescent="0.25">
      <c r="A168" t="s">
        <v>115</v>
      </c>
      <c r="B168" t="s">
        <v>104</v>
      </c>
      <c r="C168">
        <v>0</v>
      </c>
      <c r="D168">
        <v>1</v>
      </c>
      <c r="E168">
        <v>1</v>
      </c>
      <c r="F168">
        <v>1</v>
      </c>
      <c r="G168">
        <v>1</v>
      </c>
      <c r="H168">
        <v>1</v>
      </c>
      <c r="I168">
        <v>1</v>
      </c>
      <c r="J168">
        <v>1</v>
      </c>
      <c r="K168">
        <v>1</v>
      </c>
      <c r="L168">
        <v>1</v>
      </c>
      <c r="M168">
        <v>1</v>
      </c>
      <c r="N168">
        <v>1</v>
      </c>
      <c r="P168">
        <v>1.24651050567627</v>
      </c>
    </row>
    <row r="169" spans="1:16" x14ac:dyDescent="0.25">
      <c r="A169" t="s">
        <v>115</v>
      </c>
      <c r="B169" t="s">
        <v>105</v>
      </c>
      <c r="C169">
        <v>0</v>
      </c>
      <c r="D169">
        <v>1</v>
      </c>
      <c r="E169">
        <v>1</v>
      </c>
      <c r="F169">
        <v>1</v>
      </c>
      <c r="G169">
        <v>1</v>
      </c>
      <c r="H169">
        <v>1</v>
      </c>
      <c r="I169">
        <v>1</v>
      </c>
      <c r="J169">
        <v>1</v>
      </c>
      <c r="K169">
        <v>1</v>
      </c>
      <c r="L169">
        <v>1</v>
      </c>
      <c r="M169">
        <v>1</v>
      </c>
      <c r="N169">
        <v>1</v>
      </c>
      <c r="P169">
        <v>1.5478718280792241</v>
      </c>
    </row>
    <row r="170" spans="1:16" x14ac:dyDescent="0.25">
      <c r="A170" t="s">
        <v>115</v>
      </c>
      <c r="B170" t="s">
        <v>106</v>
      </c>
      <c r="C170">
        <v>0</v>
      </c>
      <c r="D170">
        <v>1</v>
      </c>
      <c r="E170">
        <v>1</v>
      </c>
      <c r="F170">
        <v>1</v>
      </c>
      <c r="G170">
        <v>1</v>
      </c>
      <c r="H170">
        <v>1</v>
      </c>
      <c r="I170">
        <v>1</v>
      </c>
      <c r="J170">
        <v>0</v>
      </c>
      <c r="K170">
        <v>1</v>
      </c>
      <c r="L170">
        <v>1</v>
      </c>
      <c r="M170">
        <v>1</v>
      </c>
      <c r="N170">
        <v>1</v>
      </c>
      <c r="O170" t="s">
        <v>131</v>
      </c>
      <c r="P170">
        <v>1.8394231796264651</v>
      </c>
    </row>
    <row r="171" spans="1:16" x14ac:dyDescent="0.25">
      <c r="A171" t="s">
        <v>115</v>
      </c>
      <c r="B171" t="s">
        <v>107</v>
      </c>
      <c r="C171">
        <v>0</v>
      </c>
      <c r="D171">
        <v>1</v>
      </c>
      <c r="E171">
        <v>1</v>
      </c>
      <c r="F171">
        <v>1</v>
      </c>
      <c r="G171">
        <v>1</v>
      </c>
      <c r="H171">
        <v>1</v>
      </c>
      <c r="I171">
        <v>1</v>
      </c>
      <c r="J171">
        <v>1</v>
      </c>
      <c r="K171">
        <v>1</v>
      </c>
      <c r="L171">
        <v>1</v>
      </c>
      <c r="M171">
        <v>1</v>
      </c>
      <c r="N171">
        <v>1</v>
      </c>
      <c r="P171">
        <v>1.069144725799561</v>
      </c>
    </row>
    <row r="172" spans="1:16" x14ac:dyDescent="0.25">
      <c r="A172" t="s">
        <v>115</v>
      </c>
      <c r="B172" t="s">
        <v>108</v>
      </c>
      <c r="C172">
        <v>0</v>
      </c>
      <c r="D172">
        <v>1</v>
      </c>
      <c r="E172">
        <v>1</v>
      </c>
      <c r="F172">
        <v>1</v>
      </c>
      <c r="G172">
        <v>1</v>
      </c>
      <c r="H172">
        <v>1</v>
      </c>
      <c r="I172">
        <v>1</v>
      </c>
      <c r="J172">
        <v>1</v>
      </c>
      <c r="K172">
        <v>1</v>
      </c>
      <c r="L172">
        <v>1</v>
      </c>
      <c r="M172">
        <v>1</v>
      </c>
      <c r="N172">
        <v>1</v>
      </c>
      <c r="P172">
        <v>1.4466760158538821</v>
      </c>
    </row>
    <row r="173" spans="1:16" x14ac:dyDescent="0.25">
      <c r="A173" t="s">
        <v>115</v>
      </c>
      <c r="B173" t="s">
        <v>109</v>
      </c>
      <c r="C173">
        <v>0</v>
      </c>
      <c r="D173">
        <v>1</v>
      </c>
      <c r="E173">
        <v>1</v>
      </c>
      <c r="F173">
        <v>1</v>
      </c>
      <c r="G173">
        <v>1</v>
      </c>
      <c r="H173">
        <v>1</v>
      </c>
      <c r="I173">
        <v>1</v>
      </c>
      <c r="J173">
        <v>1</v>
      </c>
      <c r="K173">
        <v>1</v>
      </c>
      <c r="L173">
        <v>1</v>
      </c>
      <c r="M173">
        <v>1</v>
      </c>
      <c r="N173">
        <v>1</v>
      </c>
      <c r="P173">
        <v>1.2210056781768801</v>
      </c>
    </row>
    <row r="174" spans="1:16" x14ac:dyDescent="0.25">
      <c r="A174" t="s">
        <v>115</v>
      </c>
      <c r="B174" t="s">
        <v>110</v>
      </c>
      <c r="C174">
        <v>0</v>
      </c>
      <c r="D174">
        <v>1</v>
      </c>
      <c r="E174">
        <v>1</v>
      </c>
      <c r="F174">
        <v>1</v>
      </c>
      <c r="G174">
        <v>1</v>
      </c>
      <c r="H174">
        <v>1</v>
      </c>
      <c r="I174">
        <v>1</v>
      </c>
      <c r="J174">
        <v>1</v>
      </c>
      <c r="K174">
        <v>1</v>
      </c>
      <c r="L174">
        <v>1</v>
      </c>
      <c r="M174">
        <v>1</v>
      </c>
      <c r="N174">
        <v>1</v>
      </c>
      <c r="P174">
        <v>1.214910745620728</v>
      </c>
    </row>
    <row r="175" spans="1:16" x14ac:dyDescent="0.25">
      <c r="A175" t="s">
        <v>115</v>
      </c>
      <c r="B175" t="s">
        <v>112</v>
      </c>
      <c r="C175">
        <v>0</v>
      </c>
      <c r="D175">
        <v>1</v>
      </c>
      <c r="E175">
        <v>1</v>
      </c>
      <c r="F175">
        <v>1</v>
      </c>
      <c r="G175">
        <v>1</v>
      </c>
      <c r="H175">
        <v>1</v>
      </c>
      <c r="I175">
        <v>1</v>
      </c>
      <c r="J175">
        <v>1</v>
      </c>
      <c r="K175">
        <v>1</v>
      </c>
      <c r="L175">
        <v>1</v>
      </c>
      <c r="M175">
        <v>1</v>
      </c>
      <c r="N175">
        <v>1</v>
      </c>
      <c r="P175">
        <v>1.1257679462432859</v>
      </c>
    </row>
    <row r="176" spans="1:16" x14ac:dyDescent="0.25">
      <c r="A176" t="s">
        <v>115</v>
      </c>
      <c r="B176" t="s">
        <v>113</v>
      </c>
      <c r="C176">
        <v>0</v>
      </c>
      <c r="D176">
        <v>1</v>
      </c>
      <c r="E176">
        <v>1</v>
      </c>
      <c r="F176">
        <v>1</v>
      </c>
      <c r="G176">
        <v>1</v>
      </c>
      <c r="H176">
        <v>1</v>
      </c>
      <c r="I176">
        <v>1</v>
      </c>
      <c r="J176">
        <v>1</v>
      </c>
      <c r="K176">
        <v>1</v>
      </c>
      <c r="L176">
        <v>1</v>
      </c>
      <c r="M176">
        <v>1</v>
      </c>
      <c r="N176">
        <v>1</v>
      </c>
      <c r="P176">
        <v>1.6230466365814209</v>
      </c>
    </row>
    <row r="177" spans="1:16" x14ac:dyDescent="0.25">
      <c r="A177" t="s">
        <v>115</v>
      </c>
      <c r="B177" t="s">
        <v>132</v>
      </c>
      <c r="C177">
        <v>0</v>
      </c>
      <c r="D177">
        <v>1</v>
      </c>
      <c r="E177">
        <v>1</v>
      </c>
      <c r="F177">
        <v>1</v>
      </c>
      <c r="G177">
        <v>1</v>
      </c>
      <c r="H177">
        <v>1</v>
      </c>
      <c r="I177">
        <v>1</v>
      </c>
      <c r="J177">
        <v>1</v>
      </c>
      <c r="K177">
        <v>1</v>
      </c>
      <c r="L177">
        <v>1</v>
      </c>
      <c r="M177">
        <v>1</v>
      </c>
      <c r="N177">
        <v>1</v>
      </c>
      <c r="P177">
        <v>1.4458062648773189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1.745841503143311</v>
      </c>
    </row>
    <row r="3" spans="1:17" x14ac:dyDescent="0.25">
      <c r="A3" t="s">
        <v>17</v>
      </c>
      <c r="B3" t="s">
        <v>19</v>
      </c>
      <c r="C3">
        <v>0</v>
      </c>
      <c r="D3">
        <v>1</v>
      </c>
      <c r="E3">
        <v>1</v>
      </c>
      <c r="F3">
        <v>0</v>
      </c>
      <c r="G3">
        <v>1</v>
      </c>
      <c r="H3">
        <v>1</v>
      </c>
      <c r="I3">
        <v>1</v>
      </c>
      <c r="J3" t="s">
        <v>20</v>
      </c>
      <c r="K3">
        <v>1</v>
      </c>
      <c r="L3">
        <v>1</v>
      </c>
      <c r="M3">
        <v>1</v>
      </c>
      <c r="N3">
        <v>1</v>
      </c>
      <c r="O3" t="s">
        <v>133</v>
      </c>
      <c r="P3">
        <v>1.8329563140869141</v>
      </c>
    </row>
    <row r="4" spans="1:17" x14ac:dyDescent="0.25">
      <c r="A4" t="s">
        <v>17</v>
      </c>
      <c r="B4" t="s">
        <v>22</v>
      </c>
      <c r="C4">
        <v>0</v>
      </c>
      <c r="D4">
        <v>1</v>
      </c>
      <c r="E4">
        <v>1</v>
      </c>
      <c r="F4">
        <v>1</v>
      </c>
      <c r="G4">
        <v>0</v>
      </c>
      <c r="H4">
        <v>1</v>
      </c>
      <c r="I4">
        <v>1</v>
      </c>
      <c r="J4">
        <v>1</v>
      </c>
      <c r="K4">
        <v>1</v>
      </c>
      <c r="L4">
        <v>1</v>
      </c>
      <c r="M4">
        <v>1</v>
      </c>
      <c r="N4">
        <v>1</v>
      </c>
      <c r="O4" t="s">
        <v>134</v>
      </c>
      <c r="P4">
        <v>1.506896018981934</v>
      </c>
    </row>
    <row r="5" spans="1:17" x14ac:dyDescent="0.25">
      <c r="A5" t="s">
        <v>17</v>
      </c>
      <c r="B5" t="s">
        <v>24</v>
      </c>
      <c r="C5">
        <v>0</v>
      </c>
      <c r="D5">
        <v>1</v>
      </c>
      <c r="E5">
        <v>1</v>
      </c>
      <c r="F5">
        <v>1</v>
      </c>
      <c r="G5">
        <v>1</v>
      </c>
      <c r="H5">
        <v>1</v>
      </c>
      <c r="I5">
        <v>1</v>
      </c>
      <c r="J5">
        <v>1</v>
      </c>
      <c r="K5">
        <v>1</v>
      </c>
      <c r="L5">
        <v>1</v>
      </c>
      <c r="M5">
        <v>1</v>
      </c>
      <c r="N5">
        <v>1</v>
      </c>
      <c r="P5">
        <v>1.5906646251678469</v>
      </c>
    </row>
    <row r="6" spans="1:17" x14ac:dyDescent="0.25">
      <c r="A6" t="s">
        <v>17</v>
      </c>
      <c r="B6" t="s">
        <v>25</v>
      </c>
      <c r="C6">
        <v>0</v>
      </c>
      <c r="D6">
        <v>1</v>
      </c>
      <c r="E6">
        <v>1</v>
      </c>
      <c r="F6">
        <v>1</v>
      </c>
      <c r="G6">
        <v>1</v>
      </c>
      <c r="H6">
        <v>1</v>
      </c>
      <c r="I6">
        <v>1</v>
      </c>
      <c r="J6">
        <v>1</v>
      </c>
      <c r="K6">
        <v>1</v>
      </c>
      <c r="L6">
        <v>1</v>
      </c>
      <c r="M6">
        <v>1</v>
      </c>
      <c r="N6">
        <v>1</v>
      </c>
      <c r="P6">
        <v>1.2036585807800291</v>
      </c>
    </row>
    <row r="7" spans="1:17" x14ac:dyDescent="0.25">
      <c r="A7" t="s">
        <v>17</v>
      </c>
      <c r="B7" t="s">
        <v>26</v>
      </c>
      <c r="C7">
        <v>0</v>
      </c>
      <c r="D7">
        <v>1</v>
      </c>
      <c r="E7">
        <v>1</v>
      </c>
      <c r="F7">
        <v>1</v>
      </c>
      <c r="G7">
        <v>1</v>
      </c>
      <c r="H7">
        <v>1</v>
      </c>
      <c r="I7">
        <v>1</v>
      </c>
      <c r="J7">
        <v>1</v>
      </c>
      <c r="K7">
        <v>1</v>
      </c>
      <c r="L7">
        <v>1</v>
      </c>
      <c r="M7">
        <v>1</v>
      </c>
      <c r="N7">
        <v>1</v>
      </c>
      <c r="P7">
        <v>1.220107316970825</v>
      </c>
    </row>
    <row r="8" spans="1:17" x14ac:dyDescent="0.25">
      <c r="A8" t="s">
        <v>17</v>
      </c>
      <c r="B8" t="s">
        <v>27</v>
      </c>
      <c r="C8">
        <v>0</v>
      </c>
      <c r="D8">
        <v>1</v>
      </c>
      <c r="E8">
        <v>1</v>
      </c>
      <c r="F8">
        <v>1</v>
      </c>
      <c r="G8">
        <v>0</v>
      </c>
      <c r="H8">
        <v>1</v>
      </c>
      <c r="I8">
        <v>1</v>
      </c>
      <c r="J8">
        <v>1</v>
      </c>
      <c r="K8">
        <v>1</v>
      </c>
      <c r="L8">
        <v>1</v>
      </c>
      <c r="M8">
        <v>1</v>
      </c>
      <c r="N8">
        <v>1</v>
      </c>
      <c r="O8" t="s">
        <v>135</v>
      </c>
      <c r="P8">
        <v>3.1718146800994869</v>
      </c>
    </row>
    <row r="9" spans="1:17" x14ac:dyDescent="0.25">
      <c r="A9" t="s">
        <v>17</v>
      </c>
      <c r="B9" t="s">
        <v>29</v>
      </c>
      <c r="C9">
        <v>0</v>
      </c>
      <c r="D9">
        <v>1</v>
      </c>
      <c r="E9">
        <v>1</v>
      </c>
      <c r="F9">
        <v>1</v>
      </c>
      <c r="G9">
        <v>1</v>
      </c>
      <c r="H9">
        <v>1</v>
      </c>
      <c r="I9">
        <v>1</v>
      </c>
      <c r="J9">
        <v>1</v>
      </c>
      <c r="K9">
        <v>1</v>
      </c>
      <c r="L9">
        <v>1</v>
      </c>
      <c r="M9">
        <v>1</v>
      </c>
      <c r="N9">
        <v>1</v>
      </c>
      <c r="P9">
        <v>1.198365449905396</v>
      </c>
    </row>
    <row r="10" spans="1:17" x14ac:dyDescent="0.25">
      <c r="A10" t="s">
        <v>17</v>
      </c>
      <c r="B10" t="s">
        <v>30</v>
      </c>
      <c r="C10">
        <v>0</v>
      </c>
      <c r="D10">
        <v>1</v>
      </c>
      <c r="E10">
        <v>1</v>
      </c>
      <c r="F10">
        <v>0</v>
      </c>
      <c r="G10">
        <v>1</v>
      </c>
      <c r="H10">
        <v>1</v>
      </c>
      <c r="I10">
        <v>1</v>
      </c>
      <c r="J10" t="s">
        <v>20</v>
      </c>
      <c r="K10">
        <v>1</v>
      </c>
      <c r="L10">
        <v>1</v>
      </c>
      <c r="M10">
        <v>1</v>
      </c>
      <c r="N10">
        <v>1</v>
      </c>
      <c r="O10" t="s">
        <v>136</v>
      </c>
      <c r="P10">
        <v>3.1221344470977779</v>
      </c>
    </row>
    <row r="11" spans="1:17" x14ac:dyDescent="0.25">
      <c r="A11" t="s">
        <v>17</v>
      </c>
      <c r="B11" t="s">
        <v>32</v>
      </c>
      <c r="C11">
        <v>0</v>
      </c>
      <c r="D11">
        <v>1</v>
      </c>
      <c r="E11">
        <v>1</v>
      </c>
      <c r="F11">
        <v>1</v>
      </c>
      <c r="G11">
        <v>1</v>
      </c>
      <c r="H11">
        <v>1</v>
      </c>
      <c r="I11">
        <v>1</v>
      </c>
      <c r="J11">
        <v>1</v>
      </c>
      <c r="K11">
        <v>1</v>
      </c>
      <c r="L11">
        <v>1</v>
      </c>
      <c r="M11">
        <v>1</v>
      </c>
      <c r="N11">
        <v>1</v>
      </c>
      <c r="P11">
        <v>1.3676319122314451</v>
      </c>
    </row>
    <row r="12" spans="1:17" x14ac:dyDescent="0.25">
      <c r="A12" t="s">
        <v>17</v>
      </c>
      <c r="B12" t="s">
        <v>33</v>
      </c>
      <c r="C12">
        <v>0</v>
      </c>
      <c r="D12">
        <v>1</v>
      </c>
      <c r="E12">
        <v>1</v>
      </c>
      <c r="F12">
        <v>1</v>
      </c>
      <c r="G12">
        <v>1</v>
      </c>
      <c r="H12">
        <v>1</v>
      </c>
      <c r="I12">
        <v>1</v>
      </c>
      <c r="J12">
        <v>1</v>
      </c>
      <c r="K12">
        <v>1</v>
      </c>
      <c r="L12">
        <v>1</v>
      </c>
      <c r="M12">
        <v>1</v>
      </c>
      <c r="N12">
        <v>1</v>
      </c>
      <c r="P12">
        <v>1.4330012798309331</v>
      </c>
    </row>
    <row r="13" spans="1:17" x14ac:dyDescent="0.25">
      <c r="A13" t="s">
        <v>17</v>
      </c>
      <c r="B13" t="s">
        <v>34</v>
      </c>
      <c r="C13">
        <v>0</v>
      </c>
      <c r="D13">
        <v>1</v>
      </c>
      <c r="E13">
        <v>1</v>
      </c>
      <c r="F13">
        <v>1</v>
      </c>
      <c r="G13">
        <v>1</v>
      </c>
      <c r="H13">
        <v>1</v>
      </c>
      <c r="I13">
        <v>1</v>
      </c>
      <c r="J13">
        <v>1</v>
      </c>
      <c r="K13">
        <v>1</v>
      </c>
      <c r="L13">
        <v>1</v>
      </c>
      <c r="M13">
        <v>1</v>
      </c>
      <c r="N13">
        <v>1</v>
      </c>
      <c r="P13">
        <v>1.2430379390716551</v>
      </c>
    </row>
    <row r="14" spans="1:17" x14ac:dyDescent="0.25">
      <c r="A14" t="s">
        <v>17</v>
      </c>
      <c r="B14" t="s">
        <v>35</v>
      </c>
      <c r="C14">
        <v>0</v>
      </c>
      <c r="D14">
        <v>1</v>
      </c>
      <c r="E14">
        <v>0</v>
      </c>
      <c r="F14">
        <v>0</v>
      </c>
      <c r="G14">
        <v>1</v>
      </c>
      <c r="H14" t="s">
        <v>20</v>
      </c>
      <c r="I14">
        <v>0</v>
      </c>
      <c r="J14" t="s">
        <v>20</v>
      </c>
      <c r="K14">
        <v>1</v>
      </c>
      <c r="L14">
        <v>1</v>
      </c>
      <c r="M14">
        <v>1</v>
      </c>
      <c r="N14">
        <v>1</v>
      </c>
      <c r="O14" t="s">
        <v>137</v>
      </c>
      <c r="P14">
        <v>2.9998636245727539</v>
      </c>
    </row>
    <row r="15" spans="1:17" x14ac:dyDescent="0.25">
      <c r="A15" t="s">
        <v>17</v>
      </c>
      <c r="B15" t="s">
        <v>37</v>
      </c>
      <c r="C15">
        <v>0</v>
      </c>
      <c r="D15">
        <v>1</v>
      </c>
      <c r="E15">
        <v>1</v>
      </c>
      <c r="F15">
        <v>1</v>
      </c>
      <c r="G15">
        <v>1</v>
      </c>
      <c r="H15">
        <v>1</v>
      </c>
      <c r="I15">
        <v>1</v>
      </c>
      <c r="J15">
        <v>1</v>
      </c>
      <c r="K15">
        <v>1</v>
      </c>
      <c r="L15">
        <v>1</v>
      </c>
      <c r="M15">
        <v>1</v>
      </c>
      <c r="N15">
        <v>1</v>
      </c>
      <c r="P15">
        <v>2.3284809589385991</v>
      </c>
    </row>
    <row r="16" spans="1:17" x14ac:dyDescent="0.25">
      <c r="A16" t="s">
        <v>17</v>
      </c>
      <c r="B16" t="s">
        <v>38</v>
      </c>
      <c r="C16">
        <v>0</v>
      </c>
      <c r="D16">
        <v>1</v>
      </c>
      <c r="E16">
        <v>1</v>
      </c>
      <c r="F16">
        <v>1</v>
      </c>
      <c r="G16">
        <v>1</v>
      </c>
      <c r="H16">
        <v>1</v>
      </c>
      <c r="I16">
        <v>1</v>
      </c>
      <c r="J16">
        <v>1</v>
      </c>
      <c r="K16">
        <v>1</v>
      </c>
      <c r="L16">
        <v>1</v>
      </c>
      <c r="M16">
        <v>1</v>
      </c>
      <c r="N16">
        <v>1</v>
      </c>
      <c r="P16">
        <v>2.4571750164031978</v>
      </c>
    </row>
    <row r="17" spans="1:17" x14ac:dyDescent="0.25">
      <c r="A17" t="s">
        <v>17</v>
      </c>
      <c r="B17" t="s">
        <v>39</v>
      </c>
      <c r="C17">
        <v>0</v>
      </c>
      <c r="D17">
        <v>1</v>
      </c>
      <c r="E17">
        <v>1</v>
      </c>
      <c r="F17">
        <v>1</v>
      </c>
      <c r="G17">
        <v>1</v>
      </c>
      <c r="H17">
        <v>1</v>
      </c>
      <c r="I17">
        <v>1</v>
      </c>
      <c r="J17">
        <v>0</v>
      </c>
      <c r="K17">
        <v>1</v>
      </c>
      <c r="L17">
        <v>1</v>
      </c>
      <c r="M17">
        <v>1</v>
      </c>
      <c r="N17">
        <v>1</v>
      </c>
      <c r="O17" t="s">
        <v>138</v>
      </c>
      <c r="P17">
        <v>1.6984536647796631</v>
      </c>
    </row>
    <row r="18" spans="1:17" x14ac:dyDescent="0.25">
      <c r="A18" t="s">
        <v>17</v>
      </c>
      <c r="B18" t="s">
        <v>40</v>
      </c>
      <c r="C18">
        <v>0</v>
      </c>
      <c r="D18">
        <v>1</v>
      </c>
      <c r="E18">
        <v>1</v>
      </c>
      <c r="F18">
        <v>1</v>
      </c>
      <c r="G18">
        <v>1</v>
      </c>
      <c r="H18">
        <v>1</v>
      </c>
      <c r="I18">
        <v>1</v>
      </c>
      <c r="J18">
        <v>1</v>
      </c>
      <c r="K18">
        <v>1</v>
      </c>
      <c r="L18">
        <v>1</v>
      </c>
      <c r="M18">
        <v>1</v>
      </c>
      <c r="N18">
        <v>1</v>
      </c>
      <c r="P18">
        <v>1.6143937110900879</v>
      </c>
    </row>
    <row r="19" spans="1:17" x14ac:dyDescent="0.25">
      <c r="A19" t="s">
        <v>17</v>
      </c>
      <c r="B19" t="s">
        <v>41</v>
      </c>
      <c r="C19">
        <v>0</v>
      </c>
      <c r="D19">
        <v>1</v>
      </c>
      <c r="E19">
        <v>1</v>
      </c>
      <c r="F19">
        <v>1</v>
      </c>
      <c r="G19">
        <v>1</v>
      </c>
      <c r="H19">
        <v>1</v>
      </c>
      <c r="I19">
        <v>1</v>
      </c>
      <c r="J19">
        <v>1</v>
      </c>
      <c r="K19">
        <v>1</v>
      </c>
      <c r="L19">
        <v>1</v>
      </c>
      <c r="M19">
        <v>1</v>
      </c>
      <c r="N19">
        <v>1</v>
      </c>
      <c r="P19">
        <v>1.834241628646851</v>
      </c>
    </row>
    <row r="20" spans="1:17" x14ac:dyDescent="0.25">
      <c r="A20" t="s">
        <v>17</v>
      </c>
      <c r="B20" t="s">
        <v>42</v>
      </c>
      <c r="C20">
        <v>0</v>
      </c>
      <c r="D20">
        <v>1</v>
      </c>
      <c r="E20">
        <v>1</v>
      </c>
      <c r="F20">
        <v>1</v>
      </c>
      <c r="G20">
        <v>1</v>
      </c>
      <c r="H20">
        <v>1</v>
      </c>
      <c r="I20">
        <v>1</v>
      </c>
      <c r="J20">
        <v>1</v>
      </c>
      <c r="K20">
        <v>1</v>
      </c>
      <c r="L20">
        <v>1</v>
      </c>
      <c r="M20">
        <v>1</v>
      </c>
      <c r="N20">
        <v>1</v>
      </c>
      <c r="P20">
        <v>2.499483585357666</v>
      </c>
    </row>
    <row r="21" spans="1:17" x14ac:dyDescent="0.25">
      <c r="A21" t="s">
        <v>17</v>
      </c>
      <c r="B21" t="s">
        <v>43</v>
      </c>
      <c r="C21">
        <v>0</v>
      </c>
      <c r="D21">
        <v>0</v>
      </c>
      <c r="E21" t="s">
        <v>20</v>
      </c>
      <c r="F21" t="s">
        <v>20</v>
      </c>
      <c r="G21" t="s">
        <v>20</v>
      </c>
      <c r="H21" t="s">
        <v>20</v>
      </c>
      <c r="I21" t="s">
        <v>20</v>
      </c>
      <c r="J21" t="s">
        <v>20</v>
      </c>
      <c r="K21" t="s">
        <v>20</v>
      </c>
      <c r="L21" t="s">
        <v>20</v>
      </c>
      <c r="M21">
        <v>1</v>
      </c>
      <c r="N21" t="s">
        <v>20</v>
      </c>
      <c r="O21" t="s">
        <v>139</v>
      </c>
      <c r="P21">
        <v>4.0242483615875244</v>
      </c>
      <c r="Q21" t="s">
        <v>20</v>
      </c>
    </row>
    <row r="22" spans="1:17" x14ac:dyDescent="0.25">
      <c r="A22" t="s">
        <v>17</v>
      </c>
      <c r="B22" t="s">
        <v>44</v>
      </c>
      <c r="C22">
        <v>0</v>
      </c>
      <c r="D22">
        <v>1</v>
      </c>
      <c r="E22">
        <v>1</v>
      </c>
      <c r="F22">
        <v>1</v>
      </c>
      <c r="G22">
        <v>1</v>
      </c>
      <c r="H22">
        <v>1</v>
      </c>
      <c r="I22">
        <v>1</v>
      </c>
      <c r="J22">
        <v>1</v>
      </c>
      <c r="K22">
        <v>1</v>
      </c>
      <c r="L22">
        <v>1</v>
      </c>
      <c r="M22">
        <v>1</v>
      </c>
      <c r="N22">
        <v>1</v>
      </c>
      <c r="P22">
        <v>1.2892665863037109</v>
      </c>
    </row>
    <row r="23" spans="1:17" x14ac:dyDescent="0.25">
      <c r="A23" t="s">
        <v>17</v>
      </c>
      <c r="B23" t="s">
        <v>45</v>
      </c>
      <c r="C23">
        <v>0</v>
      </c>
      <c r="D23">
        <v>1</v>
      </c>
      <c r="E23">
        <v>1</v>
      </c>
      <c r="F23">
        <v>0</v>
      </c>
      <c r="G23">
        <v>1</v>
      </c>
      <c r="H23">
        <v>1</v>
      </c>
      <c r="I23">
        <v>1</v>
      </c>
      <c r="J23" t="s">
        <v>20</v>
      </c>
      <c r="K23">
        <v>1</v>
      </c>
      <c r="L23">
        <v>1</v>
      </c>
      <c r="M23">
        <v>1</v>
      </c>
      <c r="N23">
        <v>1</v>
      </c>
      <c r="O23" t="s">
        <v>140</v>
      </c>
      <c r="P23">
        <v>2.7969849109649658</v>
      </c>
    </row>
    <row r="24" spans="1:17" x14ac:dyDescent="0.25">
      <c r="A24" t="s">
        <v>17</v>
      </c>
      <c r="B24" t="s">
        <v>47</v>
      </c>
      <c r="C24">
        <v>0</v>
      </c>
      <c r="D24">
        <v>1</v>
      </c>
      <c r="E24">
        <v>1</v>
      </c>
      <c r="F24">
        <v>1</v>
      </c>
      <c r="G24">
        <v>1</v>
      </c>
      <c r="H24">
        <v>1</v>
      </c>
      <c r="I24">
        <v>1</v>
      </c>
      <c r="J24">
        <v>1</v>
      </c>
      <c r="K24">
        <v>1</v>
      </c>
      <c r="L24">
        <v>1</v>
      </c>
      <c r="M24">
        <v>1</v>
      </c>
      <c r="N24">
        <v>1</v>
      </c>
      <c r="P24">
        <v>2.071050882339478</v>
      </c>
    </row>
    <row r="25" spans="1:17" x14ac:dyDescent="0.25">
      <c r="A25" t="s">
        <v>17</v>
      </c>
      <c r="B25" t="s">
        <v>48</v>
      </c>
      <c r="C25">
        <v>0</v>
      </c>
      <c r="D25">
        <v>1</v>
      </c>
      <c r="E25">
        <v>1</v>
      </c>
      <c r="F25">
        <v>0</v>
      </c>
      <c r="G25">
        <v>1</v>
      </c>
      <c r="H25">
        <v>1</v>
      </c>
      <c r="I25">
        <v>1</v>
      </c>
      <c r="J25" t="s">
        <v>20</v>
      </c>
      <c r="K25">
        <v>1</v>
      </c>
      <c r="L25">
        <v>1</v>
      </c>
      <c r="M25">
        <v>1</v>
      </c>
      <c r="N25">
        <v>1</v>
      </c>
      <c r="O25" t="s">
        <v>141</v>
      </c>
      <c r="P25">
        <v>1.994669437408447</v>
      </c>
    </row>
    <row r="26" spans="1:17" x14ac:dyDescent="0.25">
      <c r="A26" t="s">
        <v>17</v>
      </c>
      <c r="B26" t="s">
        <v>50</v>
      </c>
      <c r="C26">
        <v>0</v>
      </c>
      <c r="D26">
        <v>1</v>
      </c>
      <c r="E26">
        <v>1</v>
      </c>
      <c r="F26">
        <v>1</v>
      </c>
      <c r="G26">
        <v>1</v>
      </c>
      <c r="H26">
        <v>1</v>
      </c>
      <c r="I26">
        <v>1</v>
      </c>
      <c r="J26">
        <v>1</v>
      </c>
      <c r="K26">
        <v>1</v>
      </c>
      <c r="L26">
        <v>1</v>
      </c>
      <c r="M26">
        <v>1</v>
      </c>
      <c r="N26">
        <v>1</v>
      </c>
      <c r="P26">
        <v>1.629958391189575</v>
      </c>
    </row>
    <row r="27" spans="1:17" x14ac:dyDescent="0.25">
      <c r="A27" t="s">
        <v>17</v>
      </c>
      <c r="B27" t="s">
        <v>51</v>
      </c>
      <c r="C27">
        <v>0</v>
      </c>
      <c r="D27">
        <v>1</v>
      </c>
      <c r="E27">
        <v>0</v>
      </c>
      <c r="F27">
        <v>0</v>
      </c>
      <c r="G27">
        <v>0</v>
      </c>
      <c r="H27" t="s">
        <v>20</v>
      </c>
      <c r="I27">
        <v>1</v>
      </c>
      <c r="J27" t="s">
        <v>20</v>
      </c>
      <c r="K27">
        <v>1</v>
      </c>
      <c r="L27">
        <v>1</v>
      </c>
      <c r="M27">
        <v>1</v>
      </c>
      <c r="N27">
        <v>1</v>
      </c>
      <c r="O27" t="s">
        <v>142</v>
      </c>
      <c r="P27">
        <v>5.4544684886932373</v>
      </c>
    </row>
    <row r="28" spans="1:17" x14ac:dyDescent="0.25">
      <c r="A28" t="s">
        <v>17</v>
      </c>
      <c r="B28" t="s">
        <v>53</v>
      </c>
      <c r="C28">
        <v>0</v>
      </c>
      <c r="D28">
        <v>0</v>
      </c>
      <c r="E28" t="s">
        <v>20</v>
      </c>
      <c r="F28" t="s">
        <v>20</v>
      </c>
      <c r="G28" t="s">
        <v>20</v>
      </c>
      <c r="H28" t="s">
        <v>20</v>
      </c>
      <c r="I28" t="s">
        <v>20</v>
      </c>
      <c r="J28" t="s">
        <v>20</v>
      </c>
      <c r="K28" t="s">
        <v>20</v>
      </c>
      <c r="L28" t="s">
        <v>20</v>
      </c>
      <c r="M28">
        <v>1</v>
      </c>
      <c r="N28" t="s">
        <v>20</v>
      </c>
      <c r="O28" t="s">
        <v>143</v>
      </c>
      <c r="P28">
        <v>5.3324885368347168</v>
      </c>
      <c r="Q28" t="s">
        <v>20</v>
      </c>
    </row>
    <row r="29" spans="1:17" x14ac:dyDescent="0.25">
      <c r="A29" t="s">
        <v>17</v>
      </c>
      <c r="B29" t="s">
        <v>55</v>
      </c>
      <c r="C29">
        <v>0</v>
      </c>
      <c r="D29">
        <v>1</v>
      </c>
      <c r="E29">
        <v>1</v>
      </c>
      <c r="F29">
        <v>1</v>
      </c>
      <c r="G29">
        <v>1</v>
      </c>
      <c r="H29">
        <v>1</v>
      </c>
      <c r="I29">
        <v>1</v>
      </c>
      <c r="J29">
        <v>1</v>
      </c>
      <c r="K29">
        <v>1</v>
      </c>
      <c r="L29">
        <v>1</v>
      </c>
      <c r="M29">
        <v>1</v>
      </c>
      <c r="N29">
        <v>1</v>
      </c>
      <c r="P29">
        <v>1.880236864089966</v>
      </c>
    </row>
    <row r="30" spans="1:17" x14ac:dyDescent="0.25">
      <c r="A30" t="s">
        <v>17</v>
      </c>
      <c r="B30" t="s">
        <v>56</v>
      </c>
      <c r="C30">
        <v>0</v>
      </c>
      <c r="D30">
        <v>1</v>
      </c>
      <c r="E30">
        <v>1</v>
      </c>
      <c r="F30">
        <v>1</v>
      </c>
      <c r="G30">
        <v>0</v>
      </c>
      <c r="H30">
        <v>1</v>
      </c>
      <c r="I30">
        <v>1</v>
      </c>
      <c r="J30">
        <v>1</v>
      </c>
      <c r="K30">
        <v>1</v>
      </c>
      <c r="L30">
        <v>1</v>
      </c>
      <c r="M30">
        <v>1</v>
      </c>
      <c r="N30">
        <v>1</v>
      </c>
      <c r="O30" t="s">
        <v>144</v>
      </c>
      <c r="P30">
        <v>3.050898551940918</v>
      </c>
    </row>
    <row r="31" spans="1:17" x14ac:dyDescent="0.25">
      <c r="A31" t="s">
        <v>17</v>
      </c>
      <c r="B31" t="s">
        <v>58</v>
      </c>
      <c r="C31">
        <v>0</v>
      </c>
      <c r="D31">
        <v>1</v>
      </c>
      <c r="E31">
        <v>0</v>
      </c>
      <c r="F31">
        <v>1</v>
      </c>
      <c r="G31">
        <v>1</v>
      </c>
      <c r="H31" t="s">
        <v>20</v>
      </c>
      <c r="I31">
        <v>1</v>
      </c>
      <c r="J31" t="s">
        <v>20</v>
      </c>
      <c r="K31">
        <v>1</v>
      </c>
      <c r="L31">
        <v>1</v>
      </c>
      <c r="M31">
        <v>1</v>
      </c>
      <c r="N31">
        <v>1</v>
      </c>
      <c r="O31" t="s">
        <v>145</v>
      </c>
      <c r="P31">
        <v>2.4173614978790279</v>
      </c>
    </row>
    <row r="32" spans="1:17" x14ac:dyDescent="0.25">
      <c r="A32" t="s">
        <v>17</v>
      </c>
      <c r="B32" t="s">
        <v>60</v>
      </c>
      <c r="C32">
        <v>0</v>
      </c>
      <c r="D32">
        <v>1</v>
      </c>
      <c r="E32">
        <v>0</v>
      </c>
      <c r="F32">
        <v>1</v>
      </c>
      <c r="G32">
        <v>1</v>
      </c>
      <c r="H32" t="s">
        <v>20</v>
      </c>
      <c r="I32">
        <v>1</v>
      </c>
      <c r="J32" t="s">
        <v>20</v>
      </c>
      <c r="K32">
        <v>1</v>
      </c>
      <c r="L32">
        <v>1</v>
      </c>
      <c r="M32">
        <v>1</v>
      </c>
      <c r="N32">
        <v>1</v>
      </c>
      <c r="O32" t="s">
        <v>146</v>
      </c>
      <c r="P32">
        <v>2.7731516361236568</v>
      </c>
    </row>
    <row r="33" spans="1:17" x14ac:dyDescent="0.25">
      <c r="A33" t="s">
        <v>17</v>
      </c>
      <c r="B33" t="s">
        <v>62</v>
      </c>
      <c r="C33">
        <v>0</v>
      </c>
      <c r="D33">
        <v>1</v>
      </c>
      <c r="E33">
        <v>1</v>
      </c>
      <c r="F33">
        <v>1</v>
      </c>
      <c r="G33">
        <v>1</v>
      </c>
      <c r="H33">
        <v>1</v>
      </c>
      <c r="I33">
        <v>1</v>
      </c>
      <c r="J33">
        <v>1</v>
      </c>
      <c r="K33">
        <v>1</v>
      </c>
      <c r="L33">
        <v>1</v>
      </c>
      <c r="M33">
        <v>1</v>
      </c>
      <c r="N33">
        <v>1</v>
      </c>
      <c r="P33">
        <v>1.1990125179290769</v>
      </c>
    </row>
    <row r="34" spans="1:17" x14ac:dyDescent="0.25">
      <c r="A34" t="s">
        <v>17</v>
      </c>
      <c r="B34" t="s">
        <v>63</v>
      </c>
      <c r="C34">
        <v>0</v>
      </c>
      <c r="D34">
        <v>1</v>
      </c>
      <c r="E34">
        <v>1</v>
      </c>
      <c r="F34">
        <v>1</v>
      </c>
      <c r="G34">
        <v>1</v>
      </c>
      <c r="H34">
        <v>1</v>
      </c>
      <c r="I34">
        <v>1</v>
      </c>
      <c r="J34">
        <v>1</v>
      </c>
      <c r="K34">
        <v>1</v>
      </c>
      <c r="L34">
        <v>1</v>
      </c>
      <c r="M34">
        <v>1</v>
      </c>
      <c r="N34">
        <v>1</v>
      </c>
      <c r="P34">
        <v>1.2195737361907959</v>
      </c>
    </row>
    <row r="35" spans="1:17" x14ac:dyDescent="0.25">
      <c r="A35" t="s">
        <v>17</v>
      </c>
      <c r="B35" t="s">
        <v>65</v>
      </c>
      <c r="C35">
        <v>0</v>
      </c>
      <c r="D35">
        <v>1</v>
      </c>
      <c r="E35">
        <v>1</v>
      </c>
      <c r="F35">
        <v>1</v>
      </c>
      <c r="G35">
        <v>1</v>
      </c>
      <c r="H35">
        <v>1</v>
      </c>
      <c r="I35">
        <v>1</v>
      </c>
      <c r="J35">
        <v>1</v>
      </c>
      <c r="K35">
        <v>1</v>
      </c>
      <c r="L35">
        <v>1</v>
      </c>
      <c r="M35">
        <v>1</v>
      </c>
      <c r="N35">
        <v>1</v>
      </c>
      <c r="P35">
        <v>1.67497730255127</v>
      </c>
    </row>
    <row r="36" spans="1:17" x14ac:dyDescent="0.25">
      <c r="A36" t="s">
        <v>17</v>
      </c>
      <c r="B36" t="s">
        <v>66</v>
      </c>
      <c r="C36">
        <v>0</v>
      </c>
      <c r="D36">
        <v>1</v>
      </c>
      <c r="E36">
        <v>1</v>
      </c>
      <c r="F36">
        <v>1</v>
      </c>
      <c r="G36">
        <v>1</v>
      </c>
      <c r="H36">
        <v>1</v>
      </c>
      <c r="I36">
        <v>1</v>
      </c>
      <c r="J36">
        <v>1</v>
      </c>
      <c r="K36">
        <v>1</v>
      </c>
      <c r="L36">
        <v>1</v>
      </c>
      <c r="M36">
        <v>1</v>
      </c>
      <c r="N36">
        <v>1</v>
      </c>
      <c r="P36">
        <v>1.5424540042877199</v>
      </c>
    </row>
    <row r="37" spans="1:17" x14ac:dyDescent="0.25">
      <c r="A37" t="s">
        <v>17</v>
      </c>
      <c r="B37" t="s">
        <v>67</v>
      </c>
      <c r="C37">
        <v>0</v>
      </c>
      <c r="D37">
        <v>1</v>
      </c>
      <c r="E37">
        <v>1</v>
      </c>
      <c r="F37">
        <v>1</v>
      </c>
      <c r="G37">
        <v>1</v>
      </c>
      <c r="H37">
        <v>1</v>
      </c>
      <c r="I37">
        <v>1</v>
      </c>
      <c r="J37">
        <v>1</v>
      </c>
      <c r="K37">
        <v>1</v>
      </c>
      <c r="L37">
        <v>1</v>
      </c>
      <c r="M37">
        <v>1</v>
      </c>
      <c r="N37">
        <v>1</v>
      </c>
      <c r="P37">
        <v>1.680738210678101</v>
      </c>
    </row>
    <row r="38" spans="1:17" x14ac:dyDescent="0.25">
      <c r="A38" t="s">
        <v>17</v>
      </c>
      <c r="B38" t="s">
        <v>68</v>
      </c>
      <c r="C38">
        <v>0</v>
      </c>
      <c r="D38">
        <v>1</v>
      </c>
      <c r="E38">
        <v>1</v>
      </c>
      <c r="F38">
        <v>1</v>
      </c>
      <c r="G38">
        <v>1</v>
      </c>
      <c r="H38">
        <v>1</v>
      </c>
      <c r="I38">
        <v>1</v>
      </c>
      <c r="J38">
        <v>1</v>
      </c>
      <c r="K38">
        <v>1</v>
      </c>
      <c r="L38">
        <v>1</v>
      </c>
      <c r="M38">
        <v>1</v>
      </c>
      <c r="N38">
        <v>1</v>
      </c>
      <c r="P38">
        <v>1.9444272518157959</v>
      </c>
    </row>
    <row r="39" spans="1:17" x14ac:dyDescent="0.25">
      <c r="A39" t="s">
        <v>17</v>
      </c>
      <c r="B39" t="s">
        <v>69</v>
      </c>
      <c r="C39">
        <v>0</v>
      </c>
      <c r="D39">
        <v>1</v>
      </c>
      <c r="E39">
        <v>0</v>
      </c>
      <c r="F39">
        <v>1</v>
      </c>
      <c r="G39">
        <v>0</v>
      </c>
      <c r="H39" t="s">
        <v>20</v>
      </c>
      <c r="I39">
        <v>1</v>
      </c>
      <c r="J39" t="s">
        <v>20</v>
      </c>
      <c r="K39">
        <v>1</v>
      </c>
      <c r="L39">
        <v>1</v>
      </c>
      <c r="M39">
        <v>1</v>
      </c>
      <c r="N39">
        <v>1</v>
      </c>
      <c r="O39" t="s">
        <v>147</v>
      </c>
      <c r="P39">
        <v>2.6583642959594731</v>
      </c>
    </row>
    <row r="40" spans="1:17" x14ac:dyDescent="0.25">
      <c r="A40" t="s">
        <v>17</v>
      </c>
      <c r="B40" t="s">
        <v>71</v>
      </c>
      <c r="C40">
        <v>0</v>
      </c>
      <c r="D40">
        <v>1</v>
      </c>
      <c r="E40">
        <v>0</v>
      </c>
      <c r="F40">
        <v>0</v>
      </c>
      <c r="G40">
        <v>1</v>
      </c>
      <c r="H40" t="s">
        <v>20</v>
      </c>
      <c r="I40">
        <v>1</v>
      </c>
      <c r="J40" t="s">
        <v>20</v>
      </c>
      <c r="K40">
        <v>1</v>
      </c>
      <c r="L40">
        <v>1</v>
      </c>
      <c r="M40">
        <v>1</v>
      </c>
      <c r="N40">
        <v>1</v>
      </c>
      <c r="O40" t="s">
        <v>148</v>
      </c>
      <c r="P40">
        <v>3.4104008674621582</v>
      </c>
    </row>
    <row r="41" spans="1:17" x14ac:dyDescent="0.25">
      <c r="A41" t="s">
        <v>17</v>
      </c>
      <c r="B41" t="s">
        <v>73</v>
      </c>
      <c r="C41">
        <v>0</v>
      </c>
      <c r="D41">
        <v>0</v>
      </c>
      <c r="E41" t="s">
        <v>20</v>
      </c>
      <c r="F41" t="s">
        <v>20</v>
      </c>
      <c r="G41" t="s">
        <v>20</v>
      </c>
      <c r="H41" t="s">
        <v>20</v>
      </c>
      <c r="I41" t="s">
        <v>20</v>
      </c>
      <c r="J41" t="s">
        <v>20</v>
      </c>
      <c r="K41" t="s">
        <v>20</v>
      </c>
      <c r="L41" t="s">
        <v>20</v>
      </c>
      <c r="M41">
        <v>0</v>
      </c>
      <c r="N41" t="s">
        <v>20</v>
      </c>
      <c r="O41" t="s">
        <v>149</v>
      </c>
      <c r="P41">
        <v>5.0141422748565674</v>
      </c>
      <c r="Q41" t="s">
        <v>20</v>
      </c>
    </row>
    <row r="42" spans="1:17" x14ac:dyDescent="0.25">
      <c r="A42" t="s">
        <v>17</v>
      </c>
      <c r="B42" t="s">
        <v>75</v>
      </c>
      <c r="C42">
        <v>0</v>
      </c>
      <c r="D42">
        <v>1</v>
      </c>
      <c r="E42">
        <v>1</v>
      </c>
      <c r="F42">
        <v>0</v>
      </c>
      <c r="G42">
        <v>1</v>
      </c>
      <c r="H42">
        <v>1</v>
      </c>
      <c r="I42">
        <v>1</v>
      </c>
      <c r="J42" t="s">
        <v>20</v>
      </c>
      <c r="K42">
        <v>1</v>
      </c>
      <c r="L42">
        <v>1</v>
      </c>
      <c r="M42">
        <v>1</v>
      </c>
      <c r="N42">
        <v>1</v>
      </c>
      <c r="O42" t="s">
        <v>150</v>
      </c>
      <c r="P42">
        <v>2.5082912445068359</v>
      </c>
    </row>
    <row r="43" spans="1:17" x14ac:dyDescent="0.25">
      <c r="A43" t="s">
        <v>17</v>
      </c>
      <c r="B43" t="s">
        <v>77</v>
      </c>
      <c r="C43">
        <v>0</v>
      </c>
      <c r="D43">
        <v>1</v>
      </c>
      <c r="E43">
        <v>1</v>
      </c>
      <c r="F43">
        <v>1</v>
      </c>
      <c r="G43">
        <v>1</v>
      </c>
      <c r="H43">
        <v>1</v>
      </c>
      <c r="I43">
        <v>1</v>
      </c>
      <c r="J43">
        <v>1</v>
      </c>
      <c r="K43">
        <v>1</v>
      </c>
      <c r="L43">
        <v>1</v>
      </c>
      <c r="M43">
        <v>1</v>
      </c>
      <c r="N43">
        <v>1</v>
      </c>
      <c r="P43">
        <v>1.4398353099823</v>
      </c>
    </row>
    <row r="44" spans="1:17" x14ac:dyDescent="0.25">
      <c r="A44" t="s">
        <v>17</v>
      </c>
      <c r="B44" t="s">
        <v>78</v>
      </c>
      <c r="C44">
        <v>0</v>
      </c>
      <c r="D44">
        <v>1</v>
      </c>
      <c r="E44">
        <v>1</v>
      </c>
      <c r="F44">
        <v>1</v>
      </c>
      <c r="G44">
        <v>1</v>
      </c>
      <c r="H44">
        <v>1</v>
      </c>
      <c r="I44">
        <v>1</v>
      </c>
      <c r="J44">
        <v>1</v>
      </c>
      <c r="K44">
        <v>1</v>
      </c>
      <c r="L44">
        <v>1</v>
      </c>
      <c r="M44">
        <v>1</v>
      </c>
      <c r="N44">
        <v>1</v>
      </c>
      <c r="P44">
        <v>1.176695823669434</v>
      </c>
    </row>
    <row r="45" spans="1:17" x14ac:dyDescent="0.25">
      <c r="A45" t="s">
        <v>17</v>
      </c>
      <c r="B45" t="s">
        <v>79</v>
      </c>
      <c r="C45">
        <v>0</v>
      </c>
      <c r="D45">
        <v>1</v>
      </c>
      <c r="E45">
        <v>1</v>
      </c>
      <c r="F45">
        <v>1</v>
      </c>
      <c r="G45">
        <v>1</v>
      </c>
      <c r="H45">
        <v>1</v>
      </c>
      <c r="I45">
        <v>1</v>
      </c>
      <c r="J45">
        <v>1</v>
      </c>
      <c r="K45">
        <v>1</v>
      </c>
      <c r="L45">
        <v>1</v>
      </c>
      <c r="M45">
        <v>1</v>
      </c>
      <c r="N45">
        <v>1</v>
      </c>
      <c r="P45">
        <v>1.4553313255310061</v>
      </c>
    </row>
    <row r="46" spans="1:17" x14ac:dyDescent="0.25">
      <c r="A46" t="s">
        <v>17</v>
      </c>
      <c r="B46" t="s">
        <v>80</v>
      </c>
      <c r="C46">
        <v>0</v>
      </c>
      <c r="D46">
        <v>1</v>
      </c>
      <c r="E46">
        <v>1</v>
      </c>
      <c r="F46">
        <v>1</v>
      </c>
      <c r="G46">
        <v>1</v>
      </c>
      <c r="H46">
        <v>1</v>
      </c>
      <c r="I46">
        <v>1</v>
      </c>
      <c r="J46">
        <v>1</v>
      </c>
      <c r="K46">
        <v>1</v>
      </c>
      <c r="L46">
        <v>1</v>
      </c>
      <c r="M46">
        <v>1</v>
      </c>
      <c r="N46">
        <v>1</v>
      </c>
      <c r="P46">
        <v>2.010795116424561</v>
      </c>
    </row>
    <row r="47" spans="1:17" x14ac:dyDescent="0.25">
      <c r="A47" t="s">
        <v>17</v>
      </c>
      <c r="B47" t="s">
        <v>81</v>
      </c>
      <c r="C47">
        <v>0</v>
      </c>
      <c r="D47">
        <v>1</v>
      </c>
      <c r="E47">
        <v>1</v>
      </c>
      <c r="F47">
        <v>1</v>
      </c>
      <c r="G47">
        <v>1</v>
      </c>
      <c r="H47">
        <v>1</v>
      </c>
      <c r="I47">
        <v>1</v>
      </c>
      <c r="J47">
        <v>1</v>
      </c>
      <c r="K47">
        <v>1</v>
      </c>
      <c r="L47">
        <v>1</v>
      </c>
      <c r="M47">
        <v>1</v>
      </c>
      <c r="N47">
        <v>1</v>
      </c>
      <c r="P47">
        <v>2.2038741111755371</v>
      </c>
    </row>
    <row r="48" spans="1:17" x14ac:dyDescent="0.25">
      <c r="A48" t="s">
        <v>17</v>
      </c>
      <c r="B48" t="s">
        <v>82</v>
      </c>
      <c r="C48">
        <v>0</v>
      </c>
      <c r="D48">
        <v>1</v>
      </c>
      <c r="E48">
        <v>1</v>
      </c>
      <c r="F48">
        <v>1</v>
      </c>
      <c r="G48">
        <v>1</v>
      </c>
      <c r="H48">
        <v>1</v>
      </c>
      <c r="I48">
        <v>1</v>
      </c>
      <c r="J48">
        <v>1</v>
      </c>
      <c r="K48">
        <v>1</v>
      </c>
      <c r="L48">
        <v>1</v>
      </c>
      <c r="M48">
        <v>1</v>
      </c>
      <c r="N48">
        <v>1</v>
      </c>
      <c r="P48">
        <v>1.3724818229675291</v>
      </c>
    </row>
    <row r="49" spans="1:16" x14ac:dyDescent="0.25">
      <c r="A49" t="s">
        <v>17</v>
      </c>
      <c r="B49" t="s">
        <v>83</v>
      </c>
      <c r="C49">
        <v>0</v>
      </c>
      <c r="D49">
        <v>1</v>
      </c>
      <c r="E49">
        <v>0</v>
      </c>
      <c r="F49">
        <v>1</v>
      </c>
      <c r="G49">
        <v>1</v>
      </c>
      <c r="H49" t="s">
        <v>20</v>
      </c>
      <c r="I49">
        <v>1</v>
      </c>
      <c r="J49" t="s">
        <v>20</v>
      </c>
      <c r="K49">
        <v>1</v>
      </c>
      <c r="L49">
        <v>1</v>
      </c>
      <c r="M49">
        <v>1</v>
      </c>
      <c r="N49">
        <v>1</v>
      </c>
      <c r="O49" t="s">
        <v>151</v>
      </c>
      <c r="P49">
        <v>2.7417316436767578</v>
      </c>
    </row>
    <row r="50" spans="1:16" x14ac:dyDescent="0.25">
      <c r="A50" t="s">
        <v>17</v>
      </c>
      <c r="B50" t="s">
        <v>85</v>
      </c>
      <c r="C50">
        <v>0</v>
      </c>
      <c r="D50">
        <v>1</v>
      </c>
      <c r="E50">
        <v>1</v>
      </c>
      <c r="F50">
        <v>1</v>
      </c>
      <c r="G50">
        <v>1</v>
      </c>
      <c r="H50">
        <v>1</v>
      </c>
      <c r="I50">
        <v>1</v>
      </c>
      <c r="J50">
        <v>1</v>
      </c>
      <c r="K50">
        <v>1</v>
      </c>
      <c r="L50">
        <v>1</v>
      </c>
      <c r="M50">
        <v>1</v>
      </c>
      <c r="N50">
        <v>1</v>
      </c>
      <c r="P50">
        <v>1.7090809345245359</v>
      </c>
    </row>
    <row r="51" spans="1:16" x14ac:dyDescent="0.25">
      <c r="A51" t="s">
        <v>86</v>
      </c>
      <c r="B51" t="s">
        <v>18</v>
      </c>
      <c r="C51">
        <v>0</v>
      </c>
      <c r="D51">
        <v>1</v>
      </c>
      <c r="E51">
        <v>1</v>
      </c>
      <c r="F51">
        <v>1</v>
      </c>
      <c r="G51">
        <v>1</v>
      </c>
      <c r="H51">
        <v>1</v>
      </c>
      <c r="I51">
        <v>1</v>
      </c>
      <c r="J51">
        <v>1</v>
      </c>
      <c r="K51">
        <v>1</v>
      </c>
      <c r="L51">
        <v>1</v>
      </c>
      <c r="M51">
        <v>1</v>
      </c>
      <c r="N51">
        <v>1</v>
      </c>
      <c r="P51">
        <v>1.697392463684082</v>
      </c>
    </row>
    <row r="52" spans="1:16" x14ac:dyDescent="0.25">
      <c r="A52" t="s">
        <v>86</v>
      </c>
      <c r="B52" t="s">
        <v>19</v>
      </c>
      <c r="C52">
        <v>0</v>
      </c>
      <c r="D52">
        <v>1</v>
      </c>
      <c r="E52">
        <v>1</v>
      </c>
      <c r="F52">
        <v>1</v>
      </c>
      <c r="G52">
        <v>1</v>
      </c>
      <c r="H52">
        <v>1</v>
      </c>
      <c r="I52">
        <v>1</v>
      </c>
      <c r="J52">
        <v>1</v>
      </c>
      <c r="K52">
        <v>1</v>
      </c>
      <c r="L52">
        <v>1</v>
      </c>
      <c r="M52">
        <v>1</v>
      </c>
      <c r="N52">
        <v>1</v>
      </c>
      <c r="P52">
        <v>1.741718530654907</v>
      </c>
    </row>
    <row r="53" spans="1:16" x14ac:dyDescent="0.25">
      <c r="A53" t="s">
        <v>86</v>
      </c>
      <c r="B53" t="s">
        <v>22</v>
      </c>
      <c r="C53">
        <v>0</v>
      </c>
      <c r="D53">
        <v>1</v>
      </c>
      <c r="E53">
        <v>1</v>
      </c>
      <c r="F53">
        <v>1</v>
      </c>
      <c r="G53">
        <v>1</v>
      </c>
      <c r="H53">
        <v>1</v>
      </c>
      <c r="I53">
        <v>1</v>
      </c>
      <c r="J53">
        <v>1</v>
      </c>
      <c r="K53">
        <v>1</v>
      </c>
      <c r="L53">
        <v>1</v>
      </c>
      <c r="M53">
        <v>1</v>
      </c>
      <c r="N53">
        <v>1</v>
      </c>
      <c r="P53">
        <v>1.7379415035247801</v>
      </c>
    </row>
    <row r="54" spans="1:16" x14ac:dyDescent="0.25">
      <c r="A54" t="s">
        <v>86</v>
      </c>
      <c r="B54" t="s">
        <v>24</v>
      </c>
      <c r="C54">
        <v>0</v>
      </c>
      <c r="D54">
        <v>1</v>
      </c>
      <c r="E54">
        <v>1</v>
      </c>
      <c r="F54">
        <v>1</v>
      </c>
      <c r="G54">
        <v>1</v>
      </c>
      <c r="H54">
        <v>1</v>
      </c>
      <c r="I54">
        <v>1</v>
      </c>
      <c r="J54">
        <v>1</v>
      </c>
      <c r="K54">
        <v>1</v>
      </c>
      <c r="L54">
        <v>1</v>
      </c>
      <c r="M54">
        <v>1</v>
      </c>
      <c r="N54">
        <v>1</v>
      </c>
      <c r="P54">
        <v>1.2097775936126709</v>
      </c>
    </row>
    <row r="55" spans="1:16" x14ac:dyDescent="0.25">
      <c r="A55" t="s">
        <v>86</v>
      </c>
      <c r="B55" t="s">
        <v>25</v>
      </c>
      <c r="C55">
        <v>0</v>
      </c>
      <c r="D55">
        <v>1</v>
      </c>
      <c r="E55">
        <v>1</v>
      </c>
      <c r="F55">
        <v>1</v>
      </c>
      <c r="G55">
        <v>1</v>
      </c>
      <c r="H55">
        <v>1</v>
      </c>
      <c r="I55">
        <v>1</v>
      </c>
      <c r="J55">
        <v>1</v>
      </c>
      <c r="K55">
        <v>1</v>
      </c>
      <c r="L55">
        <v>1</v>
      </c>
      <c r="M55">
        <v>1</v>
      </c>
      <c r="N55">
        <v>1</v>
      </c>
      <c r="P55">
        <v>1.65313720703125</v>
      </c>
    </row>
    <row r="56" spans="1:16" x14ac:dyDescent="0.25">
      <c r="A56" t="s">
        <v>86</v>
      </c>
      <c r="B56" t="s">
        <v>26</v>
      </c>
      <c r="C56">
        <v>0</v>
      </c>
      <c r="D56">
        <v>1</v>
      </c>
      <c r="E56">
        <v>0</v>
      </c>
      <c r="F56">
        <v>1</v>
      </c>
      <c r="G56">
        <v>1</v>
      </c>
      <c r="H56" t="s">
        <v>20</v>
      </c>
      <c r="I56">
        <v>1</v>
      </c>
      <c r="J56" t="s">
        <v>20</v>
      </c>
      <c r="K56">
        <v>1</v>
      </c>
      <c r="L56">
        <v>1</v>
      </c>
      <c r="M56">
        <v>1</v>
      </c>
      <c r="N56">
        <v>1</v>
      </c>
      <c r="O56" t="s">
        <v>152</v>
      </c>
      <c r="P56">
        <v>5.4851462841033944</v>
      </c>
    </row>
    <row r="57" spans="1:16" x14ac:dyDescent="0.25">
      <c r="A57" t="s">
        <v>86</v>
      </c>
      <c r="B57" t="s">
        <v>27</v>
      </c>
      <c r="C57">
        <v>0</v>
      </c>
      <c r="D57">
        <v>1</v>
      </c>
      <c r="E57">
        <v>1</v>
      </c>
      <c r="F57">
        <v>1</v>
      </c>
      <c r="G57">
        <v>1</v>
      </c>
      <c r="H57">
        <v>1</v>
      </c>
      <c r="I57">
        <v>1</v>
      </c>
      <c r="J57">
        <v>1</v>
      </c>
      <c r="K57">
        <v>1</v>
      </c>
      <c r="L57">
        <v>1</v>
      </c>
      <c r="M57">
        <v>1</v>
      </c>
      <c r="N57">
        <v>1</v>
      </c>
      <c r="P57">
        <v>1.6500236988067629</v>
      </c>
    </row>
    <row r="58" spans="1:16" x14ac:dyDescent="0.25">
      <c r="A58" t="s">
        <v>86</v>
      </c>
      <c r="B58" t="s">
        <v>29</v>
      </c>
      <c r="C58">
        <v>0</v>
      </c>
      <c r="D58">
        <v>1</v>
      </c>
      <c r="E58">
        <v>1</v>
      </c>
      <c r="F58">
        <v>1</v>
      </c>
      <c r="G58">
        <v>0</v>
      </c>
      <c r="H58">
        <v>1</v>
      </c>
      <c r="I58">
        <v>1</v>
      </c>
      <c r="J58">
        <v>1</v>
      </c>
      <c r="K58">
        <v>1</v>
      </c>
      <c r="L58">
        <v>1</v>
      </c>
      <c r="M58">
        <v>1</v>
      </c>
      <c r="N58">
        <v>1</v>
      </c>
      <c r="O58" t="s">
        <v>153</v>
      </c>
      <c r="P58">
        <v>2.1353433132171631</v>
      </c>
    </row>
    <row r="59" spans="1:16" x14ac:dyDescent="0.25">
      <c r="A59" t="s">
        <v>86</v>
      </c>
      <c r="B59" t="s">
        <v>30</v>
      </c>
      <c r="C59">
        <v>0</v>
      </c>
      <c r="D59">
        <v>1</v>
      </c>
      <c r="E59">
        <v>1</v>
      </c>
      <c r="F59">
        <v>1</v>
      </c>
      <c r="G59">
        <v>0</v>
      </c>
      <c r="H59">
        <v>1</v>
      </c>
      <c r="I59">
        <v>1</v>
      </c>
      <c r="J59">
        <v>1</v>
      </c>
      <c r="K59">
        <v>1</v>
      </c>
      <c r="L59">
        <v>1</v>
      </c>
      <c r="M59">
        <v>1</v>
      </c>
      <c r="N59">
        <v>1</v>
      </c>
      <c r="O59" t="s">
        <v>154</v>
      </c>
      <c r="P59">
        <v>1.5969188213348391</v>
      </c>
    </row>
    <row r="60" spans="1:16" x14ac:dyDescent="0.25">
      <c r="A60" t="s">
        <v>86</v>
      </c>
      <c r="B60" t="s">
        <v>32</v>
      </c>
      <c r="C60">
        <v>0</v>
      </c>
      <c r="D60">
        <v>1</v>
      </c>
      <c r="E60">
        <v>1</v>
      </c>
      <c r="F60">
        <v>1</v>
      </c>
      <c r="G60">
        <v>1</v>
      </c>
      <c r="H60">
        <v>1</v>
      </c>
      <c r="I60">
        <v>1</v>
      </c>
      <c r="J60">
        <v>1</v>
      </c>
      <c r="K60">
        <v>1</v>
      </c>
      <c r="L60">
        <v>1</v>
      </c>
      <c r="M60">
        <v>1</v>
      </c>
      <c r="N60">
        <v>1</v>
      </c>
      <c r="P60">
        <v>1.171922922134399</v>
      </c>
    </row>
    <row r="61" spans="1:16" x14ac:dyDescent="0.25">
      <c r="A61" t="s">
        <v>86</v>
      </c>
      <c r="B61" t="s">
        <v>33</v>
      </c>
      <c r="C61">
        <v>0</v>
      </c>
      <c r="D61">
        <v>1</v>
      </c>
      <c r="E61">
        <v>1</v>
      </c>
      <c r="F61">
        <v>1</v>
      </c>
      <c r="G61">
        <v>1</v>
      </c>
      <c r="H61">
        <v>1</v>
      </c>
      <c r="I61">
        <v>1</v>
      </c>
      <c r="J61">
        <v>1</v>
      </c>
      <c r="K61">
        <v>1</v>
      </c>
      <c r="L61">
        <v>1</v>
      </c>
      <c r="M61">
        <v>1</v>
      </c>
      <c r="N61">
        <v>1</v>
      </c>
      <c r="P61">
        <v>1.333613395690918</v>
      </c>
    </row>
    <row r="62" spans="1:16" x14ac:dyDescent="0.25">
      <c r="A62" t="s">
        <v>86</v>
      </c>
      <c r="B62" t="s">
        <v>34</v>
      </c>
      <c r="C62">
        <v>0</v>
      </c>
      <c r="D62">
        <v>1</v>
      </c>
      <c r="E62">
        <v>1</v>
      </c>
      <c r="F62">
        <v>1</v>
      </c>
      <c r="G62">
        <v>1</v>
      </c>
      <c r="H62">
        <v>1</v>
      </c>
      <c r="I62">
        <v>1</v>
      </c>
      <c r="J62">
        <v>1</v>
      </c>
      <c r="K62">
        <v>1</v>
      </c>
      <c r="L62">
        <v>1</v>
      </c>
      <c r="M62">
        <v>1</v>
      </c>
      <c r="N62">
        <v>1</v>
      </c>
      <c r="P62">
        <v>1.326562166213989</v>
      </c>
    </row>
    <row r="63" spans="1:16" x14ac:dyDescent="0.25">
      <c r="A63" t="s">
        <v>86</v>
      </c>
      <c r="B63" t="s">
        <v>35</v>
      </c>
      <c r="C63">
        <v>0</v>
      </c>
      <c r="D63">
        <v>1</v>
      </c>
      <c r="E63">
        <v>1</v>
      </c>
      <c r="F63">
        <v>1</v>
      </c>
      <c r="G63">
        <v>1</v>
      </c>
      <c r="H63">
        <v>1</v>
      </c>
      <c r="I63">
        <v>1</v>
      </c>
      <c r="J63">
        <v>1</v>
      </c>
      <c r="K63">
        <v>1</v>
      </c>
      <c r="L63">
        <v>1</v>
      </c>
      <c r="M63">
        <v>1</v>
      </c>
      <c r="N63">
        <v>1</v>
      </c>
      <c r="P63">
        <v>1.255476713180542</v>
      </c>
    </row>
    <row r="64" spans="1:16" x14ac:dyDescent="0.25">
      <c r="A64" t="s">
        <v>86</v>
      </c>
      <c r="B64" t="s">
        <v>37</v>
      </c>
      <c r="C64">
        <v>0</v>
      </c>
      <c r="D64">
        <v>1</v>
      </c>
      <c r="E64">
        <v>1</v>
      </c>
      <c r="F64">
        <v>1</v>
      </c>
      <c r="G64">
        <v>1</v>
      </c>
      <c r="H64">
        <v>1</v>
      </c>
      <c r="I64">
        <v>1</v>
      </c>
      <c r="J64">
        <v>0</v>
      </c>
      <c r="K64">
        <v>1</v>
      </c>
      <c r="L64">
        <v>1</v>
      </c>
      <c r="M64">
        <v>1</v>
      </c>
      <c r="N64">
        <v>1</v>
      </c>
      <c r="O64" t="s">
        <v>155</v>
      </c>
      <c r="P64">
        <v>1.722390413284302</v>
      </c>
    </row>
    <row r="65" spans="1:16" x14ac:dyDescent="0.25">
      <c r="A65" t="s">
        <v>86</v>
      </c>
      <c r="B65" t="s">
        <v>38</v>
      </c>
      <c r="C65">
        <v>0</v>
      </c>
      <c r="D65">
        <v>1</v>
      </c>
      <c r="E65">
        <v>1</v>
      </c>
      <c r="F65">
        <v>1</v>
      </c>
      <c r="G65">
        <v>1</v>
      </c>
      <c r="H65">
        <v>1</v>
      </c>
      <c r="I65">
        <v>1</v>
      </c>
      <c r="J65">
        <v>1</v>
      </c>
      <c r="K65">
        <v>1</v>
      </c>
      <c r="L65">
        <v>1</v>
      </c>
      <c r="M65">
        <v>1</v>
      </c>
      <c r="N65">
        <v>1</v>
      </c>
      <c r="P65">
        <v>1.2056572437286379</v>
      </c>
    </row>
    <row r="66" spans="1:16" x14ac:dyDescent="0.25">
      <c r="A66" t="s">
        <v>86</v>
      </c>
      <c r="B66" t="s">
        <v>39</v>
      </c>
      <c r="C66">
        <v>0</v>
      </c>
      <c r="D66">
        <v>1</v>
      </c>
      <c r="E66">
        <v>1</v>
      </c>
      <c r="F66">
        <v>1</v>
      </c>
      <c r="G66">
        <v>1</v>
      </c>
      <c r="H66">
        <v>1</v>
      </c>
      <c r="I66">
        <v>1</v>
      </c>
      <c r="J66">
        <v>1</v>
      </c>
      <c r="K66">
        <v>1</v>
      </c>
      <c r="L66">
        <v>1</v>
      </c>
      <c r="M66">
        <v>1</v>
      </c>
      <c r="N66">
        <v>1</v>
      </c>
      <c r="P66">
        <v>1.2212510108947749</v>
      </c>
    </row>
    <row r="67" spans="1:16" x14ac:dyDescent="0.25">
      <c r="A67" t="s">
        <v>86</v>
      </c>
      <c r="B67" t="s">
        <v>40</v>
      </c>
      <c r="C67">
        <v>0</v>
      </c>
      <c r="D67">
        <v>1</v>
      </c>
      <c r="E67">
        <v>1</v>
      </c>
      <c r="F67">
        <v>1</v>
      </c>
      <c r="G67">
        <v>1</v>
      </c>
      <c r="H67">
        <v>1</v>
      </c>
      <c r="I67">
        <v>1</v>
      </c>
      <c r="J67">
        <v>1</v>
      </c>
      <c r="K67">
        <v>1</v>
      </c>
      <c r="L67">
        <v>1</v>
      </c>
      <c r="M67">
        <v>1</v>
      </c>
      <c r="N67">
        <v>1</v>
      </c>
      <c r="P67">
        <v>1.3058707714080811</v>
      </c>
    </row>
    <row r="68" spans="1:16" x14ac:dyDescent="0.25">
      <c r="A68" t="s">
        <v>86</v>
      </c>
      <c r="B68" t="s">
        <v>41</v>
      </c>
      <c r="C68">
        <v>0</v>
      </c>
      <c r="D68">
        <v>1</v>
      </c>
      <c r="E68">
        <v>1</v>
      </c>
      <c r="F68">
        <v>1</v>
      </c>
      <c r="G68">
        <v>1</v>
      </c>
      <c r="H68">
        <v>1</v>
      </c>
      <c r="I68">
        <v>1</v>
      </c>
      <c r="J68">
        <v>1</v>
      </c>
      <c r="K68">
        <v>1</v>
      </c>
      <c r="L68">
        <v>1</v>
      </c>
      <c r="M68">
        <v>1</v>
      </c>
      <c r="N68">
        <v>1</v>
      </c>
      <c r="P68">
        <v>1.925435543060303</v>
      </c>
    </row>
    <row r="69" spans="1:16" x14ac:dyDescent="0.25">
      <c r="A69" t="s">
        <v>86</v>
      </c>
      <c r="B69" t="s">
        <v>42</v>
      </c>
      <c r="C69">
        <v>0</v>
      </c>
      <c r="D69">
        <v>1</v>
      </c>
      <c r="E69">
        <v>1</v>
      </c>
      <c r="F69">
        <v>1</v>
      </c>
      <c r="G69">
        <v>1</v>
      </c>
      <c r="H69">
        <v>1</v>
      </c>
      <c r="I69">
        <v>1</v>
      </c>
      <c r="J69">
        <v>1</v>
      </c>
      <c r="K69">
        <v>1</v>
      </c>
      <c r="L69">
        <v>1</v>
      </c>
      <c r="M69">
        <v>1</v>
      </c>
      <c r="N69">
        <v>1</v>
      </c>
      <c r="P69">
        <v>1.1428043842315669</v>
      </c>
    </row>
    <row r="70" spans="1:16" x14ac:dyDescent="0.25">
      <c r="A70" t="s">
        <v>86</v>
      </c>
      <c r="B70" t="s">
        <v>43</v>
      </c>
      <c r="C70">
        <v>0</v>
      </c>
      <c r="D70">
        <v>1</v>
      </c>
      <c r="E70">
        <v>1</v>
      </c>
      <c r="F70">
        <v>1</v>
      </c>
      <c r="G70">
        <v>1</v>
      </c>
      <c r="H70">
        <v>1</v>
      </c>
      <c r="I70">
        <v>1</v>
      </c>
      <c r="J70">
        <v>1</v>
      </c>
      <c r="K70">
        <v>1</v>
      </c>
      <c r="L70">
        <v>1</v>
      </c>
      <c r="M70">
        <v>1</v>
      </c>
      <c r="N70">
        <v>1</v>
      </c>
      <c r="P70">
        <v>1.670043468475342</v>
      </c>
    </row>
    <row r="71" spans="1:16" x14ac:dyDescent="0.25">
      <c r="A71" t="s">
        <v>86</v>
      </c>
      <c r="B71" t="s">
        <v>44</v>
      </c>
      <c r="C71">
        <v>0</v>
      </c>
      <c r="D71">
        <v>1</v>
      </c>
      <c r="E71">
        <v>1</v>
      </c>
      <c r="F71">
        <v>1</v>
      </c>
      <c r="G71">
        <v>1</v>
      </c>
      <c r="H71">
        <v>1</v>
      </c>
      <c r="I71">
        <v>1</v>
      </c>
      <c r="J71">
        <v>1</v>
      </c>
      <c r="K71">
        <v>1</v>
      </c>
      <c r="L71">
        <v>1</v>
      </c>
      <c r="M71">
        <v>1</v>
      </c>
      <c r="N71">
        <v>1</v>
      </c>
      <c r="P71">
        <v>1.137340784072876</v>
      </c>
    </row>
    <row r="72" spans="1:16" x14ac:dyDescent="0.25">
      <c r="A72" t="s">
        <v>86</v>
      </c>
      <c r="B72" t="s">
        <v>45</v>
      </c>
      <c r="C72">
        <v>0</v>
      </c>
      <c r="D72">
        <v>1</v>
      </c>
      <c r="E72">
        <v>1</v>
      </c>
      <c r="F72">
        <v>1</v>
      </c>
      <c r="G72">
        <v>1</v>
      </c>
      <c r="H72">
        <v>1</v>
      </c>
      <c r="I72">
        <v>1</v>
      </c>
      <c r="J72">
        <v>1</v>
      </c>
      <c r="K72">
        <v>1</v>
      </c>
      <c r="L72">
        <v>1</v>
      </c>
      <c r="M72">
        <v>1</v>
      </c>
      <c r="N72">
        <v>1</v>
      </c>
      <c r="P72">
        <v>1.8770067691802981</v>
      </c>
    </row>
    <row r="73" spans="1:16" x14ac:dyDescent="0.25">
      <c r="A73" t="s">
        <v>86</v>
      </c>
      <c r="B73" t="s">
        <v>47</v>
      </c>
      <c r="C73">
        <v>0</v>
      </c>
      <c r="D73">
        <v>1</v>
      </c>
      <c r="E73">
        <v>1</v>
      </c>
      <c r="F73">
        <v>1</v>
      </c>
      <c r="G73">
        <v>1</v>
      </c>
      <c r="H73">
        <v>1</v>
      </c>
      <c r="I73">
        <v>1</v>
      </c>
      <c r="J73">
        <v>1</v>
      </c>
      <c r="K73">
        <v>1</v>
      </c>
      <c r="L73">
        <v>1</v>
      </c>
      <c r="M73">
        <v>1</v>
      </c>
      <c r="N73">
        <v>1</v>
      </c>
      <c r="P73">
        <v>1.226125240325928</v>
      </c>
    </row>
    <row r="74" spans="1:16" x14ac:dyDescent="0.25">
      <c r="A74" t="s">
        <v>86</v>
      </c>
      <c r="B74" t="s">
        <v>48</v>
      </c>
      <c r="C74">
        <v>0</v>
      </c>
      <c r="D74">
        <v>1</v>
      </c>
      <c r="E74">
        <v>0</v>
      </c>
      <c r="F74">
        <v>0</v>
      </c>
      <c r="G74">
        <v>1</v>
      </c>
      <c r="H74" t="s">
        <v>20</v>
      </c>
      <c r="I74">
        <v>1</v>
      </c>
      <c r="J74" t="s">
        <v>20</v>
      </c>
      <c r="K74">
        <v>1</v>
      </c>
      <c r="L74">
        <v>1</v>
      </c>
      <c r="M74">
        <v>1</v>
      </c>
      <c r="N74">
        <v>1</v>
      </c>
      <c r="O74" t="s">
        <v>156</v>
      </c>
      <c r="P74">
        <v>14.38970947265625</v>
      </c>
    </row>
    <row r="75" spans="1:16" x14ac:dyDescent="0.25">
      <c r="A75" t="s">
        <v>86</v>
      </c>
      <c r="B75" t="s">
        <v>50</v>
      </c>
      <c r="C75">
        <v>0</v>
      </c>
      <c r="D75">
        <v>1</v>
      </c>
      <c r="E75">
        <v>1</v>
      </c>
      <c r="F75">
        <v>1</v>
      </c>
      <c r="G75">
        <v>1</v>
      </c>
      <c r="H75">
        <v>1</v>
      </c>
      <c r="I75">
        <v>1</v>
      </c>
      <c r="J75">
        <v>1</v>
      </c>
      <c r="K75">
        <v>1</v>
      </c>
      <c r="L75">
        <v>1</v>
      </c>
      <c r="M75">
        <v>1</v>
      </c>
      <c r="N75">
        <v>1</v>
      </c>
      <c r="P75">
        <v>1.408568382263184</v>
      </c>
    </row>
    <row r="76" spans="1:16" x14ac:dyDescent="0.25">
      <c r="A76" t="s">
        <v>86</v>
      </c>
      <c r="B76" t="s">
        <v>51</v>
      </c>
      <c r="C76">
        <v>0</v>
      </c>
      <c r="D76">
        <v>1</v>
      </c>
      <c r="E76">
        <v>1</v>
      </c>
      <c r="F76">
        <v>1</v>
      </c>
      <c r="G76">
        <v>0</v>
      </c>
      <c r="H76">
        <v>1</v>
      </c>
      <c r="I76">
        <v>1</v>
      </c>
      <c r="J76">
        <v>1</v>
      </c>
      <c r="K76">
        <v>1</v>
      </c>
      <c r="L76">
        <v>1</v>
      </c>
      <c r="M76">
        <v>1</v>
      </c>
      <c r="N76">
        <v>1</v>
      </c>
      <c r="O76" t="s">
        <v>157</v>
      </c>
      <c r="P76">
        <v>2.6959843635559082</v>
      </c>
    </row>
    <row r="77" spans="1:16" x14ac:dyDescent="0.25">
      <c r="A77" t="s">
        <v>86</v>
      </c>
      <c r="B77" t="s">
        <v>53</v>
      </c>
      <c r="C77">
        <v>0</v>
      </c>
      <c r="D77">
        <v>1</v>
      </c>
      <c r="E77">
        <v>0</v>
      </c>
      <c r="F77">
        <v>1</v>
      </c>
      <c r="G77">
        <v>1</v>
      </c>
      <c r="H77" t="s">
        <v>20</v>
      </c>
      <c r="I77">
        <v>1</v>
      </c>
      <c r="J77" t="s">
        <v>20</v>
      </c>
      <c r="K77">
        <v>1</v>
      </c>
      <c r="L77">
        <v>1</v>
      </c>
      <c r="M77">
        <v>1</v>
      </c>
      <c r="N77">
        <v>1</v>
      </c>
      <c r="O77" t="s">
        <v>158</v>
      </c>
      <c r="P77">
        <v>1.830288887023926</v>
      </c>
    </row>
    <row r="78" spans="1:16" x14ac:dyDescent="0.25">
      <c r="A78" t="s">
        <v>86</v>
      </c>
      <c r="B78" t="s">
        <v>55</v>
      </c>
      <c r="C78">
        <v>0</v>
      </c>
      <c r="D78">
        <v>1</v>
      </c>
      <c r="E78">
        <v>1</v>
      </c>
      <c r="F78">
        <v>1</v>
      </c>
      <c r="G78">
        <v>1</v>
      </c>
      <c r="H78">
        <v>1</v>
      </c>
      <c r="I78">
        <v>1</v>
      </c>
      <c r="J78">
        <v>1</v>
      </c>
      <c r="K78">
        <v>0</v>
      </c>
      <c r="L78">
        <v>0</v>
      </c>
      <c r="M78">
        <v>0</v>
      </c>
      <c r="N78">
        <v>1</v>
      </c>
      <c r="O78" t="s">
        <v>159</v>
      </c>
      <c r="P78">
        <v>2.9410932064056401</v>
      </c>
    </row>
    <row r="79" spans="1:16" x14ac:dyDescent="0.25">
      <c r="A79" t="s">
        <v>86</v>
      </c>
      <c r="B79" t="s">
        <v>56</v>
      </c>
      <c r="C79">
        <v>0</v>
      </c>
      <c r="D79">
        <v>1</v>
      </c>
      <c r="E79">
        <v>1</v>
      </c>
      <c r="F79">
        <v>1</v>
      </c>
      <c r="G79">
        <v>1</v>
      </c>
      <c r="H79">
        <v>1</v>
      </c>
      <c r="I79">
        <v>1</v>
      </c>
      <c r="J79">
        <v>1</v>
      </c>
      <c r="K79">
        <v>1</v>
      </c>
      <c r="L79">
        <v>1</v>
      </c>
      <c r="M79">
        <v>1</v>
      </c>
      <c r="N79">
        <v>1</v>
      </c>
      <c r="P79">
        <v>1.5208442211151121</v>
      </c>
    </row>
    <row r="80" spans="1:16" x14ac:dyDescent="0.25">
      <c r="A80" t="s">
        <v>86</v>
      </c>
      <c r="B80" t="s">
        <v>58</v>
      </c>
      <c r="C80">
        <v>0</v>
      </c>
      <c r="D80">
        <v>1</v>
      </c>
      <c r="E80">
        <v>1</v>
      </c>
      <c r="F80">
        <v>1</v>
      </c>
      <c r="G80">
        <v>1</v>
      </c>
      <c r="H80">
        <v>1</v>
      </c>
      <c r="I80">
        <v>1</v>
      </c>
      <c r="J80">
        <v>1</v>
      </c>
      <c r="K80">
        <v>1</v>
      </c>
      <c r="L80">
        <v>1</v>
      </c>
      <c r="M80">
        <v>1</v>
      </c>
      <c r="N80">
        <v>1</v>
      </c>
      <c r="P80">
        <v>1.599629878997803</v>
      </c>
    </row>
    <row r="81" spans="1:16" x14ac:dyDescent="0.25">
      <c r="A81" t="s">
        <v>86</v>
      </c>
      <c r="B81" t="s">
        <v>60</v>
      </c>
      <c r="C81">
        <v>0</v>
      </c>
      <c r="D81">
        <v>1</v>
      </c>
      <c r="E81">
        <v>1</v>
      </c>
      <c r="F81">
        <v>1</v>
      </c>
      <c r="G81">
        <v>1</v>
      </c>
      <c r="H81">
        <v>1</v>
      </c>
      <c r="I81">
        <v>1</v>
      </c>
      <c r="J81">
        <v>1</v>
      </c>
      <c r="K81">
        <v>1</v>
      </c>
      <c r="L81">
        <v>1</v>
      </c>
      <c r="M81">
        <v>1</v>
      </c>
      <c r="N81">
        <v>1</v>
      </c>
      <c r="P81">
        <v>1.6633479595184331</v>
      </c>
    </row>
    <row r="82" spans="1:16" x14ac:dyDescent="0.25">
      <c r="A82" t="s">
        <v>86</v>
      </c>
      <c r="B82" t="s">
        <v>62</v>
      </c>
      <c r="C82">
        <v>0</v>
      </c>
      <c r="D82">
        <v>1</v>
      </c>
      <c r="E82">
        <v>1</v>
      </c>
      <c r="F82">
        <v>1</v>
      </c>
      <c r="G82">
        <v>1</v>
      </c>
      <c r="H82">
        <v>1</v>
      </c>
      <c r="I82">
        <v>1</v>
      </c>
      <c r="J82">
        <v>1</v>
      </c>
      <c r="K82">
        <v>1</v>
      </c>
      <c r="L82">
        <v>1</v>
      </c>
      <c r="M82">
        <v>1</v>
      </c>
      <c r="N82">
        <v>1</v>
      </c>
      <c r="P82">
        <v>1.263882637023926</v>
      </c>
    </row>
    <row r="83" spans="1:16" x14ac:dyDescent="0.25">
      <c r="A83" t="s">
        <v>86</v>
      </c>
      <c r="B83" t="s">
        <v>63</v>
      </c>
      <c r="C83">
        <v>0</v>
      </c>
      <c r="D83">
        <v>1</v>
      </c>
      <c r="E83">
        <v>1</v>
      </c>
      <c r="F83">
        <v>1</v>
      </c>
      <c r="G83">
        <v>0</v>
      </c>
      <c r="H83">
        <v>1</v>
      </c>
      <c r="I83">
        <v>1</v>
      </c>
      <c r="J83">
        <v>1</v>
      </c>
      <c r="K83">
        <v>1</v>
      </c>
      <c r="L83">
        <v>1</v>
      </c>
      <c r="M83">
        <v>1</v>
      </c>
      <c r="N83">
        <v>1</v>
      </c>
      <c r="O83" t="s">
        <v>160</v>
      </c>
      <c r="P83">
        <v>2.163825511932373</v>
      </c>
    </row>
    <row r="84" spans="1:16" x14ac:dyDescent="0.25">
      <c r="A84" t="s">
        <v>86</v>
      </c>
      <c r="B84" t="s">
        <v>65</v>
      </c>
      <c r="C84">
        <v>0</v>
      </c>
      <c r="D84">
        <v>1</v>
      </c>
      <c r="E84">
        <v>1</v>
      </c>
      <c r="F84">
        <v>1</v>
      </c>
      <c r="G84">
        <v>1</v>
      </c>
      <c r="H84">
        <v>1</v>
      </c>
      <c r="I84">
        <v>1</v>
      </c>
      <c r="J84">
        <v>1</v>
      </c>
      <c r="K84">
        <v>1</v>
      </c>
      <c r="L84">
        <v>1</v>
      </c>
      <c r="M84">
        <v>1</v>
      </c>
      <c r="N84">
        <v>1</v>
      </c>
      <c r="P84">
        <v>1.3982090950012209</v>
      </c>
    </row>
    <row r="85" spans="1:16" x14ac:dyDescent="0.25">
      <c r="A85" t="s">
        <v>86</v>
      </c>
      <c r="B85" t="s">
        <v>66</v>
      </c>
      <c r="C85">
        <v>0</v>
      </c>
      <c r="D85">
        <v>1</v>
      </c>
      <c r="E85">
        <v>1</v>
      </c>
      <c r="F85">
        <v>1</v>
      </c>
      <c r="G85">
        <v>0</v>
      </c>
      <c r="H85">
        <v>1</v>
      </c>
      <c r="I85">
        <v>1</v>
      </c>
      <c r="J85">
        <v>1</v>
      </c>
      <c r="K85">
        <v>1</v>
      </c>
      <c r="L85">
        <v>1</v>
      </c>
      <c r="M85">
        <v>1</v>
      </c>
      <c r="N85">
        <v>1</v>
      </c>
      <c r="O85" t="s">
        <v>161</v>
      </c>
      <c r="P85">
        <v>3.0981776714324951</v>
      </c>
    </row>
    <row r="86" spans="1:16" x14ac:dyDescent="0.25">
      <c r="A86" t="s">
        <v>86</v>
      </c>
      <c r="B86" t="s">
        <v>67</v>
      </c>
      <c r="C86">
        <v>0</v>
      </c>
      <c r="D86">
        <v>1</v>
      </c>
      <c r="E86">
        <v>1</v>
      </c>
      <c r="F86">
        <v>0</v>
      </c>
      <c r="G86">
        <v>1</v>
      </c>
      <c r="H86">
        <v>1</v>
      </c>
      <c r="I86">
        <v>1</v>
      </c>
      <c r="J86" t="s">
        <v>20</v>
      </c>
      <c r="K86">
        <v>1</v>
      </c>
      <c r="L86">
        <v>1</v>
      </c>
      <c r="M86">
        <v>1</v>
      </c>
      <c r="N86">
        <v>1</v>
      </c>
      <c r="O86" t="s">
        <v>162</v>
      </c>
      <c r="P86">
        <v>2.115359783172607</v>
      </c>
    </row>
    <row r="87" spans="1:16" x14ac:dyDescent="0.25">
      <c r="A87" t="s">
        <v>86</v>
      </c>
      <c r="B87" t="s">
        <v>68</v>
      </c>
      <c r="C87">
        <v>0</v>
      </c>
      <c r="D87">
        <v>1</v>
      </c>
      <c r="E87">
        <v>1</v>
      </c>
      <c r="F87">
        <v>1</v>
      </c>
      <c r="G87">
        <v>1</v>
      </c>
      <c r="H87">
        <v>1</v>
      </c>
      <c r="I87">
        <v>1</v>
      </c>
      <c r="J87">
        <v>1</v>
      </c>
      <c r="K87">
        <v>1</v>
      </c>
      <c r="L87">
        <v>1</v>
      </c>
      <c r="M87">
        <v>1</v>
      </c>
      <c r="N87">
        <v>1</v>
      </c>
      <c r="P87">
        <v>1.088508605957031</v>
      </c>
    </row>
    <row r="88" spans="1:16" x14ac:dyDescent="0.25">
      <c r="A88" t="s">
        <v>86</v>
      </c>
      <c r="B88" t="s">
        <v>69</v>
      </c>
      <c r="C88">
        <v>0</v>
      </c>
      <c r="D88">
        <v>1</v>
      </c>
      <c r="E88">
        <v>1</v>
      </c>
      <c r="F88">
        <v>1</v>
      </c>
      <c r="G88">
        <v>1</v>
      </c>
      <c r="H88">
        <v>1</v>
      </c>
      <c r="I88">
        <v>1</v>
      </c>
      <c r="J88">
        <v>1</v>
      </c>
      <c r="K88">
        <v>1</v>
      </c>
      <c r="L88">
        <v>1</v>
      </c>
      <c r="M88">
        <v>1</v>
      </c>
      <c r="N88">
        <v>1</v>
      </c>
      <c r="P88">
        <v>1.63078236579895</v>
      </c>
    </row>
    <row r="89" spans="1:16" x14ac:dyDescent="0.25">
      <c r="A89" t="s">
        <v>86</v>
      </c>
      <c r="B89" t="s">
        <v>71</v>
      </c>
      <c r="C89">
        <v>0</v>
      </c>
      <c r="D89">
        <v>1</v>
      </c>
      <c r="E89">
        <v>1</v>
      </c>
      <c r="F89">
        <v>1</v>
      </c>
      <c r="G89">
        <v>1</v>
      </c>
      <c r="H89">
        <v>1</v>
      </c>
      <c r="I89">
        <v>1</v>
      </c>
      <c r="J89">
        <v>1</v>
      </c>
      <c r="K89">
        <v>1</v>
      </c>
      <c r="L89">
        <v>1</v>
      </c>
      <c r="M89">
        <v>1</v>
      </c>
      <c r="N89">
        <v>1</v>
      </c>
      <c r="P89">
        <v>1.9168434143066411</v>
      </c>
    </row>
    <row r="90" spans="1:16" x14ac:dyDescent="0.25">
      <c r="A90" t="s">
        <v>86</v>
      </c>
      <c r="B90" t="s">
        <v>73</v>
      </c>
      <c r="C90">
        <v>0</v>
      </c>
      <c r="D90">
        <v>1</v>
      </c>
      <c r="E90">
        <v>1</v>
      </c>
      <c r="F90">
        <v>1</v>
      </c>
      <c r="G90">
        <v>1</v>
      </c>
      <c r="H90">
        <v>1</v>
      </c>
      <c r="I90">
        <v>1</v>
      </c>
      <c r="J90">
        <v>1</v>
      </c>
      <c r="K90">
        <v>1</v>
      </c>
      <c r="L90">
        <v>1</v>
      </c>
      <c r="M90">
        <v>1</v>
      </c>
      <c r="N90">
        <v>1</v>
      </c>
      <c r="P90">
        <v>1.439329147338867</v>
      </c>
    </row>
    <row r="91" spans="1:16" x14ac:dyDescent="0.25">
      <c r="A91" t="s">
        <v>86</v>
      </c>
      <c r="B91" t="s">
        <v>75</v>
      </c>
      <c r="C91">
        <v>0</v>
      </c>
      <c r="D91">
        <v>1</v>
      </c>
      <c r="E91">
        <v>1</v>
      </c>
      <c r="F91">
        <v>1</v>
      </c>
      <c r="G91">
        <v>1</v>
      </c>
      <c r="H91">
        <v>1</v>
      </c>
      <c r="I91">
        <v>1</v>
      </c>
      <c r="J91">
        <v>1</v>
      </c>
      <c r="K91">
        <v>1</v>
      </c>
      <c r="L91">
        <v>1</v>
      </c>
      <c r="M91">
        <v>1</v>
      </c>
      <c r="N91">
        <v>1</v>
      </c>
      <c r="P91">
        <v>1.2038676738739009</v>
      </c>
    </row>
    <row r="92" spans="1:16" x14ac:dyDescent="0.25">
      <c r="A92" t="s">
        <v>86</v>
      </c>
      <c r="B92" t="s">
        <v>77</v>
      </c>
      <c r="C92">
        <v>0</v>
      </c>
      <c r="D92">
        <v>1</v>
      </c>
      <c r="E92">
        <v>1</v>
      </c>
      <c r="F92">
        <v>1</v>
      </c>
      <c r="G92">
        <v>1</v>
      </c>
      <c r="H92">
        <v>1</v>
      </c>
      <c r="I92">
        <v>1</v>
      </c>
      <c r="J92">
        <v>1</v>
      </c>
      <c r="K92">
        <v>1</v>
      </c>
      <c r="L92">
        <v>1</v>
      </c>
      <c r="M92">
        <v>1</v>
      </c>
      <c r="N92">
        <v>1</v>
      </c>
      <c r="P92">
        <v>1.5938606262207029</v>
      </c>
    </row>
    <row r="93" spans="1:16" x14ac:dyDescent="0.25">
      <c r="A93" t="s">
        <v>86</v>
      </c>
      <c r="B93" t="s">
        <v>78</v>
      </c>
      <c r="C93">
        <v>0</v>
      </c>
      <c r="D93">
        <v>1</v>
      </c>
      <c r="E93">
        <v>1</v>
      </c>
      <c r="F93">
        <v>1</v>
      </c>
      <c r="G93">
        <v>1</v>
      </c>
      <c r="H93">
        <v>1</v>
      </c>
      <c r="I93">
        <v>1</v>
      </c>
      <c r="J93">
        <v>1</v>
      </c>
      <c r="K93">
        <v>1</v>
      </c>
      <c r="L93">
        <v>1</v>
      </c>
      <c r="M93">
        <v>1</v>
      </c>
      <c r="N93">
        <v>1</v>
      </c>
      <c r="P93">
        <v>2.0374875068664551</v>
      </c>
    </row>
    <row r="94" spans="1:16" x14ac:dyDescent="0.25">
      <c r="A94" t="s">
        <v>86</v>
      </c>
      <c r="B94" t="s">
        <v>79</v>
      </c>
      <c r="C94">
        <v>0</v>
      </c>
      <c r="D94">
        <v>1</v>
      </c>
      <c r="E94">
        <v>1</v>
      </c>
      <c r="F94">
        <v>1</v>
      </c>
      <c r="G94">
        <v>1</v>
      </c>
      <c r="H94">
        <v>1</v>
      </c>
      <c r="I94">
        <v>1</v>
      </c>
      <c r="J94">
        <v>1</v>
      </c>
      <c r="K94">
        <v>1</v>
      </c>
      <c r="L94">
        <v>1</v>
      </c>
      <c r="M94">
        <v>1</v>
      </c>
      <c r="N94">
        <v>1</v>
      </c>
      <c r="P94">
        <v>1.336612462997437</v>
      </c>
    </row>
    <row r="95" spans="1:16" x14ac:dyDescent="0.25">
      <c r="A95" t="s">
        <v>86</v>
      </c>
      <c r="B95" t="s">
        <v>80</v>
      </c>
      <c r="C95">
        <v>0</v>
      </c>
      <c r="D95">
        <v>1</v>
      </c>
      <c r="E95">
        <v>1</v>
      </c>
      <c r="F95">
        <v>1</v>
      </c>
      <c r="G95">
        <v>1</v>
      </c>
      <c r="H95">
        <v>1</v>
      </c>
      <c r="I95">
        <v>1</v>
      </c>
      <c r="J95">
        <v>1</v>
      </c>
      <c r="K95">
        <v>1</v>
      </c>
      <c r="L95">
        <v>1</v>
      </c>
      <c r="M95">
        <v>1</v>
      </c>
      <c r="N95">
        <v>1</v>
      </c>
      <c r="P95">
        <v>1.522686243057251</v>
      </c>
    </row>
    <row r="96" spans="1:16" x14ac:dyDescent="0.25">
      <c r="A96" t="s">
        <v>86</v>
      </c>
      <c r="B96" t="s">
        <v>81</v>
      </c>
      <c r="C96">
        <v>0</v>
      </c>
      <c r="D96">
        <v>1</v>
      </c>
      <c r="E96">
        <v>1</v>
      </c>
      <c r="F96">
        <v>1</v>
      </c>
      <c r="G96">
        <v>1</v>
      </c>
      <c r="H96">
        <v>1</v>
      </c>
      <c r="I96">
        <v>1</v>
      </c>
      <c r="J96">
        <v>1</v>
      </c>
      <c r="K96">
        <v>1</v>
      </c>
      <c r="L96">
        <v>1</v>
      </c>
      <c r="M96">
        <v>1</v>
      </c>
      <c r="N96">
        <v>1</v>
      </c>
      <c r="P96">
        <v>1.3474912643432619</v>
      </c>
    </row>
    <row r="97" spans="1:16" x14ac:dyDescent="0.25">
      <c r="A97" t="s">
        <v>86</v>
      </c>
      <c r="B97" t="s">
        <v>82</v>
      </c>
      <c r="C97">
        <v>0</v>
      </c>
      <c r="D97">
        <v>1</v>
      </c>
      <c r="E97">
        <v>1</v>
      </c>
      <c r="F97">
        <v>1</v>
      </c>
      <c r="G97">
        <v>1</v>
      </c>
      <c r="H97">
        <v>1</v>
      </c>
      <c r="I97">
        <v>1</v>
      </c>
      <c r="J97">
        <v>1</v>
      </c>
      <c r="K97">
        <v>1</v>
      </c>
      <c r="L97">
        <v>1</v>
      </c>
      <c r="M97">
        <v>1</v>
      </c>
      <c r="N97">
        <v>1</v>
      </c>
      <c r="P97">
        <v>1.1394650936126709</v>
      </c>
    </row>
    <row r="98" spans="1:16" x14ac:dyDescent="0.25">
      <c r="A98" t="s">
        <v>86</v>
      </c>
      <c r="B98" t="s">
        <v>83</v>
      </c>
      <c r="C98">
        <v>0</v>
      </c>
      <c r="D98">
        <v>1</v>
      </c>
      <c r="E98">
        <v>1</v>
      </c>
      <c r="F98">
        <v>1</v>
      </c>
      <c r="G98">
        <v>1</v>
      </c>
      <c r="H98">
        <v>1</v>
      </c>
      <c r="I98">
        <v>1</v>
      </c>
      <c r="J98">
        <v>1</v>
      </c>
      <c r="K98">
        <v>1</v>
      </c>
      <c r="L98">
        <v>1</v>
      </c>
      <c r="M98">
        <v>1</v>
      </c>
      <c r="N98">
        <v>1</v>
      </c>
      <c r="P98">
        <v>2.1256999969482422</v>
      </c>
    </row>
    <row r="99" spans="1:16" x14ac:dyDescent="0.25">
      <c r="A99" t="s">
        <v>86</v>
      </c>
      <c r="B99" t="s">
        <v>85</v>
      </c>
      <c r="C99">
        <v>0</v>
      </c>
      <c r="D99">
        <v>1</v>
      </c>
      <c r="E99">
        <v>1</v>
      </c>
      <c r="F99">
        <v>1</v>
      </c>
      <c r="G99">
        <v>1</v>
      </c>
      <c r="H99">
        <v>1</v>
      </c>
      <c r="I99">
        <v>1</v>
      </c>
      <c r="J99">
        <v>1</v>
      </c>
      <c r="K99">
        <v>1</v>
      </c>
      <c r="L99">
        <v>1</v>
      </c>
      <c r="M99">
        <v>1</v>
      </c>
      <c r="N99">
        <v>1</v>
      </c>
      <c r="P99">
        <v>1.314236164093018</v>
      </c>
    </row>
    <row r="100" spans="1:16" x14ac:dyDescent="0.25">
      <c r="A100" t="s">
        <v>86</v>
      </c>
      <c r="B100" t="s">
        <v>98</v>
      </c>
      <c r="C100">
        <v>0</v>
      </c>
      <c r="D100">
        <v>1</v>
      </c>
      <c r="E100">
        <v>1</v>
      </c>
      <c r="F100">
        <v>1</v>
      </c>
      <c r="G100">
        <v>1</v>
      </c>
      <c r="H100">
        <v>1</v>
      </c>
      <c r="I100">
        <v>1</v>
      </c>
      <c r="J100">
        <v>1</v>
      </c>
      <c r="K100">
        <v>1</v>
      </c>
      <c r="L100">
        <v>1</v>
      </c>
      <c r="M100">
        <v>1</v>
      </c>
      <c r="N100">
        <v>1</v>
      </c>
      <c r="P100">
        <v>1.112415075302124</v>
      </c>
    </row>
    <row r="101" spans="1:16" x14ac:dyDescent="0.25">
      <c r="A101" t="s">
        <v>86</v>
      </c>
      <c r="B101" t="s">
        <v>99</v>
      </c>
      <c r="C101">
        <v>0</v>
      </c>
      <c r="D101">
        <v>1</v>
      </c>
      <c r="E101">
        <v>1</v>
      </c>
      <c r="F101">
        <v>1</v>
      </c>
      <c r="G101">
        <v>1</v>
      </c>
      <c r="H101">
        <v>1</v>
      </c>
      <c r="I101">
        <v>1</v>
      </c>
      <c r="J101">
        <v>1</v>
      </c>
      <c r="K101">
        <v>1</v>
      </c>
      <c r="L101">
        <v>1</v>
      </c>
      <c r="M101">
        <v>1</v>
      </c>
      <c r="N101">
        <v>1</v>
      </c>
      <c r="P101">
        <v>1.1878330707550051</v>
      </c>
    </row>
    <row r="102" spans="1:16" x14ac:dyDescent="0.25">
      <c r="A102" t="s">
        <v>86</v>
      </c>
      <c r="B102" t="s">
        <v>100</v>
      </c>
      <c r="C102">
        <v>0</v>
      </c>
      <c r="D102">
        <v>1</v>
      </c>
      <c r="E102">
        <v>1</v>
      </c>
      <c r="F102">
        <v>1</v>
      </c>
      <c r="G102">
        <v>1</v>
      </c>
      <c r="H102">
        <v>1</v>
      </c>
      <c r="I102">
        <v>1</v>
      </c>
      <c r="J102">
        <v>1</v>
      </c>
      <c r="K102">
        <v>1</v>
      </c>
      <c r="L102">
        <v>1</v>
      </c>
      <c r="M102">
        <v>1</v>
      </c>
      <c r="N102">
        <v>1</v>
      </c>
      <c r="P102">
        <v>1.4788579940795901</v>
      </c>
    </row>
    <row r="103" spans="1:16" x14ac:dyDescent="0.25">
      <c r="A103" t="s">
        <v>86</v>
      </c>
      <c r="B103" t="s">
        <v>101</v>
      </c>
      <c r="C103">
        <v>0</v>
      </c>
      <c r="D103">
        <v>1</v>
      </c>
      <c r="E103">
        <v>1</v>
      </c>
      <c r="F103">
        <v>1</v>
      </c>
      <c r="G103">
        <v>1</v>
      </c>
      <c r="H103">
        <v>1</v>
      </c>
      <c r="I103">
        <v>1</v>
      </c>
      <c r="J103">
        <v>1</v>
      </c>
      <c r="K103">
        <v>1</v>
      </c>
      <c r="L103">
        <v>1</v>
      </c>
      <c r="M103">
        <v>1</v>
      </c>
      <c r="N103">
        <v>1</v>
      </c>
      <c r="P103">
        <v>1.5956969261169429</v>
      </c>
    </row>
    <row r="104" spans="1:16" x14ac:dyDescent="0.25">
      <c r="A104" t="s">
        <v>86</v>
      </c>
      <c r="B104" t="s">
        <v>102</v>
      </c>
      <c r="C104">
        <v>0</v>
      </c>
      <c r="D104">
        <v>1</v>
      </c>
      <c r="E104">
        <v>1</v>
      </c>
      <c r="F104">
        <v>1</v>
      </c>
      <c r="G104">
        <v>1</v>
      </c>
      <c r="H104">
        <v>1</v>
      </c>
      <c r="I104">
        <v>1</v>
      </c>
      <c r="J104">
        <v>1</v>
      </c>
      <c r="K104">
        <v>1</v>
      </c>
      <c r="L104">
        <v>1</v>
      </c>
      <c r="M104">
        <v>1</v>
      </c>
      <c r="N104">
        <v>1</v>
      </c>
      <c r="P104">
        <v>1.1707789897918699</v>
      </c>
    </row>
    <row r="105" spans="1:16" x14ac:dyDescent="0.25">
      <c r="A105" t="s">
        <v>86</v>
      </c>
      <c r="B105" t="s">
        <v>104</v>
      </c>
      <c r="C105">
        <v>0</v>
      </c>
      <c r="D105">
        <v>1</v>
      </c>
      <c r="E105">
        <v>1</v>
      </c>
      <c r="F105">
        <v>1</v>
      </c>
      <c r="G105">
        <v>1</v>
      </c>
      <c r="H105">
        <v>1</v>
      </c>
      <c r="I105">
        <v>1</v>
      </c>
      <c r="J105">
        <v>1</v>
      </c>
      <c r="K105">
        <v>1</v>
      </c>
      <c r="L105">
        <v>1</v>
      </c>
      <c r="M105">
        <v>1</v>
      </c>
      <c r="N105">
        <v>1</v>
      </c>
      <c r="P105">
        <v>1.4622454643249509</v>
      </c>
    </row>
    <row r="106" spans="1:16" x14ac:dyDescent="0.25">
      <c r="A106" t="s">
        <v>86</v>
      </c>
      <c r="B106" t="s">
        <v>105</v>
      </c>
      <c r="C106">
        <v>0</v>
      </c>
      <c r="D106">
        <v>1</v>
      </c>
      <c r="E106">
        <v>1</v>
      </c>
      <c r="F106">
        <v>1</v>
      </c>
      <c r="G106">
        <v>1</v>
      </c>
      <c r="H106">
        <v>1</v>
      </c>
      <c r="I106">
        <v>1</v>
      </c>
      <c r="J106">
        <v>1</v>
      </c>
      <c r="K106">
        <v>1</v>
      </c>
      <c r="L106">
        <v>1</v>
      </c>
      <c r="M106">
        <v>1</v>
      </c>
      <c r="N106">
        <v>1</v>
      </c>
      <c r="P106">
        <v>1.517864465713501</v>
      </c>
    </row>
    <row r="107" spans="1:16" x14ac:dyDescent="0.25">
      <c r="A107" t="s">
        <v>86</v>
      </c>
      <c r="B107" t="s">
        <v>106</v>
      </c>
      <c r="C107">
        <v>0</v>
      </c>
      <c r="D107">
        <v>1</v>
      </c>
      <c r="E107">
        <v>1</v>
      </c>
      <c r="F107">
        <v>1</v>
      </c>
      <c r="G107">
        <v>1</v>
      </c>
      <c r="H107">
        <v>1</v>
      </c>
      <c r="I107">
        <v>1</v>
      </c>
      <c r="J107">
        <v>1</v>
      </c>
      <c r="K107">
        <v>1</v>
      </c>
      <c r="L107">
        <v>1</v>
      </c>
      <c r="M107">
        <v>1</v>
      </c>
      <c r="N107">
        <v>1</v>
      </c>
      <c r="P107">
        <v>1.579370975494385</v>
      </c>
    </row>
    <row r="108" spans="1:16" x14ac:dyDescent="0.25">
      <c r="A108" t="s">
        <v>86</v>
      </c>
      <c r="B108" t="s">
        <v>107</v>
      </c>
      <c r="C108">
        <v>0</v>
      </c>
      <c r="D108">
        <v>1</v>
      </c>
      <c r="E108">
        <v>1</v>
      </c>
      <c r="F108">
        <v>1</v>
      </c>
      <c r="G108">
        <v>1</v>
      </c>
      <c r="H108">
        <v>1</v>
      </c>
      <c r="I108">
        <v>1</v>
      </c>
      <c r="J108">
        <v>1</v>
      </c>
      <c r="K108">
        <v>1</v>
      </c>
      <c r="L108">
        <v>1</v>
      </c>
      <c r="M108">
        <v>1</v>
      </c>
      <c r="N108">
        <v>1</v>
      </c>
      <c r="P108">
        <v>1.270240306854248</v>
      </c>
    </row>
    <row r="109" spans="1:16" x14ac:dyDescent="0.25">
      <c r="A109" t="s">
        <v>86</v>
      </c>
      <c r="B109" t="s">
        <v>108</v>
      </c>
      <c r="C109">
        <v>0</v>
      </c>
      <c r="D109">
        <v>1</v>
      </c>
      <c r="E109">
        <v>1</v>
      </c>
      <c r="F109">
        <v>1</v>
      </c>
      <c r="G109">
        <v>1</v>
      </c>
      <c r="H109">
        <v>1</v>
      </c>
      <c r="I109">
        <v>1</v>
      </c>
      <c r="J109">
        <v>1</v>
      </c>
      <c r="K109">
        <v>1</v>
      </c>
      <c r="L109">
        <v>1</v>
      </c>
      <c r="M109">
        <v>1</v>
      </c>
      <c r="N109">
        <v>1</v>
      </c>
      <c r="P109">
        <v>1.5569226741790769</v>
      </c>
    </row>
    <row r="110" spans="1:16" x14ac:dyDescent="0.25">
      <c r="A110" t="s">
        <v>86</v>
      </c>
      <c r="B110" t="s">
        <v>109</v>
      </c>
      <c r="C110">
        <v>0</v>
      </c>
      <c r="D110">
        <v>1</v>
      </c>
      <c r="E110">
        <v>1</v>
      </c>
      <c r="F110">
        <v>1</v>
      </c>
      <c r="G110">
        <v>1</v>
      </c>
      <c r="H110">
        <v>1</v>
      </c>
      <c r="I110">
        <v>1</v>
      </c>
      <c r="J110">
        <v>1</v>
      </c>
      <c r="K110">
        <v>1</v>
      </c>
      <c r="L110">
        <v>1</v>
      </c>
      <c r="M110">
        <v>1</v>
      </c>
      <c r="N110">
        <v>1</v>
      </c>
      <c r="P110">
        <v>1.162073135375977</v>
      </c>
    </row>
    <row r="111" spans="1:16" x14ac:dyDescent="0.25">
      <c r="A111" t="s">
        <v>86</v>
      </c>
      <c r="B111" t="s">
        <v>110</v>
      </c>
      <c r="C111">
        <v>0</v>
      </c>
      <c r="D111">
        <v>1</v>
      </c>
      <c r="E111">
        <v>1</v>
      </c>
      <c r="F111">
        <v>1</v>
      </c>
      <c r="G111">
        <v>1</v>
      </c>
      <c r="H111">
        <v>1</v>
      </c>
      <c r="I111">
        <v>1</v>
      </c>
      <c r="J111">
        <v>1</v>
      </c>
      <c r="K111">
        <v>1</v>
      </c>
      <c r="L111">
        <v>1</v>
      </c>
      <c r="M111">
        <v>1</v>
      </c>
      <c r="N111">
        <v>1</v>
      </c>
      <c r="P111">
        <v>1.4964613914489751</v>
      </c>
    </row>
    <row r="112" spans="1:16" x14ac:dyDescent="0.25">
      <c r="A112" t="s">
        <v>86</v>
      </c>
      <c r="B112" t="s">
        <v>112</v>
      </c>
      <c r="C112">
        <v>0</v>
      </c>
      <c r="D112">
        <v>1</v>
      </c>
      <c r="E112">
        <v>1</v>
      </c>
      <c r="F112">
        <v>1</v>
      </c>
      <c r="G112">
        <v>1</v>
      </c>
      <c r="H112">
        <v>1</v>
      </c>
      <c r="I112">
        <v>1</v>
      </c>
      <c r="J112">
        <v>1</v>
      </c>
      <c r="K112">
        <v>1</v>
      </c>
      <c r="L112">
        <v>1</v>
      </c>
      <c r="M112">
        <v>1</v>
      </c>
      <c r="N112">
        <v>1</v>
      </c>
      <c r="P112">
        <v>1.2269513607025151</v>
      </c>
    </row>
    <row r="113" spans="1:17" x14ac:dyDescent="0.25">
      <c r="A113" t="s">
        <v>86</v>
      </c>
      <c r="B113" t="s">
        <v>113</v>
      </c>
      <c r="C113">
        <v>0</v>
      </c>
      <c r="D113">
        <v>1</v>
      </c>
      <c r="E113">
        <v>1</v>
      </c>
      <c r="F113">
        <v>1</v>
      </c>
      <c r="G113">
        <v>1</v>
      </c>
      <c r="H113">
        <v>1</v>
      </c>
      <c r="I113">
        <v>1</v>
      </c>
      <c r="J113">
        <v>0</v>
      </c>
      <c r="K113">
        <v>1</v>
      </c>
      <c r="L113">
        <v>1</v>
      </c>
      <c r="M113">
        <v>1</v>
      </c>
      <c r="N113">
        <v>1</v>
      </c>
      <c r="O113" t="s">
        <v>163</v>
      </c>
      <c r="P113">
        <v>1.70024561882019</v>
      </c>
    </row>
    <row r="114" spans="1:17" x14ac:dyDescent="0.25">
      <c r="A114" t="s">
        <v>115</v>
      </c>
      <c r="B114" t="s">
        <v>18</v>
      </c>
      <c r="C114">
        <v>0</v>
      </c>
      <c r="D114">
        <v>1</v>
      </c>
      <c r="E114">
        <v>1</v>
      </c>
      <c r="F114">
        <v>1</v>
      </c>
      <c r="G114">
        <v>1</v>
      </c>
      <c r="H114">
        <v>1</v>
      </c>
      <c r="I114">
        <v>1</v>
      </c>
      <c r="J114">
        <v>1</v>
      </c>
      <c r="K114">
        <v>1</v>
      </c>
      <c r="L114">
        <v>1</v>
      </c>
      <c r="M114">
        <v>1</v>
      </c>
      <c r="N114">
        <v>1</v>
      </c>
      <c r="P114">
        <v>1.773252487182617</v>
      </c>
    </row>
    <row r="115" spans="1:17" x14ac:dyDescent="0.25">
      <c r="A115" t="s">
        <v>115</v>
      </c>
      <c r="B115" t="s">
        <v>19</v>
      </c>
      <c r="C115">
        <v>0</v>
      </c>
      <c r="D115">
        <v>1</v>
      </c>
      <c r="E115">
        <v>1</v>
      </c>
      <c r="F115">
        <v>1</v>
      </c>
      <c r="G115">
        <v>0</v>
      </c>
      <c r="H115">
        <v>1</v>
      </c>
      <c r="I115">
        <v>1</v>
      </c>
      <c r="J115">
        <v>1</v>
      </c>
      <c r="K115">
        <v>1</v>
      </c>
      <c r="L115">
        <v>1</v>
      </c>
      <c r="M115">
        <v>1</v>
      </c>
      <c r="N115">
        <v>1</v>
      </c>
      <c r="O115" t="s">
        <v>164</v>
      </c>
      <c r="P115">
        <v>1.7080626487731929</v>
      </c>
    </row>
    <row r="116" spans="1:17" x14ac:dyDescent="0.25">
      <c r="A116" t="s">
        <v>115</v>
      </c>
      <c r="B116" t="s">
        <v>22</v>
      </c>
      <c r="C116">
        <v>0</v>
      </c>
      <c r="D116">
        <v>1</v>
      </c>
      <c r="E116">
        <v>0</v>
      </c>
      <c r="F116">
        <v>1</v>
      </c>
      <c r="G116">
        <v>1</v>
      </c>
      <c r="H116" t="s">
        <v>20</v>
      </c>
      <c r="I116">
        <v>1</v>
      </c>
      <c r="J116" t="s">
        <v>20</v>
      </c>
      <c r="K116">
        <v>1</v>
      </c>
      <c r="L116">
        <v>1</v>
      </c>
      <c r="M116">
        <v>1</v>
      </c>
      <c r="N116">
        <v>1</v>
      </c>
      <c r="O116" t="s">
        <v>165</v>
      </c>
      <c r="P116">
        <v>4.6960546970367432</v>
      </c>
    </row>
    <row r="117" spans="1:17" x14ac:dyDescent="0.25">
      <c r="A117" t="s">
        <v>115</v>
      </c>
      <c r="B117" t="s">
        <v>24</v>
      </c>
      <c r="C117">
        <v>0</v>
      </c>
      <c r="D117">
        <v>1</v>
      </c>
      <c r="E117">
        <v>1</v>
      </c>
      <c r="F117">
        <v>1</v>
      </c>
      <c r="G117">
        <v>1</v>
      </c>
      <c r="H117">
        <v>1</v>
      </c>
      <c r="I117">
        <v>1</v>
      </c>
      <c r="J117">
        <v>1</v>
      </c>
      <c r="K117">
        <v>1</v>
      </c>
      <c r="L117">
        <v>1</v>
      </c>
      <c r="M117">
        <v>1</v>
      </c>
      <c r="N117">
        <v>1</v>
      </c>
      <c r="P117">
        <v>1.287752628326416</v>
      </c>
    </row>
    <row r="118" spans="1:17" x14ac:dyDescent="0.25">
      <c r="A118" t="s">
        <v>115</v>
      </c>
      <c r="B118" t="s">
        <v>25</v>
      </c>
      <c r="C118">
        <v>0</v>
      </c>
      <c r="D118">
        <v>1</v>
      </c>
      <c r="E118">
        <v>1</v>
      </c>
      <c r="F118">
        <v>1</v>
      </c>
      <c r="G118">
        <v>0</v>
      </c>
      <c r="H118">
        <v>1</v>
      </c>
      <c r="I118">
        <v>1</v>
      </c>
      <c r="J118">
        <v>1</v>
      </c>
      <c r="K118">
        <v>1</v>
      </c>
      <c r="L118">
        <v>1</v>
      </c>
      <c r="M118">
        <v>1</v>
      </c>
      <c r="N118">
        <v>1</v>
      </c>
      <c r="O118" t="s">
        <v>166</v>
      </c>
      <c r="P118">
        <v>1.8683845996856689</v>
      </c>
    </row>
    <row r="119" spans="1:17" x14ac:dyDescent="0.25">
      <c r="A119" t="s">
        <v>115</v>
      </c>
      <c r="B119" t="s">
        <v>26</v>
      </c>
      <c r="C119">
        <v>0</v>
      </c>
      <c r="D119">
        <v>1</v>
      </c>
      <c r="E119">
        <v>1</v>
      </c>
      <c r="F119">
        <v>1</v>
      </c>
      <c r="G119">
        <v>1</v>
      </c>
      <c r="H119">
        <v>1</v>
      </c>
      <c r="I119">
        <v>1</v>
      </c>
      <c r="J119">
        <v>1</v>
      </c>
      <c r="K119">
        <v>1</v>
      </c>
      <c r="L119">
        <v>1</v>
      </c>
      <c r="M119">
        <v>1</v>
      </c>
      <c r="N119">
        <v>1</v>
      </c>
      <c r="P119">
        <v>1.4561502933502199</v>
      </c>
    </row>
    <row r="120" spans="1:17" x14ac:dyDescent="0.25">
      <c r="A120" t="s">
        <v>115</v>
      </c>
      <c r="B120" t="s">
        <v>27</v>
      </c>
      <c r="C120">
        <v>0</v>
      </c>
      <c r="D120">
        <v>1</v>
      </c>
      <c r="E120">
        <v>1</v>
      </c>
      <c r="F120">
        <v>1</v>
      </c>
      <c r="G120">
        <v>1</v>
      </c>
      <c r="H120">
        <v>1</v>
      </c>
      <c r="I120">
        <v>1</v>
      </c>
      <c r="J120">
        <v>1</v>
      </c>
      <c r="K120">
        <v>1</v>
      </c>
      <c r="L120">
        <v>1</v>
      </c>
      <c r="M120">
        <v>1</v>
      </c>
      <c r="N120">
        <v>1</v>
      </c>
      <c r="P120">
        <v>2.1732897758483891</v>
      </c>
    </row>
    <row r="121" spans="1:17" x14ac:dyDescent="0.25">
      <c r="A121" t="s">
        <v>115</v>
      </c>
      <c r="B121" t="s">
        <v>29</v>
      </c>
      <c r="C121">
        <v>0</v>
      </c>
      <c r="D121">
        <v>1</v>
      </c>
      <c r="E121">
        <v>1</v>
      </c>
      <c r="F121">
        <v>1</v>
      </c>
      <c r="G121">
        <v>0</v>
      </c>
      <c r="H121">
        <v>1</v>
      </c>
      <c r="I121">
        <v>1</v>
      </c>
      <c r="J121">
        <v>1</v>
      </c>
      <c r="K121">
        <v>1</v>
      </c>
      <c r="L121">
        <v>1</v>
      </c>
      <c r="M121">
        <v>1</v>
      </c>
      <c r="N121">
        <v>1</v>
      </c>
      <c r="O121" t="s">
        <v>167</v>
      </c>
      <c r="P121">
        <v>2.209644079208374</v>
      </c>
    </row>
    <row r="122" spans="1:17" x14ac:dyDescent="0.25">
      <c r="A122" t="s">
        <v>115</v>
      </c>
      <c r="B122" t="s">
        <v>30</v>
      </c>
      <c r="C122">
        <v>0</v>
      </c>
      <c r="D122">
        <v>0</v>
      </c>
      <c r="E122" t="s">
        <v>20</v>
      </c>
      <c r="F122" t="s">
        <v>20</v>
      </c>
      <c r="G122" t="s">
        <v>20</v>
      </c>
      <c r="H122" t="s">
        <v>20</v>
      </c>
      <c r="I122" t="s">
        <v>20</v>
      </c>
      <c r="J122" t="s">
        <v>20</v>
      </c>
      <c r="K122" t="s">
        <v>20</v>
      </c>
      <c r="L122" t="s">
        <v>20</v>
      </c>
      <c r="M122">
        <v>1</v>
      </c>
      <c r="N122" t="s">
        <v>20</v>
      </c>
      <c r="O122" t="s">
        <v>168</v>
      </c>
      <c r="P122">
        <v>4.6943299770355216</v>
      </c>
      <c r="Q122" t="s">
        <v>20</v>
      </c>
    </row>
    <row r="123" spans="1:17" x14ac:dyDescent="0.25">
      <c r="A123" t="s">
        <v>115</v>
      </c>
      <c r="B123" t="s">
        <v>32</v>
      </c>
      <c r="C123">
        <v>0</v>
      </c>
      <c r="D123">
        <v>0</v>
      </c>
      <c r="E123" t="s">
        <v>20</v>
      </c>
      <c r="F123" t="s">
        <v>20</v>
      </c>
      <c r="G123" t="s">
        <v>20</v>
      </c>
      <c r="H123" t="s">
        <v>20</v>
      </c>
      <c r="I123" t="s">
        <v>20</v>
      </c>
      <c r="J123" t="s">
        <v>20</v>
      </c>
      <c r="K123" t="s">
        <v>20</v>
      </c>
      <c r="L123" t="s">
        <v>20</v>
      </c>
      <c r="M123">
        <v>1</v>
      </c>
      <c r="N123" t="s">
        <v>20</v>
      </c>
      <c r="O123" t="s">
        <v>169</v>
      </c>
      <c r="P123">
        <v>3.983908891677856</v>
      </c>
      <c r="Q123" t="s">
        <v>20</v>
      </c>
    </row>
    <row r="124" spans="1:17" x14ac:dyDescent="0.25">
      <c r="A124" t="s">
        <v>115</v>
      </c>
      <c r="B124" t="s">
        <v>33</v>
      </c>
      <c r="C124">
        <v>0</v>
      </c>
      <c r="D124">
        <v>1</v>
      </c>
      <c r="E124">
        <v>0</v>
      </c>
      <c r="F124">
        <v>1</v>
      </c>
      <c r="G124">
        <v>1</v>
      </c>
      <c r="H124" t="s">
        <v>20</v>
      </c>
      <c r="I124">
        <v>1</v>
      </c>
      <c r="J124" t="s">
        <v>20</v>
      </c>
      <c r="K124">
        <v>1</v>
      </c>
      <c r="L124">
        <v>1</v>
      </c>
      <c r="M124">
        <v>0</v>
      </c>
      <c r="N124">
        <v>1</v>
      </c>
      <c r="O124" t="s">
        <v>170</v>
      </c>
      <c r="P124">
        <v>4.9195771217346191</v>
      </c>
    </row>
    <row r="125" spans="1:17" x14ac:dyDescent="0.25">
      <c r="A125" t="s">
        <v>115</v>
      </c>
      <c r="B125" t="s">
        <v>34</v>
      </c>
      <c r="C125">
        <v>0</v>
      </c>
      <c r="D125">
        <v>1</v>
      </c>
      <c r="E125">
        <v>1</v>
      </c>
      <c r="F125">
        <v>1</v>
      </c>
      <c r="G125">
        <v>1</v>
      </c>
      <c r="H125">
        <v>1</v>
      </c>
      <c r="I125">
        <v>1</v>
      </c>
      <c r="J125">
        <v>1</v>
      </c>
      <c r="K125">
        <v>1</v>
      </c>
      <c r="L125">
        <v>1</v>
      </c>
      <c r="M125">
        <v>1</v>
      </c>
      <c r="N125">
        <v>1</v>
      </c>
      <c r="P125">
        <v>1.216130256652832</v>
      </c>
    </row>
    <row r="126" spans="1:17" x14ac:dyDescent="0.25">
      <c r="A126" t="s">
        <v>115</v>
      </c>
      <c r="B126" t="s">
        <v>35</v>
      </c>
      <c r="C126">
        <v>0</v>
      </c>
      <c r="D126">
        <v>1</v>
      </c>
      <c r="E126">
        <v>1</v>
      </c>
      <c r="F126">
        <v>1</v>
      </c>
      <c r="G126">
        <v>1</v>
      </c>
      <c r="H126">
        <v>1</v>
      </c>
      <c r="I126">
        <v>1</v>
      </c>
      <c r="J126">
        <v>1</v>
      </c>
      <c r="K126">
        <v>1</v>
      </c>
      <c r="L126">
        <v>1</v>
      </c>
      <c r="M126">
        <v>1</v>
      </c>
      <c r="N126">
        <v>1</v>
      </c>
      <c r="P126">
        <v>1.256908178329468</v>
      </c>
    </row>
    <row r="127" spans="1:17" x14ac:dyDescent="0.25">
      <c r="A127" t="s">
        <v>115</v>
      </c>
      <c r="B127" t="s">
        <v>37</v>
      </c>
      <c r="C127">
        <v>0</v>
      </c>
      <c r="D127">
        <v>1</v>
      </c>
      <c r="E127">
        <v>1</v>
      </c>
      <c r="F127">
        <v>1</v>
      </c>
      <c r="G127">
        <v>1</v>
      </c>
      <c r="H127">
        <v>1</v>
      </c>
      <c r="I127">
        <v>1</v>
      </c>
      <c r="J127">
        <v>1</v>
      </c>
      <c r="K127">
        <v>1</v>
      </c>
      <c r="L127">
        <v>1</v>
      </c>
      <c r="M127">
        <v>1</v>
      </c>
      <c r="N127">
        <v>1</v>
      </c>
      <c r="P127">
        <v>1.1258068084716799</v>
      </c>
    </row>
    <row r="128" spans="1:17" x14ac:dyDescent="0.25">
      <c r="A128" t="s">
        <v>115</v>
      </c>
      <c r="B128" t="s">
        <v>38</v>
      </c>
      <c r="C128">
        <v>0</v>
      </c>
      <c r="D128">
        <v>1</v>
      </c>
      <c r="E128">
        <v>1</v>
      </c>
      <c r="F128">
        <v>1</v>
      </c>
      <c r="G128">
        <v>1</v>
      </c>
      <c r="H128">
        <v>1</v>
      </c>
      <c r="I128">
        <v>1</v>
      </c>
      <c r="J128">
        <v>1</v>
      </c>
      <c r="K128">
        <v>1</v>
      </c>
      <c r="L128">
        <v>1</v>
      </c>
      <c r="M128">
        <v>1</v>
      </c>
      <c r="N128">
        <v>1</v>
      </c>
      <c r="P128">
        <v>1.64205002784729</v>
      </c>
    </row>
    <row r="129" spans="1:16" x14ac:dyDescent="0.25">
      <c r="A129" t="s">
        <v>115</v>
      </c>
      <c r="B129" t="s">
        <v>39</v>
      </c>
      <c r="C129">
        <v>0</v>
      </c>
      <c r="D129">
        <v>1</v>
      </c>
      <c r="E129">
        <v>1</v>
      </c>
      <c r="F129">
        <v>1</v>
      </c>
      <c r="G129">
        <v>1</v>
      </c>
      <c r="H129">
        <v>1</v>
      </c>
      <c r="I129">
        <v>1</v>
      </c>
      <c r="J129">
        <v>1</v>
      </c>
      <c r="K129">
        <v>1</v>
      </c>
      <c r="L129">
        <v>1</v>
      </c>
      <c r="M129">
        <v>1</v>
      </c>
      <c r="N129">
        <v>1</v>
      </c>
      <c r="P129">
        <v>1.113785028457642</v>
      </c>
    </row>
    <row r="130" spans="1:16" x14ac:dyDescent="0.25">
      <c r="A130" t="s">
        <v>115</v>
      </c>
      <c r="B130" t="s">
        <v>40</v>
      </c>
      <c r="C130">
        <v>0</v>
      </c>
      <c r="D130">
        <v>1</v>
      </c>
      <c r="E130">
        <v>1</v>
      </c>
      <c r="F130">
        <v>1</v>
      </c>
      <c r="G130">
        <v>0</v>
      </c>
      <c r="H130">
        <v>1</v>
      </c>
      <c r="I130">
        <v>1</v>
      </c>
      <c r="J130">
        <v>1</v>
      </c>
      <c r="K130">
        <v>1</v>
      </c>
      <c r="L130">
        <v>1</v>
      </c>
      <c r="M130">
        <v>1</v>
      </c>
      <c r="N130">
        <v>1</v>
      </c>
      <c r="O130" t="s">
        <v>171</v>
      </c>
      <c r="P130">
        <v>2.1360921859741211</v>
      </c>
    </row>
    <row r="131" spans="1:16" x14ac:dyDescent="0.25">
      <c r="A131" t="s">
        <v>115</v>
      </c>
      <c r="B131" t="s">
        <v>41</v>
      </c>
      <c r="C131">
        <v>0</v>
      </c>
      <c r="D131">
        <v>1</v>
      </c>
      <c r="E131">
        <v>1</v>
      </c>
      <c r="F131">
        <v>1</v>
      </c>
      <c r="G131">
        <v>1</v>
      </c>
      <c r="H131">
        <v>1</v>
      </c>
      <c r="I131">
        <v>1</v>
      </c>
      <c r="J131">
        <v>1</v>
      </c>
      <c r="K131">
        <v>1</v>
      </c>
      <c r="L131">
        <v>1</v>
      </c>
      <c r="M131">
        <v>1</v>
      </c>
      <c r="N131">
        <v>1</v>
      </c>
      <c r="P131">
        <v>1.1444635391235349</v>
      </c>
    </row>
    <row r="132" spans="1:16" x14ac:dyDescent="0.25">
      <c r="A132" t="s">
        <v>115</v>
      </c>
      <c r="B132" t="s">
        <v>42</v>
      </c>
      <c r="C132">
        <v>0</v>
      </c>
      <c r="D132">
        <v>1</v>
      </c>
      <c r="E132">
        <v>1</v>
      </c>
      <c r="F132">
        <v>1</v>
      </c>
      <c r="G132">
        <v>1</v>
      </c>
      <c r="H132">
        <v>1</v>
      </c>
      <c r="I132">
        <v>1</v>
      </c>
      <c r="J132">
        <v>1</v>
      </c>
      <c r="K132">
        <v>1</v>
      </c>
      <c r="L132">
        <v>1</v>
      </c>
      <c r="M132">
        <v>1</v>
      </c>
      <c r="N132">
        <v>1</v>
      </c>
      <c r="P132">
        <v>1.095882654190063</v>
      </c>
    </row>
    <row r="133" spans="1:16" x14ac:dyDescent="0.25">
      <c r="A133" t="s">
        <v>115</v>
      </c>
      <c r="B133" t="s">
        <v>43</v>
      </c>
      <c r="C133">
        <v>0</v>
      </c>
      <c r="D133">
        <v>1</v>
      </c>
      <c r="E133">
        <v>1</v>
      </c>
      <c r="F133">
        <v>1</v>
      </c>
      <c r="G133">
        <v>0</v>
      </c>
      <c r="H133">
        <v>1</v>
      </c>
      <c r="I133">
        <v>1</v>
      </c>
      <c r="J133">
        <v>1</v>
      </c>
      <c r="K133">
        <v>1</v>
      </c>
      <c r="L133">
        <v>1</v>
      </c>
      <c r="M133">
        <v>1</v>
      </c>
      <c r="N133">
        <v>1</v>
      </c>
      <c r="O133" t="s">
        <v>172</v>
      </c>
      <c r="P133">
        <v>2.251580953598022</v>
      </c>
    </row>
    <row r="134" spans="1:16" x14ac:dyDescent="0.25">
      <c r="A134" t="s">
        <v>115</v>
      </c>
      <c r="B134" t="s">
        <v>44</v>
      </c>
      <c r="C134">
        <v>0</v>
      </c>
      <c r="D134">
        <v>1</v>
      </c>
      <c r="E134">
        <v>1</v>
      </c>
      <c r="F134">
        <v>1</v>
      </c>
      <c r="G134">
        <v>1</v>
      </c>
      <c r="H134">
        <v>1</v>
      </c>
      <c r="I134">
        <v>1</v>
      </c>
      <c r="J134">
        <v>1</v>
      </c>
      <c r="K134">
        <v>1</v>
      </c>
      <c r="L134">
        <v>1</v>
      </c>
      <c r="M134">
        <v>1</v>
      </c>
      <c r="N134">
        <v>1</v>
      </c>
      <c r="P134">
        <v>1.5664510726928711</v>
      </c>
    </row>
    <row r="135" spans="1:16" x14ac:dyDescent="0.25">
      <c r="A135" t="s">
        <v>115</v>
      </c>
      <c r="B135" t="s">
        <v>45</v>
      </c>
      <c r="C135">
        <v>0</v>
      </c>
      <c r="D135">
        <v>1</v>
      </c>
      <c r="E135">
        <v>1</v>
      </c>
      <c r="F135">
        <v>1</v>
      </c>
      <c r="G135">
        <v>1</v>
      </c>
      <c r="H135">
        <v>1</v>
      </c>
      <c r="I135">
        <v>1</v>
      </c>
      <c r="J135">
        <v>1</v>
      </c>
      <c r="K135">
        <v>1</v>
      </c>
      <c r="L135">
        <v>1</v>
      </c>
      <c r="M135">
        <v>1</v>
      </c>
      <c r="N135">
        <v>1</v>
      </c>
      <c r="P135">
        <v>2.6587989330291748</v>
      </c>
    </row>
    <row r="136" spans="1:16" x14ac:dyDescent="0.25">
      <c r="A136" t="s">
        <v>115</v>
      </c>
      <c r="B136" t="s">
        <v>47</v>
      </c>
      <c r="C136">
        <v>0</v>
      </c>
      <c r="D136">
        <v>1</v>
      </c>
      <c r="E136">
        <v>1</v>
      </c>
      <c r="F136">
        <v>1</v>
      </c>
      <c r="G136">
        <v>1</v>
      </c>
      <c r="H136">
        <v>1</v>
      </c>
      <c r="I136">
        <v>1</v>
      </c>
      <c r="J136">
        <v>1</v>
      </c>
      <c r="K136">
        <v>1</v>
      </c>
      <c r="L136">
        <v>1</v>
      </c>
      <c r="M136">
        <v>1</v>
      </c>
      <c r="N136">
        <v>1</v>
      </c>
      <c r="P136">
        <v>1.5689017772674561</v>
      </c>
    </row>
    <row r="137" spans="1:16" x14ac:dyDescent="0.25">
      <c r="A137" t="s">
        <v>115</v>
      </c>
      <c r="B137" t="s">
        <v>48</v>
      </c>
      <c r="C137">
        <v>0</v>
      </c>
      <c r="D137">
        <v>1</v>
      </c>
      <c r="E137">
        <v>0</v>
      </c>
      <c r="F137">
        <v>1</v>
      </c>
      <c r="G137">
        <v>1</v>
      </c>
      <c r="H137" t="s">
        <v>20</v>
      </c>
      <c r="I137">
        <v>1</v>
      </c>
      <c r="J137" t="s">
        <v>20</v>
      </c>
      <c r="K137">
        <v>1</v>
      </c>
      <c r="L137">
        <v>1</v>
      </c>
      <c r="M137">
        <v>1</v>
      </c>
      <c r="N137">
        <v>1</v>
      </c>
      <c r="O137" t="s">
        <v>173</v>
      </c>
      <c r="P137">
        <v>2.2825696468353271</v>
      </c>
    </row>
    <row r="138" spans="1:16" x14ac:dyDescent="0.25">
      <c r="A138" t="s">
        <v>115</v>
      </c>
      <c r="B138" t="s">
        <v>50</v>
      </c>
      <c r="C138">
        <v>0</v>
      </c>
      <c r="D138">
        <v>1</v>
      </c>
      <c r="E138">
        <v>1</v>
      </c>
      <c r="F138">
        <v>1</v>
      </c>
      <c r="G138">
        <v>1</v>
      </c>
      <c r="H138">
        <v>1</v>
      </c>
      <c r="I138">
        <v>1</v>
      </c>
      <c r="J138">
        <v>1</v>
      </c>
      <c r="K138">
        <v>1</v>
      </c>
      <c r="L138">
        <v>1</v>
      </c>
      <c r="M138">
        <v>1</v>
      </c>
      <c r="N138">
        <v>1</v>
      </c>
      <c r="P138">
        <v>1.110775947570801</v>
      </c>
    </row>
    <row r="139" spans="1:16" x14ac:dyDescent="0.25">
      <c r="A139" t="s">
        <v>115</v>
      </c>
      <c r="B139" t="s">
        <v>51</v>
      </c>
      <c r="C139">
        <v>0</v>
      </c>
      <c r="D139">
        <v>1</v>
      </c>
      <c r="E139">
        <v>1</v>
      </c>
      <c r="F139">
        <v>1</v>
      </c>
      <c r="G139">
        <v>1</v>
      </c>
      <c r="H139">
        <v>1</v>
      </c>
      <c r="I139">
        <v>1</v>
      </c>
      <c r="J139">
        <v>1</v>
      </c>
      <c r="K139">
        <v>1</v>
      </c>
      <c r="L139">
        <v>1</v>
      </c>
      <c r="M139">
        <v>0</v>
      </c>
      <c r="N139">
        <v>1</v>
      </c>
      <c r="O139" t="s">
        <v>174</v>
      </c>
      <c r="P139">
        <v>4.1691012382507324</v>
      </c>
    </row>
    <row r="140" spans="1:16" x14ac:dyDescent="0.25">
      <c r="A140" t="s">
        <v>115</v>
      </c>
      <c r="B140" t="s">
        <v>53</v>
      </c>
      <c r="C140">
        <v>0</v>
      </c>
      <c r="D140">
        <v>1</v>
      </c>
      <c r="E140">
        <v>1</v>
      </c>
      <c r="F140">
        <v>1</v>
      </c>
      <c r="G140">
        <v>1</v>
      </c>
      <c r="H140">
        <v>1</v>
      </c>
      <c r="I140">
        <v>1</v>
      </c>
      <c r="J140">
        <v>1</v>
      </c>
      <c r="K140">
        <v>1</v>
      </c>
      <c r="L140">
        <v>1</v>
      </c>
      <c r="M140">
        <v>1</v>
      </c>
      <c r="N140">
        <v>1</v>
      </c>
      <c r="P140">
        <v>1.712460517883301</v>
      </c>
    </row>
    <row r="141" spans="1:16" x14ac:dyDescent="0.25">
      <c r="A141" t="s">
        <v>115</v>
      </c>
      <c r="B141" t="s">
        <v>55</v>
      </c>
      <c r="C141">
        <v>0</v>
      </c>
      <c r="D141">
        <v>1</v>
      </c>
      <c r="E141">
        <v>1</v>
      </c>
      <c r="F141">
        <v>1</v>
      </c>
      <c r="G141">
        <v>1</v>
      </c>
      <c r="H141">
        <v>1</v>
      </c>
      <c r="I141">
        <v>1</v>
      </c>
      <c r="J141">
        <v>1</v>
      </c>
      <c r="K141">
        <v>1</v>
      </c>
      <c r="L141">
        <v>1</v>
      </c>
      <c r="M141">
        <v>1</v>
      </c>
      <c r="N141">
        <v>1</v>
      </c>
      <c r="P141">
        <v>1.482694149017334</v>
      </c>
    </row>
    <row r="142" spans="1:16" x14ac:dyDescent="0.25">
      <c r="A142" t="s">
        <v>115</v>
      </c>
      <c r="B142" t="s">
        <v>56</v>
      </c>
      <c r="C142">
        <v>0</v>
      </c>
      <c r="D142">
        <v>1</v>
      </c>
      <c r="E142">
        <v>1</v>
      </c>
      <c r="F142">
        <v>1</v>
      </c>
      <c r="G142">
        <v>1</v>
      </c>
      <c r="H142">
        <v>1</v>
      </c>
      <c r="I142">
        <v>1</v>
      </c>
      <c r="J142">
        <v>1</v>
      </c>
      <c r="K142">
        <v>1</v>
      </c>
      <c r="L142">
        <v>1</v>
      </c>
      <c r="M142">
        <v>1</v>
      </c>
      <c r="N142">
        <v>1</v>
      </c>
      <c r="P142">
        <v>1.2715079784393311</v>
      </c>
    </row>
    <row r="143" spans="1:16" x14ac:dyDescent="0.25">
      <c r="A143" t="s">
        <v>115</v>
      </c>
      <c r="B143" t="s">
        <v>58</v>
      </c>
      <c r="C143">
        <v>0</v>
      </c>
      <c r="D143">
        <v>1</v>
      </c>
      <c r="E143">
        <v>1</v>
      </c>
      <c r="F143">
        <v>1</v>
      </c>
      <c r="G143">
        <v>1</v>
      </c>
      <c r="H143">
        <v>1</v>
      </c>
      <c r="I143">
        <v>1</v>
      </c>
      <c r="J143">
        <v>1</v>
      </c>
      <c r="K143">
        <v>1</v>
      </c>
      <c r="L143">
        <v>1</v>
      </c>
      <c r="M143">
        <v>1</v>
      </c>
      <c r="N143">
        <v>1</v>
      </c>
      <c r="P143">
        <v>1.5894618034362791</v>
      </c>
    </row>
    <row r="144" spans="1:16" x14ac:dyDescent="0.25">
      <c r="A144" t="s">
        <v>115</v>
      </c>
      <c r="B144" t="s">
        <v>60</v>
      </c>
      <c r="C144">
        <v>0</v>
      </c>
      <c r="D144">
        <v>1</v>
      </c>
      <c r="E144">
        <v>1</v>
      </c>
      <c r="F144">
        <v>1</v>
      </c>
      <c r="G144">
        <v>1</v>
      </c>
      <c r="H144">
        <v>1</v>
      </c>
      <c r="I144">
        <v>1</v>
      </c>
      <c r="J144">
        <v>1</v>
      </c>
      <c r="K144">
        <v>1</v>
      </c>
      <c r="L144">
        <v>1</v>
      </c>
      <c r="M144">
        <v>1</v>
      </c>
      <c r="N144">
        <v>1</v>
      </c>
      <c r="P144">
        <v>1.291613817214966</v>
      </c>
    </row>
    <row r="145" spans="1:17" x14ac:dyDescent="0.25">
      <c r="A145" t="s">
        <v>115</v>
      </c>
      <c r="B145" t="s">
        <v>62</v>
      </c>
      <c r="C145">
        <v>0</v>
      </c>
      <c r="D145">
        <v>1</v>
      </c>
      <c r="E145">
        <v>1</v>
      </c>
      <c r="F145">
        <v>1</v>
      </c>
      <c r="G145">
        <v>1</v>
      </c>
      <c r="H145">
        <v>1</v>
      </c>
      <c r="I145">
        <v>1</v>
      </c>
      <c r="J145">
        <v>1</v>
      </c>
      <c r="K145">
        <v>1</v>
      </c>
      <c r="L145">
        <v>1</v>
      </c>
      <c r="M145">
        <v>1</v>
      </c>
      <c r="N145">
        <v>1</v>
      </c>
      <c r="P145">
        <v>1.7263023853302</v>
      </c>
    </row>
    <row r="146" spans="1:17" x14ac:dyDescent="0.25">
      <c r="A146" t="s">
        <v>115</v>
      </c>
      <c r="B146" t="s">
        <v>63</v>
      </c>
      <c r="C146">
        <v>0</v>
      </c>
      <c r="D146">
        <v>1</v>
      </c>
      <c r="E146">
        <v>1</v>
      </c>
      <c r="F146">
        <v>1</v>
      </c>
      <c r="G146">
        <v>1</v>
      </c>
      <c r="H146">
        <v>1</v>
      </c>
      <c r="I146">
        <v>1</v>
      </c>
      <c r="J146">
        <v>1</v>
      </c>
      <c r="K146">
        <v>1</v>
      </c>
      <c r="L146">
        <v>1</v>
      </c>
      <c r="M146">
        <v>1</v>
      </c>
      <c r="N146">
        <v>1</v>
      </c>
      <c r="P146">
        <v>2.1387279033660889</v>
      </c>
    </row>
    <row r="147" spans="1:17" x14ac:dyDescent="0.25">
      <c r="A147" t="s">
        <v>115</v>
      </c>
      <c r="B147" t="s">
        <v>65</v>
      </c>
      <c r="C147">
        <v>0</v>
      </c>
      <c r="D147">
        <v>1</v>
      </c>
      <c r="E147">
        <v>1</v>
      </c>
      <c r="F147">
        <v>1</v>
      </c>
      <c r="G147">
        <v>0</v>
      </c>
      <c r="H147">
        <v>1</v>
      </c>
      <c r="I147">
        <v>1</v>
      </c>
      <c r="J147">
        <v>1</v>
      </c>
      <c r="K147">
        <v>1</v>
      </c>
      <c r="L147">
        <v>1</v>
      </c>
      <c r="M147">
        <v>1</v>
      </c>
      <c r="N147">
        <v>1</v>
      </c>
      <c r="O147" t="s">
        <v>175</v>
      </c>
      <c r="P147">
        <v>3.272376537322998</v>
      </c>
    </row>
    <row r="148" spans="1:17" x14ac:dyDescent="0.25">
      <c r="A148" t="s">
        <v>115</v>
      </c>
      <c r="B148" t="s">
        <v>66</v>
      </c>
      <c r="C148">
        <v>0</v>
      </c>
      <c r="D148">
        <v>1</v>
      </c>
      <c r="E148">
        <v>1</v>
      </c>
      <c r="F148">
        <v>1</v>
      </c>
      <c r="G148">
        <v>1</v>
      </c>
      <c r="H148">
        <v>1</v>
      </c>
      <c r="I148">
        <v>1</v>
      </c>
      <c r="J148">
        <v>1</v>
      </c>
      <c r="K148">
        <v>1</v>
      </c>
      <c r="L148">
        <v>1</v>
      </c>
      <c r="M148">
        <v>1</v>
      </c>
      <c r="N148">
        <v>1</v>
      </c>
      <c r="P148">
        <v>1.188447952270508</v>
      </c>
    </row>
    <row r="149" spans="1:17" x14ac:dyDescent="0.25">
      <c r="A149" t="s">
        <v>115</v>
      </c>
      <c r="B149" t="s">
        <v>67</v>
      </c>
      <c r="C149">
        <v>0</v>
      </c>
      <c r="D149">
        <v>1</v>
      </c>
      <c r="E149">
        <v>1</v>
      </c>
      <c r="F149">
        <v>1</v>
      </c>
      <c r="G149">
        <v>1</v>
      </c>
      <c r="H149">
        <v>1</v>
      </c>
      <c r="I149">
        <v>1</v>
      </c>
      <c r="J149">
        <v>1</v>
      </c>
      <c r="K149">
        <v>1</v>
      </c>
      <c r="L149">
        <v>1</v>
      </c>
      <c r="M149">
        <v>1</v>
      </c>
      <c r="N149">
        <v>1</v>
      </c>
      <c r="P149">
        <v>1.787371158599854</v>
      </c>
    </row>
    <row r="150" spans="1:17" x14ac:dyDescent="0.25">
      <c r="A150" t="s">
        <v>115</v>
      </c>
      <c r="B150" t="s">
        <v>68</v>
      </c>
      <c r="C150">
        <v>0</v>
      </c>
      <c r="D150">
        <v>1</v>
      </c>
      <c r="E150">
        <v>1</v>
      </c>
      <c r="F150">
        <v>1</v>
      </c>
      <c r="G150">
        <v>1</v>
      </c>
      <c r="H150">
        <v>1</v>
      </c>
      <c r="I150">
        <v>1</v>
      </c>
      <c r="J150">
        <v>1</v>
      </c>
      <c r="K150">
        <v>1</v>
      </c>
      <c r="L150">
        <v>1</v>
      </c>
      <c r="M150">
        <v>1</v>
      </c>
      <c r="N150">
        <v>1</v>
      </c>
      <c r="P150">
        <v>1.873997688293457</v>
      </c>
    </row>
    <row r="151" spans="1:17" x14ac:dyDescent="0.25">
      <c r="A151" t="s">
        <v>115</v>
      </c>
      <c r="B151" t="s">
        <v>69</v>
      </c>
      <c r="C151">
        <v>0</v>
      </c>
      <c r="D151">
        <v>1</v>
      </c>
      <c r="E151">
        <v>1</v>
      </c>
      <c r="F151">
        <v>1</v>
      </c>
      <c r="G151">
        <v>1</v>
      </c>
      <c r="H151">
        <v>1</v>
      </c>
      <c r="I151">
        <v>1</v>
      </c>
      <c r="J151">
        <v>1</v>
      </c>
      <c r="K151">
        <v>1</v>
      </c>
      <c r="L151">
        <v>1</v>
      </c>
      <c r="M151">
        <v>1</v>
      </c>
      <c r="N151">
        <v>1</v>
      </c>
      <c r="P151">
        <v>1.1476519107818599</v>
      </c>
    </row>
    <row r="152" spans="1:17" x14ac:dyDescent="0.25">
      <c r="A152" t="s">
        <v>115</v>
      </c>
      <c r="B152" t="s">
        <v>71</v>
      </c>
      <c r="C152">
        <v>0</v>
      </c>
      <c r="D152">
        <v>1</v>
      </c>
      <c r="E152">
        <v>1</v>
      </c>
      <c r="F152">
        <v>1</v>
      </c>
      <c r="G152">
        <v>1</v>
      </c>
      <c r="H152">
        <v>1</v>
      </c>
      <c r="I152">
        <v>1</v>
      </c>
      <c r="J152">
        <v>1</v>
      </c>
      <c r="K152">
        <v>1</v>
      </c>
      <c r="L152">
        <v>1</v>
      </c>
      <c r="M152">
        <v>1</v>
      </c>
      <c r="N152">
        <v>1</v>
      </c>
      <c r="P152">
        <v>1.7776880264282231</v>
      </c>
    </row>
    <row r="153" spans="1:17" x14ac:dyDescent="0.25">
      <c r="A153" t="s">
        <v>115</v>
      </c>
      <c r="B153" t="s">
        <v>73</v>
      </c>
      <c r="C153">
        <v>0</v>
      </c>
      <c r="D153">
        <v>1</v>
      </c>
      <c r="E153">
        <v>1</v>
      </c>
      <c r="F153">
        <v>1</v>
      </c>
      <c r="G153">
        <v>1</v>
      </c>
      <c r="H153">
        <v>1</v>
      </c>
      <c r="I153">
        <v>1</v>
      </c>
      <c r="J153">
        <v>1</v>
      </c>
      <c r="K153">
        <v>1</v>
      </c>
      <c r="L153">
        <v>1</v>
      </c>
      <c r="M153">
        <v>1</v>
      </c>
      <c r="N153">
        <v>1</v>
      </c>
      <c r="P153">
        <v>2.2863187789916992</v>
      </c>
    </row>
    <row r="154" spans="1:17" x14ac:dyDescent="0.25">
      <c r="A154" t="s">
        <v>115</v>
      </c>
      <c r="B154" t="s">
        <v>75</v>
      </c>
      <c r="C154">
        <v>0</v>
      </c>
      <c r="D154">
        <v>1</v>
      </c>
      <c r="E154">
        <v>1</v>
      </c>
      <c r="F154">
        <v>1</v>
      </c>
      <c r="G154">
        <v>1</v>
      </c>
      <c r="H154">
        <v>1</v>
      </c>
      <c r="I154">
        <v>1</v>
      </c>
      <c r="J154">
        <v>1</v>
      </c>
      <c r="K154">
        <v>1</v>
      </c>
      <c r="L154">
        <v>1</v>
      </c>
      <c r="M154">
        <v>1</v>
      </c>
      <c r="N154">
        <v>1</v>
      </c>
      <c r="P154">
        <v>1.1841578483581541</v>
      </c>
    </row>
    <row r="155" spans="1:17" x14ac:dyDescent="0.25">
      <c r="A155" t="s">
        <v>115</v>
      </c>
      <c r="B155" t="s">
        <v>77</v>
      </c>
      <c r="C155">
        <v>0</v>
      </c>
      <c r="D155">
        <v>0</v>
      </c>
      <c r="E155" t="s">
        <v>20</v>
      </c>
      <c r="F155" t="s">
        <v>20</v>
      </c>
      <c r="G155" t="s">
        <v>20</v>
      </c>
      <c r="H155" t="s">
        <v>20</v>
      </c>
      <c r="I155" t="s">
        <v>20</v>
      </c>
      <c r="J155" t="s">
        <v>20</v>
      </c>
      <c r="K155" t="s">
        <v>20</v>
      </c>
      <c r="L155" t="s">
        <v>20</v>
      </c>
      <c r="M155">
        <v>1</v>
      </c>
      <c r="N155" t="s">
        <v>20</v>
      </c>
      <c r="O155" t="s">
        <v>176</v>
      </c>
      <c r="P155">
        <v>5.8340551853179932</v>
      </c>
      <c r="Q155" t="s">
        <v>20</v>
      </c>
    </row>
    <row r="156" spans="1:17" x14ac:dyDescent="0.25">
      <c r="A156" t="s">
        <v>115</v>
      </c>
      <c r="B156" t="s">
        <v>78</v>
      </c>
      <c r="C156">
        <v>0</v>
      </c>
      <c r="D156">
        <v>1</v>
      </c>
      <c r="E156">
        <v>1</v>
      </c>
      <c r="F156">
        <v>1</v>
      </c>
      <c r="G156">
        <v>1</v>
      </c>
      <c r="H156">
        <v>1</v>
      </c>
      <c r="I156">
        <v>1</v>
      </c>
      <c r="J156">
        <v>1</v>
      </c>
      <c r="K156">
        <v>1</v>
      </c>
      <c r="L156">
        <v>1</v>
      </c>
      <c r="M156">
        <v>1</v>
      </c>
      <c r="N156">
        <v>1</v>
      </c>
      <c r="P156">
        <v>3.895905733108521</v>
      </c>
    </row>
    <row r="157" spans="1:17" x14ac:dyDescent="0.25">
      <c r="A157" t="s">
        <v>115</v>
      </c>
      <c r="B157" t="s">
        <v>79</v>
      </c>
      <c r="C157">
        <v>0</v>
      </c>
      <c r="D157">
        <v>1</v>
      </c>
      <c r="E157">
        <v>1</v>
      </c>
      <c r="F157">
        <v>1</v>
      </c>
      <c r="G157">
        <v>1</v>
      </c>
      <c r="H157">
        <v>1</v>
      </c>
      <c r="I157">
        <v>1</v>
      </c>
      <c r="J157">
        <v>1</v>
      </c>
      <c r="K157">
        <v>1</v>
      </c>
      <c r="L157">
        <v>1</v>
      </c>
      <c r="M157">
        <v>1</v>
      </c>
      <c r="N157">
        <v>1</v>
      </c>
      <c r="P157">
        <v>1.2141709327697749</v>
      </c>
    </row>
    <row r="158" spans="1:17" x14ac:dyDescent="0.25">
      <c r="A158" t="s">
        <v>115</v>
      </c>
      <c r="B158" t="s">
        <v>80</v>
      </c>
      <c r="C158">
        <v>0</v>
      </c>
      <c r="D158">
        <v>1</v>
      </c>
      <c r="E158">
        <v>1</v>
      </c>
      <c r="F158">
        <v>1</v>
      </c>
      <c r="G158">
        <v>1</v>
      </c>
      <c r="H158">
        <v>1</v>
      </c>
      <c r="I158">
        <v>1</v>
      </c>
      <c r="J158">
        <v>1</v>
      </c>
      <c r="K158">
        <v>1</v>
      </c>
      <c r="L158">
        <v>1</v>
      </c>
      <c r="M158">
        <v>1</v>
      </c>
      <c r="N158">
        <v>1</v>
      </c>
      <c r="P158">
        <v>1.7492222785949709</v>
      </c>
    </row>
    <row r="159" spans="1:17" x14ac:dyDescent="0.25">
      <c r="A159" t="s">
        <v>115</v>
      </c>
      <c r="B159" t="s">
        <v>81</v>
      </c>
      <c r="C159">
        <v>0</v>
      </c>
      <c r="D159">
        <v>1</v>
      </c>
      <c r="E159">
        <v>1</v>
      </c>
      <c r="F159">
        <v>1</v>
      </c>
      <c r="G159">
        <v>1</v>
      </c>
      <c r="H159">
        <v>1</v>
      </c>
      <c r="I159">
        <v>1</v>
      </c>
      <c r="J159">
        <v>1</v>
      </c>
      <c r="K159">
        <v>1</v>
      </c>
      <c r="L159">
        <v>1</v>
      </c>
      <c r="M159">
        <v>1</v>
      </c>
      <c r="N159">
        <v>1</v>
      </c>
      <c r="P159">
        <v>1.863594770431519</v>
      </c>
    </row>
    <row r="160" spans="1:17" x14ac:dyDescent="0.25">
      <c r="A160" t="s">
        <v>115</v>
      </c>
      <c r="B160" t="s">
        <v>82</v>
      </c>
      <c r="C160">
        <v>0</v>
      </c>
      <c r="D160">
        <v>1</v>
      </c>
      <c r="E160">
        <v>1</v>
      </c>
      <c r="F160">
        <v>1</v>
      </c>
      <c r="G160">
        <v>1</v>
      </c>
      <c r="H160">
        <v>1</v>
      </c>
      <c r="I160">
        <v>1</v>
      </c>
      <c r="J160">
        <v>1</v>
      </c>
      <c r="K160">
        <v>1</v>
      </c>
      <c r="L160">
        <v>1</v>
      </c>
      <c r="M160">
        <v>1</v>
      </c>
      <c r="N160">
        <v>1</v>
      </c>
      <c r="P160">
        <v>1.167724132537842</v>
      </c>
    </row>
    <row r="161" spans="1:16" x14ac:dyDescent="0.25">
      <c r="A161" t="s">
        <v>115</v>
      </c>
      <c r="B161" t="s">
        <v>83</v>
      </c>
      <c r="C161">
        <v>0</v>
      </c>
      <c r="D161">
        <v>1</v>
      </c>
      <c r="E161">
        <v>1</v>
      </c>
      <c r="F161">
        <v>1</v>
      </c>
      <c r="G161">
        <v>1</v>
      </c>
      <c r="H161">
        <v>1</v>
      </c>
      <c r="I161">
        <v>1</v>
      </c>
      <c r="J161">
        <v>1</v>
      </c>
      <c r="K161">
        <v>1</v>
      </c>
      <c r="L161">
        <v>1</v>
      </c>
      <c r="M161">
        <v>1</v>
      </c>
      <c r="N161">
        <v>1</v>
      </c>
      <c r="P161">
        <v>1.7027566432952881</v>
      </c>
    </row>
    <row r="162" spans="1:16" x14ac:dyDescent="0.25">
      <c r="A162" t="s">
        <v>115</v>
      </c>
      <c r="B162" t="s">
        <v>85</v>
      </c>
      <c r="C162">
        <v>0</v>
      </c>
      <c r="D162">
        <v>1</v>
      </c>
      <c r="E162">
        <v>1</v>
      </c>
      <c r="F162">
        <v>1</v>
      </c>
      <c r="G162">
        <v>1</v>
      </c>
      <c r="H162">
        <v>1</v>
      </c>
      <c r="I162">
        <v>1</v>
      </c>
      <c r="J162">
        <v>1</v>
      </c>
      <c r="K162">
        <v>1</v>
      </c>
      <c r="L162">
        <v>1</v>
      </c>
      <c r="M162">
        <v>1</v>
      </c>
      <c r="N162">
        <v>1</v>
      </c>
      <c r="P162">
        <v>1.1708464622497561</v>
      </c>
    </row>
    <row r="163" spans="1:16" x14ac:dyDescent="0.25">
      <c r="A163" t="s">
        <v>115</v>
      </c>
      <c r="B163" t="s">
        <v>98</v>
      </c>
      <c r="C163">
        <v>0</v>
      </c>
      <c r="D163">
        <v>1</v>
      </c>
      <c r="E163">
        <v>1</v>
      </c>
      <c r="F163">
        <v>1</v>
      </c>
      <c r="G163">
        <v>1</v>
      </c>
      <c r="H163">
        <v>1</v>
      </c>
      <c r="I163">
        <v>1</v>
      </c>
      <c r="J163">
        <v>1</v>
      </c>
      <c r="K163">
        <v>1</v>
      </c>
      <c r="L163">
        <v>1</v>
      </c>
      <c r="M163">
        <v>1</v>
      </c>
      <c r="N163">
        <v>1</v>
      </c>
      <c r="P163">
        <v>1.1368775367736821</v>
      </c>
    </row>
    <row r="164" spans="1:16" x14ac:dyDescent="0.25">
      <c r="A164" t="s">
        <v>115</v>
      </c>
      <c r="B164" t="s">
        <v>99</v>
      </c>
      <c r="C164">
        <v>0</v>
      </c>
      <c r="D164">
        <v>1</v>
      </c>
      <c r="E164">
        <v>1</v>
      </c>
      <c r="F164">
        <v>1</v>
      </c>
      <c r="G164">
        <v>1</v>
      </c>
      <c r="H164">
        <v>1</v>
      </c>
      <c r="I164">
        <v>1</v>
      </c>
      <c r="J164">
        <v>1</v>
      </c>
      <c r="K164">
        <v>1</v>
      </c>
      <c r="L164">
        <v>1</v>
      </c>
      <c r="M164">
        <v>1</v>
      </c>
      <c r="N164">
        <v>1</v>
      </c>
      <c r="P164">
        <v>1.2330813407897949</v>
      </c>
    </row>
    <row r="165" spans="1:16" x14ac:dyDescent="0.25">
      <c r="A165" t="s">
        <v>115</v>
      </c>
      <c r="B165" t="s">
        <v>100</v>
      </c>
      <c r="C165">
        <v>0</v>
      </c>
      <c r="D165">
        <v>1</v>
      </c>
      <c r="E165">
        <v>1</v>
      </c>
      <c r="F165">
        <v>1</v>
      </c>
      <c r="G165">
        <v>1</v>
      </c>
      <c r="H165">
        <v>1</v>
      </c>
      <c r="I165">
        <v>1</v>
      </c>
      <c r="J165">
        <v>1</v>
      </c>
      <c r="K165">
        <v>1</v>
      </c>
      <c r="L165">
        <v>1</v>
      </c>
      <c r="M165">
        <v>1</v>
      </c>
      <c r="N165">
        <v>1</v>
      </c>
      <c r="P165">
        <v>1.207436084747314</v>
      </c>
    </row>
    <row r="166" spans="1:16" x14ac:dyDescent="0.25">
      <c r="A166" t="s">
        <v>115</v>
      </c>
      <c r="B166" t="s">
        <v>101</v>
      </c>
      <c r="C166">
        <v>0</v>
      </c>
      <c r="D166">
        <v>1</v>
      </c>
      <c r="E166">
        <v>1</v>
      </c>
      <c r="F166">
        <v>1</v>
      </c>
      <c r="G166">
        <v>1</v>
      </c>
      <c r="H166">
        <v>1</v>
      </c>
      <c r="I166">
        <v>1</v>
      </c>
      <c r="J166">
        <v>1</v>
      </c>
      <c r="K166">
        <v>1</v>
      </c>
      <c r="L166">
        <v>1</v>
      </c>
      <c r="M166">
        <v>1</v>
      </c>
      <c r="N166">
        <v>1</v>
      </c>
      <c r="P166">
        <v>1.3100407123565669</v>
      </c>
    </row>
    <row r="167" spans="1:16" x14ac:dyDescent="0.25">
      <c r="A167" t="s">
        <v>115</v>
      </c>
      <c r="B167" t="s">
        <v>102</v>
      </c>
      <c r="C167">
        <v>0</v>
      </c>
      <c r="D167">
        <v>1</v>
      </c>
      <c r="E167">
        <v>1</v>
      </c>
      <c r="F167">
        <v>1</v>
      </c>
      <c r="G167">
        <v>1</v>
      </c>
      <c r="H167">
        <v>1</v>
      </c>
      <c r="I167">
        <v>1</v>
      </c>
      <c r="J167">
        <v>1</v>
      </c>
      <c r="K167">
        <v>1</v>
      </c>
      <c r="L167">
        <v>1</v>
      </c>
      <c r="M167">
        <v>1</v>
      </c>
      <c r="N167">
        <v>1</v>
      </c>
      <c r="P167">
        <v>1.1308577060699461</v>
      </c>
    </row>
    <row r="168" spans="1:16" x14ac:dyDescent="0.25">
      <c r="A168" t="s">
        <v>115</v>
      </c>
      <c r="B168" t="s">
        <v>104</v>
      </c>
      <c r="C168">
        <v>0</v>
      </c>
      <c r="D168">
        <v>1</v>
      </c>
      <c r="E168">
        <v>1</v>
      </c>
      <c r="F168">
        <v>1</v>
      </c>
      <c r="G168">
        <v>1</v>
      </c>
      <c r="H168">
        <v>1</v>
      </c>
      <c r="I168">
        <v>1</v>
      </c>
      <c r="J168">
        <v>1</v>
      </c>
      <c r="K168">
        <v>1</v>
      </c>
      <c r="L168">
        <v>1</v>
      </c>
      <c r="M168">
        <v>1</v>
      </c>
      <c r="N168">
        <v>1</v>
      </c>
      <c r="P168">
        <v>1.6840028762817381</v>
      </c>
    </row>
    <row r="169" spans="1:16" x14ac:dyDescent="0.25">
      <c r="A169" t="s">
        <v>115</v>
      </c>
      <c r="B169" t="s">
        <v>105</v>
      </c>
      <c r="C169">
        <v>0</v>
      </c>
      <c r="D169">
        <v>1</v>
      </c>
      <c r="E169">
        <v>1</v>
      </c>
      <c r="F169">
        <v>1</v>
      </c>
      <c r="G169">
        <v>1</v>
      </c>
      <c r="H169">
        <v>1</v>
      </c>
      <c r="I169">
        <v>1</v>
      </c>
      <c r="J169">
        <v>1</v>
      </c>
      <c r="K169">
        <v>1</v>
      </c>
      <c r="L169">
        <v>1</v>
      </c>
      <c r="M169">
        <v>1</v>
      </c>
      <c r="N169">
        <v>1</v>
      </c>
      <c r="P169">
        <v>1.223652839660645</v>
      </c>
    </row>
    <row r="170" spans="1:16" x14ac:dyDescent="0.25">
      <c r="A170" t="s">
        <v>115</v>
      </c>
      <c r="B170" t="s">
        <v>106</v>
      </c>
      <c r="C170">
        <v>0</v>
      </c>
      <c r="D170">
        <v>1</v>
      </c>
      <c r="E170">
        <v>1</v>
      </c>
      <c r="F170">
        <v>1</v>
      </c>
      <c r="G170">
        <v>1</v>
      </c>
      <c r="H170">
        <v>1</v>
      </c>
      <c r="I170">
        <v>1</v>
      </c>
      <c r="J170">
        <v>0</v>
      </c>
      <c r="K170">
        <v>1</v>
      </c>
      <c r="L170">
        <v>1</v>
      </c>
      <c r="M170">
        <v>1</v>
      </c>
      <c r="N170">
        <v>1</v>
      </c>
      <c r="O170" t="s">
        <v>177</v>
      </c>
      <c r="P170">
        <v>1.796754121780396</v>
      </c>
    </row>
    <row r="171" spans="1:16" x14ac:dyDescent="0.25">
      <c r="A171" t="s">
        <v>115</v>
      </c>
      <c r="B171" t="s">
        <v>107</v>
      </c>
      <c r="C171">
        <v>0</v>
      </c>
      <c r="D171">
        <v>1</v>
      </c>
      <c r="E171">
        <v>1</v>
      </c>
      <c r="F171">
        <v>1</v>
      </c>
      <c r="G171">
        <v>1</v>
      </c>
      <c r="H171">
        <v>1</v>
      </c>
      <c r="I171">
        <v>1</v>
      </c>
      <c r="J171">
        <v>1</v>
      </c>
      <c r="K171">
        <v>1</v>
      </c>
      <c r="L171">
        <v>1</v>
      </c>
      <c r="M171">
        <v>1</v>
      </c>
      <c r="N171">
        <v>1</v>
      </c>
      <c r="P171">
        <v>1.2412476539611821</v>
      </c>
    </row>
    <row r="172" spans="1:16" x14ac:dyDescent="0.25">
      <c r="A172" t="s">
        <v>115</v>
      </c>
      <c r="B172" t="s">
        <v>108</v>
      </c>
      <c r="C172">
        <v>0</v>
      </c>
      <c r="D172">
        <v>1</v>
      </c>
      <c r="E172">
        <v>1</v>
      </c>
      <c r="F172">
        <v>1</v>
      </c>
      <c r="G172">
        <v>1</v>
      </c>
      <c r="H172">
        <v>1</v>
      </c>
      <c r="I172">
        <v>1</v>
      </c>
      <c r="J172">
        <v>1</v>
      </c>
      <c r="K172">
        <v>1</v>
      </c>
      <c r="L172">
        <v>1</v>
      </c>
      <c r="M172">
        <v>1</v>
      </c>
      <c r="N172">
        <v>1</v>
      </c>
      <c r="P172">
        <v>2.5145819187164311</v>
      </c>
    </row>
    <row r="173" spans="1:16" x14ac:dyDescent="0.25">
      <c r="A173" t="s">
        <v>115</v>
      </c>
      <c r="B173" t="s">
        <v>109</v>
      </c>
      <c r="C173">
        <v>0</v>
      </c>
      <c r="D173">
        <v>1</v>
      </c>
      <c r="E173">
        <v>1</v>
      </c>
      <c r="F173">
        <v>1</v>
      </c>
      <c r="G173">
        <v>1</v>
      </c>
      <c r="H173">
        <v>1</v>
      </c>
      <c r="I173">
        <v>1</v>
      </c>
      <c r="J173">
        <v>1</v>
      </c>
      <c r="K173">
        <v>1</v>
      </c>
      <c r="L173">
        <v>1</v>
      </c>
      <c r="M173">
        <v>1</v>
      </c>
      <c r="N173">
        <v>1</v>
      </c>
      <c r="P173">
        <v>1.3259508609771731</v>
      </c>
    </row>
    <row r="174" spans="1:16" x14ac:dyDescent="0.25">
      <c r="A174" t="s">
        <v>115</v>
      </c>
      <c r="B174" t="s">
        <v>110</v>
      </c>
      <c r="C174">
        <v>0</v>
      </c>
      <c r="D174">
        <v>1</v>
      </c>
      <c r="E174">
        <v>1</v>
      </c>
      <c r="F174">
        <v>1</v>
      </c>
      <c r="G174">
        <v>1</v>
      </c>
      <c r="H174">
        <v>1</v>
      </c>
      <c r="I174">
        <v>1</v>
      </c>
      <c r="J174">
        <v>1</v>
      </c>
      <c r="K174">
        <v>1</v>
      </c>
      <c r="L174">
        <v>1</v>
      </c>
      <c r="M174">
        <v>1</v>
      </c>
      <c r="N174">
        <v>1</v>
      </c>
      <c r="P174">
        <v>1.274034738540649</v>
      </c>
    </row>
    <row r="175" spans="1:16" x14ac:dyDescent="0.25">
      <c r="A175" t="s">
        <v>115</v>
      </c>
      <c r="B175" t="s">
        <v>112</v>
      </c>
      <c r="C175">
        <v>0</v>
      </c>
      <c r="D175">
        <v>1</v>
      </c>
      <c r="E175">
        <v>1</v>
      </c>
      <c r="F175">
        <v>1</v>
      </c>
      <c r="G175">
        <v>1</v>
      </c>
      <c r="H175">
        <v>1</v>
      </c>
      <c r="I175">
        <v>1</v>
      </c>
      <c r="J175">
        <v>1</v>
      </c>
      <c r="K175">
        <v>1</v>
      </c>
      <c r="L175">
        <v>1</v>
      </c>
      <c r="M175">
        <v>1</v>
      </c>
      <c r="N175">
        <v>1</v>
      </c>
      <c r="P175">
        <v>1.809266090393066</v>
      </c>
    </row>
    <row r="176" spans="1:16" x14ac:dyDescent="0.25">
      <c r="A176" t="s">
        <v>115</v>
      </c>
      <c r="B176" t="s">
        <v>113</v>
      </c>
      <c r="C176">
        <v>0</v>
      </c>
      <c r="D176">
        <v>1</v>
      </c>
      <c r="E176">
        <v>1</v>
      </c>
      <c r="F176">
        <v>1</v>
      </c>
      <c r="G176">
        <v>1</v>
      </c>
      <c r="H176">
        <v>1</v>
      </c>
      <c r="I176">
        <v>1</v>
      </c>
      <c r="J176">
        <v>1</v>
      </c>
      <c r="K176">
        <v>1</v>
      </c>
      <c r="L176">
        <v>1</v>
      </c>
      <c r="M176">
        <v>1</v>
      </c>
      <c r="N176">
        <v>1</v>
      </c>
      <c r="P176">
        <v>1.103309631347656</v>
      </c>
    </row>
    <row r="177" spans="1:16" x14ac:dyDescent="0.25">
      <c r="A177" t="s">
        <v>115</v>
      </c>
      <c r="B177" t="s">
        <v>132</v>
      </c>
      <c r="C177">
        <v>0</v>
      </c>
      <c r="D177">
        <v>1</v>
      </c>
      <c r="E177">
        <v>1</v>
      </c>
      <c r="F177">
        <v>1</v>
      </c>
      <c r="G177">
        <v>1</v>
      </c>
      <c r="H177">
        <v>1</v>
      </c>
      <c r="I177">
        <v>1</v>
      </c>
      <c r="J177">
        <v>1</v>
      </c>
      <c r="K177">
        <v>1</v>
      </c>
      <c r="L177">
        <v>1</v>
      </c>
      <c r="M177">
        <v>1</v>
      </c>
      <c r="N177">
        <v>1</v>
      </c>
      <c r="P177">
        <v>1.1361005306243901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1.1645321846008301</v>
      </c>
    </row>
    <row r="3" spans="1:17" x14ac:dyDescent="0.25">
      <c r="A3" t="s">
        <v>17</v>
      </c>
      <c r="B3" t="s">
        <v>19</v>
      </c>
      <c r="C3">
        <v>0</v>
      </c>
      <c r="D3">
        <v>1</v>
      </c>
      <c r="E3">
        <v>1</v>
      </c>
      <c r="F3">
        <v>0</v>
      </c>
      <c r="G3">
        <v>1</v>
      </c>
      <c r="H3">
        <v>1</v>
      </c>
      <c r="I3">
        <v>1</v>
      </c>
      <c r="J3" t="s">
        <v>20</v>
      </c>
      <c r="K3">
        <v>1</v>
      </c>
      <c r="L3">
        <v>1</v>
      </c>
      <c r="M3">
        <v>1</v>
      </c>
      <c r="N3">
        <v>1</v>
      </c>
      <c r="O3" t="s">
        <v>178</v>
      </c>
      <c r="P3">
        <v>2.7829387187957759</v>
      </c>
    </row>
    <row r="4" spans="1:17" x14ac:dyDescent="0.25">
      <c r="A4" t="s">
        <v>17</v>
      </c>
      <c r="B4" t="s">
        <v>22</v>
      </c>
      <c r="C4">
        <v>0</v>
      </c>
      <c r="D4">
        <v>1</v>
      </c>
      <c r="E4">
        <v>1</v>
      </c>
      <c r="F4">
        <v>1</v>
      </c>
      <c r="G4">
        <v>0</v>
      </c>
      <c r="H4">
        <v>1</v>
      </c>
      <c r="I4">
        <v>1</v>
      </c>
      <c r="J4">
        <v>1</v>
      </c>
      <c r="K4">
        <v>1</v>
      </c>
      <c r="L4">
        <v>1</v>
      </c>
      <c r="M4">
        <v>1</v>
      </c>
      <c r="N4">
        <v>1</v>
      </c>
      <c r="O4" t="s">
        <v>179</v>
      </c>
      <c r="P4">
        <v>1.6966137886047361</v>
      </c>
    </row>
    <row r="5" spans="1:17" x14ac:dyDescent="0.25">
      <c r="A5" t="s">
        <v>17</v>
      </c>
      <c r="B5" t="s">
        <v>24</v>
      </c>
      <c r="C5">
        <v>0</v>
      </c>
      <c r="D5">
        <v>1</v>
      </c>
      <c r="E5">
        <v>1</v>
      </c>
      <c r="F5">
        <v>1</v>
      </c>
      <c r="G5">
        <v>1</v>
      </c>
      <c r="H5">
        <v>1</v>
      </c>
      <c r="I5">
        <v>1</v>
      </c>
      <c r="J5">
        <v>1</v>
      </c>
      <c r="K5">
        <v>1</v>
      </c>
      <c r="L5">
        <v>1</v>
      </c>
      <c r="M5">
        <v>1</v>
      </c>
      <c r="N5">
        <v>1</v>
      </c>
      <c r="P5">
        <v>1.0988776683807371</v>
      </c>
    </row>
    <row r="6" spans="1:17" x14ac:dyDescent="0.25">
      <c r="A6" t="s">
        <v>17</v>
      </c>
      <c r="B6" t="s">
        <v>25</v>
      </c>
      <c r="C6">
        <v>0</v>
      </c>
      <c r="D6">
        <v>1</v>
      </c>
      <c r="E6">
        <v>1</v>
      </c>
      <c r="F6">
        <v>1</v>
      </c>
      <c r="G6">
        <v>1</v>
      </c>
      <c r="H6">
        <v>1</v>
      </c>
      <c r="I6">
        <v>1</v>
      </c>
      <c r="J6">
        <v>1</v>
      </c>
      <c r="K6">
        <v>1</v>
      </c>
      <c r="L6">
        <v>1</v>
      </c>
      <c r="M6">
        <v>1</v>
      </c>
      <c r="N6">
        <v>1</v>
      </c>
      <c r="P6">
        <v>1.208990812301636</v>
      </c>
    </row>
    <row r="7" spans="1:17" x14ac:dyDescent="0.25">
      <c r="A7" t="s">
        <v>17</v>
      </c>
      <c r="B7" t="s">
        <v>26</v>
      </c>
      <c r="C7">
        <v>0</v>
      </c>
      <c r="D7">
        <v>1</v>
      </c>
      <c r="E7">
        <v>1</v>
      </c>
      <c r="F7">
        <v>1</v>
      </c>
      <c r="G7">
        <v>1</v>
      </c>
      <c r="H7">
        <v>1</v>
      </c>
      <c r="I7">
        <v>1</v>
      </c>
      <c r="J7">
        <v>1</v>
      </c>
      <c r="K7">
        <v>1</v>
      </c>
      <c r="L7">
        <v>1</v>
      </c>
      <c r="M7">
        <v>1</v>
      </c>
      <c r="N7">
        <v>1</v>
      </c>
      <c r="P7">
        <v>1.25964879989624</v>
      </c>
    </row>
    <row r="8" spans="1:17" x14ac:dyDescent="0.25">
      <c r="A8" t="s">
        <v>17</v>
      </c>
      <c r="B8" t="s">
        <v>27</v>
      </c>
      <c r="C8">
        <v>0</v>
      </c>
      <c r="D8">
        <v>1</v>
      </c>
      <c r="E8">
        <v>1</v>
      </c>
      <c r="F8">
        <v>1</v>
      </c>
      <c r="G8">
        <v>0</v>
      </c>
      <c r="H8">
        <v>1</v>
      </c>
      <c r="I8">
        <v>1</v>
      </c>
      <c r="J8">
        <v>1</v>
      </c>
      <c r="K8">
        <v>1</v>
      </c>
      <c r="L8">
        <v>1</v>
      </c>
      <c r="M8">
        <v>1</v>
      </c>
      <c r="N8">
        <v>1</v>
      </c>
      <c r="O8" t="s">
        <v>180</v>
      </c>
      <c r="P8">
        <v>3.325821161270142</v>
      </c>
    </row>
    <row r="9" spans="1:17" x14ac:dyDescent="0.25">
      <c r="A9" t="s">
        <v>17</v>
      </c>
      <c r="B9" t="s">
        <v>29</v>
      </c>
      <c r="C9">
        <v>0</v>
      </c>
      <c r="D9">
        <v>1</v>
      </c>
      <c r="E9">
        <v>1</v>
      </c>
      <c r="F9">
        <v>1</v>
      </c>
      <c r="G9">
        <v>1</v>
      </c>
      <c r="H9">
        <v>1</v>
      </c>
      <c r="I9">
        <v>1</v>
      </c>
      <c r="J9">
        <v>1</v>
      </c>
      <c r="K9">
        <v>1</v>
      </c>
      <c r="L9">
        <v>1</v>
      </c>
      <c r="M9">
        <v>1</v>
      </c>
      <c r="N9">
        <v>1</v>
      </c>
      <c r="P9">
        <v>3.074407815933228</v>
      </c>
    </row>
    <row r="10" spans="1:17" x14ac:dyDescent="0.25">
      <c r="A10" t="s">
        <v>17</v>
      </c>
      <c r="B10" t="s">
        <v>30</v>
      </c>
      <c r="C10">
        <v>0</v>
      </c>
      <c r="D10">
        <v>1</v>
      </c>
      <c r="E10">
        <v>1</v>
      </c>
      <c r="F10">
        <v>0</v>
      </c>
      <c r="G10">
        <v>1</v>
      </c>
      <c r="H10">
        <v>1</v>
      </c>
      <c r="I10">
        <v>1</v>
      </c>
      <c r="J10" t="s">
        <v>20</v>
      </c>
      <c r="K10">
        <v>1</v>
      </c>
      <c r="L10">
        <v>1</v>
      </c>
      <c r="M10">
        <v>1</v>
      </c>
      <c r="N10">
        <v>1</v>
      </c>
      <c r="O10" t="s">
        <v>181</v>
      </c>
      <c r="P10">
        <v>3.2832241058349609</v>
      </c>
    </row>
    <row r="11" spans="1:17" x14ac:dyDescent="0.25">
      <c r="A11" t="s">
        <v>17</v>
      </c>
      <c r="B11" t="s">
        <v>32</v>
      </c>
      <c r="C11">
        <v>0</v>
      </c>
      <c r="D11">
        <v>1</v>
      </c>
      <c r="E11">
        <v>1</v>
      </c>
      <c r="F11">
        <v>1</v>
      </c>
      <c r="G11">
        <v>1</v>
      </c>
      <c r="H11">
        <v>1</v>
      </c>
      <c r="I11">
        <v>1</v>
      </c>
      <c r="J11">
        <v>1</v>
      </c>
      <c r="K11">
        <v>1</v>
      </c>
      <c r="L11">
        <v>1</v>
      </c>
      <c r="M11">
        <v>1</v>
      </c>
      <c r="N11">
        <v>1</v>
      </c>
      <c r="P11">
        <v>1.2175197601318359</v>
      </c>
    </row>
    <row r="12" spans="1:17" x14ac:dyDescent="0.25">
      <c r="A12" t="s">
        <v>17</v>
      </c>
      <c r="B12" t="s">
        <v>33</v>
      </c>
      <c r="C12">
        <v>0</v>
      </c>
      <c r="D12">
        <v>1</v>
      </c>
      <c r="E12">
        <v>1</v>
      </c>
      <c r="F12">
        <v>1</v>
      </c>
      <c r="G12">
        <v>1</v>
      </c>
      <c r="H12">
        <v>1</v>
      </c>
      <c r="I12">
        <v>1</v>
      </c>
      <c r="J12">
        <v>1</v>
      </c>
      <c r="K12">
        <v>1</v>
      </c>
      <c r="L12">
        <v>1</v>
      </c>
      <c r="M12">
        <v>1</v>
      </c>
      <c r="N12">
        <v>1</v>
      </c>
      <c r="P12">
        <v>1.1791114807128911</v>
      </c>
    </row>
    <row r="13" spans="1:17" x14ac:dyDescent="0.25">
      <c r="A13" t="s">
        <v>17</v>
      </c>
      <c r="B13" t="s">
        <v>34</v>
      </c>
      <c r="C13">
        <v>0</v>
      </c>
      <c r="D13">
        <v>1</v>
      </c>
      <c r="E13">
        <v>1</v>
      </c>
      <c r="F13">
        <v>1</v>
      </c>
      <c r="G13">
        <v>1</v>
      </c>
      <c r="H13">
        <v>1</v>
      </c>
      <c r="I13">
        <v>1</v>
      </c>
      <c r="J13">
        <v>1</v>
      </c>
      <c r="K13">
        <v>1</v>
      </c>
      <c r="L13">
        <v>1</v>
      </c>
      <c r="M13">
        <v>1</v>
      </c>
      <c r="N13">
        <v>1</v>
      </c>
      <c r="P13">
        <v>2.0069952011108398</v>
      </c>
    </row>
    <row r="14" spans="1:17" x14ac:dyDescent="0.25">
      <c r="A14" t="s">
        <v>17</v>
      </c>
      <c r="B14" t="s">
        <v>35</v>
      </c>
      <c r="C14">
        <v>0</v>
      </c>
      <c r="D14">
        <v>1</v>
      </c>
      <c r="E14">
        <v>0</v>
      </c>
      <c r="F14">
        <v>0</v>
      </c>
      <c r="G14">
        <v>1</v>
      </c>
      <c r="H14" t="s">
        <v>20</v>
      </c>
      <c r="I14">
        <v>0</v>
      </c>
      <c r="J14" t="s">
        <v>20</v>
      </c>
      <c r="K14">
        <v>1</v>
      </c>
      <c r="L14">
        <v>1</v>
      </c>
      <c r="M14">
        <v>1</v>
      </c>
      <c r="N14">
        <v>1</v>
      </c>
      <c r="O14" t="s">
        <v>182</v>
      </c>
      <c r="P14">
        <v>5.9032585620880127</v>
      </c>
    </row>
    <row r="15" spans="1:17" x14ac:dyDescent="0.25">
      <c r="A15" t="s">
        <v>17</v>
      </c>
      <c r="B15" t="s">
        <v>37</v>
      </c>
      <c r="C15">
        <v>0</v>
      </c>
      <c r="D15">
        <v>1</v>
      </c>
      <c r="E15">
        <v>1</v>
      </c>
      <c r="F15">
        <v>1</v>
      </c>
      <c r="G15">
        <v>1</v>
      </c>
      <c r="H15">
        <v>1</v>
      </c>
      <c r="I15">
        <v>1</v>
      </c>
      <c r="J15">
        <v>1</v>
      </c>
      <c r="K15">
        <v>1</v>
      </c>
      <c r="L15">
        <v>1</v>
      </c>
      <c r="M15">
        <v>1</v>
      </c>
      <c r="N15">
        <v>1</v>
      </c>
      <c r="P15">
        <v>1.295989036560059</v>
      </c>
    </row>
    <row r="16" spans="1:17" x14ac:dyDescent="0.25">
      <c r="A16" t="s">
        <v>17</v>
      </c>
      <c r="B16" t="s">
        <v>38</v>
      </c>
      <c r="C16">
        <v>0</v>
      </c>
      <c r="D16">
        <v>1</v>
      </c>
      <c r="E16">
        <v>1</v>
      </c>
      <c r="F16">
        <v>1</v>
      </c>
      <c r="G16">
        <v>1</v>
      </c>
      <c r="H16">
        <v>1</v>
      </c>
      <c r="I16">
        <v>1</v>
      </c>
      <c r="J16">
        <v>1</v>
      </c>
      <c r="K16">
        <v>1</v>
      </c>
      <c r="L16">
        <v>1</v>
      </c>
      <c r="M16">
        <v>1</v>
      </c>
      <c r="N16">
        <v>1</v>
      </c>
      <c r="P16">
        <v>1.4113254547119141</v>
      </c>
    </row>
    <row r="17" spans="1:17" x14ac:dyDescent="0.25">
      <c r="A17" t="s">
        <v>17</v>
      </c>
      <c r="B17" t="s">
        <v>39</v>
      </c>
      <c r="C17">
        <v>0</v>
      </c>
      <c r="D17">
        <v>1</v>
      </c>
      <c r="E17">
        <v>1</v>
      </c>
      <c r="F17">
        <v>1</v>
      </c>
      <c r="G17">
        <v>1</v>
      </c>
      <c r="H17">
        <v>1</v>
      </c>
      <c r="I17">
        <v>1</v>
      </c>
      <c r="J17">
        <v>1</v>
      </c>
      <c r="K17">
        <v>1</v>
      </c>
      <c r="L17">
        <v>1</v>
      </c>
      <c r="M17">
        <v>1</v>
      </c>
      <c r="N17">
        <v>1</v>
      </c>
      <c r="P17">
        <v>1.738500595092773</v>
      </c>
    </row>
    <row r="18" spans="1:17" x14ac:dyDescent="0.25">
      <c r="A18" t="s">
        <v>17</v>
      </c>
      <c r="B18" t="s">
        <v>40</v>
      </c>
      <c r="C18">
        <v>0</v>
      </c>
      <c r="D18">
        <v>1</v>
      </c>
      <c r="E18">
        <v>1</v>
      </c>
      <c r="F18">
        <v>1</v>
      </c>
      <c r="G18">
        <v>1</v>
      </c>
      <c r="H18">
        <v>1</v>
      </c>
      <c r="I18">
        <v>1</v>
      </c>
      <c r="J18">
        <v>1</v>
      </c>
      <c r="K18">
        <v>1</v>
      </c>
      <c r="L18">
        <v>1</v>
      </c>
      <c r="M18">
        <v>1</v>
      </c>
      <c r="N18">
        <v>1</v>
      </c>
      <c r="P18">
        <v>1.354655504226685</v>
      </c>
    </row>
    <row r="19" spans="1:17" x14ac:dyDescent="0.25">
      <c r="A19" t="s">
        <v>17</v>
      </c>
      <c r="B19" t="s">
        <v>41</v>
      </c>
      <c r="C19">
        <v>0</v>
      </c>
      <c r="D19">
        <v>1</v>
      </c>
      <c r="E19">
        <v>1</v>
      </c>
      <c r="F19">
        <v>1</v>
      </c>
      <c r="G19">
        <v>1</v>
      </c>
      <c r="H19">
        <v>1</v>
      </c>
      <c r="I19">
        <v>1</v>
      </c>
      <c r="J19">
        <v>1</v>
      </c>
      <c r="K19">
        <v>1</v>
      </c>
      <c r="L19">
        <v>1</v>
      </c>
      <c r="M19">
        <v>1</v>
      </c>
      <c r="N19">
        <v>1</v>
      </c>
      <c r="P19">
        <v>1.5273532867431641</v>
      </c>
    </row>
    <row r="20" spans="1:17" x14ac:dyDescent="0.25">
      <c r="A20" t="s">
        <v>17</v>
      </c>
      <c r="B20" t="s">
        <v>42</v>
      </c>
      <c r="C20">
        <v>0</v>
      </c>
      <c r="D20">
        <v>1</v>
      </c>
      <c r="E20">
        <v>1</v>
      </c>
      <c r="F20">
        <v>1</v>
      </c>
      <c r="G20">
        <v>1</v>
      </c>
      <c r="H20">
        <v>1</v>
      </c>
      <c r="I20">
        <v>1</v>
      </c>
      <c r="J20">
        <v>1</v>
      </c>
      <c r="K20">
        <v>1</v>
      </c>
      <c r="L20">
        <v>1</v>
      </c>
      <c r="M20">
        <v>1</v>
      </c>
      <c r="N20">
        <v>1</v>
      </c>
      <c r="P20">
        <v>1.137206077575684</v>
      </c>
    </row>
    <row r="21" spans="1:17" x14ac:dyDescent="0.25">
      <c r="A21" t="s">
        <v>17</v>
      </c>
      <c r="B21" t="s">
        <v>43</v>
      </c>
      <c r="C21">
        <v>0</v>
      </c>
      <c r="D21">
        <v>1</v>
      </c>
      <c r="E21">
        <v>1</v>
      </c>
      <c r="F21">
        <v>1</v>
      </c>
      <c r="G21">
        <v>1</v>
      </c>
      <c r="H21">
        <v>1</v>
      </c>
      <c r="I21">
        <v>1</v>
      </c>
      <c r="J21">
        <v>1</v>
      </c>
      <c r="K21">
        <v>1</v>
      </c>
      <c r="L21">
        <v>1</v>
      </c>
      <c r="M21">
        <v>1</v>
      </c>
      <c r="N21">
        <v>1</v>
      </c>
      <c r="P21">
        <v>3.3776476383209229</v>
      </c>
    </row>
    <row r="22" spans="1:17" x14ac:dyDescent="0.25">
      <c r="A22" t="s">
        <v>17</v>
      </c>
      <c r="B22" t="s">
        <v>44</v>
      </c>
      <c r="C22">
        <v>0</v>
      </c>
      <c r="D22">
        <v>1</v>
      </c>
      <c r="E22">
        <v>1</v>
      </c>
      <c r="F22">
        <v>1</v>
      </c>
      <c r="G22">
        <v>1</v>
      </c>
      <c r="H22">
        <v>1</v>
      </c>
      <c r="I22">
        <v>1</v>
      </c>
      <c r="J22">
        <v>1</v>
      </c>
      <c r="K22">
        <v>1</v>
      </c>
      <c r="L22">
        <v>1</v>
      </c>
      <c r="M22">
        <v>1</v>
      </c>
      <c r="N22">
        <v>1</v>
      </c>
      <c r="P22">
        <v>1.6866493225097661</v>
      </c>
    </row>
    <row r="23" spans="1:17" x14ac:dyDescent="0.25">
      <c r="A23" t="s">
        <v>17</v>
      </c>
      <c r="B23" t="s">
        <v>45</v>
      </c>
      <c r="C23">
        <v>0</v>
      </c>
      <c r="D23">
        <v>1</v>
      </c>
      <c r="E23">
        <v>1</v>
      </c>
      <c r="F23">
        <v>0</v>
      </c>
      <c r="G23">
        <v>1</v>
      </c>
      <c r="H23">
        <v>1</v>
      </c>
      <c r="I23">
        <v>1</v>
      </c>
      <c r="J23" t="s">
        <v>20</v>
      </c>
      <c r="K23">
        <v>1</v>
      </c>
      <c r="L23">
        <v>1</v>
      </c>
      <c r="M23">
        <v>1</v>
      </c>
      <c r="N23">
        <v>1</v>
      </c>
      <c r="O23" t="s">
        <v>183</v>
      </c>
      <c r="P23">
        <v>2.1250934600830078</v>
      </c>
    </row>
    <row r="24" spans="1:17" x14ac:dyDescent="0.25">
      <c r="A24" t="s">
        <v>17</v>
      </c>
      <c r="B24" t="s">
        <v>47</v>
      </c>
      <c r="C24">
        <v>0</v>
      </c>
      <c r="D24">
        <v>1</v>
      </c>
      <c r="E24">
        <v>1</v>
      </c>
      <c r="F24">
        <v>1</v>
      </c>
      <c r="G24">
        <v>1</v>
      </c>
      <c r="H24">
        <v>1</v>
      </c>
      <c r="I24">
        <v>1</v>
      </c>
      <c r="J24">
        <v>1</v>
      </c>
      <c r="K24">
        <v>1</v>
      </c>
      <c r="L24">
        <v>1</v>
      </c>
      <c r="M24">
        <v>1</v>
      </c>
      <c r="N24">
        <v>1</v>
      </c>
      <c r="P24">
        <v>1.174210786819458</v>
      </c>
    </row>
    <row r="25" spans="1:17" x14ac:dyDescent="0.25">
      <c r="A25" t="s">
        <v>17</v>
      </c>
      <c r="B25" t="s">
        <v>48</v>
      </c>
      <c r="C25">
        <v>0</v>
      </c>
      <c r="D25">
        <v>1</v>
      </c>
      <c r="E25">
        <v>1</v>
      </c>
      <c r="F25">
        <v>0</v>
      </c>
      <c r="G25">
        <v>1</v>
      </c>
      <c r="H25">
        <v>1</v>
      </c>
      <c r="I25">
        <v>1</v>
      </c>
      <c r="J25" t="s">
        <v>20</v>
      </c>
      <c r="K25">
        <v>1</v>
      </c>
      <c r="L25">
        <v>1</v>
      </c>
      <c r="M25">
        <v>1</v>
      </c>
      <c r="N25">
        <v>1</v>
      </c>
      <c r="O25" t="s">
        <v>184</v>
      </c>
      <c r="P25">
        <v>1.873416662216187</v>
      </c>
    </row>
    <row r="26" spans="1:17" x14ac:dyDescent="0.25">
      <c r="A26" t="s">
        <v>17</v>
      </c>
      <c r="B26" t="s">
        <v>50</v>
      </c>
      <c r="C26">
        <v>0</v>
      </c>
      <c r="D26">
        <v>1</v>
      </c>
      <c r="E26">
        <v>1</v>
      </c>
      <c r="F26">
        <v>1</v>
      </c>
      <c r="G26">
        <v>1</v>
      </c>
      <c r="H26">
        <v>1</v>
      </c>
      <c r="I26">
        <v>1</v>
      </c>
      <c r="J26">
        <v>1</v>
      </c>
      <c r="K26">
        <v>1</v>
      </c>
      <c r="L26">
        <v>1</v>
      </c>
      <c r="M26">
        <v>1</v>
      </c>
      <c r="N26">
        <v>1</v>
      </c>
      <c r="P26">
        <v>2.862504243850708</v>
      </c>
    </row>
    <row r="27" spans="1:17" x14ac:dyDescent="0.25">
      <c r="A27" t="s">
        <v>17</v>
      </c>
      <c r="B27" t="s">
        <v>51</v>
      </c>
      <c r="C27">
        <v>0</v>
      </c>
      <c r="D27">
        <v>1</v>
      </c>
      <c r="E27">
        <v>0</v>
      </c>
      <c r="F27">
        <v>0</v>
      </c>
      <c r="G27">
        <v>0</v>
      </c>
      <c r="H27" t="s">
        <v>20</v>
      </c>
      <c r="I27">
        <v>1</v>
      </c>
      <c r="J27" t="s">
        <v>20</v>
      </c>
      <c r="K27">
        <v>1</v>
      </c>
      <c r="L27">
        <v>1</v>
      </c>
      <c r="M27">
        <v>1</v>
      </c>
      <c r="N27">
        <v>1</v>
      </c>
      <c r="O27" t="s">
        <v>185</v>
      </c>
      <c r="P27">
        <v>2.513360738754272</v>
      </c>
    </row>
    <row r="28" spans="1:17" x14ac:dyDescent="0.25">
      <c r="A28" t="s">
        <v>17</v>
      </c>
      <c r="B28" t="s">
        <v>53</v>
      </c>
      <c r="C28">
        <v>0</v>
      </c>
      <c r="D28">
        <v>0</v>
      </c>
      <c r="E28" t="s">
        <v>20</v>
      </c>
      <c r="F28" t="s">
        <v>20</v>
      </c>
      <c r="G28" t="s">
        <v>20</v>
      </c>
      <c r="H28" t="s">
        <v>20</v>
      </c>
      <c r="I28" t="s">
        <v>20</v>
      </c>
      <c r="J28" t="s">
        <v>20</v>
      </c>
      <c r="K28" t="s">
        <v>20</v>
      </c>
      <c r="L28" t="s">
        <v>20</v>
      </c>
      <c r="M28">
        <v>1</v>
      </c>
      <c r="N28" t="s">
        <v>20</v>
      </c>
      <c r="O28" t="s">
        <v>186</v>
      </c>
      <c r="P28">
        <v>4.1972029209136963</v>
      </c>
      <c r="Q28" t="s">
        <v>20</v>
      </c>
    </row>
    <row r="29" spans="1:17" x14ac:dyDescent="0.25">
      <c r="A29" t="s">
        <v>17</v>
      </c>
      <c r="B29" t="s">
        <v>55</v>
      </c>
      <c r="C29">
        <v>0</v>
      </c>
      <c r="D29">
        <v>1</v>
      </c>
      <c r="E29">
        <v>1</v>
      </c>
      <c r="F29">
        <v>1</v>
      </c>
      <c r="G29">
        <v>1</v>
      </c>
      <c r="H29">
        <v>1</v>
      </c>
      <c r="I29">
        <v>1</v>
      </c>
      <c r="J29">
        <v>1</v>
      </c>
      <c r="K29">
        <v>1</v>
      </c>
      <c r="L29">
        <v>1</v>
      </c>
      <c r="M29">
        <v>1</v>
      </c>
      <c r="N29">
        <v>1</v>
      </c>
      <c r="P29">
        <v>1.7419102191925051</v>
      </c>
    </row>
    <row r="30" spans="1:17" x14ac:dyDescent="0.25">
      <c r="A30" t="s">
        <v>17</v>
      </c>
      <c r="B30" t="s">
        <v>56</v>
      </c>
      <c r="C30">
        <v>0</v>
      </c>
      <c r="D30">
        <v>1</v>
      </c>
      <c r="E30">
        <v>1</v>
      </c>
      <c r="F30">
        <v>1</v>
      </c>
      <c r="G30">
        <v>0</v>
      </c>
      <c r="H30">
        <v>1</v>
      </c>
      <c r="I30">
        <v>1</v>
      </c>
      <c r="J30">
        <v>1</v>
      </c>
      <c r="K30">
        <v>1</v>
      </c>
      <c r="L30">
        <v>1</v>
      </c>
      <c r="M30">
        <v>1</v>
      </c>
      <c r="N30">
        <v>1</v>
      </c>
      <c r="O30" t="s">
        <v>187</v>
      </c>
      <c r="P30">
        <v>1.6975362300872801</v>
      </c>
    </row>
    <row r="31" spans="1:17" x14ac:dyDescent="0.25">
      <c r="A31" t="s">
        <v>17</v>
      </c>
      <c r="B31" t="s">
        <v>58</v>
      </c>
      <c r="C31">
        <v>0</v>
      </c>
      <c r="D31">
        <v>1</v>
      </c>
      <c r="E31">
        <v>0</v>
      </c>
      <c r="F31">
        <v>1</v>
      </c>
      <c r="G31">
        <v>1</v>
      </c>
      <c r="H31" t="s">
        <v>20</v>
      </c>
      <c r="I31">
        <v>1</v>
      </c>
      <c r="J31" t="s">
        <v>20</v>
      </c>
      <c r="K31">
        <v>1</v>
      </c>
      <c r="L31">
        <v>1</v>
      </c>
      <c r="M31">
        <v>1</v>
      </c>
      <c r="N31">
        <v>1</v>
      </c>
      <c r="O31" t="s">
        <v>188</v>
      </c>
      <c r="P31">
        <v>2.8946471214294429</v>
      </c>
    </row>
    <row r="32" spans="1:17" x14ac:dyDescent="0.25">
      <c r="A32" t="s">
        <v>17</v>
      </c>
      <c r="B32" t="s">
        <v>60</v>
      </c>
      <c r="C32">
        <v>0</v>
      </c>
      <c r="D32">
        <v>1</v>
      </c>
      <c r="E32">
        <v>0</v>
      </c>
      <c r="F32">
        <v>1</v>
      </c>
      <c r="G32">
        <v>1</v>
      </c>
      <c r="H32" t="s">
        <v>20</v>
      </c>
      <c r="I32">
        <v>1</v>
      </c>
      <c r="J32" t="s">
        <v>20</v>
      </c>
      <c r="K32">
        <v>1</v>
      </c>
      <c r="L32">
        <v>1</v>
      </c>
      <c r="M32">
        <v>1</v>
      </c>
      <c r="N32">
        <v>1</v>
      </c>
      <c r="O32" t="s">
        <v>189</v>
      </c>
      <c r="P32">
        <v>2.5113463401794429</v>
      </c>
    </row>
    <row r="33" spans="1:17" x14ac:dyDescent="0.25">
      <c r="A33" t="s">
        <v>17</v>
      </c>
      <c r="B33" t="s">
        <v>62</v>
      </c>
      <c r="C33">
        <v>0</v>
      </c>
      <c r="D33">
        <v>1</v>
      </c>
      <c r="E33">
        <v>1</v>
      </c>
      <c r="F33">
        <v>1</v>
      </c>
      <c r="G33">
        <v>1</v>
      </c>
      <c r="H33">
        <v>1</v>
      </c>
      <c r="I33">
        <v>1</v>
      </c>
      <c r="J33">
        <v>1</v>
      </c>
      <c r="K33">
        <v>1</v>
      </c>
      <c r="L33">
        <v>1</v>
      </c>
      <c r="M33">
        <v>1</v>
      </c>
      <c r="N33">
        <v>1</v>
      </c>
      <c r="P33">
        <v>2.1388664245605469</v>
      </c>
    </row>
    <row r="34" spans="1:17" x14ac:dyDescent="0.25">
      <c r="A34" t="s">
        <v>17</v>
      </c>
      <c r="B34" t="s">
        <v>63</v>
      </c>
      <c r="C34">
        <v>0</v>
      </c>
      <c r="D34">
        <v>1</v>
      </c>
      <c r="E34">
        <v>1</v>
      </c>
      <c r="F34">
        <v>1</v>
      </c>
      <c r="G34">
        <v>1</v>
      </c>
      <c r="H34">
        <v>1</v>
      </c>
      <c r="I34">
        <v>1</v>
      </c>
      <c r="J34">
        <v>1</v>
      </c>
      <c r="K34">
        <v>1</v>
      </c>
      <c r="L34">
        <v>1</v>
      </c>
      <c r="M34">
        <v>1</v>
      </c>
      <c r="N34">
        <v>1</v>
      </c>
      <c r="P34">
        <v>1.8237650394439699</v>
      </c>
    </row>
    <row r="35" spans="1:17" x14ac:dyDescent="0.25">
      <c r="A35" t="s">
        <v>17</v>
      </c>
      <c r="B35" t="s">
        <v>65</v>
      </c>
      <c r="C35">
        <v>0</v>
      </c>
      <c r="D35">
        <v>1</v>
      </c>
      <c r="E35">
        <v>1</v>
      </c>
      <c r="F35">
        <v>1</v>
      </c>
      <c r="G35">
        <v>1</v>
      </c>
      <c r="H35">
        <v>1</v>
      </c>
      <c r="I35">
        <v>1</v>
      </c>
      <c r="J35">
        <v>1</v>
      </c>
      <c r="K35">
        <v>1</v>
      </c>
      <c r="L35">
        <v>1</v>
      </c>
      <c r="M35">
        <v>1</v>
      </c>
      <c r="N35">
        <v>1</v>
      </c>
      <c r="P35">
        <v>1.4226641654968259</v>
      </c>
    </row>
    <row r="36" spans="1:17" x14ac:dyDescent="0.25">
      <c r="A36" t="s">
        <v>17</v>
      </c>
      <c r="B36" t="s">
        <v>66</v>
      </c>
      <c r="C36">
        <v>0</v>
      </c>
      <c r="D36">
        <v>1</v>
      </c>
      <c r="E36">
        <v>1</v>
      </c>
      <c r="F36">
        <v>1</v>
      </c>
      <c r="G36">
        <v>1</v>
      </c>
      <c r="H36">
        <v>1</v>
      </c>
      <c r="I36">
        <v>1</v>
      </c>
      <c r="J36">
        <v>1</v>
      </c>
      <c r="K36">
        <v>1</v>
      </c>
      <c r="L36">
        <v>1</v>
      </c>
      <c r="M36">
        <v>1</v>
      </c>
      <c r="N36">
        <v>1</v>
      </c>
      <c r="P36">
        <v>1.0781409740448</v>
      </c>
    </row>
    <row r="37" spans="1:17" x14ac:dyDescent="0.25">
      <c r="A37" t="s">
        <v>17</v>
      </c>
      <c r="B37" t="s">
        <v>67</v>
      </c>
      <c r="C37">
        <v>0</v>
      </c>
      <c r="D37">
        <v>1</v>
      </c>
      <c r="E37">
        <v>1</v>
      </c>
      <c r="F37">
        <v>1</v>
      </c>
      <c r="G37">
        <v>1</v>
      </c>
      <c r="H37">
        <v>1</v>
      </c>
      <c r="I37">
        <v>1</v>
      </c>
      <c r="J37">
        <v>1</v>
      </c>
      <c r="K37">
        <v>1</v>
      </c>
      <c r="L37">
        <v>1</v>
      </c>
      <c r="M37">
        <v>1</v>
      </c>
      <c r="N37">
        <v>1</v>
      </c>
      <c r="P37">
        <v>2.9683318138122559</v>
      </c>
    </row>
    <row r="38" spans="1:17" x14ac:dyDescent="0.25">
      <c r="A38" t="s">
        <v>17</v>
      </c>
      <c r="B38" t="s">
        <v>68</v>
      </c>
      <c r="C38">
        <v>0</v>
      </c>
      <c r="D38">
        <v>1</v>
      </c>
      <c r="E38">
        <v>1</v>
      </c>
      <c r="F38">
        <v>1</v>
      </c>
      <c r="G38">
        <v>1</v>
      </c>
      <c r="H38">
        <v>1</v>
      </c>
      <c r="I38">
        <v>1</v>
      </c>
      <c r="J38">
        <v>1</v>
      </c>
      <c r="K38">
        <v>1</v>
      </c>
      <c r="L38">
        <v>1</v>
      </c>
      <c r="M38">
        <v>1</v>
      </c>
      <c r="N38">
        <v>1</v>
      </c>
      <c r="P38">
        <v>1.8440206050872801</v>
      </c>
    </row>
    <row r="39" spans="1:17" x14ac:dyDescent="0.25">
      <c r="A39" t="s">
        <v>17</v>
      </c>
      <c r="B39" t="s">
        <v>69</v>
      </c>
      <c r="C39">
        <v>0</v>
      </c>
      <c r="D39">
        <v>1</v>
      </c>
      <c r="E39">
        <v>1</v>
      </c>
      <c r="F39">
        <v>1</v>
      </c>
      <c r="G39">
        <v>0</v>
      </c>
      <c r="H39">
        <v>1</v>
      </c>
      <c r="I39">
        <v>1</v>
      </c>
      <c r="J39">
        <v>1</v>
      </c>
      <c r="K39">
        <v>1</v>
      </c>
      <c r="L39">
        <v>1</v>
      </c>
      <c r="M39">
        <v>1</v>
      </c>
      <c r="N39">
        <v>1</v>
      </c>
      <c r="O39" t="s">
        <v>190</v>
      </c>
      <c r="P39">
        <v>1.7412300109863279</v>
      </c>
    </row>
    <row r="40" spans="1:17" x14ac:dyDescent="0.25">
      <c r="A40" t="s">
        <v>17</v>
      </c>
      <c r="B40" t="s">
        <v>71</v>
      </c>
      <c r="C40">
        <v>0</v>
      </c>
      <c r="D40">
        <v>1</v>
      </c>
      <c r="E40">
        <v>0</v>
      </c>
      <c r="F40">
        <v>0</v>
      </c>
      <c r="G40">
        <v>1</v>
      </c>
      <c r="H40" t="s">
        <v>20</v>
      </c>
      <c r="I40">
        <v>1</v>
      </c>
      <c r="J40" t="s">
        <v>20</v>
      </c>
      <c r="K40">
        <v>1</v>
      </c>
      <c r="L40">
        <v>1</v>
      </c>
      <c r="M40">
        <v>1</v>
      </c>
      <c r="N40">
        <v>1</v>
      </c>
      <c r="O40" t="s">
        <v>191</v>
      </c>
      <c r="P40">
        <v>4.4487025737762451</v>
      </c>
    </row>
    <row r="41" spans="1:17" x14ac:dyDescent="0.25">
      <c r="A41" t="s">
        <v>17</v>
      </c>
      <c r="B41" t="s">
        <v>73</v>
      </c>
      <c r="C41">
        <v>0</v>
      </c>
      <c r="D41">
        <v>0</v>
      </c>
      <c r="E41" t="s">
        <v>20</v>
      </c>
      <c r="F41" t="s">
        <v>20</v>
      </c>
      <c r="G41" t="s">
        <v>20</v>
      </c>
      <c r="H41" t="s">
        <v>20</v>
      </c>
      <c r="I41" t="s">
        <v>20</v>
      </c>
      <c r="J41" t="s">
        <v>20</v>
      </c>
      <c r="K41" t="s">
        <v>20</v>
      </c>
      <c r="L41" t="s">
        <v>20</v>
      </c>
      <c r="M41">
        <v>0</v>
      </c>
      <c r="N41" t="s">
        <v>20</v>
      </c>
      <c r="O41" t="s">
        <v>192</v>
      </c>
      <c r="P41">
        <v>3.3171818256378169</v>
      </c>
      <c r="Q41" t="s">
        <v>20</v>
      </c>
    </row>
    <row r="42" spans="1:17" x14ac:dyDescent="0.25">
      <c r="A42" t="s">
        <v>17</v>
      </c>
      <c r="B42" t="s">
        <v>75</v>
      </c>
      <c r="C42">
        <v>0</v>
      </c>
      <c r="D42">
        <v>1</v>
      </c>
      <c r="E42">
        <v>1</v>
      </c>
      <c r="F42">
        <v>0</v>
      </c>
      <c r="G42">
        <v>1</v>
      </c>
      <c r="H42">
        <v>1</v>
      </c>
      <c r="I42">
        <v>1</v>
      </c>
      <c r="J42" t="s">
        <v>20</v>
      </c>
      <c r="K42">
        <v>1</v>
      </c>
      <c r="L42">
        <v>1</v>
      </c>
      <c r="M42">
        <v>1</v>
      </c>
      <c r="N42">
        <v>1</v>
      </c>
      <c r="O42" t="s">
        <v>193</v>
      </c>
      <c r="P42">
        <v>4.8360676765441886</v>
      </c>
    </row>
    <row r="43" spans="1:17" x14ac:dyDescent="0.25">
      <c r="A43" t="s">
        <v>17</v>
      </c>
      <c r="B43" t="s">
        <v>77</v>
      </c>
      <c r="C43">
        <v>0</v>
      </c>
      <c r="D43">
        <v>1</v>
      </c>
      <c r="E43">
        <v>1</v>
      </c>
      <c r="F43">
        <v>1</v>
      </c>
      <c r="G43">
        <v>1</v>
      </c>
      <c r="H43">
        <v>1</v>
      </c>
      <c r="I43">
        <v>1</v>
      </c>
      <c r="J43">
        <v>1</v>
      </c>
      <c r="K43">
        <v>1</v>
      </c>
      <c r="L43">
        <v>1</v>
      </c>
      <c r="M43">
        <v>1</v>
      </c>
      <c r="N43">
        <v>1</v>
      </c>
      <c r="P43">
        <v>1.242383718490601</v>
      </c>
    </row>
    <row r="44" spans="1:17" x14ac:dyDescent="0.25">
      <c r="A44" t="s">
        <v>17</v>
      </c>
      <c r="B44" t="s">
        <v>78</v>
      </c>
      <c r="C44">
        <v>0</v>
      </c>
      <c r="D44">
        <v>1</v>
      </c>
      <c r="E44">
        <v>1</v>
      </c>
      <c r="F44">
        <v>1</v>
      </c>
      <c r="G44">
        <v>1</v>
      </c>
      <c r="H44">
        <v>1</v>
      </c>
      <c r="I44">
        <v>1</v>
      </c>
      <c r="J44">
        <v>1</v>
      </c>
      <c r="K44">
        <v>1</v>
      </c>
      <c r="L44">
        <v>1</v>
      </c>
      <c r="M44">
        <v>1</v>
      </c>
      <c r="N44">
        <v>1</v>
      </c>
      <c r="P44">
        <v>1.576829195022583</v>
      </c>
    </row>
    <row r="45" spans="1:17" x14ac:dyDescent="0.25">
      <c r="A45" t="s">
        <v>17</v>
      </c>
      <c r="B45" t="s">
        <v>79</v>
      </c>
      <c r="C45">
        <v>0</v>
      </c>
      <c r="D45">
        <v>1</v>
      </c>
      <c r="E45">
        <v>1</v>
      </c>
      <c r="F45">
        <v>1</v>
      </c>
      <c r="G45">
        <v>1</v>
      </c>
      <c r="H45">
        <v>1</v>
      </c>
      <c r="I45">
        <v>1</v>
      </c>
      <c r="J45">
        <v>1</v>
      </c>
      <c r="K45">
        <v>1</v>
      </c>
      <c r="L45">
        <v>1</v>
      </c>
      <c r="M45">
        <v>1</v>
      </c>
      <c r="N45">
        <v>1</v>
      </c>
      <c r="P45">
        <v>1.4506187438964839</v>
      </c>
    </row>
    <row r="46" spans="1:17" x14ac:dyDescent="0.25">
      <c r="A46" t="s">
        <v>17</v>
      </c>
      <c r="B46" t="s">
        <v>80</v>
      </c>
      <c r="C46">
        <v>0</v>
      </c>
      <c r="D46">
        <v>1</v>
      </c>
      <c r="E46">
        <v>1</v>
      </c>
      <c r="F46">
        <v>1</v>
      </c>
      <c r="G46">
        <v>1</v>
      </c>
      <c r="H46">
        <v>1</v>
      </c>
      <c r="I46">
        <v>1</v>
      </c>
      <c r="J46">
        <v>1</v>
      </c>
      <c r="K46">
        <v>1</v>
      </c>
      <c r="L46">
        <v>1</v>
      </c>
      <c r="M46">
        <v>1</v>
      </c>
      <c r="N46">
        <v>1</v>
      </c>
      <c r="P46">
        <v>1.1676158905029299</v>
      </c>
    </row>
    <row r="47" spans="1:17" x14ac:dyDescent="0.25">
      <c r="A47" t="s">
        <v>17</v>
      </c>
      <c r="B47" t="s">
        <v>81</v>
      </c>
      <c r="C47">
        <v>0</v>
      </c>
      <c r="D47">
        <v>1</v>
      </c>
      <c r="E47">
        <v>1</v>
      </c>
      <c r="F47">
        <v>1</v>
      </c>
      <c r="G47">
        <v>1</v>
      </c>
      <c r="H47">
        <v>1</v>
      </c>
      <c r="I47">
        <v>1</v>
      </c>
      <c r="J47">
        <v>1</v>
      </c>
      <c r="K47">
        <v>1</v>
      </c>
      <c r="L47">
        <v>1</v>
      </c>
      <c r="M47">
        <v>1</v>
      </c>
      <c r="N47">
        <v>1</v>
      </c>
      <c r="P47">
        <v>1.7574644088745119</v>
      </c>
    </row>
    <row r="48" spans="1:17" x14ac:dyDescent="0.25">
      <c r="A48" t="s">
        <v>17</v>
      </c>
      <c r="B48" t="s">
        <v>82</v>
      </c>
      <c r="C48">
        <v>0</v>
      </c>
      <c r="D48">
        <v>1</v>
      </c>
      <c r="E48">
        <v>1</v>
      </c>
      <c r="F48">
        <v>1</v>
      </c>
      <c r="G48">
        <v>1</v>
      </c>
      <c r="H48">
        <v>1</v>
      </c>
      <c r="I48">
        <v>1</v>
      </c>
      <c r="J48">
        <v>1</v>
      </c>
      <c r="K48">
        <v>1</v>
      </c>
      <c r="L48">
        <v>1</v>
      </c>
      <c r="M48">
        <v>1</v>
      </c>
      <c r="N48">
        <v>1</v>
      </c>
      <c r="P48">
        <v>1.674487829208374</v>
      </c>
    </row>
    <row r="49" spans="1:16" x14ac:dyDescent="0.25">
      <c r="A49" t="s">
        <v>17</v>
      </c>
      <c r="B49" t="s">
        <v>83</v>
      </c>
      <c r="C49">
        <v>0</v>
      </c>
      <c r="D49">
        <v>1</v>
      </c>
      <c r="E49">
        <v>0</v>
      </c>
      <c r="F49">
        <v>1</v>
      </c>
      <c r="G49">
        <v>1</v>
      </c>
      <c r="H49" t="s">
        <v>20</v>
      </c>
      <c r="I49">
        <v>1</v>
      </c>
      <c r="J49" t="s">
        <v>20</v>
      </c>
      <c r="K49">
        <v>1</v>
      </c>
      <c r="L49">
        <v>1</v>
      </c>
      <c r="M49">
        <v>1</v>
      </c>
      <c r="N49">
        <v>1</v>
      </c>
      <c r="O49" t="s">
        <v>194</v>
      </c>
      <c r="P49">
        <v>4.2818386554718018</v>
      </c>
    </row>
    <row r="50" spans="1:16" x14ac:dyDescent="0.25">
      <c r="A50" t="s">
        <v>17</v>
      </c>
      <c r="B50" t="s">
        <v>85</v>
      </c>
      <c r="C50">
        <v>0</v>
      </c>
      <c r="D50">
        <v>1</v>
      </c>
      <c r="E50">
        <v>1</v>
      </c>
      <c r="F50">
        <v>1</v>
      </c>
      <c r="G50">
        <v>1</v>
      </c>
      <c r="H50">
        <v>1</v>
      </c>
      <c r="I50">
        <v>1</v>
      </c>
      <c r="J50">
        <v>1</v>
      </c>
      <c r="K50">
        <v>1</v>
      </c>
      <c r="L50">
        <v>1</v>
      </c>
      <c r="M50">
        <v>1</v>
      </c>
      <c r="N50">
        <v>1</v>
      </c>
      <c r="P50">
        <v>1.7394754886627199</v>
      </c>
    </row>
    <row r="51" spans="1:16" x14ac:dyDescent="0.25">
      <c r="A51" t="s">
        <v>86</v>
      </c>
      <c r="B51" t="s">
        <v>18</v>
      </c>
      <c r="C51">
        <v>0</v>
      </c>
      <c r="D51">
        <v>1</v>
      </c>
      <c r="E51">
        <v>1</v>
      </c>
      <c r="F51">
        <v>1</v>
      </c>
      <c r="G51">
        <v>1</v>
      </c>
      <c r="H51">
        <v>1</v>
      </c>
      <c r="I51">
        <v>1</v>
      </c>
      <c r="J51">
        <v>1</v>
      </c>
      <c r="K51">
        <v>1</v>
      </c>
      <c r="L51">
        <v>1</v>
      </c>
      <c r="M51">
        <v>1</v>
      </c>
      <c r="N51">
        <v>1</v>
      </c>
      <c r="P51">
        <v>1.335301399230957</v>
      </c>
    </row>
    <row r="52" spans="1:16" x14ac:dyDescent="0.25">
      <c r="A52" t="s">
        <v>86</v>
      </c>
      <c r="B52" t="s">
        <v>19</v>
      </c>
      <c r="C52">
        <v>0</v>
      </c>
      <c r="D52">
        <v>1</v>
      </c>
      <c r="E52">
        <v>1</v>
      </c>
      <c r="F52">
        <v>1</v>
      </c>
      <c r="G52">
        <v>1</v>
      </c>
      <c r="H52">
        <v>1</v>
      </c>
      <c r="I52">
        <v>1</v>
      </c>
      <c r="J52">
        <v>1</v>
      </c>
      <c r="K52">
        <v>1</v>
      </c>
      <c r="L52">
        <v>1</v>
      </c>
      <c r="M52">
        <v>1</v>
      </c>
      <c r="N52">
        <v>1</v>
      </c>
      <c r="P52">
        <v>1.2394406795501709</v>
      </c>
    </row>
    <row r="53" spans="1:16" x14ac:dyDescent="0.25">
      <c r="A53" t="s">
        <v>86</v>
      </c>
      <c r="B53" t="s">
        <v>22</v>
      </c>
      <c r="C53">
        <v>0</v>
      </c>
      <c r="D53">
        <v>1</v>
      </c>
      <c r="E53">
        <v>1</v>
      </c>
      <c r="F53">
        <v>1</v>
      </c>
      <c r="G53">
        <v>1</v>
      </c>
      <c r="H53">
        <v>1</v>
      </c>
      <c r="I53">
        <v>1</v>
      </c>
      <c r="J53">
        <v>1</v>
      </c>
      <c r="K53">
        <v>1</v>
      </c>
      <c r="L53">
        <v>1</v>
      </c>
      <c r="M53">
        <v>1</v>
      </c>
      <c r="N53">
        <v>1</v>
      </c>
      <c r="P53">
        <v>1.1495199203491211</v>
      </c>
    </row>
    <row r="54" spans="1:16" x14ac:dyDescent="0.25">
      <c r="A54" t="s">
        <v>86</v>
      </c>
      <c r="B54" t="s">
        <v>24</v>
      </c>
      <c r="C54">
        <v>0</v>
      </c>
      <c r="D54">
        <v>1</v>
      </c>
      <c r="E54">
        <v>1</v>
      </c>
      <c r="F54">
        <v>1</v>
      </c>
      <c r="G54">
        <v>1</v>
      </c>
      <c r="H54">
        <v>1</v>
      </c>
      <c r="I54">
        <v>1</v>
      </c>
      <c r="J54">
        <v>1</v>
      </c>
      <c r="K54">
        <v>1</v>
      </c>
      <c r="L54">
        <v>1</v>
      </c>
      <c r="M54">
        <v>1</v>
      </c>
      <c r="N54">
        <v>1</v>
      </c>
      <c r="P54">
        <v>1.126109838485718</v>
      </c>
    </row>
    <row r="55" spans="1:16" x14ac:dyDescent="0.25">
      <c r="A55" t="s">
        <v>86</v>
      </c>
      <c r="B55" t="s">
        <v>25</v>
      </c>
      <c r="C55">
        <v>0</v>
      </c>
      <c r="D55">
        <v>1</v>
      </c>
      <c r="E55">
        <v>1</v>
      </c>
      <c r="F55">
        <v>1</v>
      </c>
      <c r="G55">
        <v>1</v>
      </c>
      <c r="H55">
        <v>1</v>
      </c>
      <c r="I55">
        <v>1</v>
      </c>
      <c r="J55">
        <v>1</v>
      </c>
      <c r="K55">
        <v>1</v>
      </c>
      <c r="L55">
        <v>1</v>
      </c>
      <c r="M55">
        <v>1</v>
      </c>
      <c r="N55">
        <v>1</v>
      </c>
      <c r="P55">
        <v>1.9189367294311519</v>
      </c>
    </row>
    <row r="56" spans="1:16" x14ac:dyDescent="0.25">
      <c r="A56" t="s">
        <v>86</v>
      </c>
      <c r="B56" t="s">
        <v>26</v>
      </c>
      <c r="C56">
        <v>0</v>
      </c>
      <c r="D56">
        <v>1</v>
      </c>
      <c r="E56">
        <v>0</v>
      </c>
      <c r="F56">
        <v>1</v>
      </c>
      <c r="G56">
        <v>1</v>
      </c>
      <c r="H56" t="s">
        <v>20</v>
      </c>
      <c r="I56">
        <v>1</v>
      </c>
      <c r="J56" t="s">
        <v>20</v>
      </c>
      <c r="K56">
        <v>1</v>
      </c>
      <c r="L56">
        <v>1</v>
      </c>
      <c r="M56">
        <v>1</v>
      </c>
      <c r="N56">
        <v>1</v>
      </c>
      <c r="O56" t="s">
        <v>195</v>
      </c>
      <c r="P56">
        <v>4.6449062824249268</v>
      </c>
    </row>
    <row r="57" spans="1:16" x14ac:dyDescent="0.25">
      <c r="A57" t="s">
        <v>86</v>
      </c>
      <c r="B57" t="s">
        <v>27</v>
      </c>
      <c r="C57">
        <v>0</v>
      </c>
      <c r="D57">
        <v>1</v>
      </c>
      <c r="E57">
        <v>1</v>
      </c>
      <c r="F57">
        <v>1</v>
      </c>
      <c r="G57">
        <v>1</v>
      </c>
      <c r="H57">
        <v>1</v>
      </c>
      <c r="I57">
        <v>1</v>
      </c>
      <c r="J57">
        <v>1</v>
      </c>
      <c r="K57">
        <v>1</v>
      </c>
      <c r="L57">
        <v>1</v>
      </c>
      <c r="M57">
        <v>1</v>
      </c>
      <c r="N57">
        <v>1</v>
      </c>
      <c r="P57">
        <v>1.4189968109130859</v>
      </c>
    </row>
    <row r="58" spans="1:16" x14ac:dyDescent="0.25">
      <c r="A58" t="s">
        <v>86</v>
      </c>
      <c r="B58" t="s">
        <v>29</v>
      </c>
      <c r="C58">
        <v>0</v>
      </c>
      <c r="D58">
        <v>1</v>
      </c>
      <c r="E58">
        <v>1</v>
      </c>
      <c r="F58">
        <v>1</v>
      </c>
      <c r="G58">
        <v>1</v>
      </c>
      <c r="H58">
        <v>1</v>
      </c>
      <c r="I58">
        <v>1</v>
      </c>
      <c r="J58">
        <v>1</v>
      </c>
      <c r="K58">
        <v>1</v>
      </c>
      <c r="L58">
        <v>1</v>
      </c>
      <c r="M58">
        <v>1</v>
      </c>
      <c r="N58">
        <v>1</v>
      </c>
      <c r="P58">
        <v>1.6930029392242429</v>
      </c>
    </row>
    <row r="59" spans="1:16" x14ac:dyDescent="0.25">
      <c r="A59" t="s">
        <v>86</v>
      </c>
      <c r="B59" t="s">
        <v>30</v>
      </c>
      <c r="C59">
        <v>0</v>
      </c>
      <c r="D59">
        <v>1</v>
      </c>
      <c r="E59">
        <v>1</v>
      </c>
      <c r="F59">
        <v>1</v>
      </c>
      <c r="G59">
        <v>0</v>
      </c>
      <c r="H59">
        <v>1</v>
      </c>
      <c r="I59">
        <v>1</v>
      </c>
      <c r="J59">
        <v>1</v>
      </c>
      <c r="K59">
        <v>1</v>
      </c>
      <c r="L59">
        <v>1</v>
      </c>
      <c r="M59">
        <v>1</v>
      </c>
      <c r="N59">
        <v>1</v>
      </c>
      <c r="O59" t="s">
        <v>196</v>
      </c>
      <c r="P59">
        <v>1.582597017288208</v>
      </c>
    </row>
    <row r="60" spans="1:16" x14ac:dyDescent="0.25">
      <c r="A60" t="s">
        <v>86</v>
      </c>
      <c r="B60" t="s">
        <v>32</v>
      </c>
      <c r="C60">
        <v>0</v>
      </c>
      <c r="D60">
        <v>1</v>
      </c>
      <c r="E60">
        <v>1</v>
      </c>
      <c r="F60">
        <v>1</v>
      </c>
      <c r="G60">
        <v>1</v>
      </c>
      <c r="H60">
        <v>1</v>
      </c>
      <c r="I60">
        <v>1</v>
      </c>
      <c r="J60">
        <v>1</v>
      </c>
      <c r="K60">
        <v>1</v>
      </c>
      <c r="L60">
        <v>1</v>
      </c>
      <c r="M60">
        <v>1</v>
      </c>
      <c r="N60">
        <v>1</v>
      </c>
      <c r="P60">
        <v>1.645805358886719</v>
      </c>
    </row>
    <row r="61" spans="1:16" x14ac:dyDescent="0.25">
      <c r="A61" t="s">
        <v>86</v>
      </c>
      <c r="B61" t="s">
        <v>33</v>
      </c>
      <c r="C61">
        <v>0</v>
      </c>
      <c r="D61">
        <v>1</v>
      </c>
      <c r="E61">
        <v>1</v>
      </c>
      <c r="F61">
        <v>1</v>
      </c>
      <c r="G61">
        <v>1</v>
      </c>
      <c r="H61">
        <v>1</v>
      </c>
      <c r="I61">
        <v>1</v>
      </c>
      <c r="J61">
        <v>1</v>
      </c>
      <c r="K61">
        <v>1</v>
      </c>
      <c r="L61">
        <v>1</v>
      </c>
      <c r="M61">
        <v>1</v>
      </c>
      <c r="N61">
        <v>1</v>
      </c>
      <c r="P61">
        <v>1.4891200065612791</v>
      </c>
    </row>
    <row r="62" spans="1:16" x14ac:dyDescent="0.25">
      <c r="A62" t="s">
        <v>86</v>
      </c>
      <c r="B62" t="s">
        <v>34</v>
      </c>
      <c r="C62">
        <v>0</v>
      </c>
      <c r="D62">
        <v>1</v>
      </c>
      <c r="E62">
        <v>1</v>
      </c>
      <c r="F62">
        <v>1</v>
      </c>
      <c r="G62">
        <v>1</v>
      </c>
      <c r="H62">
        <v>1</v>
      </c>
      <c r="I62">
        <v>1</v>
      </c>
      <c r="J62">
        <v>1</v>
      </c>
      <c r="K62">
        <v>1</v>
      </c>
      <c r="L62">
        <v>1</v>
      </c>
      <c r="M62">
        <v>1</v>
      </c>
      <c r="N62">
        <v>1</v>
      </c>
      <c r="P62">
        <v>1.265722513198853</v>
      </c>
    </row>
    <row r="63" spans="1:16" x14ac:dyDescent="0.25">
      <c r="A63" t="s">
        <v>86</v>
      </c>
      <c r="B63" t="s">
        <v>35</v>
      </c>
      <c r="C63">
        <v>0</v>
      </c>
      <c r="D63">
        <v>1</v>
      </c>
      <c r="E63">
        <v>1</v>
      </c>
      <c r="F63">
        <v>1</v>
      </c>
      <c r="G63">
        <v>1</v>
      </c>
      <c r="H63">
        <v>1</v>
      </c>
      <c r="I63">
        <v>1</v>
      </c>
      <c r="J63">
        <v>1</v>
      </c>
      <c r="K63">
        <v>1</v>
      </c>
      <c r="L63">
        <v>1</v>
      </c>
      <c r="M63">
        <v>1</v>
      </c>
      <c r="N63">
        <v>1</v>
      </c>
      <c r="P63">
        <v>1.104500293731689</v>
      </c>
    </row>
    <row r="64" spans="1:16" x14ac:dyDescent="0.25">
      <c r="A64" t="s">
        <v>86</v>
      </c>
      <c r="B64" t="s">
        <v>37</v>
      </c>
      <c r="C64">
        <v>0</v>
      </c>
      <c r="D64">
        <v>1</v>
      </c>
      <c r="E64">
        <v>1</v>
      </c>
      <c r="F64">
        <v>1</v>
      </c>
      <c r="G64">
        <v>1</v>
      </c>
      <c r="H64">
        <v>1</v>
      </c>
      <c r="I64">
        <v>1</v>
      </c>
      <c r="J64">
        <v>0</v>
      </c>
      <c r="K64">
        <v>1</v>
      </c>
      <c r="L64">
        <v>1</v>
      </c>
      <c r="M64">
        <v>1</v>
      </c>
      <c r="N64">
        <v>1</v>
      </c>
      <c r="O64" t="s">
        <v>197</v>
      </c>
      <c r="P64">
        <v>4.289262056350708</v>
      </c>
    </row>
    <row r="65" spans="1:16" x14ac:dyDescent="0.25">
      <c r="A65" t="s">
        <v>86</v>
      </c>
      <c r="B65" t="s">
        <v>38</v>
      </c>
      <c r="C65">
        <v>0</v>
      </c>
      <c r="D65">
        <v>1</v>
      </c>
      <c r="E65">
        <v>1</v>
      </c>
      <c r="F65">
        <v>1</v>
      </c>
      <c r="G65">
        <v>1</v>
      </c>
      <c r="H65">
        <v>1</v>
      </c>
      <c r="I65">
        <v>1</v>
      </c>
      <c r="J65">
        <v>1</v>
      </c>
      <c r="K65">
        <v>1</v>
      </c>
      <c r="L65">
        <v>0</v>
      </c>
      <c r="M65">
        <v>1</v>
      </c>
      <c r="N65">
        <v>1</v>
      </c>
      <c r="O65" t="s">
        <v>198</v>
      </c>
      <c r="P65">
        <v>3.373956441879272</v>
      </c>
    </row>
    <row r="66" spans="1:16" x14ac:dyDescent="0.25">
      <c r="A66" t="s">
        <v>86</v>
      </c>
      <c r="B66" t="s">
        <v>39</v>
      </c>
      <c r="C66">
        <v>0</v>
      </c>
      <c r="D66">
        <v>1</v>
      </c>
      <c r="E66">
        <v>1</v>
      </c>
      <c r="F66">
        <v>1</v>
      </c>
      <c r="G66">
        <v>1</v>
      </c>
      <c r="H66">
        <v>1</v>
      </c>
      <c r="I66">
        <v>1</v>
      </c>
      <c r="J66">
        <v>1</v>
      </c>
      <c r="K66">
        <v>1</v>
      </c>
      <c r="L66">
        <v>1</v>
      </c>
      <c r="M66">
        <v>1</v>
      </c>
      <c r="N66">
        <v>1</v>
      </c>
      <c r="P66">
        <v>1.1211123466491699</v>
      </c>
    </row>
    <row r="67" spans="1:16" x14ac:dyDescent="0.25">
      <c r="A67" t="s">
        <v>86</v>
      </c>
      <c r="B67" t="s">
        <v>40</v>
      </c>
      <c r="C67">
        <v>0</v>
      </c>
      <c r="D67">
        <v>1</v>
      </c>
      <c r="E67">
        <v>1</v>
      </c>
      <c r="F67">
        <v>1</v>
      </c>
      <c r="G67">
        <v>1</v>
      </c>
      <c r="H67">
        <v>1</v>
      </c>
      <c r="I67">
        <v>1</v>
      </c>
      <c r="J67">
        <v>1</v>
      </c>
      <c r="K67">
        <v>1</v>
      </c>
      <c r="L67">
        <v>1</v>
      </c>
      <c r="M67">
        <v>1</v>
      </c>
      <c r="N67">
        <v>1</v>
      </c>
      <c r="P67">
        <v>1.242332458496094</v>
      </c>
    </row>
    <row r="68" spans="1:16" x14ac:dyDescent="0.25">
      <c r="A68" t="s">
        <v>86</v>
      </c>
      <c r="B68" t="s">
        <v>41</v>
      </c>
      <c r="C68">
        <v>0</v>
      </c>
      <c r="D68">
        <v>1</v>
      </c>
      <c r="E68">
        <v>0</v>
      </c>
      <c r="F68">
        <v>1</v>
      </c>
      <c r="G68">
        <v>1</v>
      </c>
      <c r="H68" t="s">
        <v>20</v>
      </c>
      <c r="I68">
        <v>1</v>
      </c>
      <c r="J68" t="s">
        <v>20</v>
      </c>
      <c r="K68">
        <v>1</v>
      </c>
      <c r="L68">
        <v>1</v>
      </c>
      <c r="M68">
        <v>1</v>
      </c>
      <c r="N68">
        <v>1</v>
      </c>
      <c r="O68" t="s">
        <v>199</v>
      </c>
      <c r="P68">
        <v>4.5094070434570313</v>
      </c>
    </row>
    <row r="69" spans="1:16" x14ac:dyDescent="0.25">
      <c r="A69" t="s">
        <v>86</v>
      </c>
      <c r="B69" t="s">
        <v>42</v>
      </c>
      <c r="C69">
        <v>0</v>
      </c>
      <c r="D69">
        <v>1</v>
      </c>
      <c r="E69">
        <v>1</v>
      </c>
      <c r="F69">
        <v>1</v>
      </c>
      <c r="G69">
        <v>1</v>
      </c>
      <c r="H69">
        <v>1</v>
      </c>
      <c r="I69">
        <v>1</v>
      </c>
      <c r="J69">
        <v>1</v>
      </c>
      <c r="K69">
        <v>1</v>
      </c>
      <c r="L69">
        <v>1</v>
      </c>
      <c r="M69">
        <v>1</v>
      </c>
      <c r="N69">
        <v>1</v>
      </c>
      <c r="P69">
        <v>1.595581531524658</v>
      </c>
    </row>
    <row r="70" spans="1:16" x14ac:dyDescent="0.25">
      <c r="A70" t="s">
        <v>86</v>
      </c>
      <c r="B70" t="s">
        <v>43</v>
      </c>
      <c r="C70">
        <v>0</v>
      </c>
      <c r="D70">
        <v>1</v>
      </c>
      <c r="E70">
        <v>1</v>
      </c>
      <c r="F70">
        <v>1</v>
      </c>
      <c r="G70">
        <v>1</v>
      </c>
      <c r="H70">
        <v>1</v>
      </c>
      <c r="I70">
        <v>1</v>
      </c>
      <c r="J70">
        <v>1</v>
      </c>
      <c r="K70">
        <v>1</v>
      </c>
      <c r="L70">
        <v>1</v>
      </c>
      <c r="M70">
        <v>1</v>
      </c>
      <c r="N70">
        <v>1</v>
      </c>
      <c r="P70">
        <v>1.3021872043609619</v>
      </c>
    </row>
    <row r="71" spans="1:16" x14ac:dyDescent="0.25">
      <c r="A71" t="s">
        <v>86</v>
      </c>
      <c r="B71" t="s">
        <v>44</v>
      </c>
      <c r="C71">
        <v>0</v>
      </c>
      <c r="D71">
        <v>1</v>
      </c>
      <c r="E71">
        <v>1</v>
      </c>
      <c r="F71">
        <v>0</v>
      </c>
      <c r="G71">
        <v>1</v>
      </c>
      <c r="H71">
        <v>1</v>
      </c>
      <c r="I71">
        <v>1</v>
      </c>
      <c r="J71" t="s">
        <v>20</v>
      </c>
      <c r="K71">
        <v>1</v>
      </c>
      <c r="L71">
        <v>1</v>
      </c>
      <c r="M71">
        <v>1</v>
      </c>
      <c r="N71">
        <v>1</v>
      </c>
      <c r="O71" t="s">
        <v>200</v>
      </c>
      <c r="P71">
        <v>2.5408134460449219</v>
      </c>
    </row>
    <row r="72" spans="1:16" x14ac:dyDescent="0.25">
      <c r="A72" t="s">
        <v>86</v>
      </c>
      <c r="B72" t="s">
        <v>45</v>
      </c>
      <c r="C72">
        <v>0</v>
      </c>
      <c r="D72">
        <v>1</v>
      </c>
      <c r="E72">
        <v>1</v>
      </c>
      <c r="F72">
        <v>1</v>
      </c>
      <c r="G72">
        <v>1</v>
      </c>
      <c r="H72">
        <v>1</v>
      </c>
      <c r="I72">
        <v>1</v>
      </c>
      <c r="J72">
        <v>1</v>
      </c>
      <c r="K72">
        <v>1</v>
      </c>
      <c r="L72">
        <v>1</v>
      </c>
      <c r="M72">
        <v>1</v>
      </c>
      <c r="N72">
        <v>1</v>
      </c>
      <c r="P72">
        <v>1.5579085350036621</v>
      </c>
    </row>
    <row r="73" spans="1:16" x14ac:dyDescent="0.25">
      <c r="A73" t="s">
        <v>86</v>
      </c>
      <c r="B73" t="s">
        <v>47</v>
      </c>
      <c r="C73">
        <v>0</v>
      </c>
      <c r="D73">
        <v>1</v>
      </c>
      <c r="E73">
        <v>1</v>
      </c>
      <c r="F73">
        <v>1</v>
      </c>
      <c r="G73">
        <v>1</v>
      </c>
      <c r="H73">
        <v>1</v>
      </c>
      <c r="I73">
        <v>1</v>
      </c>
      <c r="J73">
        <v>1</v>
      </c>
      <c r="K73">
        <v>1</v>
      </c>
      <c r="L73">
        <v>1</v>
      </c>
      <c r="M73">
        <v>1</v>
      </c>
      <c r="N73">
        <v>1</v>
      </c>
      <c r="P73">
        <v>1.1720917224884031</v>
      </c>
    </row>
    <row r="74" spans="1:16" x14ac:dyDescent="0.25">
      <c r="A74" t="s">
        <v>86</v>
      </c>
      <c r="B74" t="s">
        <v>48</v>
      </c>
      <c r="C74">
        <v>0</v>
      </c>
      <c r="D74">
        <v>1</v>
      </c>
      <c r="E74">
        <v>0</v>
      </c>
      <c r="F74">
        <v>0</v>
      </c>
      <c r="G74">
        <v>1</v>
      </c>
      <c r="H74" t="s">
        <v>20</v>
      </c>
      <c r="I74">
        <v>1</v>
      </c>
      <c r="J74" t="s">
        <v>20</v>
      </c>
      <c r="K74">
        <v>1</v>
      </c>
      <c r="L74">
        <v>1</v>
      </c>
      <c r="M74">
        <v>1</v>
      </c>
      <c r="N74">
        <v>1</v>
      </c>
      <c r="O74" t="s">
        <v>201</v>
      </c>
      <c r="P74">
        <v>6.3240973949432373</v>
      </c>
    </row>
    <row r="75" spans="1:16" x14ac:dyDescent="0.25">
      <c r="A75" t="s">
        <v>86</v>
      </c>
      <c r="B75" t="s">
        <v>50</v>
      </c>
      <c r="C75">
        <v>0</v>
      </c>
      <c r="D75">
        <v>1</v>
      </c>
      <c r="E75">
        <v>1</v>
      </c>
      <c r="F75">
        <v>1</v>
      </c>
      <c r="G75">
        <v>1</v>
      </c>
      <c r="H75">
        <v>1</v>
      </c>
      <c r="I75">
        <v>1</v>
      </c>
      <c r="J75">
        <v>1</v>
      </c>
      <c r="K75">
        <v>1</v>
      </c>
      <c r="L75">
        <v>1</v>
      </c>
      <c r="M75">
        <v>1</v>
      </c>
      <c r="N75">
        <v>1</v>
      </c>
      <c r="P75">
        <v>1.768813371658325</v>
      </c>
    </row>
    <row r="76" spans="1:16" x14ac:dyDescent="0.25">
      <c r="A76" t="s">
        <v>86</v>
      </c>
      <c r="B76" t="s">
        <v>51</v>
      </c>
      <c r="C76">
        <v>0</v>
      </c>
      <c r="D76">
        <v>1</v>
      </c>
      <c r="E76">
        <v>1</v>
      </c>
      <c r="F76">
        <v>1</v>
      </c>
      <c r="G76">
        <v>0</v>
      </c>
      <c r="H76">
        <v>1</v>
      </c>
      <c r="I76">
        <v>1</v>
      </c>
      <c r="J76">
        <v>1</v>
      </c>
      <c r="K76">
        <v>1</v>
      </c>
      <c r="L76">
        <v>1</v>
      </c>
      <c r="M76">
        <v>1</v>
      </c>
      <c r="N76">
        <v>1</v>
      </c>
      <c r="O76" t="s">
        <v>202</v>
      </c>
      <c r="P76">
        <v>3.3945732116699219</v>
      </c>
    </row>
    <row r="77" spans="1:16" x14ac:dyDescent="0.25">
      <c r="A77" t="s">
        <v>86</v>
      </c>
      <c r="B77" t="s">
        <v>53</v>
      </c>
      <c r="C77">
        <v>0</v>
      </c>
      <c r="D77">
        <v>1</v>
      </c>
      <c r="E77">
        <v>0</v>
      </c>
      <c r="F77">
        <v>1</v>
      </c>
      <c r="G77">
        <v>1</v>
      </c>
      <c r="H77" t="s">
        <v>20</v>
      </c>
      <c r="I77">
        <v>1</v>
      </c>
      <c r="J77" t="s">
        <v>20</v>
      </c>
      <c r="K77">
        <v>1</v>
      </c>
      <c r="L77">
        <v>1</v>
      </c>
      <c r="M77">
        <v>1</v>
      </c>
      <c r="N77">
        <v>1</v>
      </c>
      <c r="O77" t="s">
        <v>203</v>
      </c>
      <c r="P77">
        <v>2.3133928775787349</v>
      </c>
    </row>
    <row r="78" spans="1:16" x14ac:dyDescent="0.25">
      <c r="A78" t="s">
        <v>86</v>
      </c>
      <c r="B78" t="s">
        <v>55</v>
      </c>
      <c r="C78">
        <v>0</v>
      </c>
      <c r="D78">
        <v>1</v>
      </c>
      <c r="E78">
        <v>1</v>
      </c>
      <c r="F78">
        <v>1</v>
      </c>
      <c r="G78">
        <v>1</v>
      </c>
      <c r="H78">
        <v>1</v>
      </c>
      <c r="I78">
        <v>1</v>
      </c>
      <c r="J78">
        <v>1</v>
      </c>
      <c r="K78">
        <v>1</v>
      </c>
      <c r="L78">
        <v>1</v>
      </c>
      <c r="M78">
        <v>0</v>
      </c>
      <c r="N78">
        <v>1</v>
      </c>
      <c r="O78" t="s">
        <v>204</v>
      </c>
      <c r="P78">
        <v>1.9579648971557619</v>
      </c>
    </row>
    <row r="79" spans="1:16" x14ac:dyDescent="0.25">
      <c r="A79" t="s">
        <v>86</v>
      </c>
      <c r="B79" t="s">
        <v>56</v>
      </c>
      <c r="C79">
        <v>0</v>
      </c>
      <c r="D79">
        <v>1</v>
      </c>
      <c r="E79">
        <v>1</v>
      </c>
      <c r="F79">
        <v>1</v>
      </c>
      <c r="G79">
        <v>1</v>
      </c>
      <c r="H79">
        <v>1</v>
      </c>
      <c r="I79">
        <v>1</v>
      </c>
      <c r="J79">
        <v>1</v>
      </c>
      <c r="K79">
        <v>1</v>
      </c>
      <c r="L79">
        <v>1</v>
      </c>
      <c r="M79">
        <v>1</v>
      </c>
      <c r="N79">
        <v>1</v>
      </c>
      <c r="P79">
        <v>1.5087599754333501</v>
      </c>
    </row>
    <row r="80" spans="1:16" x14ac:dyDescent="0.25">
      <c r="A80" t="s">
        <v>86</v>
      </c>
      <c r="B80" t="s">
        <v>58</v>
      </c>
      <c r="C80">
        <v>0</v>
      </c>
      <c r="D80">
        <v>1</v>
      </c>
      <c r="E80">
        <v>1</v>
      </c>
      <c r="F80">
        <v>1</v>
      </c>
      <c r="G80">
        <v>1</v>
      </c>
      <c r="H80">
        <v>1</v>
      </c>
      <c r="I80">
        <v>1</v>
      </c>
      <c r="J80">
        <v>1</v>
      </c>
      <c r="K80">
        <v>1</v>
      </c>
      <c r="L80">
        <v>1</v>
      </c>
      <c r="M80">
        <v>1</v>
      </c>
      <c r="N80">
        <v>1</v>
      </c>
      <c r="P80">
        <v>1.2272412776947019</v>
      </c>
    </row>
    <row r="81" spans="1:16" x14ac:dyDescent="0.25">
      <c r="A81" t="s">
        <v>86</v>
      </c>
      <c r="B81" t="s">
        <v>60</v>
      </c>
      <c r="C81">
        <v>0</v>
      </c>
      <c r="D81">
        <v>1</v>
      </c>
      <c r="E81">
        <v>1</v>
      </c>
      <c r="F81">
        <v>1</v>
      </c>
      <c r="G81">
        <v>1</v>
      </c>
      <c r="H81">
        <v>1</v>
      </c>
      <c r="I81">
        <v>1</v>
      </c>
      <c r="J81">
        <v>1</v>
      </c>
      <c r="K81">
        <v>1</v>
      </c>
      <c r="L81">
        <v>1</v>
      </c>
      <c r="M81">
        <v>1</v>
      </c>
      <c r="N81">
        <v>1</v>
      </c>
      <c r="P81">
        <v>1.636043787002563</v>
      </c>
    </row>
    <row r="82" spans="1:16" x14ac:dyDescent="0.25">
      <c r="A82" t="s">
        <v>86</v>
      </c>
      <c r="B82" t="s">
        <v>62</v>
      </c>
      <c r="C82">
        <v>0</v>
      </c>
      <c r="D82">
        <v>1</v>
      </c>
      <c r="E82">
        <v>1</v>
      </c>
      <c r="F82">
        <v>1</v>
      </c>
      <c r="G82">
        <v>1</v>
      </c>
      <c r="H82">
        <v>1</v>
      </c>
      <c r="I82">
        <v>1</v>
      </c>
      <c r="J82">
        <v>1</v>
      </c>
      <c r="K82">
        <v>1</v>
      </c>
      <c r="L82">
        <v>1</v>
      </c>
      <c r="M82">
        <v>1</v>
      </c>
      <c r="N82">
        <v>1</v>
      </c>
      <c r="P82">
        <v>1.222198486328125</v>
      </c>
    </row>
    <row r="83" spans="1:16" x14ac:dyDescent="0.25">
      <c r="A83" t="s">
        <v>86</v>
      </c>
      <c r="B83" t="s">
        <v>63</v>
      </c>
      <c r="C83">
        <v>0</v>
      </c>
      <c r="D83">
        <v>1</v>
      </c>
      <c r="E83">
        <v>1</v>
      </c>
      <c r="F83">
        <v>1</v>
      </c>
      <c r="G83">
        <v>0</v>
      </c>
      <c r="H83">
        <v>1</v>
      </c>
      <c r="I83">
        <v>1</v>
      </c>
      <c r="J83">
        <v>1</v>
      </c>
      <c r="K83">
        <v>1</v>
      </c>
      <c r="L83">
        <v>1</v>
      </c>
      <c r="M83">
        <v>1</v>
      </c>
      <c r="N83">
        <v>1</v>
      </c>
      <c r="O83" t="s">
        <v>205</v>
      </c>
      <c r="P83">
        <v>2.9778976440429692</v>
      </c>
    </row>
    <row r="84" spans="1:16" x14ac:dyDescent="0.25">
      <c r="A84" t="s">
        <v>86</v>
      </c>
      <c r="B84" t="s">
        <v>65</v>
      </c>
      <c r="C84">
        <v>0</v>
      </c>
      <c r="D84">
        <v>1</v>
      </c>
      <c r="E84">
        <v>1</v>
      </c>
      <c r="F84">
        <v>1</v>
      </c>
      <c r="G84">
        <v>1</v>
      </c>
      <c r="H84">
        <v>1</v>
      </c>
      <c r="I84">
        <v>1</v>
      </c>
      <c r="J84">
        <v>1</v>
      </c>
      <c r="K84">
        <v>1</v>
      </c>
      <c r="L84">
        <v>1</v>
      </c>
      <c r="M84">
        <v>1</v>
      </c>
      <c r="N84">
        <v>1</v>
      </c>
      <c r="P84">
        <v>1.29168176651001</v>
      </c>
    </row>
    <row r="85" spans="1:16" x14ac:dyDescent="0.25">
      <c r="A85" t="s">
        <v>86</v>
      </c>
      <c r="B85" t="s">
        <v>66</v>
      </c>
      <c r="C85">
        <v>0</v>
      </c>
      <c r="D85">
        <v>1</v>
      </c>
      <c r="E85">
        <v>1</v>
      </c>
      <c r="F85">
        <v>1</v>
      </c>
      <c r="G85">
        <v>0</v>
      </c>
      <c r="H85">
        <v>1</v>
      </c>
      <c r="I85">
        <v>1</v>
      </c>
      <c r="J85">
        <v>1</v>
      </c>
      <c r="K85">
        <v>1</v>
      </c>
      <c r="L85">
        <v>1</v>
      </c>
      <c r="M85">
        <v>1</v>
      </c>
      <c r="N85">
        <v>1</v>
      </c>
      <c r="O85" t="s">
        <v>206</v>
      </c>
      <c r="P85">
        <v>2.5405137538909912</v>
      </c>
    </row>
    <row r="86" spans="1:16" x14ac:dyDescent="0.25">
      <c r="A86" t="s">
        <v>86</v>
      </c>
      <c r="B86" t="s">
        <v>67</v>
      </c>
      <c r="C86">
        <v>0</v>
      </c>
      <c r="D86">
        <v>1</v>
      </c>
      <c r="E86">
        <v>1</v>
      </c>
      <c r="F86">
        <v>0</v>
      </c>
      <c r="G86">
        <v>1</v>
      </c>
      <c r="H86">
        <v>1</v>
      </c>
      <c r="I86">
        <v>1</v>
      </c>
      <c r="J86" t="s">
        <v>20</v>
      </c>
      <c r="K86">
        <v>1</v>
      </c>
      <c r="L86">
        <v>1</v>
      </c>
      <c r="M86">
        <v>1</v>
      </c>
      <c r="N86">
        <v>1</v>
      </c>
      <c r="O86" t="s">
        <v>207</v>
      </c>
      <c r="P86">
        <v>5.138716459274292</v>
      </c>
    </row>
    <row r="87" spans="1:16" x14ac:dyDescent="0.25">
      <c r="A87" t="s">
        <v>86</v>
      </c>
      <c r="B87" t="s">
        <v>68</v>
      </c>
      <c r="C87">
        <v>0</v>
      </c>
      <c r="D87">
        <v>1</v>
      </c>
      <c r="E87">
        <v>1</v>
      </c>
      <c r="F87">
        <v>1</v>
      </c>
      <c r="G87">
        <v>1</v>
      </c>
      <c r="H87">
        <v>1</v>
      </c>
      <c r="I87">
        <v>1</v>
      </c>
      <c r="J87">
        <v>1</v>
      </c>
      <c r="K87">
        <v>1</v>
      </c>
      <c r="L87">
        <v>1</v>
      </c>
      <c r="M87">
        <v>1</v>
      </c>
      <c r="N87">
        <v>1</v>
      </c>
      <c r="P87">
        <v>1.239788293838501</v>
      </c>
    </row>
    <row r="88" spans="1:16" x14ac:dyDescent="0.25">
      <c r="A88" t="s">
        <v>86</v>
      </c>
      <c r="B88" t="s">
        <v>69</v>
      </c>
      <c r="C88">
        <v>0</v>
      </c>
      <c r="D88">
        <v>1</v>
      </c>
      <c r="E88">
        <v>1</v>
      </c>
      <c r="F88">
        <v>1</v>
      </c>
      <c r="G88">
        <v>1</v>
      </c>
      <c r="H88">
        <v>1</v>
      </c>
      <c r="I88">
        <v>1</v>
      </c>
      <c r="J88">
        <v>1</v>
      </c>
      <c r="K88">
        <v>1</v>
      </c>
      <c r="L88">
        <v>1</v>
      </c>
      <c r="M88">
        <v>1</v>
      </c>
      <c r="N88">
        <v>1</v>
      </c>
      <c r="P88">
        <v>1.849261999130249</v>
      </c>
    </row>
    <row r="89" spans="1:16" x14ac:dyDescent="0.25">
      <c r="A89" t="s">
        <v>86</v>
      </c>
      <c r="B89" t="s">
        <v>71</v>
      </c>
      <c r="C89">
        <v>0</v>
      </c>
      <c r="D89">
        <v>1</v>
      </c>
      <c r="E89">
        <v>1</v>
      </c>
      <c r="F89">
        <v>1</v>
      </c>
      <c r="G89">
        <v>1</v>
      </c>
      <c r="H89">
        <v>1</v>
      </c>
      <c r="I89">
        <v>1</v>
      </c>
      <c r="J89">
        <v>1</v>
      </c>
      <c r="K89">
        <v>1</v>
      </c>
      <c r="L89">
        <v>1</v>
      </c>
      <c r="M89">
        <v>1</v>
      </c>
      <c r="N89">
        <v>1</v>
      </c>
      <c r="P89">
        <v>1.328313827514648</v>
      </c>
    </row>
    <row r="90" spans="1:16" x14ac:dyDescent="0.25">
      <c r="A90" t="s">
        <v>86</v>
      </c>
      <c r="B90" t="s">
        <v>73</v>
      </c>
      <c r="C90">
        <v>0</v>
      </c>
      <c r="D90">
        <v>1</v>
      </c>
      <c r="E90">
        <v>1</v>
      </c>
      <c r="F90">
        <v>1</v>
      </c>
      <c r="G90">
        <v>1</v>
      </c>
      <c r="H90">
        <v>1</v>
      </c>
      <c r="I90">
        <v>1</v>
      </c>
      <c r="J90">
        <v>1</v>
      </c>
      <c r="K90">
        <v>1</v>
      </c>
      <c r="L90">
        <v>1</v>
      </c>
      <c r="M90">
        <v>1</v>
      </c>
      <c r="N90">
        <v>1</v>
      </c>
      <c r="P90">
        <v>1.2056505680084231</v>
      </c>
    </row>
    <row r="91" spans="1:16" x14ac:dyDescent="0.25">
      <c r="A91" t="s">
        <v>86</v>
      </c>
      <c r="B91" t="s">
        <v>75</v>
      </c>
      <c r="C91">
        <v>0</v>
      </c>
      <c r="D91">
        <v>1</v>
      </c>
      <c r="E91">
        <v>1</v>
      </c>
      <c r="F91">
        <v>1</v>
      </c>
      <c r="G91">
        <v>1</v>
      </c>
      <c r="H91">
        <v>1</v>
      </c>
      <c r="I91">
        <v>1</v>
      </c>
      <c r="J91">
        <v>1</v>
      </c>
      <c r="K91">
        <v>1</v>
      </c>
      <c r="L91">
        <v>1</v>
      </c>
      <c r="M91">
        <v>1</v>
      </c>
      <c r="N91">
        <v>1</v>
      </c>
      <c r="P91">
        <v>1.378348827362061</v>
      </c>
    </row>
    <row r="92" spans="1:16" x14ac:dyDescent="0.25">
      <c r="A92" t="s">
        <v>86</v>
      </c>
      <c r="B92" t="s">
        <v>77</v>
      </c>
      <c r="C92">
        <v>0</v>
      </c>
      <c r="D92">
        <v>1</v>
      </c>
      <c r="E92">
        <v>1</v>
      </c>
      <c r="F92">
        <v>1</v>
      </c>
      <c r="G92">
        <v>1</v>
      </c>
      <c r="H92">
        <v>1</v>
      </c>
      <c r="I92">
        <v>1</v>
      </c>
      <c r="J92">
        <v>1</v>
      </c>
      <c r="K92">
        <v>1</v>
      </c>
      <c r="L92">
        <v>1</v>
      </c>
      <c r="M92">
        <v>1</v>
      </c>
      <c r="N92">
        <v>1</v>
      </c>
      <c r="P92">
        <v>1.4118449687957759</v>
      </c>
    </row>
    <row r="93" spans="1:16" x14ac:dyDescent="0.25">
      <c r="A93" t="s">
        <v>86</v>
      </c>
      <c r="B93" t="s">
        <v>78</v>
      </c>
      <c r="C93">
        <v>0</v>
      </c>
      <c r="D93">
        <v>1</v>
      </c>
      <c r="E93">
        <v>1</v>
      </c>
      <c r="F93">
        <v>1</v>
      </c>
      <c r="G93">
        <v>1</v>
      </c>
      <c r="H93">
        <v>1</v>
      </c>
      <c r="I93">
        <v>1</v>
      </c>
      <c r="J93">
        <v>1</v>
      </c>
      <c r="K93">
        <v>1</v>
      </c>
      <c r="L93">
        <v>1</v>
      </c>
      <c r="M93">
        <v>1</v>
      </c>
      <c r="N93">
        <v>1</v>
      </c>
      <c r="P93">
        <v>5.3139522075653076</v>
      </c>
    </row>
    <row r="94" spans="1:16" x14ac:dyDescent="0.25">
      <c r="A94" t="s">
        <v>86</v>
      </c>
      <c r="B94" t="s">
        <v>79</v>
      </c>
      <c r="C94">
        <v>0</v>
      </c>
      <c r="D94">
        <v>1</v>
      </c>
      <c r="E94">
        <v>1</v>
      </c>
      <c r="F94">
        <v>1</v>
      </c>
      <c r="G94">
        <v>1</v>
      </c>
      <c r="H94">
        <v>1</v>
      </c>
      <c r="I94">
        <v>1</v>
      </c>
      <c r="J94">
        <v>1</v>
      </c>
      <c r="K94">
        <v>1</v>
      </c>
      <c r="L94">
        <v>1</v>
      </c>
      <c r="M94">
        <v>1</v>
      </c>
      <c r="N94">
        <v>1</v>
      </c>
      <c r="P94">
        <v>1.8483502864837651</v>
      </c>
    </row>
    <row r="95" spans="1:16" x14ac:dyDescent="0.25">
      <c r="A95" t="s">
        <v>86</v>
      </c>
      <c r="B95" t="s">
        <v>80</v>
      </c>
      <c r="C95">
        <v>0</v>
      </c>
      <c r="D95">
        <v>1</v>
      </c>
      <c r="E95">
        <v>1</v>
      </c>
      <c r="F95">
        <v>1</v>
      </c>
      <c r="G95">
        <v>1</v>
      </c>
      <c r="H95">
        <v>1</v>
      </c>
      <c r="I95">
        <v>1</v>
      </c>
      <c r="J95">
        <v>1</v>
      </c>
      <c r="K95">
        <v>1</v>
      </c>
      <c r="L95">
        <v>1</v>
      </c>
      <c r="M95">
        <v>1</v>
      </c>
      <c r="N95">
        <v>1</v>
      </c>
      <c r="P95">
        <v>1.1964595317840581</v>
      </c>
    </row>
    <row r="96" spans="1:16" x14ac:dyDescent="0.25">
      <c r="A96" t="s">
        <v>86</v>
      </c>
      <c r="B96" t="s">
        <v>81</v>
      </c>
      <c r="C96">
        <v>0</v>
      </c>
      <c r="D96">
        <v>1</v>
      </c>
      <c r="E96">
        <v>1</v>
      </c>
      <c r="F96">
        <v>1</v>
      </c>
      <c r="G96">
        <v>1</v>
      </c>
      <c r="H96">
        <v>1</v>
      </c>
      <c r="I96">
        <v>1</v>
      </c>
      <c r="J96">
        <v>1</v>
      </c>
      <c r="K96">
        <v>1</v>
      </c>
      <c r="L96">
        <v>1</v>
      </c>
      <c r="M96">
        <v>1</v>
      </c>
      <c r="N96">
        <v>1</v>
      </c>
      <c r="P96">
        <v>1.8777050971984861</v>
      </c>
    </row>
    <row r="97" spans="1:16" x14ac:dyDescent="0.25">
      <c r="A97" t="s">
        <v>86</v>
      </c>
      <c r="B97" t="s">
        <v>82</v>
      </c>
      <c r="C97">
        <v>0</v>
      </c>
      <c r="D97">
        <v>1</v>
      </c>
      <c r="E97">
        <v>1</v>
      </c>
      <c r="F97">
        <v>1</v>
      </c>
      <c r="G97">
        <v>1</v>
      </c>
      <c r="H97">
        <v>1</v>
      </c>
      <c r="I97">
        <v>1</v>
      </c>
      <c r="J97">
        <v>1</v>
      </c>
      <c r="K97">
        <v>1</v>
      </c>
      <c r="L97">
        <v>1</v>
      </c>
      <c r="M97">
        <v>1</v>
      </c>
      <c r="N97">
        <v>1</v>
      </c>
      <c r="P97">
        <v>1.1919970512390139</v>
      </c>
    </row>
    <row r="98" spans="1:16" x14ac:dyDescent="0.25">
      <c r="A98" t="s">
        <v>86</v>
      </c>
      <c r="B98" t="s">
        <v>83</v>
      </c>
      <c r="C98">
        <v>0</v>
      </c>
      <c r="D98">
        <v>1</v>
      </c>
      <c r="E98">
        <v>1</v>
      </c>
      <c r="F98">
        <v>1</v>
      </c>
      <c r="G98">
        <v>1</v>
      </c>
      <c r="H98">
        <v>1</v>
      </c>
      <c r="I98">
        <v>1</v>
      </c>
      <c r="J98">
        <v>1</v>
      </c>
      <c r="K98">
        <v>1</v>
      </c>
      <c r="L98">
        <v>1</v>
      </c>
      <c r="M98">
        <v>1</v>
      </c>
      <c r="N98">
        <v>1</v>
      </c>
      <c r="P98">
        <v>1.301459074020386</v>
      </c>
    </row>
    <row r="99" spans="1:16" x14ac:dyDescent="0.25">
      <c r="A99" t="s">
        <v>86</v>
      </c>
      <c r="B99" t="s">
        <v>85</v>
      </c>
      <c r="C99">
        <v>0</v>
      </c>
      <c r="D99">
        <v>1</v>
      </c>
      <c r="E99">
        <v>1</v>
      </c>
      <c r="F99">
        <v>1</v>
      </c>
      <c r="G99">
        <v>1</v>
      </c>
      <c r="H99">
        <v>1</v>
      </c>
      <c r="I99">
        <v>1</v>
      </c>
      <c r="J99">
        <v>1</v>
      </c>
      <c r="K99">
        <v>1</v>
      </c>
      <c r="L99">
        <v>1</v>
      </c>
      <c r="M99">
        <v>1</v>
      </c>
      <c r="N99">
        <v>1</v>
      </c>
      <c r="P99">
        <v>1.134024858474731</v>
      </c>
    </row>
    <row r="100" spans="1:16" x14ac:dyDescent="0.25">
      <c r="A100" t="s">
        <v>86</v>
      </c>
      <c r="B100" t="s">
        <v>98</v>
      </c>
      <c r="C100">
        <v>0</v>
      </c>
      <c r="D100">
        <v>1</v>
      </c>
      <c r="E100">
        <v>1</v>
      </c>
      <c r="F100">
        <v>1</v>
      </c>
      <c r="G100">
        <v>1</v>
      </c>
      <c r="H100">
        <v>1</v>
      </c>
      <c r="I100">
        <v>1</v>
      </c>
      <c r="J100">
        <v>1</v>
      </c>
      <c r="K100">
        <v>1</v>
      </c>
      <c r="L100">
        <v>1</v>
      </c>
      <c r="M100">
        <v>1</v>
      </c>
      <c r="N100">
        <v>1</v>
      </c>
      <c r="P100">
        <v>1.2415986061096189</v>
      </c>
    </row>
    <row r="101" spans="1:16" x14ac:dyDescent="0.25">
      <c r="A101" t="s">
        <v>86</v>
      </c>
      <c r="B101" t="s">
        <v>99</v>
      </c>
      <c r="C101">
        <v>0</v>
      </c>
      <c r="D101">
        <v>1</v>
      </c>
      <c r="E101">
        <v>1</v>
      </c>
      <c r="F101">
        <v>1</v>
      </c>
      <c r="G101">
        <v>1</v>
      </c>
      <c r="H101">
        <v>1</v>
      </c>
      <c r="I101">
        <v>1</v>
      </c>
      <c r="J101">
        <v>1</v>
      </c>
      <c r="K101">
        <v>1</v>
      </c>
      <c r="L101">
        <v>1</v>
      </c>
      <c r="M101">
        <v>1</v>
      </c>
      <c r="N101">
        <v>1</v>
      </c>
      <c r="P101">
        <v>1.547401428222656</v>
      </c>
    </row>
    <row r="102" spans="1:16" x14ac:dyDescent="0.25">
      <c r="A102" t="s">
        <v>86</v>
      </c>
      <c r="B102" t="s">
        <v>100</v>
      </c>
      <c r="C102">
        <v>0</v>
      </c>
      <c r="D102">
        <v>1</v>
      </c>
      <c r="E102">
        <v>1</v>
      </c>
      <c r="F102">
        <v>1</v>
      </c>
      <c r="G102">
        <v>1</v>
      </c>
      <c r="H102">
        <v>1</v>
      </c>
      <c r="I102">
        <v>1</v>
      </c>
      <c r="J102">
        <v>1</v>
      </c>
      <c r="K102">
        <v>1</v>
      </c>
      <c r="L102">
        <v>1</v>
      </c>
      <c r="M102">
        <v>1</v>
      </c>
      <c r="N102">
        <v>1</v>
      </c>
      <c r="P102">
        <v>1.090398788452148</v>
      </c>
    </row>
    <row r="103" spans="1:16" x14ac:dyDescent="0.25">
      <c r="A103" t="s">
        <v>86</v>
      </c>
      <c r="B103" t="s">
        <v>101</v>
      </c>
      <c r="C103">
        <v>0</v>
      </c>
      <c r="D103">
        <v>1</v>
      </c>
      <c r="E103">
        <v>1</v>
      </c>
      <c r="F103">
        <v>1</v>
      </c>
      <c r="G103">
        <v>1</v>
      </c>
      <c r="H103">
        <v>1</v>
      </c>
      <c r="I103">
        <v>1</v>
      </c>
      <c r="J103">
        <v>1</v>
      </c>
      <c r="K103">
        <v>1</v>
      </c>
      <c r="L103">
        <v>1</v>
      </c>
      <c r="M103">
        <v>1</v>
      </c>
      <c r="N103">
        <v>1</v>
      </c>
      <c r="P103">
        <v>1.1335330009460449</v>
      </c>
    </row>
    <row r="104" spans="1:16" x14ac:dyDescent="0.25">
      <c r="A104" t="s">
        <v>86</v>
      </c>
      <c r="B104" t="s">
        <v>102</v>
      </c>
      <c r="C104">
        <v>0</v>
      </c>
      <c r="D104">
        <v>1</v>
      </c>
      <c r="E104">
        <v>1</v>
      </c>
      <c r="F104">
        <v>1</v>
      </c>
      <c r="G104">
        <v>1</v>
      </c>
      <c r="H104">
        <v>1</v>
      </c>
      <c r="I104">
        <v>1</v>
      </c>
      <c r="J104">
        <v>0</v>
      </c>
      <c r="K104">
        <v>1</v>
      </c>
      <c r="L104">
        <v>1</v>
      </c>
      <c r="M104">
        <v>1</v>
      </c>
      <c r="N104">
        <v>1</v>
      </c>
      <c r="O104" t="s">
        <v>208</v>
      </c>
      <c r="P104">
        <v>2.8147304058074951</v>
      </c>
    </row>
    <row r="105" spans="1:16" x14ac:dyDescent="0.25">
      <c r="A105" t="s">
        <v>86</v>
      </c>
      <c r="B105" t="s">
        <v>104</v>
      </c>
      <c r="C105">
        <v>0</v>
      </c>
      <c r="D105">
        <v>1</v>
      </c>
      <c r="E105">
        <v>1</v>
      </c>
      <c r="F105">
        <v>1</v>
      </c>
      <c r="G105">
        <v>1</v>
      </c>
      <c r="H105">
        <v>1</v>
      </c>
      <c r="I105">
        <v>1</v>
      </c>
      <c r="J105">
        <v>1</v>
      </c>
      <c r="K105">
        <v>1</v>
      </c>
      <c r="L105">
        <v>1</v>
      </c>
      <c r="M105">
        <v>1</v>
      </c>
      <c r="N105">
        <v>1</v>
      </c>
      <c r="P105">
        <v>1.168716192245483</v>
      </c>
    </row>
    <row r="106" spans="1:16" x14ac:dyDescent="0.25">
      <c r="A106" t="s">
        <v>86</v>
      </c>
      <c r="B106" t="s">
        <v>105</v>
      </c>
      <c r="C106">
        <v>0</v>
      </c>
      <c r="D106">
        <v>1</v>
      </c>
      <c r="E106">
        <v>1</v>
      </c>
      <c r="F106">
        <v>1</v>
      </c>
      <c r="G106">
        <v>1</v>
      </c>
      <c r="H106">
        <v>1</v>
      </c>
      <c r="I106">
        <v>1</v>
      </c>
      <c r="J106">
        <v>1</v>
      </c>
      <c r="K106">
        <v>1</v>
      </c>
      <c r="L106">
        <v>1</v>
      </c>
      <c r="M106">
        <v>1</v>
      </c>
      <c r="N106">
        <v>1</v>
      </c>
      <c r="P106">
        <v>1.797479629516602</v>
      </c>
    </row>
    <row r="107" spans="1:16" x14ac:dyDescent="0.25">
      <c r="A107" t="s">
        <v>86</v>
      </c>
      <c r="B107" t="s">
        <v>106</v>
      </c>
      <c r="C107">
        <v>0</v>
      </c>
      <c r="D107">
        <v>1</v>
      </c>
      <c r="E107">
        <v>1</v>
      </c>
      <c r="F107">
        <v>1</v>
      </c>
      <c r="G107">
        <v>1</v>
      </c>
      <c r="H107">
        <v>1</v>
      </c>
      <c r="I107">
        <v>1</v>
      </c>
      <c r="J107">
        <v>1</v>
      </c>
      <c r="K107">
        <v>1</v>
      </c>
      <c r="L107">
        <v>1</v>
      </c>
      <c r="M107">
        <v>1</v>
      </c>
      <c r="N107">
        <v>1</v>
      </c>
      <c r="P107">
        <v>1.5352070331573491</v>
      </c>
    </row>
    <row r="108" spans="1:16" x14ac:dyDescent="0.25">
      <c r="A108" t="s">
        <v>86</v>
      </c>
      <c r="B108" t="s">
        <v>107</v>
      </c>
      <c r="C108">
        <v>0</v>
      </c>
      <c r="D108">
        <v>1</v>
      </c>
      <c r="E108">
        <v>1</v>
      </c>
      <c r="F108">
        <v>1</v>
      </c>
      <c r="G108">
        <v>1</v>
      </c>
      <c r="H108">
        <v>1</v>
      </c>
      <c r="I108">
        <v>1</v>
      </c>
      <c r="J108">
        <v>1</v>
      </c>
      <c r="K108">
        <v>1</v>
      </c>
      <c r="L108">
        <v>1</v>
      </c>
      <c r="M108">
        <v>1</v>
      </c>
      <c r="N108">
        <v>1</v>
      </c>
      <c r="P108">
        <v>1.2127294540405269</v>
      </c>
    </row>
    <row r="109" spans="1:16" x14ac:dyDescent="0.25">
      <c r="A109" t="s">
        <v>86</v>
      </c>
      <c r="B109" t="s">
        <v>108</v>
      </c>
      <c r="C109">
        <v>0</v>
      </c>
      <c r="D109">
        <v>1</v>
      </c>
      <c r="E109">
        <v>1</v>
      </c>
      <c r="F109">
        <v>1</v>
      </c>
      <c r="G109">
        <v>1</v>
      </c>
      <c r="H109">
        <v>1</v>
      </c>
      <c r="I109">
        <v>1</v>
      </c>
      <c r="J109">
        <v>1</v>
      </c>
      <c r="K109">
        <v>1</v>
      </c>
      <c r="L109">
        <v>1</v>
      </c>
      <c r="M109">
        <v>1</v>
      </c>
      <c r="N109">
        <v>1</v>
      </c>
      <c r="P109">
        <v>1.217920303344727</v>
      </c>
    </row>
    <row r="110" spans="1:16" x14ac:dyDescent="0.25">
      <c r="A110" t="s">
        <v>86</v>
      </c>
      <c r="B110" t="s">
        <v>109</v>
      </c>
      <c r="C110">
        <v>0</v>
      </c>
      <c r="D110">
        <v>1</v>
      </c>
      <c r="E110">
        <v>1</v>
      </c>
      <c r="F110">
        <v>1</v>
      </c>
      <c r="G110">
        <v>1</v>
      </c>
      <c r="H110">
        <v>1</v>
      </c>
      <c r="I110">
        <v>1</v>
      </c>
      <c r="J110">
        <v>1</v>
      </c>
      <c r="K110">
        <v>1</v>
      </c>
      <c r="L110">
        <v>1</v>
      </c>
      <c r="M110">
        <v>1</v>
      </c>
      <c r="N110">
        <v>1</v>
      </c>
      <c r="P110">
        <v>1.11949634552002</v>
      </c>
    </row>
    <row r="111" spans="1:16" x14ac:dyDescent="0.25">
      <c r="A111" t="s">
        <v>86</v>
      </c>
      <c r="B111" t="s">
        <v>110</v>
      </c>
      <c r="C111">
        <v>0</v>
      </c>
      <c r="D111">
        <v>1</v>
      </c>
      <c r="E111">
        <v>0</v>
      </c>
      <c r="F111">
        <v>1</v>
      </c>
      <c r="G111">
        <v>1</v>
      </c>
      <c r="H111" t="s">
        <v>20</v>
      </c>
      <c r="I111">
        <v>1</v>
      </c>
      <c r="J111" t="s">
        <v>20</v>
      </c>
      <c r="K111">
        <v>1</v>
      </c>
      <c r="L111">
        <v>1</v>
      </c>
      <c r="M111">
        <v>1</v>
      </c>
      <c r="N111">
        <v>1</v>
      </c>
      <c r="O111" t="s">
        <v>209</v>
      </c>
      <c r="P111">
        <v>4.0675578117370614</v>
      </c>
    </row>
    <row r="112" spans="1:16" x14ac:dyDescent="0.25">
      <c r="A112" t="s">
        <v>86</v>
      </c>
      <c r="B112" t="s">
        <v>112</v>
      </c>
      <c r="C112">
        <v>0</v>
      </c>
      <c r="D112">
        <v>1</v>
      </c>
      <c r="E112">
        <v>1</v>
      </c>
      <c r="F112">
        <v>1</v>
      </c>
      <c r="G112">
        <v>1</v>
      </c>
      <c r="H112">
        <v>1</v>
      </c>
      <c r="I112">
        <v>1</v>
      </c>
      <c r="J112">
        <v>1</v>
      </c>
      <c r="K112">
        <v>1</v>
      </c>
      <c r="L112">
        <v>1</v>
      </c>
      <c r="M112">
        <v>1</v>
      </c>
      <c r="N112">
        <v>1</v>
      </c>
      <c r="P112">
        <v>1.427733182907104</v>
      </c>
    </row>
    <row r="113" spans="1:17" x14ac:dyDescent="0.25">
      <c r="A113" t="s">
        <v>86</v>
      </c>
      <c r="B113" t="s">
        <v>113</v>
      </c>
      <c r="C113">
        <v>0</v>
      </c>
      <c r="D113">
        <v>1</v>
      </c>
      <c r="E113">
        <v>1</v>
      </c>
      <c r="F113">
        <v>1</v>
      </c>
      <c r="G113">
        <v>1</v>
      </c>
      <c r="H113">
        <v>1</v>
      </c>
      <c r="I113">
        <v>1</v>
      </c>
      <c r="J113">
        <v>1</v>
      </c>
      <c r="K113">
        <v>1</v>
      </c>
      <c r="L113">
        <v>1</v>
      </c>
      <c r="M113">
        <v>1</v>
      </c>
      <c r="N113">
        <v>1</v>
      </c>
      <c r="P113">
        <v>3.9431724548339839</v>
      </c>
    </row>
    <row r="114" spans="1:17" x14ac:dyDescent="0.25">
      <c r="A114" t="s">
        <v>115</v>
      </c>
      <c r="B114" t="s">
        <v>18</v>
      </c>
      <c r="C114">
        <v>0</v>
      </c>
      <c r="D114">
        <v>1</v>
      </c>
      <c r="E114">
        <v>1</v>
      </c>
      <c r="F114">
        <v>1</v>
      </c>
      <c r="G114">
        <v>1</v>
      </c>
      <c r="H114">
        <v>1</v>
      </c>
      <c r="I114">
        <v>1</v>
      </c>
      <c r="J114">
        <v>1</v>
      </c>
      <c r="K114">
        <v>1</v>
      </c>
      <c r="L114">
        <v>1</v>
      </c>
      <c r="M114">
        <v>1</v>
      </c>
      <c r="N114">
        <v>1</v>
      </c>
      <c r="P114">
        <v>1.3480021953582759</v>
      </c>
    </row>
    <row r="115" spans="1:17" x14ac:dyDescent="0.25">
      <c r="A115" t="s">
        <v>115</v>
      </c>
      <c r="B115" t="s">
        <v>19</v>
      </c>
      <c r="C115">
        <v>0</v>
      </c>
      <c r="D115">
        <v>1</v>
      </c>
      <c r="E115">
        <v>1</v>
      </c>
      <c r="F115">
        <v>1</v>
      </c>
      <c r="G115">
        <v>0</v>
      </c>
      <c r="H115">
        <v>1</v>
      </c>
      <c r="I115">
        <v>1</v>
      </c>
      <c r="J115">
        <v>1</v>
      </c>
      <c r="K115">
        <v>1</v>
      </c>
      <c r="L115">
        <v>1</v>
      </c>
      <c r="M115">
        <v>1</v>
      </c>
      <c r="N115">
        <v>1</v>
      </c>
      <c r="O115" t="s">
        <v>210</v>
      </c>
      <c r="P115">
        <v>2.5235648155212398</v>
      </c>
    </row>
    <row r="116" spans="1:17" x14ac:dyDescent="0.25">
      <c r="A116" t="s">
        <v>115</v>
      </c>
      <c r="B116" t="s">
        <v>22</v>
      </c>
      <c r="C116">
        <v>0</v>
      </c>
      <c r="D116">
        <v>1</v>
      </c>
      <c r="E116">
        <v>0</v>
      </c>
      <c r="F116">
        <v>1</v>
      </c>
      <c r="G116">
        <v>1</v>
      </c>
      <c r="H116" t="s">
        <v>20</v>
      </c>
      <c r="I116">
        <v>1</v>
      </c>
      <c r="J116" t="s">
        <v>20</v>
      </c>
      <c r="K116">
        <v>1</v>
      </c>
      <c r="L116">
        <v>1</v>
      </c>
      <c r="M116">
        <v>1</v>
      </c>
      <c r="N116">
        <v>1</v>
      </c>
      <c r="O116" t="s">
        <v>211</v>
      </c>
      <c r="P116">
        <v>2.3707325458526611</v>
      </c>
    </row>
    <row r="117" spans="1:17" x14ac:dyDescent="0.25">
      <c r="A117" t="s">
        <v>115</v>
      </c>
      <c r="B117" t="s">
        <v>24</v>
      </c>
      <c r="C117">
        <v>0</v>
      </c>
      <c r="D117">
        <v>1</v>
      </c>
      <c r="E117">
        <v>1</v>
      </c>
      <c r="F117">
        <v>1</v>
      </c>
      <c r="G117">
        <v>1</v>
      </c>
      <c r="H117">
        <v>1</v>
      </c>
      <c r="I117">
        <v>1</v>
      </c>
      <c r="J117">
        <v>1</v>
      </c>
      <c r="K117">
        <v>1</v>
      </c>
      <c r="L117">
        <v>1</v>
      </c>
      <c r="M117">
        <v>1</v>
      </c>
      <c r="N117">
        <v>1</v>
      </c>
      <c r="P117">
        <v>1.5109186172485349</v>
      </c>
    </row>
    <row r="118" spans="1:17" x14ac:dyDescent="0.25">
      <c r="A118" t="s">
        <v>115</v>
      </c>
      <c r="B118" t="s">
        <v>25</v>
      </c>
      <c r="C118">
        <v>0</v>
      </c>
      <c r="D118">
        <v>1</v>
      </c>
      <c r="E118">
        <v>1</v>
      </c>
      <c r="F118">
        <v>1</v>
      </c>
      <c r="G118">
        <v>0</v>
      </c>
      <c r="H118">
        <v>1</v>
      </c>
      <c r="I118">
        <v>1</v>
      </c>
      <c r="J118">
        <v>1</v>
      </c>
      <c r="K118">
        <v>1</v>
      </c>
      <c r="L118">
        <v>1</v>
      </c>
      <c r="M118">
        <v>1</v>
      </c>
      <c r="N118">
        <v>1</v>
      </c>
      <c r="O118" t="s">
        <v>212</v>
      </c>
      <c r="P118">
        <v>7.9427380561828613</v>
      </c>
    </row>
    <row r="119" spans="1:17" x14ac:dyDescent="0.25">
      <c r="A119" t="s">
        <v>115</v>
      </c>
      <c r="B119" t="s">
        <v>26</v>
      </c>
      <c r="C119">
        <v>0</v>
      </c>
      <c r="D119">
        <v>1</v>
      </c>
      <c r="E119">
        <v>1</v>
      </c>
      <c r="F119">
        <v>1</v>
      </c>
      <c r="G119">
        <v>1</v>
      </c>
      <c r="H119">
        <v>1</v>
      </c>
      <c r="I119">
        <v>1</v>
      </c>
      <c r="J119">
        <v>1</v>
      </c>
      <c r="K119">
        <v>1</v>
      </c>
      <c r="L119">
        <v>1</v>
      </c>
      <c r="M119">
        <v>1</v>
      </c>
      <c r="N119">
        <v>1</v>
      </c>
      <c r="P119">
        <v>1.2582013607025151</v>
      </c>
    </row>
    <row r="120" spans="1:17" x14ac:dyDescent="0.25">
      <c r="A120" t="s">
        <v>115</v>
      </c>
      <c r="B120" t="s">
        <v>27</v>
      </c>
      <c r="C120">
        <v>0</v>
      </c>
      <c r="D120">
        <v>1</v>
      </c>
      <c r="E120">
        <v>1</v>
      </c>
      <c r="F120">
        <v>1</v>
      </c>
      <c r="G120">
        <v>1</v>
      </c>
      <c r="H120">
        <v>1</v>
      </c>
      <c r="I120">
        <v>1</v>
      </c>
      <c r="J120">
        <v>0</v>
      </c>
      <c r="K120">
        <v>1</v>
      </c>
      <c r="L120">
        <v>1</v>
      </c>
      <c r="M120">
        <v>1</v>
      </c>
      <c r="N120">
        <v>1</v>
      </c>
      <c r="O120" t="s">
        <v>213</v>
      </c>
      <c r="P120">
        <v>2.8602485656738281</v>
      </c>
    </row>
    <row r="121" spans="1:17" x14ac:dyDescent="0.25">
      <c r="A121" t="s">
        <v>115</v>
      </c>
      <c r="B121" t="s">
        <v>29</v>
      </c>
      <c r="C121">
        <v>0</v>
      </c>
      <c r="D121">
        <v>1</v>
      </c>
      <c r="E121">
        <v>1</v>
      </c>
      <c r="F121">
        <v>1</v>
      </c>
      <c r="G121">
        <v>0</v>
      </c>
      <c r="H121">
        <v>1</v>
      </c>
      <c r="I121">
        <v>1</v>
      </c>
      <c r="J121">
        <v>1</v>
      </c>
      <c r="K121">
        <v>1</v>
      </c>
      <c r="L121">
        <v>1</v>
      </c>
      <c r="M121">
        <v>1</v>
      </c>
      <c r="N121">
        <v>1</v>
      </c>
      <c r="O121" t="s">
        <v>214</v>
      </c>
      <c r="P121">
        <v>1.985396146774292</v>
      </c>
    </row>
    <row r="122" spans="1:17" x14ac:dyDescent="0.25">
      <c r="A122" t="s">
        <v>115</v>
      </c>
      <c r="B122" t="s">
        <v>30</v>
      </c>
      <c r="C122">
        <v>0</v>
      </c>
      <c r="D122">
        <v>0</v>
      </c>
      <c r="E122" t="s">
        <v>20</v>
      </c>
      <c r="F122" t="s">
        <v>20</v>
      </c>
      <c r="G122" t="s">
        <v>20</v>
      </c>
      <c r="H122" t="s">
        <v>20</v>
      </c>
      <c r="I122" t="s">
        <v>20</v>
      </c>
      <c r="J122" t="s">
        <v>20</v>
      </c>
      <c r="K122" t="s">
        <v>20</v>
      </c>
      <c r="L122" t="s">
        <v>20</v>
      </c>
      <c r="M122">
        <v>1</v>
      </c>
      <c r="N122" t="s">
        <v>20</v>
      </c>
      <c r="O122" t="s">
        <v>215</v>
      </c>
      <c r="P122">
        <v>5.5135695934295654</v>
      </c>
      <c r="Q122" t="s">
        <v>20</v>
      </c>
    </row>
    <row r="123" spans="1:17" x14ac:dyDescent="0.25">
      <c r="A123" t="s">
        <v>115</v>
      </c>
      <c r="B123" t="s">
        <v>32</v>
      </c>
      <c r="C123">
        <v>0</v>
      </c>
      <c r="D123">
        <v>1</v>
      </c>
      <c r="E123">
        <v>0</v>
      </c>
      <c r="F123">
        <v>1</v>
      </c>
      <c r="G123">
        <v>1</v>
      </c>
      <c r="H123" t="s">
        <v>20</v>
      </c>
      <c r="I123">
        <v>1</v>
      </c>
      <c r="J123" t="s">
        <v>20</v>
      </c>
      <c r="K123">
        <v>1</v>
      </c>
      <c r="L123">
        <v>1</v>
      </c>
      <c r="M123">
        <v>0</v>
      </c>
      <c r="N123">
        <v>1</v>
      </c>
      <c r="O123" t="s">
        <v>216</v>
      </c>
      <c r="P123">
        <v>3.2483222484588619</v>
      </c>
    </row>
    <row r="124" spans="1:17" x14ac:dyDescent="0.25">
      <c r="A124" t="s">
        <v>115</v>
      </c>
      <c r="B124" t="s">
        <v>33</v>
      </c>
      <c r="C124">
        <v>0</v>
      </c>
      <c r="D124">
        <v>1</v>
      </c>
      <c r="E124">
        <v>0</v>
      </c>
      <c r="F124">
        <v>1</v>
      </c>
      <c r="G124">
        <v>1</v>
      </c>
      <c r="H124" t="s">
        <v>20</v>
      </c>
      <c r="I124">
        <v>1</v>
      </c>
      <c r="J124" t="s">
        <v>20</v>
      </c>
      <c r="K124">
        <v>1</v>
      </c>
      <c r="L124">
        <v>1</v>
      </c>
      <c r="M124">
        <v>0</v>
      </c>
      <c r="N124">
        <v>1</v>
      </c>
      <c r="O124" t="s">
        <v>217</v>
      </c>
      <c r="P124">
        <v>4.1814005374908447</v>
      </c>
    </row>
    <row r="125" spans="1:17" x14ac:dyDescent="0.25">
      <c r="A125" t="s">
        <v>115</v>
      </c>
      <c r="B125" t="s">
        <v>34</v>
      </c>
      <c r="C125">
        <v>0</v>
      </c>
      <c r="D125">
        <v>1</v>
      </c>
      <c r="E125">
        <v>1</v>
      </c>
      <c r="F125">
        <v>1</v>
      </c>
      <c r="G125">
        <v>1</v>
      </c>
      <c r="H125">
        <v>1</v>
      </c>
      <c r="I125">
        <v>1</v>
      </c>
      <c r="J125">
        <v>1</v>
      </c>
      <c r="K125">
        <v>1</v>
      </c>
      <c r="L125">
        <v>1</v>
      </c>
      <c r="M125">
        <v>1</v>
      </c>
      <c r="N125">
        <v>1</v>
      </c>
      <c r="P125">
        <v>1.3554749488830571</v>
      </c>
    </row>
    <row r="126" spans="1:17" x14ac:dyDescent="0.25">
      <c r="A126" t="s">
        <v>115</v>
      </c>
      <c r="B126" t="s">
        <v>35</v>
      </c>
      <c r="C126">
        <v>0</v>
      </c>
      <c r="D126">
        <v>1</v>
      </c>
      <c r="E126">
        <v>1</v>
      </c>
      <c r="F126">
        <v>1</v>
      </c>
      <c r="G126">
        <v>1</v>
      </c>
      <c r="H126">
        <v>1</v>
      </c>
      <c r="I126">
        <v>1</v>
      </c>
      <c r="J126">
        <v>1</v>
      </c>
      <c r="K126">
        <v>1</v>
      </c>
      <c r="L126">
        <v>1</v>
      </c>
      <c r="M126">
        <v>1</v>
      </c>
      <c r="N126">
        <v>1</v>
      </c>
      <c r="P126">
        <v>1.1481747627258301</v>
      </c>
    </row>
    <row r="127" spans="1:17" x14ac:dyDescent="0.25">
      <c r="A127" t="s">
        <v>115</v>
      </c>
      <c r="B127" t="s">
        <v>37</v>
      </c>
      <c r="C127">
        <v>0</v>
      </c>
      <c r="D127">
        <v>1</v>
      </c>
      <c r="E127">
        <v>1</v>
      </c>
      <c r="F127">
        <v>1</v>
      </c>
      <c r="G127">
        <v>1</v>
      </c>
      <c r="H127">
        <v>1</v>
      </c>
      <c r="I127">
        <v>1</v>
      </c>
      <c r="J127">
        <v>1</v>
      </c>
      <c r="K127">
        <v>1</v>
      </c>
      <c r="L127">
        <v>1</v>
      </c>
      <c r="M127">
        <v>1</v>
      </c>
      <c r="N127">
        <v>1</v>
      </c>
      <c r="P127">
        <v>1.784714937210083</v>
      </c>
    </row>
    <row r="128" spans="1:17" x14ac:dyDescent="0.25">
      <c r="A128" t="s">
        <v>115</v>
      </c>
      <c r="B128" t="s">
        <v>38</v>
      </c>
      <c r="C128">
        <v>0</v>
      </c>
      <c r="D128">
        <v>1</v>
      </c>
      <c r="E128">
        <v>1</v>
      </c>
      <c r="F128">
        <v>1</v>
      </c>
      <c r="G128">
        <v>1</v>
      </c>
      <c r="H128">
        <v>1</v>
      </c>
      <c r="I128">
        <v>1</v>
      </c>
      <c r="J128">
        <v>1</v>
      </c>
      <c r="K128">
        <v>1</v>
      </c>
      <c r="L128">
        <v>1</v>
      </c>
      <c r="M128">
        <v>1</v>
      </c>
      <c r="N128">
        <v>1</v>
      </c>
      <c r="P128">
        <v>2.019722700119019</v>
      </c>
    </row>
    <row r="129" spans="1:16" x14ac:dyDescent="0.25">
      <c r="A129" t="s">
        <v>115</v>
      </c>
      <c r="B129" t="s">
        <v>39</v>
      </c>
      <c r="C129">
        <v>0</v>
      </c>
      <c r="D129">
        <v>1</v>
      </c>
      <c r="E129">
        <v>1</v>
      </c>
      <c r="F129">
        <v>1</v>
      </c>
      <c r="G129">
        <v>1</v>
      </c>
      <c r="H129">
        <v>1</v>
      </c>
      <c r="I129">
        <v>1</v>
      </c>
      <c r="J129">
        <v>1</v>
      </c>
      <c r="K129">
        <v>1</v>
      </c>
      <c r="L129">
        <v>1</v>
      </c>
      <c r="M129">
        <v>1</v>
      </c>
      <c r="N129">
        <v>1</v>
      </c>
      <c r="P129">
        <v>2.482929944992065</v>
      </c>
    </row>
    <row r="130" spans="1:16" x14ac:dyDescent="0.25">
      <c r="A130" t="s">
        <v>115</v>
      </c>
      <c r="B130" t="s">
        <v>40</v>
      </c>
      <c r="C130">
        <v>0</v>
      </c>
      <c r="D130">
        <v>1</v>
      </c>
      <c r="E130">
        <v>1</v>
      </c>
      <c r="F130">
        <v>1</v>
      </c>
      <c r="G130">
        <v>0</v>
      </c>
      <c r="H130">
        <v>1</v>
      </c>
      <c r="I130">
        <v>1</v>
      </c>
      <c r="J130">
        <v>1</v>
      </c>
      <c r="K130">
        <v>1</v>
      </c>
      <c r="L130">
        <v>1</v>
      </c>
      <c r="M130">
        <v>1</v>
      </c>
      <c r="N130">
        <v>1</v>
      </c>
      <c r="O130" t="s">
        <v>218</v>
      </c>
      <c r="P130">
        <v>5.0359256267547607</v>
      </c>
    </row>
    <row r="131" spans="1:16" x14ac:dyDescent="0.25">
      <c r="A131" t="s">
        <v>115</v>
      </c>
      <c r="B131" t="s">
        <v>41</v>
      </c>
      <c r="C131">
        <v>0</v>
      </c>
      <c r="D131">
        <v>1</v>
      </c>
      <c r="E131">
        <v>1</v>
      </c>
      <c r="F131">
        <v>1</v>
      </c>
      <c r="G131">
        <v>1</v>
      </c>
      <c r="H131">
        <v>1</v>
      </c>
      <c r="I131">
        <v>1</v>
      </c>
      <c r="J131">
        <v>1</v>
      </c>
      <c r="K131">
        <v>1</v>
      </c>
      <c r="L131">
        <v>1</v>
      </c>
      <c r="M131">
        <v>1</v>
      </c>
      <c r="N131">
        <v>1</v>
      </c>
      <c r="P131">
        <v>1.1122233867645259</v>
      </c>
    </row>
    <row r="132" spans="1:16" x14ac:dyDescent="0.25">
      <c r="A132" t="s">
        <v>115</v>
      </c>
      <c r="B132" t="s">
        <v>42</v>
      </c>
      <c r="C132">
        <v>0</v>
      </c>
      <c r="D132">
        <v>1</v>
      </c>
      <c r="E132">
        <v>1</v>
      </c>
      <c r="F132">
        <v>1</v>
      </c>
      <c r="G132">
        <v>1</v>
      </c>
      <c r="H132">
        <v>1</v>
      </c>
      <c r="I132">
        <v>1</v>
      </c>
      <c r="J132">
        <v>1</v>
      </c>
      <c r="K132">
        <v>1</v>
      </c>
      <c r="L132">
        <v>1</v>
      </c>
      <c r="M132">
        <v>1</v>
      </c>
      <c r="N132">
        <v>1</v>
      </c>
      <c r="P132">
        <v>1.1577785015106199</v>
      </c>
    </row>
    <row r="133" spans="1:16" x14ac:dyDescent="0.25">
      <c r="A133" t="s">
        <v>115</v>
      </c>
      <c r="B133" t="s">
        <v>43</v>
      </c>
      <c r="C133">
        <v>0</v>
      </c>
      <c r="D133">
        <v>1</v>
      </c>
      <c r="E133">
        <v>1</v>
      </c>
      <c r="F133">
        <v>1</v>
      </c>
      <c r="G133">
        <v>0</v>
      </c>
      <c r="H133">
        <v>1</v>
      </c>
      <c r="I133">
        <v>1</v>
      </c>
      <c r="J133">
        <v>1</v>
      </c>
      <c r="K133">
        <v>1</v>
      </c>
      <c r="L133">
        <v>1</v>
      </c>
      <c r="M133">
        <v>1</v>
      </c>
      <c r="N133">
        <v>1</v>
      </c>
      <c r="O133" t="s">
        <v>219</v>
      </c>
      <c r="P133">
        <v>2.1905124187469478</v>
      </c>
    </row>
    <row r="134" spans="1:16" x14ac:dyDescent="0.25">
      <c r="A134" t="s">
        <v>115</v>
      </c>
      <c r="B134" t="s">
        <v>44</v>
      </c>
      <c r="C134">
        <v>0</v>
      </c>
      <c r="D134">
        <v>1</v>
      </c>
      <c r="E134">
        <v>1</v>
      </c>
      <c r="F134">
        <v>1</v>
      </c>
      <c r="G134">
        <v>1</v>
      </c>
      <c r="H134">
        <v>1</v>
      </c>
      <c r="I134">
        <v>1</v>
      </c>
      <c r="J134">
        <v>1</v>
      </c>
      <c r="K134">
        <v>1</v>
      </c>
      <c r="L134">
        <v>1</v>
      </c>
      <c r="M134">
        <v>1</v>
      </c>
      <c r="N134">
        <v>1</v>
      </c>
      <c r="P134">
        <v>1.3878593444824221</v>
      </c>
    </row>
    <row r="135" spans="1:16" x14ac:dyDescent="0.25">
      <c r="A135" t="s">
        <v>115</v>
      </c>
      <c r="B135" t="s">
        <v>45</v>
      </c>
      <c r="C135">
        <v>0</v>
      </c>
      <c r="D135">
        <v>1</v>
      </c>
      <c r="E135">
        <v>1</v>
      </c>
      <c r="F135">
        <v>1</v>
      </c>
      <c r="G135">
        <v>1</v>
      </c>
      <c r="H135">
        <v>1</v>
      </c>
      <c r="I135">
        <v>1</v>
      </c>
      <c r="J135">
        <v>1</v>
      </c>
      <c r="K135">
        <v>1</v>
      </c>
      <c r="L135">
        <v>1</v>
      </c>
      <c r="M135">
        <v>1</v>
      </c>
      <c r="N135">
        <v>1</v>
      </c>
      <c r="P135">
        <v>1.350006580352783</v>
      </c>
    </row>
    <row r="136" spans="1:16" x14ac:dyDescent="0.25">
      <c r="A136" t="s">
        <v>115</v>
      </c>
      <c r="B136" t="s">
        <v>47</v>
      </c>
      <c r="C136">
        <v>0</v>
      </c>
      <c r="D136">
        <v>1</v>
      </c>
      <c r="E136">
        <v>1</v>
      </c>
      <c r="F136">
        <v>1</v>
      </c>
      <c r="G136">
        <v>1</v>
      </c>
      <c r="H136">
        <v>1</v>
      </c>
      <c r="I136">
        <v>1</v>
      </c>
      <c r="J136">
        <v>1</v>
      </c>
      <c r="K136">
        <v>1</v>
      </c>
      <c r="L136">
        <v>1</v>
      </c>
      <c r="M136">
        <v>1</v>
      </c>
      <c r="N136">
        <v>1</v>
      </c>
      <c r="P136">
        <v>1.8271031379699709</v>
      </c>
    </row>
    <row r="137" spans="1:16" x14ac:dyDescent="0.25">
      <c r="A137" t="s">
        <v>115</v>
      </c>
      <c r="B137" t="s">
        <v>48</v>
      </c>
      <c r="C137">
        <v>0</v>
      </c>
      <c r="D137">
        <v>1</v>
      </c>
      <c r="E137">
        <v>0</v>
      </c>
      <c r="F137">
        <v>1</v>
      </c>
      <c r="G137">
        <v>1</v>
      </c>
      <c r="H137" t="s">
        <v>20</v>
      </c>
      <c r="I137">
        <v>1</v>
      </c>
      <c r="J137" t="s">
        <v>20</v>
      </c>
      <c r="K137">
        <v>1</v>
      </c>
      <c r="L137">
        <v>1</v>
      </c>
      <c r="M137">
        <v>1</v>
      </c>
      <c r="N137">
        <v>1</v>
      </c>
      <c r="O137" t="s">
        <v>220</v>
      </c>
      <c r="P137">
        <v>2.8575046062469478</v>
      </c>
    </row>
    <row r="138" spans="1:16" x14ac:dyDescent="0.25">
      <c r="A138" t="s">
        <v>115</v>
      </c>
      <c r="B138" t="s">
        <v>50</v>
      </c>
      <c r="C138">
        <v>0</v>
      </c>
      <c r="D138">
        <v>1</v>
      </c>
      <c r="E138">
        <v>0</v>
      </c>
      <c r="F138">
        <v>1</v>
      </c>
      <c r="G138">
        <v>1</v>
      </c>
      <c r="H138" t="s">
        <v>20</v>
      </c>
      <c r="I138">
        <v>1</v>
      </c>
      <c r="J138" t="s">
        <v>20</v>
      </c>
      <c r="K138">
        <v>1</v>
      </c>
      <c r="L138">
        <v>1</v>
      </c>
      <c r="M138">
        <v>1</v>
      </c>
      <c r="N138">
        <v>1</v>
      </c>
      <c r="O138" t="s">
        <v>221</v>
      </c>
      <c r="P138">
        <v>5.9239742755889893</v>
      </c>
    </row>
    <row r="139" spans="1:16" x14ac:dyDescent="0.25">
      <c r="A139" t="s">
        <v>115</v>
      </c>
      <c r="B139" t="s">
        <v>51</v>
      </c>
      <c r="C139">
        <v>0</v>
      </c>
      <c r="D139">
        <v>1</v>
      </c>
      <c r="E139">
        <v>0</v>
      </c>
      <c r="F139">
        <v>1</v>
      </c>
      <c r="G139">
        <v>1</v>
      </c>
      <c r="H139" t="s">
        <v>20</v>
      </c>
      <c r="I139">
        <v>1</v>
      </c>
      <c r="J139" t="s">
        <v>20</v>
      </c>
      <c r="K139">
        <v>1</v>
      </c>
      <c r="L139">
        <v>1</v>
      </c>
      <c r="M139">
        <v>1</v>
      </c>
      <c r="N139">
        <v>1</v>
      </c>
      <c r="O139" t="s">
        <v>222</v>
      </c>
      <c r="P139">
        <v>3.227843046188354</v>
      </c>
    </row>
    <row r="140" spans="1:16" x14ac:dyDescent="0.25">
      <c r="A140" t="s">
        <v>115</v>
      </c>
      <c r="B140" t="s">
        <v>53</v>
      </c>
      <c r="C140">
        <v>0</v>
      </c>
      <c r="D140">
        <v>1</v>
      </c>
      <c r="E140">
        <v>1</v>
      </c>
      <c r="F140">
        <v>0</v>
      </c>
      <c r="G140">
        <v>1</v>
      </c>
      <c r="H140">
        <v>1</v>
      </c>
      <c r="I140">
        <v>1</v>
      </c>
      <c r="J140" t="s">
        <v>20</v>
      </c>
      <c r="K140">
        <v>1</v>
      </c>
      <c r="L140">
        <v>1</v>
      </c>
      <c r="M140">
        <v>1</v>
      </c>
      <c r="N140">
        <v>1</v>
      </c>
      <c r="O140" t="s">
        <v>223</v>
      </c>
      <c r="P140">
        <v>4.4285116195678711</v>
      </c>
    </row>
    <row r="141" spans="1:16" x14ac:dyDescent="0.25">
      <c r="A141" t="s">
        <v>115</v>
      </c>
      <c r="B141" t="s">
        <v>55</v>
      </c>
      <c r="C141">
        <v>0</v>
      </c>
      <c r="D141">
        <v>1</v>
      </c>
      <c r="E141">
        <v>1</v>
      </c>
      <c r="F141">
        <v>1</v>
      </c>
      <c r="G141">
        <v>1</v>
      </c>
      <c r="H141">
        <v>1</v>
      </c>
      <c r="I141">
        <v>1</v>
      </c>
      <c r="J141">
        <v>1</v>
      </c>
      <c r="K141">
        <v>1</v>
      </c>
      <c r="L141">
        <v>1</v>
      </c>
      <c r="M141">
        <v>1</v>
      </c>
      <c r="N141">
        <v>1</v>
      </c>
      <c r="P141">
        <v>1.1710565090179439</v>
      </c>
    </row>
    <row r="142" spans="1:16" x14ac:dyDescent="0.25">
      <c r="A142" t="s">
        <v>115</v>
      </c>
      <c r="B142" t="s">
        <v>56</v>
      </c>
      <c r="C142">
        <v>0</v>
      </c>
      <c r="D142">
        <v>1</v>
      </c>
      <c r="E142">
        <v>1</v>
      </c>
      <c r="F142">
        <v>1</v>
      </c>
      <c r="G142">
        <v>1</v>
      </c>
      <c r="H142">
        <v>1</v>
      </c>
      <c r="I142">
        <v>1</v>
      </c>
      <c r="J142">
        <v>1</v>
      </c>
      <c r="K142">
        <v>1</v>
      </c>
      <c r="L142">
        <v>1</v>
      </c>
      <c r="M142">
        <v>1</v>
      </c>
      <c r="N142">
        <v>1</v>
      </c>
      <c r="P142">
        <v>1.233595609664917</v>
      </c>
    </row>
    <row r="143" spans="1:16" x14ac:dyDescent="0.25">
      <c r="A143" t="s">
        <v>115</v>
      </c>
      <c r="B143" t="s">
        <v>58</v>
      </c>
      <c r="C143">
        <v>0</v>
      </c>
      <c r="D143">
        <v>1</v>
      </c>
      <c r="E143">
        <v>1</v>
      </c>
      <c r="F143">
        <v>1</v>
      </c>
      <c r="G143">
        <v>1</v>
      </c>
      <c r="H143">
        <v>1</v>
      </c>
      <c r="I143">
        <v>1</v>
      </c>
      <c r="J143">
        <v>1</v>
      </c>
      <c r="K143">
        <v>1</v>
      </c>
      <c r="L143">
        <v>1</v>
      </c>
      <c r="M143">
        <v>1</v>
      </c>
      <c r="N143">
        <v>1</v>
      </c>
      <c r="P143">
        <v>2.621789932250977</v>
      </c>
    </row>
    <row r="144" spans="1:16" x14ac:dyDescent="0.25">
      <c r="A144" t="s">
        <v>115</v>
      </c>
      <c r="B144" t="s">
        <v>60</v>
      </c>
      <c r="C144">
        <v>0</v>
      </c>
      <c r="D144">
        <v>1</v>
      </c>
      <c r="E144">
        <v>1</v>
      </c>
      <c r="F144">
        <v>1</v>
      </c>
      <c r="G144">
        <v>1</v>
      </c>
      <c r="H144">
        <v>1</v>
      </c>
      <c r="I144">
        <v>1</v>
      </c>
      <c r="J144">
        <v>1</v>
      </c>
      <c r="K144">
        <v>1</v>
      </c>
      <c r="L144">
        <v>1</v>
      </c>
      <c r="M144">
        <v>1</v>
      </c>
      <c r="N144">
        <v>1</v>
      </c>
      <c r="P144">
        <v>1.139275074005127</v>
      </c>
    </row>
    <row r="145" spans="1:17" x14ac:dyDescent="0.25">
      <c r="A145" t="s">
        <v>115</v>
      </c>
      <c r="B145" t="s">
        <v>62</v>
      </c>
      <c r="C145">
        <v>0</v>
      </c>
      <c r="D145">
        <v>1</v>
      </c>
      <c r="E145">
        <v>1</v>
      </c>
      <c r="F145">
        <v>1</v>
      </c>
      <c r="G145">
        <v>1</v>
      </c>
      <c r="H145">
        <v>1</v>
      </c>
      <c r="I145">
        <v>1</v>
      </c>
      <c r="J145">
        <v>1</v>
      </c>
      <c r="K145">
        <v>1</v>
      </c>
      <c r="L145">
        <v>1</v>
      </c>
      <c r="M145">
        <v>1</v>
      </c>
      <c r="N145">
        <v>1</v>
      </c>
      <c r="P145">
        <v>1.161049365997314</v>
      </c>
    </row>
    <row r="146" spans="1:17" x14ac:dyDescent="0.25">
      <c r="A146" t="s">
        <v>115</v>
      </c>
      <c r="B146" t="s">
        <v>63</v>
      </c>
      <c r="C146">
        <v>0</v>
      </c>
      <c r="D146">
        <v>1</v>
      </c>
      <c r="E146">
        <v>1</v>
      </c>
      <c r="F146">
        <v>1</v>
      </c>
      <c r="G146">
        <v>1</v>
      </c>
      <c r="H146">
        <v>1</v>
      </c>
      <c r="I146">
        <v>1</v>
      </c>
      <c r="J146">
        <v>1</v>
      </c>
      <c r="K146">
        <v>1</v>
      </c>
      <c r="L146">
        <v>1</v>
      </c>
      <c r="M146">
        <v>1</v>
      </c>
      <c r="N146">
        <v>1</v>
      </c>
      <c r="P146">
        <v>1.2108325958251951</v>
      </c>
    </row>
    <row r="147" spans="1:17" x14ac:dyDescent="0.25">
      <c r="A147" t="s">
        <v>115</v>
      </c>
      <c r="B147" t="s">
        <v>65</v>
      </c>
      <c r="C147">
        <v>0</v>
      </c>
      <c r="D147">
        <v>1</v>
      </c>
      <c r="E147">
        <v>1</v>
      </c>
      <c r="F147">
        <v>1</v>
      </c>
      <c r="G147">
        <v>0</v>
      </c>
      <c r="H147">
        <v>1</v>
      </c>
      <c r="I147">
        <v>1</v>
      </c>
      <c r="J147">
        <v>1</v>
      </c>
      <c r="K147">
        <v>1</v>
      </c>
      <c r="L147">
        <v>1</v>
      </c>
      <c r="M147">
        <v>1</v>
      </c>
      <c r="N147">
        <v>1</v>
      </c>
      <c r="O147" t="s">
        <v>224</v>
      </c>
      <c r="P147">
        <v>1.6293613910675051</v>
      </c>
    </row>
    <row r="148" spans="1:17" x14ac:dyDescent="0.25">
      <c r="A148" t="s">
        <v>115</v>
      </c>
      <c r="B148" t="s">
        <v>66</v>
      </c>
      <c r="C148">
        <v>0</v>
      </c>
      <c r="D148">
        <v>1</v>
      </c>
      <c r="E148">
        <v>1</v>
      </c>
      <c r="F148">
        <v>1</v>
      </c>
      <c r="G148">
        <v>1</v>
      </c>
      <c r="H148">
        <v>1</v>
      </c>
      <c r="I148">
        <v>1</v>
      </c>
      <c r="J148">
        <v>1</v>
      </c>
      <c r="K148">
        <v>1</v>
      </c>
      <c r="L148">
        <v>1</v>
      </c>
      <c r="M148">
        <v>1</v>
      </c>
      <c r="N148">
        <v>1</v>
      </c>
      <c r="P148">
        <v>1.384800910949707</v>
      </c>
    </row>
    <row r="149" spans="1:17" x14ac:dyDescent="0.25">
      <c r="A149" t="s">
        <v>115</v>
      </c>
      <c r="B149" t="s">
        <v>67</v>
      </c>
      <c r="C149">
        <v>0</v>
      </c>
      <c r="D149">
        <v>1</v>
      </c>
      <c r="E149">
        <v>1</v>
      </c>
      <c r="F149">
        <v>1</v>
      </c>
      <c r="G149">
        <v>1</v>
      </c>
      <c r="H149">
        <v>1</v>
      </c>
      <c r="I149">
        <v>1</v>
      </c>
      <c r="J149">
        <v>1</v>
      </c>
      <c r="K149">
        <v>1</v>
      </c>
      <c r="L149">
        <v>1</v>
      </c>
      <c r="M149">
        <v>1</v>
      </c>
      <c r="N149">
        <v>1</v>
      </c>
      <c r="P149">
        <v>1.124869108200073</v>
      </c>
    </row>
    <row r="150" spans="1:17" x14ac:dyDescent="0.25">
      <c r="A150" t="s">
        <v>115</v>
      </c>
      <c r="B150" t="s">
        <v>68</v>
      </c>
      <c r="C150">
        <v>0</v>
      </c>
      <c r="D150">
        <v>1</v>
      </c>
      <c r="E150">
        <v>1</v>
      </c>
      <c r="F150">
        <v>1</v>
      </c>
      <c r="G150">
        <v>1</v>
      </c>
      <c r="H150">
        <v>1</v>
      </c>
      <c r="I150">
        <v>1</v>
      </c>
      <c r="J150">
        <v>1</v>
      </c>
      <c r="K150">
        <v>1</v>
      </c>
      <c r="L150">
        <v>1</v>
      </c>
      <c r="M150">
        <v>1</v>
      </c>
      <c r="N150">
        <v>1</v>
      </c>
      <c r="P150">
        <v>1.1810107231140139</v>
      </c>
    </row>
    <row r="151" spans="1:17" x14ac:dyDescent="0.25">
      <c r="A151" t="s">
        <v>115</v>
      </c>
      <c r="B151" t="s">
        <v>69</v>
      </c>
      <c r="C151">
        <v>0</v>
      </c>
      <c r="D151">
        <v>1</v>
      </c>
      <c r="E151">
        <v>1</v>
      </c>
      <c r="F151">
        <v>1</v>
      </c>
      <c r="G151">
        <v>1</v>
      </c>
      <c r="H151">
        <v>1</v>
      </c>
      <c r="I151">
        <v>1</v>
      </c>
      <c r="J151">
        <v>1</v>
      </c>
      <c r="K151">
        <v>1</v>
      </c>
      <c r="L151">
        <v>1</v>
      </c>
      <c r="M151">
        <v>1</v>
      </c>
      <c r="N151">
        <v>1</v>
      </c>
      <c r="P151">
        <v>1.3222894668579099</v>
      </c>
    </row>
    <row r="152" spans="1:17" x14ac:dyDescent="0.25">
      <c r="A152" t="s">
        <v>115</v>
      </c>
      <c r="B152" t="s">
        <v>71</v>
      </c>
      <c r="C152">
        <v>0</v>
      </c>
      <c r="D152">
        <v>1</v>
      </c>
      <c r="E152">
        <v>1</v>
      </c>
      <c r="F152">
        <v>1</v>
      </c>
      <c r="G152">
        <v>1</v>
      </c>
      <c r="H152">
        <v>1</v>
      </c>
      <c r="I152">
        <v>1</v>
      </c>
      <c r="J152">
        <v>1</v>
      </c>
      <c r="K152">
        <v>1</v>
      </c>
      <c r="L152">
        <v>1</v>
      </c>
      <c r="M152">
        <v>1</v>
      </c>
      <c r="N152">
        <v>1</v>
      </c>
      <c r="P152">
        <v>1.646917581558228</v>
      </c>
    </row>
    <row r="153" spans="1:17" x14ac:dyDescent="0.25">
      <c r="A153" t="s">
        <v>115</v>
      </c>
      <c r="B153" t="s">
        <v>73</v>
      </c>
      <c r="C153">
        <v>0</v>
      </c>
      <c r="D153">
        <v>1</v>
      </c>
      <c r="E153">
        <v>1</v>
      </c>
      <c r="F153">
        <v>1</v>
      </c>
      <c r="G153">
        <v>1</v>
      </c>
      <c r="H153">
        <v>1</v>
      </c>
      <c r="I153">
        <v>1</v>
      </c>
      <c r="J153">
        <v>1</v>
      </c>
      <c r="K153">
        <v>1</v>
      </c>
      <c r="L153">
        <v>1</v>
      </c>
      <c r="M153">
        <v>1</v>
      </c>
      <c r="N153">
        <v>1</v>
      </c>
      <c r="P153">
        <v>1.3844425678253169</v>
      </c>
    </row>
    <row r="154" spans="1:17" x14ac:dyDescent="0.25">
      <c r="A154" t="s">
        <v>115</v>
      </c>
      <c r="B154" t="s">
        <v>75</v>
      </c>
      <c r="C154">
        <v>0</v>
      </c>
      <c r="D154">
        <v>1</v>
      </c>
      <c r="E154">
        <v>1</v>
      </c>
      <c r="F154">
        <v>1</v>
      </c>
      <c r="G154">
        <v>1</v>
      </c>
      <c r="H154">
        <v>1</v>
      </c>
      <c r="I154">
        <v>1</v>
      </c>
      <c r="J154">
        <v>1</v>
      </c>
      <c r="K154">
        <v>1</v>
      </c>
      <c r="L154">
        <v>1</v>
      </c>
      <c r="M154">
        <v>1</v>
      </c>
      <c r="N154">
        <v>1</v>
      </c>
      <c r="P154">
        <v>1.464635848999023</v>
      </c>
    </row>
    <row r="155" spans="1:17" x14ac:dyDescent="0.25">
      <c r="A155" t="s">
        <v>115</v>
      </c>
      <c r="B155" t="s">
        <v>77</v>
      </c>
      <c r="C155">
        <v>0</v>
      </c>
      <c r="D155">
        <v>0</v>
      </c>
      <c r="E155" t="s">
        <v>20</v>
      </c>
      <c r="F155" t="s">
        <v>20</v>
      </c>
      <c r="G155" t="s">
        <v>20</v>
      </c>
      <c r="H155" t="s">
        <v>20</v>
      </c>
      <c r="I155" t="s">
        <v>20</v>
      </c>
      <c r="J155" t="s">
        <v>20</v>
      </c>
      <c r="K155" t="s">
        <v>20</v>
      </c>
      <c r="L155" t="s">
        <v>20</v>
      </c>
      <c r="M155">
        <v>1</v>
      </c>
      <c r="N155" t="s">
        <v>20</v>
      </c>
      <c r="O155" t="s">
        <v>225</v>
      </c>
      <c r="P155">
        <v>4.6113770008087158</v>
      </c>
      <c r="Q155" t="s">
        <v>20</v>
      </c>
    </row>
    <row r="156" spans="1:17" x14ac:dyDescent="0.25">
      <c r="A156" t="s">
        <v>115</v>
      </c>
      <c r="B156" t="s">
        <v>78</v>
      </c>
      <c r="C156">
        <v>0</v>
      </c>
      <c r="D156">
        <v>1</v>
      </c>
      <c r="E156">
        <v>1</v>
      </c>
      <c r="F156">
        <v>1</v>
      </c>
      <c r="G156">
        <v>1</v>
      </c>
      <c r="H156">
        <v>1</v>
      </c>
      <c r="I156">
        <v>1</v>
      </c>
      <c r="J156">
        <v>1</v>
      </c>
      <c r="K156">
        <v>1</v>
      </c>
      <c r="L156">
        <v>1</v>
      </c>
      <c r="M156">
        <v>1</v>
      </c>
      <c r="N156">
        <v>1</v>
      </c>
      <c r="P156">
        <v>1.6457352638244629</v>
      </c>
    </row>
    <row r="157" spans="1:17" x14ac:dyDescent="0.25">
      <c r="A157" t="s">
        <v>115</v>
      </c>
      <c r="B157" t="s">
        <v>79</v>
      </c>
      <c r="C157">
        <v>0</v>
      </c>
      <c r="D157">
        <v>1</v>
      </c>
      <c r="E157">
        <v>1</v>
      </c>
      <c r="F157">
        <v>1</v>
      </c>
      <c r="G157">
        <v>1</v>
      </c>
      <c r="H157">
        <v>1</v>
      </c>
      <c r="I157">
        <v>1</v>
      </c>
      <c r="J157">
        <v>1</v>
      </c>
      <c r="K157">
        <v>1</v>
      </c>
      <c r="L157">
        <v>1</v>
      </c>
      <c r="M157">
        <v>1</v>
      </c>
      <c r="N157">
        <v>1</v>
      </c>
      <c r="P157">
        <v>1.18598461151123</v>
      </c>
    </row>
    <row r="158" spans="1:17" x14ac:dyDescent="0.25">
      <c r="A158" t="s">
        <v>115</v>
      </c>
      <c r="B158" t="s">
        <v>80</v>
      </c>
      <c r="C158">
        <v>0</v>
      </c>
      <c r="D158">
        <v>1</v>
      </c>
      <c r="E158">
        <v>1</v>
      </c>
      <c r="F158">
        <v>1</v>
      </c>
      <c r="G158">
        <v>1</v>
      </c>
      <c r="H158">
        <v>1</v>
      </c>
      <c r="I158">
        <v>1</v>
      </c>
      <c r="J158">
        <v>1</v>
      </c>
      <c r="K158">
        <v>1</v>
      </c>
      <c r="L158">
        <v>1</v>
      </c>
      <c r="M158">
        <v>1</v>
      </c>
      <c r="N158">
        <v>1</v>
      </c>
      <c r="P158">
        <v>1.2380273342132571</v>
      </c>
    </row>
    <row r="159" spans="1:17" x14ac:dyDescent="0.25">
      <c r="A159" t="s">
        <v>115</v>
      </c>
      <c r="B159" t="s">
        <v>81</v>
      </c>
      <c r="C159">
        <v>0</v>
      </c>
      <c r="D159">
        <v>1</v>
      </c>
      <c r="E159">
        <v>1</v>
      </c>
      <c r="F159">
        <v>1</v>
      </c>
      <c r="G159">
        <v>1</v>
      </c>
      <c r="H159">
        <v>1</v>
      </c>
      <c r="I159">
        <v>1</v>
      </c>
      <c r="J159">
        <v>1</v>
      </c>
      <c r="K159">
        <v>1</v>
      </c>
      <c r="L159">
        <v>1</v>
      </c>
      <c r="M159">
        <v>1</v>
      </c>
      <c r="N159">
        <v>1</v>
      </c>
      <c r="P159">
        <v>1.128207683563232</v>
      </c>
    </row>
    <row r="160" spans="1:17" x14ac:dyDescent="0.25">
      <c r="A160" t="s">
        <v>115</v>
      </c>
      <c r="B160" t="s">
        <v>82</v>
      </c>
      <c r="C160">
        <v>0</v>
      </c>
      <c r="D160">
        <v>1</v>
      </c>
      <c r="E160">
        <v>1</v>
      </c>
      <c r="F160">
        <v>1</v>
      </c>
      <c r="G160">
        <v>1</v>
      </c>
      <c r="H160">
        <v>1</v>
      </c>
      <c r="I160">
        <v>1</v>
      </c>
      <c r="J160">
        <v>1</v>
      </c>
      <c r="K160">
        <v>1</v>
      </c>
      <c r="L160">
        <v>1</v>
      </c>
      <c r="M160">
        <v>1</v>
      </c>
      <c r="N160">
        <v>1</v>
      </c>
      <c r="P160">
        <v>1.6890299320220949</v>
      </c>
    </row>
    <row r="161" spans="1:16" x14ac:dyDescent="0.25">
      <c r="A161" t="s">
        <v>115</v>
      </c>
      <c r="B161" t="s">
        <v>83</v>
      </c>
      <c r="C161">
        <v>0</v>
      </c>
      <c r="D161">
        <v>1</v>
      </c>
      <c r="E161">
        <v>1</v>
      </c>
      <c r="F161">
        <v>1</v>
      </c>
      <c r="G161">
        <v>1</v>
      </c>
      <c r="H161">
        <v>1</v>
      </c>
      <c r="I161">
        <v>1</v>
      </c>
      <c r="J161">
        <v>1</v>
      </c>
      <c r="K161">
        <v>1</v>
      </c>
      <c r="L161">
        <v>1</v>
      </c>
      <c r="M161">
        <v>1</v>
      </c>
      <c r="N161">
        <v>1</v>
      </c>
      <c r="P161">
        <v>1.3462071418762209</v>
      </c>
    </row>
    <row r="162" spans="1:16" x14ac:dyDescent="0.25">
      <c r="A162" t="s">
        <v>115</v>
      </c>
      <c r="B162" t="s">
        <v>85</v>
      </c>
      <c r="C162">
        <v>0</v>
      </c>
      <c r="D162">
        <v>1</v>
      </c>
      <c r="E162">
        <v>1</v>
      </c>
      <c r="F162">
        <v>1</v>
      </c>
      <c r="G162">
        <v>1</v>
      </c>
      <c r="H162">
        <v>1</v>
      </c>
      <c r="I162">
        <v>1</v>
      </c>
      <c r="J162">
        <v>1</v>
      </c>
      <c r="K162">
        <v>1</v>
      </c>
      <c r="L162">
        <v>1</v>
      </c>
      <c r="M162">
        <v>1</v>
      </c>
      <c r="N162">
        <v>1</v>
      </c>
      <c r="P162">
        <v>1.235510110855103</v>
      </c>
    </row>
    <row r="163" spans="1:16" x14ac:dyDescent="0.25">
      <c r="A163" t="s">
        <v>115</v>
      </c>
      <c r="B163" t="s">
        <v>98</v>
      </c>
      <c r="C163">
        <v>0</v>
      </c>
      <c r="D163">
        <v>1</v>
      </c>
      <c r="E163">
        <v>1</v>
      </c>
      <c r="F163">
        <v>1</v>
      </c>
      <c r="G163">
        <v>1</v>
      </c>
      <c r="H163">
        <v>1</v>
      </c>
      <c r="I163">
        <v>1</v>
      </c>
      <c r="J163">
        <v>1</v>
      </c>
      <c r="K163">
        <v>1</v>
      </c>
      <c r="L163">
        <v>1</v>
      </c>
      <c r="M163">
        <v>1</v>
      </c>
      <c r="N163">
        <v>1</v>
      </c>
      <c r="P163">
        <v>1.453265428543091</v>
      </c>
    </row>
    <row r="164" spans="1:16" x14ac:dyDescent="0.25">
      <c r="A164" t="s">
        <v>115</v>
      </c>
      <c r="B164" t="s">
        <v>99</v>
      </c>
      <c r="C164">
        <v>0</v>
      </c>
      <c r="D164">
        <v>1</v>
      </c>
      <c r="E164">
        <v>1</v>
      </c>
      <c r="F164">
        <v>1</v>
      </c>
      <c r="G164">
        <v>1</v>
      </c>
      <c r="H164">
        <v>1</v>
      </c>
      <c r="I164">
        <v>1</v>
      </c>
      <c r="J164">
        <v>1</v>
      </c>
      <c r="K164">
        <v>1</v>
      </c>
      <c r="L164">
        <v>1</v>
      </c>
      <c r="M164">
        <v>1</v>
      </c>
      <c r="N164">
        <v>1</v>
      </c>
      <c r="P164">
        <v>1.1542594432830811</v>
      </c>
    </row>
    <row r="165" spans="1:16" x14ac:dyDescent="0.25">
      <c r="A165" t="s">
        <v>115</v>
      </c>
      <c r="B165" t="s">
        <v>100</v>
      </c>
      <c r="C165">
        <v>0</v>
      </c>
      <c r="D165">
        <v>1</v>
      </c>
      <c r="E165">
        <v>1</v>
      </c>
      <c r="F165">
        <v>1</v>
      </c>
      <c r="G165">
        <v>0</v>
      </c>
      <c r="H165">
        <v>1</v>
      </c>
      <c r="I165">
        <v>1</v>
      </c>
      <c r="J165">
        <v>1</v>
      </c>
      <c r="K165">
        <v>1</v>
      </c>
      <c r="L165">
        <v>1</v>
      </c>
      <c r="M165">
        <v>1</v>
      </c>
      <c r="N165">
        <v>1</v>
      </c>
      <c r="O165" t="s">
        <v>226</v>
      </c>
      <c r="P165">
        <v>1.6725213527679439</v>
      </c>
    </row>
    <row r="166" spans="1:16" x14ac:dyDescent="0.25">
      <c r="A166" t="s">
        <v>115</v>
      </c>
      <c r="B166" t="s">
        <v>101</v>
      </c>
      <c r="C166">
        <v>0</v>
      </c>
      <c r="D166">
        <v>1</v>
      </c>
      <c r="E166">
        <v>1</v>
      </c>
      <c r="F166">
        <v>1</v>
      </c>
      <c r="G166">
        <v>1</v>
      </c>
      <c r="H166">
        <v>1</v>
      </c>
      <c r="I166">
        <v>1</v>
      </c>
      <c r="J166">
        <v>1</v>
      </c>
      <c r="K166">
        <v>1</v>
      </c>
      <c r="L166">
        <v>1</v>
      </c>
      <c r="M166">
        <v>1</v>
      </c>
      <c r="N166">
        <v>1</v>
      </c>
      <c r="P166">
        <v>1.30218505859375</v>
      </c>
    </row>
    <row r="167" spans="1:16" x14ac:dyDescent="0.25">
      <c r="A167" t="s">
        <v>115</v>
      </c>
      <c r="B167" t="s">
        <v>102</v>
      </c>
      <c r="C167">
        <v>0</v>
      </c>
      <c r="D167">
        <v>1</v>
      </c>
      <c r="E167">
        <v>1</v>
      </c>
      <c r="F167">
        <v>1</v>
      </c>
      <c r="G167">
        <v>1</v>
      </c>
      <c r="H167">
        <v>1</v>
      </c>
      <c r="I167">
        <v>1</v>
      </c>
      <c r="J167">
        <v>1</v>
      </c>
      <c r="K167">
        <v>1</v>
      </c>
      <c r="L167">
        <v>1</v>
      </c>
      <c r="M167">
        <v>1</v>
      </c>
      <c r="N167">
        <v>1</v>
      </c>
      <c r="P167">
        <v>1.5617465972900391</v>
      </c>
    </row>
    <row r="168" spans="1:16" x14ac:dyDescent="0.25">
      <c r="A168" t="s">
        <v>115</v>
      </c>
      <c r="B168" t="s">
        <v>104</v>
      </c>
      <c r="C168">
        <v>0</v>
      </c>
      <c r="D168">
        <v>1</v>
      </c>
      <c r="E168">
        <v>1</v>
      </c>
      <c r="F168">
        <v>1</v>
      </c>
      <c r="G168">
        <v>1</v>
      </c>
      <c r="H168">
        <v>1</v>
      </c>
      <c r="I168">
        <v>1</v>
      </c>
      <c r="J168">
        <v>1</v>
      </c>
      <c r="K168">
        <v>1</v>
      </c>
      <c r="L168">
        <v>1</v>
      </c>
      <c r="M168">
        <v>1</v>
      </c>
      <c r="N168">
        <v>1</v>
      </c>
      <c r="P168">
        <v>1.1221146583557129</v>
      </c>
    </row>
    <row r="169" spans="1:16" x14ac:dyDescent="0.25">
      <c r="A169" t="s">
        <v>115</v>
      </c>
      <c r="B169" t="s">
        <v>105</v>
      </c>
      <c r="C169">
        <v>0</v>
      </c>
      <c r="D169">
        <v>1</v>
      </c>
      <c r="E169">
        <v>1</v>
      </c>
      <c r="F169">
        <v>1</v>
      </c>
      <c r="G169">
        <v>1</v>
      </c>
      <c r="H169">
        <v>1</v>
      </c>
      <c r="I169">
        <v>1</v>
      </c>
      <c r="J169">
        <v>1</v>
      </c>
      <c r="K169">
        <v>1</v>
      </c>
      <c r="L169">
        <v>1</v>
      </c>
      <c r="M169">
        <v>1</v>
      </c>
      <c r="N169">
        <v>1</v>
      </c>
      <c r="P169">
        <v>1.166943311691284</v>
      </c>
    </row>
    <row r="170" spans="1:16" x14ac:dyDescent="0.25">
      <c r="A170" t="s">
        <v>115</v>
      </c>
      <c r="B170" t="s">
        <v>106</v>
      </c>
      <c r="C170">
        <v>0</v>
      </c>
      <c r="D170">
        <v>1</v>
      </c>
      <c r="E170">
        <v>1</v>
      </c>
      <c r="F170">
        <v>1</v>
      </c>
      <c r="G170">
        <v>1</v>
      </c>
      <c r="H170">
        <v>1</v>
      </c>
      <c r="I170">
        <v>1</v>
      </c>
      <c r="J170">
        <v>1</v>
      </c>
      <c r="K170">
        <v>1</v>
      </c>
      <c r="L170">
        <v>1</v>
      </c>
      <c r="M170">
        <v>1</v>
      </c>
      <c r="N170">
        <v>1</v>
      </c>
      <c r="P170">
        <v>1.2633681297302251</v>
      </c>
    </row>
    <row r="171" spans="1:16" x14ac:dyDescent="0.25">
      <c r="A171" t="s">
        <v>115</v>
      </c>
      <c r="B171" t="s">
        <v>107</v>
      </c>
      <c r="C171">
        <v>0</v>
      </c>
      <c r="D171">
        <v>1</v>
      </c>
      <c r="E171">
        <v>1</v>
      </c>
      <c r="F171">
        <v>1</v>
      </c>
      <c r="G171">
        <v>1</v>
      </c>
      <c r="H171">
        <v>1</v>
      </c>
      <c r="I171">
        <v>1</v>
      </c>
      <c r="J171">
        <v>1</v>
      </c>
      <c r="K171">
        <v>1</v>
      </c>
      <c r="L171">
        <v>1</v>
      </c>
      <c r="M171">
        <v>1</v>
      </c>
      <c r="N171">
        <v>1</v>
      </c>
      <c r="P171">
        <v>1.85986328125</v>
      </c>
    </row>
    <row r="172" spans="1:16" x14ac:dyDescent="0.25">
      <c r="A172" t="s">
        <v>115</v>
      </c>
      <c r="B172" t="s">
        <v>108</v>
      </c>
      <c r="C172">
        <v>0</v>
      </c>
      <c r="D172">
        <v>1</v>
      </c>
      <c r="E172">
        <v>1</v>
      </c>
      <c r="F172">
        <v>1</v>
      </c>
      <c r="G172">
        <v>1</v>
      </c>
      <c r="H172">
        <v>1</v>
      </c>
      <c r="I172">
        <v>1</v>
      </c>
      <c r="J172">
        <v>1</v>
      </c>
      <c r="K172">
        <v>1</v>
      </c>
      <c r="L172">
        <v>1</v>
      </c>
      <c r="M172">
        <v>1</v>
      </c>
      <c r="N172">
        <v>1</v>
      </c>
      <c r="P172">
        <v>1.8099713325500491</v>
      </c>
    </row>
    <row r="173" spans="1:16" x14ac:dyDescent="0.25">
      <c r="A173" t="s">
        <v>115</v>
      </c>
      <c r="B173" t="s">
        <v>109</v>
      </c>
      <c r="C173">
        <v>0</v>
      </c>
      <c r="D173">
        <v>1</v>
      </c>
      <c r="E173">
        <v>1</v>
      </c>
      <c r="F173">
        <v>1</v>
      </c>
      <c r="G173">
        <v>1</v>
      </c>
      <c r="H173">
        <v>1</v>
      </c>
      <c r="I173">
        <v>1</v>
      </c>
      <c r="J173">
        <v>1</v>
      </c>
      <c r="K173">
        <v>1</v>
      </c>
      <c r="L173">
        <v>1</v>
      </c>
      <c r="M173">
        <v>1</v>
      </c>
      <c r="N173">
        <v>1</v>
      </c>
      <c r="P173">
        <v>1.254164457321167</v>
      </c>
    </row>
    <row r="174" spans="1:16" x14ac:dyDescent="0.25">
      <c r="A174" t="s">
        <v>115</v>
      </c>
      <c r="B174" t="s">
        <v>110</v>
      </c>
      <c r="C174">
        <v>0</v>
      </c>
      <c r="D174">
        <v>1</v>
      </c>
      <c r="E174">
        <v>1</v>
      </c>
      <c r="F174">
        <v>1</v>
      </c>
      <c r="G174">
        <v>1</v>
      </c>
      <c r="H174">
        <v>1</v>
      </c>
      <c r="I174">
        <v>1</v>
      </c>
      <c r="J174">
        <v>1</v>
      </c>
      <c r="K174">
        <v>1</v>
      </c>
      <c r="L174">
        <v>1</v>
      </c>
      <c r="M174">
        <v>1</v>
      </c>
      <c r="N174">
        <v>1</v>
      </c>
      <c r="P174">
        <v>1.580310583114624</v>
      </c>
    </row>
    <row r="175" spans="1:16" x14ac:dyDescent="0.25">
      <c r="A175" t="s">
        <v>115</v>
      </c>
      <c r="B175" t="s">
        <v>112</v>
      </c>
      <c r="C175">
        <v>0</v>
      </c>
      <c r="D175">
        <v>1</v>
      </c>
      <c r="E175">
        <v>1</v>
      </c>
      <c r="F175">
        <v>1</v>
      </c>
      <c r="G175">
        <v>1</v>
      </c>
      <c r="H175">
        <v>1</v>
      </c>
      <c r="I175">
        <v>1</v>
      </c>
      <c r="J175">
        <v>1</v>
      </c>
      <c r="K175">
        <v>1</v>
      </c>
      <c r="L175">
        <v>1</v>
      </c>
      <c r="M175">
        <v>1</v>
      </c>
      <c r="N175">
        <v>1</v>
      </c>
      <c r="P175">
        <v>1.7044849395751951</v>
      </c>
    </row>
    <row r="176" spans="1:16" x14ac:dyDescent="0.25">
      <c r="A176" t="s">
        <v>115</v>
      </c>
      <c r="B176" t="s">
        <v>113</v>
      </c>
      <c r="C176">
        <v>0</v>
      </c>
      <c r="D176">
        <v>1</v>
      </c>
      <c r="E176">
        <v>1</v>
      </c>
      <c r="F176">
        <v>1</v>
      </c>
      <c r="G176">
        <v>1</v>
      </c>
      <c r="H176">
        <v>1</v>
      </c>
      <c r="I176">
        <v>1</v>
      </c>
      <c r="J176">
        <v>1</v>
      </c>
      <c r="K176">
        <v>1</v>
      </c>
      <c r="L176">
        <v>1</v>
      </c>
      <c r="M176">
        <v>1</v>
      </c>
      <c r="N176">
        <v>1</v>
      </c>
      <c r="P176">
        <v>1.3513433933258061</v>
      </c>
    </row>
    <row r="177" spans="1:16" x14ac:dyDescent="0.25">
      <c r="A177" t="s">
        <v>115</v>
      </c>
      <c r="B177" t="s">
        <v>132</v>
      </c>
      <c r="C177">
        <v>0</v>
      </c>
      <c r="D177">
        <v>1</v>
      </c>
      <c r="E177">
        <v>1</v>
      </c>
      <c r="F177">
        <v>1</v>
      </c>
      <c r="G177">
        <v>1</v>
      </c>
      <c r="H177">
        <v>1</v>
      </c>
      <c r="I177">
        <v>1</v>
      </c>
      <c r="J177">
        <v>1</v>
      </c>
      <c r="K177">
        <v>1</v>
      </c>
      <c r="L177">
        <v>1</v>
      </c>
      <c r="M177">
        <v>1</v>
      </c>
      <c r="N177">
        <v>1</v>
      </c>
      <c r="P177">
        <v>1.6630451679229741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1.221944332122803</v>
      </c>
    </row>
    <row r="3" spans="1:17" x14ac:dyDescent="0.25">
      <c r="A3" t="s">
        <v>17</v>
      </c>
      <c r="B3" t="s">
        <v>19</v>
      </c>
      <c r="C3">
        <v>0</v>
      </c>
      <c r="D3">
        <v>1</v>
      </c>
      <c r="E3">
        <v>1</v>
      </c>
      <c r="F3">
        <v>0</v>
      </c>
      <c r="G3">
        <v>1</v>
      </c>
      <c r="H3">
        <v>1</v>
      </c>
      <c r="I3">
        <v>1</v>
      </c>
      <c r="J3" t="s">
        <v>20</v>
      </c>
      <c r="K3">
        <v>1</v>
      </c>
      <c r="L3">
        <v>1</v>
      </c>
      <c r="M3">
        <v>1</v>
      </c>
      <c r="N3">
        <v>1</v>
      </c>
      <c r="O3" t="s">
        <v>227</v>
      </c>
      <c r="P3">
        <v>2.8440704345703121</v>
      </c>
    </row>
    <row r="4" spans="1:17" x14ac:dyDescent="0.25">
      <c r="A4" t="s">
        <v>17</v>
      </c>
      <c r="B4" t="s">
        <v>22</v>
      </c>
      <c r="C4">
        <v>0</v>
      </c>
      <c r="D4">
        <v>1</v>
      </c>
      <c r="E4">
        <v>1</v>
      </c>
      <c r="F4">
        <v>1</v>
      </c>
      <c r="G4">
        <v>0</v>
      </c>
      <c r="H4">
        <v>1</v>
      </c>
      <c r="I4">
        <v>1</v>
      </c>
      <c r="J4">
        <v>1</v>
      </c>
      <c r="K4">
        <v>1</v>
      </c>
      <c r="L4">
        <v>1</v>
      </c>
      <c r="M4">
        <v>1</v>
      </c>
      <c r="N4">
        <v>1</v>
      </c>
      <c r="O4" t="s">
        <v>228</v>
      </c>
      <c r="P4">
        <v>1.68884801864624</v>
      </c>
    </row>
    <row r="5" spans="1:17" x14ac:dyDescent="0.25">
      <c r="A5" t="s">
        <v>17</v>
      </c>
      <c r="B5" t="s">
        <v>24</v>
      </c>
      <c r="C5">
        <v>0</v>
      </c>
      <c r="D5">
        <v>1</v>
      </c>
      <c r="E5">
        <v>1</v>
      </c>
      <c r="F5">
        <v>1</v>
      </c>
      <c r="G5">
        <v>1</v>
      </c>
      <c r="H5">
        <v>1</v>
      </c>
      <c r="I5">
        <v>1</v>
      </c>
      <c r="J5">
        <v>1</v>
      </c>
      <c r="K5">
        <v>1</v>
      </c>
      <c r="L5">
        <v>1</v>
      </c>
      <c r="M5">
        <v>1</v>
      </c>
      <c r="N5">
        <v>1</v>
      </c>
      <c r="P5">
        <v>1.493443489074707</v>
      </c>
    </row>
    <row r="6" spans="1:17" x14ac:dyDescent="0.25">
      <c r="A6" t="s">
        <v>17</v>
      </c>
      <c r="B6" t="s">
        <v>25</v>
      </c>
      <c r="C6">
        <v>0</v>
      </c>
      <c r="D6">
        <v>1</v>
      </c>
      <c r="E6">
        <v>1</v>
      </c>
      <c r="F6">
        <v>1</v>
      </c>
      <c r="G6">
        <v>1</v>
      </c>
      <c r="H6">
        <v>1</v>
      </c>
      <c r="I6">
        <v>1</v>
      </c>
      <c r="J6">
        <v>1</v>
      </c>
      <c r="K6">
        <v>1</v>
      </c>
      <c r="L6">
        <v>1</v>
      </c>
      <c r="M6">
        <v>1</v>
      </c>
      <c r="N6">
        <v>1</v>
      </c>
      <c r="P6">
        <v>2.2394876480102539</v>
      </c>
    </row>
    <row r="7" spans="1:17" x14ac:dyDescent="0.25">
      <c r="A7" t="s">
        <v>17</v>
      </c>
      <c r="B7" t="s">
        <v>26</v>
      </c>
      <c r="C7">
        <v>0</v>
      </c>
      <c r="D7">
        <v>1</v>
      </c>
      <c r="E7">
        <v>1</v>
      </c>
      <c r="F7">
        <v>1</v>
      </c>
      <c r="G7">
        <v>1</v>
      </c>
      <c r="H7">
        <v>1</v>
      </c>
      <c r="I7">
        <v>1</v>
      </c>
      <c r="J7">
        <v>1</v>
      </c>
      <c r="K7">
        <v>1</v>
      </c>
      <c r="L7">
        <v>1</v>
      </c>
      <c r="M7">
        <v>1</v>
      </c>
      <c r="N7">
        <v>1</v>
      </c>
      <c r="P7">
        <v>1.287769079208374</v>
      </c>
    </row>
    <row r="8" spans="1:17" x14ac:dyDescent="0.25">
      <c r="A8" t="s">
        <v>17</v>
      </c>
      <c r="B8" t="s">
        <v>27</v>
      </c>
      <c r="C8">
        <v>0</v>
      </c>
      <c r="D8">
        <v>1</v>
      </c>
      <c r="E8">
        <v>1</v>
      </c>
      <c r="F8">
        <v>1</v>
      </c>
      <c r="G8">
        <v>0</v>
      </c>
      <c r="H8">
        <v>1</v>
      </c>
      <c r="I8">
        <v>1</v>
      </c>
      <c r="J8">
        <v>1</v>
      </c>
      <c r="K8">
        <v>1</v>
      </c>
      <c r="L8">
        <v>1</v>
      </c>
      <c r="M8">
        <v>1</v>
      </c>
      <c r="N8">
        <v>1</v>
      </c>
      <c r="O8" t="s">
        <v>229</v>
      </c>
      <c r="P8">
        <v>2.3983156681060791</v>
      </c>
    </row>
    <row r="9" spans="1:17" x14ac:dyDescent="0.25">
      <c r="A9" t="s">
        <v>17</v>
      </c>
      <c r="B9" t="s">
        <v>29</v>
      </c>
      <c r="C9">
        <v>0</v>
      </c>
      <c r="D9">
        <v>1</v>
      </c>
      <c r="E9">
        <v>1</v>
      </c>
      <c r="F9">
        <v>1</v>
      </c>
      <c r="G9">
        <v>1</v>
      </c>
      <c r="H9">
        <v>1</v>
      </c>
      <c r="I9">
        <v>1</v>
      </c>
      <c r="J9">
        <v>1</v>
      </c>
      <c r="K9">
        <v>1</v>
      </c>
      <c r="L9">
        <v>1</v>
      </c>
      <c r="M9">
        <v>1</v>
      </c>
      <c r="N9">
        <v>1</v>
      </c>
      <c r="P9">
        <v>1.2872006893157959</v>
      </c>
    </row>
    <row r="10" spans="1:17" x14ac:dyDescent="0.25">
      <c r="A10" t="s">
        <v>17</v>
      </c>
      <c r="B10" t="s">
        <v>30</v>
      </c>
      <c r="C10">
        <v>0</v>
      </c>
      <c r="D10">
        <v>1</v>
      </c>
      <c r="E10">
        <v>1</v>
      </c>
      <c r="F10">
        <v>0</v>
      </c>
      <c r="G10">
        <v>1</v>
      </c>
      <c r="H10">
        <v>1</v>
      </c>
      <c r="I10">
        <v>1</v>
      </c>
      <c r="J10" t="s">
        <v>20</v>
      </c>
      <c r="K10">
        <v>1</v>
      </c>
      <c r="L10">
        <v>1</v>
      </c>
      <c r="M10">
        <v>1</v>
      </c>
      <c r="N10">
        <v>1</v>
      </c>
      <c r="O10" t="s">
        <v>230</v>
      </c>
      <c r="P10">
        <v>2.3286995887756352</v>
      </c>
    </row>
    <row r="11" spans="1:17" x14ac:dyDescent="0.25">
      <c r="A11" t="s">
        <v>17</v>
      </c>
      <c r="B11" t="s">
        <v>32</v>
      </c>
      <c r="C11">
        <v>0</v>
      </c>
      <c r="D11">
        <v>1</v>
      </c>
      <c r="E11">
        <v>1</v>
      </c>
      <c r="F11">
        <v>1</v>
      </c>
      <c r="G11">
        <v>1</v>
      </c>
      <c r="H11">
        <v>1</v>
      </c>
      <c r="I11">
        <v>1</v>
      </c>
      <c r="J11">
        <v>1</v>
      </c>
      <c r="K11">
        <v>1</v>
      </c>
      <c r="L11">
        <v>1</v>
      </c>
      <c r="M11">
        <v>1</v>
      </c>
      <c r="N11">
        <v>1</v>
      </c>
      <c r="P11">
        <v>2.1397135257720952</v>
      </c>
    </row>
    <row r="12" spans="1:17" x14ac:dyDescent="0.25">
      <c r="A12" t="s">
        <v>17</v>
      </c>
      <c r="B12" t="s">
        <v>33</v>
      </c>
      <c r="C12">
        <v>0</v>
      </c>
      <c r="D12">
        <v>1</v>
      </c>
      <c r="E12">
        <v>1</v>
      </c>
      <c r="F12">
        <v>1</v>
      </c>
      <c r="G12">
        <v>1</v>
      </c>
      <c r="H12">
        <v>1</v>
      </c>
      <c r="I12">
        <v>1</v>
      </c>
      <c r="J12">
        <v>1</v>
      </c>
      <c r="K12">
        <v>1</v>
      </c>
      <c r="L12">
        <v>1</v>
      </c>
      <c r="M12">
        <v>1</v>
      </c>
      <c r="N12">
        <v>1</v>
      </c>
      <c r="P12">
        <v>1.142764568328857</v>
      </c>
    </row>
    <row r="13" spans="1:17" x14ac:dyDescent="0.25">
      <c r="A13" t="s">
        <v>17</v>
      </c>
      <c r="B13" t="s">
        <v>34</v>
      </c>
      <c r="C13">
        <v>0</v>
      </c>
      <c r="D13">
        <v>1</v>
      </c>
      <c r="E13">
        <v>1</v>
      </c>
      <c r="F13">
        <v>1</v>
      </c>
      <c r="G13">
        <v>1</v>
      </c>
      <c r="H13">
        <v>1</v>
      </c>
      <c r="I13">
        <v>1</v>
      </c>
      <c r="J13">
        <v>1</v>
      </c>
      <c r="K13">
        <v>1</v>
      </c>
      <c r="L13">
        <v>1</v>
      </c>
      <c r="M13">
        <v>1</v>
      </c>
      <c r="N13">
        <v>1</v>
      </c>
      <c r="P13">
        <v>1.1573028564453121</v>
      </c>
    </row>
    <row r="14" spans="1:17" x14ac:dyDescent="0.25">
      <c r="A14" t="s">
        <v>17</v>
      </c>
      <c r="B14" t="s">
        <v>35</v>
      </c>
      <c r="C14">
        <v>0</v>
      </c>
      <c r="D14">
        <v>1</v>
      </c>
      <c r="E14">
        <v>0</v>
      </c>
      <c r="F14">
        <v>1</v>
      </c>
      <c r="G14">
        <v>1</v>
      </c>
      <c r="H14" t="s">
        <v>20</v>
      </c>
      <c r="I14">
        <v>0</v>
      </c>
      <c r="J14" t="s">
        <v>20</v>
      </c>
      <c r="K14">
        <v>1</v>
      </c>
      <c r="L14">
        <v>1</v>
      </c>
      <c r="M14">
        <v>1</v>
      </c>
      <c r="N14">
        <v>1</v>
      </c>
      <c r="O14" t="s">
        <v>231</v>
      </c>
      <c r="P14">
        <v>3.3945925235748291</v>
      </c>
    </row>
    <row r="15" spans="1:17" x14ac:dyDescent="0.25">
      <c r="A15" t="s">
        <v>17</v>
      </c>
      <c r="B15" t="s">
        <v>37</v>
      </c>
      <c r="C15">
        <v>0</v>
      </c>
      <c r="D15">
        <v>1</v>
      </c>
      <c r="E15">
        <v>1</v>
      </c>
      <c r="F15">
        <v>1</v>
      </c>
      <c r="G15">
        <v>1</v>
      </c>
      <c r="H15">
        <v>1</v>
      </c>
      <c r="I15">
        <v>1</v>
      </c>
      <c r="J15">
        <v>1</v>
      </c>
      <c r="K15">
        <v>1</v>
      </c>
      <c r="L15">
        <v>1</v>
      </c>
      <c r="M15">
        <v>1</v>
      </c>
      <c r="N15">
        <v>1</v>
      </c>
      <c r="P15">
        <v>1.8518035411834719</v>
      </c>
    </row>
    <row r="16" spans="1:17" x14ac:dyDescent="0.25">
      <c r="A16" t="s">
        <v>17</v>
      </c>
      <c r="B16" t="s">
        <v>38</v>
      </c>
      <c r="C16">
        <v>0</v>
      </c>
      <c r="D16">
        <v>1</v>
      </c>
      <c r="E16">
        <v>1</v>
      </c>
      <c r="F16">
        <v>1</v>
      </c>
      <c r="G16">
        <v>1</v>
      </c>
      <c r="H16">
        <v>1</v>
      </c>
      <c r="I16">
        <v>1</v>
      </c>
      <c r="J16">
        <v>1</v>
      </c>
      <c r="K16">
        <v>1</v>
      </c>
      <c r="L16">
        <v>1</v>
      </c>
      <c r="M16">
        <v>1</v>
      </c>
      <c r="N16">
        <v>1</v>
      </c>
      <c r="P16">
        <v>1.161293745040894</v>
      </c>
    </row>
    <row r="17" spans="1:17" x14ac:dyDescent="0.25">
      <c r="A17" t="s">
        <v>17</v>
      </c>
      <c r="B17" t="s">
        <v>39</v>
      </c>
      <c r="C17">
        <v>0</v>
      </c>
      <c r="D17">
        <v>1</v>
      </c>
      <c r="E17">
        <v>1</v>
      </c>
      <c r="F17">
        <v>1</v>
      </c>
      <c r="G17">
        <v>1</v>
      </c>
      <c r="H17">
        <v>1</v>
      </c>
      <c r="I17">
        <v>1</v>
      </c>
      <c r="J17">
        <v>0</v>
      </c>
      <c r="K17">
        <v>1</v>
      </c>
      <c r="L17">
        <v>1</v>
      </c>
      <c r="M17">
        <v>1</v>
      </c>
      <c r="N17">
        <v>1</v>
      </c>
      <c r="O17" t="s">
        <v>232</v>
      </c>
      <c r="P17">
        <v>3.205974817276001</v>
      </c>
    </row>
    <row r="18" spans="1:17" x14ac:dyDescent="0.25">
      <c r="A18" t="s">
        <v>17</v>
      </c>
      <c r="B18" t="s">
        <v>40</v>
      </c>
      <c r="C18">
        <v>0</v>
      </c>
      <c r="D18">
        <v>1</v>
      </c>
      <c r="E18">
        <v>1</v>
      </c>
      <c r="F18">
        <v>1</v>
      </c>
      <c r="G18">
        <v>1</v>
      </c>
      <c r="H18">
        <v>1</v>
      </c>
      <c r="I18">
        <v>1</v>
      </c>
      <c r="J18">
        <v>1</v>
      </c>
      <c r="K18">
        <v>1</v>
      </c>
      <c r="L18">
        <v>1</v>
      </c>
      <c r="M18">
        <v>1</v>
      </c>
      <c r="N18">
        <v>1</v>
      </c>
      <c r="P18">
        <v>1.747337341308594</v>
      </c>
    </row>
    <row r="19" spans="1:17" x14ac:dyDescent="0.25">
      <c r="A19" t="s">
        <v>17</v>
      </c>
      <c r="B19" t="s">
        <v>41</v>
      </c>
      <c r="C19">
        <v>0</v>
      </c>
      <c r="D19">
        <v>1</v>
      </c>
      <c r="E19">
        <v>1</v>
      </c>
      <c r="F19">
        <v>1</v>
      </c>
      <c r="G19">
        <v>1</v>
      </c>
      <c r="H19">
        <v>1</v>
      </c>
      <c r="I19">
        <v>1</v>
      </c>
      <c r="J19">
        <v>1</v>
      </c>
      <c r="K19">
        <v>1</v>
      </c>
      <c r="L19">
        <v>1</v>
      </c>
      <c r="M19">
        <v>1</v>
      </c>
      <c r="N19">
        <v>1</v>
      </c>
      <c r="P19">
        <v>4.7084419727325439</v>
      </c>
    </row>
    <row r="20" spans="1:17" x14ac:dyDescent="0.25">
      <c r="A20" t="s">
        <v>17</v>
      </c>
      <c r="B20" t="s">
        <v>42</v>
      </c>
      <c r="C20">
        <v>0</v>
      </c>
      <c r="D20">
        <v>1</v>
      </c>
      <c r="E20">
        <v>1</v>
      </c>
      <c r="F20">
        <v>1</v>
      </c>
      <c r="G20">
        <v>1</v>
      </c>
      <c r="H20">
        <v>1</v>
      </c>
      <c r="I20">
        <v>1</v>
      </c>
      <c r="J20">
        <v>1</v>
      </c>
      <c r="K20">
        <v>1</v>
      </c>
      <c r="L20">
        <v>1</v>
      </c>
      <c r="M20">
        <v>1</v>
      </c>
      <c r="N20">
        <v>1</v>
      </c>
      <c r="P20">
        <v>1.8247625827789311</v>
      </c>
    </row>
    <row r="21" spans="1:17" x14ac:dyDescent="0.25">
      <c r="A21" t="s">
        <v>17</v>
      </c>
      <c r="B21" t="s">
        <v>43</v>
      </c>
      <c r="C21">
        <v>0</v>
      </c>
      <c r="D21">
        <v>1</v>
      </c>
      <c r="E21">
        <v>1</v>
      </c>
      <c r="F21">
        <v>1</v>
      </c>
      <c r="G21">
        <v>1</v>
      </c>
      <c r="H21">
        <v>1</v>
      </c>
      <c r="I21">
        <v>0</v>
      </c>
      <c r="J21">
        <v>1</v>
      </c>
      <c r="K21">
        <v>1</v>
      </c>
      <c r="L21">
        <v>1</v>
      </c>
      <c r="M21">
        <v>1</v>
      </c>
      <c r="N21">
        <v>1</v>
      </c>
      <c r="O21" t="s">
        <v>233</v>
      </c>
      <c r="P21">
        <v>3.113721609115601</v>
      </c>
    </row>
    <row r="22" spans="1:17" x14ac:dyDescent="0.25">
      <c r="A22" t="s">
        <v>17</v>
      </c>
      <c r="B22" t="s">
        <v>44</v>
      </c>
      <c r="C22">
        <v>0</v>
      </c>
      <c r="D22">
        <v>1</v>
      </c>
      <c r="E22">
        <v>1</v>
      </c>
      <c r="F22">
        <v>1</v>
      </c>
      <c r="G22">
        <v>1</v>
      </c>
      <c r="H22">
        <v>1</v>
      </c>
      <c r="I22">
        <v>1</v>
      </c>
      <c r="J22">
        <v>1</v>
      </c>
      <c r="K22">
        <v>1</v>
      </c>
      <c r="L22">
        <v>1</v>
      </c>
      <c r="M22">
        <v>1</v>
      </c>
      <c r="N22">
        <v>1</v>
      </c>
      <c r="P22">
        <v>1.367621898651123</v>
      </c>
    </row>
    <row r="23" spans="1:17" x14ac:dyDescent="0.25">
      <c r="A23" t="s">
        <v>17</v>
      </c>
      <c r="B23" t="s">
        <v>45</v>
      </c>
      <c r="C23">
        <v>0</v>
      </c>
      <c r="D23">
        <v>1</v>
      </c>
      <c r="E23">
        <v>1</v>
      </c>
      <c r="F23">
        <v>0</v>
      </c>
      <c r="G23">
        <v>1</v>
      </c>
      <c r="H23">
        <v>1</v>
      </c>
      <c r="I23">
        <v>1</v>
      </c>
      <c r="J23" t="s">
        <v>20</v>
      </c>
      <c r="K23">
        <v>1</v>
      </c>
      <c r="L23">
        <v>1</v>
      </c>
      <c r="M23">
        <v>1</v>
      </c>
      <c r="N23">
        <v>1</v>
      </c>
      <c r="O23" t="s">
        <v>234</v>
      </c>
      <c r="P23">
        <v>2.122911691665649</v>
      </c>
    </row>
    <row r="24" spans="1:17" x14ac:dyDescent="0.25">
      <c r="A24" t="s">
        <v>17</v>
      </c>
      <c r="B24" t="s">
        <v>47</v>
      </c>
      <c r="C24">
        <v>0</v>
      </c>
      <c r="D24">
        <v>1</v>
      </c>
      <c r="E24">
        <v>1</v>
      </c>
      <c r="F24">
        <v>1</v>
      </c>
      <c r="G24">
        <v>1</v>
      </c>
      <c r="H24">
        <v>1</v>
      </c>
      <c r="I24">
        <v>1</v>
      </c>
      <c r="J24">
        <v>1</v>
      </c>
      <c r="K24">
        <v>1</v>
      </c>
      <c r="L24">
        <v>1</v>
      </c>
      <c r="M24">
        <v>1</v>
      </c>
      <c r="N24">
        <v>1</v>
      </c>
      <c r="P24">
        <v>1.686665296554565</v>
      </c>
    </row>
    <row r="25" spans="1:17" x14ac:dyDescent="0.25">
      <c r="A25" t="s">
        <v>17</v>
      </c>
      <c r="B25" t="s">
        <v>48</v>
      </c>
      <c r="C25">
        <v>0</v>
      </c>
      <c r="D25">
        <v>1</v>
      </c>
      <c r="E25">
        <v>1</v>
      </c>
      <c r="F25">
        <v>0</v>
      </c>
      <c r="G25">
        <v>1</v>
      </c>
      <c r="H25">
        <v>1</v>
      </c>
      <c r="I25">
        <v>1</v>
      </c>
      <c r="J25" t="s">
        <v>20</v>
      </c>
      <c r="K25">
        <v>1</v>
      </c>
      <c r="L25">
        <v>1</v>
      </c>
      <c r="M25">
        <v>1</v>
      </c>
      <c r="N25">
        <v>1</v>
      </c>
      <c r="O25" t="s">
        <v>235</v>
      </c>
      <c r="P25">
        <v>2.921910285949707</v>
      </c>
    </row>
    <row r="26" spans="1:17" x14ac:dyDescent="0.25">
      <c r="A26" t="s">
        <v>17</v>
      </c>
      <c r="B26" t="s">
        <v>50</v>
      </c>
      <c r="C26">
        <v>0</v>
      </c>
      <c r="D26">
        <v>1</v>
      </c>
      <c r="E26">
        <v>1</v>
      </c>
      <c r="F26">
        <v>1</v>
      </c>
      <c r="G26">
        <v>1</v>
      </c>
      <c r="H26">
        <v>1</v>
      </c>
      <c r="I26">
        <v>1</v>
      </c>
      <c r="J26">
        <v>1</v>
      </c>
      <c r="K26">
        <v>1</v>
      </c>
      <c r="L26">
        <v>1</v>
      </c>
      <c r="M26">
        <v>1</v>
      </c>
      <c r="N26">
        <v>1</v>
      </c>
      <c r="P26">
        <v>1.13130784034729</v>
      </c>
    </row>
    <row r="27" spans="1:17" x14ac:dyDescent="0.25">
      <c r="A27" t="s">
        <v>17</v>
      </c>
      <c r="B27" t="s">
        <v>51</v>
      </c>
      <c r="C27">
        <v>0</v>
      </c>
      <c r="D27">
        <v>1</v>
      </c>
      <c r="E27">
        <v>0</v>
      </c>
      <c r="F27">
        <v>0</v>
      </c>
      <c r="G27">
        <v>0</v>
      </c>
      <c r="H27" t="s">
        <v>20</v>
      </c>
      <c r="I27">
        <v>1</v>
      </c>
      <c r="J27" t="s">
        <v>20</v>
      </c>
      <c r="K27">
        <v>1</v>
      </c>
      <c r="L27">
        <v>1</v>
      </c>
      <c r="M27">
        <v>1</v>
      </c>
      <c r="N27">
        <v>1</v>
      </c>
      <c r="O27" t="s">
        <v>236</v>
      </c>
      <c r="P27">
        <v>4.7269296646118164</v>
      </c>
    </row>
    <row r="28" spans="1:17" x14ac:dyDescent="0.25">
      <c r="A28" t="s">
        <v>17</v>
      </c>
      <c r="B28" t="s">
        <v>53</v>
      </c>
      <c r="C28">
        <v>0</v>
      </c>
      <c r="D28">
        <v>0</v>
      </c>
      <c r="E28" t="s">
        <v>20</v>
      </c>
      <c r="F28" t="s">
        <v>20</v>
      </c>
      <c r="G28" t="s">
        <v>20</v>
      </c>
      <c r="H28" t="s">
        <v>20</v>
      </c>
      <c r="I28" t="s">
        <v>20</v>
      </c>
      <c r="J28" t="s">
        <v>20</v>
      </c>
      <c r="K28" t="s">
        <v>20</v>
      </c>
      <c r="L28" t="s">
        <v>20</v>
      </c>
      <c r="M28">
        <v>1</v>
      </c>
      <c r="N28" t="s">
        <v>20</v>
      </c>
      <c r="O28" t="s">
        <v>237</v>
      </c>
      <c r="P28">
        <v>8.7780323028564453</v>
      </c>
      <c r="Q28" t="s">
        <v>20</v>
      </c>
    </row>
    <row r="29" spans="1:17" x14ac:dyDescent="0.25">
      <c r="A29" t="s">
        <v>17</v>
      </c>
      <c r="B29" t="s">
        <v>55</v>
      </c>
      <c r="C29">
        <v>0</v>
      </c>
      <c r="D29">
        <v>0</v>
      </c>
      <c r="E29" t="s">
        <v>20</v>
      </c>
      <c r="F29" t="s">
        <v>20</v>
      </c>
      <c r="G29" t="s">
        <v>20</v>
      </c>
      <c r="H29" t="s">
        <v>20</v>
      </c>
      <c r="I29" t="s">
        <v>20</v>
      </c>
      <c r="J29" t="s">
        <v>20</v>
      </c>
      <c r="K29" t="s">
        <v>20</v>
      </c>
      <c r="L29" t="s">
        <v>20</v>
      </c>
      <c r="M29">
        <v>1</v>
      </c>
      <c r="N29" t="s">
        <v>20</v>
      </c>
      <c r="O29" t="s">
        <v>238</v>
      </c>
      <c r="P29">
        <v>3.8203835487365718</v>
      </c>
      <c r="Q29" t="s">
        <v>20</v>
      </c>
    </row>
    <row r="30" spans="1:17" x14ac:dyDescent="0.25">
      <c r="A30" t="s">
        <v>17</v>
      </c>
      <c r="B30" t="s">
        <v>56</v>
      </c>
      <c r="C30">
        <v>0</v>
      </c>
      <c r="D30">
        <v>1</v>
      </c>
      <c r="E30">
        <v>1</v>
      </c>
      <c r="F30">
        <v>1</v>
      </c>
      <c r="G30">
        <v>0</v>
      </c>
      <c r="H30">
        <v>1</v>
      </c>
      <c r="I30">
        <v>1</v>
      </c>
      <c r="J30">
        <v>1</v>
      </c>
      <c r="K30">
        <v>1</v>
      </c>
      <c r="L30">
        <v>1</v>
      </c>
      <c r="M30">
        <v>1</v>
      </c>
      <c r="N30">
        <v>1</v>
      </c>
      <c r="O30" t="s">
        <v>239</v>
      </c>
      <c r="P30">
        <v>2.423481702804565</v>
      </c>
    </row>
    <row r="31" spans="1:17" x14ac:dyDescent="0.25">
      <c r="A31" t="s">
        <v>17</v>
      </c>
      <c r="B31" t="s">
        <v>58</v>
      </c>
      <c r="C31">
        <v>0</v>
      </c>
      <c r="D31">
        <v>1</v>
      </c>
      <c r="E31">
        <v>0</v>
      </c>
      <c r="F31">
        <v>1</v>
      </c>
      <c r="G31">
        <v>1</v>
      </c>
      <c r="H31" t="s">
        <v>20</v>
      </c>
      <c r="I31">
        <v>1</v>
      </c>
      <c r="J31" t="s">
        <v>20</v>
      </c>
      <c r="K31">
        <v>1</v>
      </c>
      <c r="L31">
        <v>1</v>
      </c>
      <c r="M31">
        <v>1</v>
      </c>
      <c r="N31">
        <v>1</v>
      </c>
      <c r="O31" t="s">
        <v>240</v>
      </c>
      <c r="P31">
        <v>2.156047105789185</v>
      </c>
    </row>
    <row r="32" spans="1:17" x14ac:dyDescent="0.25">
      <c r="A32" t="s">
        <v>17</v>
      </c>
      <c r="B32" t="s">
        <v>60</v>
      </c>
      <c r="C32">
        <v>0</v>
      </c>
      <c r="D32">
        <v>0</v>
      </c>
      <c r="E32" t="s">
        <v>20</v>
      </c>
      <c r="F32" t="s">
        <v>20</v>
      </c>
      <c r="G32" t="s">
        <v>20</v>
      </c>
      <c r="H32" t="s">
        <v>20</v>
      </c>
      <c r="I32" t="s">
        <v>20</v>
      </c>
      <c r="J32" t="s">
        <v>20</v>
      </c>
      <c r="K32" t="s">
        <v>20</v>
      </c>
      <c r="L32" t="s">
        <v>20</v>
      </c>
      <c r="M32">
        <v>1</v>
      </c>
      <c r="N32" t="s">
        <v>20</v>
      </c>
      <c r="O32" t="s">
        <v>241</v>
      </c>
      <c r="P32">
        <v>5.2156894207000732</v>
      </c>
      <c r="Q32" t="s">
        <v>20</v>
      </c>
    </row>
    <row r="33" spans="1:16" x14ac:dyDescent="0.25">
      <c r="A33" t="s">
        <v>17</v>
      </c>
      <c r="B33" t="s">
        <v>62</v>
      </c>
      <c r="C33">
        <v>0</v>
      </c>
      <c r="D33">
        <v>1</v>
      </c>
      <c r="E33">
        <v>1</v>
      </c>
      <c r="F33">
        <v>1</v>
      </c>
      <c r="G33">
        <v>1</v>
      </c>
      <c r="H33">
        <v>1</v>
      </c>
      <c r="I33">
        <v>1</v>
      </c>
      <c r="J33">
        <v>1</v>
      </c>
      <c r="K33">
        <v>1</v>
      </c>
      <c r="L33">
        <v>1</v>
      </c>
      <c r="M33">
        <v>1</v>
      </c>
      <c r="N33">
        <v>1</v>
      </c>
      <c r="P33">
        <v>1.3387184143066411</v>
      </c>
    </row>
    <row r="34" spans="1:16" x14ac:dyDescent="0.25">
      <c r="A34" t="s">
        <v>17</v>
      </c>
      <c r="B34" t="s">
        <v>63</v>
      </c>
      <c r="C34">
        <v>0</v>
      </c>
      <c r="D34">
        <v>1</v>
      </c>
      <c r="E34">
        <v>1</v>
      </c>
      <c r="F34">
        <v>1</v>
      </c>
      <c r="G34">
        <v>1</v>
      </c>
      <c r="H34">
        <v>1</v>
      </c>
      <c r="I34">
        <v>1</v>
      </c>
      <c r="J34">
        <v>1</v>
      </c>
      <c r="K34">
        <v>1</v>
      </c>
      <c r="L34">
        <v>1</v>
      </c>
      <c r="M34">
        <v>1</v>
      </c>
      <c r="N34">
        <v>1</v>
      </c>
      <c r="P34">
        <v>2.0605580806732182</v>
      </c>
    </row>
    <row r="35" spans="1:16" x14ac:dyDescent="0.25">
      <c r="A35" t="s">
        <v>17</v>
      </c>
      <c r="B35" t="s">
        <v>65</v>
      </c>
      <c r="C35">
        <v>0</v>
      </c>
      <c r="D35">
        <v>1</v>
      </c>
      <c r="E35">
        <v>1</v>
      </c>
      <c r="F35">
        <v>1</v>
      </c>
      <c r="G35">
        <v>1</v>
      </c>
      <c r="H35">
        <v>1</v>
      </c>
      <c r="I35">
        <v>1</v>
      </c>
      <c r="J35">
        <v>1</v>
      </c>
      <c r="K35">
        <v>1</v>
      </c>
      <c r="L35">
        <v>1</v>
      </c>
      <c r="M35">
        <v>1</v>
      </c>
      <c r="N35">
        <v>1</v>
      </c>
      <c r="P35">
        <v>1.256034851074219</v>
      </c>
    </row>
    <row r="36" spans="1:16" x14ac:dyDescent="0.25">
      <c r="A36" t="s">
        <v>17</v>
      </c>
      <c r="B36" t="s">
        <v>66</v>
      </c>
      <c r="C36">
        <v>0</v>
      </c>
      <c r="D36">
        <v>1</v>
      </c>
      <c r="E36">
        <v>1</v>
      </c>
      <c r="F36">
        <v>1</v>
      </c>
      <c r="G36">
        <v>1</v>
      </c>
      <c r="H36">
        <v>1</v>
      </c>
      <c r="I36">
        <v>1</v>
      </c>
      <c r="J36">
        <v>1</v>
      </c>
      <c r="K36">
        <v>1</v>
      </c>
      <c r="L36">
        <v>1</v>
      </c>
      <c r="M36">
        <v>1</v>
      </c>
      <c r="N36">
        <v>1</v>
      </c>
      <c r="P36">
        <v>1.141762495040894</v>
      </c>
    </row>
    <row r="37" spans="1:16" x14ac:dyDescent="0.25">
      <c r="A37" t="s">
        <v>17</v>
      </c>
      <c r="B37" t="s">
        <v>67</v>
      </c>
      <c r="C37">
        <v>0</v>
      </c>
      <c r="D37">
        <v>1</v>
      </c>
      <c r="E37">
        <v>1</v>
      </c>
      <c r="F37">
        <v>1</v>
      </c>
      <c r="G37">
        <v>1</v>
      </c>
      <c r="H37">
        <v>1</v>
      </c>
      <c r="I37">
        <v>1</v>
      </c>
      <c r="J37">
        <v>1</v>
      </c>
      <c r="K37">
        <v>1</v>
      </c>
      <c r="L37">
        <v>1</v>
      </c>
      <c r="M37">
        <v>1</v>
      </c>
      <c r="N37">
        <v>1</v>
      </c>
      <c r="P37">
        <v>1.2070438861846919</v>
      </c>
    </row>
    <row r="38" spans="1:16" x14ac:dyDescent="0.25">
      <c r="A38" t="s">
        <v>17</v>
      </c>
      <c r="B38" t="s">
        <v>68</v>
      </c>
      <c r="C38">
        <v>0</v>
      </c>
      <c r="D38">
        <v>1</v>
      </c>
      <c r="E38">
        <v>1</v>
      </c>
      <c r="F38">
        <v>1</v>
      </c>
      <c r="G38">
        <v>1</v>
      </c>
      <c r="H38">
        <v>1</v>
      </c>
      <c r="I38">
        <v>1</v>
      </c>
      <c r="J38">
        <v>1</v>
      </c>
      <c r="K38">
        <v>1</v>
      </c>
      <c r="L38">
        <v>1</v>
      </c>
      <c r="M38">
        <v>1</v>
      </c>
      <c r="N38">
        <v>1</v>
      </c>
      <c r="P38">
        <v>1.522155284881592</v>
      </c>
    </row>
    <row r="39" spans="1:16" x14ac:dyDescent="0.25">
      <c r="A39" t="s">
        <v>17</v>
      </c>
      <c r="B39" t="s">
        <v>69</v>
      </c>
      <c r="C39">
        <v>0</v>
      </c>
      <c r="D39">
        <v>1</v>
      </c>
      <c r="E39">
        <v>1</v>
      </c>
      <c r="F39">
        <v>1</v>
      </c>
      <c r="G39">
        <v>0</v>
      </c>
      <c r="H39">
        <v>1</v>
      </c>
      <c r="I39">
        <v>1</v>
      </c>
      <c r="J39">
        <v>1</v>
      </c>
      <c r="K39">
        <v>1</v>
      </c>
      <c r="L39">
        <v>1</v>
      </c>
      <c r="M39">
        <v>1</v>
      </c>
      <c r="N39">
        <v>1</v>
      </c>
      <c r="O39" t="s">
        <v>242</v>
      </c>
      <c r="P39">
        <v>1.630858898162842</v>
      </c>
    </row>
    <row r="40" spans="1:16" x14ac:dyDescent="0.25">
      <c r="A40" t="s">
        <v>17</v>
      </c>
      <c r="B40" t="s">
        <v>71</v>
      </c>
      <c r="C40">
        <v>0</v>
      </c>
      <c r="D40">
        <v>1</v>
      </c>
      <c r="E40">
        <v>0</v>
      </c>
      <c r="F40">
        <v>1</v>
      </c>
      <c r="G40">
        <v>1</v>
      </c>
      <c r="H40" t="s">
        <v>20</v>
      </c>
      <c r="I40">
        <v>1</v>
      </c>
      <c r="J40" t="s">
        <v>20</v>
      </c>
      <c r="K40">
        <v>1</v>
      </c>
      <c r="L40">
        <v>1</v>
      </c>
      <c r="M40">
        <v>1</v>
      </c>
      <c r="N40">
        <v>1</v>
      </c>
      <c r="O40" t="s">
        <v>243</v>
      </c>
      <c r="P40">
        <v>7.7473850250244141</v>
      </c>
    </row>
    <row r="41" spans="1:16" x14ac:dyDescent="0.25">
      <c r="A41" t="s">
        <v>17</v>
      </c>
      <c r="B41" t="s">
        <v>73</v>
      </c>
      <c r="C41">
        <v>0</v>
      </c>
      <c r="D41">
        <v>1</v>
      </c>
      <c r="E41">
        <v>0</v>
      </c>
      <c r="F41">
        <v>0</v>
      </c>
      <c r="G41">
        <v>1</v>
      </c>
      <c r="H41" t="s">
        <v>20</v>
      </c>
      <c r="I41">
        <v>1</v>
      </c>
      <c r="J41" t="s">
        <v>20</v>
      </c>
      <c r="K41">
        <v>0</v>
      </c>
      <c r="L41">
        <v>0</v>
      </c>
      <c r="M41">
        <v>1</v>
      </c>
      <c r="N41">
        <v>1</v>
      </c>
      <c r="O41" t="s">
        <v>244</v>
      </c>
      <c r="P41">
        <v>4.1812832355499268</v>
      </c>
    </row>
    <row r="42" spans="1:16" x14ac:dyDescent="0.25">
      <c r="A42" t="s">
        <v>17</v>
      </c>
      <c r="B42" t="s">
        <v>75</v>
      </c>
      <c r="C42">
        <v>0</v>
      </c>
      <c r="D42">
        <v>1</v>
      </c>
      <c r="E42">
        <v>1</v>
      </c>
      <c r="F42">
        <v>0</v>
      </c>
      <c r="G42">
        <v>1</v>
      </c>
      <c r="H42">
        <v>1</v>
      </c>
      <c r="I42">
        <v>1</v>
      </c>
      <c r="J42" t="s">
        <v>20</v>
      </c>
      <c r="K42">
        <v>1</v>
      </c>
      <c r="L42">
        <v>1</v>
      </c>
      <c r="M42">
        <v>1</v>
      </c>
      <c r="N42">
        <v>1</v>
      </c>
      <c r="O42" t="s">
        <v>245</v>
      </c>
      <c r="P42">
        <v>2.2019610404968262</v>
      </c>
    </row>
    <row r="43" spans="1:16" x14ac:dyDescent="0.25">
      <c r="A43" t="s">
        <v>17</v>
      </c>
      <c r="B43" t="s">
        <v>77</v>
      </c>
      <c r="C43">
        <v>0</v>
      </c>
      <c r="D43">
        <v>1</v>
      </c>
      <c r="E43">
        <v>1</v>
      </c>
      <c r="F43">
        <v>1</v>
      </c>
      <c r="G43">
        <v>1</v>
      </c>
      <c r="H43">
        <v>1</v>
      </c>
      <c r="I43">
        <v>1</v>
      </c>
      <c r="J43">
        <v>1</v>
      </c>
      <c r="K43">
        <v>1</v>
      </c>
      <c r="L43">
        <v>1</v>
      </c>
      <c r="M43">
        <v>1</v>
      </c>
      <c r="N43">
        <v>1</v>
      </c>
      <c r="P43">
        <v>1.2026853561401369</v>
      </c>
    </row>
    <row r="44" spans="1:16" x14ac:dyDescent="0.25">
      <c r="A44" t="s">
        <v>17</v>
      </c>
      <c r="B44" t="s">
        <v>78</v>
      </c>
      <c r="C44">
        <v>0</v>
      </c>
      <c r="D44">
        <v>1</v>
      </c>
      <c r="E44">
        <v>1</v>
      </c>
      <c r="F44">
        <v>1</v>
      </c>
      <c r="G44">
        <v>1</v>
      </c>
      <c r="H44">
        <v>1</v>
      </c>
      <c r="I44">
        <v>1</v>
      </c>
      <c r="J44">
        <v>1</v>
      </c>
      <c r="K44">
        <v>1</v>
      </c>
      <c r="L44">
        <v>1</v>
      </c>
      <c r="M44">
        <v>1</v>
      </c>
      <c r="N44">
        <v>1</v>
      </c>
      <c r="P44">
        <v>1.767850875854492</v>
      </c>
    </row>
    <row r="45" spans="1:16" x14ac:dyDescent="0.25">
      <c r="A45" t="s">
        <v>17</v>
      </c>
      <c r="B45" t="s">
        <v>79</v>
      </c>
      <c r="C45">
        <v>0</v>
      </c>
      <c r="D45">
        <v>1</v>
      </c>
      <c r="E45">
        <v>1</v>
      </c>
      <c r="F45">
        <v>1</v>
      </c>
      <c r="G45">
        <v>1</v>
      </c>
      <c r="H45">
        <v>1</v>
      </c>
      <c r="I45">
        <v>1</v>
      </c>
      <c r="J45">
        <v>1</v>
      </c>
      <c r="K45">
        <v>1</v>
      </c>
      <c r="L45">
        <v>1</v>
      </c>
      <c r="M45">
        <v>1</v>
      </c>
      <c r="N45">
        <v>1</v>
      </c>
      <c r="P45">
        <v>1.258259057998657</v>
      </c>
    </row>
    <row r="46" spans="1:16" x14ac:dyDescent="0.25">
      <c r="A46" t="s">
        <v>17</v>
      </c>
      <c r="B46" t="s">
        <v>80</v>
      </c>
      <c r="C46">
        <v>0</v>
      </c>
      <c r="D46">
        <v>1</v>
      </c>
      <c r="E46">
        <v>1</v>
      </c>
      <c r="F46">
        <v>1</v>
      </c>
      <c r="G46">
        <v>1</v>
      </c>
      <c r="H46">
        <v>1</v>
      </c>
      <c r="I46">
        <v>1</v>
      </c>
      <c r="J46">
        <v>1</v>
      </c>
      <c r="K46">
        <v>1</v>
      </c>
      <c r="L46">
        <v>1</v>
      </c>
      <c r="M46">
        <v>1</v>
      </c>
      <c r="N46">
        <v>1</v>
      </c>
      <c r="P46">
        <v>1.3381814956665039</v>
      </c>
    </row>
    <row r="47" spans="1:16" x14ac:dyDescent="0.25">
      <c r="A47" t="s">
        <v>17</v>
      </c>
      <c r="B47" t="s">
        <v>81</v>
      </c>
      <c r="C47">
        <v>0</v>
      </c>
      <c r="D47">
        <v>1</v>
      </c>
      <c r="E47">
        <v>1</v>
      </c>
      <c r="F47">
        <v>1</v>
      </c>
      <c r="G47">
        <v>1</v>
      </c>
      <c r="H47">
        <v>1</v>
      </c>
      <c r="I47">
        <v>1</v>
      </c>
      <c r="J47">
        <v>1</v>
      </c>
      <c r="K47">
        <v>1</v>
      </c>
      <c r="L47">
        <v>1</v>
      </c>
      <c r="M47">
        <v>1</v>
      </c>
      <c r="N47">
        <v>1</v>
      </c>
      <c r="P47">
        <v>1.6521966457366939</v>
      </c>
    </row>
    <row r="48" spans="1:16" x14ac:dyDescent="0.25">
      <c r="A48" t="s">
        <v>17</v>
      </c>
      <c r="B48" t="s">
        <v>82</v>
      </c>
      <c r="C48">
        <v>0</v>
      </c>
      <c r="D48">
        <v>1</v>
      </c>
      <c r="E48">
        <v>1</v>
      </c>
      <c r="F48">
        <v>1</v>
      </c>
      <c r="G48">
        <v>0</v>
      </c>
      <c r="H48">
        <v>1</v>
      </c>
      <c r="I48">
        <v>1</v>
      </c>
      <c r="J48">
        <v>1</v>
      </c>
      <c r="K48">
        <v>1</v>
      </c>
      <c r="L48">
        <v>1</v>
      </c>
      <c r="M48">
        <v>1</v>
      </c>
      <c r="N48">
        <v>1</v>
      </c>
      <c r="O48" t="s">
        <v>246</v>
      </c>
      <c r="P48">
        <v>1.8935644626617429</v>
      </c>
    </row>
    <row r="49" spans="1:16" x14ac:dyDescent="0.25">
      <c r="A49" t="s">
        <v>17</v>
      </c>
      <c r="B49" t="s">
        <v>83</v>
      </c>
      <c r="C49">
        <v>0</v>
      </c>
      <c r="D49">
        <v>1</v>
      </c>
      <c r="E49">
        <v>0</v>
      </c>
      <c r="F49">
        <v>1</v>
      </c>
      <c r="G49">
        <v>1</v>
      </c>
      <c r="H49" t="s">
        <v>20</v>
      </c>
      <c r="I49">
        <v>1</v>
      </c>
      <c r="J49" t="s">
        <v>20</v>
      </c>
      <c r="K49">
        <v>1</v>
      </c>
      <c r="L49">
        <v>1</v>
      </c>
      <c r="M49">
        <v>1</v>
      </c>
      <c r="N49">
        <v>1</v>
      </c>
      <c r="O49" t="s">
        <v>247</v>
      </c>
      <c r="P49">
        <v>2.866636991500854</v>
      </c>
    </row>
    <row r="50" spans="1:16" x14ac:dyDescent="0.25">
      <c r="A50" t="s">
        <v>17</v>
      </c>
      <c r="B50" t="s">
        <v>85</v>
      </c>
      <c r="C50">
        <v>0</v>
      </c>
      <c r="D50">
        <v>1</v>
      </c>
      <c r="E50">
        <v>1</v>
      </c>
      <c r="F50">
        <v>1</v>
      </c>
      <c r="G50">
        <v>1</v>
      </c>
      <c r="H50">
        <v>1</v>
      </c>
      <c r="I50">
        <v>1</v>
      </c>
      <c r="J50">
        <v>1</v>
      </c>
      <c r="K50">
        <v>1</v>
      </c>
      <c r="L50">
        <v>1</v>
      </c>
      <c r="M50">
        <v>1</v>
      </c>
      <c r="N50">
        <v>1</v>
      </c>
      <c r="P50">
        <v>1.817891120910645</v>
      </c>
    </row>
    <row r="51" spans="1:16" x14ac:dyDescent="0.25">
      <c r="A51" t="s">
        <v>86</v>
      </c>
      <c r="B51" t="s">
        <v>18</v>
      </c>
      <c r="C51">
        <v>0</v>
      </c>
      <c r="D51">
        <v>1</v>
      </c>
      <c r="E51">
        <v>1</v>
      </c>
      <c r="F51">
        <v>1</v>
      </c>
      <c r="G51">
        <v>1</v>
      </c>
      <c r="H51">
        <v>1</v>
      </c>
      <c r="I51">
        <v>1</v>
      </c>
      <c r="J51">
        <v>1</v>
      </c>
      <c r="K51">
        <v>1</v>
      </c>
      <c r="L51">
        <v>1</v>
      </c>
      <c r="M51">
        <v>1</v>
      </c>
      <c r="N51">
        <v>1</v>
      </c>
      <c r="P51">
        <v>1.8606433868408201</v>
      </c>
    </row>
    <row r="52" spans="1:16" x14ac:dyDescent="0.25">
      <c r="A52" t="s">
        <v>86</v>
      </c>
      <c r="B52" t="s">
        <v>19</v>
      </c>
      <c r="C52">
        <v>0</v>
      </c>
      <c r="D52">
        <v>1</v>
      </c>
      <c r="E52">
        <v>1</v>
      </c>
      <c r="F52">
        <v>1</v>
      </c>
      <c r="G52">
        <v>1</v>
      </c>
      <c r="H52">
        <v>1</v>
      </c>
      <c r="I52">
        <v>1</v>
      </c>
      <c r="J52">
        <v>1</v>
      </c>
      <c r="K52">
        <v>1</v>
      </c>
      <c r="L52">
        <v>1</v>
      </c>
      <c r="M52">
        <v>1</v>
      </c>
      <c r="N52">
        <v>1</v>
      </c>
      <c r="P52">
        <v>1.9095199108123779</v>
      </c>
    </row>
    <row r="53" spans="1:16" x14ac:dyDescent="0.25">
      <c r="A53" t="s">
        <v>86</v>
      </c>
      <c r="B53" t="s">
        <v>22</v>
      </c>
      <c r="C53">
        <v>0</v>
      </c>
      <c r="D53">
        <v>1</v>
      </c>
      <c r="E53">
        <v>1</v>
      </c>
      <c r="F53">
        <v>1</v>
      </c>
      <c r="G53">
        <v>1</v>
      </c>
      <c r="H53">
        <v>1</v>
      </c>
      <c r="I53">
        <v>1</v>
      </c>
      <c r="J53">
        <v>1</v>
      </c>
      <c r="K53">
        <v>1</v>
      </c>
      <c r="L53">
        <v>1</v>
      </c>
      <c r="M53">
        <v>1</v>
      </c>
      <c r="N53">
        <v>1</v>
      </c>
      <c r="P53">
        <v>1.076683044433594</v>
      </c>
    </row>
    <row r="54" spans="1:16" x14ac:dyDescent="0.25">
      <c r="A54" t="s">
        <v>86</v>
      </c>
      <c r="B54" t="s">
        <v>24</v>
      </c>
      <c r="C54">
        <v>0</v>
      </c>
      <c r="D54">
        <v>1</v>
      </c>
      <c r="E54">
        <v>1</v>
      </c>
      <c r="F54">
        <v>1</v>
      </c>
      <c r="G54">
        <v>1</v>
      </c>
      <c r="H54">
        <v>1</v>
      </c>
      <c r="I54">
        <v>1</v>
      </c>
      <c r="J54">
        <v>1</v>
      </c>
      <c r="K54">
        <v>1</v>
      </c>
      <c r="L54">
        <v>1</v>
      </c>
      <c r="M54">
        <v>1</v>
      </c>
      <c r="N54">
        <v>1</v>
      </c>
      <c r="P54">
        <v>1.6358821392059331</v>
      </c>
    </row>
    <row r="55" spans="1:16" x14ac:dyDescent="0.25">
      <c r="A55" t="s">
        <v>86</v>
      </c>
      <c r="B55" t="s">
        <v>25</v>
      </c>
      <c r="C55">
        <v>0</v>
      </c>
      <c r="D55">
        <v>1</v>
      </c>
      <c r="E55">
        <v>1</v>
      </c>
      <c r="F55">
        <v>1</v>
      </c>
      <c r="G55">
        <v>1</v>
      </c>
      <c r="H55">
        <v>1</v>
      </c>
      <c r="I55">
        <v>1</v>
      </c>
      <c r="J55">
        <v>1</v>
      </c>
      <c r="K55">
        <v>1</v>
      </c>
      <c r="L55">
        <v>1</v>
      </c>
      <c r="M55">
        <v>1</v>
      </c>
      <c r="N55">
        <v>1</v>
      </c>
      <c r="P55">
        <v>2.4038422107696529</v>
      </c>
    </row>
    <row r="56" spans="1:16" x14ac:dyDescent="0.25">
      <c r="A56" t="s">
        <v>86</v>
      </c>
      <c r="B56" t="s">
        <v>26</v>
      </c>
      <c r="C56">
        <v>0</v>
      </c>
      <c r="D56">
        <v>1</v>
      </c>
      <c r="E56">
        <v>0</v>
      </c>
      <c r="F56">
        <v>1</v>
      </c>
      <c r="G56">
        <v>1</v>
      </c>
      <c r="H56" t="s">
        <v>20</v>
      </c>
      <c r="I56">
        <v>1</v>
      </c>
      <c r="J56" t="s">
        <v>20</v>
      </c>
      <c r="K56">
        <v>1</v>
      </c>
      <c r="L56">
        <v>1</v>
      </c>
      <c r="M56">
        <v>1</v>
      </c>
      <c r="N56">
        <v>1</v>
      </c>
      <c r="O56" t="s">
        <v>248</v>
      </c>
      <c r="P56">
        <v>4.1135814189910889</v>
      </c>
    </row>
    <row r="57" spans="1:16" x14ac:dyDescent="0.25">
      <c r="A57" t="s">
        <v>86</v>
      </c>
      <c r="B57" t="s">
        <v>27</v>
      </c>
      <c r="C57">
        <v>0</v>
      </c>
      <c r="D57">
        <v>1</v>
      </c>
      <c r="E57">
        <v>1</v>
      </c>
      <c r="F57">
        <v>1</v>
      </c>
      <c r="G57">
        <v>1</v>
      </c>
      <c r="H57">
        <v>1</v>
      </c>
      <c r="I57">
        <v>1</v>
      </c>
      <c r="J57">
        <v>1</v>
      </c>
      <c r="K57">
        <v>1</v>
      </c>
      <c r="L57">
        <v>1</v>
      </c>
      <c r="M57">
        <v>1</v>
      </c>
      <c r="N57">
        <v>1</v>
      </c>
      <c r="P57">
        <v>3.1449840068817139</v>
      </c>
    </row>
    <row r="58" spans="1:16" x14ac:dyDescent="0.25">
      <c r="A58" t="s">
        <v>86</v>
      </c>
      <c r="B58" t="s">
        <v>29</v>
      </c>
      <c r="C58">
        <v>0</v>
      </c>
      <c r="D58">
        <v>1</v>
      </c>
      <c r="E58">
        <v>1</v>
      </c>
      <c r="F58">
        <v>1</v>
      </c>
      <c r="G58">
        <v>0</v>
      </c>
      <c r="H58">
        <v>1</v>
      </c>
      <c r="I58">
        <v>1</v>
      </c>
      <c r="J58">
        <v>1</v>
      </c>
      <c r="K58">
        <v>1</v>
      </c>
      <c r="L58">
        <v>1</v>
      </c>
      <c r="M58">
        <v>1</v>
      </c>
      <c r="N58">
        <v>1</v>
      </c>
      <c r="O58" t="s">
        <v>249</v>
      </c>
      <c r="P58">
        <v>1.914645195007324</v>
      </c>
    </row>
    <row r="59" spans="1:16" x14ac:dyDescent="0.25">
      <c r="A59" t="s">
        <v>86</v>
      </c>
      <c r="B59" t="s">
        <v>30</v>
      </c>
      <c r="C59">
        <v>0</v>
      </c>
      <c r="D59">
        <v>1</v>
      </c>
      <c r="E59">
        <v>1</v>
      </c>
      <c r="F59">
        <v>1</v>
      </c>
      <c r="G59">
        <v>0</v>
      </c>
      <c r="H59">
        <v>1</v>
      </c>
      <c r="I59">
        <v>1</v>
      </c>
      <c r="J59">
        <v>1</v>
      </c>
      <c r="K59">
        <v>1</v>
      </c>
      <c r="L59">
        <v>1</v>
      </c>
      <c r="M59">
        <v>1</v>
      </c>
      <c r="N59">
        <v>1</v>
      </c>
      <c r="O59" t="s">
        <v>250</v>
      </c>
      <c r="P59">
        <v>1.907526969909668</v>
      </c>
    </row>
    <row r="60" spans="1:16" x14ac:dyDescent="0.25">
      <c r="A60" t="s">
        <v>86</v>
      </c>
      <c r="B60" t="s">
        <v>32</v>
      </c>
      <c r="C60">
        <v>0</v>
      </c>
      <c r="D60">
        <v>1</v>
      </c>
      <c r="E60">
        <v>1</v>
      </c>
      <c r="F60">
        <v>1</v>
      </c>
      <c r="G60">
        <v>1</v>
      </c>
      <c r="H60">
        <v>1</v>
      </c>
      <c r="I60">
        <v>1</v>
      </c>
      <c r="J60">
        <v>1</v>
      </c>
      <c r="K60">
        <v>1</v>
      </c>
      <c r="L60">
        <v>1</v>
      </c>
      <c r="M60">
        <v>1</v>
      </c>
      <c r="N60">
        <v>1</v>
      </c>
      <c r="P60">
        <v>1.2099399566650391</v>
      </c>
    </row>
    <row r="61" spans="1:16" x14ac:dyDescent="0.25">
      <c r="A61" t="s">
        <v>86</v>
      </c>
      <c r="B61" t="s">
        <v>33</v>
      </c>
      <c r="C61">
        <v>0</v>
      </c>
      <c r="D61">
        <v>1</v>
      </c>
      <c r="E61">
        <v>0</v>
      </c>
      <c r="F61">
        <v>1</v>
      </c>
      <c r="G61">
        <v>1</v>
      </c>
      <c r="H61" t="s">
        <v>20</v>
      </c>
      <c r="I61">
        <v>1</v>
      </c>
      <c r="J61" t="s">
        <v>20</v>
      </c>
      <c r="K61">
        <v>1</v>
      </c>
      <c r="L61">
        <v>1</v>
      </c>
      <c r="M61">
        <v>1</v>
      </c>
      <c r="N61">
        <v>1</v>
      </c>
      <c r="O61" t="s">
        <v>251</v>
      </c>
      <c r="P61">
        <v>1.8688139915466311</v>
      </c>
    </row>
    <row r="62" spans="1:16" x14ac:dyDescent="0.25">
      <c r="A62" t="s">
        <v>86</v>
      </c>
      <c r="B62" t="s">
        <v>34</v>
      </c>
      <c r="C62">
        <v>0</v>
      </c>
      <c r="D62">
        <v>1</v>
      </c>
      <c r="E62">
        <v>1</v>
      </c>
      <c r="F62">
        <v>1</v>
      </c>
      <c r="G62">
        <v>1</v>
      </c>
      <c r="H62">
        <v>1</v>
      </c>
      <c r="I62">
        <v>1</v>
      </c>
      <c r="J62">
        <v>1</v>
      </c>
      <c r="K62">
        <v>1</v>
      </c>
      <c r="L62">
        <v>1</v>
      </c>
      <c r="M62">
        <v>1</v>
      </c>
      <c r="N62">
        <v>1</v>
      </c>
      <c r="P62">
        <v>2.5002391338348389</v>
      </c>
    </row>
    <row r="63" spans="1:16" x14ac:dyDescent="0.25">
      <c r="A63" t="s">
        <v>86</v>
      </c>
      <c r="B63" t="s">
        <v>35</v>
      </c>
      <c r="C63">
        <v>0</v>
      </c>
      <c r="D63">
        <v>1</v>
      </c>
      <c r="E63">
        <v>1</v>
      </c>
      <c r="F63">
        <v>1</v>
      </c>
      <c r="G63">
        <v>1</v>
      </c>
      <c r="H63">
        <v>1</v>
      </c>
      <c r="I63">
        <v>1</v>
      </c>
      <c r="J63">
        <v>1</v>
      </c>
      <c r="K63">
        <v>1</v>
      </c>
      <c r="L63">
        <v>1</v>
      </c>
      <c r="M63">
        <v>1</v>
      </c>
      <c r="N63">
        <v>1</v>
      </c>
      <c r="P63">
        <v>1.4183263778686519</v>
      </c>
    </row>
    <row r="64" spans="1:16" x14ac:dyDescent="0.25">
      <c r="A64" t="s">
        <v>86</v>
      </c>
      <c r="B64" t="s">
        <v>37</v>
      </c>
      <c r="C64">
        <v>0</v>
      </c>
      <c r="D64">
        <v>1</v>
      </c>
      <c r="E64">
        <v>1</v>
      </c>
      <c r="F64">
        <v>1</v>
      </c>
      <c r="G64">
        <v>1</v>
      </c>
      <c r="H64">
        <v>1</v>
      </c>
      <c r="I64">
        <v>1</v>
      </c>
      <c r="J64">
        <v>1</v>
      </c>
      <c r="K64">
        <v>1</v>
      </c>
      <c r="L64">
        <v>1</v>
      </c>
      <c r="M64">
        <v>1</v>
      </c>
      <c r="N64">
        <v>1</v>
      </c>
      <c r="P64">
        <v>1.2126257419586179</v>
      </c>
    </row>
    <row r="65" spans="1:16" x14ac:dyDescent="0.25">
      <c r="A65" t="s">
        <v>86</v>
      </c>
      <c r="B65" t="s">
        <v>38</v>
      </c>
      <c r="C65">
        <v>0</v>
      </c>
      <c r="D65">
        <v>1</v>
      </c>
      <c r="E65">
        <v>1</v>
      </c>
      <c r="F65">
        <v>1</v>
      </c>
      <c r="G65">
        <v>1</v>
      </c>
      <c r="H65">
        <v>1</v>
      </c>
      <c r="I65">
        <v>1</v>
      </c>
      <c r="J65">
        <v>1</v>
      </c>
      <c r="K65">
        <v>1</v>
      </c>
      <c r="L65">
        <v>1</v>
      </c>
      <c r="M65">
        <v>1</v>
      </c>
      <c r="N65">
        <v>1</v>
      </c>
      <c r="P65">
        <v>2.0729246139526372</v>
      </c>
    </row>
    <row r="66" spans="1:16" x14ac:dyDescent="0.25">
      <c r="A66" t="s">
        <v>86</v>
      </c>
      <c r="B66" t="s">
        <v>39</v>
      </c>
      <c r="C66">
        <v>0</v>
      </c>
      <c r="D66">
        <v>1</v>
      </c>
      <c r="E66">
        <v>0</v>
      </c>
      <c r="F66">
        <v>1</v>
      </c>
      <c r="G66">
        <v>1</v>
      </c>
      <c r="H66" t="s">
        <v>20</v>
      </c>
      <c r="I66">
        <v>1</v>
      </c>
      <c r="J66" t="s">
        <v>20</v>
      </c>
      <c r="K66">
        <v>1</v>
      </c>
      <c r="L66">
        <v>1</v>
      </c>
      <c r="M66">
        <v>1</v>
      </c>
      <c r="N66">
        <v>1</v>
      </c>
      <c r="O66" t="s">
        <v>252</v>
      </c>
      <c r="P66">
        <v>2.140994548797607</v>
      </c>
    </row>
    <row r="67" spans="1:16" x14ac:dyDescent="0.25">
      <c r="A67" t="s">
        <v>86</v>
      </c>
      <c r="B67" t="s">
        <v>40</v>
      </c>
      <c r="C67">
        <v>0</v>
      </c>
      <c r="D67">
        <v>1</v>
      </c>
      <c r="E67">
        <v>1</v>
      </c>
      <c r="F67">
        <v>1</v>
      </c>
      <c r="G67">
        <v>1</v>
      </c>
      <c r="H67">
        <v>1</v>
      </c>
      <c r="I67">
        <v>1</v>
      </c>
      <c r="J67">
        <v>1</v>
      </c>
      <c r="K67">
        <v>1</v>
      </c>
      <c r="L67">
        <v>1</v>
      </c>
      <c r="M67">
        <v>1</v>
      </c>
      <c r="N67">
        <v>1</v>
      </c>
      <c r="P67">
        <v>1.761344432830811</v>
      </c>
    </row>
    <row r="68" spans="1:16" x14ac:dyDescent="0.25">
      <c r="A68" t="s">
        <v>86</v>
      </c>
      <c r="B68" t="s">
        <v>41</v>
      </c>
      <c r="C68">
        <v>0</v>
      </c>
      <c r="D68">
        <v>1</v>
      </c>
      <c r="E68">
        <v>1</v>
      </c>
      <c r="F68">
        <v>1</v>
      </c>
      <c r="G68">
        <v>1</v>
      </c>
      <c r="H68">
        <v>1</v>
      </c>
      <c r="I68">
        <v>1</v>
      </c>
      <c r="J68">
        <v>1</v>
      </c>
      <c r="K68">
        <v>1</v>
      </c>
      <c r="L68">
        <v>1</v>
      </c>
      <c r="M68">
        <v>1</v>
      </c>
      <c r="N68">
        <v>1</v>
      </c>
      <c r="P68">
        <v>1.2793023586273189</v>
      </c>
    </row>
    <row r="69" spans="1:16" x14ac:dyDescent="0.25">
      <c r="A69" t="s">
        <v>86</v>
      </c>
      <c r="B69" t="s">
        <v>42</v>
      </c>
      <c r="C69">
        <v>0</v>
      </c>
      <c r="D69">
        <v>1</v>
      </c>
      <c r="E69">
        <v>1</v>
      </c>
      <c r="F69">
        <v>1</v>
      </c>
      <c r="G69">
        <v>1</v>
      </c>
      <c r="H69">
        <v>1</v>
      </c>
      <c r="I69">
        <v>1</v>
      </c>
      <c r="J69">
        <v>1</v>
      </c>
      <c r="K69">
        <v>1</v>
      </c>
      <c r="L69">
        <v>1</v>
      </c>
      <c r="M69">
        <v>1</v>
      </c>
      <c r="N69">
        <v>1</v>
      </c>
      <c r="P69">
        <v>2.3288519382476811</v>
      </c>
    </row>
    <row r="70" spans="1:16" x14ac:dyDescent="0.25">
      <c r="A70" t="s">
        <v>86</v>
      </c>
      <c r="B70" t="s">
        <v>43</v>
      </c>
      <c r="C70">
        <v>0</v>
      </c>
      <c r="D70">
        <v>1</v>
      </c>
      <c r="E70">
        <v>1</v>
      </c>
      <c r="F70">
        <v>1</v>
      </c>
      <c r="G70">
        <v>1</v>
      </c>
      <c r="H70">
        <v>1</v>
      </c>
      <c r="I70">
        <v>1</v>
      </c>
      <c r="J70">
        <v>1</v>
      </c>
      <c r="K70">
        <v>1</v>
      </c>
      <c r="L70">
        <v>1</v>
      </c>
      <c r="M70">
        <v>1</v>
      </c>
      <c r="N70">
        <v>1</v>
      </c>
      <c r="P70">
        <v>2.6685187816619869</v>
      </c>
    </row>
    <row r="71" spans="1:16" x14ac:dyDescent="0.25">
      <c r="A71" t="s">
        <v>86</v>
      </c>
      <c r="B71" t="s">
        <v>44</v>
      </c>
      <c r="C71">
        <v>0</v>
      </c>
      <c r="D71">
        <v>1</v>
      </c>
      <c r="E71">
        <v>1</v>
      </c>
      <c r="F71">
        <v>1</v>
      </c>
      <c r="G71">
        <v>1</v>
      </c>
      <c r="H71">
        <v>1</v>
      </c>
      <c r="I71">
        <v>1</v>
      </c>
      <c r="J71">
        <v>1</v>
      </c>
      <c r="K71">
        <v>1</v>
      </c>
      <c r="L71">
        <v>1</v>
      </c>
      <c r="M71">
        <v>1</v>
      </c>
      <c r="N71">
        <v>1</v>
      </c>
      <c r="P71">
        <v>1.7873244285583501</v>
      </c>
    </row>
    <row r="72" spans="1:16" x14ac:dyDescent="0.25">
      <c r="A72" t="s">
        <v>86</v>
      </c>
      <c r="B72" t="s">
        <v>45</v>
      </c>
      <c r="C72">
        <v>0</v>
      </c>
      <c r="D72">
        <v>1</v>
      </c>
      <c r="E72">
        <v>1</v>
      </c>
      <c r="F72">
        <v>1</v>
      </c>
      <c r="G72">
        <v>1</v>
      </c>
      <c r="H72">
        <v>1</v>
      </c>
      <c r="I72">
        <v>1</v>
      </c>
      <c r="J72">
        <v>1</v>
      </c>
      <c r="K72">
        <v>1</v>
      </c>
      <c r="L72">
        <v>1</v>
      </c>
      <c r="M72">
        <v>1</v>
      </c>
      <c r="N72">
        <v>1</v>
      </c>
      <c r="P72">
        <v>1.3305022716522219</v>
      </c>
    </row>
    <row r="73" spans="1:16" x14ac:dyDescent="0.25">
      <c r="A73" t="s">
        <v>86</v>
      </c>
      <c r="B73" t="s">
        <v>47</v>
      </c>
      <c r="C73">
        <v>0</v>
      </c>
      <c r="D73">
        <v>1</v>
      </c>
      <c r="E73">
        <v>1</v>
      </c>
      <c r="F73">
        <v>1</v>
      </c>
      <c r="G73">
        <v>1</v>
      </c>
      <c r="H73">
        <v>1</v>
      </c>
      <c r="I73">
        <v>1</v>
      </c>
      <c r="J73">
        <v>1</v>
      </c>
      <c r="K73">
        <v>1</v>
      </c>
      <c r="L73">
        <v>1</v>
      </c>
      <c r="M73">
        <v>1</v>
      </c>
      <c r="N73">
        <v>1</v>
      </c>
      <c r="P73">
        <v>1.183820247650146</v>
      </c>
    </row>
    <row r="74" spans="1:16" x14ac:dyDescent="0.25">
      <c r="A74" t="s">
        <v>86</v>
      </c>
      <c r="B74" t="s">
        <v>48</v>
      </c>
      <c r="C74">
        <v>0</v>
      </c>
      <c r="D74">
        <v>1</v>
      </c>
      <c r="E74">
        <v>0</v>
      </c>
      <c r="F74">
        <v>0</v>
      </c>
      <c r="G74">
        <v>1</v>
      </c>
      <c r="H74" t="s">
        <v>20</v>
      </c>
      <c r="I74">
        <v>1</v>
      </c>
      <c r="J74" t="s">
        <v>20</v>
      </c>
      <c r="K74">
        <v>1</v>
      </c>
      <c r="L74">
        <v>1</v>
      </c>
      <c r="M74">
        <v>1</v>
      </c>
      <c r="N74">
        <v>1</v>
      </c>
      <c r="O74" t="s">
        <v>253</v>
      </c>
      <c r="P74">
        <v>3.1314160823822021</v>
      </c>
    </row>
    <row r="75" spans="1:16" x14ac:dyDescent="0.25">
      <c r="A75" t="s">
        <v>86</v>
      </c>
      <c r="B75" t="s">
        <v>50</v>
      </c>
      <c r="C75">
        <v>0</v>
      </c>
      <c r="D75">
        <v>1</v>
      </c>
      <c r="E75">
        <v>1</v>
      </c>
      <c r="F75">
        <v>1</v>
      </c>
      <c r="G75">
        <v>1</v>
      </c>
      <c r="H75">
        <v>1</v>
      </c>
      <c r="I75">
        <v>1</v>
      </c>
      <c r="J75">
        <v>1</v>
      </c>
      <c r="K75">
        <v>1</v>
      </c>
      <c r="L75">
        <v>1</v>
      </c>
      <c r="M75">
        <v>1</v>
      </c>
      <c r="N75">
        <v>1</v>
      </c>
      <c r="P75">
        <v>1.172641515731812</v>
      </c>
    </row>
    <row r="76" spans="1:16" x14ac:dyDescent="0.25">
      <c r="A76" t="s">
        <v>86</v>
      </c>
      <c r="B76" t="s">
        <v>51</v>
      </c>
      <c r="C76">
        <v>0</v>
      </c>
      <c r="D76">
        <v>1</v>
      </c>
      <c r="E76">
        <v>1</v>
      </c>
      <c r="F76">
        <v>1</v>
      </c>
      <c r="G76">
        <v>0</v>
      </c>
      <c r="H76">
        <v>1</v>
      </c>
      <c r="I76">
        <v>1</v>
      </c>
      <c r="J76">
        <v>1</v>
      </c>
      <c r="K76">
        <v>1</v>
      </c>
      <c r="L76">
        <v>1</v>
      </c>
      <c r="M76">
        <v>1</v>
      </c>
      <c r="N76">
        <v>1</v>
      </c>
      <c r="O76" t="s">
        <v>254</v>
      </c>
      <c r="P76">
        <v>1.8821647167205811</v>
      </c>
    </row>
    <row r="77" spans="1:16" x14ac:dyDescent="0.25">
      <c r="A77" t="s">
        <v>86</v>
      </c>
      <c r="B77" t="s">
        <v>53</v>
      </c>
      <c r="C77">
        <v>0</v>
      </c>
      <c r="D77">
        <v>1</v>
      </c>
      <c r="E77">
        <v>0</v>
      </c>
      <c r="F77">
        <v>1</v>
      </c>
      <c r="G77">
        <v>1</v>
      </c>
      <c r="H77" t="s">
        <v>20</v>
      </c>
      <c r="I77">
        <v>1</v>
      </c>
      <c r="J77" t="s">
        <v>20</v>
      </c>
      <c r="K77">
        <v>1</v>
      </c>
      <c r="L77">
        <v>1</v>
      </c>
      <c r="M77">
        <v>1</v>
      </c>
      <c r="N77">
        <v>1</v>
      </c>
      <c r="O77" t="s">
        <v>255</v>
      </c>
      <c r="P77">
        <v>1.9344766139984131</v>
      </c>
    </row>
    <row r="78" spans="1:16" x14ac:dyDescent="0.25">
      <c r="A78" t="s">
        <v>86</v>
      </c>
      <c r="B78" t="s">
        <v>55</v>
      </c>
      <c r="C78">
        <v>0</v>
      </c>
      <c r="D78">
        <v>1</v>
      </c>
      <c r="E78">
        <v>1</v>
      </c>
      <c r="F78">
        <v>1</v>
      </c>
      <c r="G78">
        <v>1</v>
      </c>
      <c r="H78">
        <v>1</v>
      </c>
      <c r="I78">
        <v>1</v>
      </c>
      <c r="J78">
        <v>1</v>
      </c>
      <c r="K78">
        <v>1</v>
      </c>
      <c r="L78">
        <v>1</v>
      </c>
      <c r="M78">
        <v>0</v>
      </c>
      <c r="N78">
        <v>1</v>
      </c>
      <c r="O78" t="s">
        <v>256</v>
      </c>
      <c r="P78">
        <v>1.71968674659729</v>
      </c>
    </row>
    <row r="79" spans="1:16" x14ac:dyDescent="0.25">
      <c r="A79" t="s">
        <v>86</v>
      </c>
      <c r="B79" t="s">
        <v>56</v>
      </c>
      <c r="C79">
        <v>0</v>
      </c>
      <c r="D79">
        <v>1</v>
      </c>
      <c r="E79">
        <v>1</v>
      </c>
      <c r="F79">
        <v>1</v>
      </c>
      <c r="G79">
        <v>1</v>
      </c>
      <c r="H79">
        <v>1</v>
      </c>
      <c r="I79">
        <v>1</v>
      </c>
      <c r="J79">
        <v>1</v>
      </c>
      <c r="K79">
        <v>1</v>
      </c>
      <c r="L79">
        <v>1</v>
      </c>
      <c r="M79">
        <v>1</v>
      </c>
      <c r="N79">
        <v>1</v>
      </c>
      <c r="P79">
        <v>1.397505044937134</v>
      </c>
    </row>
    <row r="80" spans="1:16" x14ac:dyDescent="0.25">
      <c r="A80" t="s">
        <v>86</v>
      </c>
      <c r="B80" t="s">
        <v>58</v>
      </c>
      <c r="C80">
        <v>0</v>
      </c>
      <c r="D80">
        <v>1</v>
      </c>
      <c r="E80">
        <v>1</v>
      </c>
      <c r="F80">
        <v>1</v>
      </c>
      <c r="G80">
        <v>1</v>
      </c>
      <c r="H80">
        <v>1</v>
      </c>
      <c r="I80">
        <v>1</v>
      </c>
      <c r="J80">
        <v>1</v>
      </c>
      <c r="K80">
        <v>1</v>
      </c>
      <c r="L80">
        <v>1</v>
      </c>
      <c r="M80">
        <v>1</v>
      </c>
      <c r="N80">
        <v>1</v>
      </c>
      <c r="P80">
        <v>1.831979513168335</v>
      </c>
    </row>
    <row r="81" spans="1:16" x14ac:dyDescent="0.25">
      <c r="A81" t="s">
        <v>86</v>
      </c>
      <c r="B81" t="s">
        <v>60</v>
      </c>
      <c r="C81">
        <v>0</v>
      </c>
      <c r="D81">
        <v>1</v>
      </c>
      <c r="E81">
        <v>1</v>
      </c>
      <c r="F81">
        <v>1</v>
      </c>
      <c r="G81">
        <v>1</v>
      </c>
      <c r="H81">
        <v>1</v>
      </c>
      <c r="I81">
        <v>1</v>
      </c>
      <c r="J81">
        <v>1</v>
      </c>
      <c r="K81">
        <v>1</v>
      </c>
      <c r="L81">
        <v>1</v>
      </c>
      <c r="M81">
        <v>1</v>
      </c>
      <c r="N81">
        <v>1</v>
      </c>
      <c r="P81">
        <v>1.5869462490081789</v>
      </c>
    </row>
    <row r="82" spans="1:16" x14ac:dyDescent="0.25">
      <c r="A82" t="s">
        <v>86</v>
      </c>
      <c r="B82" t="s">
        <v>62</v>
      </c>
      <c r="C82">
        <v>0</v>
      </c>
      <c r="D82">
        <v>1</v>
      </c>
      <c r="E82">
        <v>1</v>
      </c>
      <c r="F82">
        <v>1</v>
      </c>
      <c r="G82">
        <v>1</v>
      </c>
      <c r="H82">
        <v>1</v>
      </c>
      <c r="I82">
        <v>1</v>
      </c>
      <c r="J82">
        <v>1</v>
      </c>
      <c r="K82">
        <v>1</v>
      </c>
      <c r="L82">
        <v>1</v>
      </c>
      <c r="M82">
        <v>1</v>
      </c>
      <c r="N82">
        <v>1</v>
      </c>
      <c r="P82">
        <v>1.1945879459381099</v>
      </c>
    </row>
    <row r="83" spans="1:16" x14ac:dyDescent="0.25">
      <c r="A83" t="s">
        <v>86</v>
      </c>
      <c r="B83" t="s">
        <v>63</v>
      </c>
      <c r="C83">
        <v>0</v>
      </c>
      <c r="D83">
        <v>1</v>
      </c>
      <c r="E83">
        <v>1</v>
      </c>
      <c r="F83">
        <v>1</v>
      </c>
      <c r="G83">
        <v>0</v>
      </c>
      <c r="H83">
        <v>1</v>
      </c>
      <c r="I83">
        <v>1</v>
      </c>
      <c r="J83">
        <v>1</v>
      </c>
      <c r="K83">
        <v>1</v>
      </c>
      <c r="L83">
        <v>1</v>
      </c>
      <c r="M83">
        <v>1</v>
      </c>
      <c r="N83">
        <v>1</v>
      </c>
      <c r="O83" t="s">
        <v>257</v>
      </c>
      <c r="P83">
        <v>1.6430549621582029</v>
      </c>
    </row>
    <row r="84" spans="1:16" x14ac:dyDescent="0.25">
      <c r="A84" t="s">
        <v>86</v>
      </c>
      <c r="B84" t="s">
        <v>65</v>
      </c>
      <c r="C84">
        <v>0</v>
      </c>
      <c r="D84">
        <v>1</v>
      </c>
      <c r="E84">
        <v>1</v>
      </c>
      <c r="F84">
        <v>1</v>
      </c>
      <c r="G84">
        <v>1</v>
      </c>
      <c r="H84">
        <v>1</v>
      </c>
      <c r="I84">
        <v>1</v>
      </c>
      <c r="J84">
        <v>1</v>
      </c>
      <c r="K84">
        <v>1</v>
      </c>
      <c r="L84">
        <v>1</v>
      </c>
      <c r="M84">
        <v>1</v>
      </c>
      <c r="N84">
        <v>1</v>
      </c>
      <c r="P84">
        <v>1.2951145172119141</v>
      </c>
    </row>
    <row r="85" spans="1:16" x14ac:dyDescent="0.25">
      <c r="A85" t="s">
        <v>86</v>
      </c>
      <c r="B85" t="s">
        <v>66</v>
      </c>
      <c r="C85">
        <v>0</v>
      </c>
      <c r="D85">
        <v>1</v>
      </c>
      <c r="E85">
        <v>1</v>
      </c>
      <c r="F85">
        <v>1</v>
      </c>
      <c r="G85">
        <v>0</v>
      </c>
      <c r="H85">
        <v>1</v>
      </c>
      <c r="I85">
        <v>1</v>
      </c>
      <c r="J85">
        <v>1</v>
      </c>
      <c r="K85">
        <v>1</v>
      </c>
      <c r="L85">
        <v>1</v>
      </c>
      <c r="M85">
        <v>1</v>
      </c>
      <c r="N85">
        <v>1</v>
      </c>
      <c r="O85" t="s">
        <v>258</v>
      </c>
      <c r="P85">
        <v>1.646452665328979</v>
      </c>
    </row>
    <row r="86" spans="1:16" x14ac:dyDescent="0.25">
      <c r="A86" t="s">
        <v>86</v>
      </c>
      <c r="B86" t="s">
        <v>67</v>
      </c>
      <c r="C86">
        <v>0</v>
      </c>
      <c r="D86">
        <v>1</v>
      </c>
      <c r="E86">
        <v>1</v>
      </c>
      <c r="F86">
        <v>0</v>
      </c>
      <c r="G86">
        <v>1</v>
      </c>
      <c r="H86">
        <v>1</v>
      </c>
      <c r="I86">
        <v>1</v>
      </c>
      <c r="J86" t="s">
        <v>20</v>
      </c>
      <c r="K86">
        <v>1</v>
      </c>
      <c r="L86">
        <v>1</v>
      </c>
      <c r="M86">
        <v>1</v>
      </c>
      <c r="N86">
        <v>1</v>
      </c>
      <c r="O86" t="s">
        <v>259</v>
      </c>
      <c r="P86">
        <v>1.9475781917572019</v>
      </c>
    </row>
    <row r="87" spans="1:16" x14ac:dyDescent="0.25">
      <c r="A87" t="s">
        <v>86</v>
      </c>
      <c r="B87" t="s">
        <v>68</v>
      </c>
      <c r="C87">
        <v>0</v>
      </c>
      <c r="D87">
        <v>1</v>
      </c>
      <c r="E87">
        <v>1</v>
      </c>
      <c r="F87">
        <v>1</v>
      </c>
      <c r="G87">
        <v>1</v>
      </c>
      <c r="H87">
        <v>1</v>
      </c>
      <c r="I87">
        <v>1</v>
      </c>
      <c r="J87">
        <v>1</v>
      </c>
      <c r="K87">
        <v>1</v>
      </c>
      <c r="L87">
        <v>1</v>
      </c>
      <c r="M87">
        <v>1</v>
      </c>
      <c r="N87">
        <v>1</v>
      </c>
      <c r="P87">
        <v>1.185460090637207</v>
      </c>
    </row>
    <row r="88" spans="1:16" x14ac:dyDescent="0.25">
      <c r="A88" t="s">
        <v>86</v>
      </c>
      <c r="B88" t="s">
        <v>69</v>
      </c>
      <c r="C88">
        <v>0</v>
      </c>
      <c r="D88">
        <v>1</v>
      </c>
      <c r="E88">
        <v>1</v>
      </c>
      <c r="F88">
        <v>1</v>
      </c>
      <c r="G88">
        <v>1</v>
      </c>
      <c r="H88">
        <v>1</v>
      </c>
      <c r="I88">
        <v>1</v>
      </c>
      <c r="J88">
        <v>1</v>
      </c>
      <c r="K88">
        <v>1</v>
      </c>
      <c r="L88">
        <v>1</v>
      </c>
      <c r="M88">
        <v>1</v>
      </c>
      <c r="N88">
        <v>1</v>
      </c>
      <c r="P88">
        <v>1.3336837291717529</v>
      </c>
    </row>
    <row r="89" spans="1:16" x14ac:dyDescent="0.25">
      <c r="A89" t="s">
        <v>86</v>
      </c>
      <c r="B89" t="s">
        <v>71</v>
      </c>
      <c r="C89">
        <v>0</v>
      </c>
      <c r="D89">
        <v>1</v>
      </c>
      <c r="E89">
        <v>1</v>
      </c>
      <c r="F89">
        <v>1</v>
      </c>
      <c r="G89">
        <v>1</v>
      </c>
      <c r="H89">
        <v>1</v>
      </c>
      <c r="I89">
        <v>1</v>
      </c>
      <c r="J89">
        <v>1</v>
      </c>
      <c r="K89">
        <v>1</v>
      </c>
      <c r="L89">
        <v>1</v>
      </c>
      <c r="M89">
        <v>1</v>
      </c>
      <c r="N89">
        <v>1</v>
      </c>
      <c r="P89">
        <v>1.1515922546386721</v>
      </c>
    </row>
    <row r="90" spans="1:16" x14ac:dyDescent="0.25">
      <c r="A90" t="s">
        <v>86</v>
      </c>
      <c r="B90" t="s">
        <v>73</v>
      </c>
      <c r="C90">
        <v>0</v>
      </c>
      <c r="D90">
        <v>1</v>
      </c>
      <c r="E90">
        <v>1</v>
      </c>
      <c r="F90">
        <v>1</v>
      </c>
      <c r="G90">
        <v>1</v>
      </c>
      <c r="H90">
        <v>1</v>
      </c>
      <c r="I90">
        <v>1</v>
      </c>
      <c r="J90">
        <v>1</v>
      </c>
      <c r="K90">
        <v>1</v>
      </c>
      <c r="L90">
        <v>1</v>
      </c>
      <c r="M90">
        <v>1</v>
      </c>
      <c r="N90">
        <v>1</v>
      </c>
      <c r="P90">
        <v>1.218849897384644</v>
      </c>
    </row>
    <row r="91" spans="1:16" x14ac:dyDescent="0.25">
      <c r="A91" t="s">
        <v>86</v>
      </c>
      <c r="B91" t="s">
        <v>75</v>
      </c>
      <c r="C91">
        <v>0</v>
      </c>
      <c r="D91">
        <v>1</v>
      </c>
      <c r="E91">
        <v>1</v>
      </c>
      <c r="F91">
        <v>1</v>
      </c>
      <c r="G91">
        <v>1</v>
      </c>
      <c r="H91">
        <v>1</v>
      </c>
      <c r="I91">
        <v>1</v>
      </c>
      <c r="J91">
        <v>1</v>
      </c>
      <c r="K91">
        <v>1</v>
      </c>
      <c r="L91">
        <v>1</v>
      </c>
      <c r="M91">
        <v>1</v>
      </c>
      <c r="N91">
        <v>1</v>
      </c>
      <c r="P91">
        <v>1.781793594360352</v>
      </c>
    </row>
    <row r="92" spans="1:16" x14ac:dyDescent="0.25">
      <c r="A92" t="s">
        <v>86</v>
      </c>
      <c r="B92" t="s">
        <v>77</v>
      </c>
      <c r="C92">
        <v>0</v>
      </c>
      <c r="D92">
        <v>1</v>
      </c>
      <c r="E92">
        <v>1</v>
      </c>
      <c r="F92">
        <v>1</v>
      </c>
      <c r="G92">
        <v>1</v>
      </c>
      <c r="H92">
        <v>1</v>
      </c>
      <c r="I92">
        <v>1</v>
      </c>
      <c r="J92">
        <v>1</v>
      </c>
      <c r="K92">
        <v>1</v>
      </c>
      <c r="L92">
        <v>1</v>
      </c>
      <c r="M92">
        <v>1</v>
      </c>
      <c r="N92">
        <v>1</v>
      </c>
      <c r="P92">
        <v>1.5304925441741939</v>
      </c>
    </row>
    <row r="93" spans="1:16" x14ac:dyDescent="0.25">
      <c r="A93" t="s">
        <v>86</v>
      </c>
      <c r="B93" t="s">
        <v>78</v>
      </c>
      <c r="C93">
        <v>0</v>
      </c>
      <c r="D93">
        <v>1</v>
      </c>
      <c r="E93">
        <v>1</v>
      </c>
      <c r="F93">
        <v>1</v>
      </c>
      <c r="G93">
        <v>1</v>
      </c>
      <c r="H93">
        <v>1</v>
      </c>
      <c r="I93">
        <v>1</v>
      </c>
      <c r="J93">
        <v>1</v>
      </c>
      <c r="K93">
        <v>1</v>
      </c>
      <c r="L93">
        <v>1</v>
      </c>
      <c r="M93">
        <v>1</v>
      </c>
      <c r="N93">
        <v>1</v>
      </c>
      <c r="P93">
        <v>1.1339960098266599</v>
      </c>
    </row>
    <row r="94" spans="1:16" x14ac:dyDescent="0.25">
      <c r="A94" t="s">
        <v>86</v>
      </c>
      <c r="B94" t="s">
        <v>79</v>
      </c>
      <c r="C94">
        <v>0</v>
      </c>
      <c r="D94">
        <v>1</v>
      </c>
      <c r="E94">
        <v>1</v>
      </c>
      <c r="F94">
        <v>1</v>
      </c>
      <c r="G94">
        <v>1</v>
      </c>
      <c r="H94">
        <v>1</v>
      </c>
      <c r="I94">
        <v>1</v>
      </c>
      <c r="J94">
        <v>1</v>
      </c>
      <c r="K94">
        <v>1</v>
      </c>
      <c r="L94">
        <v>1</v>
      </c>
      <c r="M94">
        <v>1</v>
      </c>
      <c r="N94">
        <v>1</v>
      </c>
      <c r="P94">
        <v>1.2808265686035161</v>
      </c>
    </row>
    <row r="95" spans="1:16" x14ac:dyDescent="0.25">
      <c r="A95" t="s">
        <v>86</v>
      </c>
      <c r="B95" t="s">
        <v>80</v>
      </c>
      <c r="C95">
        <v>0</v>
      </c>
      <c r="D95">
        <v>1</v>
      </c>
      <c r="E95">
        <v>1</v>
      </c>
      <c r="F95">
        <v>1</v>
      </c>
      <c r="G95">
        <v>1</v>
      </c>
      <c r="H95">
        <v>1</v>
      </c>
      <c r="I95">
        <v>1</v>
      </c>
      <c r="J95">
        <v>1</v>
      </c>
      <c r="K95">
        <v>1</v>
      </c>
      <c r="L95">
        <v>1</v>
      </c>
      <c r="M95">
        <v>1</v>
      </c>
      <c r="N95">
        <v>1</v>
      </c>
      <c r="P95">
        <v>1.485092878341675</v>
      </c>
    </row>
    <row r="96" spans="1:16" x14ac:dyDescent="0.25">
      <c r="A96" t="s">
        <v>86</v>
      </c>
      <c r="B96" t="s">
        <v>81</v>
      </c>
      <c r="C96">
        <v>0</v>
      </c>
      <c r="D96">
        <v>1</v>
      </c>
      <c r="E96">
        <v>1</v>
      </c>
      <c r="F96">
        <v>1</v>
      </c>
      <c r="G96">
        <v>1</v>
      </c>
      <c r="H96">
        <v>1</v>
      </c>
      <c r="I96">
        <v>1</v>
      </c>
      <c r="J96">
        <v>1</v>
      </c>
      <c r="K96">
        <v>1</v>
      </c>
      <c r="L96">
        <v>1</v>
      </c>
      <c r="M96">
        <v>1</v>
      </c>
      <c r="N96">
        <v>1</v>
      </c>
      <c r="P96">
        <v>2.9702470302581792</v>
      </c>
    </row>
    <row r="97" spans="1:16" x14ac:dyDescent="0.25">
      <c r="A97" t="s">
        <v>86</v>
      </c>
      <c r="B97" t="s">
        <v>82</v>
      </c>
      <c r="C97">
        <v>0</v>
      </c>
      <c r="D97">
        <v>1</v>
      </c>
      <c r="E97">
        <v>1</v>
      </c>
      <c r="F97">
        <v>1</v>
      </c>
      <c r="G97">
        <v>1</v>
      </c>
      <c r="H97">
        <v>1</v>
      </c>
      <c r="I97">
        <v>1</v>
      </c>
      <c r="J97">
        <v>1</v>
      </c>
      <c r="K97">
        <v>1</v>
      </c>
      <c r="L97">
        <v>1</v>
      </c>
      <c r="M97">
        <v>1</v>
      </c>
      <c r="N97">
        <v>1</v>
      </c>
      <c r="P97">
        <v>1.5189850330352781</v>
      </c>
    </row>
    <row r="98" spans="1:16" x14ac:dyDescent="0.25">
      <c r="A98" t="s">
        <v>86</v>
      </c>
      <c r="B98" t="s">
        <v>83</v>
      </c>
      <c r="C98">
        <v>0</v>
      </c>
      <c r="D98">
        <v>1</v>
      </c>
      <c r="E98">
        <v>1</v>
      </c>
      <c r="F98">
        <v>1</v>
      </c>
      <c r="G98">
        <v>1</v>
      </c>
      <c r="H98">
        <v>1</v>
      </c>
      <c r="I98">
        <v>1</v>
      </c>
      <c r="J98">
        <v>1</v>
      </c>
      <c r="K98">
        <v>1</v>
      </c>
      <c r="L98">
        <v>1</v>
      </c>
      <c r="M98">
        <v>1</v>
      </c>
      <c r="N98">
        <v>1</v>
      </c>
      <c r="P98">
        <v>1.0999782085418699</v>
      </c>
    </row>
    <row r="99" spans="1:16" x14ac:dyDescent="0.25">
      <c r="A99" t="s">
        <v>86</v>
      </c>
      <c r="B99" t="s">
        <v>85</v>
      </c>
      <c r="C99">
        <v>0</v>
      </c>
      <c r="D99">
        <v>1</v>
      </c>
      <c r="E99">
        <v>1</v>
      </c>
      <c r="F99">
        <v>1</v>
      </c>
      <c r="G99">
        <v>1</v>
      </c>
      <c r="H99">
        <v>1</v>
      </c>
      <c r="I99">
        <v>1</v>
      </c>
      <c r="J99">
        <v>1</v>
      </c>
      <c r="K99">
        <v>1</v>
      </c>
      <c r="L99">
        <v>1</v>
      </c>
      <c r="M99">
        <v>1</v>
      </c>
      <c r="N99">
        <v>1</v>
      </c>
      <c r="P99">
        <v>1.6718459129333501</v>
      </c>
    </row>
    <row r="100" spans="1:16" x14ac:dyDescent="0.25">
      <c r="A100" t="s">
        <v>86</v>
      </c>
      <c r="B100" t="s">
        <v>98</v>
      </c>
      <c r="C100">
        <v>0</v>
      </c>
      <c r="D100">
        <v>1</v>
      </c>
      <c r="E100">
        <v>1</v>
      </c>
      <c r="F100">
        <v>1</v>
      </c>
      <c r="G100">
        <v>1</v>
      </c>
      <c r="H100">
        <v>1</v>
      </c>
      <c r="I100">
        <v>1</v>
      </c>
      <c r="J100">
        <v>1</v>
      </c>
      <c r="K100">
        <v>1</v>
      </c>
      <c r="L100">
        <v>1</v>
      </c>
      <c r="M100">
        <v>1</v>
      </c>
      <c r="N100">
        <v>1</v>
      </c>
      <c r="P100">
        <v>2.0757946968078609</v>
      </c>
    </row>
    <row r="101" spans="1:16" x14ac:dyDescent="0.25">
      <c r="A101" t="s">
        <v>86</v>
      </c>
      <c r="B101" t="s">
        <v>99</v>
      </c>
      <c r="C101">
        <v>0</v>
      </c>
      <c r="D101">
        <v>1</v>
      </c>
      <c r="E101">
        <v>1</v>
      </c>
      <c r="F101">
        <v>1</v>
      </c>
      <c r="G101">
        <v>1</v>
      </c>
      <c r="H101">
        <v>1</v>
      </c>
      <c r="I101">
        <v>1</v>
      </c>
      <c r="J101">
        <v>1</v>
      </c>
      <c r="K101">
        <v>1</v>
      </c>
      <c r="L101">
        <v>1</v>
      </c>
      <c r="M101">
        <v>1</v>
      </c>
      <c r="N101">
        <v>1</v>
      </c>
      <c r="P101">
        <v>1.290963411331177</v>
      </c>
    </row>
    <row r="102" spans="1:16" x14ac:dyDescent="0.25">
      <c r="A102" t="s">
        <v>86</v>
      </c>
      <c r="B102" t="s">
        <v>100</v>
      </c>
      <c r="C102">
        <v>0</v>
      </c>
      <c r="D102">
        <v>1</v>
      </c>
      <c r="E102">
        <v>1</v>
      </c>
      <c r="F102">
        <v>1</v>
      </c>
      <c r="G102">
        <v>1</v>
      </c>
      <c r="H102">
        <v>1</v>
      </c>
      <c r="I102">
        <v>1</v>
      </c>
      <c r="J102">
        <v>1</v>
      </c>
      <c r="K102">
        <v>1</v>
      </c>
      <c r="L102">
        <v>1</v>
      </c>
      <c r="M102">
        <v>1</v>
      </c>
      <c r="N102">
        <v>1</v>
      </c>
      <c r="P102">
        <v>1.152390718460083</v>
      </c>
    </row>
    <row r="103" spans="1:16" x14ac:dyDescent="0.25">
      <c r="A103" t="s">
        <v>86</v>
      </c>
      <c r="B103" t="s">
        <v>101</v>
      </c>
      <c r="C103">
        <v>0</v>
      </c>
      <c r="D103">
        <v>1</v>
      </c>
      <c r="E103">
        <v>1</v>
      </c>
      <c r="F103">
        <v>1</v>
      </c>
      <c r="G103">
        <v>1</v>
      </c>
      <c r="H103">
        <v>1</v>
      </c>
      <c r="I103">
        <v>1</v>
      </c>
      <c r="J103">
        <v>1</v>
      </c>
      <c r="K103">
        <v>1</v>
      </c>
      <c r="L103">
        <v>1</v>
      </c>
      <c r="M103">
        <v>1</v>
      </c>
      <c r="N103">
        <v>1</v>
      </c>
      <c r="P103">
        <v>1.1372139453887939</v>
      </c>
    </row>
    <row r="104" spans="1:16" x14ac:dyDescent="0.25">
      <c r="A104" t="s">
        <v>86</v>
      </c>
      <c r="B104" t="s">
        <v>102</v>
      </c>
      <c r="C104">
        <v>0</v>
      </c>
      <c r="D104">
        <v>1</v>
      </c>
      <c r="E104">
        <v>1</v>
      </c>
      <c r="F104">
        <v>1</v>
      </c>
      <c r="G104">
        <v>1</v>
      </c>
      <c r="H104">
        <v>1</v>
      </c>
      <c r="I104">
        <v>1</v>
      </c>
      <c r="J104">
        <v>0</v>
      </c>
      <c r="K104">
        <v>1</v>
      </c>
      <c r="L104">
        <v>1</v>
      </c>
      <c r="M104">
        <v>1</v>
      </c>
      <c r="N104">
        <v>1</v>
      </c>
      <c r="O104" t="s">
        <v>260</v>
      </c>
      <c r="P104">
        <v>2.7263636589050289</v>
      </c>
    </row>
    <row r="105" spans="1:16" x14ac:dyDescent="0.25">
      <c r="A105" t="s">
        <v>86</v>
      </c>
      <c r="B105" t="s">
        <v>104</v>
      </c>
      <c r="C105">
        <v>0</v>
      </c>
      <c r="D105">
        <v>1</v>
      </c>
      <c r="E105">
        <v>1</v>
      </c>
      <c r="F105">
        <v>1</v>
      </c>
      <c r="G105">
        <v>1</v>
      </c>
      <c r="H105">
        <v>1</v>
      </c>
      <c r="I105">
        <v>1</v>
      </c>
      <c r="J105">
        <v>0</v>
      </c>
      <c r="K105">
        <v>1</v>
      </c>
      <c r="L105">
        <v>1</v>
      </c>
      <c r="M105">
        <v>1</v>
      </c>
      <c r="N105">
        <v>1</v>
      </c>
      <c r="O105" t="s">
        <v>261</v>
      </c>
      <c r="P105">
        <v>1.591704130172729</v>
      </c>
    </row>
    <row r="106" spans="1:16" x14ac:dyDescent="0.25">
      <c r="A106" t="s">
        <v>86</v>
      </c>
      <c r="B106" t="s">
        <v>105</v>
      </c>
      <c r="C106">
        <v>0</v>
      </c>
      <c r="D106">
        <v>1</v>
      </c>
      <c r="E106">
        <v>1</v>
      </c>
      <c r="F106">
        <v>1</v>
      </c>
      <c r="G106">
        <v>1</v>
      </c>
      <c r="H106">
        <v>1</v>
      </c>
      <c r="I106">
        <v>1</v>
      </c>
      <c r="J106">
        <v>1</v>
      </c>
      <c r="K106">
        <v>1</v>
      </c>
      <c r="L106">
        <v>1</v>
      </c>
      <c r="M106">
        <v>1</v>
      </c>
      <c r="N106">
        <v>1</v>
      </c>
      <c r="P106">
        <v>1.416502952575684</v>
      </c>
    </row>
    <row r="107" spans="1:16" x14ac:dyDescent="0.25">
      <c r="A107" t="s">
        <v>86</v>
      </c>
      <c r="B107" t="s">
        <v>106</v>
      </c>
      <c r="C107">
        <v>0</v>
      </c>
      <c r="D107">
        <v>1</v>
      </c>
      <c r="E107">
        <v>1</v>
      </c>
      <c r="F107">
        <v>1</v>
      </c>
      <c r="G107">
        <v>1</v>
      </c>
      <c r="H107">
        <v>1</v>
      </c>
      <c r="I107">
        <v>1</v>
      </c>
      <c r="J107">
        <v>1</v>
      </c>
      <c r="K107">
        <v>1</v>
      </c>
      <c r="L107">
        <v>1</v>
      </c>
      <c r="M107">
        <v>1</v>
      </c>
      <c r="N107">
        <v>1</v>
      </c>
      <c r="P107">
        <v>1.7906398773193359</v>
      </c>
    </row>
    <row r="108" spans="1:16" x14ac:dyDescent="0.25">
      <c r="A108" t="s">
        <v>86</v>
      </c>
      <c r="B108" t="s">
        <v>107</v>
      </c>
      <c r="C108">
        <v>0</v>
      </c>
      <c r="D108">
        <v>1</v>
      </c>
      <c r="E108">
        <v>1</v>
      </c>
      <c r="F108">
        <v>1</v>
      </c>
      <c r="G108">
        <v>1</v>
      </c>
      <c r="H108">
        <v>1</v>
      </c>
      <c r="I108">
        <v>1</v>
      </c>
      <c r="J108">
        <v>1</v>
      </c>
      <c r="K108">
        <v>1</v>
      </c>
      <c r="L108">
        <v>1</v>
      </c>
      <c r="M108">
        <v>1</v>
      </c>
      <c r="N108">
        <v>1</v>
      </c>
      <c r="P108">
        <v>1.4882063865661621</v>
      </c>
    </row>
    <row r="109" spans="1:16" x14ac:dyDescent="0.25">
      <c r="A109" t="s">
        <v>86</v>
      </c>
      <c r="B109" t="s">
        <v>108</v>
      </c>
      <c r="C109">
        <v>0</v>
      </c>
      <c r="D109">
        <v>1</v>
      </c>
      <c r="E109">
        <v>1</v>
      </c>
      <c r="F109">
        <v>1</v>
      </c>
      <c r="G109">
        <v>1</v>
      </c>
      <c r="H109">
        <v>1</v>
      </c>
      <c r="I109">
        <v>1</v>
      </c>
      <c r="J109">
        <v>1</v>
      </c>
      <c r="K109">
        <v>1</v>
      </c>
      <c r="L109">
        <v>1</v>
      </c>
      <c r="M109">
        <v>1</v>
      </c>
      <c r="N109">
        <v>1</v>
      </c>
      <c r="P109">
        <v>2.9668915271759029</v>
      </c>
    </row>
    <row r="110" spans="1:16" x14ac:dyDescent="0.25">
      <c r="A110" t="s">
        <v>86</v>
      </c>
      <c r="B110" t="s">
        <v>109</v>
      </c>
      <c r="C110">
        <v>0</v>
      </c>
      <c r="D110">
        <v>1</v>
      </c>
      <c r="E110">
        <v>1</v>
      </c>
      <c r="F110">
        <v>1</v>
      </c>
      <c r="G110">
        <v>1</v>
      </c>
      <c r="H110">
        <v>1</v>
      </c>
      <c r="I110">
        <v>1</v>
      </c>
      <c r="J110">
        <v>1</v>
      </c>
      <c r="K110">
        <v>1</v>
      </c>
      <c r="L110">
        <v>1</v>
      </c>
      <c r="M110">
        <v>1</v>
      </c>
      <c r="N110">
        <v>1</v>
      </c>
      <c r="P110">
        <v>1.457550048828125</v>
      </c>
    </row>
    <row r="111" spans="1:16" x14ac:dyDescent="0.25">
      <c r="A111" t="s">
        <v>86</v>
      </c>
      <c r="B111" t="s">
        <v>110</v>
      </c>
      <c r="C111">
        <v>0</v>
      </c>
      <c r="D111">
        <v>1</v>
      </c>
      <c r="E111">
        <v>0</v>
      </c>
      <c r="F111">
        <v>1</v>
      </c>
      <c r="G111">
        <v>1</v>
      </c>
      <c r="H111" t="s">
        <v>20</v>
      </c>
      <c r="I111">
        <v>1</v>
      </c>
      <c r="J111" t="s">
        <v>20</v>
      </c>
      <c r="K111">
        <v>1</v>
      </c>
      <c r="L111">
        <v>1</v>
      </c>
      <c r="M111">
        <v>1</v>
      </c>
      <c r="N111">
        <v>1</v>
      </c>
      <c r="O111" t="s">
        <v>262</v>
      </c>
      <c r="P111">
        <v>2.1263267993927002</v>
      </c>
    </row>
    <row r="112" spans="1:16" x14ac:dyDescent="0.25">
      <c r="A112" t="s">
        <v>86</v>
      </c>
      <c r="B112" t="s">
        <v>112</v>
      </c>
      <c r="C112">
        <v>0</v>
      </c>
      <c r="D112">
        <v>1</v>
      </c>
      <c r="E112">
        <v>1</v>
      </c>
      <c r="F112">
        <v>1</v>
      </c>
      <c r="G112">
        <v>1</v>
      </c>
      <c r="H112">
        <v>1</v>
      </c>
      <c r="I112">
        <v>1</v>
      </c>
      <c r="J112">
        <v>1</v>
      </c>
      <c r="K112">
        <v>1</v>
      </c>
      <c r="L112">
        <v>1</v>
      </c>
      <c r="M112">
        <v>1</v>
      </c>
      <c r="N112">
        <v>1</v>
      </c>
      <c r="P112">
        <v>1.226225614547729</v>
      </c>
    </row>
    <row r="113" spans="1:17" x14ac:dyDescent="0.25">
      <c r="A113" t="s">
        <v>86</v>
      </c>
      <c r="B113" t="s">
        <v>113</v>
      </c>
      <c r="C113">
        <v>0</v>
      </c>
      <c r="D113">
        <v>1</v>
      </c>
      <c r="E113">
        <v>1</v>
      </c>
      <c r="F113">
        <v>1</v>
      </c>
      <c r="G113">
        <v>0</v>
      </c>
      <c r="H113">
        <v>1</v>
      </c>
      <c r="I113">
        <v>1</v>
      </c>
      <c r="J113">
        <v>1</v>
      </c>
      <c r="K113">
        <v>1</v>
      </c>
      <c r="L113">
        <v>1</v>
      </c>
      <c r="M113">
        <v>1</v>
      </c>
      <c r="N113">
        <v>1</v>
      </c>
      <c r="O113" t="s">
        <v>263</v>
      </c>
      <c r="P113">
        <v>2.2643132209777832</v>
      </c>
    </row>
    <row r="114" spans="1:17" x14ac:dyDescent="0.25">
      <c r="A114" t="s">
        <v>115</v>
      </c>
      <c r="B114" t="s">
        <v>18</v>
      </c>
      <c r="C114">
        <v>0</v>
      </c>
      <c r="D114">
        <v>1</v>
      </c>
      <c r="E114">
        <v>1</v>
      </c>
      <c r="F114">
        <v>1</v>
      </c>
      <c r="G114">
        <v>1</v>
      </c>
      <c r="H114">
        <v>1</v>
      </c>
      <c r="I114">
        <v>1</v>
      </c>
      <c r="J114">
        <v>1</v>
      </c>
      <c r="K114">
        <v>1</v>
      </c>
      <c r="L114">
        <v>1</v>
      </c>
      <c r="M114">
        <v>1</v>
      </c>
      <c r="N114">
        <v>1</v>
      </c>
      <c r="P114">
        <v>1.1130645275115969</v>
      </c>
    </row>
    <row r="115" spans="1:17" x14ac:dyDescent="0.25">
      <c r="A115" t="s">
        <v>115</v>
      </c>
      <c r="B115" t="s">
        <v>19</v>
      </c>
      <c r="C115">
        <v>0</v>
      </c>
      <c r="D115">
        <v>1</v>
      </c>
      <c r="E115">
        <v>1</v>
      </c>
      <c r="F115">
        <v>1</v>
      </c>
      <c r="G115">
        <v>0</v>
      </c>
      <c r="H115">
        <v>1</v>
      </c>
      <c r="I115">
        <v>1</v>
      </c>
      <c r="J115">
        <v>1</v>
      </c>
      <c r="K115">
        <v>1</v>
      </c>
      <c r="L115">
        <v>1</v>
      </c>
      <c r="M115">
        <v>1</v>
      </c>
      <c r="N115">
        <v>1</v>
      </c>
      <c r="O115" t="s">
        <v>264</v>
      </c>
      <c r="P115">
        <v>1.6781830787658689</v>
      </c>
    </row>
    <row r="116" spans="1:17" x14ac:dyDescent="0.25">
      <c r="A116" t="s">
        <v>115</v>
      </c>
      <c r="B116" t="s">
        <v>22</v>
      </c>
      <c r="C116">
        <v>0</v>
      </c>
      <c r="D116">
        <v>1</v>
      </c>
      <c r="E116">
        <v>0</v>
      </c>
      <c r="F116">
        <v>1</v>
      </c>
      <c r="G116">
        <v>1</v>
      </c>
      <c r="H116" t="s">
        <v>20</v>
      </c>
      <c r="I116">
        <v>1</v>
      </c>
      <c r="J116" t="s">
        <v>20</v>
      </c>
      <c r="K116">
        <v>1</v>
      </c>
      <c r="L116">
        <v>1</v>
      </c>
      <c r="M116">
        <v>1</v>
      </c>
      <c r="N116">
        <v>1</v>
      </c>
      <c r="O116" t="s">
        <v>265</v>
      </c>
      <c r="P116">
        <v>2.292922735214233</v>
      </c>
    </row>
    <row r="117" spans="1:17" x14ac:dyDescent="0.25">
      <c r="A117" t="s">
        <v>115</v>
      </c>
      <c r="B117" t="s">
        <v>24</v>
      </c>
      <c r="C117">
        <v>0</v>
      </c>
      <c r="D117">
        <v>1</v>
      </c>
      <c r="E117">
        <v>1</v>
      </c>
      <c r="F117">
        <v>1</v>
      </c>
      <c r="G117">
        <v>1</v>
      </c>
      <c r="H117">
        <v>1</v>
      </c>
      <c r="I117">
        <v>1</v>
      </c>
      <c r="J117">
        <v>1</v>
      </c>
      <c r="K117">
        <v>1</v>
      </c>
      <c r="L117">
        <v>1</v>
      </c>
      <c r="M117">
        <v>1</v>
      </c>
      <c r="N117">
        <v>1</v>
      </c>
      <c r="P117">
        <v>1.8092610836029051</v>
      </c>
    </row>
    <row r="118" spans="1:17" x14ac:dyDescent="0.25">
      <c r="A118" t="s">
        <v>115</v>
      </c>
      <c r="B118" t="s">
        <v>25</v>
      </c>
      <c r="C118">
        <v>0</v>
      </c>
      <c r="D118">
        <v>1</v>
      </c>
      <c r="E118">
        <v>1</v>
      </c>
      <c r="F118">
        <v>1</v>
      </c>
      <c r="G118">
        <v>0</v>
      </c>
      <c r="H118">
        <v>1</v>
      </c>
      <c r="I118">
        <v>1</v>
      </c>
      <c r="J118">
        <v>1</v>
      </c>
      <c r="K118">
        <v>1</v>
      </c>
      <c r="L118">
        <v>1</v>
      </c>
      <c r="M118">
        <v>1</v>
      </c>
      <c r="N118">
        <v>1</v>
      </c>
      <c r="O118" t="s">
        <v>266</v>
      </c>
      <c r="P118">
        <v>1.670160293579102</v>
      </c>
    </row>
    <row r="119" spans="1:17" x14ac:dyDescent="0.25">
      <c r="A119" t="s">
        <v>115</v>
      </c>
      <c r="B119" t="s">
        <v>26</v>
      </c>
      <c r="C119">
        <v>0</v>
      </c>
      <c r="D119">
        <v>1</v>
      </c>
      <c r="E119">
        <v>1</v>
      </c>
      <c r="F119">
        <v>1</v>
      </c>
      <c r="G119">
        <v>1</v>
      </c>
      <c r="H119">
        <v>1</v>
      </c>
      <c r="I119">
        <v>1</v>
      </c>
      <c r="J119">
        <v>1</v>
      </c>
      <c r="K119">
        <v>1</v>
      </c>
      <c r="L119">
        <v>1</v>
      </c>
      <c r="M119">
        <v>1</v>
      </c>
      <c r="N119">
        <v>1</v>
      </c>
      <c r="P119">
        <v>1.551767826080322</v>
      </c>
    </row>
    <row r="120" spans="1:17" x14ac:dyDescent="0.25">
      <c r="A120" t="s">
        <v>115</v>
      </c>
      <c r="B120" t="s">
        <v>27</v>
      </c>
      <c r="C120">
        <v>0</v>
      </c>
      <c r="D120">
        <v>1</v>
      </c>
      <c r="E120">
        <v>1</v>
      </c>
      <c r="F120">
        <v>1</v>
      </c>
      <c r="G120">
        <v>1</v>
      </c>
      <c r="H120">
        <v>1</v>
      </c>
      <c r="I120">
        <v>1</v>
      </c>
      <c r="J120">
        <v>1</v>
      </c>
      <c r="K120">
        <v>1</v>
      </c>
      <c r="L120">
        <v>1</v>
      </c>
      <c r="M120">
        <v>1</v>
      </c>
      <c r="N120">
        <v>1</v>
      </c>
      <c r="P120">
        <v>1.181045770645142</v>
      </c>
    </row>
    <row r="121" spans="1:17" x14ac:dyDescent="0.25">
      <c r="A121" t="s">
        <v>115</v>
      </c>
      <c r="B121" t="s">
        <v>29</v>
      </c>
      <c r="C121">
        <v>0</v>
      </c>
      <c r="D121">
        <v>1</v>
      </c>
      <c r="E121">
        <v>1</v>
      </c>
      <c r="F121">
        <v>1</v>
      </c>
      <c r="G121">
        <v>0</v>
      </c>
      <c r="H121">
        <v>1</v>
      </c>
      <c r="I121">
        <v>1</v>
      </c>
      <c r="J121">
        <v>1</v>
      </c>
      <c r="K121">
        <v>1</v>
      </c>
      <c r="L121">
        <v>1</v>
      </c>
      <c r="M121">
        <v>1</v>
      </c>
      <c r="N121">
        <v>1</v>
      </c>
      <c r="O121" t="s">
        <v>267</v>
      </c>
      <c r="P121">
        <v>1.825538635253906</v>
      </c>
    </row>
    <row r="122" spans="1:17" x14ac:dyDescent="0.25">
      <c r="A122" t="s">
        <v>115</v>
      </c>
      <c r="B122" t="s">
        <v>30</v>
      </c>
      <c r="C122">
        <v>0</v>
      </c>
      <c r="D122">
        <v>0</v>
      </c>
      <c r="E122" t="s">
        <v>20</v>
      </c>
      <c r="F122" t="s">
        <v>20</v>
      </c>
      <c r="G122" t="s">
        <v>20</v>
      </c>
      <c r="H122" t="s">
        <v>20</v>
      </c>
      <c r="I122" t="s">
        <v>20</v>
      </c>
      <c r="J122" t="s">
        <v>20</v>
      </c>
      <c r="K122" t="s">
        <v>20</v>
      </c>
      <c r="L122" t="s">
        <v>20</v>
      </c>
      <c r="M122">
        <v>1</v>
      </c>
      <c r="N122" t="s">
        <v>20</v>
      </c>
      <c r="O122" t="s">
        <v>268</v>
      </c>
      <c r="P122">
        <v>4.1815953254699707</v>
      </c>
      <c r="Q122" t="s">
        <v>20</v>
      </c>
    </row>
    <row r="123" spans="1:17" x14ac:dyDescent="0.25">
      <c r="A123" t="s">
        <v>115</v>
      </c>
      <c r="B123" t="s">
        <v>32</v>
      </c>
      <c r="C123">
        <v>0</v>
      </c>
      <c r="D123">
        <v>0</v>
      </c>
      <c r="E123" t="s">
        <v>20</v>
      </c>
      <c r="F123" t="s">
        <v>20</v>
      </c>
      <c r="G123" t="s">
        <v>20</v>
      </c>
      <c r="H123" t="s">
        <v>20</v>
      </c>
      <c r="I123" t="s">
        <v>20</v>
      </c>
      <c r="J123" t="s">
        <v>20</v>
      </c>
      <c r="K123" t="s">
        <v>20</v>
      </c>
      <c r="L123" t="s">
        <v>20</v>
      </c>
      <c r="M123">
        <v>1</v>
      </c>
      <c r="N123" t="s">
        <v>20</v>
      </c>
      <c r="O123" t="s">
        <v>269</v>
      </c>
      <c r="P123">
        <v>3.8281536102294922</v>
      </c>
      <c r="Q123" t="s">
        <v>20</v>
      </c>
    </row>
    <row r="124" spans="1:17" x14ac:dyDescent="0.25">
      <c r="A124" t="s">
        <v>115</v>
      </c>
      <c r="B124" t="s">
        <v>33</v>
      </c>
      <c r="C124">
        <v>0</v>
      </c>
      <c r="D124">
        <v>0</v>
      </c>
      <c r="E124" t="s">
        <v>20</v>
      </c>
      <c r="F124" t="s">
        <v>20</v>
      </c>
      <c r="G124" t="s">
        <v>20</v>
      </c>
      <c r="H124" t="s">
        <v>20</v>
      </c>
      <c r="I124" t="s">
        <v>20</v>
      </c>
      <c r="J124" t="s">
        <v>20</v>
      </c>
      <c r="K124" t="s">
        <v>20</v>
      </c>
      <c r="L124" t="s">
        <v>20</v>
      </c>
      <c r="M124">
        <v>0</v>
      </c>
      <c r="N124" t="s">
        <v>20</v>
      </c>
      <c r="O124" t="s">
        <v>270</v>
      </c>
      <c r="P124">
        <v>6.3801038265228271</v>
      </c>
      <c r="Q124" t="s">
        <v>20</v>
      </c>
    </row>
    <row r="125" spans="1:17" x14ac:dyDescent="0.25">
      <c r="A125" t="s">
        <v>115</v>
      </c>
      <c r="B125" t="s">
        <v>34</v>
      </c>
      <c r="C125">
        <v>0</v>
      </c>
      <c r="D125">
        <v>1</v>
      </c>
      <c r="E125">
        <v>1</v>
      </c>
      <c r="F125">
        <v>1</v>
      </c>
      <c r="G125">
        <v>1</v>
      </c>
      <c r="H125">
        <v>1</v>
      </c>
      <c r="I125">
        <v>1</v>
      </c>
      <c r="J125">
        <v>1</v>
      </c>
      <c r="K125">
        <v>1</v>
      </c>
      <c r="L125">
        <v>1</v>
      </c>
      <c r="M125">
        <v>1</v>
      </c>
      <c r="N125">
        <v>1</v>
      </c>
      <c r="P125">
        <v>1.2462811470031741</v>
      </c>
    </row>
    <row r="126" spans="1:17" x14ac:dyDescent="0.25">
      <c r="A126" t="s">
        <v>115</v>
      </c>
      <c r="B126" t="s">
        <v>35</v>
      </c>
      <c r="C126">
        <v>0</v>
      </c>
      <c r="D126">
        <v>1</v>
      </c>
      <c r="E126">
        <v>1</v>
      </c>
      <c r="F126">
        <v>1</v>
      </c>
      <c r="G126">
        <v>1</v>
      </c>
      <c r="H126">
        <v>1</v>
      </c>
      <c r="I126">
        <v>1</v>
      </c>
      <c r="J126">
        <v>1</v>
      </c>
      <c r="K126">
        <v>1</v>
      </c>
      <c r="L126">
        <v>1</v>
      </c>
      <c r="M126">
        <v>1</v>
      </c>
      <c r="N126">
        <v>1</v>
      </c>
      <c r="P126">
        <v>3.366497278213501</v>
      </c>
    </row>
    <row r="127" spans="1:17" x14ac:dyDescent="0.25">
      <c r="A127" t="s">
        <v>115</v>
      </c>
      <c r="B127" t="s">
        <v>37</v>
      </c>
      <c r="C127">
        <v>0</v>
      </c>
      <c r="D127">
        <v>1</v>
      </c>
      <c r="E127">
        <v>1</v>
      </c>
      <c r="F127">
        <v>1</v>
      </c>
      <c r="G127">
        <v>1</v>
      </c>
      <c r="H127">
        <v>1</v>
      </c>
      <c r="I127">
        <v>1</v>
      </c>
      <c r="J127">
        <v>1</v>
      </c>
      <c r="K127">
        <v>1</v>
      </c>
      <c r="L127">
        <v>1</v>
      </c>
      <c r="M127">
        <v>1</v>
      </c>
      <c r="N127">
        <v>1</v>
      </c>
      <c r="P127">
        <v>2.125322580337524</v>
      </c>
    </row>
    <row r="128" spans="1:17" x14ac:dyDescent="0.25">
      <c r="A128" t="s">
        <v>115</v>
      </c>
      <c r="B128" t="s">
        <v>38</v>
      </c>
      <c r="C128">
        <v>0</v>
      </c>
      <c r="D128">
        <v>1</v>
      </c>
      <c r="E128">
        <v>1</v>
      </c>
      <c r="F128">
        <v>1</v>
      </c>
      <c r="G128">
        <v>1</v>
      </c>
      <c r="H128">
        <v>1</v>
      </c>
      <c r="I128">
        <v>1</v>
      </c>
      <c r="J128">
        <v>1</v>
      </c>
      <c r="K128">
        <v>1</v>
      </c>
      <c r="L128">
        <v>1</v>
      </c>
      <c r="M128">
        <v>1</v>
      </c>
      <c r="N128">
        <v>1</v>
      </c>
      <c r="P128">
        <v>2.2115037441253662</v>
      </c>
    </row>
    <row r="129" spans="1:16" x14ac:dyDescent="0.25">
      <c r="A129" t="s">
        <v>115</v>
      </c>
      <c r="B129" t="s">
        <v>39</v>
      </c>
      <c r="C129">
        <v>0</v>
      </c>
      <c r="D129">
        <v>1</v>
      </c>
      <c r="E129">
        <v>1</v>
      </c>
      <c r="F129">
        <v>1</v>
      </c>
      <c r="G129">
        <v>1</v>
      </c>
      <c r="H129">
        <v>1</v>
      </c>
      <c r="I129">
        <v>1</v>
      </c>
      <c r="J129">
        <v>1</v>
      </c>
      <c r="K129">
        <v>1</v>
      </c>
      <c r="L129">
        <v>1</v>
      </c>
      <c r="M129">
        <v>0</v>
      </c>
      <c r="N129">
        <v>1</v>
      </c>
      <c r="O129" t="s">
        <v>271</v>
      </c>
      <c r="P129">
        <v>1.832865238189697</v>
      </c>
    </row>
    <row r="130" spans="1:16" x14ac:dyDescent="0.25">
      <c r="A130" t="s">
        <v>115</v>
      </c>
      <c r="B130" t="s">
        <v>40</v>
      </c>
      <c r="C130">
        <v>0</v>
      </c>
      <c r="D130">
        <v>1</v>
      </c>
      <c r="E130">
        <v>1</v>
      </c>
      <c r="F130">
        <v>1</v>
      </c>
      <c r="G130">
        <v>0</v>
      </c>
      <c r="H130">
        <v>1</v>
      </c>
      <c r="I130">
        <v>1</v>
      </c>
      <c r="J130">
        <v>1</v>
      </c>
      <c r="K130">
        <v>1</v>
      </c>
      <c r="L130">
        <v>1</v>
      </c>
      <c r="M130">
        <v>1</v>
      </c>
      <c r="N130">
        <v>1</v>
      </c>
      <c r="O130" t="s">
        <v>272</v>
      </c>
      <c r="P130">
        <v>2.108940601348877</v>
      </c>
    </row>
    <row r="131" spans="1:16" x14ac:dyDescent="0.25">
      <c r="A131" t="s">
        <v>115</v>
      </c>
      <c r="B131" t="s">
        <v>41</v>
      </c>
      <c r="C131">
        <v>0</v>
      </c>
      <c r="D131">
        <v>1</v>
      </c>
      <c r="E131">
        <v>1</v>
      </c>
      <c r="F131">
        <v>1</v>
      </c>
      <c r="G131">
        <v>1</v>
      </c>
      <c r="H131">
        <v>1</v>
      </c>
      <c r="I131">
        <v>1</v>
      </c>
      <c r="J131">
        <v>1</v>
      </c>
      <c r="K131">
        <v>1</v>
      </c>
      <c r="L131">
        <v>1</v>
      </c>
      <c r="M131">
        <v>1</v>
      </c>
      <c r="N131">
        <v>1</v>
      </c>
      <c r="P131">
        <v>1.383203268051147</v>
      </c>
    </row>
    <row r="132" spans="1:16" x14ac:dyDescent="0.25">
      <c r="A132" t="s">
        <v>115</v>
      </c>
      <c r="B132" t="s">
        <v>42</v>
      </c>
      <c r="C132">
        <v>0</v>
      </c>
      <c r="D132">
        <v>1</v>
      </c>
      <c r="E132">
        <v>1</v>
      </c>
      <c r="F132">
        <v>1</v>
      </c>
      <c r="G132">
        <v>1</v>
      </c>
      <c r="H132">
        <v>1</v>
      </c>
      <c r="I132">
        <v>1</v>
      </c>
      <c r="J132">
        <v>1</v>
      </c>
      <c r="K132">
        <v>1</v>
      </c>
      <c r="L132">
        <v>1</v>
      </c>
      <c r="M132">
        <v>1</v>
      </c>
      <c r="N132">
        <v>1</v>
      </c>
      <c r="P132">
        <v>1.56830358505249</v>
      </c>
    </row>
    <row r="133" spans="1:16" x14ac:dyDescent="0.25">
      <c r="A133" t="s">
        <v>115</v>
      </c>
      <c r="B133" t="s">
        <v>43</v>
      </c>
      <c r="C133">
        <v>0</v>
      </c>
      <c r="D133">
        <v>1</v>
      </c>
      <c r="E133">
        <v>1</v>
      </c>
      <c r="F133">
        <v>1</v>
      </c>
      <c r="G133">
        <v>0</v>
      </c>
      <c r="H133">
        <v>1</v>
      </c>
      <c r="I133">
        <v>1</v>
      </c>
      <c r="J133">
        <v>1</v>
      </c>
      <c r="K133">
        <v>1</v>
      </c>
      <c r="L133">
        <v>1</v>
      </c>
      <c r="M133">
        <v>1</v>
      </c>
      <c r="N133">
        <v>1</v>
      </c>
      <c r="O133" t="s">
        <v>273</v>
      </c>
      <c r="P133">
        <v>2.3681342601776119</v>
      </c>
    </row>
    <row r="134" spans="1:16" x14ac:dyDescent="0.25">
      <c r="A134" t="s">
        <v>115</v>
      </c>
      <c r="B134" t="s">
        <v>44</v>
      </c>
      <c r="C134">
        <v>0</v>
      </c>
      <c r="D134">
        <v>1</v>
      </c>
      <c r="E134">
        <v>1</v>
      </c>
      <c r="F134">
        <v>1</v>
      </c>
      <c r="G134">
        <v>1</v>
      </c>
      <c r="H134">
        <v>1</v>
      </c>
      <c r="I134">
        <v>1</v>
      </c>
      <c r="J134">
        <v>1</v>
      </c>
      <c r="K134">
        <v>1</v>
      </c>
      <c r="L134">
        <v>1</v>
      </c>
      <c r="M134">
        <v>1</v>
      </c>
      <c r="N134">
        <v>1</v>
      </c>
      <c r="P134">
        <v>1.153702020645142</v>
      </c>
    </row>
    <row r="135" spans="1:16" x14ac:dyDescent="0.25">
      <c r="A135" t="s">
        <v>115</v>
      </c>
      <c r="B135" t="s">
        <v>45</v>
      </c>
      <c r="C135">
        <v>0</v>
      </c>
      <c r="D135">
        <v>1</v>
      </c>
      <c r="E135">
        <v>1</v>
      </c>
      <c r="F135">
        <v>1</v>
      </c>
      <c r="G135">
        <v>1</v>
      </c>
      <c r="H135">
        <v>1</v>
      </c>
      <c r="I135">
        <v>1</v>
      </c>
      <c r="J135">
        <v>1</v>
      </c>
      <c r="K135">
        <v>1</v>
      </c>
      <c r="L135">
        <v>1</v>
      </c>
      <c r="M135">
        <v>1</v>
      </c>
      <c r="N135">
        <v>1</v>
      </c>
      <c r="P135">
        <v>1.16546106338501</v>
      </c>
    </row>
    <row r="136" spans="1:16" x14ac:dyDescent="0.25">
      <c r="A136" t="s">
        <v>115</v>
      </c>
      <c r="B136" t="s">
        <v>47</v>
      </c>
      <c r="C136">
        <v>0</v>
      </c>
      <c r="D136">
        <v>1</v>
      </c>
      <c r="E136">
        <v>1</v>
      </c>
      <c r="F136">
        <v>1</v>
      </c>
      <c r="G136">
        <v>1</v>
      </c>
      <c r="H136">
        <v>1</v>
      </c>
      <c r="I136">
        <v>1</v>
      </c>
      <c r="J136">
        <v>1</v>
      </c>
      <c r="K136">
        <v>1</v>
      </c>
      <c r="L136">
        <v>1</v>
      </c>
      <c r="M136">
        <v>1</v>
      </c>
      <c r="N136">
        <v>1</v>
      </c>
      <c r="P136">
        <v>1.73858642578125</v>
      </c>
    </row>
    <row r="137" spans="1:16" x14ac:dyDescent="0.25">
      <c r="A137" t="s">
        <v>115</v>
      </c>
      <c r="B137" t="s">
        <v>48</v>
      </c>
      <c r="C137">
        <v>0</v>
      </c>
      <c r="D137">
        <v>1</v>
      </c>
      <c r="E137">
        <v>0</v>
      </c>
      <c r="F137">
        <v>1</v>
      </c>
      <c r="G137">
        <v>1</v>
      </c>
      <c r="H137" t="s">
        <v>20</v>
      </c>
      <c r="I137">
        <v>1</v>
      </c>
      <c r="J137" t="s">
        <v>20</v>
      </c>
      <c r="K137">
        <v>1</v>
      </c>
      <c r="L137">
        <v>1</v>
      </c>
      <c r="M137">
        <v>1</v>
      </c>
      <c r="N137">
        <v>1</v>
      </c>
      <c r="O137" t="s">
        <v>274</v>
      </c>
      <c r="P137">
        <v>1.816424608230591</v>
      </c>
    </row>
    <row r="138" spans="1:16" x14ac:dyDescent="0.25">
      <c r="A138" t="s">
        <v>115</v>
      </c>
      <c r="B138" t="s">
        <v>50</v>
      </c>
      <c r="C138">
        <v>0</v>
      </c>
      <c r="D138">
        <v>1</v>
      </c>
      <c r="E138">
        <v>1</v>
      </c>
      <c r="F138">
        <v>1</v>
      </c>
      <c r="G138">
        <v>1</v>
      </c>
      <c r="H138">
        <v>1</v>
      </c>
      <c r="I138">
        <v>1</v>
      </c>
      <c r="J138">
        <v>1</v>
      </c>
      <c r="K138">
        <v>1</v>
      </c>
      <c r="L138">
        <v>1</v>
      </c>
      <c r="M138">
        <v>1</v>
      </c>
      <c r="N138">
        <v>1</v>
      </c>
      <c r="P138">
        <v>1.3645973205566411</v>
      </c>
    </row>
    <row r="139" spans="1:16" x14ac:dyDescent="0.25">
      <c r="A139" t="s">
        <v>115</v>
      </c>
      <c r="B139" t="s">
        <v>51</v>
      </c>
      <c r="C139">
        <v>0</v>
      </c>
      <c r="D139">
        <v>1</v>
      </c>
      <c r="E139">
        <v>0</v>
      </c>
      <c r="F139">
        <v>1</v>
      </c>
      <c r="G139">
        <v>1</v>
      </c>
      <c r="H139" t="s">
        <v>20</v>
      </c>
      <c r="I139">
        <v>1</v>
      </c>
      <c r="J139" t="s">
        <v>20</v>
      </c>
      <c r="K139">
        <v>1</v>
      </c>
      <c r="L139">
        <v>1</v>
      </c>
      <c r="M139">
        <v>1</v>
      </c>
      <c r="N139">
        <v>1</v>
      </c>
      <c r="O139" t="s">
        <v>275</v>
      </c>
      <c r="P139">
        <v>2.2492730617523189</v>
      </c>
    </row>
    <row r="140" spans="1:16" x14ac:dyDescent="0.25">
      <c r="A140" t="s">
        <v>115</v>
      </c>
      <c r="B140" t="s">
        <v>53</v>
      </c>
      <c r="C140">
        <v>0</v>
      </c>
      <c r="D140">
        <v>1</v>
      </c>
      <c r="E140">
        <v>1</v>
      </c>
      <c r="F140">
        <v>1</v>
      </c>
      <c r="G140">
        <v>1</v>
      </c>
      <c r="H140">
        <v>1</v>
      </c>
      <c r="I140">
        <v>1</v>
      </c>
      <c r="J140">
        <v>0</v>
      </c>
      <c r="K140">
        <v>1</v>
      </c>
      <c r="L140">
        <v>1</v>
      </c>
      <c r="M140">
        <v>1</v>
      </c>
      <c r="N140">
        <v>1</v>
      </c>
      <c r="O140" t="s">
        <v>276</v>
      </c>
      <c r="P140">
        <v>2.0863649845123291</v>
      </c>
    </row>
    <row r="141" spans="1:16" x14ac:dyDescent="0.25">
      <c r="A141" t="s">
        <v>115</v>
      </c>
      <c r="B141" t="s">
        <v>55</v>
      </c>
      <c r="C141">
        <v>0</v>
      </c>
      <c r="D141">
        <v>1</v>
      </c>
      <c r="E141">
        <v>1</v>
      </c>
      <c r="F141">
        <v>1</v>
      </c>
      <c r="G141">
        <v>1</v>
      </c>
      <c r="H141">
        <v>1</v>
      </c>
      <c r="I141">
        <v>1</v>
      </c>
      <c r="J141">
        <v>1</v>
      </c>
      <c r="K141">
        <v>1</v>
      </c>
      <c r="L141">
        <v>1</v>
      </c>
      <c r="M141">
        <v>1</v>
      </c>
      <c r="N141">
        <v>1</v>
      </c>
      <c r="P141">
        <v>1.6076838970184331</v>
      </c>
    </row>
    <row r="142" spans="1:16" x14ac:dyDescent="0.25">
      <c r="A142" t="s">
        <v>115</v>
      </c>
      <c r="B142" t="s">
        <v>56</v>
      </c>
      <c r="C142">
        <v>0</v>
      </c>
      <c r="D142">
        <v>1</v>
      </c>
      <c r="E142">
        <v>1</v>
      </c>
      <c r="F142">
        <v>1</v>
      </c>
      <c r="G142">
        <v>1</v>
      </c>
      <c r="H142">
        <v>1</v>
      </c>
      <c r="I142">
        <v>1</v>
      </c>
      <c r="J142">
        <v>1</v>
      </c>
      <c r="K142">
        <v>1</v>
      </c>
      <c r="L142">
        <v>1</v>
      </c>
      <c r="M142">
        <v>1</v>
      </c>
      <c r="N142">
        <v>1</v>
      </c>
      <c r="P142">
        <v>1.672314405441284</v>
      </c>
    </row>
    <row r="143" spans="1:16" x14ac:dyDescent="0.25">
      <c r="A143" t="s">
        <v>115</v>
      </c>
      <c r="B143" t="s">
        <v>58</v>
      </c>
      <c r="C143">
        <v>0</v>
      </c>
      <c r="D143">
        <v>1</v>
      </c>
      <c r="E143">
        <v>1</v>
      </c>
      <c r="F143">
        <v>1</v>
      </c>
      <c r="G143">
        <v>1</v>
      </c>
      <c r="H143">
        <v>1</v>
      </c>
      <c r="I143">
        <v>1</v>
      </c>
      <c r="J143">
        <v>1</v>
      </c>
      <c r="K143">
        <v>1</v>
      </c>
      <c r="L143">
        <v>1</v>
      </c>
      <c r="M143">
        <v>1</v>
      </c>
      <c r="N143">
        <v>1</v>
      </c>
      <c r="P143">
        <v>1.2529366016387939</v>
      </c>
    </row>
    <row r="144" spans="1:16" x14ac:dyDescent="0.25">
      <c r="A144" t="s">
        <v>115</v>
      </c>
      <c r="B144" t="s">
        <v>60</v>
      </c>
      <c r="C144">
        <v>0</v>
      </c>
      <c r="D144">
        <v>1</v>
      </c>
      <c r="E144">
        <v>1</v>
      </c>
      <c r="F144">
        <v>1</v>
      </c>
      <c r="G144">
        <v>1</v>
      </c>
      <c r="H144">
        <v>1</v>
      </c>
      <c r="I144">
        <v>1</v>
      </c>
      <c r="J144">
        <v>1</v>
      </c>
      <c r="K144">
        <v>1</v>
      </c>
      <c r="L144">
        <v>1</v>
      </c>
      <c r="M144">
        <v>1</v>
      </c>
      <c r="N144">
        <v>1</v>
      </c>
      <c r="P144">
        <v>1.3559126853942871</v>
      </c>
    </row>
    <row r="145" spans="1:17" x14ac:dyDescent="0.25">
      <c r="A145" t="s">
        <v>115</v>
      </c>
      <c r="B145" t="s">
        <v>62</v>
      </c>
      <c r="C145">
        <v>0</v>
      </c>
      <c r="D145">
        <v>1</v>
      </c>
      <c r="E145">
        <v>1</v>
      </c>
      <c r="F145">
        <v>1</v>
      </c>
      <c r="G145">
        <v>1</v>
      </c>
      <c r="H145">
        <v>1</v>
      </c>
      <c r="I145">
        <v>1</v>
      </c>
      <c r="J145">
        <v>1</v>
      </c>
      <c r="K145">
        <v>1</v>
      </c>
      <c r="L145">
        <v>1</v>
      </c>
      <c r="M145">
        <v>1</v>
      </c>
      <c r="N145">
        <v>1</v>
      </c>
      <c r="P145">
        <v>1.1615297794342041</v>
      </c>
    </row>
    <row r="146" spans="1:17" x14ac:dyDescent="0.25">
      <c r="A146" t="s">
        <v>115</v>
      </c>
      <c r="B146" t="s">
        <v>63</v>
      </c>
      <c r="C146">
        <v>0</v>
      </c>
      <c r="D146">
        <v>1</v>
      </c>
      <c r="E146">
        <v>1</v>
      </c>
      <c r="F146">
        <v>1</v>
      </c>
      <c r="G146">
        <v>1</v>
      </c>
      <c r="H146">
        <v>1</v>
      </c>
      <c r="I146">
        <v>1</v>
      </c>
      <c r="J146">
        <v>1</v>
      </c>
      <c r="K146">
        <v>1</v>
      </c>
      <c r="L146">
        <v>1</v>
      </c>
      <c r="M146">
        <v>1</v>
      </c>
      <c r="N146">
        <v>1</v>
      </c>
      <c r="P146">
        <v>4.1777372360229492</v>
      </c>
    </row>
    <row r="147" spans="1:17" x14ac:dyDescent="0.25">
      <c r="A147" t="s">
        <v>115</v>
      </c>
      <c r="B147" t="s">
        <v>65</v>
      </c>
      <c r="C147">
        <v>0</v>
      </c>
      <c r="D147">
        <v>1</v>
      </c>
      <c r="E147">
        <v>1</v>
      </c>
      <c r="F147">
        <v>1</v>
      </c>
      <c r="G147">
        <v>0</v>
      </c>
      <c r="H147">
        <v>1</v>
      </c>
      <c r="I147">
        <v>1</v>
      </c>
      <c r="J147">
        <v>1</v>
      </c>
      <c r="K147">
        <v>1</v>
      </c>
      <c r="L147">
        <v>1</v>
      </c>
      <c r="M147">
        <v>1</v>
      </c>
      <c r="N147">
        <v>1</v>
      </c>
      <c r="O147" t="s">
        <v>277</v>
      </c>
      <c r="P147">
        <v>1.598970413208008</v>
      </c>
    </row>
    <row r="148" spans="1:17" x14ac:dyDescent="0.25">
      <c r="A148" t="s">
        <v>115</v>
      </c>
      <c r="B148" t="s">
        <v>66</v>
      </c>
      <c r="C148">
        <v>0</v>
      </c>
      <c r="D148">
        <v>1</v>
      </c>
      <c r="E148">
        <v>1</v>
      </c>
      <c r="F148">
        <v>1</v>
      </c>
      <c r="G148">
        <v>1</v>
      </c>
      <c r="H148">
        <v>1</v>
      </c>
      <c r="I148">
        <v>1</v>
      </c>
      <c r="J148">
        <v>1</v>
      </c>
      <c r="K148">
        <v>1</v>
      </c>
      <c r="L148">
        <v>1</v>
      </c>
      <c r="M148">
        <v>1</v>
      </c>
      <c r="N148">
        <v>1</v>
      </c>
      <c r="P148">
        <v>2.738754510879517</v>
      </c>
    </row>
    <row r="149" spans="1:17" x14ac:dyDescent="0.25">
      <c r="A149" t="s">
        <v>115</v>
      </c>
      <c r="B149" t="s">
        <v>67</v>
      </c>
      <c r="C149">
        <v>0</v>
      </c>
      <c r="D149">
        <v>1</v>
      </c>
      <c r="E149">
        <v>1</v>
      </c>
      <c r="F149">
        <v>1</v>
      </c>
      <c r="G149">
        <v>1</v>
      </c>
      <c r="H149">
        <v>1</v>
      </c>
      <c r="I149">
        <v>1</v>
      </c>
      <c r="J149">
        <v>1</v>
      </c>
      <c r="K149">
        <v>1</v>
      </c>
      <c r="L149">
        <v>1</v>
      </c>
      <c r="M149">
        <v>1</v>
      </c>
      <c r="N149">
        <v>1</v>
      </c>
      <c r="P149">
        <v>2.5396909713745122</v>
      </c>
    </row>
    <row r="150" spans="1:17" x14ac:dyDescent="0.25">
      <c r="A150" t="s">
        <v>115</v>
      </c>
      <c r="B150" t="s">
        <v>68</v>
      </c>
      <c r="C150">
        <v>0</v>
      </c>
      <c r="D150">
        <v>1</v>
      </c>
      <c r="E150">
        <v>1</v>
      </c>
      <c r="F150">
        <v>1</v>
      </c>
      <c r="G150">
        <v>1</v>
      </c>
      <c r="H150">
        <v>1</v>
      </c>
      <c r="I150">
        <v>1</v>
      </c>
      <c r="J150">
        <v>1</v>
      </c>
      <c r="K150">
        <v>1</v>
      </c>
      <c r="L150">
        <v>1</v>
      </c>
      <c r="M150">
        <v>1</v>
      </c>
      <c r="N150">
        <v>1</v>
      </c>
      <c r="P150">
        <v>1.616455078125</v>
      </c>
    </row>
    <row r="151" spans="1:17" x14ac:dyDescent="0.25">
      <c r="A151" t="s">
        <v>115</v>
      </c>
      <c r="B151" t="s">
        <v>69</v>
      </c>
      <c r="C151">
        <v>0</v>
      </c>
      <c r="D151">
        <v>1</v>
      </c>
      <c r="E151">
        <v>1</v>
      </c>
      <c r="F151">
        <v>1</v>
      </c>
      <c r="G151">
        <v>1</v>
      </c>
      <c r="H151">
        <v>1</v>
      </c>
      <c r="I151">
        <v>1</v>
      </c>
      <c r="J151">
        <v>1</v>
      </c>
      <c r="K151">
        <v>1</v>
      </c>
      <c r="L151">
        <v>1</v>
      </c>
      <c r="M151">
        <v>1</v>
      </c>
      <c r="N151">
        <v>1</v>
      </c>
      <c r="P151">
        <v>1.2354457378387449</v>
      </c>
    </row>
    <row r="152" spans="1:17" x14ac:dyDescent="0.25">
      <c r="A152" t="s">
        <v>115</v>
      </c>
      <c r="B152" t="s">
        <v>71</v>
      </c>
      <c r="C152">
        <v>0</v>
      </c>
      <c r="D152">
        <v>1</v>
      </c>
      <c r="E152">
        <v>1</v>
      </c>
      <c r="F152">
        <v>1</v>
      </c>
      <c r="G152">
        <v>1</v>
      </c>
      <c r="H152">
        <v>1</v>
      </c>
      <c r="I152">
        <v>1</v>
      </c>
      <c r="J152">
        <v>1</v>
      </c>
      <c r="K152">
        <v>1</v>
      </c>
      <c r="L152">
        <v>1</v>
      </c>
      <c r="M152">
        <v>1</v>
      </c>
      <c r="N152">
        <v>1</v>
      </c>
      <c r="P152">
        <v>2.0067882537841801</v>
      </c>
    </row>
    <row r="153" spans="1:17" x14ac:dyDescent="0.25">
      <c r="A153" t="s">
        <v>115</v>
      </c>
      <c r="B153" t="s">
        <v>73</v>
      </c>
      <c r="C153">
        <v>0</v>
      </c>
      <c r="D153">
        <v>1</v>
      </c>
      <c r="E153">
        <v>1</v>
      </c>
      <c r="F153">
        <v>1</v>
      </c>
      <c r="G153">
        <v>1</v>
      </c>
      <c r="H153">
        <v>1</v>
      </c>
      <c r="I153">
        <v>1</v>
      </c>
      <c r="J153">
        <v>1</v>
      </c>
      <c r="K153">
        <v>1</v>
      </c>
      <c r="L153">
        <v>1</v>
      </c>
      <c r="M153">
        <v>1</v>
      </c>
      <c r="N153">
        <v>1</v>
      </c>
      <c r="P153">
        <v>1.211418628692627</v>
      </c>
    </row>
    <row r="154" spans="1:17" x14ac:dyDescent="0.25">
      <c r="A154" t="s">
        <v>115</v>
      </c>
      <c r="B154" t="s">
        <v>75</v>
      </c>
      <c r="C154">
        <v>0</v>
      </c>
      <c r="D154">
        <v>1</v>
      </c>
      <c r="E154">
        <v>1</v>
      </c>
      <c r="F154">
        <v>1</v>
      </c>
      <c r="G154">
        <v>1</v>
      </c>
      <c r="H154">
        <v>1</v>
      </c>
      <c r="I154">
        <v>1</v>
      </c>
      <c r="J154">
        <v>1</v>
      </c>
      <c r="K154">
        <v>1</v>
      </c>
      <c r="L154">
        <v>1</v>
      </c>
      <c r="M154">
        <v>1</v>
      </c>
      <c r="N154">
        <v>1</v>
      </c>
      <c r="P154">
        <v>2.231049537658691</v>
      </c>
    </row>
    <row r="155" spans="1:17" x14ac:dyDescent="0.25">
      <c r="A155" t="s">
        <v>115</v>
      </c>
      <c r="B155" t="s">
        <v>77</v>
      </c>
      <c r="C155">
        <v>0</v>
      </c>
      <c r="D155">
        <v>0</v>
      </c>
      <c r="E155" t="s">
        <v>20</v>
      </c>
      <c r="F155" t="s">
        <v>20</v>
      </c>
      <c r="G155" t="s">
        <v>20</v>
      </c>
      <c r="H155" t="s">
        <v>20</v>
      </c>
      <c r="I155" t="s">
        <v>20</v>
      </c>
      <c r="J155" t="s">
        <v>20</v>
      </c>
      <c r="K155" t="s">
        <v>20</v>
      </c>
      <c r="L155" t="s">
        <v>20</v>
      </c>
      <c r="M155">
        <v>1</v>
      </c>
      <c r="N155" t="s">
        <v>20</v>
      </c>
      <c r="O155" t="s">
        <v>278</v>
      </c>
      <c r="P155">
        <v>10.49227237701416</v>
      </c>
      <c r="Q155" t="s">
        <v>20</v>
      </c>
    </row>
    <row r="156" spans="1:17" x14ac:dyDescent="0.25">
      <c r="A156" t="s">
        <v>115</v>
      </c>
      <c r="B156" t="s">
        <v>78</v>
      </c>
      <c r="C156">
        <v>0</v>
      </c>
      <c r="D156">
        <v>1</v>
      </c>
      <c r="E156">
        <v>1</v>
      </c>
      <c r="F156">
        <v>1</v>
      </c>
      <c r="G156">
        <v>1</v>
      </c>
      <c r="H156">
        <v>1</v>
      </c>
      <c r="I156">
        <v>1</v>
      </c>
      <c r="J156">
        <v>1</v>
      </c>
      <c r="K156">
        <v>1</v>
      </c>
      <c r="L156">
        <v>1</v>
      </c>
      <c r="M156">
        <v>1</v>
      </c>
      <c r="N156">
        <v>1</v>
      </c>
      <c r="P156">
        <v>1.230991125106812</v>
      </c>
    </row>
    <row r="157" spans="1:17" x14ac:dyDescent="0.25">
      <c r="A157" t="s">
        <v>115</v>
      </c>
      <c r="B157" t="s">
        <v>79</v>
      </c>
      <c r="C157">
        <v>0</v>
      </c>
      <c r="D157">
        <v>1</v>
      </c>
      <c r="E157">
        <v>1</v>
      </c>
      <c r="F157">
        <v>1</v>
      </c>
      <c r="G157">
        <v>1</v>
      </c>
      <c r="H157">
        <v>1</v>
      </c>
      <c r="I157">
        <v>1</v>
      </c>
      <c r="J157">
        <v>1</v>
      </c>
      <c r="K157">
        <v>1</v>
      </c>
      <c r="L157">
        <v>1</v>
      </c>
      <c r="M157">
        <v>1</v>
      </c>
      <c r="N157">
        <v>1</v>
      </c>
      <c r="P157">
        <v>1.3924560546875</v>
      </c>
    </row>
    <row r="158" spans="1:17" x14ac:dyDescent="0.25">
      <c r="A158" t="s">
        <v>115</v>
      </c>
      <c r="B158" t="s">
        <v>80</v>
      </c>
      <c r="C158">
        <v>0</v>
      </c>
      <c r="D158">
        <v>1</v>
      </c>
      <c r="E158">
        <v>1</v>
      </c>
      <c r="F158">
        <v>1</v>
      </c>
      <c r="G158">
        <v>1</v>
      </c>
      <c r="H158">
        <v>1</v>
      </c>
      <c r="I158">
        <v>1</v>
      </c>
      <c r="J158">
        <v>1</v>
      </c>
      <c r="K158">
        <v>1</v>
      </c>
      <c r="L158">
        <v>1</v>
      </c>
      <c r="M158">
        <v>1</v>
      </c>
      <c r="N158">
        <v>1</v>
      </c>
      <c r="P158">
        <v>1.174942255020142</v>
      </c>
    </row>
    <row r="159" spans="1:17" x14ac:dyDescent="0.25">
      <c r="A159" t="s">
        <v>115</v>
      </c>
      <c r="B159" t="s">
        <v>81</v>
      </c>
      <c r="C159">
        <v>0</v>
      </c>
      <c r="D159">
        <v>1</v>
      </c>
      <c r="E159">
        <v>1</v>
      </c>
      <c r="F159">
        <v>1</v>
      </c>
      <c r="G159">
        <v>1</v>
      </c>
      <c r="H159">
        <v>1</v>
      </c>
      <c r="I159">
        <v>1</v>
      </c>
      <c r="J159">
        <v>1</v>
      </c>
      <c r="K159">
        <v>1</v>
      </c>
      <c r="L159">
        <v>1</v>
      </c>
      <c r="M159">
        <v>1</v>
      </c>
      <c r="N159">
        <v>1</v>
      </c>
      <c r="P159">
        <v>2.1436712741851811</v>
      </c>
    </row>
    <row r="160" spans="1:17" x14ac:dyDescent="0.25">
      <c r="A160" t="s">
        <v>115</v>
      </c>
      <c r="B160" t="s">
        <v>82</v>
      </c>
      <c r="C160">
        <v>0</v>
      </c>
      <c r="D160">
        <v>1</v>
      </c>
      <c r="E160">
        <v>1</v>
      </c>
      <c r="F160">
        <v>1</v>
      </c>
      <c r="G160">
        <v>1</v>
      </c>
      <c r="H160">
        <v>1</v>
      </c>
      <c r="I160">
        <v>1</v>
      </c>
      <c r="J160">
        <v>1</v>
      </c>
      <c r="K160">
        <v>1</v>
      </c>
      <c r="L160">
        <v>1</v>
      </c>
      <c r="M160">
        <v>1</v>
      </c>
      <c r="N160">
        <v>1</v>
      </c>
      <c r="P160">
        <v>1.084599494934082</v>
      </c>
    </row>
    <row r="161" spans="1:16" x14ac:dyDescent="0.25">
      <c r="A161" t="s">
        <v>115</v>
      </c>
      <c r="B161" t="s">
        <v>83</v>
      </c>
      <c r="C161">
        <v>0</v>
      </c>
      <c r="D161">
        <v>1</v>
      </c>
      <c r="E161">
        <v>1</v>
      </c>
      <c r="F161">
        <v>1</v>
      </c>
      <c r="G161">
        <v>1</v>
      </c>
      <c r="H161">
        <v>1</v>
      </c>
      <c r="I161">
        <v>1</v>
      </c>
      <c r="J161">
        <v>1</v>
      </c>
      <c r="K161">
        <v>1</v>
      </c>
      <c r="L161">
        <v>1</v>
      </c>
      <c r="M161">
        <v>1</v>
      </c>
      <c r="N161">
        <v>1</v>
      </c>
      <c r="P161">
        <v>2.0392391681671138</v>
      </c>
    </row>
    <row r="162" spans="1:16" x14ac:dyDescent="0.25">
      <c r="A162" t="s">
        <v>115</v>
      </c>
      <c r="B162" t="s">
        <v>85</v>
      </c>
      <c r="C162">
        <v>0</v>
      </c>
      <c r="D162">
        <v>1</v>
      </c>
      <c r="E162">
        <v>1</v>
      </c>
      <c r="F162">
        <v>1</v>
      </c>
      <c r="G162">
        <v>1</v>
      </c>
      <c r="H162">
        <v>1</v>
      </c>
      <c r="I162">
        <v>1</v>
      </c>
      <c r="J162">
        <v>1</v>
      </c>
      <c r="K162">
        <v>1</v>
      </c>
      <c r="L162">
        <v>1</v>
      </c>
      <c r="M162">
        <v>1</v>
      </c>
      <c r="N162">
        <v>1</v>
      </c>
      <c r="P162">
        <v>1.6452686786651609</v>
      </c>
    </row>
    <row r="163" spans="1:16" x14ac:dyDescent="0.25">
      <c r="A163" t="s">
        <v>115</v>
      </c>
      <c r="B163" t="s">
        <v>98</v>
      </c>
      <c r="C163">
        <v>0</v>
      </c>
      <c r="D163">
        <v>1</v>
      </c>
      <c r="E163">
        <v>1</v>
      </c>
      <c r="F163">
        <v>1</v>
      </c>
      <c r="G163">
        <v>1</v>
      </c>
      <c r="H163">
        <v>1</v>
      </c>
      <c r="I163">
        <v>1</v>
      </c>
      <c r="J163">
        <v>1</v>
      </c>
      <c r="K163">
        <v>1</v>
      </c>
      <c r="L163">
        <v>1</v>
      </c>
      <c r="M163">
        <v>1</v>
      </c>
      <c r="N163">
        <v>1</v>
      </c>
      <c r="P163">
        <v>1.318961381912231</v>
      </c>
    </row>
    <row r="164" spans="1:16" x14ac:dyDescent="0.25">
      <c r="A164" t="s">
        <v>115</v>
      </c>
      <c r="B164" t="s">
        <v>99</v>
      </c>
      <c r="C164">
        <v>0</v>
      </c>
      <c r="D164">
        <v>1</v>
      </c>
      <c r="E164">
        <v>1</v>
      </c>
      <c r="F164">
        <v>1</v>
      </c>
      <c r="G164">
        <v>1</v>
      </c>
      <c r="H164">
        <v>1</v>
      </c>
      <c r="I164">
        <v>1</v>
      </c>
      <c r="J164">
        <v>1</v>
      </c>
      <c r="K164">
        <v>1</v>
      </c>
      <c r="L164">
        <v>1</v>
      </c>
      <c r="M164">
        <v>1</v>
      </c>
      <c r="N164">
        <v>1</v>
      </c>
      <c r="P164">
        <v>2.3779938220977779</v>
      </c>
    </row>
    <row r="165" spans="1:16" x14ac:dyDescent="0.25">
      <c r="A165" t="s">
        <v>115</v>
      </c>
      <c r="B165" t="s">
        <v>100</v>
      </c>
      <c r="C165">
        <v>0</v>
      </c>
      <c r="D165">
        <v>1</v>
      </c>
      <c r="E165">
        <v>1</v>
      </c>
      <c r="F165">
        <v>1</v>
      </c>
      <c r="G165">
        <v>0</v>
      </c>
      <c r="H165">
        <v>1</v>
      </c>
      <c r="I165">
        <v>1</v>
      </c>
      <c r="J165">
        <v>1</v>
      </c>
      <c r="K165">
        <v>1</v>
      </c>
      <c r="L165">
        <v>1</v>
      </c>
      <c r="M165">
        <v>1</v>
      </c>
      <c r="N165">
        <v>1</v>
      </c>
      <c r="O165" t="s">
        <v>279</v>
      </c>
      <c r="P165">
        <v>2.4507205486297612</v>
      </c>
    </row>
    <row r="166" spans="1:16" x14ac:dyDescent="0.25">
      <c r="A166" t="s">
        <v>115</v>
      </c>
      <c r="B166" t="s">
        <v>101</v>
      </c>
      <c r="C166">
        <v>0</v>
      </c>
      <c r="D166">
        <v>1</v>
      </c>
      <c r="E166">
        <v>1</v>
      </c>
      <c r="F166">
        <v>1</v>
      </c>
      <c r="G166">
        <v>1</v>
      </c>
      <c r="H166">
        <v>1</v>
      </c>
      <c r="I166">
        <v>1</v>
      </c>
      <c r="J166">
        <v>1</v>
      </c>
      <c r="K166">
        <v>1</v>
      </c>
      <c r="L166">
        <v>1</v>
      </c>
      <c r="M166">
        <v>1</v>
      </c>
      <c r="N166">
        <v>1</v>
      </c>
      <c r="P166">
        <v>1.237768173217773</v>
      </c>
    </row>
    <row r="167" spans="1:16" x14ac:dyDescent="0.25">
      <c r="A167" t="s">
        <v>115</v>
      </c>
      <c r="B167" t="s">
        <v>102</v>
      </c>
      <c r="C167">
        <v>0</v>
      </c>
      <c r="D167">
        <v>1</v>
      </c>
      <c r="E167">
        <v>1</v>
      </c>
      <c r="F167">
        <v>1</v>
      </c>
      <c r="G167">
        <v>1</v>
      </c>
      <c r="H167">
        <v>1</v>
      </c>
      <c r="I167">
        <v>1</v>
      </c>
      <c r="J167">
        <v>1</v>
      </c>
      <c r="K167">
        <v>1</v>
      </c>
      <c r="L167">
        <v>1</v>
      </c>
      <c r="M167">
        <v>1</v>
      </c>
      <c r="N167">
        <v>1</v>
      </c>
      <c r="P167">
        <v>2.132501363754272</v>
      </c>
    </row>
    <row r="168" spans="1:16" x14ac:dyDescent="0.25">
      <c r="A168" t="s">
        <v>115</v>
      </c>
      <c r="B168" t="s">
        <v>104</v>
      </c>
      <c r="C168">
        <v>0</v>
      </c>
      <c r="D168">
        <v>1</v>
      </c>
      <c r="E168">
        <v>1</v>
      </c>
      <c r="F168">
        <v>1</v>
      </c>
      <c r="G168">
        <v>1</v>
      </c>
      <c r="H168">
        <v>1</v>
      </c>
      <c r="I168">
        <v>1</v>
      </c>
      <c r="J168">
        <v>1</v>
      </c>
      <c r="K168">
        <v>1</v>
      </c>
      <c r="L168">
        <v>1</v>
      </c>
      <c r="M168">
        <v>1</v>
      </c>
      <c r="N168">
        <v>1</v>
      </c>
      <c r="P168">
        <v>1.29518723487854</v>
      </c>
    </row>
    <row r="169" spans="1:16" x14ac:dyDescent="0.25">
      <c r="A169" t="s">
        <v>115</v>
      </c>
      <c r="B169" t="s">
        <v>105</v>
      </c>
      <c r="C169">
        <v>0</v>
      </c>
      <c r="D169">
        <v>1</v>
      </c>
      <c r="E169">
        <v>1</v>
      </c>
      <c r="F169">
        <v>1</v>
      </c>
      <c r="G169">
        <v>1</v>
      </c>
      <c r="H169">
        <v>1</v>
      </c>
      <c r="I169">
        <v>1</v>
      </c>
      <c r="J169">
        <v>1</v>
      </c>
      <c r="K169">
        <v>1</v>
      </c>
      <c r="L169">
        <v>1</v>
      </c>
      <c r="M169">
        <v>1</v>
      </c>
      <c r="N169">
        <v>1</v>
      </c>
      <c r="P169">
        <v>1.2838325500488279</v>
      </c>
    </row>
    <row r="170" spans="1:16" x14ac:dyDescent="0.25">
      <c r="A170" t="s">
        <v>115</v>
      </c>
      <c r="B170" t="s">
        <v>106</v>
      </c>
      <c r="C170">
        <v>0</v>
      </c>
      <c r="D170">
        <v>1</v>
      </c>
      <c r="E170">
        <v>1</v>
      </c>
      <c r="F170">
        <v>1</v>
      </c>
      <c r="G170">
        <v>1</v>
      </c>
      <c r="H170">
        <v>1</v>
      </c>
      <c r="I170">
        <v>1</v>
      </c>
      <c r="J170">
        <v>0</v>
      </c>
      <c r="K170">
        <v>1</v>
      </c>
      <c r="L170">
        <v>1</v>
      </c>
      <c r="M170">
        <v>1</v>
      </c>
      <c r="N170">
        <v>1</v>
      </c>
      <c r="O170" t="s">
        <v>280</v>
      </c>
      <c r="P170">
        <v>2.3245656490325932</v>
      </c>
    </row>
    <row r="171" spans="1:16" x14ac:dyDescent="0.25">
      <c r="A171" t="s">
        <v>115</v>
      </c>
      <c r="B171" t="s">
        <v>107</v>
      </c>
      <c r="C171">
        <v>0</v>
      </c>
      <c r="D171">
        <v>1</v>
      </c>
      <c r="E171">
        <v>1</v>
      </c>
      <c r="F171">
        <v>1</v>
      </c>
      <c r="G171">
        <v>1</v>
      </c>
      <c r="H171">
        <v>1</v>
      </c>
      <c r="I171">
        <v>1</v>
      </c>
      <c r="J171">
        <v>1</v>
      </c>
      <c r="K171">
        <v>1</v>
      </c>
      <c r="L171">
        <v>1</v>
      </c>
      <c r="M171">
        <v>1</v>
      </c>
      <c r="N171">
        <v>1</v>
      </c>
      <c r="P171">
        <v>1.2756638526916499</v>
      </c>
    </row>
    <row r="172" spans="1:16" x14ac:dyDescent="0.25">
      <c r="A172" t="s">
        <v>115</v>
      </c>
      <c r="B172" t="s">
        <v>108</v>
      </c>
      <c r="C172">
        <v>0</v>
      </c>
      <c r="D172">
        <v>1</v>
      </c>
      <c r="E172">
        <v>1</v>
      </c>
      <c r="F172">
        <v>1</v>
      </c>
      <c r="G172">
        <v>1</v>
      </c>
      <c r="H172">
        <v>1</v>
      </c>
      <c r="I172">
        <v>1</v>
      </c>
      <c r="J172">
        <v>1</v>
      </c>
      <c r="K172">
        <v>1</v>
      </c>
      <c r="L172">
        <v>1</v>
      </c>
      <c r="M172">
        <v>1</v>
      </c>
      <c r="N172">
        <v>1</v>
      </c>
      <c r="P172">
        <v>1.2906620502471919</v>
      </c>
    </row>
    <row r="173" spans="1:16" x14ac:dyDescent="0.25">
      <c r="A173" t="s">
        <v>115</v>
      </c>
      <c r="B173" t="s">
        <v>109</v>
      </c>
      <c r="C173">
        <v>0</v>
      </c>
      <c r="D173">
        <v>1</v>
      </c>
      <c r="E173">
        <v>1</v>
      </c>
      <c r="F173">
        <v>1</v>
      </c>
      <c r="G173">
        <v>1</v>
      </c>
      <c r="H173">
        <v>1</v>
      </c>
      <c r="I173">
        <v>1</v>
      </c>
      <c r="J173">
        <v>1</v>
      </c>
      <c r="K173">
        <v>1</v>
      </c>
      <c r="L173">
        <v>1</v>
      </c>
      <c r="M173">
        <v>1</v>
      </c>
      <c r="N173">
        <v>1</v>
      </c>
      <c r="P173">
        <v>1.213282108306885</v>
      </c>
    </row>
    <row r="174" spans="1:16" x14ac:dyDescent="0.25">
      <c r="A174" t="s">
        <v>115</v>
      </c>
      <c r="B174" t="s">
        <v>110</v>
      </c>
      <c r="C174">
        <v>0</v>
      </c>
      <c r="D174">
        <v>1</v>
      </c>
      <c r="E174">
        <v>1</v>
      </c>
      <c r="F174">
        <v>1</v>
      </c>
      <c r="G174">
        <v>1</v>
      </c>
      <c r="H174">
        <v>1</v>
      </c>
      <c r="I174">
        <v>1</v>
      </c>
      <c r="J174">
        <v>1</v>
      </c>
      <c r="K174">
        <v>1</v>
      </c>
      <c r="L174">
        <v>1</v>
      </c>
      <c r="M174">
        <v>1</v>
      </c>
      <c r="N174">
        <v>1</v>
      </c>
      <c r="P174">
        <v>1.093136072158813</v>
      </c>
    </row>
    <row r="175" spans="1:16" x14ac:dyDescent="0.25">
      <c r="A175" t="s">
        <v>115</v>
      </c>
      <c r="B175" t="s">
        <v>112</v>
      </c>
      <c r="C175">
        <v>0</v>
      </c>
      <c r="D175">
        <v>1</v>
      </c>
      <c r="E175">
        <v>1</v>
      </c>
      <c r="F175">
        <v>1</v>
      </c>
      <c r="G175">
        <v>1</v>
      </c>
      <c r="H175">
        <v>1</v>
      </c>
      <c r="I175">
        <v>1</v>
      </c>
      <c r="J175">
        <v>1</v>
      </c>
      <c r="K175">
        <v>1</v>
      </c>
      <c r="L175">
        <v>1</v>
      </c>
      <c r="M175">
        <v>1</v>
      </c>
      <c r="N175">
        <v>1</v>
      </c>
      <c r="P175">
        <v>1.2277927398681641</v>
      </c>
    </row>
    <row r="176" spans="1:16" x14ac:dyDescent="0.25">
      <c r="A176" t="s">
        <v>115</v>
      </c>
      <c r="B176" t="s">
        <v>113</v>
      </c>
      <c r="C176">
        <v>0</v>
      </c>
      <c r="D176">
        <v>1</v>
      </c>
      <c r="E176">
        <v>1</v>
      </c>
      <c r="F176">
        <v>1</v>
      </c>
      <c r="G176">
        <v>1</v>
      </c>
      <c r="H176">
        <v>1</v>
      </c>
      <c r="I176">
        <v>1</v>
      </c>
      <c r="J176">
        <v>1</v>
      </c>
      <c r="K176">
        <v>1</v>
      </c>
      <c r="L176">
        <v>1</v>
      </c>
      <c r="M176">
        <v>1</v>
      </c>
      <c r="N176">
        <v>1</v>
      </c>
      <c r="P176">
        <v>1.849617481231689</v>
      </c>
    </row>
    <row r="177" spans="1:16" x14ac:dyDescent="0.25">
      <c r="A177" t="s">
        <v>115</v>
      </c>
      <c r="B177" t="s">
        <v>132</v>
      </c>
      <c r="C177">
        <v>0</v>
      </c>
      <c r="D177">
        <v>1</v>
      </c>
      <c r="E177">
        <v>1</v>
      </c>
      <c r="F177">
        <v>1</v>
      </c>
      <c r="G177">
        <v>1</v>
      </c>
      <c r="H177">
        <v>1</v>
      </c>
      <c r="I177">
        <v>1</v>
      </c>
      <c r="J177">
        <v>1</v>
      </c>
      <c r="K177">
        <v>1</v>
      </c>
      <c r="L177">
        <v>1</v>
      </c>
      <c r="M177">
        <v>1</v>
      </c>
      <c r="N177">
        <v>1</v>
      </c>
      <c r="P177">
        <v>2.0089163780212398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77"/>
  <sheetViews>
    <sheetView workbookViewId="0"/>
  </sheetViews>
  <sheetFormatPr defaultRowHeight="13.8"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v>0</v>
      </c>
      <c r="D2">
        <v>1</v>
      </c>
      <c r="E2">
        <v>1</v>
      </c>
      <c r="F2">
        <v>1</v>
      </c>
      <c r="G2">
        <v>1</v>
      </c>
      <c r="H2">
        <v>1</v>
      </c>
      <c r="I2">
        <v>1</v>
      </c>
      <c r="J2">
        <v>1</v>
      </c>
      <c r="K2">
        <v>1</v>
      </c>
      <c r="L2">
        <v>1</v>
      </c>
      <c r="M2">
        <v>1</v>
      </c>
      <c r="N2">
        <v>1</v>
      </c>
      <c r="P2">
        <v>1.1985626220703121</v>
      </c>
    </row>
    <row r="3" spans="1:17" x14ac:dyDescent="0.25">
      <c r="A3" t="s">
        <v>17</v>
      </c>
      <c r="B3" t="s">
        <v>19</v>
      </c>
      <c r="C3">
        <v>0</v>
      </c>
      <c r="D3">
        <v>1</v>
      </c>
      <c r="E3">
        <v>1</v>
      </c>
      <c r="F3">
        <v>0</v>
      </c>
      <c r="G3">
        <v>1</v>
      </c>
      <c r="H3">
        <v>1</v>
      </c>
      <c r="I3">
        <v>1</v>
      </c>
      <c r="J3" t="s">
        <v>20</v>
      </c>
      <c r="K3">
        <v>1</v>
      </c>
      <c r="L3">
        <v>1</v>
      </c>
      <c r="M3">
        <v>1</v>
      </c>
      <c r="N3">
        <v>1</v>
      </c>
      <c r="O3" t="s">
        <v>281</v>
      </c>
      <c r="P3">
        <v>8.184952974319458</v>
      </c>
    </row>
    <row r="4" spans="1:17" x14ac:dyDescent="0.25">
      <c r="A4" t="s">
        <v>17</v>
      </c>
      <c r="B4" t="s">
        <v>22</v>
      </c>
      <c r="C4">
        <v>0</v>
      </c>
      <c r="D4">
        <v>1</v>
      </c>
      <c r="E4">
        <v>1</v>
      </c>
      <c r="F4">
        <v>1</v>
      </c>
      <c r="G4">
        <v>0</v>
      </c>
      <c r="H4">
        <v>1</v>
      </c>
      <c r="I4">
        <v>1</v>
      </c>
      <c r="J4">
        <v>1</v>
      </c>
      <c r="K4">
        <v>1</v>
      </c>
      <c r="L4">
        <v>1</v>
      </c>
      <c r="M4">
        <v>1</v>
      </c>
      <c r="N4">
        <v>1</v>
      </c>
      <c r="O4" t="s">
        <v>282</v>
      </c>
      <c r="P4">
        <v>3.569360733032227</v>
      </c>
    </row>
    <row r="5" spans="1:17" x14ac:dyDescent="0.25">
      <c r="A5" t="s">
        <v>17</v>
      </c>
      <c r="B5" t="s">
        <v>24</v>
      </c>
      <c r="C5">
        <v>0</v>
      </c>
      <c r="D5">
        <v>1</v>
      </c>
      <c r="E5">
        <v>1</v>
      </c>
      <c r="F5">
        <v>1</v>
      </c>
      <c r="G5">
        <v>1</v>
      </c>
      <c r="H5">
        <v>1</v>
      </c>
      <c r="I5">
        <v>1</v>
      </c>
      <c r="J5">
        <v>1</v>
      </c>
      <c r="K5">
        <v>1</v>
      </c>
      <c r="L5">
        <v>1</v>
      </c>
      <c r="M5">
        <v>1</v>
      </c>
      <c r="N5">
        <v>1</v>
      </c>
      <c r="P5">
        <v>1.178041458129883</v>
      </c>
    </row>
    <row r="6" spans="1:17" x14ac:dyDescent="0.25">
      <c r="A6" t="s">
        <v>17</v>
      </c>
      <c r="B6" t="s">
        <v>25</v>
      </c>
      <c r="C6">
        <v>0</v>
      </c>
      <c r="D6">
        <v>1</v>
      </c>
      <c r="E6">
        <v>1</v>
      </c>
      <c r="F6">
        <v>1</v>
      </c>
      <c r="G6">
        <v>1</v>
      </c>
      <c r="H6">
        <v>1</v>
      </c>
      <c r="I6">
        <v>1</v>
      </c>
      <c r="J6">
        <v>1</v>
      </c>
      <c r="K6">
        <v>1</v>
      </c>
      <c r="L6">
        <v>1</v>
      </c>
      <c r="M6">
        <v>1</v>
      </c>
      <c r="N6">
        <v>1</v>
      </c>
      <c r="P6">
        <v>1.1911909580230711</v>
      </c>
    </row>
    <row r="7" spans="1:17" x14ac:dyDescent="0.25">
      <c r="A7" t="s">
        <v>17</v>
      </c>
      <c r="B7" t="s">
        <v>26</v>
      </c>
      <c r="C7">
        <v>0</v>
      </c>
      <c r="D7">
        <v>1</v>
      </c>
      <c r="E7">
        <v>1</v>
      </c>
      <c r="F7">
        <v>1</v>
      </c>
      <c r="G7">
        <v>1</v>
      </c>
      <c r="H7">
        <v>1</v>
      </c>
      <c r="I7">
        <v>1</v>
      </c>
      <c r="J7">
        <v>1</v>
      </c>
      <c r="K7">
        <v>1</v>
      </c>
      <c r="L7">
        <v>1</v>
      </c>
      <c r="M7">
        <v>1</v>
      </c>
      <c r="N7">
        <v>1</v>
      </c>
      <c r="P7">
        <v>1.4485931396484379</v>
      </c>
    </row>
    <row r="8" spans="1:17" x14ac:dyDescent="0.25">
      <c r="A8" t="s">
        <v>17</v>
      </c>
      <c r="B8" t="s">
        <v>27</v>
      </c>
      <c r="C8">
        <v>0</v>
      </c>
      <c r="D8">
        <v>1</v>
      </c>
      <c r="E8">
        <v>1</v>
      </c>
      <c r="F8">
        <v>1</v>
      </c>
      <c r="G8">
        <v>0</v>
      </c>
      <c r="H8">
        <v>1</v>
      </c>
      <c r="I8">
        <v>1</v>
      </c>
      <c r="J8">
        <v>1</v>
      </c>
      <c r="K8">
        <v>1</v>
      </c>
      <c r="L8">
        <v>1</v>
      </c>
      <c r="M8">
        <v>1</v>
      </c>
      <c r="N8">
        <v>1</v>
      </c>
      <c r="O8" t="s">
        <v>283</v>
      </c>
      <c r="P8">
        <v>4.953082799911499</v>
      </c>
    </row>
    <row r="9" spans="1:17" x14ac:dyDescent="0.25">
      <c r="A9" t="s">
        <v>17</v>
      </c>
      <c r="B9" t="s">
        <v>29</v>
      </c>
      <c r="C9">
        <v>0</v>
      </c>
      <c r="D9">
        <v>1</v>
      </c>
      <c r="E9">
        <v>1</v>
      </c>
      <c r="F9">
        <v>1</v>
      </c>
      <c r="G9">
        <v>1</v>
      </c>
      <c r="H9">
        <v>1</v>
      </c>
      <c r="I9">
        <v>1</v>
      </c>
      <c r="J9">
        <v>1</v>
      </c>
      <c r="K9">
        <v>1</v>
      </c>
      <c r="L9">
        <v>1</v>
      </c>
      <c r="M9">
        <v>1</v>
      </c>
      <c r="N9">
        <v>1</v>
      </c>
      <c r="P9">
        <v>1.5795407295227051</v>
      </c>
    </row>
    <row r="10" spans="1:17" x14ac:dyDescent="0.25">
      <c r="A10" t="s">
        <v>17</v>
      </c>
      <c r="B10" t="s">
        <v>30</v>
      </c>
      <c r="C10">
        <v>0</v>
      </c>
      <c r="D10">
        <v>1</v>
      </c>
      <c r="E10">
        <v>1</v>
      </c>
      <c r="F10">
        <v>0</v>
      </c>
      <c r="G10">
        <v>1</v>
      </c>
      <c r="H10">
        <v>1</v>
      </c>
      <c r="I10">
        <v>1</v>
      </c>
      <c r="J10" t="s">
        <v>20</v>
      </c>
      <c r="K10">
        <v>1</v>
      </c>
      <c r="L10">
        <v>1</v>
      </c>
      <c r="M10">
        <v>1</v>
      </c>
      <c r="N10">
        <v>1</v>
      </c>
      <c r="O10" t="s">
        <v>284</v>
      </c>
      <c r="P10">
        <v>2.508855819702148</v>
      </c>
    </row>
    <row r="11" spans="1:17" x14ac:dyDescent="0.25">
      <c r="A11" t="s">
        <v>17</v>
      </c>
      <c r="B11" t="s">
        <v>32</v>
      </c>
      <c r="C11">
        <v>0</v>
      </c>
      <c r="D11">
        <v>1</v>
      </c>
      <c r="E11">
        <v>1</v>
      </c>
      <c r="F11">
        <v>1</v>
      </c>
      <c r="G11">
        <v>1</v>
      </c>
      <c r="H11">
        <v>1</v>
      </c>
      <c r="I11">
        <v>1</v>
      </c>
      <c r="J11">
        <v>1</v>
      </c>
      <c r="K11">
        <v>1</v>
      </c>
      <c r="L11">
        <v>1</v>
      </c>
      <c r="M11">
        <v>1</v>
      </c>
      <c r="N11">
        <v>1</v>
      </c>
      <c r="P11">
        <v>1.5113101005554199</v>
      </c>
    </row>
    <row r="12" spans="1:17" x14ac:dyDescent="0.25">
      <c r="A12" t="s">
        <v>17</v>
      </c>
      <c r="B12" t="s">
        <v>33</v>
      </c>
      <c r="C12">
        <v>0</v>
      </c>
      <c r="D12">
        <v>1</v>
      </c>
      <c r="E12">
        <v>1</v>
      </c>
      <c r="F12">
        <v>1</v>
      </c>
      <c r="G12">
        <v>1</v>
      </c>
      <c r="H12">
        <v>1</v>
      </c>
      <c r="I12">
        <v>1</v>
      </c>
      <c r="J12">
        <v>1</v>
      </c>
      <c r="K12">
        <v>1</v>
      </c>
      <c r="L12">
        <v>1</v>
      </c>
      <c r="M12">
        <v>1</v>
      </c>
      <c r="N12">
        <v>1</v>
      </c>
      <c r="P12">
        <v>1.6401429176330571</v>
      </c>
    </row>
    <row r="13" spans="1:17" x14ac:dyDescent="0.25">
      <c r="A13" t="s">
        <v>17</v>
      </c>
      <c r="B13" t="s">
        <v>34</v>
      </c>
      <c r="C13">
        <v>0</v>
      </c>
      <c r="D13">
        <v>1</v>
      </c>
      <c r="E13">
        <v>1</v>
      </c>
      <c r="F13">
        <v>1</v>
      </c>
      <c r="G13">
        <v>1</v>
      </c>
      <c r="H13">
        <v>1</v>
      </c>
      <c r="I13">
        <v>1</v>
      </c>
      <c r="J13">
        <v>1</v>
      </c>
      <c r="K13">
        <v>1</v>
      </c>
      <c r="L13">
        <v>1</v>
      </c>
      <c r="M13">
        <v>1</v>
      </c>
      <c r="N13">
        <v>1</v>
      </c>
      <c r="P13">
        <v>2.8631727695465088</v>
      </c>
    </row>
    <row r="14" spans="1:17" x14ac:dyDescent="0.25">
      <c r="A14" t="s">
        <v>17</v>
      </c>
      <c r="B14" t="s">
        <v>35</v>
      </c>
      <c r="C14">
        <v>0</v>
      </c>
      <c r="D14">
        <v>1</v>
      </c>
      <c r="E14">
        <v>0</v>
      </c>
      <c r="F14">
        <v>1</v>
      </c>
      <c r="G14">
        <v>1</v>
      </c>
      <c r="H14" t="s">
        <v>20</v>
      </c>
      <c r="I14">
        <v>0</v>
      </c>
      <c r="J14" t="s">
        <v>20</v>
      </c>
      <c r="K14">
        <v>1</v>
      </c>
      <c r="L14">
        <v>1</v>
      </c>
      <c r="M14">
        <v>1</v>
      </c>
      <c r="N14">
        <v>1</v>
      </c>
      <c r="O14" t="s">
        <v>285</v>
      </c>
      <c r="P14">
        <v>3.5787127017974849</v>
      </c>
    </row>
    <row r="15" spans="1:17" x14ac:dyDescent="0.25">
      <c r="A15" t="s">
        <v>17</v>
      </c>
      <c r="B15" t="s">
        <v>37</v>
      </c>
      <c r="C15">
        <v>0</v>
      </c>
      <c r="D15">
        <v>1</v>
      </c>
      <c r="E15">
        <v>1</v>
      </c>
      <c r="F15">
        <v>1</v>
      </c>
      <c r="G15">
        <v>1</v>
      </c>
      <c r="H15">
        <v>1</v>
      </c>
      <c r="I15">
        <v>1</v>
      </c>
      <c r="J15">
        <v>1</v>
      </c>
      <c r="K15">
        <v>1</v>
      </c>
      <c r="L15">
        <v>1</v>
      </c>
      <c r="M15">
        <v>1</v>
      </c>
      <c r="N15">
        <v>1</v>
      </c>
      <c r="P15">
        <v>2.0902917385101318</v>
      </c>
    </row>
    <row r="16" spans="1:17" x14ac:dyDescent="0.25">
      <c r="A16" t="s">
        <v>17</v>
      </c>
      <c r="B16" t="s">
        <v>38</v>
      </c>
      <c r="C16">
        <v>0</v>
      </c>
      <c r="D16">
        <v>1</v>
      </c>
      <c r="E16">
        <v>1</v>
      </c>
      <c r="F16">
        <v>1</v>
      </c>
      <c r="G16">
        <v>1</v>
      </c>
      <c r="H16">
        <v>1</v>
      </c>
      <c r="I16">
        <v>1</v>
      </c>
      <c r="J16">
        <v>1</v>
      </c>
      <c r="K16">
        <v>1</v>
      </c>
      <c r="L16">
        <v>1</v>
      </c>
      <c r="M16">
        <v>1</v>
      </c>
      <c r="N16">
        <v>1</v>
      </c>
      <c r="P16">
        <v>1.5835549831390381</v>
      </c>
    </row>
    <row r="17" spans="1:17" x14ac:dyDescent="0.25">
      <c r="A17" t="s">
        <v>17</v>
      </c>
      <c r="B17" t="s">
        <v>39</v>
      </c>
      <c r="C17">
        <v>0</v>
      </c>
      <c r="D17">
        <v>1</v>
      </c>
      <c r="E17">
        <v>1</v>
      </c>
      <c r="F17">
        <v>1</v>
      </c>
      <c r="G17">
        <v>1</v>
      </c>
      <c r="H17">
        <v>1</v>
      </c>
      <c r="I17">
        <v>1</v>
      </c>
      <c r="J17">
        <v>1</v>
      </c>
      <c r="K17">
        <v>1</v>
      </c>
      <c r="L17">
        <v>1</v>
      </c>
      <c r="M17">
        <v>1</v>
      </c>
      <c r="N17">
        <v>1</v>
      </c>
      <c r="P17">
        <v>1.482709646224976</v>
      </c>
    </row>
    <row r="18" spans="1:17" x14ac:dyDescent="0.25">
      <c r="A18" t="s">
        <v>17</v>
      </c>
      <c r="B18" t="s">
        <v>40</v>
      </c>
      <c r="C18">
        <v>0</v>
      </c>
      <c r="D18">
        <v>1</v>
      </c>
      <c r="E18">
        <v>1</v>
      </c>
      <c r="F18">
        <v>1</v>
      </c>
      <c r="G18">
        <v>1</v>
      </c>
      <c r="H18">
        <v>1</v>
      </c>
      <c r="I18">
        <v>1</v>
      </c>
      <c r="J18">
        <v>1</v>
      </c>
      <c r="K18">
        <v>1</v>
      </c>
      <c r="L18">
        <v>1</v>
      </c>
      <c r="M18">
        <v>1</v>
      </c>
      <c r="N18">
        <v>1</v>
      </c>
      <c r="P18">
        <v>1.676573753356934</v>
      </c>
    </row>
    <row r="19" spans="1:17" x14ac:dyDescent="0.25">
      <c r="A19" t="s">
        <v>17</v>
      </c>
      <c r="B19" t="s">
        <v>41</v>
      </c>
      <c r="C19">
        <v>0</v>
      </c>
      <c r="D19">
        <v>1</v>
      </c>
      <c r="E19">
        <v>1</v>
      </c>
      <c r="F19">
        <v>1</v>
      </c>
      <c r="G19">
        <v>1</v>
      </c>
      <c r="H19">
        <v>1</v>
      </c>
      <c r="I19">
        <v>1</v>
      </c>
      <c r="J19">
        <v>1</v>
      </c>
      <c r="K19">
        <v>1</v>
      </c>
      <c r="L19">
        <v>1</v>
      </c>
      <c r="M19">
        <v>1</v>
      </c>
      <c r="N19">
        <v>1</v>
      </c>
      <c r="P19">
        <v>2.2481956481933589</v>
      </c>
    </row>
    <row r="20" spans="1:17" x14ac:dyDescent="0.25">
      <c r="A20" t="s">
        <v>17</v>
      </c>
      <c r="B20" t="s">
        <v>42</v>
      </c>
      <c r="C20">
        <v>0</v>
      </c>
      <c r="D20">
        <v>1</v>
      </c>
      <c r="E20">
        <v>1</v>
      </c>
      <c r="F20">
        <v>1</v>
      </c>
      <c r="G20">
        <v>1</v>
      </c>
      <c r="H20">
        <v>1</v>
      </c>
      <c r="I20">
        <v>1</v>
      </c>
      <c r="J20">
        <v>1</v>
      </c>
      <c r="K20">
        <v>1</v>
      </c>
      <c r="L20">
        <v>1</v>
      </c>
      <c r="M20">
        <v>1</v>
      </c>
      <c r="N20">
        <v>1</v>
      </c>
      <c r="P20">
        <v>1.2345066070556641</v>
      </c>
    </row>
    <row r="21" spans="1:17" x14ac:dyDescent="0.25">
      <c r="A21" t="s">
        <v>17</v>
      </c>
      <c r="B21" t="s">
        <v>43</v>
      </c>
      <c r="C21">
        <v>0</v>
      </c>
      <c r="D21">
        <v>1</v>
      </c>
      <c r="E21">
        <v>1</v>
      </c>
      <c r="F21">
        <v>1</v>
      </c>
      <c r="G21">
        <v>1</v>
      </c>
      <c r="H21">
        <v>1</v>
      </c>
      <c r="I21">
        <v>1</v>
      </c>
      <c r="J21">
        <v>1</v>
      </c>
      <c r="K21">
        <v>1</v>
      </c>
      <c r="L21">
        <v>1</v>
      </c>
      <c r="M21">
        <v>0</v>
      </c>
      <c r="N21">
        <v>1</v>
      </c>
      <c r="O21" t="s">
        <v>286</v>
      </c>
      <c r="P21">
        <v>3.9077153205871582</v>
      </c>
    </row>
    <row r="22" spans="1:17" x14ac:dyDescent="0.25">
      <c r="A22" t="s">
        <v>17</v>
      </c>
      <c r="B22" t="s">
        <v>44</v>
      </c>
      <c r="C22">
        <v>0</v>
      </c>
      <c r="D22">
        <v>1</v>
      </c>
      <c r="E22">
        <v>1</v>
      </c>
      <c r="F22">
        <v>1</v>
      </c>
      <c r="G22">
        <v>1</v>
      </c>
      <c r="H22">
        <v>1</v>
      </c>
      <c r="I22">
        <v>1</v>
      </c>
      <c r="J22">
        <v>1</v>
      </c>
      <c r="K22">
        <v>1</v>
      </c>
      <c r="L22">
        <v>1</v>
      </c>
      <c r="M22">
        <v>1</v>
      </c>
      <c r="N22">
        <v>1</v>
      </c>
      <c r="P22">
        <v>1.5684471130371089</v>
      </c>
    </row>
    <row r="23" spans="1:17" x14ac:dyDescent="0.25">
      <c r="A23" t="s">
        <v>17</v>
      </c>
      <c r="B23" t="s">
        <v>45</v>
      </c>
      <c r="C23">
        <v>0</v>
      </c>
      <c r="D23">
        <v>1</v>
      </c>
      <c r="E23">
        <v>1</v>
      </c>
      <c r="F23">
        <v>0</v>
      </c>
      <c r="G23">
        <v>1</v>
      </c>
      <c r="H23">
        <v>1</v>
      </c>
      <c r="I23">
        <v>1</v>
      </c>
      <c r="J23" t="s">
        <v>20</v>
      </c>
      <c r="K23">
        <v>1</v>
      </c>
      <c r="L23">
        <v>1</v>
      </c>
      <c r="M23">
        <v>1</v>
      </c>
      <c r="N23">
        <v>1</v>
      </c>
      <c r="O23" t="s">
        <v>287</v>
      </c>
      <c r="P23">
        <v>2.0272243022918701</v>
      </c>
    </row>
    <row r="24" spans="1:17" x14ac:dyDescent="0.25">
      <c r="A24" t="s">
        <v>17</v>
      </c>
      <c r="B24" t="s">
        <v>47</v>
      </c>
      <c r="C24">
        <v>0</v>
      </c>
      <c r="D24">
        <v>1</v>
      </c>
      <c r="E24">
        <v>1</v>
      </c>
      <c r="F24">
        <v>1</v>
      </c>
      <c r="G24">
        <v>1</v>
      </c>
      <c r="H24">
        <v>1</v>
      </c>
      <c r="I24">
        <v>1</v>
      </c>
      <c r="J24">
        <v>1</v>
      </c>
      <c r="K24">
        <v>1</v>
      </c>
      <c r="L24">
        <v>1</v>
      </c>
      <c r="M24">
        <v>1</v>
      </c>
      <c r="N24">
        <v>1</v>
      </c>
      <c r="P24">
        <v>1.1869654655456541</v>
      </c>
    </row>
    <row r="25" spans="1:17" x14ac:dyDescent="0.25">
      <c r="A25" t="s">
        <v>17</v>
      </c>
      <c r="B25" t="s">
        <v>48</v>
      </c>
      <c r="C25">
        <v>0</v>
      </c>
      <c r="D25">
        <v>1</v>
      </c>
      <c r="E25">
        <v>1</v>
      </c>
      <c r="F25">
        <v>0</v>
      </c>
      <c r="G25">
        <v>1</v>
      </c>
      <c r="H25">
        <v>1</v>
      </c>
      <c r="I25">
        <v>1</v>
      </c>
      <c r="J25" t="s">
        <v>20</v>
      </c>
      <c r="K25">
        <v>1</v>
      </c>
      <c r="L25">
        <v>1</v>
      </c>
      <c r="M25">
        <v>1</v>
      </c>
      <c r="N25">
        <v>1</v>
      </c>
      <c r="O25" t="s">
        <v>288</v>
      </c>
      <c r="P25">
        <v>2.5446958541870122</v>
      </c>
    </row>
    <row r="26" spans="1:17" x14ac:dyDescent="0.25">
      <c r="A26" t="s">
        <v>17</v>
      </c>
      <c r="B26" t="s">
        <v>50</v>
      </c>
      <c r="C26">
        <v>0</v>
      </c>
      <c r="D26">
        <v>1</v>
      </c>
      <c r="E26">
        <v>1</v>
      </c>
      <c r="F26">
        <v>1</v>
      </c>
      <c r="G26">
        <v>1</v>
      </c>
      <c r="H26">
        <v>1</v>
      </c>
      <c r="I26">
        <v>1</v>
      </c>
      <c r="J26">
        <v>1</v>
      </c>
      <c r="K26">
        <v>1</v>
      </c>
      <c r="L26">
        <v>1</v>
      </c>
      <c r="M26">
        <v>1</v>
      </c>
      <c r="N26">
        <v>1</v>
      </c>
      <c r="P26">
        <v>1.2667615413665769</v>
      </c>
    </row>
    <row r="27" spans="1:17" x14ac:dyDescent="0.25">
      <c r="A27" t="s">
        <v>17</v>
      </c>
      <c r="B27" t="s">
        <v>51</v>
      </c>
      <c r="C27">
        <v>0</v>
      </c>
      <c r="D27">
        <v>1</v>
      </c>
      <c r="E27">
        <v>0</v>
      </c>
      <c r="F27">
        <v>0</v>
      </c>
      <c r="G27">
        <v>0</v>
      </c>
      <c r="H27" t="s">
        <v>20</v>
      </c>
      <c r="I27">
        <v>1</v>
      </c>
      <c r="J27" t="s">
        <v>20</v>
      </c>
      <c r="K27">
        <v>1</v>
      </c>
      <c r="L27">
        <v>1</v>
      </c>
      <c r="M27">
        <v>1</v>
      </c>
      <c r="N27">
        <v>1</v>
      </c>
      <c r="O27" t="s">
        <v>289</v>
      </c>
      <c r="P27">
        <v>3.1619443893432622</v>
      </c>
    </row>
    <row r="28" spans="1:17" x14ac:dyDescent="0.25">
      <c r="A28" t="s">
        <v>17</v>
      </c>
      <c r="B28" t="s">
        <v>53</v>
      </c>
      <c r="C28">
        <v>0</v>
      </c>
      <c r="D28">
        <v>0</v>
      </c>
      <c r="E28" t="s">
        <v>20</v>
      </c>
      <c r="F28" t="s">
        <v>20</v>
      </c>
      <c r="G28" t="s">
        <v>20</v>
      </c>
      <c r="H28" t="s">
        <v>20</v>
      </c>
      <c r="I28" t="s">
        <v>20</v>
      </c>
      <c r="J28" t="s">
        <v>20</v>
      </c>
      <c r="K28" t="s">
        <v>20</v>
      </c>
      <c r="L28" t="s">
        <v>20</v>
      </c>
      <c r="M28">
        <v>1</v>
      </c>
      <c r="N28" t="s">
        <v>20</v>
      </c>
      <c r="O28" t="s">
        <v>290</v>
      </c>
      <c r="P28">
        <v>3.1022379398345952</v>
      </c>
      <c r="Q28" t="s">
        <v>20</v>
      </c>
    </row>
    <row r="29" spans="1:17" x14ac:dyDescent="0.25">
      <c r="A29" t="s">
        <v>17</v>
      </c>
      <c r="B29" t="s">
        <v>55</v>
      </c>
      <c r="C29">
        <v>0</v>
      </c>
      <c r="D29">
        <v>1</v>
      </c>
      <c r="E29">
        <v>1</v>
      </c>
      <c r="F29">
        <v>1</v>
      </c>
      <c r="G29">
        <v>1</v>
      </c>
      <c r="H29">
        <v>1</v>
      </c>
      <c r="I29">
        <v>1</v>
      </c>
      <c r="J29">
        <v>1</v>
      </c>
      <c r="K29">
        <v>1</v>
      </c>
      <c r="L29">
        <v>1</v>
      </c>
      <c r="M29">
        <v>1</v>
      </c>
      <c r="N29">
        <v>1</v>
      </c>
      <c r="P29">
        <v>1.2000405788421631</v>
      </c>
    </row>
    <row r="30" spans="1:17" x14ac:dyDescent="0.25">
      <c r="A30" t="s">
        <v>17</v>
      </c>
      <c r="B30" t="s">
        <v>56</v>
      </c>
      <c r="C30">
        <v>0</v>
      </c>
      <c r="D30">
        <v>1</v>
      </c>
      <c r="E30">
        <v>1</v>
      </c>
      <c r="F30">
        <v>1</v>
      </c>
      <c r="G30">
        <v>0</v>
      </c>
      <c r="H30">
        <v>1</v>
      </c>
      <c r="I30">
        <v>1</v>
      </c>
      <c r="J30">
        <v>1</v>
      </c>
      <c r="K30">
        <v>1</v>
      </c>
      <c r="L30">
        <v>1</v>
      </c>
      <c r="M30">
        <v>1</v>
      </c>
      <c r="N30">
        <v>1</v>
      </c>
      <c r="O30" t="s">
        <v>291</v>
      </c>
      <c r="P30">
        <v>3.0982623100280762</v>
      </c>
    </row>
    <row r="31" spans="1:17" x14ac:dyDescent="0.25">
      <c r="A31" t="s">
        <v>17</v>
      </c>
      <c r="B31" t="s">
        <v>58</v>
      </c>
      <c r="C31">
        <v>0</v>
      </c>
      <c r="D31">
        <v>1</v>
      </c>
      <c r="E31">
        <v>1</v>
      </c>
      <c r="F31">
        <v>1</v>
      </c>
      <c r="G31">
        <v>1</v>
      </c>
      <c r="H31">
        <v>1</v>
      </c>
      <c r="I31">
        <v>1</v>
      </c>
      <c r="J31">
        <v>1</v>
      </c>
      <c r="K31">
        <v>1</v>
      </c>
      <c r="L31">
        <v>1</v>
      </c>
      <c r="M31">
        <v>1</v>
      </c>
      <c r="N31">
        <v>1</v>
      </c>
      <c r="P31">
        <v>1.6406233310699461</v>
      </c>
    </row>
    <row r="32" spans="1:17" x14ac:dyDescent="0.25">
      <c r="A32" t="s">
        <v>17</v>
      </c>
      <c r="B32" t="s">
        <v>60</v>
      </c>
      <c r="C32">
        <v>0</v>
      </c>
      <c r="D32">
        <v>0</v>
      </c>
      <c r="E32" t="s">
        <v>20</v>
      </c>
      <c r="F32" t="s">
        <v>20</v>
      </c>
      <c r="G32" t="s">
        <v>20</v>
      </c>
      <c r="H32" t="s">
        <v>20</v>
      </c>
      <c r="I32" t="s">
        <v>20</v>
      </c>
      <c r="J32" t="s">
        <v>20</v>
      </c>
      <c r="K32" t="s">
        <v>20</v>
      </c>
      <c r="L32" t="s">
        <v>20</v>
      </c>
      <c r="M32">
        <v>1</v>
      </c>
      <c r="N32" t="s">
        <v>20</v>
      </c>
      <c r="O32" t="s">
        <v>292</v>
      </c>
      <c r="P32">
        <v>3.1032390594482422</v>
      </c>
      <c r="Q32" t="s">
        <v>20</v>
      </c>
    </row>
    <row r="33" spans="1:16" x14ac:dyDescent="0.25">
      <c r="A33" t="s">
        <v>17</v>
      </c>
      <c r="B33" t="s">
        <v>62</v>
      </c>
      <c r="C33">
        <v>0</v>
      </c>
      <c r="D33">
        <v>1</v>
      </c>
      <c r="E33">
        <v>1</v>
      </c>
      <c r="F33">
        <v>1</v>
      </c>
      <c r="G33">
        <v>1</v>
      </c>
      <c r="H33">
        <v>1</v>
      </c>
      <c r="I33">
        <v>1</v>
      </c>
      <c r="J33">
        <v>1</v>
      </c>
      <c r="K33">
        <v>1</v>
      </c>
      <c r="L33">
        <v>1</v>
      </c>
      <c r="M33">
        <v>1</v>
      </c>
      <c r="N33">
        <v>1</v>
      </c>
      <c r="P33">
        <v>1.617106676101685</v>
      </c>
    </row>
    <row r="34" spans="1:16" x14ac:dyDescent="0.25">
      <c r="A34" t="s">
        <v>17</v>
      </c>
      <c r="B34" t="s">
        <v>63</v>
      </c>
      <c r="C34">
        <v>0</v>
      </c>
      <c r="D34">
        <v>1</v>
      </c>
      <c r="E34">
        <v>1</v>
      </c>
      <c r="F34">
        <v>1</v>
      </c>
      <c r="G34">
        <v>1</v>
      </c>
      <c r="H34">
        <v>1</v>
      </c>
      <c r="I34">
        <v>1</v>
      </c>
      <c r="J34">
        <v>1</v>
      </c>
      <c r="K34">
        <v>1</v>
      </c>
      <c r="L34">
        <v>1</v>
      </c>
      <c r="M34">
        <v>1</v>
      </c>
      <c r="N34">
        <v>1</v>
      </c>
      <c r="P34">
        <v>5.7010025978088379</v>
      </c>
    </row>
    <row r="35" spans="1:16" x14ac:dyDescent="0.25">
      <c r="A35" t="s">
        <v>17</v>
      </c>
      <c r="B35" t="s">
        <v>65</v>
      </c>
      <c r="C35">
        <v>0</v>
      </c>
      <c r="D35">
        <v>1</v>
      </c>
      <c r="E35">
        <v>1</v>
      </c>
      <c r="F35">
        <v>1</v>
      </c>
      <c r="G35">
        <v>1</v>
      </c>
      <c r="H35">
        <v>1</v>
      </c>
      <c r="I35">
        <v>1</v>
      </c>
      <c r="J35">
        <v>1</v>
      </c>
      <c r="K35">
        <v>1</v>
      </c>
      <c r="L35">
        <v>1</v>
      </c>
      <c r="M35">
        <v>1</v>
      </c>
      <c r="N35">
        <v>1</v>
      </c>
      <c r="P35">
        <v>1.301586389541626</v>
      </c>
    </row>
    <row r="36" spans="1:16" x14ac:dyDescent="0.25">
      <c r="A36" t="s">
        <v>17</v>
      </c>
      <c r="B36" t="s">
        <v>66</v>
      </c>
      <c r="C36">
        <v>0</v>
      </c>
      <c r="D36">
        <v>1</v>
      </c>
      <c r="E36">
        <v>1</v>
      </c>
      <c r="F36">
        <v>1</v>
      </c>
      <c r="G36">
        <v>1</v>
      </c>
      <c r="H36">
        <v>1</v>
      </c>
      <c r="I36">
        <v>1</v>
      </c>
      <c r="J36">
        <v>1</v>
      </c>
      <c r="K36">
        <v>1</v>
      </c>
      <c r="L36">
        <v>1</v>
      </c>
      <c r="M36">
        <v>1</v>
      </c>
      <c r="N36">
        <v>1</v>
      </c>
      <c r="P36">
        <v>1.390830993652344</v>
      </c>
    </row>
    <row r="37" spans="1:16" x14ac:dyDescent="0.25">
      <c r="A37" t="s">
        <v>17</v>
      </c>
      <c r="B37" t="s">
        <v>67</v>
      </c>
      <c r="C37">
        <v>0</v>
      </c>
      <c r="D37">
        <v>1</v>
      </c>
      <c r="E37">
        <v>1</v>
      </c>
      <c r="F37">
        <v>1</v>
      </c>
      <c r="G37">
        <v>1</v>
      </c>
      <c r="H37">
        <v>1</v>
      </c>
      <c r="I37">
        <v>1</v>
      </c>
      <c r="J37">
        <v>1</v>
      </c>
      <c r="K37">
        <v>1</v>
      </c>
      <c r="L37">
        <v>1</v>
      </c>
      <c r="M37">
        <v>1</v>
      </c>
      <c r="N37">
        <v>1</v>
      </c>
      <c r="P37">
        <v>1.1579451560974121</v>
      </c>
    </row>
    <row r="38" spans="1:16" x14ac:dyDescent="0.25">
      <c r="A38" t="s">
        <v>17</v>
      </c>
      <c r="B38" t="s">
        <v>68</v>
      </c>
      <c r="C38">
        <v>0</v>
      </c>
      <c r="D38">
        <v>1</v>
      </c>
      <c r="E38">
        <v>1</v>
      </c>
      <c r="F38">
        <v>1</v>
      </c>
      <c r="G38">
        <v>1</v>
      </c>
      <c r="H38">
        <v>1</v>
      </c>
      <c r="I38">
        <v>1</v>
      </c>
      <c r="J38">
        <v>1</v>
      </c>
      <c r="K38">
        <v>1</v>
      </c>
      <c r="L38">
        <v>1</v>
      </c>
      <c r="M38">
        <v>1</v>
      </c>
      <c r="N38">
        <v>1</v>
      </c>
      <c r="P38">
        <v>1.853434085845947</v>
      </c>
    </row>
    <row r="39" spans="1:16" x14ac:dyDescent="0.25">
      <c r="A39" t="s">
        <v>17</v>
      </c>
      <c r="B39" t="s">
        <v>69</v>
      </c>
      <c r="C39">
        <v>0</v>
      </c>
      <c r="D39">
        <v>1</v>
      </c>
      <c r="E39">
        <v>0</v>
      </c>
      <c r="F39">
        <v>1</v>
      </c>
      <c r="G39">
        <v>0</v>
      </c>
      <c r="H39" t="s">
        <v>20</v>
      </c>
      <c r="I39">
        <v>1</v>
      </c>
      <c r="J39" t="s">
        <v>20</v>
      </c>
      <c r="K39">
        <v>1</v>
      </c>
      <c r="L39">
        <v>1</v>
      </c>
      <c r="M39">
        <v>1</v>
      </c>
      <c r="N39">
        <v>1</v>
      </c>
      <c r="O39" t="s">
        <v>293</v>
      </c>
      <c r="P39">
        <v>2.5971488952636719</v>
      </c>
    </row>
    <row r="40" spans="1:16" x14ac:dyDescent="0.25">
      <c r="A40" t="s">
        <v>17</v>
      </c>
      <c r="B40" t="s">
        <v>71</v>
      </c>
      <c r="C40">
        <v>0</v>
      </c>
      <c r="D40">
        <v>1</v>
      </c>
      <c r="E40">
        <v>0</v>
      </c>
      <c r="F40">
        <v>0</v>
      </c>
      <c r="G40">
        <v>1</v>
      </c>
      <c r="H40" t="s">
        <v>20</v>
      </c>
      <c r="I40">
        <v>1</v>
      </c>
      <c r="J40" t="s">
        <v>20</v>
      </c>
      <c r="K40">
        <v>1</v>
      </c>
      <c r="L40">
        <v>1</v>
      </c>
      <c r="M40">
        <v>1</v>
      </c>
      <c r="N40">
        <v>1</v>
      </c>
      <c r="O40" t="s">
        <v>294</v>
      </c>
      <c r="P40">
        <v>2.4320845603942871</v>
      </c>
    </row>
    <row r="41" spans="1:16" x14ac:dyDescent="0.25">
      <c r="A41" t="s">
        <v>17</v>
      </c>
      <c r="B41" t="s">
        <v>73</v>
      </c>
      <c r="C41">
        <v>0</v>
      </c>
      <c r="D41">
        <v>1</v>
      </c>
      <c r="E41">
        <v>0</v>
      </c>
      <c r="F41">
        <v>1</v>
      </c>
      <c r="G41">
        <v>1</v>
      </c>
      <c r="H41" t="s">
        <v>20</v>
      </c>
      <c r="I41">
        <v>1</v>
      </c>
      <c r="J41" t="s">
        <v>20</v>
      </c>
      <c r="K41">
        <v>1</v>
      </c>
      <c r="L41">
        <v>1</v>
      </c>
      <c r="M41">
        <v>1</v>
      </c>
      <c r="N41">
        <v>1</v>
      </c>
      <c r="O41" t="s">
        <v>295</v>
      </c>
      <c r="P41">
        <v>2.771593332290649</v>
      </c>
    </row>
    <row r="42" spans="1:16" x14ac:dyDescent="0.25">
      <c r="A42" t="s">
        <v>17</v>
      </c>
      <c r="B42" t="s">
        <v>75</v>
      </c>
      <c r="C42">
        <v>0</v>
      </c>
      <c r="D42">
        <v>1</v>
      </c>
      <c r="E42">
        <v>1</v>
      </c>
      <c r="F42">
        <v>0</v>
      </c>
      <c r="G42">
        <v>1</v>
      </c>
      <c r="H42">
        <v>1</v>
      </c>
      <c r="I42">
        <v>1</v>
      </c>
      <c r="J42" t="s">
        <v>20</v>
      </c>
      <c r="K42">
        <v>1</v>
      </c>
      <c r="L42">
        <v>1</v>
      </c>
      <c r="M42">
        <v>1</v>
      </c>
      <c r="N42">
        <v>1</v>
      </c>
      <c r="O42" t="s">
        <v>296</v>
      </c>
      <c r="P42">
        <v>3.0719809532165532</v>
      </c>
    </row>
    <row r="43" spans="1:16" x14ac:dyDescent="0.25">
      <c r="A43" t="s">
        <v>17</v>
      </c>
      <c r="B43" t="s">
        <v>77</v>
      </c>
      <c r="C43">
        <v>0</v>
      </c>
      <c r="D43">
        <v>1</v>
      </c>
      <c r="E43">
        <v>1</v>
      </c>
      <c r="F43">
        <v>1</v>
      </c>
      <c r="G43">
        <v>1</v>
      </c>
      <c r="H43">
        <v>1</v>
      </c>
      <c r="I43">
        <v>1</v>
      </c>
      <c r="J43">
        <v>1</v>
      </c>
      <c r="K43">
        <v>1</v>
      </c>
      <c r="L43">
        <v>1</v>
      </c>
      <c r="M43">
        <v>1</v>
      </c>
      <c r="N43">
        <v>1</v>
      </c>
      <c r="P43">
        <v>1.546859502792358</v>
      </c>
    </row>
    <row r="44" spans="1:16" x14ac:dyDescent="0.25">
      <c r="A44" t="s">
        <v>17</v>
      </c>
      <c r="B44" t="s">
        <v>78</v>
      </c>
      <c r="C44">
        <v>0</v>
      </c>
      <c r="D44">
        <v>1</v>
      </c>
      <c r="E44">
        <v>1</v>
      </c>
      <c r="F44">
        <v>1</v>
      </c>
      <c r="G44">
        <v>1</v>
      </c>
      <c r="H44">
        <v>1</v>
      </c>
      <c r="I44">
        <v>1</v>
      </c>
      <c r="J44">
        <v>1</v>
      </c>
      <c r="K44">
        <v>1</v>
      </c>
      <c r="L44">
        <v>1</v>
      </c>
      <c r="M44">
        <v>1</v>
      </c>
      <c r="N44">
        <v>1</v>
      </c>
      <c r="P44">
        <v>1.839620113372803</v>
      </c>
    </row>
    <row r="45" spans="1:16" x14ac:dyDescent="0.25">
      <c r="A45" t="s">
        <v>17</v>
      </c>
      <c r="B45" t="s">
        <v>79</v>
      </c>
      <c r="C45">
        <v>0</v>
      </c>
      <c r="D45">
        <v>1</v>
      </c>
      <c r="E45">
        <v>1</v>
      </c>
      <c r="F45">
        <v>1</v>
      </c>
      <c r="G45">
        <v>1</v>
      </c>
      <c r="H45">
        <v>1</v>
      </c>
      <c r="I45">
        <v>1</v>
      </c>
      <c r="J45">
        <v>1</v>
      </c>
      <c r="K45">
        <v>1</v>
      </c>
      <c r="L45">
        <v>1</v>
      </c>
      <c r="M45">
        <v>1</v>
      </c>
      <c r="N45">
        <v>1</v>
      </c>
      <c r="P45">
        <v>1.9395127296447749</v>
      </c>
    </row>
    <row r="46" spans="1:16" x14ac:dyDescent="0.25">
      <c r="A46" t="s">
        <v>17</v>
      </c>
      <c r="B46" t="s">
        <v>80</v>
      </c>
      <c r="C46">
        <v>0</v>
      </c>
      <c r="D46">
        <v>1</v>
      </c>
      <c r="E46">
        <v>1</v>
      </c>
      <c r="F46">
        <v>1</v>
      </c>
      <c r="G46">
        <v>1</v>
      </c>
      <c r="H46">
        <v>1</v>
      </c>
      <c r="I46">
        <v>1</v>
      </c>
      <c r="J46">
        <v>1</v>
      </c>
      <c r="K46">
        <v>1</v>
      </c>
      <c r="L46">
        <v>1</v>
      </c>
      <c r="M46">
        <v>1</v>
      </c>
      <c r="N46">
        <v>1</v>
      </c>
      <c r="P46">
        <v>1.104265451431274</v>
      </c>
    </row>
    <row r="47" spans="1:16" x14ac:dyDescent="0.25">
      <c r="A47" t="s">
        <v>17</v>
      </c>
      <c r="B47" t="s">
        <v>81</v>
      </c>
      <c r="C47">
        <v>0</v>
      </c>
      <c r="D47">
        <v>1</v>
      </c>
      <c r="E47">
        <v>1</v>
      </c>
      <c r="F47">
        <v>1</v>
      </c>
      <c r="G47">
        <v>1</v>
      </c>
      <c r="H47">
        <v>1</v>
      </c>
      <c r="I47">
        <v>1</v>
      </c>
      <c r="J47">
        <v>1</v>
      </c>
      <c r="K47">
        <v>1</v>
      </c>
      <c r="L47">
        <v>1</v>
      </c>
      <c r="M47">
        <v>1</v>
      </c>
      <c r="N47">
        <v>1</v>
      </c>
      <c r="P47">
        <v>1.137840270996094</v>
      </c>
    </row>
    <row r="48" spans="1:16" x14ac:dyDescent="0.25">
      <c r="A48" t="s">
        <v>17</v>
      </c>
      <c r="B48" t="s">
        <v>82</v>
      </c>
      <c r="C48">
        <v>0</v>
      </c>
      <c r="D48">
        <v>1</v>
      </c>
      <c r="E48">
        <v>1</v>
      </c>
      <c r="F48">
        <v>1</v>
      </c>
      <c r="G48">
        <v>1</v>
      </c>
      <c r="H48">
        <v>1</v>
      </c>
      <c r="I48">
        <v>1</v>
      </c>
      <c r="J48">
        <v>1</v>
      </c>
      <c r="K48">
        <v>1</v>
      </c>
      <c r="L48">
        <v>1</v>
      </c>
      <c r="M48">
        <v>1</v>
      </c>
      <c r="N48">
        <v>1</v>
      </c>
      <c r="P48">
        <v>1.870839595794678</v>
      </c>
    </row>
    <row r="49" spans="1:17" x14ac:dyDescent="0.25">
      <c r="A49" t="s">
        <v>17</v>
      </c>
      <c r="B49" t="s">
        <v>83</v>
      </c>
      <c r="C49">
        <v>0</v>
      </c>
      <c r="D49">
        <v>1</v>
      </c>
      <c r="E49">
        <v>0</v>
      </c>
      <c r="F49">
        <v>1</v>
      </c>
      <c r="G49">
        <v>1</v>
      </c>
      <c r="H49" t="s">
        <v>20</v>
      </c>
      <c r="I49">
        <v>1</v>
      </c>
      <c r="J49" t="s">
        <v>20</v>
      </c>
      <c r="K49">
        <v>1</v>
      </c>
      <c r="L49">
        <v>1</v>
      </c>
      <c r="M49">
        <v>1</v>
      </c>
      <c r="N49">
        <v>1</v>
      </c>
      <c r="O49" t="s">
        <v>297</v>
      </c>
      <c r="P49">
        <v>2.9408237934112549</v>
      </c>
    </row>
    <row r="50" spans="1:17" x14ac:dyDescent="0.25">
      <c r="A50" t="s">
        <v>17</v>
      </c>
      <c r="B50" t="s">
        <v>85</v>
      </c>
      <c r="C50">
        <v>0</v>
      </c>
      <c r="D50">
        <v>1</v>
      </c>
      <c r="E50">
        <v>1</v>
      </c>
      <c r="F50">
        <v>1</v>
      </c>
      <c r="G50">
        <v>1</v>
      </c>
      <c r="H50">
        <v>1</v>
      </c>
      <c r="I50">
        <v>1</v>
      </c>
      <c r="J50">
        <v>1</v>
      </c>
      <c r="K50">
        <v>1</v>
      </c>
      <c r="L50">
        <v>1</v>
      </c>
      <c r="M50">
        <v>1</v>
      </c>
      <c r="N50">
        <v>1</v>
      </c>
      <c r="P50">
        <v>1.453681945800781</v>
      </c>
    </row>
    <row r="51" spans="1:17" x14ac:dyDescent="0.25">
      <c r="A51" t="s">
        <v>86</v>
      </c>
      <c r="B51" t="s">
        <v>18</v>
      </c>
      <c r="C51">
        <v>0</v>
      </c>
      <c r="D51">
        <v>1</v>
      </c>
      <c r="E51">
        <v>1</v>
      </c>
      <c r="F51">
        <v>1</v>
      </c>
      <c r="G51">
        <v>1</v>
      </c>
      <c r="H51">
        <v>1</v>
      </c>
      <c r="I51">
        <v>1</v>
      </c>
      <c r="J51">
        <v>1</v>
      </c>
      <c r="K51">
        <v>1</v>
      </c>
      <c r="L51">
        <v>1</v>
      </c>
      <c r="M51">
        <v>1</v>
      </c>
      <c r="N51">
        <v>1</v>
      </c>
      <c r="P51">
        <v>1.248056888580322</v>
      </c>
    </row>
    <row r="52" spans="1:17" x14ac:dyDescent="0.25">
      <c r="A52" t="s">
        <v>86</v>
      </c>
      <c r="B52" t="s">
        <v>19</v>
      </c>
      <c r="C52">
        <v>0</v>
      </c>
      <c r="D52">
        <v>1</v>
      </c>
      <c r="E52">
        <v>1</v>
      </c>
      <c r="F52">
        <v>1</v>
      </c>
      <c r="G52">
        <v>1</v>
      </c>
      <c r="H52">
        <v>1</v>
      </c>
      <c r="I52">
        <v>1</v>
      </c>
      <c r="J52">
        <v>1</v>
      </c>
      <c r="K52">
        <v>1</v>
      </c>
      <c r="L52">
        <v>1</v>
      </c>
      <c r="M52">
        <v>1</v>
      </c>
      <c r="N52">
        <v>1</v>
      </c>
      <c r="P52">
        <v>1.711002111434937</v>
      </c>
    </row>
    <row r="53" spans="1:17" x14ac:dyDescent="0.25">
      <c r="A53" t="s">
        <v>86</v>
      </c>
      <c r="B53" t="s">
        <v>22</v>
      </c>
      <c r="C53">
        <v>0</v>
      </c>
      <c r="D53">
        <v>1</v>
      </c>
      <c r="E53">
        <v>1</v>
      </c>
      <c r="F53">
        <v>1</v>
      </c>
      <c r="G53">
        <v>0</v>
      </c>
      <c r="H53">
        <v>1</v>
      </c>
      <c r="I53">
        <v>1</v>
      </c>
      <c r="J53">
        <v>1</v>
      </c>
      <c r="K53">
        <v>1</v>
      </c>
      <c r="L53">
        <v>1</v>
      </c>
      <c r="M53">
        <v>1</v>
      </c>
      <c r="N53">
        <v>1</v>
      </c>
      <c r="O53" t="s">
        <v>298</v>
      </c>
      <c r="P53">
        <v>1.743061304092407</v>
      </c>
    </row>
    <row r="54" spans="1:17" x14ac:dyDescent="0.25">
      <c r="A54" t="s">
        <v>86</v>
      </c>
      <c r="B54" t="s">
        <v>24</v>
      </c>
      <c r="C54">
        <v>0</v>
      </c>
      <c r="D54">
        <v>1</v>
      </c>
      <c r="E54">
        <v>1</v>
      </c>
      <c r="F54">
        <v>1</v>
      </c>
      <c r="G54">
        <v>1</v>
      </c>
      <c r="H54">
        <v>1</v>
      </c>
      <c r="I54">
        <v>1</v>
      </c>
      <c r="J54">
        <v>1</v>
      </c>
      <c r="K54">
        <v>1</v>
      </c>
      <c r="L54">
        <v>1</v>
      </c>
      <c r="M54">
        <v>1</v>
      </c>
      <c r="N54">
        <v>1</v>
      </c>
      <c r="P54">
        <v>1.635296583175659</v>
      </c>
    </row>
    <row r="55" spans="1:17" x14ac:dyDescent="0.25">
      <c r="A55" t="s">
        <v>86</v>
      </c>
      <c r="B55" t="s">
        <v>25</v>
      </c>
      <c r="C55">
        <v>0</v>
      </c>
      <c r="D55">
        <v>1</v>
      </c>
      <c r="E55">
        <v>1</v>
      </c>
      <c r="F55">
        <v>1</v>
      </c>
      <c r="G55">
        <v>1</v>
      </c>
      <c r="H55">
        <v>1</v>
      </c>
      <c r="I55">
        <v>1</v>
      </c>
      <c r="J55">
        <v>1</v>
      </c>
      <c r="K55">
        <v>1</v>
      </c>
      <c r="L55">
        <v>1</v>
      </c>
      <c r="M55">
        <v>1</v>
      </c>
      <c r="N55">
        <v>1</v>
      </c>
      <c r="P55">
        <v>1.238750696182251</v>
      </c>
    </row>
    <row r="56" spans="1:17" x14ac:dyDescent="0.25">
      <c r="A56" t="s">
        <v>86</v>
      </c>
      <c r="B56" t="s">
        <v>26</v>
      </c>
      <c r="C56">
        <v>0</v>
      </c>
      <c r="D56">
        <v>1</v>
      </c>
      <c r="E56">
        <v>0</v>
      </c>
      <c r="F56">
        <v>1</v>
      </c>
      <c r="G56">
        <v>1</v>
      </c>
      <c r="H56" t="s">
        <v>20</v>
      </c>
      <c r="I56">
        <v>1</v>
      </c>
      <c r="J56" t="s">
        <v>20</v>
      </c>
      <c r="K56">
        <v>1</v>
      </c>
      <c r="L56">
        <v>1</v>
      </c>
      <c r="M56">
        <v>1</v>
      </c>
      <c r="N56">
        <v>1</v>
      </c>
      <c r="O56" t="s">
        <v>299</v>
      </c>
      <c r="P56">
        <v>4.1370251178741464</v>
      </c>
    </row>
    <row r="57" spans="1:17" x14ac:dyDescent="0.25">
      <c r="A57" t="s">
        <v>86</v>
      </c>
      <c r="B57" t="s">
        <v>27</v>
      </c>
      <c r="C57">
        <v>0</v>
      </c>
      <c r="D57">
        <v>1</v>
      </c>
      <c r="E57">
        <v>1</v>
      </c>
      <c r="F57">
        <v>1</v>
      </c>
      <c r="G57">
        <v>1</v>
      </c>
      <c r="H57">
        <v>1</v>
      </c>
      <c r="I57">
        <v>1</v>
      </c>
      <c r="J57">
        <v>1</v>
      </c>
      <c r="K57">
        <v>1</v>
      </c>
      <c r="L57">
        <v>1</v>
      </c>
      <c r="M57">
        <v>1</v>
      </c>
      <c r="N57">
        <v>1</v>
      </c>
      <c r="P57">
        <v>1.692873001098633</v>
      </c>
    </row>
    <row r="58" spans="1:17" x14ac:dyDescent="0.25">
      <c r="A58" t="s">
        <v>86</v>
      </c>
      <c r="B58" t="s">
        <v>29</v>
      </c>
      <c r="C58">
        <v>0</v>
      </c>
      <c r="D58">
        <v>1</v>
      </c>
      <c r="E58">
        <v>1</v>
      </c>
      <c r="F58">
        <v>1</v>
      </c>
      <c r="G58">
        <v>0</v>
      </c>
      <c r="H58">
        <v>1</v>
      </c>
      <c r="I58">
        <v>1</v>
      </c>
      <c r="J58">
        <v>1</v>
      </c>
      <c r="K58">
        <v>1</v>
      </c>
      <c r="L58">
        <v>1</v>
      </c>
      <c r="M58">
        <v>1</v>
      </c>
      <c r="N58">
        <v>1</v>
      </c>
      <c r="O58" t="s">
        <v>300</v>
      </c>
      <c r="P58">
        <v>1.785069465637207</v>
      </c>
    </row>
    <row r="59" spans="1:17" x14ac:dyDescent="0.25">
      <c r="A59" t="s">
        <v>86</v>
      </c>
      <c r="B59" t="s">
        <v>30</v>
      </c>
      <c r="C59">
        <v>0</v>
      </c>
      <c r="D59">
        <v>1</v>
      </c>
      <c r="E59">
        <v>1</v>
      </c>
      <c r="F59">
        <v>1</v>
      </c>
      <c r="G59">
        <v>0</v>
      </c>
      <c r="H59">
        <v>1</v>
      </c>
      <c r="I59">
        <v>1</v>
      </c>
      <c r="J59">
        <v>1</v>
      </c>
      <c r="K59">
        <v>1</v>
      </c>
      <c r="L59">
        <v>1</v>
      </c>
      <c r="M59">
        <v>1</v>
      </c>
      <c r="N59">
        <v>1</v>
      </c>
      <c r="O59" t="s">
        <v>301</v>
      </c>
      <c r="P59">
        <v>1.710721969604492</v>
      </c>
    </row>
    <row r="60" spans="1:17" x14ac:dyDescent="0.25">
      <c r="A60" t="s">
        <v>86</v>
      </c>
      <c r="B60" t="s">
        <v>32</v>
      </c>
      <c r="C60">
        <v>0</v>
      </c>
      <c r="D60">
        <v>1</v>
      </c>
      <c r="E60">
        <v>1</v>
      </c>
      <c r="F60">
        <v>1</v>
      </c>
      <c r="G60">
        <v>1</v>
      </c>
      <c r="H60">
        <v>1</v>
      </c>
      <c r="I60">
        <v>1</v>
      </c>
      <c r="J60">
        <v>1</v>
      </c>
      <c r="K60">
        <v>1</v>
      </c>
      <c r="L60">
        <v>1</v>
      </c>
      <c r="M60">
        <v>1</v>
      </c>
      <c r="N60">
        <v>1</v>
      </c>
      <c r="P60">
        <v>1.2419142723083501</v>
      </c>
    </row>
    <row r="61" spans="1:17" x14ac:dyDescent="0.25">
      <c r="A61" t="s">
        <v>86</v>
      </c>
      <c r="B61" t="s">
        <v>33</v>
      </c>
      <c r="C61">
        <v>0</v>
      </c>
      <c r="D61">
        <v>1</v>
      </c>
      <c r="E61">
        <v>1</v>
      </c>
      <c r="F61">
        <v>1</v>
      </c>
      <c r="G61">
        <v>1</v>
      </c>
      <c r="H61">
        <v>1</v>
      </c>
      <c r="I61">
        <v>1</v>
      </c>
      <c r="J61">
        <v>1</v>
      </c>
      <c r="K61">
        <v>1</v>
      </c>
      <c r="L61">
        <v>1</v>
      </c>
      <c r="M61">
        <v>1</v>
      </c>
      <c r="N61">
        <v>1</v>
      </c>
      <c r="P61">
        <v>1.6234893798828121</v>
      </c>
    </row>
    <row r="62" spans="1:17" x14ac:dyDescent="0.25">
      <c r="A62" t="s">
        <v>86</v>
      </c>
      <c r="B62" t="s">
        <v>34</v>
      </c>
      <c r="C62">
        <v>0</v>
      </c>
      <c r="D62">
        <v>0</v>
      </c>
      <c r="E62" t="s">
        <v>20</v>
      </c>
      <c r="F62" t="s">
        <v>20</v>
      </c>
      <c r="G62" t="s">
        <v>20</v>
      </c>
      <c r="H62" t="s">
        <v>20</v>
      </c>
      <c r="I62" t="s">
        <v>20</v>
      </c>
      <c r="J62" t="s">
        <v>20</v>
      </c>
      <c r="K62" t="s">
        <v>20</v>
      </c>
      <c r="L62" t="s">
        <v>20</v>
      </c>
      <c r="M62">
        <v>1</v>
      </c>
      <c r="N62" t="s">
        <v>20</v>
      </c>
      <c r="O62" t="s">
        <v>302</v>
      </c>
      <c r="P62">
        <v>4.4535751342773438</v>
      </c>
      <c r="Q62" t="s">
        <v>20</v>
      </c>
    </row>
    <row r="63" spans="1:17" x14ac:dyDescent="0.25">
      <c r="A63" t="s">
        <v>86</v>
      </c>
      <c r="B63" t="s">
        <v>35</v>
      </c>
      <c r="C63">
        <v>0</v>
      </c>
      <c r="D63">
        <v>1</v>
      </c>
      <c r="E63">
        <v>1</v>
      </c>
      <c r="F63">
        <v>1</v>
      </c>
      <c r="G63">
        <v>1</v>
      </c>
      <c r="H63">
        <v>1</v>
      </c>
      <c r="I63">
        <v>1</v>
      </c>
      <c r="J63">
        <v>1</v>
      </c>
      <c r="K63">
        <v>1</v>
      </c>
      <c r="L63">
        <v>1</v>
      </c>
      <c r="M63">
        <v>1</v>
      </c>
      <c r="N63">
        <v>1</v>
      </c>
      <c r="P63">
        <v>2.8139216899871831</v>
      </c>
    </row>
    <row r="64" spans="1:17" x14ac:dyDescent="0.25">
      <c r="A64" t="s">
        <v>86</v>
      </c>
      <c r="B64" t="s">
        <v>37</v>
      </c>
      <c r="C64">
        <v>0</v>
      </c>
      <c r="D64">
        <v>1</v>
      </c>
      <c r="E64">
        <v>1</v>
      </c>
      <c r="F64">
        <v>1</v>
      </c>
      <c r="G64">
        <v>1</v>
      </c>
      <c r="H64">
        <v>1</v>
      </c>
      <c r="I64">
        <v>1</v>
      </c>
      <c r="J64">
        <v>1</v>
      </c>
      <c r="K64">
        <v>1</v>
      </c>
      <c r="L64">
        <v>1</v>
      </c>
      <c r="M64">
        <v>1</v>
      </c>
      <c r="N64">
        <v>1</v>
      </c>
      <c r="P64">
        <v>1.1576218605041499</v>
      </c>
    </row>
    <row r="65" spans="1:16" x14ac:dyDescent="0.25">
      <c r="A65" t="s">
        <v>86</v>
      </c>
      <c r="B65" t="s">
        <v>38</v>
      </c>
      <c r="C65">
        <v>0</v>
      </c>
      <c r="D65">
        <v>1</v>
      </c>
      <c r="E65">
        <v>1</v>
      </c>
      <c r="F65">
        <v>1</v>
      </c>
      <c r="G65">
        <v>1</v>
      </c>
      <c r="H65">
        <v>1</v>
      </c>
      <c r="I65">
        <v>1</v>
      </c>
      <c r="J65">
        <v>1</v>
      </c>
      <c r="K65">
        <v>1</v>
      </c>
      <c r="L65">
        <v>1</v>
      </c>
      <c r="M65">
        <v>1</v>
      </c>
      <c r="N65">
        <v>1</v>
      </c>
      <c r="P65">
        <v>1.3282308578491211</v>
      </c>
    </row>
    <row r="66" spans="1:16" x14ac:dyDescent="0.25">
      <c r="A66" t="s">
        <v>86</v>
      </c>
      <c r="B66" t="s">
        <v>39</v>
      </c>
      <c r="C66">
        <v>0</v>
      </c>
      <c r="D66">
        <v>1</v>
      </c>
      <c r="E66">
        <v>1</v>
      </c>
      <c r="F66">
        <v>1</v>
      </c>
      <c r="G66">
        <v>1</v>
      </c>
      <c r="H66">
        <v>1</v>
      </c>
      <c r="I66">
        <v>1</v>
      </c>
      <c r="J66">
        <v>1</v>
      </c>
      <c r="K66">
        <v>1</v>
      </c>
      <c r="L66">
        <v>1</v>
      </c>
      <c r="M66">
        <v>1</v>
      </c>
      <c r="N66">
        <v>1</v>
      </c>
      <c r="P66">
        <v>1.668779134750366</v>
      </c>
    </row>
    <row r="67" spans="1:16" x14ac:dyDescent="0.25">
      <c r="A67" t="s">
        <v>86</v>
      </c>
      <c r="B67" t="s">
        <v>40</v>
      </c>
      <c r="C67">
        <v>0</v>
      </c>
      <c r="D67">
        <v>1</v>
      </c>
      <c r="E67">
        <v>1</v>
      </c>
      <c r="F67">
        <v>1</v>
      </c>
      <c r="G67">
        <v>1</v>
      </c>
      <c r="H67">
        <v>1</v>
      </c>
      <c r="I67">
        <v>1</v>
      </c>
      <c r="J67">
        <v>1</v>
      </c>
      <c r="K67">
        <v>1</v>
      </c>
      <c r="L67">
        <v>1</v>
      </c>
      <c r="M67">
        <v>1</v>
      </c>
      <c r="N67">
        <v>1</v>
      </c>
      <c r="P67">
        <v>1.4827005863189699</v>
      </c>
    </row>
    <row r="68" spans="1:16" x14ac:dyDescent="0.25">
      <c r="A68" t="s">
        <v>86</v>
      </c>
      <c r="B68" t="s">
        <v>41</v>
      </c>
      <c r="C68">
        <v>0</v>
      </c>
      <c r="D68">
        <v>1</v>
      </c>
      <c r="E68">
        <v>1</v>
      </c>
      <c r="F68">
        <v>1</v>
      </c>
      <c r="G68">
        <v>1</v>
      </c>
      <c r="H68">
        <v>1</v>
      </c>
      <c r="I68">
        <v>1</v>
      </c>
      <c r="J68">
        <v>1</v>
      </c>
      <c r="K68">
        <v>1</v>
      </c>
      <c r="L68">
        <v>1</v>
      </c>
      <c r="M68">
        <v>1</v>
      </c>
      <c r="N68">
        <v>1</v>
      </c>
      <c r="P68">
        <v>1.2952015399932859</v>
      </c>
    </row>
    <row r="69" spans="1:16" x14ac:dyDescent="0.25">
      <c r="A69" t="s">
        <v>86</v>
      </c>
      <c r="B69" t="s">
        <v>42</v>
      </c>
      <c r="C69">
        <v>0</v>
      </c>
      <c r="D69">
        <v>1</v>
      </c>
      <c r="E69">
        <v>1</v>
      </c>
      <c r="F69">
        <v>1</v>
      </c>
      <c r="G69">
        <v>1</v>
      </c>
      <c r="H69">
        <v>1</v>
      </c>
      <c r="I69">
        <v>1</v>
      </c>
      <c r="J69">
        <v>1</v>
      </c>
      <c r="K69">
        <v>1</v>
      </c>
      <c r="L69">
        <v>1</v>
      </c>
      <c r="M69">
        <v>1</v>
      </c>
      <c r="N69">
        <v>1</v>
      </c>
      <c r="P69">
        <v>1.550844669342041</v>
      </c>
    </row>
    <row r="70" spans="1:16" x14ac:dyDescent="0.25">
      <c r="A70" t="s">
        <v>86</v>
      </c>
      <c r="B70" t="s">
        <v>43</v>
      </c>
      <c r="C70">
        <v>0</v>
      </c>
      <c r="D70">
        <v>1</v>
      </c>
      <c r="E70">
        <v>1</v>
      </c>
      <c r="F70">
        <v>1</v>
      </c>
      <c r="G70">
        <v>1</v>
      </c>
      <c r="H70">
        <v>1</v>
      </c>
      <c r="I70">
        <v>1</v>
      </c>
      <c r="J70">
        <v>1</v>
      </c>
      <c r="K70">
        <v>1</v>
      </c>
      <c r="L70">
        <v>1</v>
      </c>
      <c r="M70">
        <v>1</v>
      </c>
      <c r="N70">
        <v>1</v>
      </c>
      <c r="P70">
        <v>1.1737184524536131</v>
      </c>
    </row>
    <row r="71" spans="1:16" x14ac:dyDescent="0.25">
      <c r="A71" t="s">
        <v>86</v>
      </c>
      <c r="B71" t="s">
        <v>44</v>
      </c>
      <c r="C71">
        <v>0</v>
      </c>
      <c r="D71">
        <v>1</v>
      </c>
      <c r="E71">
        <v>1</v>
      </c>
      <c r="F71">
        <v>1</v>
      </c>
      <c r="G71">
        <v>1</v>
      </c>
      <c r="H71">
        <v>1</v>
      </c>
      <c r="I71">
        <v>1</v>
      </c>
      <c r="J71">
        <v>1</v>
      </c>
      <c r="K71">
        <v>1</v>
      </c>
      <c r="L71">
        <v>1</v>
      </c>
      <c r="M71">
        <v>1</v>
      </c>
      <c r="N71">
        <v>1</v>
      </c>
      <c r="P71">
        <v>1.4778115749359131</v>
      </c>
    </row>
    <row r="72" spans="1:16" x14ac:dyDescent="0.25">
      <c r="A72" t="s">
        <v>86</v>
      </c>
      <c r="B72" t="s">
        <v>45</v>
      </c>
      <c r="C72">
        <v>0</v>
      </c>
      <c r="D72">
        <v>1</v>
      </c>
      <c r="E72">
        <v>1</v>
      </c>
      <c r="F72">
        <v>1</v>
      </c>
      <c r="G72">
        <v>1</v>
      </c>
      <c r="H72">
        <v>1</v>
      </c>
      <c r="I72">
        <v>1</v>
      </c>
      <c r="J72">
        <v>1</v>
      </c>
      <c r="K72">
        <v>1</v>
      </c>
      <c r="L72">
        <v>1</v>
      </c>
      <c r="M72">
        <v>1</v>
      </c>
      <c r="N72">
        <v>1</v>
      </c>
      <c r="P72">
        <v>1.69652271270752</v>
      </c>
    </row>
    <row r="73" spans="1:16" x14ac:dyDescent="0.25">
      <c r="A73" t="s">
        <v>86</v>
      </c>
      <c r="B73" t="s">
        <v>47</v>
      </c>
      <c r="C73">
        <v>0</v>
      </c>
      <c r="D73">
        <v>1</v>
      </c>
      <c r="E73">
        <v>1</v>
      </c>
      <c r="F73">
        <v>1</v>
      </c>
      <c r="G73">
        <v>1</v>
      </c>
      <c r="H73">
        <v>1</v>
      </c>
      <c r="I73">
        <v>1</v>
      </c>
      <c r="J73">
        <v>1</v>
      </c>
      <c r="K73">
        <v>1</v>
      </c>
      <c r="L73">
        <v>1</v>
      </c>
      <c r="M73">
        <v>1</v>
      </c>
      <c r="N73">
        <v>1</v>
      </c>
      <c r="P73">
        <v>1.8805665969848631</v>
      </c>
    </row>
    <row r="74" spans="1:16" x14ac:dyDescent="0.25">
      <c r="A74" t="s">
        <v>86</v>
      </c>
      <c r="B74" t="s">
        <v>48</v>
      </c>
      <c r="C74">
        <v>0</v>
      </c>
      <c r="D74">
        <v>1</v>
      </c>
      <c r="E74">
        <v>0</v>
      </c>
      <c r="F74">
        <v>0</v>
      </c>
      <c r="G74">
        <v>1</v>
      </c>
      <c r="H74" t="s">
        <v>20</v>
      </c>
      <c r="I74">
        <v>1</v>
      </c>
      <c r="J74" t="s">
        <v>20</v>
      </c>
      <c r="K74">
        <v>1</v>
      </c>
      <c r="L74">
        <v>1</v>
      </c>
      <c r="M74">
        <v>1</v>
      </c>
      <c r="N74">
        <v>1</v>
      </c>
      <c r="O74" t="s">
        <v>303</v>
      </c>
      <c r="P74">
        <v>4.0673987865447998</v>
      </c>
    </row>
    <row r="75" spans="1:16" x14ac:dyDescent="0.25">
      <c r="A75" t="s">
        <v>86</v>
      </c>
      <c r="B75" t="s">
        <v>50</v>
      </c>
      <c r="C75">
        <v>0</v>
      </c>
      <c r="D75">
        <v>1</v>
      </c>
      <c r="E75">
        <v>1</v>
      </c>
      <c r="F75">
        <v>1</v>
      </c>
      <c r="G75">
        <v>1</v>
      </c>
      <c r="H75">
        <v>1</v>
      </c>
      <c r="I75">
        <v>1</v>
      </c>
      <c r="J75">
        <v>1</v>
      </c>
      <c r="K75">
        <v>1</v>
      </c>
      <c r="L75">
        <v>1</v>
      </c>
      <c r="M75">
        <v>1</v>
      </c>
      <c r="N75">
        <v>1</v>
      </c>
      <c r="P75">
        <v>1.12639307975769</v>
      </c>
    </row>
    <row r="76" spans="1:16" x14ac:dyDescent="0.25">
      <c r="A76" t="s">
        <v>86</v>
      </c>
      <c r="B76" t="s">
        <v>51</v>
      </c>
      <c r="C76">
        <v>0</v>
      </c>
      <c r="D76">
        <v>1</v>
      </c>
      <c r="E76">
        <v>1</v>
      </c>
      <c r="F76">
        <v>1</v>
      </c>
      <c r="G76">
        <v>0</v>
      </c>
      <c r="H76">
        <v>1</v>
      </c>
      <c r="I76">
        <v>1</v>
      </c>
      <c r="J76">
        <v>1</v>
      </c>
      <c r="K76">
        <v>1</v>
      </c>
      <c r="L76">
        <v>1</v>
      </c>
      <c r="M76">
        <v>1</v>
      </c>
      <c r="N76">
        <v>1</v>
      </c>
      <c r="O76" t="s">
        <v>304</v>
      </c>
      <c r="P76">
        <v>1.652548551559448</v>
      </c>
    </row>
    <row r="77" spans="1:16" x14ac:dyDescent="0.25">
      <c r="A77" t="s">
        <v>86</v>
      </c>
      <c r="B77" t="s">
        <v>53</v>
      </c>
      <c r="C77">
        <v>0</v>
      </c>
      <c r="D77">
        <v>1</v>
      </c>
      <c r="E77">
        <v>0</v>
      </c>
      <c r="F77">
        <v>1</v>
      </c>
      <c r="G77">
        <v>1</v>
      </c>
      <c r="H77" t="s">
        <v>20</v>
      </c>
      <c r="I77">
        <v>1</v>
      </c>
      <c r="J77" t="s">
        <v>20</v>
      </c>
      <c r="K77">
        <v>1</v>
      </c>
      <c r="L77">
        <v>1</v>
      </c>
      <c r="M77">
        <v>1</v>
      </c>
      <c r="N77">
        <v>1</v>
      </c>
      <c r="O77" t="s">
        <v>305</v>
      </c>
      <c r="P77">
        <v>2.076018095016479</v>
      </c>
    </row>
    <row r="78" spans="1:16" x14ac:dyDescent="0.25">
      <c r="A78" t="s">
        <v>86</v>
      </c>
      <c r="B78" t="s">
        <v>55</v>
      </c>
      <c r="C78">
        <v>0</v>
      </c>
      <c r="D78">
        <v>1</v>
      </c>
      <c r="E78">
        <v>1</v>
      </c>
      <c r="F78">
        <v>1</v>
      </c>
      <c r="G78">
        <v>1</v>
      </c>
      <c r="H78">
        <v>1</v>
      </c>
      <c r="I78">
        <v>0</v>
      </c>
      <c r="J78">
        <v>1</v>
      </c>
      <c r="K78">
        <v>1</v>
      </c>
      <c r="L78">
        <v>1</v>
      </c>
      <c r="M78">
        <v>1</v>
      </c>
      <c r="N78">
        <v>1</v>
      </c>
      <c r="O78" t="s">
        <v>306</v>
      </c>
      <c r="P78">
        <v>4.2152431011199951</v>
      </c>
    </row>
    <row r="79" spans="1:16" x14ac:dyDescent="0.25">
      <c r="A79" t="s">
        <v>86</v>
      </c>
      <c r="B79" t="s">
        <v>56</v>
      </c>
      <c r="C79">
        <v>0</v>
      </c>
      <c r="D79">
        <v>1</v>
      </c>
      <c r="E79">
        <v>1</v>
      </c>
      <c r="F79">
        <v>1</v>
      </c>
      <c r="G79">
        <v>1</v>
      </c>
      <c r="H79">
        <v>1</v>
      </c>
      <c r="I79">
        <v>1</v>
      </c>
      <c r="J79">
        <v>1</v>
      </c>
      <c r="K79">
        <v>1</v>
      </c>
      <c r="L79">
        <v>1</v>
      </c>
      <c r="M79">
        <v>1</v>
      </c>
      <c r="N79">
        <v>1</v>
      </c>
      <c r="P79">
        <v>1.2637438774108889</v>
      </c>
    </row>
    <row r="80" spans="1:16" x14ac:dyDescent="0.25">
      <c r="A80" t="s">
        <v>86</v>
      </c>
      <c r="B80" t="s">
        <v>58</v>
      </c>
      <c r="C80">
        <v>0</v>
      </c>
      <c r="D80">
        <v>1</v>
      </c>
      <c r="E80">
        <v>1</v>
      </c>
      <c r="F80">
        <v>1</v>
      </c>
      <c r="G80">
        <v>1</v>
      </c>
      <c r="H80">
        <v>1</v>
      </c>
      <c r="I80">
        <v>1</v>
      </c>
      <c r="J80">
        <v>1</v>
      </c>
      <c r="K80">
        <v>1</v>
      </c>
      <c r="L80">
        <v>1</v>
      </c>
      <c r="M80">
        <v>1</v>
      </c>
      <c r="N80">
        <v>1</v>
      </c>
      <c r="P80">
        <v>1.082624197006226</v>
      </c>
    </row>
    <row r="81" spans="1:16" x14ac:dyDescent="0.25">
      <c r="A81" t="s">
        <v>86</v>
      </c>
      <c r="B81" t="s">
        <v>60</v>
      </c>
      <c r="C81">
        <v>0</v>
      </c>
      <c r="D81">
        <v>1</v>
      </c>
      <c r="E81">
        <v>1</v>
      </c>
      <c r="F81">
        <v>1</v>
      </c>
      <c r="G81">
        <v>1</v>
      </c>
      <c r="H81">
        <v>1</v>
      </c>
      <c r="I81">
        <v>1</v>
      </c>
      <c r="J81">
        <v>1</v>
      </c>
      <c r="K81">
        <v>1</v>
      </c>
      <c r="L81">
        <v>1</v>
      </c>
      <c r="M81">
        <v>1</v>
      </c>
      <c r="N81">
        <v>1</v>
      </c>
      <c r="P81">
        <v>1.252732515335083</v>
      </c>
    </row>
    <row r="82" spans="1:16" x14ac:dyDescent="0.25">
      <c r="A82" t="s">
        <v>86</v>
      </c>
      <c r="B82" t="s">
        <v>62</v>
      </c>
      <c r="C82">
        <v>0</v>
      </c>
      <c r="D82">
        <v>1</v>
      </c>
      <c r="E82">
        <v>1</v>
      </c>
      <c r="F82">
        <v>1</v>
      </c>
      <c r="G82">
        <v>1</v>
      </c>
      <c r="H82">
        <v>1</v>
      </c>
      <c r="I82">
        <v>1</v>
      </c>
      <c r="J82">
        <v>1</v>
      </c>
      <c r="K82">
        <v>1</v>
      </c>
      <c r="L82">
        <v>1</v>
      </c>
      <c r="M82">
        <v>1</v>
      </c>
      <c r="N82">
        <v>1</v>
      </c>
      <c r="P82">
        <v>1.310423851013184</v>
      </c>
    </row>
    <row r="83" spans="1:16" x14ac:dyDescent="0.25">
      <c r="A83" t="s">
        <v>86</v>
      </c>
      <c r="B83" t="s">
        <v>63</v>
      </c>
      <c r="C83">
        <v>0</v>
      </c>
      <c r="D83">
        <v>1</v>
      </c>
      <c r="E83">
        <v>1</v>
      </c>
      <c r="F83">
        <v>1</v>
      </c>
      <c r="G83">
        <v>0</v>
      </c>
      <c r="H83">
        <v>1</v>
      </c>
      <c r="I83">
        <v>1</v>
      </c>
      <c r="J83">
        <v>1</v>
      </c>
      <c r="K83">
        <v>1</v>
      </c>
      <c r="L83">
        <v>1</v>
      </c>
      <c r="M83">
        <v>1</v>
      </c>
      <c r="N83">
        <v>1</v>
      </c>
      <c r="O83" t="s">
        <v>307</v>
      </c>
      <c r="P83">
        <v>5.344684362411499</v>
      </c>
    </row>
    <row r="84" spans="1:16" x14ac:dyDescent="0.25">
      <c r="A84" t="s">
        <v>86</v>
      </c>
      <c r="B84" t="s">
        <v>65</v>
      </c>
      <c r="C84">
        <v>0</v>
      </c>
      <c r="D84">
        <v>1</v>
      </c>
      <c r="E84">
        <v>1</v>
      </c>
      <c r="F84">
        <v>1</v>
      </c>
      <c r="G84">
        <v>1</v>
      </c>
      <c r="H84">
        <v>1</v>
      </c>
      <c r="I84">
        <v>1</v>
      </c>
      <c r="J84">
        <v>1</v>
      </c>
      <c r="K84">
        <v>1</v>
      </c>
      <c r="L84">
        <v>1</v>
      </c>
      <c r="M84">
        <v>1</v>
      </c>
      <c r="N84">
        <v>1</v>
      </c>
      <c r="P84">
        <v>3.1459603309631352</v>
      </c>
    </row>
    <row r="85" spans="1:16" x14ac:dyDescent="0.25">
      <c r="A85" t="s">
        <v>86</v>
      </c>
      <c r="B85" t="s">
        <v>66</v>
      </c>
      <c r="C85">
        <v>0</v>
      </c>
      <c r="D85">
        <v>1</v>
      </c>
      <c r="E85">
        <v>1</v>
      </c>
      <c r="F85">
        <v>1</v>
      </c>
      <c r="G85">
        <v>0</v>
      </c>
      <c r="H85">
        <v>1</v>
      </c>
      <c r="I85">
        <v>1</v>
      </c>
      <c r="J85">
        <v>1</v>
      </c>
      <c r="K85">
        <v>1</v>
      </c>
      <c r="L85">
        <v>1</v>
      </c>
      <c r="M85">
        <v>1</v>
      </c>
      <c r="N85">
        <v>1</v>
      </c>
      <c r="O85" t="s">
        <v>308</v>
      </c>
      <c r="P85">
        <v>4.1579592227935791</v>
      </c>
    </row>
    <row r="86" spans="1:16" x14ac:dyDescent="0.25">
      <c r="A86" t="s">
        <v>86</v>
      </c>
      <c r="B86" t="s">
        <v>67</v>
      </c>
      <c r="C86">
        <v>0</v>
      </c>
      <c r="D86">
        <v>1</v>
      </c>
      <c r="E86">
        <v>1</v>
      </c>
      <c r="F86">
        <v>0</v>
      </c>
      <c r="G86">
        <v>1</v>
      </c>
      <c r="H86">
        <v>1</v>
      </c>
      <c r="I86">
        <v>1</v>
      </c>
      <c r="J86" t="s">
        <v>20</v>
      </c>
      <c r="K86">
        <v>1</v>
      </c>
      <c r="L86">
        <v>1</v>
      </c>
      <c r="M86">
        <v>1</v>
      </c>
      <c r="N86">
        <v>1</v>
      </c>
      <c r="O86" t="s">
        <v>309</v>
      </c>
      <c r="P86">
        <v>3.162643671035767</v>
      </c>
    </row>
    <row r="87" spans="1:16" x14ac:dyDescent="0.25">
      <c r="A87" t="s">
        <v>86</v>
      </c>
      <c r="B87" t="s">
        <v>68</v>
      </c>
      <c r="C87">
        <v>0</v>
      </c>
      <c r="D87">
        <v>1</v>
      </c>
      <c r="E87">
        <v>1</v>
      </c>
      <c r="F87">
        <v>1</v>
      </c>
      <c r="G87">
        <v>1</v>
      </c>
      <c r="H87">
        <v>1</v>
      </c>
      <c r="I87">
        <v>1</v>
      </c>
      <c r="J87">
        <v>1</v>
      </c>
      <c r="K87">
        <v>1</v>
      </c>
      <c r="L87">
        <v>1</v>
      </c>
      <c r="M87">
        <v>1</v>
      </c>
      <c r="N87">
        <v>1</v>
      </c>
      <c r="P87">
        <v>2.0603189468383789</v>
      </c>
    </row>
    <row r="88" spans="1:16" x14ac:dyDescent="0.25">
      <c r="A88" t="s">
        <v>86</v>
      </c>
      <c r="B88" t="s">
        <v>69</v>
      </c>
      <c r="C88">
        <v>0</v>
      </c>
      <c r="D88">
        <v>1</v>
      </c>
      <c r="E88">
        <v>1</v>
      </c>
      <c r="F88">
        <v>1</v>
      </c>
      <c r="G88">
        <v>1</v>
      </c>
      <c r="H88">
        <v>1</v>
      </c>
      <c r="I88">
        <v>1</v>
      </c>
      <c r="J88">
        <v>1</v>
      </c>
      <c r="K88">
        <v>1</v>
      </c>
      <c r="L88">
        <v>1</v>
      </c>
      <c r="M88">
        <v>1</v>
      </c>
      <c r="N88">
        <v>1</v>
      </c>
      <c r="P88">
        <v>1.2504866123199461</v>
      </c>
    </row>
    <row r="89" spans="1:16" x14ac:dyDescent="0.25">
      <c r="A89" t="s">
        <v>86</v>
      </c>
      <c r="B89" t="s">
        <v>71</v>
      </c>
      <c r="C89">
        <v>0</v>
      </c>
      <c r="D89">
        <v>1</v>
      </c>
      <c r="E89">
        <v>1</v>
      </c>
      <c r="F89">
        <v>1</v>
      </c>
      <c r="G89">
        <v>1</v>
      </c>
      <c r="H89">
        <v>1</v>
      </c>
      <c r="I89">
        <v>1</v>
      </c>
      <c r="J89">
        <v>1</v>
      </c>
      <c r="K89">
        <v>1</v>
      </c>
      <c r="L89">
        <v>1</v>
      </c>
      <c r="M89">
        <v>1</v>
      </c>
      <c r="N89">
        <v>1</v>
      </c>
      <c r="P89">
        <v>1.382945775985718</v>
      </c>
    </row>
    <row r="90" spans="1:16" x14ac:dyDescent="0.25">
      <c r="A90" t="s">
        <v>86</v>
      </c>
      <c r="B90" t="s">
        <v>73</v>
      </c>
      <c r="C90">
        <v>0</v>
      </c>
      <c r="D90">
        <v>1</v>
      </c>
      <c r="E90">
        <v>1</v>
      </c>
      <c r="F90">
        <v>1</v>
      </c>
      <c r="G90">
        <v>1</v>
      </c>
      <c r="H90">
        <v>1</v>
      </c>
      <c r="I90">
        <v>1</v>
      </c>
      <c r="J90">
        <v>1</v>
      </c>
      <c r="K90">
        <v>1</v>
      </c>
      <c r="L90">
        <v>1</v>
      </c>
      <c r="M90">
        <v>1</v>
      </c>
      <c r="N90">
        <v>1</v>
      </c>
      <c r="P90">
        <v>1.199684619903564</v>
      </c>
    </row>
    <row r="91" spans="1:16" x14ac:dyDescent="0.25">
      <c r="A91" t="s">
        <v>86</v>
      </c>
      <c r="B91" t="s">
        <v>75</v>
      </c>
      <c r="C91">
        <v>0</v>
      </c>
      <c r="D91">
        <v>1</v>
      </c>
      <c r="E91">
        <v>1</v>
      </c>
      <c r="F91">
        <v>1</v>
      </c>
      <c r="G91">
        <v>1</v>
      </c>
      <c r="H91">
        <v>1</v>
      </c>
      <c r="I91">
        <v>1</v>
      </c>
      <c r="J91">
        <v>1</v>
      </c>
      <c r="K91">
        <v>1</v>
      </c>
      <c r="L91">
        <v>1</v>
      </c>
      <c r="M91">
        <v>1</v>
      </c>
      <c r="N91">
        <v>1</v>
      </c>
      <c r="P91">
        <v>2.0181221961975102</v>
      </c>
    </row>
    <row r="92" spans="1:16" x14ac:dyDescent="0.25">
      <c r="A92" t="s">
        <v>86</v>
      </c>
      <c r="B92" t="s">
        <v>77</v>
      </c>
      <c r="C92">
        <v>0</v>
      </c>
      <c r="D92">
        <v>1</v>
      </c>
      <c r="E92">
        <v>1</v>
      </c>
      <c r="F92">
        <v>1</v>
      </c>
      <c r="G92">
        <v>1</v>
      </c>
      <c r="H92">
        <v>1</v>
      </c>
      <c r="I92">
        <v>1</v>
      </c>
      <c r="J92">
        <v>1</v>
      </c>
      <c r="K92">
        <v>1</v>
      </c>
      <c r="L92">
        <v>1</v>
      </c>
      <c r="M92">
        <v>1</v>
      </c>
      <c r="N92">
        <v>1</v>
      </c>
      <c r="P92">
        <v>2.081952810287476</v>
      </c>
    </row>
    <row r="93" spans="1:16" x14ac:dyDescent="0.25">
      <c r="A93" t="s">
        <v>86</v>
      </c>
      <c r="B93" t="s">
        <v>78</v>
      </c>
      <c r="C93">
        <v>0</v>
      </c>
      <c r="D93">
        <v>1</v>
      </c>
      <c r="E93">
        <v>1</v>
      </c>
      <c r="F93">
        <v>1</v>
      </c>
      <c r="G93">
        <v>1</v>
      </c>
      <c r="H93">
        <v>1</v>
      </c>
      <c r="I93">
        <v>1</v>
      </c>
      <c r="J93">
        <v>1</v>
      </c>
      <c r="K93">
        <v>1</v>
      </c>
      <c r="L93">
        <v>1</v>
      </c>
      <c r="M93">
        <v>1</v>
      </c>
      <c r="N93">
        <v>1</v>
      </c>
      <c r="P93">
        <v>1.2811036109924321</v>
      </c>
    </row>
    <row r="94" spans="1:16" x14ac:dyDescent="0.25">
      <c r="A94" t="s">
        <v>86</v>
      </c>
      <c r="B94" t="s">
        <v>79</v>
      </c>
      <c r="C94">
        <v>0</v>
      </c>
      <c r="D94">
        <v>1</v>
      </c>
      <c r="E94">
        <v>1</v>
      </c>
      <c r="F94">
        <v>1</v>
      </c>
      <c r="G94">
        <v>1</v>
      </c>
      <c r="H94">
        <v>1</v>
      </c>
      <c r="I94">
        <v>1</v>
      </c>
      <c r="J94">
        <v>1</v>
      </c>
      <c r="K94">
        <v>1</v>
      </c>
      <c r="L94">
        <v>1</v>
      </c>
      <c r="M94">
        <v>1</v>
      </c>
      <c r="N94">
        <v>1</v>
      </c>
      <c r="P94">
        <v>1.3692305088043211</v>
      </c>
    </row>
    <row r="95" spans="1:16" x14ac:dyDescent="0.25">
      <c r="A95" t="s">
        <v>86</v>
      </c>
      <c r="B95" t="s">
        <v>80</v>
      </c>
      <c r="C95">
        <v>0</v>
      </c>
      <c r="D95">
        <v>1</v>
      </c>
      <c r="E95">
        <v>1</v>
      </c>
      <c r="F95">
        <v>1</v>
      </c>
      <c r="G95">
        <v>1</v>
      </c>
      <c r="H95">
        <v>1</v>
      </c>
      <c r="I95">
        <v>1</v>
      </c>
      <c r="J95">
        <v>1</v>
      </c>
      <c r="K95">
        <v>1</v>
      </c>
      <c r="L95">
        <v>1</v>
      </c>
      <c r="M95">
        <v>1</v>
      </c>
      <c r="N95">
        <v>1</v>
      </c>
      <c r="P95">
        <v>2.4649755954742432</v>
      </c>
    </row>
    <row r="96" spans="1:16" x14ac:dyDescent="0.25">
      <c r="A96" t="s">
        <v>86</v>
      </c>
      <c r="B96" t="s">
        <v>81</v>
      </c>
      <c r="C96">
        <v>0</v>
      </c>
      <c r="D96">
        <v>1</v>
      </c>
      <c r="E96">
        <v>1</v>
      </c>
      <c r="F96">
        <v>1</v>
      </c>
      <c r="G96">
        <v>1</v>
      </c>
      <c r="H96">
        <v>1</v>
      </c>
      <c r="I96">
        <v>1</v>
      </c>
      <c r="J96">
        <v>1</v>
      </c>
      <c r="K96">
        <v>1</v>
      </c>
      <c r="L96">
        <v>1</v>
      </c>
      <c r="M96">
        <v>1</v>
      </c>
      <c r="N96">
        <v>1</v>
      </c>
      <c r="P96">
        <v>1.2014214992523189</v>
      </c>
    </row>
    <row r="97" spans="1:16" x14ac:dyDescent="0.25">
      <c r="A97" t="s">
        <v>86</v>
      </c>
      <c r="B97" t="s">
        <v>82</v>
      </c>
      <c r="C97">
        <v>0</v>
      </c>
      <c r="D97">
        <v>1</v>
      </c>
      <c r="E97">
        <v>1</v>
      </c>
      <c r="F97">
        <v>1</v>
      </c>
      <c r="G97">
        <v>1</v>
      </c>
      <c r="H97">
        <v>1</v>
      </c>
      <c r="I97">
        <v>1</v>
      </c>
      <c r="J97">
        <v>1</v>
      </c>
      <c r="K97">
        <v>1</v>
      </c>
      <c r="L97">
        <v>1</v>
      </c>
      <c r="M97">
        <v>1</v>
      </c>
      <c r="N97">
        <v>1</v>
      </c>
      <c r="P97">
        <v>1.8200361728668211</v>
      </c>
    </row>
    <row r="98" spans="1:16" x14ac:dyDescent="0.25">
      <c r="A98" t="s">
        <v>86</v>
      </c>
      <c r="B98" t="s">
        <v>83</v>
      </c>
      <c r="C98">
        <v>0</v>
      </c>
      <c r="D98">
        <v>1</v>
      </c>
      <c r="E98">
        <v>1</v>
      </c>
      <c r="F98">
        <v>1</v>
      </c>
      <c r="G98">
        <v>1</v>
      </c>
      <c r="H98">
        <v>1</v>
      </c>
      <c r="I98">
        <v>1</v>
      </c>
      <c r="J98">
        <v>1</v>
      </c>
      <c r="K98">
        <v>1</v>
      </c>
      <c r="L98">
        <v>1</v>
      </c>
      <c r="M98">
        <v>1</v>
      </c>
      <c r="N98">
        <v>1</v>
      </c>
      <c r="P98">
        <v>1.919801712036133</v>
      </c>
    </row>
    <row r="99" spans="1:16" x14ac:dyDescent="0.25">
      <c r="A99" t="s">
        <v>86</v>
      </c>
      <c r="B99" t="s">
        <v>85</v>
      </c>
      <c r="C99">
        <v>0</v>
      </c>
      <c r="D99">
        <v>1</v>
      </c>
      <c r="E99">
        <v>1</v>
      </c>
      <c r="F99">
        <v>1</v>
      </c>
      <c r="G99">
        <v>1</v>
      </c>
      <c r="H99">
        <v>1</v>
      </c>
      <c r="I99">
        <v>1</v>
      </c>
      <c r="J99">
        <v>1</v>
      </c>
      <c r="K99">
        <v>1</v>
      </c>
      <c r="L99">
        <v>1</v>
      </c>
      <c r="M99">
        <v>1</v>
      </c>
      <c r="N99">
        <v>1</v>
      </c>
      <c r="P99">
        <v>1.8498368263244629</v>
      </c>
    </row>
    <row r="100" spans="1:16" x14ac:dyDescent="0.25">
      <c r="A100" t="s">
        <v>86</v>
      </c>
      <c r="B100" t="s">
        <v>98</v>
      </c>
      <c r="C100">
        <v>0</v>
      </c>
      <c r="D100">
        <v>1</v>
      </c>
      <c r="E100">
        <v>1</v>
      </c>
      <c r="F100">
        <v>1</v>
      </c>
      <c r="G100">
        <v>1</v>
      </c>
      <c r="H100">
        <v>1</v>
      </c>
      <c r="I100">
        <v>1</v>
      </c>
      <c r="J100">
        <v>1</v>
      </c>
      <c r="K100">
        <v>1</v>
      </c>
      <c r="L100">
        <v>1</v>
      </c>
      <c r="M100">
        <v>1</v>
      </c>
      <c r="N100">
        <v>1</v>
      </c>
      <c r="P100">
        <v>1.243923664093018</v>
      </c>
    </row>
    <row r="101" spans="1:16" x14ac:dyDescent="0.25">
      <c r="A101" t="s">
        <v>86</v>
      </c>
      <c r="B101" t="s">
        <v>99</v>
      </c>
      <c r="C101">
        <v>0</v>
      </c>
      <c r="D101">
        <v>1</v>
      </c>
      <c r="E101">
        <v>1</v>
      </c>
      <c r="F101">
        <v>1</v>
      </c>
      <c r="G101">
        <v>1</v>
      </c>
      <c r="H101">
        <v>1</v>
      </c>
      <c r="I101">
        <v>1</v>
      </c>
      <c r="J101">
        <v>1</v>
      </c>
      <c r="K101">
        <v>1</v>
      </c>
      <c r="L101">
        <v>1</v>
      </c>
      <c r="M101">
        <v>1</v>
      </c>
      <c r="N101">
        <v>1</v>
      </c>
      <c r="P101">
        <v>1.1541769504547119</v>
      </c>
    </row>
    <row r="102" spans="1:16" x14ac:dyDescent="0.25">
      <c r="A102" t="s">
        <v>86</v>
      </c>
      <c r="B102" t="s">
        <v>100</v>
      </c>
      <c r="C102">
        <v>0</v>
      </c>
      <c r="D102">
        <v>1</v>
      </c>
      <c r="E102">
        <v>1</v>
      </c>
      <c r="F102">
        <v>1</v>
      </c>
      <c r="G102">
        <v>1</v>
      </c>
      <c r="H102">
        <v>1</v>
      </c>
      <c r="I102">
        <v>1</v>
      </c>
      <c r="J102">
        <v>1</v>
      </c>
      <c r="K102">
        <v>1</v>
      </c>
      <c r="L102">
        <v>1</v>
      </c>
      <c r="M102">
        <v>1</v>
      </c>
      <c r="N102">
        <v>1</v>
      </c>
      <c r="P102">
        <v>1.200447082519531</v>
      </c>
    </row>
    <row r="103" spans="1:16" x14ac:dyDescent="0.25">
      <c r="A103" t="s">
        <v>86</v>
      </c>
      <c r="B103" t="s">
        <v>101</v>
      </c>
      <c r="C103">
        <v>0</v>
      </c>
      <c r="D103">
        <v>1</v>
      </c>
      <c r="E103">
        <v>1</v>
      </c>
      <c r="F103">
        <v>1</v>
      </c>
      <c r="G103">
        <v>1</v>
      </c>
      <c r="H103">
        <v>1</v>
      </c>
      <c r="I103">
        <v>1</v>
      </c>
      <c r="J103">
        <v>1</v>
      </c>
      <c r="K103">
        <v>1</v>
      </c>
      <c r="L103">
        <v>1</v>
      </c>
      <c r="M103">
        <v>1</v>
      </c>
      <c r="N103">
        <v>1</v>
      </c>
      <c r="P103">
        <v>1.362061500549316</v>
      </c>
    </row>
    <row r="104" spans="1:16" x14ac:dyDescent="0.25">
      <c r="A104" t="s">
        <v>86</v>
      </c>
      <c r="B104" t="s">
        <v>102</v>
      </c>
      <c r="C104">
        <v>0</v>
      </c>
      <c r="D104">
        <v>1</v>
      </c>
      <c r="E104">
        <v>1</v>
      </c>
      <c r="F104">
        <v>1</v>
      </c>
      <c r="G104">
        <v>1</v>
      </c>
      <c r="H104">
        <v>1</v>
      </c>
      <c r="I104">
        <v>1</v>
      </c>
      <c r="J104">
        <v>0</v>
      </c>
      <c r="K104">
        <v>1</v>
      </c>
      <c r="L104">
        <v>1</v>
      </c>
      <c r="M104">
        <v>1</v>
      </c>
      <c r="N104">
        <v>1</v>
      </c>
      <c r="O104" t="s">
        <v>310</v>
      </c>
      <c r="P104">
        <v>1.5470864772796631</v>
      </c>
    </row>
    <row r="105" spans="1:16" x14ac:dyDescent="0.25">
      <c r="A105" t="s">
        <v>86</v>
      </c>
      <c r="B105" t="s">
        <v>104</v>
      </c>
      <c r="C105">
        <v>0</v>
      </c>
      <c r="D105">
        <v>1</v>
      </c>
      <c r="E105">
        <v>1</v>
      </c>
      <c r="F105">
        <v>1</v>
      </c>
      <c r="G105">
        <v>1</v>
      </c>
      <c r="H105">
        <v>1</v>
      </c>
      <c r="I105">
        <v>1</v>
      </c>
      <c r="J105">
        <v>1</v>
      </c>
      <c r="K105">
        <v>1</v>
      </c>
      <c r="L105">
        <v>1</v>
      </c>
      <c r="M105">
        <v>1</v>
      </c>
      <c r="N105">
        <v>1</v>
      </c>
      <c r="P105">
        <v>1.336533784866333</v>
      </c>
    </row>
    <row r="106" spans="1:16" x14ac:dyDescent="0.25">
      <c r="A106" t="s">
        <v>86</v>
      </c>
      <c r="B106" t="s">
        <v>105</v>
      </c>
      <c r="C106">
        <v>0</v>
      </c>
      <c r="D106">
        <v>1</v>
      </c>
      <c r="E106">
        <v>1</v>
      </c>
      <c r="F106">
        <v>1</v>
      </c>
      <c r="G106">
        <v>1</v>
      </c>
      <c r="H106">
        <v>1</v>
      </c>
      <c r="I106">
        <v>1</v>
      </c>
      <c r="J106">
        <v>1</v>
      </c>
      <c r="K106">
        <v>1</v>
      </c>
      <c r="L106">
        <v>1</v>
      </c>
      <c r="M106">
        <v>1</v>
      </c>
      <c r="N106">
        <v>1</v>
      </c>
      <c r="P106">
        <v>2.0828192234039311</v>
      </c>
    </row>
    <row r="107" spans="1:16" x14ac:dyDescent="0.25">
      <c r="A107" t="s">
        <v>86</v>
      </c>
      <c r="B107" t="s">
        <v>106</v>
      </c>
      <c r="C107">
        <v>0</v>
      </c>
      <c r="D107">
        <v>1</v>
      </c>
      <c r="E107">
        <v>1</v>
      </c>
      <c r="F107">
        <v>1</v>
      </c>
      <c r="G107">
        <v>1</v>
      </c>
      <c r="H107">
        <v>1</v>
      </c>
      <c r="I107">
        <v>1</v>
      </c>
      <c r="J107">
        <v>1</v>
      </c>
      <c r="K107">
        <v>1</v>
      </c>
      <c r="L107">
        <v>1</v>
      </c>
      <c r="M107">
        <v>1</v>
      </c>
      <c r="N107">
        <v>1</v>
      </c>
      <c r="P107">
        <v>1.801542997360229</v>
      </c>
    </row>
    <row r="108" spans="1:16" x14ac:dyDescent="0.25">
      <c r="A108" t="s">
        <v>86</v>
      </c>
      <c r="B108" t="s">
        <v>107</v>
      </c>
      <c r="C108">
        <v>0</v>
      </c>
      <c r="D108">
        <v>1</v>
      </c>
      <c r="E108">
        <v>1</v>
      </c>
      <c r="F108">
        <v>1</v>
      </c>
      <c r="G108">
        <v>1</v>
      </c>
      <c r="H108">
        <v>1</v>
      </c>
      <c r="I108">
        <v>1</v>
      </c>
      <c r="J108">
        <v>1</v>
      </c>
      <c r="K108">
        <v>1</v>
      </c>
      <c r="L108">
        <v>1</v>
      </c>
      <c r="M108">
        <v>1</v>
      </c>
      <c r="N108">
        <v>1</v>
      </c>
      <c r="P108">
        <v>1.8132364749908449</v>
      </c>
    </row>
    <row r="109" spans="1:16" x14ac:dyDescent="0.25">
      <c r="A109" t="s">
        <v>86</v>
      </c>
      <c r="B109" t="s">
        <v>108</v>
      </c>
      <c r="C109">
        <v>0</v>
      </c>
      <c r="D109">
        <v>1</v>
      </c>
      <c r="E109">
        <v>1</v>
      </c>
      <c r="F109">
        <v>1</v>
      </c>
      <c r="G109">
        <v>1</v>
      </c>
      <c r="H109">
        <v>1</v>
      </c>
      <c r="I109">
        <v>1</v>
      </c>
      <c r="J109">
        <v>1</v>
      </c>
      <c r="K109">
        <v>1</v>
      </c>
      <c r="L109">
        <v>1</v>
      </c>
      <c r="M109">
        <v>1</v>
      </c>
      <c r="N109">
        <v>1</v>
      </c>
      <c r="P109">
        <v>1.4548277854919429</v>
      </c>
    </row>
    <row r="110" spans="1:16" x14ac:dyDescent="0.25">
      <c r="A110" t="s">
        <v>86</v>
      </c>
      <c r="B110" t="s">
        <v>109</v>
      </c>
      <c r="C110">
        <v>0</v>
      </c>
      <c r="D110">
        <v>1</v>
      </c>
      <c r="E110">
        <v>1</v>
      </c>
      <c r="F110">
        <v>1</v>
      </c>
      <c r="G110">
        <v>1</v>
      </c>
      <c r="H110">
        <v>1</v>
      </c>
      <c r="I110">
        <v>1</v>
      </c>
      <c r="J110">
        <v>1</v>
      </c>
      <c r="K110">
        <v>1</v>
      </c>
      <c r="L110">
        <v>1</v>
      </c>
      <c r="M110">
        <v>1</v>
      </c>
      <c r="N110">
        <v>1</v>
      </c>
      <c r="P110">
        <v>1.0920295715332029</v>
      </c>
    </row>
    <row r="111" spans="1:16" x14ac:dyDescent="0.25">
      <c r="A111" t="s">
        <v>86</v>
      </c>
      <c r="B111" t="s">
        <v>110</v>
      </c>
      <c r="C111">
        <v>0</v>
      </c>
      <c r="D111">
        <v>1</v>
      </c>
      <c r="E111">
        <v>0</v>
      </c>
      <c r="F111">
        <v>1</v>
      </c>
      <c r="G111">
        <v>1</v>
      </c>
      <c r="H111" t="s">
        <v>20</v>
      </c>
      <c r="I111">
        <v>1</v>
      </c>
      <c r="J111" t="s">
        <v>20</v>
      </c>
      <c r="K111">
        <v>1</v>
      </c>
      <c r="L111">
        <v>1</v>
      </c>
      <c r="M111">
        <v>1</v>
      </c>
      <c r="N111">
        <v>1</v>
      </c>
      <c r="O111" t="s">
        <v>311</v>
      </c>
      <c r="P111">
        <v>3.8900749683380131</v>
      </c>
    </row>
    <row r="112" spans="1:16" x14ac:dyDescent="0.25">
      <c r="A112" t="s">
        <v>86</v>
      </c>
      <c r="B112" t="s">
        <v>112</v>
      </c>
      <c r="C112">
        <v>0</v>
      </c>
      <c r="D112">
        <v>1</v>
      </c>
      <c r="E112">
        <v>1</v>
      </c>
      <c r="F112">
        <v>1</v>
      </c>
      <c r="G112">
        <v>1</v>
      </c>
      <c r="H112">
        <v>1</v>
      </c>
      <c r="I112">
        <v>1</v>
      </c>
      <c r="J112">
        <v>1</v>
      </c>
      <c r="K112">
        <v>1</v>
      </c>
      <c r="L112">
        <v>1</v>
      </c>
      <c r="M112">
        <v>1</v>
      </c>
      <c r="N112">
        <v>1</v>
      </c>
      <c r="P112">
        <v>1.289337635040283</v>
      </c>
    </row>
    <row r="113" spans="1:17" x14ac:dyDescent="0.25">
      <c r="A113" t="s">
        <v>86</v>
      </c>
      <c r="B113" t="s">
        <v>113</v>
      </c>
      <c r="C113">
        <v>0</v>
      </c>
      <c r="D113">
        <v>1</v>
      </c>
      <c r="E113">
        <v>1</v>
      </c>
      <c r="F113">
        <v>1</v>
      </c>
      <c r="G113">
        <v>1</v>
      </c>
      <c r="H113">
        <v>1</v>
      </c>
      <c r="I113">
        <v>1</v>
      </c>
      <c r="J113">
        <v>1</v>
      </c>
      <c r="K113">
        <v>1</v>
      </c>
      <c r="L113">
        <v>1</v>
      </c>
      <c r="M113">
        <v>1</v>
      </c>
      <c r="N113">
        <v>1</v>
      </c>
      <c r="P113">
        <v>1.2109556198120119</v>
      </c>
    </row>
    <row r="114" spans="1:17" x14ac:dyDescent="0.25">
      <c r="A114" t="s">
        <v>115</v>
      </c>
      <c r="B114" t="s">
        <v>18</v>
      </c>
      <c r="C114">
        <v>0</v>
      </c>
      <c r="D114">
        <v>1</v>
      </c>
      <c r="E114">
        <v>1</v>
      </c>
      <c r="F114">
        <v>1</v>
      </c>
      <c r="G114">
        <v>1</v>
      </c>
      <c r="H114">
        <v>1</v>
      </c>
      <c r="I114">
        <v>1</v>
      </c>
      <c r="J114">
        <v>1</v>
      </c>
      <c r="K114">
        <v>1</v>
      </c>
      <c r="L114">
        <v>1</v>
      </c>
      <c r="M114">
        <v>1</v>
      </c>
      <c r="N114">
        <v>1</v>
      </c>
      <c r="P114">
        <v>2.3716392517089839</v>
      </c>
    </row>
    <row r="115" spans="1:17" x14ac:dyDescent="0.25">
      <c r="A115" t="s">
        <v>115</v>
      </c>
      <c r="B115" t="s">
        <v>19</v>
      </c>
      <c r="C115">
        <v>0</v>
      </c>
      <c r="D115">
        <v>1</v>
      </c>
      <c r="E115">
        <v>1</v>
      </c>
      <c r="F115">
        <v>1</v>
      </c>
      <c r="G115">
        <v>0</v>
      </c>
      <c r="H115">
        <v>1</v>
      </c>
      <c r="I115">
        <v>1</v>
      </c>
      <c r="J115">
        <v>1</v>
      </c>
      <c r="K115">
        <v>1</v>
      </c>
      <c r="L115">
        <v>1</v>
      </c>
      <c r="M115">
        <v>1</v>
      </c>
      <c r="N115">
        <v>1</v>
      </c>
      <c r="O115" t="s">
        <v>312</v>
      </c>
      <c r="P115">
        <v>2.0912036895751949</v>
      </c>
    </row>
    <row r="116" spans="1:17" x14ac:dyDescent="0.25">
      <c r="A116" t="s">
        <v>115</v>
      </c>
      <c r="B116" t="s">
        <v>22</v>
      </c>
      <c r="C116">
        <v>0</v>
      </c>
      <c r="D116">
        <v>1</v>
      </c>
      <c r="E116">
        <v>0</v>
      </c>
      <c r="F116">
        <v>1</v>
      </c>
      <c r="G116">
        <v>1</v>
      </c>
      <c r="H116" t="s">
        <v>20</v>
      </c>
      <c r="I116">
        <v>1</v>
      </c>
      <c r="J116" t="s">
        <v>20</v>
      </c>
      <c r="K116">
        <v>1</v>
      </c>
      <c r="L116">
        <v>1</v>
      </c>
      <c r="M116">
        <v>1</v>
      </c>
      <c r="N116">
        <v>1</v>
      </c>
      <c r="O116" t="s">
        <v>313</v>
      </c>
      <c r="P116">
        <v>2.780369758605957</v>
      </c>
    </row>
    <row r="117" spans="1:17" x14ac:dyDescent="0.25">
      <c r="A117" t="s">
        <v>115</v>
      </c>
      <c r="B117" t="s">
        <v>24</v>
      </c>
      <c r="C117">
        <v>0</v>
      </c>
      <c r="D117">
        <v>1</v>
      </c>
      <c r="E117">
        <v>1</v>
      </c>
      <c r="F117">
        <v>1</v>
      </c>
      <c r="G117">
        <v>1</v>
      </c>
      <c r="H117">
        <v>1</v>
      </c>
      <c r="I117">
        <v>1</v>
      </c>
      <c r="J117">
        <v>1</v>
      </c>
      <c r="K117">
        <v>1</v>
      </c>
      <c r="L117">
        <v>1</v>
      </c>
      <c r="M117">
        <v>1</v>
      </c>
      <c r="N117">
        <v>1</v>
      </c>
      <c r="P117">
        <v>1.5292150974273679</v>
      </c>
    </row>
    <row r="118" spans="1:17" x14ac:dyDescent="0.25">
      <c r="A118" t="s">
        <v>115</v>
      </c>
      <c r="B118" t="s">
        <v>25</v>
      </c>
      <c r="C118">
        <v>0</v>
      </c>
      <c r="D118">
        <v>1</v>
      </c>
      <c r="E118">
        <v>1</v>
      </c>
      <c r="F118">
        <v>1</v>
      </c>
      <c r="G118">
        <v>0</v>
      </c>
      <c r="H118">
        <v>1</v>
      </c>
      <c r="I118">
        <v>1</v>
      </c>
      <c r="J118">
        <v>1</v>
      </c>
      <c r="K118">
        <v>1</v>
      </c>
      <c r="L118">
        <v>1</v>
      </c>
      <c r="M118">
        <v>1</v>
      </c>
      <c r="N118">
        <v>1</v>
      </c>
      <c r="O118" t="s">
        <v>314</v>
      </c>
      <c r="P118">
        <v>3.4271254539489751</v>
      </c>
    </row>
    <row r="119" spans="1:17" x14ac:dyDescent="0.25">
      <c r="A119" t="s">
        <v>115</v>
      </c>
      <c r="B119" t="s">
        <v>26</v>
      </c>
      <c r="C119">
        <v>0</v>
      </c>
      <c r="D119">
        <v>1</v>
      </c>
      <c r="E119">
        <v>1</v>
      </c>
      <c r="F119">
        <v>1</v>
      </c>
      <c r="G119">
        <v>1</v>
      </c>
      <c r="H119">
        <v>1</v>
      </c>
      <c r="I119">
        <v>1</v>
      </c>
      <c r="J119">
        <v>1</v>
      </c>
      <c r="K119">
        <v>1</v>
      </c>
      <c r="L119">
        <v>1</v>
      </c>
      <c r="M119">
        <v>1</v>
      </c>
      <c r="N119">
        <v>1</v>
      </c>
      <c r="P119">
        <v>1.085378885269165</v>
      </c>
    </row>
    <row r="120" spans="1:17" x14ac:dyDescent="0.25">
      <c r="A120" t="s">
        <v>115</v>
      </c>
      <c r="B120" t="s">
        <v>27</v>
      </c>
      <c r="C120">
        <v>0</v>
      </c>
      <c r="D120">
        <v>1</v>
      </c>
      <c r="E120">
        <v>1</v>
      </c>
      <c r="F120">
        <v>1</v>
      </c>
      <c r="G120">
        <v>1</v>
      </c>
      <c r="H120">
        <v>1</v>
      </c>
      <c r="I120">
        <v>1</v>
      </c>
      <c r="J120">
        <v>1</v>
      </c>
      <c r="K120">
        <v>1</v>
      </c>
      <c r="L120">
        <v>1</v>
      </c>
      <c r="M120">
        <v>1</v>
      </c>
      <c r="N120">
        <v>1</v>
      </c>
      <c r="P120">
        <v>1.2151651382446289</v>
      </c>
    </row>
    <row r="121" spans="1:17" x14ac:dyDescent="0.25">
      <c r="A121" t="s">
        <v>115</v>
      </c>
      <c r="B121" t="s">
        <v>29</v>
      </c>
      <c r="C121">
        <v>0</v>
      </c>
      <c r="D121">
        <v>1</v>
      </c>
      <c r="E121">
        <v>1</v>
      </c>
      <c r="F121">
        <v>1</v>
      </c>
      <c r="G121">
        <v>0</v>
      </c>
      <c r="H121">
        <v>1</v>
      </c>
      <c r="I121">
        <v>1</v>
      </c>
      <c r="J121">
        <v>1</v>
      </c>
      <c r="K121">
        <v>1</v>
      </c>
      <c r="L121">
        <v>1</v>
      </c>
      <c r="M121">
        <v>1</v>
      </c>
      <c r="N121">
        <v>1</v>
      </c>
      <c r="O121" t="s">
        <v>315</v>
      </c>
      <c r="P121">
        <v>2.35090160369873</v>
      </c>
    </row>
    <row r="122" spans="1:17" x14ac:dyDescent="0.25">
      <c r="A122" t="s">
        <v>115</v>
      </c>
      <c r="B122" t="s">
        <v>30</v>
      </c>
      <c r="C122">
        <v>0</v>
      </c>
      <c r="D122">
        <v>0</v>
      </c>
      <c r="E122" t="s">
        <v>20</v>
      </c>
      <c r="F122" t="s">
        <v>20</v>
      </c>
      <c r="G122" t="s">
        <v>20</v>
      </c>
      <c r="H122" t="s">
        <v>20</v>
      </c>
      <c r="I122" t="s">
        <v>20</v>
      </c>
      <c r="J122" t="s">
        <v>20</v>
      </c>
      <c r="K122" t="s">
        <v>20</v>
      </c>
      <c r="L122" t="s">
        <v>20</v>
      </c>
      <c r="M122">
        <v>1</v>
      </c>
      <c r="N122" t="s">
        <v>20</v>
      </c>
      <c r="O122" t="s">
        <v>316</v>
      </c>
      <c r="P122">
        <v>3.4282348155975342</v>
      </c>
      <c r="Q122" t="s">
        <v>20</v>
      </c>
    </row>
    <row r="123" spans="1:17" x14ac:dyDescent="0.25">
      <c r="A123" t="s">
        <v>115</v>
      </c>
      <c r="B123" t="s">
        <v>32</v>
      </c>
      <c r="C123">
        <v>0</v>
      </c>
      <c r="D123">
        <v>1</v>
      </c>
      <c r="E123">
        <v>0</v>
      </c>
      <c r="F123">
        <v>1</v>
      </c>
      <c r="G123">
        <v>1</v>
      </c>
      <c r="H123" t="s">
        <v>20</v>
      </c>
      <c r="I123">
        <v>1</v>
      </c>
      <c r="J123" t="s">
        <v>20</v>
      </c>
      <c r="K123">
        <v>1</v>
      </c>
      <c r="L123">
        <v>1</v>
      </c>
      <c r="M123">
        <v>1</v>
      </c>
      <c r="N123">
        <v>1</v>
      </c>
      <c r="O123" t="s">
        <v>317</v>
      </c>
      <c r="P123">
        <v>2.4963421821594238</v>
      </c>
    </row>
    <row r="124" spans="1:17" x14ac:dyDescent="0.25">
      <c r="A124" t="s">
        <v>115</v>
      </c>
      <c r="B124" t="s">
        <v>33</v>
      </c>
      <c r="C124">
        <v>0</v>
      </c>
      <c r="D124">
        <v>1</v>
      </c>
      <c r="E124">
        <v>0</v>
      </c>
      <c r="F124">
        <v>1</v>
      </c>
      <c r="G124">
        <v>1</v>
      </c>
      <c r="H124" t="s">
        <v>20</v>
      </c>
      <c r="I124">
        <v>1</v>
      </c>
      <c r="J124" t="s">
        <v>20</v>
      </c>
      <c r="K124">
        <v>1</v>
      </c>
      <c r="L124">
        <v>1</v>
      </c>
      <c r="M124">
        <v>0</v>
      </c>
      <c r="N124">
        <v>1</v>
      </c>
      <c r="O124" t="s">
        <v>318</v>
      </c>
      <c r="P124">
        <v>5.3915169239044189</v>
      </c>
    </row>
    <row r="125" spans="1:17" x14ac:dyDescent="0.25">
      <c r="A125" t="s">
        <v>115</v>
      </c>
      <c r="B125" t="s">
        <v>34</v>
      </c>
      <c r="C125">
        <v>0</v>
      </c>
      <c r="D125">
        <v>1</v>
      </c>
      <c r="E125">
        <v>1</v>
      </c>
      <c r="F125">
        <v>1</v>
      </c>
      <c r="G125">
        <v>1</v>
      </c>
      <c r="H125">
        <v>1</v>
      </c>
      <c r="I125">
        <v>1</v>
      </c>
      <c r="J125">
        <v>1</v>
      </c>
      <c r="K125">
        <v>1</v>
      </c>
      <c r="L125">
        <v>1</v>
      </c>
      <c r="M125">
        <v>1</v>
      </c>
      <c r="N125">
        <v>1</v>
      </c>
      <c r="P125">
        <v>1.2791373729705811</v>
      </c>
    </row>
    <row r="126" spans="1:17" x14ac:dyDescent="0.25">
      <c r="A126" t="s">
        <v>115</v>
      </c>
      <c r="B126" t="s">
        <v>35</v>
      </c>
      <c r="C126">
        <v>0</v>
      </c>
      <c r="D126">
        <v>1</v>
      </c>
      <c r="E126">
        <v>1</v>
      </c>
      <c r="F126">
        <v>1</v>
      </c>
      <c r="G126">
        <v>1</v>
      </c>
      <c r="H126">
        <v>1</v>
      </c>
      <c r="I126">
        <v>1</v>
      </c>
      <c r="J126">
        <v>1</v>
      </c>
      <c r="K126">
        <v>1</v>
      </c>
      <c r="L126">
        <v>1</v>
      </c>
      <c r="M126">
        <v>1</v>
      </c>
      <c r="N126">
        <v>1</v>
      </c>
      <c r="P126">
        <v>1.197297096252441</v>
      </c>
    </row>
    <row r="127" spans="1:17" x14ac:dyDescent="0.25">
      <c r="A127" t="s">
        <v>115</v>
      </c>
      <c r="B127" t="s">
        <v>37</v>
      </c>
      <c r="C127">
        <v>0</v>
      </c>
      <c r="D127">
        <v>1</v>
      </c>
      <c r="E127">
        <v>1</v>
      </c>
      <c r="F127">
        <v>1</v>
      </c>
      <c r="G127">
        <v>1</v>
      </c>
      <c r="H127">
        <v>1</v>
      </c>
      <c r="I127">
        <v>1</v>
      </c>
      <c r="J127">
        <v>1</v>
      </c>
      <c r="K127">
        <v>1</v>
      </c>
      <c r="L127">
        <v>1</v>
      </c>
      <c r="M127">
        <v>1</v>
      </c>
      <c r="N127">
        <v>1</v>
      </c>
      <c r="P127">
        <v>1.3529670238494871</v>
      </c>
    </row>
    <row r="128" spans="1:17" x14ac:dyDescent="0.25">
      <c r="A128" t="s">
        <v>115</v>
      </c>
      <c r="B128" t="s">
        <v>38</v>
      </c>
      <c r="C128">
        <v>0</v>
      </c>
      <c r="D128">
        <v>1</v>
      </c>
      <c r="E128">
        <v>1</v>
      </c>
      <c r="F128">
        <v>1</v>
      </c>
      <c r="G128">
        <v>1</v>
      </c>
      <c r="H128">
        <v>1</v>
      </c>
      <c r="I128">
        <v>1</v>
      </c>
      <c r="J128">
        <v>1</v>
      </c>
      <c r="K128">
        <v>1</v>
      </c>
      <c r="L128">
        <v>1</v>
      </c>
      <c r="M128">
        <v>1</v>
      </c>
      <c r="N128">
        <v>1</v>
      </c>
      <c r="P128">
        <v>1.175342798233032</v>
      </c>
    </row>
    <row r="129" spans="1:16" x14ac:dyDescent="0.25">
      <c r="A129" t="s">
        <v>115</v>
      </c>
      <c r="B129" t="s">
        <v>39</v>
      </c>
      <c r="C129">
        <v>0</v>
      </c>
      <c r="D129">
        <v>1</v>
      </c>
      <c r="E129">
        <v>1</v>
      </c>
      <c r="F129">
        <v>1</v>
      </c>
      <c r="G129">
        <v>1</v>
      </c>
      <c r="H129">
        <v>1</v>
      </c>
      <c r="I129">
        <v>1</v>
      </c>
      <c r="J129">
        <v>1</v>
      </c>
      <c r="K129">
        <v>1</v>
      </c>
      <c r="L129">
        <v>1</v>
      </c>
      <c r="M129">
        <v>1</v>
      </c>
      <c r="N129">
        <v>1</v>
      </c>
      <c r="P129">
        <v>1.3748779296875</v>
      </c>
    </row>
    <row r="130" spans="1:16" x14ac:dyDescent="0.25">
      <c r="A130" t="s">
        <v>115</v>
      </c>
      <c r="B130" t="s">
        <v>40</v>
      </c>
      <c r="C130">
        <v>0</v>
      </c>
      <c r="D130">
        <v>1</v>
      </c>
      <c r="E130">
        <v>1</v>
      </c>
      <c r="F130">
        <v>1</v>
      </c>
      <c r="G130">
        <v>0</v>
      </c>
      <c r="H130">
        <v>1</v>
      </c>
      <c r="I130">
        <v>1</v>
      </c>
      <c r="J130">
        <v>1</v>
      </c>
      <c r="K130">
        <v>1</v>
      </c>
      <c r="L130">
        <v>1</v>
      </c>
      <c r="M130">
        <v>1</v>
      </c>
      <c r="N130">
        <v>1</v>
      </c>
      <c r="O130" t="s">
        <v>319</v>
      </c>
      <c r="P130">
        <v>2.3354594707489009</v>
      </c>
    </row>
    <row r="131" spans="1:16" x14ac:dyDescent="0.25">
      <c r="A131" t="s">
        <v>115</v>
      </c>
      <c r="B131" t="s">
        <v>41</v>
      </c>
      <c r="C131">
        <v>0</v>
      </c>
      <c r="D131">
        <v>1</v>
      </c>
      <c r="E131">
        <v>1</v>
      </c>
      <c r="F131">
        <v>1</v>
      </c>
      <c r="G131">
        <v>1</v>
      </c>
      <c r="H131">
        <v>1</v>
      </c>
      <c r="I131">
        <v>1</v>
      </c>
      <c r="J131">
        <v>1</v>
      </c>
      <c r="K131">
        <v>1</v>
      </c>
      <c r="L131">
        <v>1</v>
      </c>
      <c r="M131">
        <v>1</v>
      </c>
      <c r="N131">
        <v>1</v>
      </c>
      <c r="P131">
        <v>1.5671031475067141</v>
      </c>
    </row>
    <row r="132" spans="1:16" x14ac:dyDescent="0.25">
      <c r="A132" t="s">
        <v>115</v>
      </c>
      <c r="B132" t="s">
        <v>42</v>
      </c>
      <c r="C132">
        <v>0</v>
      </c>
      <c r="D132">
        <v>1</v>
      </c>
      <c r="E132">
        <v>1</v>
      </c>
      <c r="F132">
        <v>1</v>
      </c>
      <c r="G132">
        <v>1</v>
      </c>
      <c r="H132">
        <v>1</v>
      </c>
      <c r="I132">
        <v>1</v>
      </c>
      <c r="J132">
        <v>1</v>
      </c>
      <c r="K132">
        <v>1</v>
      </c>
      <c r="L132">
        <v>0</v>
      </c>
      <c r="M132">
        <v>1</v>
      </c>
      <c r="N132">
        <v>1</v>
      </c>
      <c r="O132" t="s">
        <v>320</v>
      </c>
      <c r="P132">
        <v>2.1463913917541499</v>
      </c>
    </row>
    <row r="133" spans="1:16" x14ac:dyDescent="0.25">
      <c r="A133" t="s">
        <v>115</v>
      </c>
      <c r="B133" t="s">
        <v>43</v>
      </c>
      <c r="C133">
        <v>0</v>
      </c>
      <c r="D133">
        <v>1</v>
      </c>
      <c r="E133">
        <v>1</v>
      </c>
      <c r="F133">
        <v>1</v>
      </c>
      <c r="G133">
        <v>0</v>
      </c>
      <c r="H133">
        <v>1</v>
      </c>
      <c r="I133">
        <v>1</v>
      </c>
      <c r="J133">
        <v>1</v>
      </c>
      <c r="K133">
        <v>1</v>
      </c>
      <c r="L133">
        <v>1</v>
      </c>
      <c r="M133">
        <v>1</v>
      </c>
      <c r="N133">
        <v>1</v>
      </c>
      <c r="O133" t="s">
        <v>321</v>
      </c>
      <c r="P133">
        <v>2.7495937347412109</v>
      </c>
    </row>
    <row r="134" spans="1:16" x14ac:dyDescent="0.25">
      <c r="A134" t="s">
        <v>115</v>
      </c>
      <c r="B134" t="s">
        <v>44</v>
      </c>
      <c r="C134">
        <v>0</v>
      </c>
      <c r="D134">
        <v>1</v>
      </c>
      <c r="E134">
        <v>1</v>
      </c>
      <c r="F134">
        <v>1</v>
      </c>
      <c r="G134">
        <v>1</v>
      </c>
      <c r="H134">
        <v>1</v>
      </c>
      <c r="I134">
        <v>1</v>
      </c>
      <c r="J134">
        <v>1</v>
      </c>
      <c r="K134">
        <v>1</v>
      </c>
      <c r="L134">
        <v>1</v>
      </c>
      <c r="M134">
        <v>1</v>
      </c>
      <c r="N134">
        <v>1</v>
      </c>
      <c r="P134">
        <v>1.597567081451416</v>
      </c>
    </row>
    <row r="135" spans="1:16" x14ac:dyDescent="0.25">
      <c r="A135" t="s">
        <v>115</v>
      </c>
      <c r="B135" t="s">
        <v>45</v>
      </c>
      <c r="C135">
        <v>0</v>
      </c>
      <c r="D135">
        <v>1</v>
      </c>
      <c r="E135">
        <v>1</v>
      </c>
      <c r="F135">
        <v>1</v>
      </c>
      <c r="G135">
        <v>1</v>
      </c>
      <c r="H135">
        <v>1</v>
      </c>
      <c r="I135">
        <v>1</v>
      </c>
      <c r="J135">
        <v>1</v>
      </c>
      <c r="K135">
        <v>1</v>
      </c>
      <c r="L135">
        <v>1</v>
      </c>
      <c r="M135">
        <v>1</v>
      </c>
      <c r="N135">
        <v>1</v>
      </c>
      <c r="P135">
        <v>1.1563911437988279</v>
      </c>
    </row>
    <row r="136" spans="1:16" x14ac:dyDescent="0.25">
      <c r="A136" t="s">
        <v>115</v>
      </c>
      <c r="B136" t="s">
        <v>47</v>
      </c>
      <c r="C136">
        <v>0</v>
      </c>
      <c r="D136">
        <v>1</v>
      </c>
      <c r="E136">
        <v>1</v>
      </c>
      <c r="F136">
        <v>1</v>
      </c>
      <c r="G136">
        <v>1</v>
      </c>
      <c r="H136">
        <v>1</v>
      </c>
      <c r="I136">
        <v>1</v>
      </c>
      <c r="J136">
        <v>1</v>
      </c>
      <c r="K136">
        <v>1</v>
      </c>
      <c r="L136">
        <v>1</v>
      </c>
      <c r="M136">
        <v>1</v>
      </c>
      <c r="N136">
        <v>1</v>
      </c>
      <c r="P136">
        <v>1.6395478248596189</v>
      </c>
    </row>
    <row r="137" spans="1:16" x14ac:dyDescent="0.25">
      <c r="A137" t="s">
        <v>115</v>
      </c>
      <c r="B137" t="s">
        <v>48</v>
      </c>
      <c r="C137">
        <v>0</v>
      </c>
      <c r="D137">
        <v>1</v>
      </c>
      <c r="E137">
        <v>0</v>
      </c>
      <c r="F137">
        <v>1</v>
      </c>
      <c r="G137">
        <v>1</v>
      </c>
      <c r="H137" t="s">
        <v>20</v>
      </c>
      <c r="I137">
        <v>1</v>
      </c>
      <c r="J137" t="s">
        <v>20</v>
      </c>
      <c r="K137">
        <v>1</v>
      </c>
      <c r="L137">
        <v>1</v>
      </c>
      <c r="M137">
        <v>1</v>
      </c>
      <c r="N137">
        <v>1</v>
      </c>
      <c r="O137" t="s">
        <v>322</v>
      </c>
      <c r="P137">
        <v>2.91932201385498</v>
      </c>
    </row>
    <row r="138" spans="1:16" x14ac:dyDescent="0.25">
      <c r="A138" t="s">
        <v>115</v>
      </c>
      <c r="B138" t="s">
        <v>50</v>
      </c>
      <c r="C138">
        <v>0</v>
      </c>
      <c r="D138">
        <v>1</v>
      </c>
      <c r="E138">
        <v>1</v>
      </c>
      <c r="F138">
        <v>1</v>
      </c>
      <c r="G138">
        <v>1</v>
      </c>
      <c r="H138">
        <v>1</v>
      </c>
      <c r="I138">
        <v>1</v>
      </c>
      <c r="J138">
        <v>1</v>
      </c>
      <c r="K138">
        <v>1</v>
      </c>
      <c r="L138">
        <v>1</v>
      </c>
      <c r="M138">
        <v>1</v>
      </c>
      <c r="N138">
        <v>1</v>
      </c>
      <c r="P138">
        <v>1.183607816696167</v>
      </c>
    </row>
    <row r="139" spans="1:16" x14ac:dyDescent="0.25">
      <c r="A139" t="s">
        <v>115</v>
      </c>
      <c r="B139" t="s">
        <v>51</v>
      </c>
      <c r="C139">
        <v>0</v>
      </c>
      <c r="D139">
        <v>1</v>
      </c>
      <c r="E139">
        <v>0</v>
      </c>
      <c r="F139">
        <v>1</v>
      </c>
      <c r="G139">
        <v>1</v>
      </c>
      <c r="H139" t="s">
        <v>20</v>
      </c>
      <c r="I139">
        <v>1</v>
      </c>
      <c r="J139" t="s">
        <v>20</v>
      </c>
      <c r="K139">
        <v>1</v>
      </c>
      <c r="L139">
        <v>1</v>
      </c>
      <c r="M139">
        <v>1</v>
      </c>
      <c r="N139">
        <v>1</v>
      </c>
      <c r="O139" t="s">
        <v>323</v>
      </c>
      <c r="P139">
        <v>2.2034554481506352</v>
      </c>
    </row>
    <row r="140" spans="1:16" x14ac:dyDescent="0.25">
      <c r="A140" t="s">
        <v>115</v>
      </c>
      <c r="B140" t="s">
        <v>53</v>
      </c>
      <c r="C140">
        <v>0</v>
      </c>
      <c r="D140">
        <v>1</v>
      </c>
      <c r="E140">
        <v>1</v>
      </c>
      <c r="F140">
        <v>0</v>
      </c>
      <c r="G140">
        <v>1</v>
      </c>
      <c r="H140">
        <v>1</v>
      </c>
      <c r="I140">
        <v>1</v>
      </c>
      <c r="J140" t="s">
        <v>20</v>
      </c>
      <c r="K140">
        <v>1</v>
      </c>
      <c r="L140">
        <v>1</v>
      </c>
      <c r="M140">
        <v>1</v>
      </c>
      <c r="N140">
        <v>1</v>
      </c>
      <c r="O140" t="s">
        <v>324</v>
      </c>
      <c r="P140">
        <v>2.9175713062286381</v>
      </c>
    </row>
    <row r="141" spans="1:16" x14ac:dyDescent="0.25">
      <c r="A141" t="s">
        <v>115</v>
      </c>
      <c r="B141" t="s">
        <v>55</v>
      </c>
      <c r="C141">
        <v>0</v>
      </c>
      <c r="D141">
        <v>1</v>
      </c>
      <c r="E141">
        <v>1</v>
      </c>
      <c r="F141">
        <v>1</v>
      </c>
      <c r="G141">
        <v>1</v>
      </c>
      <c r="H141">
        <v>1</v>
      </c>
      <c r="I141">
        <v>1</v>
      </c>
      <c r="J141">
        <v>1</v>
      </c>
      <c r="K141">
        <v>1</v>
      </c>
      <c r="L141">
        <v>1</v>
      </c>
      <c r="M141">
        <v>1</v>
      </c>
      <c r="N141">
        <v>1</v>
      </c>
      <c r="P141">
        <v>1.618688821792603</v>
      </c>
    </row>
    <row r="142" spans="1:16" x14ac:dyDescent="0.25">
      <c r="A142" t="s">
        <v>115</v>
      </c>
      <c r="B142" t="s">
        <v>56</v>
      </c>
      <c r="C142">
        <v>0</v>
      </c>
      <c r="D142">
        <v>1</v>
      </c>
      <c r="E142">
        <v>1</v>
      </c>
      <c r="F142">
        <v>1</v>
      </c>
      <c r="G142">
        <v>1</v>
      </c>
      <c r="H142">
        <v>1</v>
      </c>
      <c r="I142">
        <v>1</v>
      </c>
      <c r="J142">
        <v>1</v>
      </c>
      <c r="K142">
        <v>1</v>
      </c>
      <c r="L142">
        <v>1</v>
      </c>
      <c r="M142">
        <v>1</v>
      </c>
      <c r="N142">
        <v>1</v>
      </c>
      <c r="P142">
        <v>2.8082122802734379</v>
      </c>
    </row>
    <row r="143" spans="1:16" x14ac:dyDescent="0.25">
      <c r="A143" t="s">
        <v>115</v>
      </c>
      <c r="B143" t="s">
        <v>58</v>
      </c>
      <c r="C143">
        <v>0</v>
      </c>
      <c r="D143">
        <v>1</v>
      </c>
      <c r="E143">
        <v>1</v>
      </c>
      <c r="F143">
        <v>1</v>
      </c>
      <c r="G143">
        <v>1</v>
      </c>
      <c r="H143">
        <v>1</v>
      </c>
      <c r="I143">
        <v>1</v>
      </c>
      <c r="J143">
        <v>1</v>
      </c>
      <c r="K143">
        <v>1</v>
      </c>
      <c r="L143">
        <v>1</v>
      </c>
      <c r="M143">
        <v>1</v>
      </c>
      <c r="N143">
        <v>1</v>
      </c>
      <c r="P143">
        <v>1.183783292770386</v>
      </c>
    </row>
    <row r="144" spans="1:16" x14ac:dyDescent="0.25">
      <c r="A144" t="s">
        <v>115</v>
      </c>
      <c r="B144" t="s">
        <v>60</v>
      </c>
      <c r="C144">
        <v>0</v>
      </c>
      <c r="D144">
        <v>1</v>
      </c>
      <c r="E144">
        <v>1</v>
      </c>
      <c r="F144">
        <v>1</v>
      </c>
      <c r="G144">
        <v>1</v>
      </c>
      <c r="H144">
        <v>1</v>
      </c>
      <c r="I144">
        <v>1</v>
      </c>
      <c r="J144">
        <v>1</v>
      </c>
      <c r="K144">
        <v>1</v>
      </c>
      <c r="L144">
        <v>1</v>
      </c>
      <c r="M144">
        <v>1</v>
      </c>
      <c r="N144">
        <v>1</v>
      </c>
      <c r="P144">
        <v>1.9413659572601321</v>
      </c>
    </row>
    <row r="145" spans="1:16" x14ac:dyDescent="0.25">
      <c r="A145" t="s">
        <v>115</v>
      </c>
      <c r="B145" t="s">
        <v>62</v>
      </c>
      <c r="C145">
        <v>0</v>
      </c>
      <c r="D145">
        <v>1</v>
      </c>
      <c r="E145">
        <v>1</v>
      </c>
      <c r="F145">
        <v>1</v>
      </c>
      <c r="G145">
        <v>1</v>
      </c>
      <c r="H145">
        <v>1</v>
      </c>
      <c r="I145">
        <v>1</v>
      </c>
      <c r="J145">
        <v>1</v>
      </c>
      <c r="K145">
        <v>1</v>
      </c>
      <c r="L145">
        <v>1</v>
      </c>
      <c r="M145">
        <v>1</v>
      </c>
      <c r="N145">
        <v>1</v>
      </c>
      <c r="P145">
        <v>1.2353441715240481</v>
      </c>
    </row>
    <row r="146" spans="1:16" x14ac:dyDescent="0.25">
      <c r="A146" t="s">
        <v>115</v>
      </c>
      <c r="B146" t="s">
        <v>63</v>
      </c>
      <c r="C146">
        <v>0</v>
      </c>
      <c r="D146">
        <v>1</v>
      </c>
      <c r="E146">
        <v>1</v>
      </c>
      <c r="F146">
        <v>1</v>
      </c>
      <c r="G146">
        <v>1</v>
      </c>
      <c r="H146">
        <v>1</v>
      </c>
      <c r="I146">
        <v>1</v>
      </c>
      <c r="J146">
        <v>1</v>
      </c>
      <c r="K146">
        <v>1</v>
      </c>
      <c r="L146">
        <v>1</v>
      </c>
      <c r="M146">
        <v>1</v>
      </c>
      <c r="N146">
        <v>1</v>
      </c>
      <c r="P146">
        <v>1.720954418182373</v>
      </c>
    </row>
    <row r="147" spans="1:16" x14ac:dyDescent="0.25">
      <c r="A147" t="s">
        <v>115</v>
      </c>
      <c r="B147" t="s">
        <v>65</v>
      </c>
      <c r="C147">
        <v>0</v>
      </c>
      <c r="D147">
        <v>1</v>
      </c>
      <c r="E147">
        <v>1</v>
      </c>
      <c r="F147">
        <v>1</v>
      </c>
      <c r="G147">
        <v>0</v>
      </c>
      <c r="H147">
        <v>1</v>
      </c>
      <c r="I147">
        <v>1</v>
      </c>
      <c r="J147">
        <v>1</v>
      </c>
      <c r="K147">
        <v>1</v>
      </c>
      <c r="L147">
        <v>1</v>
      </c>
      <c r="M147">
        <v>1</v>
      </c>
      <c r="N147">
        <v>1</v>
      </c>
      <c r="O147" t="s">
        <v>325</v>
      </c>
      <c r="P147">
        <v>1.649538993835449</v>
      </c>
    </row>
    <row r="148" spans="1:16" x14ac:dyDescent="0.25">
      <c r="A148" t="s">
        <v>115</v>
      </c>
      <c r="B148" t="s">
        <v>66</v>
      </c>
      <c r="C148">
        <v>0</v>
      </c>
      <c r="D148">
        <v>1</v>
      </c>
      <c r="E148">
        <v>1</v>
      </c>
      <c r="F148">
        <v>1</v>
      </c>
      <c r="G148">
        <v>1</v>
      </c>
      <c r="H148">
        <v>1</v>
      </c>
      <c r="I148">
        <v>1</v>
      </c>
      <c r="J148">
        <v>1</v>
      </c>
      <c r="K148">
        <v>1</v>
      </c>
      <c r="L148">
        <v>1</v>
      </c>
      <c r="M148">
        <v>1</v>
      </c>
      <c r="N148">
        <v>1</v>
      </c>
      <c r="P148">
        <v>1.1275331974029541</v>
      </c>
    </row>
    <row r="149" spans="1:16" x14ac:dyDescent="0.25">
      <c r="A149" t="s">
        <v>115</v>
      </c>
      <c r="B149" t="s">
        <v>67</v>
      </c>
      <c r="C149">
        <v>0</v>
      </c>
      <c r="D149">
        <v>1</v>
      </c>
      <c r="E149">
        <v>1</v>
      </c>
      <c r="F149">
        <v>1</v>
      </c>
      <c r="G149">
        <v>1</v>
      </c>
      <c r="H149">
        <v>1</v>
      </c>
      <c r="I149">
        <v>1</v>
      </c>
      <c r="J149">
        <v>1</v>
      </c>
      <c r="K149">
        <v>1</v>
      </c>
      <c r="L149">
        <v>1</v>
      </c>
      <c r="M149">
        <v>1</v>
      </c>
      <c r="N149">
        <v>1</v>
      </c>
      <c r="P149">
        <v>1.1517267227172849</v>
      </c>
    </row>
    <row r="150" spans="1:16" x14ac:dyDescent="0.25">
      <c r="A150" t="s">
        <v>115</v>
      </c>
      <c r="B150" t="s">
        <v>68</v>
      </c>
      <c r="C150">
        <v>0</v>
      </c>
      <c r="D150">
        <v>1</v>
      </c>
      <c r="E150">
        <v>1</v>
      </c>
      <c r="F150">
        <v>1</v>
      </c>
      <c r="G150">
        <v>1</v>
      </c>
      <c r="H150">
        <v>1</v>
      </c>
      <c r="I150">
        <v>1</v>
      </c>
      <c r="J150">
        <v>1</v>
      </c>
      <c r="K150">
        <v>1</v>
      </c>
      <c r="L150">
        <v>1</v>
      </c>
      <c r="M150">
        <v>1</v>
      </c>
      <c r="N150">
        <v>1</v>
      </c>
      <c r="P150">
        <v>1.302281856536865</v>
      </c>
    </row>
    <row r="151" spans="1:16" x14ac:dyDescent="0.25">
      <c r="A151" t="s">
        <v>115</v>
      </c>
      <c r="B151" t="s">
        <v>69</v>
      </c>
      <c r="C151">
        <v>0</v>
      </c>
      <c r="D151">
        <v>1</v>
      </c>
      <c r="E151">
        <v>1</v>
      </c>
      <c r="F151">
        <v>1</v>
      </c>
      <c r="G151">
        <v>1</v>
      </c>
      <c r="H151">
        <v>1</v>
      </c>
      <c r="I151">
        <v>1</v>
      </c>
      <c r="J151">
        <v>1</v>
      </c>
      <c r="K151">
        <v>1</v>
      </c>
      <c r="L151">
        <v>1</v>
      </c>
      <c r="M151">
        <v>1</v>
      </c>
      <c r="N151">
        <v>1</v>
      </c>
      <c r="P151">
        <v>1.883378744125366</v>
      </c>
    </row>
    <row r="152" spans="1:16" x14ac:dyDescent="0.25">
      <c r="A152" t="s">
        <v>115</v>
      </c>
      <c r="B152" t="s">
        <v>71</v>
      </c>
      <c r="C152">
        <v>0</v>
      </c>
      <c r="D152">
        <v>1</v>
      </c>
      <c r="E152">
        <v>1</v>
      </c>
      <c r="F152">
        <v>1</v>
      </c>
      <c r="G152">
        <v>1</v>
      </c>
      <c r="H152">
        <v>1</v>
      </c>
      <c r="I152">
        <v>1</v>
      </c>
      <c r="J152">
        <v>1</v>
      </c>
      <c r="K152">
        <v>1</v>
      </c>
      <c r="L152">
        <v>1</v>
      </c>
      <c r="M152">
        <v>1</v>
      </c>
      <c r="N152">
        <v>1</v>
      </c>
      <c r="P152">
        <v>2.4459302425384521</v>
      </c>
    </row>
    <row r="153" spans="1:16" x14ac:dyDescent="0.25">
      <c r="A153" t="s">
        <v>115</v>
      </c>
      <c r="B153" t="s">
        <v>73</v>
      </c>
      <c r="C153">
        <v>0</v>
      </c>
      <c r="D153">
        <v>1</v>
      </c>
      <c r="E153">
        <v>1</v>
      </c>
      <c r="F153">
        <v>1</v>
      </c>
      <c r="G153">
        <v>1</v>
      </c>
      <c r="H153">
        <v>1</v>
      </c>
      <c r="I153">
        <v>1</v>
      </c>
      <c r="J153">
        <v>1</v>
      </c>
      <c r="K153">
        <v>1</v>
      </c>
      <c r="L153">
        <v>1</v>
      </c>
      <c r="M153">
        <v>1</v>
      </c>
      <c r="N153">
        <v>1</v>
      </c>
      <c r="P153">
        <v>1.8136923313140869</v>
      </c>
    </row>
    <row r="154" spans="1:16" x14ac:dyDescent="0.25">
      <c r="A154" t="s">
        <v>115</v>
      </c>
      <c r="B154" t="s">
        <v>75</v>
      </c>
      <c r="C154">
        <v>0</v>
      </c>
      <c r="D154">
        <v>1</v>
      </c>
      <c r="E154">
        <v>1</v>
      </c>
      <c r="F154">
        <v>1</v>
      </c>
      <c r="G154">
        <v>1</v>
      </c>
      <c r="H154">
        <v>1</v>
      </c>
      <c r="I154">
        <v>1</v>
      </c>
      <c r="J154">
        <v>1</v>
      </c>
      <c r="K154">
        <v>1</v>
      </c>
      <c r="L154">
        <v>1</v>
      </c>
      <c r="M154">
        <v>1</v>
      </c>
      <c r="N154">
        <v>1</v>
      </c>
      <c r="P154">
        <v>1.1627311706542971</v>
      </c>
    </row>
    <row r="155" spans="1:16" x14ac:dyDescent="0.25">
      <c r="A155" t="s">
        <v>115</v>
      </c>
      <c r="B155" t="s">
        <v>77</v>
      </c>
      <c r="C155">
        <v>0</v>
      </c>
      <c r="D155">
        <v>1</v>
      </c>
      <c r="E155">
        <v>0</v>
      </c>
      <c r="F155">
        <v>1</v>
      </c>
      <c r="G155">
        <v>1</v>
      </c>
      <c r="H155" t="s">
        <v>20</v>
      </c>
      <c r="I155">
        <v>1</v>
      </c>
      <c r="J155" t="s">
        <v>20</v>
      </c>
      <c r="K155">
        <v>1</v>
      </c>
      <c r="L155">
        <v>1</v>
      </c>
      <c r="M155">
        <v>1</v>
      </c>
      <c r="N155">
        <v>1</v>
      </c>
      <c r="O155" t="s">
        <v>326</v>
      </c>
      <c r="P155">
        <v>3.8483421802520752</v>
      </c>
    </row>
    <row r="156" spans="1:16" x14ac:dyDescent="0.25">
      <c r="A156" t="s">
        <v>115</v>
      </c>
      <c r="B156" t="s">
        <v>78</v>
      </c>
      <c r="C156">
        <v>0</v>
      </c>
      <c r="D156">
        <v>1</v>
      </c>
      <c r="E156">
        <v>1</v>
      </c>
      <c r="F156">
        <v>1</v>
      </c>
      <c r="G156">
        <v>1</v>
      </c>
      <c r="H156">
        <v>1</v>
      </c>
      <c r="I156">
        <v>1</v>
      </c>
      <c r="J156">
        <v>1</v>
      </c>
      <c r="K156">
        <v>1</v>
      </c>
      <c r="L156">
        <v>1</v>
      </c>
      <c r="M156">
        <v>1</v>
      </c>
      <c r="N156">
        <v>1</v>
      </c>
      <c r="P156">
        <v>1.791242361068726</v>
      </c>
    </row>
    <row r="157" spans="1:16" x14ac:dyDescent="0.25">
      <c r="A157" t="s">
        <v>115</v>
      </c>
      <c r="B157" t="s">
        <v>79</v>
      </c>
      <c r="C157">
        <v>0</v>
      </c>
      <c r="D157">
        <v>1</v>
      </c>
      <c r="E157">
        <v>1</v>
      </c>
      <c r="F157">
        <v>1</v>
      </c>
      <c r="G157">
        <v>1</v>
      </c>
      <c r="H157">
        <v>1</v>
      </c>
      <c r="I157">
        <v>1</v>
      </c>
      <c r="J157">
        <v>1</v>
      </c>
      <c r="K157">
        <v>1</v>
      </c>
      <c r="L157">
        <v>1</v>
      </c>
      <c r="M157">
        <v>1</v>
      </c>
      <c r="N157">
        <v>1</v>
      </c>
      <c r="P157">
        <v>1.1218738555908201</v>
      </c>
    </row>
    <row r="158" spans="1:16" x14ac:dyDescent="0.25">
      <c r="A158" t="s">
        <v>115</v>
      </c>
      <c r="B158" t="s">
        <v>80</v>
      </c>
      <c r="C158">
        <v>0</v>
      </c>
      <c r="D158">
        <v>1</v>
      </c>
      <c r="E158">
        <v>1</v>
      </c>
      <c r="F158">
        <v>1</v>
      </c>
      <c r="G158">
        <v>1</v>
      </c>
      <c r="H158">
        <v>1</v>
      </c>
      <c r="I158">
        <v>1</v>
      </c>
      <c r="J158">
        <v>1</v>
      </c>
      <c r="K158">
        <v>1</v>
      </c>
      <c r="L158">
        <v>1</v>
      </c>
      <c r="M158">
        <v>1</v>
      </c>
      <c r="N158">
        <v>1</v>
      </c>
      <c r="P158">
        <v>1.414684057235718</v>
      </c>
    </row>
    <row r="159" spans="1:16" x14ac:dyDescent="0.25">
      <c r="A159" t="s">
        <v>115</v>
      </c>
      <c r="B159" t="s">
        <v>81</v>
      </c>
      <c r="C159">
        <v>0</v>
      </c>
      <c r="D159">
        <v>1</v>
      </c>
      <c r="E159">
        <v>1</v>
      </c>
      <c r="F159">
        <v>1</v>
      </c>
      <c r="G159">
        <v>1</v>
      </c>
      <c r="H159">
        <v>1</v>
      </c>
      <c r="I159">
        <v>1</v>
      </c>
      <c r="J159">
        <v>1</v>
      </c>
      <c r="K159">
        <v>1</v>
      </c>
      <c r="L159">
        <v>1</v>
      </c>
      <c r="M159">
        <v>1</v>
      </c>
      <c r="N159">
        <v>1</v>
      </c>
      <c r="P159">
        <v>2.139829158782959</v>
      </c>
    </row>
    <row r="160" spans="1:16" x14ac:dyDescent="0.25">
      <c r="A160" t="s">
        <v>115</v>
      </c>
      <c r="B160" t="s">
        <v>82</v>
      </c>
      <c r="C160">
        <v>0</v>
      </c>
      <c r="D160">
        <v>1</v>
      </c>
      <c r="E160">
        <v>1</v>
      </c>
      <c r="F160">
        <v>1</v>
      </c>
      <c r="G160">
        <v>1</v>
      </c>
      <c r="H160">
        <v>1</v>
      </c>
      <c r="I160">
        <v>1</v>
      </c>
      <c r="J160">
        <v>1</v>
      </c>
      <c r="K160">
        <v>1</v>
      </c>
      <c r="L160">
        <v>1</v>
      </c>
      <c r="M160">
        <v>1</v>
      </c>
      <c r="N160">
        <v>1</v>
      </c>
      <c r="P160">
        <v>1.290860176086426</v>
      </c>
    </row>
    <row r="161" spans="1:16" x14ac:dyDescent="0.25">
      <c r="A161" t="s">
        <v>115</v>
      </c>
      <c r="B161" t="s">
        <v>83</v>
      </c>
      <c r="C161">
        <v>0</v>
      </c>
      <c r="D161">
        <v>1</v>
      </c>
      <c r="E161">
        <v>1</v>
      </c>
      <c r="F161">
        <v>1</v>
      </c>
      <c r="G161">
        <v>1</v>
      </c>
      <c r="H161">
        <v>1</v>
      </c>
      <c r="I161">
        <v>1</v>
      </c>
      <c r="J161">
        <v>1</v>
      </c>
      <c r="K161">
        <v>1</v>
      </c>
      <c r="L161">
        <v>1</v>
      </c>
      <c r="M161">
        <v>1</v>
      </c>
      <c r="N161">
        <v>1</v>
      </c>
      <c r="P161">
        <v>1.0995421409606929</v>
      </c>
    </row>
    <row r="162" spans="1:16" x14ac:dyDescent="0.25">
      <c r="A162" t="s">
        <v>115</v>
      </c>
      <c r="B162" t="s">
        <v>85</v>
      </c>
      <c r="C162">
        <v>0</v>
      </c>
      <c r="D162">
        <v>1</v>
      </c>
      <c r="E162">
        <v>1</v>
      </c>
      <c r="F162">
        <v>1</v>
      </c>
      <c r="G162">
        <v>1</v>
      </c>
      <c r="H162">
        <v>1</v>
      </c>
      <c r="I162">
        <v>1</v>
      </c>
      <c r="J162">
        <v>1</v>
      </c>
      <c r="K162">
        <v>1</v>
      </c>
      <c r="L162">
        <v>1</v>
      </c>
      <c r="M162">
        <v>1</v>
      </c>
      <c r="N162">
        <v>1</v>
      </c>
      <c r="P162">
        <v>1.248853921890259</v>
      </c>
    </row>
    <row r="163" spans="1:16" x14ac:dyDescent="0.25">
      <c r="A163" t="s">
        <v>115</v>
      </c>
      <c r="B163" t="s">
        <v>98</v>
      </c>
      <c r="C163">
        <v>0</v>
      </c>
      <c r="D163">
        <v>1</v>
      </c>
      <c r="E163">
        <v>1</v>
      </c>
      <c r="F163">
        <v>1</v>
      </c>
      <c r="G163">
        <v>1</v>
      </c>
      <c r="H163">
        <v>1</v>
      </c>
      <c r="I163">
        <v>1</v>
      </c>
      <c r="J163">
        <v>1</v>
      </c>
      <c r="K163">
        <v>1</v>
      </c>
      <c r="L163">
        <v>1</v>
      </c>
      <c r="M163">
        <v>1</v>
      </c>
      <c r="N163">
        <v>1</v>
      </c>
      <c r="P163">
        <v>1.2172946929931641</v>
      </c>
    </row>
    <row r="164" spans="1:16" x14ac:dyDescent="0.25">
      <c r="A164" t="s">
        <v>115</v>
      </c>
      <c r="B164" t="s">
        <v>99</v>
      </c>
      <c r="C164">
        <v>0</v>
      </c>
      <c r="D164">
        <v>1</v>
      </c>
      <c r="E164">
        <v>1</v>
      </c>
      <c r="F164">
        <v>1</v>
      </c>
      <c r="G164">
        <v>1</v>
      </c>
      <c r="H164">
        <v>1</v>
      </c>
      <c r="I164">
        <v>1</v>
      </c>
      <c r="J164">
        <v>1</v>
      </c>
      <c r="K164">
        <v>1</v>
      </c>
      <c r="L164">
        <v>1</v>
      </c>
      <c r="M164">
        <v>1</v>
      </c>
      <c r="N164">
        <v>1</v>
      </c>
      <c r="P164">
        <v>2.31428074836731</v>
      </c>
    </row>
    <row r="165" spans="1:16" x14ac:dyDescent="0.25">
      <c r="A165" t="s">
        <v>115</v>
      </c>
      <c r="B165" t="s">
        <v>100</v>
      </c>
      <c r="C165">
        <v>0</v>
      </c>
      <c r="D165">
        <v>1</v>
      </c>
      <c r="E165">
        <v>1</v>
      </c>
      <c r="F165">
        <v>1</v>
      </c>
      <c r="G165">
        <v>0</v>
      </c>
      <c r="H165">
        <v>1</v>
      </c>
      <c r="I165">
        <v>1</v>
      </c>
      <c r="J165">
        <v>1</v>
      </c>
      <c r="K165">
        <v>1</v>
      </c>
      <c r="L165">
        <v>1</v>
      </c>
      <c r="M165">
        <v>1</v>
      </c>
      <c r="N165">
        <v>1</v>
      </c>
      <c r="O165" t="s">
        <v>327</v>
      </c>
      <c r="P165">
        <v>2.228011846542358</v>
      </c>
    </row>
    <row r="166" spans="1:16" x14ac:dyDescent="0.25">
      <c r="A166" t="s">
        <v>115</v>
      </c>
      <c r="B166" t="s">
        <v>101</v>
      </c>
      <c r="C166">
        <v>0</v>
      </c>
      <c r="D166">
        <v>1</v>
      </c>
      <c r="E166">
        <v>1</v>
      </c>
      <c r="F166">
        <v>1</v>
      </c>
      <c r="G166">
        <v>1</v>
      </c>
      <c r="H166">
        <v>1</v>
      </c>
      <c r="I166">
        <v>1</v>
      </c>
      <c r="J166">
        <v>1</v>
      </c>
      <c r="K166">
        <v>1</v>
      </c>
      <c r="L166">
        <v>1</v>
      </c>
      <c r="M166">
        <v>1</v>
      </c>
      <c r="N166">
        <v>1</v>
      </c>
      <c r="P166">
        <v>1.2842142581939699</v>
      </c>
    </row>
    <row r="167" spans="1:16" x14ac:dyDescent="0.25">
      <c r="A167" t="s">
        <v>115</v>
      </c>
      <c r="B167" t="s">
        <v>102</v>
      </c>
      <c r="C167">
        <v>0</v>
      </c>
      <c r="D167">
        <v>1</v>
      </c>
      <c r="E167">
        <v>1</v>
      </c>
      <c r="F167">
        <v>1</v>
      </c>
      <c r="G167">
        <v>1</v>
      </c>
      <c r="H167">
        <v>1</v>
      </c>
      <c r="I167">
        <v>1</v>
      </c>
      <c r="J167">
        <v>1</v>
      </c>
      <c r="K167">
        <v>1</v>
      </c>
      <c r="L167">
        <v>1</v>
      </c>
      <c r="M167">
        <v>1</v>
      </c>
      <c r="N167">
        <v>1</v>
      </c>
      <c r="P167">
        <v>2.0504498481750488</v>
      </c>
    </row>
    <row r="168" spans="1:16" x14ac:dyDescent="0.25">
      <c r="A168" t="s">
        <v>115</v>
      </c>
      <c r="B168" t="s">
        <v>104</v>
      </c>
      <c r="C168">
        <v>0</v>
      </c>
      <c r="D168">
        <v>1</v>
      </c>
      <c r="E168">
        <v>1</v>
      </c>
      <c r="F168">
        <v>1</v>
      </c>
      <c r="G168">
        <v>1</v>
      </c>
      <c r="H168">
        <v>1</v>
      </c>
      <c r="I168">
        <v>1</v>
      </c>
      <c r="J168">
        <v>1</v>
      </c>
      <c r="K168">
        <v>1</v>
      </c>
      <c r="L168">
        <v>1</v>
      </c>
      <c r="M168">
        <v>1</v>
      </c>
      <c r="N168">
        <v>1</v>
      </c>
      <c r="P168">
        <v>2.1929864883422852</v>
      </c>
    </row>
    <row r="169" spans="1:16" x14ac:dyDescent="0.25">
      <c r="A169" t="s">
        <v>115</v>
      </c>
      <c r="B169" t="s">
        <v>105</v>
      </c>
      <c r="C169">
        <v>0</v>
      </c>
      <c r="D169">
        <v>1</v>
      </c>
      <c r="E169">
        <v>1</v>
      </c>
      <c r="F169">
        <v>1</v>
      </c>
      <c r="G169">
        <v>1</v>
      </c>
      <c r="H169">
        <v>1</v>
      </c>
      <c r="I169">
        <v>1</v>
      </c>
      <c r="J169">
        <v>1</v>
      </c>
      <c r="K169">
        <v>1</v>
      </c>
      <c r="L169">
        <v>1</v>
      </c>
      <c r="M169">
        <v>1</v>
      </c>
      <c r="N169">
        <v>1</v>
      </c>
      <c r="P169">
        <v>1.1988682746887209</v>
      </c>
    </row>
    <row r="170" spans="1:16" x14ac:dyDescent="0.25">
      <c r="A170" t="s">
        <v>115</v>
      </c>
      <c r="B170" t="s">
        <v>106</v>
      </c>
      <c r="C170">
        <v>0</v>
      </c>
      <c r="D170">
        <v>1</v>
      </c>
      <c r="E170">
        <v>1</v>
      </c>
      <c r="F170">
        <v>1</v>
      </c>
      <c r="G170">
        <v>1</v>
      </c>
      <c r="H170">
        <v>1</v>
      </c>
      <c r="I170">
        <v>1</v>
      </c>
      <c r="J170">
        <v>0</v>
      </c>
      <c r="K170">
        <v>1</v>
      </c>
      <c r="L170">
        <v>1</v>
      </c>
      <c r="M170">
        <v>1</v>
      </c>
      <c r="N170">
        <v>1</v>
      </c>
      <c r="O170" t="s">
        <v>328</v>
      </c>
      <c r="P170">
        <v>1.7218344211578369</v>
      </c>
    </row>
    <row r="171" spans="1:16" x14ac:dyDescent="0.25">
      <c r="A171" t="s">
        <v>115</v>
      </c>
      <c r="B171" t="s">
        <v>107</v>
      </c>
      <c r="C171">
        <v>0</v>
      </c>
      <c r="D171">
        <v>1</v>
      </c>
      <c r="E171">
        <v>1</v>
      </c>
      <c r="F171">
        <v>1</v>
      </c>
      <c r="G171">
        <v>1</v>
      </c>
      <c r="H171">
        <v>1</v>
      </c>
      <c r="I171">
        <v>1</v>
      </c>
      <c r="J171">
        <v>1</v>
      </c>
      <c r="K171">
        <v>1</v>
      </c>
      <c r="L171">
        <v>1</v>
      </c>
      <c r="M171">
        <v>1</v>
      </c>
      <c r="N171">
        <v>1</v>
      </c>
      <c r="P171">
        <v>1.774966716766357</v>
      </c>
    </row>
    <row r="172" spans="1:16" x14ac:dyDescent="0.25">
      <c r="A172" t="s">
        <v>115</v>
      </c>
      <c r="B172" t="s">
        <v>108</v>
      </c>
      <c r="C172">
        <v>0</v>
      </c>
      <c r="D172">
        <v>1</v>
      </c>
      <c r="E172">
        <v>1</v>
      </c>
      <c r="F172">
        <v>1</v>
      </c>
      <c r="G172">
        <v>1</v>
      </c>
      <c r="H172">
        <v>1</v>
      </c>
      <c r="I172">
        <v>1</v>
      </c>
      <c r="J172">
        <v>1</v>
      </c>
      <c r="K172">
        <v>1</v>
      </c>
      <c r="L172">
        <v>1</v>
      </c>
      <c r="M172">
        <v>1</v>
      </c>
      <c r="N172">
        <v>1</v>
      </c>
      <c r="P172">
        <v>1.4675025939941411</v>
      </c>
    </row>
    <row r="173" spans="1:16" x14ac:dyDescent="0.25">
      <c r="A173" t="s">
        <v>115</v>
      </c>
      <c r="B173" t="s">
        <v>109</v>
      </c>
      <c r="C173">
        <v>0</v>
      </c>
      <c r="D173">
        <v>1</v>
      </c>
      <c r="E173">
        <v>1</v>
      </c>
      <c r="F173">
        <v>1</v>
      </c>
      <c r="G173">
        <v>1</v>
      </c>
      <c r="H173">
        <v>1</v>
      </c>
      <c r="I173">
        <v>1</v>
      </c>
      <c r="J173">
        <v>1</v>
      </c>
      <c r="K173">
        <v>1</v>
      </c>
      <c r="L173">
        <v>1</v>
      </c>
      <c r="M173">
        <v>1</v>
      </c>
      <c r="N173">
        <v>1</v>
      </c>
      <c r="P173">
        <v>1.543884754180908</v>
      </c>
    </row>
    <row r="174" spans="1:16" x14ac:dyDescent="0.25">
      <c r="A174" t="s">
        <v>115</v>
      </c>
      <c r="B174" t="s">
        <v>110</v>
      </c>
      <c r="C174">
        <v>0</v>
      </c>
      <c r="D174">
        <v>1</v>
      </c>
      <c r="E174">
        <v>1</v>
      </c>
      <c r="F174">
        <v>1</v>
      </c>
      <c r="G174">
        <v>1</v>
      </c>
      <c r="H174">
        <v>1</v>
      </c>
      <c r="I174">
        <v>1</v>
      </c>
      <c r="J174">
        <v>1</v>
      </c>
      <c r="K174">
        <v>1</v>
      </c>
      <c r="L174">
        <v>1</v>
      </c>
      <c r="M174">
        <v>1</v>
      </c>
      <c r="N174">
        <v>1</v>
      </c>
      <c r="P174">
        <v>1.082064628601074</v>
      </c>
    </row>
    <row r="175" spans="1:16" x14ac:dyDescent="0.25">
      <c r="A175" t="s">
        <v>115</v>
      </c>
      <c r="B175" t="s">
        <v>112</v>
      </c>
      <c r="C175">
        <v>0</v>
      </c>
      <c r="D175">
        <v>1</v>
      </c>
      <c r="E175">
        <v>1</v>
      </c>
      <c r="F175">
        <v>1</v>
      </c>
      <c r="G175">
        <v>1</v>
      </c>
      <c r="H175">
        <v>1</v>
      </c>
      <c r="I175">
        <v>1</v>
      </c>
      <c r="J175">
        <v>1</v>
      </c>
      <c r="K175">
        <v>1</v>
      </c>
      <c r="L175">
        <v>1</v>
      </c>
      <c r="M175">
        <v>1</v>
      </c>
      <c r="N175">
        <v>1</v>
      </c>
      <c r="P175">
        <v>1.1943726539611821</v>
      </c>
    </row>
    <row r="176" spans="1:16" x14ac:dyDescent="0.25">
      <c r="A176" t="s">
        <v>115</v>
      </c>
      <c r="B176" t="s">
        <v>113</v>
      </c>
      <c r="C176">
        <v>0</v>
      </c>
      <c r="D176">
        <v>1</v>
      </c>
      <c r="E176">
        <v>1</v>
      </c>
      <c r="F176">
        <v>1</v>
      </c>
      <c r="G176">
        <v>1</v>
      </c>
      <c r="H176">
        <v>1</v>
      </c>
      <c r="I176">
        <v>1</v>
      </c>
      <c r="J176">
        <v>1</v>
      </c>
      <c r="K176">
        <v>1</v>
      </c>
      <c r="L176">
        <v>1</v>
      </c>
      <c r="M176">
        <v>1</v>
      </c>
      <c r="N176">
        <v>1</v>
      </c>
      <c r="P176">
        <v>1.132730960845947</v>
      </c>
    </row>
    <row r="177" spans="1:16" x14ac:dyDescent="0.25">
      <c r="A177" t="s">
        <v>115</v>
      </c>
      <c r="B177" t="s">
        <v>132</v>
      </c>
      <c r="C177">
        <v>0</v>
      </c>
      <c r="D177">
        <v>1</v>
      </c>
      <c r="E177">
        <v>1</v>
      </c>
      <c r="F177">
        <v>1</v>
      </c>
      <c r="G177">
        <v>1</v>
      </c>
      <c r="H177">
        <v>1</v>
      </c>
      <c r="I177">
        <v>1</v>
      </c>
      <c r="J177">
        <v>1</v>
      </c>
      <c r="K177">
        <v>1</v>
      </c>
      <c r="L177">
        <v>1</v>
      </c>
      <c r="M177">
        <v>1</v>
      </c>
      <c r="N177">
        <v>1</v>
      </c>
      <c r="P177">
        <v>1.8973667621612551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6E6BD-718E-4B55-A384-5B2F0E40CF9E}">
  <dimension ref="A1:O177"/>
  <sheetViews>
    <sheetView tabSelected="1" topLeftCell="A107" workbookViewId="0">
      <selection activeCell="D114" sqref="D114:N177"/>
    </sheetView>
  </sheetViews>
  <sheetFormatPr defaultRowHeight="13.8"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15</v>
      </c>
    </row>
    <row r="2" spans="1:15" x14ac:dyDescent="0.25">
      <c r="A2" t="s">
        <v>17</v>
      </c>
      <c r="B2" t="s">
        <v>18</v>
      </c>
      <c r="C2">
        <v>0</v>
      </c>
      <c r="D2">
        <f>ROUND(SUM(householdfinance_v4_5!D2,householdfinance_v4_4!D2,householdfinance_v4_3!D2,householdfinance_v4_2!D2,householdfinance_v4_1!D2)/COUNT(householdfinance_v4_5!D2,householdfinance_v4_4!D2,householdfinance_v4_3!D2,householdfinance_v4_2!D2,householdfinance_v4_1!D2),0)</f>
        <v>1</v>
      </c>
      <c r="E2">
        <f>IF($D2=1,ROUND(SUM(householdfinance_v4_5!E2,householdfinance_v4_4!E2,householdfinance_v4_3!E2,householdfinance_v4_2!E2,householdfinance_v4_1!E2)/COUNT(householdfinance_v4_5!E2,householdfinance_v4_4!E2,householdfinance_v4_3!E2,householdfinance_v4_2!E2,householdfinance_v4_1!E2),0),"NA")</f>
        <v>1</v>
      </c>
      <c r="F2">
        <f>IF($D2=1,ROUND(SUM(householdfinance_v4_5!F2,householdfinance_v4_4!F2,householdfinance_v4_3!F2,householdfinance_v4_2!F2,householdfinance_v4_1!F2)/COUNT(householdfinance_v4_5!F2,householdfinance_v4_4!F2,householdfinance_v4_3!F2,householdfinance_v4_2!F2,householdfinance_v4_1!F2),0),"NA")</f>
        <v>1</v>
      </c>
      <c r="G2">
        <f>IF($D2=1,ROUND(SUM(householdfinance_v4_5!G2,householdfinance_v4_4!G2,householdfinance_v4_3!G2,householdfinance_v4_2!G2,householdfinance_v4_1!G2)/COUNT(householdfinance_v4_5!G2,householdfinance_v4_4!G2,householdfinance_v4_3!G2,householdfinance_v4_2!G2,householdfinance_v4_1!G2),0),"NA")</f>
        <v>1</v>
      </c>
      <c r="H2">
        <f>IF($E2=1,ROUND(SUM(householdfinance_v4_5!H2,householdfinance_v4_4!H2,householdfinance_v4_3!H2,householdfinance_v4_2!H2,householdfinance_v4_1!H2)/COUNT(householdfinance_v4_5!H2,householdfinance_v4_4!H2,householdfinance_v4_3!H2,householdfinance_v4_2!H2,householdfinance_v4_1!H2),0),"NA")</f>
        <v>1</v>
      </c>
      <c r="I2">
        <f>IF($D2=1,ROUND(SUM(householdfinance_v4_5!I2,householdfinance_v4_4!I2,householdfinance_v4_3!I2,householdfinance_v4_2!I2,householdfinance_v4_1!I2)/COUNT(householdfinance_v4_5!I2,householdfinance_v4_4!I2,householdfinance_v4_3!I2,householdfinance_v4_2!I2,householdfinance_v4_1!I2),0),"NA")</f>
        <v>1</v>
      </c>
      <c r="J2">
        <f>IF(AND($E2=1,$F2=1),ROUND(SUM(householdfinance_v4_5!J2,householdfinance_v4_4!J2,householdfinance_v4_3!J2,householdfinance_v4_2!J2,householdfinance_v4_1!J2)/COUNT(householdfinance_v4_5!J2,householdfinance_v4_4!J2,householdfinance_v4_3!J2,householdfinance_v4_2!J2,householdfinance_v4_1!J2),0),"NA")</f>
        <v>1</v>
      </c>
      <c r="K2">
        <f>IF($D2=1,ROUND(SUM(householdfinance_v4_5!K2,householdfinance_v4_4!K2,householdfinance_v4_3!K2,householdfinance_v4_2!K2,householdfinance_v4_1!K2)/COUNT(householdfinance_v4_5!K2,householdfinance_v4_4!K2,householdfinance_v4_3!K2,householdfinance_v4_2!K2,householdfinance_v4_1!K2),0),"NA")</f>
        <v>1</v>
      </c>
      <c r="L2">
        <f>IF($D2=1,ROUND(SUM(householdfinance_v4_5!L2,householdfinance_v4_4!L2,householdfinance_v4_3!L2,householdfinance_v4_2!L2,householdfinance_v4_1!L2)/COUNT(householdfinance_v4_5!L2,householdfinance_v4_4!L2,householdfinance_v4_3!L2,householdfinance_v4_2!L2,householdfinance_v4_1!L2),0),"NA")</f>
        <v>1</v>
      </c>
      <c r="M2">
        <f>IF($D2=1,ROUND(SUM(householdfinance_v4_5!M2,householdfinance_v4_4!M2,householdfinance_v4_3!M2,householdfinance_v4_2!M2,householdfinance_v4_1!M2)/COUNT(householdfinance_v4_5!M2,householdfinance_v4_4!M2,householdfinance_v4_3!M2,householdfinance_v4_2!M2,householdfinance_v4_1!M2),0),"NA")</f>
        <v>1</v>
      </c>
      <c r="N2">
        <f>IF($D2=1,ROUND(SUM(householdfinance_v4_5!N2,householdfinance_v4_4!N2,householdfinance_v4_3!N2,householdfinance_v4_2!N2,householdfinance_v4_1!N2)/COUNT(householdfinance_v4_5!N2,householdfinance_v4_4!N2,householdfinance_v4_3!N2,householdfinance_v4_2!N2,householdfinance_v4_1!N2),0),"NA")</f>
        <v>1</v>
      </c>
      <c r="O2">
        <v>1.1985626220703121</v>
      </c>
    </row>
    <row r="3" spans="1:15" x14ac:dyDescent="0.25">
      <c r="A3" t="s">
        <v>17</v>
      </c>
      <c r="B3" t="s">
        <v>19</v>
      </c>
      <c r="C3">
        <v>0</v>
      </c>
      <c r="D3">
        <f>ROUND(SUM(householdfinance_v4_5!D3,householdfinance_v4_4!D3,householdfinance_v4_3!D3,householdfinance_v4_2!D3,householdfinance_v4_1!D3)/COUNT(householdfinance_v4_5!D3,householdfinance_v4_4!D3,householdfinance_v4_3!D3,householdfinance_v4_2!D3,householdfinance_v4_1!D3),0)</f>
        <v>1</v>
      </c>
      <c r="E3">
        <f>IF($D3=1,ROUND(SUM(householdfinance_v4_5!E3,householdfinance_v4_4!E3,householdfinance_v4_3!E3,householdfinance_v4_2!E3,householdfinance_v4_1!E3)/COUNT(householdfinance_v4_5!E3,householdfinance_v4_4!E3,householdfinance_v4_3!E3,householdfinance_v4_2!E3,householdfinance_v4_1!E3),0),"NA")</f>
        <v>1</v>
      </c>
      <c r="F3">
        <f>IF($D3=1,ROUND(SUM(householdfinance_v4_5!F3,householdfinance_v4_4!F3,householdfinance_v4_3!F3,householdfinance_v4_2!F3,householdfinance_v4_1!F3)/COUNT(householdfinance_v4_5!F3,householdfinance_v4_4!F3,householdfinance_v4_3!F3,householdfinance_v4_2!F3,householdfinance_v4_1!F3),0),"NA")</f>
        <v>0</v>
      </c>
      <c r="G3">
        <f>IF($D3=1,ROUND(SUM(householdfinance_v4_5!G3,householdfinance_v4_4!G3,householdfinance_v4_3!G3,householdfinance_v4_2!G3,householdfinance_v4_1!G3)/COUNT(householdfinance_v4_5!G3,householdfinance_v4_4!G3,householdfinance_v4_3!G3,householdfinance_v4_2!G3,householdfinance_v4_1!G3),0),"NA")</f>
        <v>1</v>
      </c>
      <c r="H3">
        <f>IF($E3=1,ROUND(SUM(householdfinance_v4_5!H3,householdfinance_v4_4!H3,householdfinance_v4_3!H3,householdfinance_v4_2!H3,householdfinance_v4_1!H3)/COUNT(householdfinance_v4_5!H3,householdfinance_v4_4!H3,householdfinance_v4_3!H3,householdfinance_v4_2!H3,householdfinance_v4_1!H3),0),"NA")</f>
        <v>1</v>
      </c>
      <c r="I3">
        <f>IF($D3=1,ROUND(SUM(householdfinance_v4_5!I3,householdfinance_v4_4!I3,householdfinance_v4_3!I3,householdfinance_v4_2!I3,householdfinance_v4_1!I3)/COUNT(householdfinance_v4_5!I3,householdfinance_v4_4!I3,householdfinance_v4_3!I3,householdfinance_v4_2!I3,householdfinance_v4_1!I3),0),"NA")</f>
        <v>1</v>
      </c>
      <c r="J3" t="str">
        <f>IF(AND($E3=1,$F3=1),ROUND(SUM(householdfinance_v4_5!J3,householdfinance_v4_4!J3,householdfinance_v4_3!J3,householdfinance_v4_2!J3,householdfinance_v4_1!J3)/COUNT(householdfinance_v4_5!J3,householdfinance_v4_4!J3,householdfinance_v4_3!J3,householdfinance_v4_2!J3,householdfinance_v4_1!J3),0),"NA")</f>
        <v>NA</v>
      </c>
      <c r="K3">
        <f>IF($D3=1,ROUND(SUM(householdfinance_v4_5!K3,householdfinance_v4_4!K3,householdfinance_v4_3!K3,householdfinance_v4_2!K3,householdfinance_v4_1!K3)/COUNT(householdfinance_v4_5!K3,householdfinance_v4_4!K3,householdfinance_v4_3!K3,householdfinance_v4_2!K3,householdfinance_v4_1!K3),0),"NA")</f>
        <v>1</v>
      </c>
      <c r="L3">
        <f>IF($D3=1,ROUND(SUM(householdfinance_v4_5!L3,householdfinance_v4_4!L3,householdfinance_v4_3!L3,householdfinance_v4_2!L3,householdfinance_v4_1!L3)/COUNT(householdfinance_v4_5!L3,householdfinance_v4_4!L3,householdfinance_v4_3!L3,householdfinance_v4_2!L3,householdfinance_v4_1!L3),0),"NA")</f>
        <v>1</v>
      </c>
      <c r="M3">
        <f>IF($D3=1,ROUND(SUM(householdfinance_v4_5!M3,householdfinance_v4_4!M3,householdfinance_v4_3!M3,householdfinance_v4_2!M3,householdfinance_v4_1!M3)/COUNT(householdfinance_v4_5!M3,householdfinance_v4_4!M3,householdfinance_v4_3!M3,householdfinance_v4_2!M3,householdfinance_v4_1!M3),0),"NA")</f>
        <v>1</v>
      </c>
      <c r="N3">
        <f>IF($D3=1,ROUND(SUM(householdfinance_v4_5!N3,householdfinance_v4_4!N3,householdfinance_v4_3!N3,householdfinance_v4_2!N3,householdfinance_v4_1!N3)/COUNT(householdfinance_v4_5!N3,householdfinance_v4_4!N3,householdfinance_v4_3!N3,householdfinance_v4_2!N3,householdfinance_v4_1!N3),0),"NA")</f>
        <v>1</v>
      </c>
      <c r="O3">
        <v>8.184952974319458</v>
      </c>
    </row>
    <row r="4" spans="1:15" x14ac:dyDescent="0.25">
      <c r="A4" t="s">
        <v>17</v>
      </c>
      <c r="B4" t="s">
        <v>22</v>
      </c>
      <c r="C4">
        <v>0</v>
      </c>
      <c r="D4">
        <f>ROUND(SUM(householdfinance_v4_5!D4,householdfinance_v4_4!D4,householdfinance_v4_3!D4,householdfinance_v4_2!D4,householdfinance_v4_1!D4)/COUNT(householdfinance_v4_5!D4,householdfinance_v4_4!D4,householdfinance_v4_3!D4,householdfinance_v4_2!D4,householdfinance_v4_1!D4),0)</f>
        <v>1</v>
      </c>
      <c r="E4">
        <f>IF($D4=1,ROUND(SUM(householdfinance_v4_5!E4,householdfinance_v4_4!E4,householdfinance_v4_3!E4,householdfinance_v4_2!E4,householdfinance_v4_1!E4)/COUNT(householdfinance_v4_5!E4,householdfinance_v4_4!E4,householdfinance_v4_3!E4,householdfinance_v4_2!E4,householdfinance_v4_1!E4),0),"NA")</f>
        <v>1</v>
      </c>
      <c r="F4">
        <f>IF($D4=1,ROUND(SUM(householdfinance_v4_5!F4,householdfinance_v4_4!F4,householdfinance_v4_3!F4,householdfinance_v4_2!F4,householdfinance_v4_1!F4)/COUNT(householdfinance_v4_5!F4,householdfinance_v4_4!F4,householdfinance_v4_3!F4,householdfinance_v4_2!F4,householdfinance_v4_1!F4),0),"NA")</f>
        <v>1</v>
      </c>
      <c r="G4">
        <f>IF($D4=1,ROUND(SUM(householdfinance_v4_5!G4,householdfinance_v4_4!G4,householdfinance_v4_3!G4,householdfinance_v4_2!G4,householdfinance_v4_1!G4)/COUNT(householdfinance_v4_5!G4,householdfinance_v4_4!G4,householdfinance_v4_3!G4,householdfinance_v4_2!G4,householdfinance_v4_1!G4),0),"NA")</f>
        <v>0</v>
      </c>
      <c r="H4">
        <f>IF($E4=1,ROUND(SUM(householdfinance_v4_5!H4,householdfinance_v4_4!H4,householdfinance_v4_3!H4,householdfinance_v4_2!H4,householdfinance_v4_1!H4)/COUNT(householdfinance_v4_5!H4,householdfinance_v4_4!H4,householdfinance_v4_3!H4,householdfinance_v4_2!H4,householdfinance_v4_1!H4),0),"NA")</f>
        <v>1</v>
      </c>
      <c r="I4">
        <f>IF($D4=1,ROUND(SUM(householdfinance_v4_5!I4,householdfinance_v4_4!I4,householdfinance_v4_3!I4,householdfinance_v4_2!I4,householdfinance_v4_1!I4)/COUNT(householdfinance_v4_5!I4,householdfinance_v4_4!I4,householdfinance_v4_3!I4,householdfinance_v4_2!I4,householdfinance_v4_1!I4),0),"NA")</f>
        <v>1</v>
      </c>
      <c r="J4">
        <f>IF(AND($E4=1,$F4=1),ROUND(SUM(householdfinance_v4_5!J4,householdfinance_v4_4!J4,householdfinance_v4_3!J4,householdfinance_v4_2!J4,householdfinance_v4_1!J4)/COUNT(householdfinance_v4_5!J4,householdfinance_v4_4!J4,householdfinance_v4_3!J4,householdfinance_v4_2!J4,householdfinance_v4_1!J4),0),"NA")</f>
        <v>1</v>
      </c>
      <c r="K4">
        <f>IF($D4=1,ROUND(SUM(householdfinance_v4_5!K4,householdfinance_v4_4!K4,householdfinance_v4_3!K4,householdfinance_v4_2!K4,householdfinance_v4_1!K4)/COUNT(householdfinance_v4_5!K4,householdfinance_v4_4!K4,householdfinance_v4_3!K4,householdfinance_v4_2!K4,householdfinance_v4_1!K4),0),"NA")</f>
        <v>1</v>
      </c>
      <c r="L4">
        <f>IF($D4=1,ROUND(SUM(householdfinance_v4_5!L4,householdfinance_v4_4!L4,householdfinance_v4_3!L4,householdfinance_v4_2!L4,householdfinance_v4_1!L4)/COUNT(householdfinance_v4_5!L4,householdfinance_v4_4!L4,householdfinance_v4_3!L4,householdfinance_v4_2!L4,householdfinance_v4_1!L4),0),"NA")</f>
        <v>1</v>
      </c>
      <c r="M4">
        <f>IF($D4=1,ROUND(SUM(householdfinance_v4_5!M4,householdfinance_v4_4!M4,householdfinance_v4_3!M4,householdfinance_v4_2!M4,householdfinance_v4_1!M4)/COUNT(householdfinance_v4_5!M4,householdfinance_v4_4!M4,householdfinance_v4_3!M4,householdfinance_v4_2!M4,householdfinance_v4_1!M4),0),"NA")</f>
        <v>1</v>
      </c>
      <c r="N4">
        <f>IF($D4=1,ROUND(SUM(householdfinance_v4_5!N4,householdfinance_v4_4!N4,householdfinance_v4_3!N4,householdfinance_v4_2!N4,householdfinance_v4_1!N4)/COUNT(householdfinance_v4_5!N4,householdfinance_v4_4!N4,householdfinance_v4_3!N4,householdfinance_v4_2!N4,householdfinance_v4_1!N4),0),"NA")</f>
        <v>1</v>
      </c>
      <c r="O4">
        <v>3.569360733032227</v>
      </c>
    </row>
    <row r="5" spans="1:15" x14ac:dyDescent="0.25">
      <c r="A5" t="s">
        <v>17</v>
      </c>
      <c r="B5" t="s">
        <v>24</v>
      </c>
      <c r="C5">
        <v>0</v>
      </c>
      <c r="D5">
        <f>ROUND(SUM(householdfinance_v4_5!D5,householdfinance_v4_4!D5,householdfinance_v4_3!D5,householdfinance_v4_2!D5,householdfinance_v4_1!D5)/COUNT(householdfinance_v4_5!D5,householdfinance_v4_4!D5,householdfinance_v4_3!D5,householdfinance_v4_2!D5,householdfinance_v4_1!D5),0)</f>
        <v>1</v>
      </c>
      <c r="E5">
        <f>IF($D5=1,ROUND(SUM(householdfinance_v4_5!E5,householdfinance_v4_4!E5,householdfinance_v4_3!E5,householdfinance_v4_2!E5,householdfinance_v4_1!E5)/COUNT(householdfinance_v4_5!E5,householdfinance_v4_4!E5,householdfinance_v4_3!E5,householdfinance_v4_2!E5,householdfinance_v4_1!E5),0),"NA")</f>
        <v>1</v>
      </c>
      <c r="F5">
        <f>IF($D5=1,ROUND(SUM(householdfinance_v4_5!F5,householdfinance_v4_4!F5,householdfinance_v4_3!F5,householdfinance_v4_2!F5,householdfinance_v4_1!F5)/COUNT(householdfinance_v4_5!F5,householdfinance_v4_4!F5,householdfinance_v4_3!F5,householdfinance_v4_2!F5,householdfinance_v4_1!F5),0),"NA")</f>
        <v>1</v>
      </c>
      <c r="G5">
        <f>IF($D5=1,ROUND(SUM(householdfinance_v4_5!G5,householdfinance_v4_4!G5,householdfinance_v4_3!G5,householdfinance_v4_2!G5,householdfinance_v4_1!G5)/COUNT(householdfinance_v4_5!G5,householdfinance_v4_4!G5,householdfinance_v4_3!G5,householdfinance_v4_2!G5,householdfinance_v4_1!G5),0),"NA")</f>
        <v>1</v>
      </c>
      <c r="H5">
        <f>IF($E5=1,ROUND(SUM(householdfinance_v4_5!H5,householdfinance_v4_4!H5,householdfinance_v4_3!H5,householdfinance_v4_2!H5,householdfinance_v4_1!H5)/COUNT(householdfinance_v4_5!H5,householdfinance_v4_4!H5,householdfinance_v4_3!H5,householdfinance_v4_2!H5,householdfinance_v4_1!H5),0),"NA")</f>
        <v>1</v>
      </c>
      <c r="I5">
        <f>IF($D5=1,ROUND(SUM(householdfinance_v4_5!I5,householdfinance_v4_4!I5,householdfinance_v4_3!I5,householdfinance_v4_2!I5,householdfinance_v4_1!I5)/COUNT(householdfinance_v4_5!I5,householdfinance_v4_4!I5,householdfinance_v4_3!I5,householdfinance_v4_2!I5,householdfinance_v4_1!I5),0),"NA")</f>
        <v>1</v>
      </c>
      <c r="J5">
        <f>IF(AND($E5=1,$F5=1),ROUND(SUM(householdfinance_v4_5!J5,householdfinance_v4_4!J5,householdfinance_v4_3!J5,householdfinance_v4_2!J5,householdfinance_v4_1!J5)/COUNT(householdfinance_v4_5!J5,householdfinance_v4_4!J5,householdfinance_v4_3!J5,householdfinance_v4_2!J5,householdfinance_v4_1!J5),0),"NA")</f>
        <v>1</v>
      </c>
      <c r="K5">
        <f>IF($D5=1,ROUND(SUM(householdfinance_v4_5!K5,householdfinance_v4_4!K5,householdfinance_v4_3!K5,householdfinance_v4_2!K5,householdfinance_v4_1!K5)/COUNT(householdfinance_v4_5!K5,householdfinance_v4_4!K5,householdfinance_v4_3!K5,householdfinance_v4_2!K5,householdfinance_v4_1!K5),0),"NA")</f>
        <v>1</v>
      </c>
      <c r="L5">
        <f>IF($D5=1,ROUND(SUM(householdfinance_v4_5!L5,householdfinance_v4_4!L5,householdfinance_v4_3!L5,householdfinance_v4_2!L5,householdfinance_v4_1!L5)/COUNT(householdfinance_v4_5!L5,householdfinance_v4_4!L5,householdfinance_v4_3!L5,householdfinance_v4_2!L5,householdfinance_v4_1!L5),0),"NA")</f>
        <v>1</v>
      </c>
      <c r="M5">
        <f>IF($D5=1,ROUND(SUM(householdfinance_v4_5!M5,householdfinance_v4_4!M5,householdfinance_v4_3!M5,householdfinance_v4_2!M5,householdfinance_v4_1!M5)/COUNT(householdfinance_v4_5!M5,householdfinance_v4_4!M5,householdfinance_v4_3!M5,householdfinance_v4_2!M5,householdfinance_v4_1!M5),0),"NA")</f>
        <v>1</v>
      </c>
      <c r="N5">
        <f>IF($D5=1,ROUND(SUM(householdfinance_v4_5!N5,householdfinance_v4_4!N5,householdfinance_v4_3!N5,householdfinance_v4_2!N5,householdfinance_v4_1!N5)/COUNT(householdfinance_v4_5!N5,householdfinance_v4_4!N5,householdfinance_v4_3!N5,householdfinance_v4_2!N5,householdfinance_v4_1!N5),0),"NA")</f>
        <v>1</v>
      </c>
      <c r="O5">
        <v>1.178041458129883</v>
      </c>
    </row>
    <row r="6" spans="1:15" x14ac:dyDescent="0.25">
      <c r="A6" t="s">
        <v>17</v>
      </c>
      <c r="B6" t="s">
        <v>25</v>
      </c>
      <c r="C6">
        <v>0</v>
      </c>
      <c r="D6">
        <f>ROUND(SUM(householdfinance_v4_5!D6,householdfinance_v4_4!D6,householdfinance_v4_3!D6,householdfinance_v4_2!D6,householdfinance_v4_1!D6)/COUNT(householdfinance_v4_5!D6,householdfinance_v4_4!D6,householdfinance_v4_3!D6,householdfinance_v4_2!D6,householdfinance_v4_1!D6),0)</f>
        <v>1</v>
      </c>
      <c r="E6">
        <f>IF($D6=1,ROUND(SUM(householdfinance_v4_5!E6,householdfinance_v4_4!E6,householdfinance_v4_3!E6,householdfinance_v4_2!E6,householdfinance_v4_1!E6)/COUNT(householdfinance_v4_5!E6,householdfinance_v4_4!E6,householdfinance_v4_3!E6,householdfinance_v4_2!E6,householdfinance_v4_1!E6),0),"NA")</f>
        <v>1</v>
      </c>
      <c r="F6">
        <f>IF($D6=1,ROUND(SUM(householdfinance_v4_5!F6,householdfinance_v4_4!F6,householdfinance_v4_3!F6,householdfinance_v4_2!F6,householdfinance_v4_1!F6)/COUNT(householdfinance_v4_5!F6,householdfinance_v4_4!F6,householdfinance_v4_3!F6,householdfinance_v4_2!F6,householdfinance_v4_1!F6),0),"NA")</f>
        <v>1</v>
      </c>
      <c r="G6">
        <f>IF($D6=1,ROUND(SUM(householdfinance_v4_5!G6,householdfinance_v4_4!G6,householdfinance_v4_3!G6,householdfinance_v4_2!G6,householdfinance_v4_1!G6)/COUNT(householdfinance_v4_5!G6,householdfinance_v4_4!G6,householdfinance_v4_3!G6,householdfinance_v4_2!G6,householdfinance_v4_1!G6),0),"NA")</f>
        <v>1</v>
      </c>
      <c r="H6">
        <f>IF($E6=1,ROUND(SUM(householdfinance_v4_5!H6,householdfinance_v4_4!H6,householdfinance_v4_3!H6,householdfinance_v4_2!H6,householdfinance_v4_1!H6)/COUNT(householdfinance_v4_5!H6,householdfinance_v4_4!H6,householdfinance_v4_3!H6,householdfinance_v4_2!H6,householdfinance_v4_1!H6),0),"NA")</f>
        <v>1</v>
      </c>
      <c r="I6">
        <f>IF($D6=1,ROUND(SUM(householdfinance_v4_5!I6,householdfinance_v4_4!I6,householdfinance_v4_3!I6,householdfinance_v4_2!I6,householdfinance_v4_1!I6)/COUNT(householdfinance_v4_5!I6,householdfinance_v4_4!I6,householdfinance_v4_3!I6,householdfinance_v4_2!I6,householdfinance_v4_1!I6),0),"NA")</f>
        <v>1</v>
      </c>
      <c r="J6">
        <f>IF(AND($E6=1,$F6=1),ROUND(SUM(householdfinance_v4_5!J6,householdfinance_v4_4!J6,householdfinance_v4_3!J6,householdfinance_v4_2!J6,householdfinance_v4_1!J6)/COUNT(householdfinance_v4_5!J6,householdfinance_v4_4!J6,householdfinance_v4_3!J6,householdfinance_v4_2!J6,householdfinance_v4_1!J6),0),"NA")</f>
        <v>1</v>
      </c>
      <c r="K6">
        <f>IF($D6=1,ROUND(SUM(householdfinance_v4_5!K6,householdfinance_v4_4!K6,householdfinance_v4_3!K6,householdfinance_v4_2!K6,householdfinance_v4_1!K6)/COUNT(householdfinance_v4_5!K6,householdfinance_v4_4!K6,householdfinance_v4_3!K6,householdfinance_v4_2!K6,householdfinance_v4_1!K6),0),"NA")</f>
        <v>1</v>
      </c>
      <c r="L6">
        <f>IF($D6=1,ROUND(SUM(householdfinance_v4_5!L6,householdfinance_v4_4!L6,householdfinance_v4_3!L6,householdfinance_v4_2!L6,householdfinance_v4_1!L6)/COUNT(householdfinance_v4_5!L6,householdfinance_v4_4!L6,householdfinance_v4_3!L6,householdfinance_v4_2!L6,householdfinance_v4_1!L6),0),"NA")</f>
        <v>1</v>
      </c>
      <c r="M6">
        <f>IF($D6=1,ROUND(SUM(householdfinance_v4_5!M6,householdfinance_v4_4!M6,householdfinance_v4_3!M6,householdfinance_v4_2!M6,householdfinance_v4_1!M6)/COUNT(householdfinance_v4_5!M6,householdfinance_v4_4!M6,householdfinance_v4_3!M6,householdfinance_v4_2!M6,householdfinance_v4_1!M6),0),"NA")</f>
        <v>1</v>
      </c>
      <c r="N6">
        <f>IF($D6=1,ROUND(SUM(householdfinance_v4_5!N6,householdfinance_v4_4!N6,householdfinance_v4_3!N6,householdfinance_v4_2!N6,householdfinance_v4_1!N6)/COUNT(householdfinance_v4_5!N6,householdfinance_v4_4!N6,householdfinance_v4_3!N6,householdfinance_v4_2!N6,householdfinance_v4_1!N6),0),"NA")</f>
        <v>1</v>
      </c>
      <c r="O6">
        <v>1.1911909580230711</v>
      </c>
    </row>
    <row r="7" spans="1:15" x14ac:dyDescent="0.25">
      <c r="A7" t="s">
        <v>17</v>
      </c>
      <c r="B7" t="s">
        <v>26</v>
      </c>
      <c r="C7">
        <v>0</v>
      </c>
      <c r="D7">
        <f>ROUND(SUM(householdfinance_v4_5!D7,householdfinance_v4_4!D7,householdfinance_v4_3!D7,householdfinance_v4_2!D7,householdfinance_v4_1!D7)/COUNT(householdfinance_v4_5!D7,householdfinance_v4_4!D7,householdfinance_v4_3!D7,householdfinance_v4_2!D7,householdfinance_v4_1!D7),0)</f>
        <v>1</v>
      </c>
      <c r="E7">
        <f>IF($D7=1,ROUND(SUM(householdfinance_v4_5!E7,householdfinance_v4_4!E7,householdfinance_v4_3!E7,householdfinance_v4_2!E7,householdfinance_v4_1!E7)/COUNT(householdfinance_v4_5!E7,householdfinance_v4_4!E7,householdfinance_v4_3!E7,householdfinance_v4_2!E7,householdfinance_v4_1!E7),0),"NA")</f>
        <v>1</v>
      </c>
      <c r="F7">
        <f>IF($D7=1,ROUND(SUM(householdfinance_v4_5!F7,householdfinance_v4_4!F7,householdfinance_v4_3!F7,householdfinance_v4_2!F7,householdfinance_v4_1!F7)/COUNT(householdfinance_v4_5!F7,householdfinance_v4_4!F7,householdfinance_v4_3!F7,householdfinance_v4_2!F7,householdfinance_v4_1!F7),0),"NA")</f>
        <v>1</v>
      </c>
      <c r="G7">
        <f>IF($D7=1,ROUND(SUM(householdfinance_v4_5!G7,householdfinance_v4_4!G7,householdfinance_v4_3!G7,householdfinance_v4_2!G7,householdfinance_v4_1!G7)/COUNT(householdfinance_v4_5!G7,householdfinance_v4_4!G7,householdfinance_v4_3!G7,householdfinance_v4_2!G7,householdfinance_v4_1!G7),0),"NA")</f>
        <v>1</v>
      </c>
      <c r="H7">
        <f>IF($E7=1,ROUND(SUM(householdfinance_v4_5!H7,householdfinance_v4_4!H7,householdfinance_v4_3!H7,householdfinance_v4_2!H7,householdfinance_v4_1!H7)/COUNT(householdfinance_v4_5!H7,householdfinance_v4_4!H7,householdfinance_v4_3!H7,householdfinance_v4_2!H7,householdfinance_v4_1!H7),0),"NA")</f>
        <v>1</v>
      </c>
      <c r="I7">
        <f>IF($D7=1,ROUND(SUM(householdfinance_v4_5!I7,householdfinance_v4_4!I7,householdfinance_v4_3!I7,householdfinance_v4_2!I7,householdfinance_v4_1!I7)/COUNT(householdfinance_v4_5!I7,householdfinance_v4_4!I7,householdfinance_v4_3!I7,householdfinance_v4_2!I7,householdfinance_v4_1!I7),0),"NA")</f>
        <v>1</v>
      </c>
      <c r="J7">
        <f>IF(AND($E7=1,$F7=1),ROUND(SUM(householdfinance_v4_5!J7,householdfinance_v4_4!J7,householdfinance_v4_3!J7,householdfinance_v4_2!J7,householdfinance_v4_1!J7)/COUNT(householdfinance_v4_5!J7,householdfinance_v4_4!J7,householdfinance_v4_3!J7,householdfinance_v4_2!J7,householdfinance_v4_1!J7),0),"NA")</f>
        <v>1</v>
      </c>
      <c r="K7">
        <f>IF($D7=1,ROUND(SUM(householdfinance_v4_5!K7,householdfinance_v4_4!K7,householdfinance_v4_3!K7,householdfinance_v4_2!K7,householdfinance_v4_1!K7)/COUNT(householdfinance_v4_5!K7,householdfinance_v4_4!K7,householdfinance_v4_3!K7,householdfinance_v4_2!K7,householdfinance_v4_1!K7),0),"NA")</f>
        <v>1</v>
      </c>
      <c r="L7">
        <f>IF($D7=1,ROUND(SUM(householdfinance_v4_5!L7,householdfinance_v4_4!L7,householdfinance_v4_3!L7,householdfinance_v4_2!L7,householdfinance_v4_1!L7)/COUNT(householdfinance_v4_5!L7,householdfinance_v4_4!L7,householdfinance_v4_3!L7,householdfinance_v4_2!L7,householdfinance_v4_1!L7),0),"NA")</f>
        <v>1</v>
      </c>
      <c r="M7">
        <f>IF($D7=1,ROUND(SUM(householdfinance_v4_5!M7,householdfinance_v4_4!M7,householdfinance_v4_3!M7,householdfinance_v4_2!M7,householdfinance_v4_1!M7)/COUNT(householdfinance_v4_5!M7,householdfinance_v4_4!M7,householdfinance_v4_3!M7,householdfinance_v4_2!M7,householdfinance_v4_1!M7),0),"NA")</f>
        <v>1</v>
      </c>
      <c r="N7">
        <f>IF($D7=1,ROUND(SUM(householdfinance_v4_5!N7,householdfinance_v4_4!N7,householdfinance_v4_3!N7,householdfinance_v4_2!N7,householdfinance_v4_1!N7)/COUNT(householdfinance_v4_5!N7,householdfinance_v4_4!N7,householdfinance_v4_3!N7,householdfinance_v4_2!N7,householdfinance_v4_1!N7),0),"NA")</f>
        <v>1</v>
      </c>
      <c r="O7">
        <v>1.4485931396484379</v>
      </c>
    </row>
    <row r="8" spans="1:15" x14ac:dyDescent="0.25">
      <c r="A8" t="s">
        <v>17</v>
      </c>
      <c r="B8" t="s">
        <v>27</v>
      </c>
      <c r="C8">
        <v>0</v>
      </c>
      <c r="D8">
        <f>ROUND(SUM(householdfinance_v4_5!D8,householdfinance_v4_4!D8,householdfinance_v4_3!D8,householdfinance_v4_2!D8,householdfinance_v4_1!D8)/COUNT(householdfinance_v4_5!D8,householdfinance_v4_4!D8,householdfinance_v4_3!D8,householdfinance_v4_2!D8,householdfinance_v4_1!D8),0)</f>
        <v>1</v>
      </c>
      <c r="E8">
        <f>IF($D8=1,ROUND(SUM(householdfinance_v4_5!E8,householdfinance_v4_4!E8,householdfinance_v4_3!E8,householdfinance_v4_2!E8,householdfinance_v4_1!E8)/COUNT(householdfinance_v4_5!E8,householdfinance_v4_4!E8,householdfinance_v4_3!E8,householdfinance_v4_2!E8,householdfinance_v4_1!E8),0),"NA")</f>
        <v>1</v>
      </c>
      <c r="F8">
        <f>IF($D8=1,ROUND(SUM(householdfinance_v4_5!F8,householdfinance_v4_4!F8,householdfinance_v4_3!F8,householdfinance_v4_2!F8,householdfinance_v4_1!F8)/COUNT(householdfinance_v4_5!F8,householdfinance_v4_4!F8,householdfinance_v4_3!F8,householdfinance_v4_2!F8,householdfinance_v4_1!F8),0),"NA")</f>
        <v>1</v>
      </c>
      <c r="G8">
        <f>IF($D8=1,ROUND(SUM(householdfinance_v4_5!G8,householdfinance_v4_4!G8,householdfinance_v4_3!G8,householdfinance_v4_2!G8,householdfinance_v4_1!G8)/COUNT(householdfinance_v4_5!G8,householdfinance_v4_4!G8,householdfinance_v4_3!G8,householdfinance_v4_2!G8,householdfinance_v4_1!G8),0),"NA")</f>
        <v>0</v>
      </c>
      <c r="H8">
        <f>IF($E8=1,ROUND(SUM(householdfinance_v4_5!H8,householdfinance_v4_4!H8,householdfinance_v4_3!H8,householdfinance_v4_2!H8,householdfinance_v4_1!H8)/COUNT(householdfinance_v4_5!H8,householdfinance_v4_4!H8,householdfinance_v4_3!H8,householdfinance_v4_2!H8,householdfinance_v4_1!H8),0),"NA")</f>
        <v>1</v>
      </c>
      <c r="I8">
        <f>IF($D8=1,ROUND(SUM(householdfinance_v4_5!I8,householdfinance_v4_4!I8,householdfinance_v4_3!I8,householdfinance_v4_2!I8,householdfinance_v4_1!I8)/COUNT(householdfinance_v4_5!I8,householdfinance_v4_4!I8,householdfinance_v4_3!I8,householdfinance_v4_2!I8,householdfinance_v4_1!I8),0),"NA")</f>
        <v>1</v>
      </c>
      <c r="J8">
        <f>IF(AND($E8=1,$F8=1),ROUND(SUM(householdfinance_v4_5!J8,householdfinance_v4_4!J8,householdfinance_v4_3!J8,householdfinance_v4_2!J8,householdfinance_v4_1!J8)/COUNT(householdfinance_v4_5!J8,householdfinance_v4_4!J8,householdfinance_v4_3!J8,householdfinance_v4_2!J8,householdfinance_v4_1!J8),0),"NA")</f>
        <v>1</v>
      </c>
      <c r="K8">
        <f>IF($D8=1,ROUND(SUM(householdfinance_v4_5!K8,householdfinance_v4_4!K8,householdfinance_v4_3!K8,householdfinance_v4_2!K8,householdfinance_v4_1!K8)/COUNT(householdfinance_v4_5!K8,householdfinance_v4_4!K8,householdfinance_v4_3!K8,householdfinance_v4_2!K8,householdfinance_v4_1!K8),0),"NA")</f>
        <v>1</v>
      </c>
      <c r="L8">
        <f>IF($D8=1,ROUND(SUM(householdfinance_v4_5!L8,householdfinance_v4_4!L8,householdfinance_v4_3!L8,householdfinance_v4_2!L8,householdfinance_v4_1!L8)/COUNT(householdfinance_v4_5!L8,householdfinance_v4_4!L8,householdfinance_v4_3!L8,householdfinance_v4_2!L8,householdfinance_v4_1!L8),0),"NA")</f>
        <v>1</v>
      </c>
      <c r="M8">
        <f>IF($D8=1,ROUND(SUM(householdfinance_v4_5!M8,householdfinance_v4_4!M8,householdfinance_v4_3!M8,householdfinance_v4_2!M8,householdfinance_v4_1!M8)/COUNT(householdfinance_v4_5!M8,householdfinance_v4_4!M8,householdfinance_v4_3!M8,householdfinance_v4_2!M8,householdfinance_v4_1!M8),0),"NA")</f>
        <v>1</v>
      </c>
      <c r="N8">
        <f>IF($D8=1,ROUND(SUM(householdfinance_v4_5!N8,householdfinance_v4_4!N8,householdfinance_v4_3!N8,householdfinance_v4_2!N8,householdfinance_v4_1!N8)/COUNT(householdfinance_v4_5!N8,householdfinance_v4_4!N8,householdfinance_v4_3!N8,householdfinance_v4_2!N8,householdfinance_v4_1!N8),0),"NA")</f>
        <v>1</v>
      </c>
      <c r="O8">
        <v>4.953082799911499</v>
      </c>
    </row>
    <row r="9" spans="1:15" x14ac:dyDescent="0.25">
      <c r="A9" t="s">
        <v>17</v>
      </c>
      <c r="B9" t="s">
        <v>29</v>
      </c>
      <c r="C9">
        <v>0</v>
      </c>
      <c r="D9">
        <f>ROUND(SUM(householdfinance_v4_5!D9,householdfinance_v4_4!D9,householdfinance_v4_3!D9,householdfinance_v4_2!D9,householdfinance_v4_1!D9)/COUNT(householdfinance_v4_5!D9,householdfinance_v4_4!D9,householdfinance_v4_3!D9,householdfinance_v4_2!D9,householdfinance_v4_1!D9),0)</f>
        <v>1</v>
      </c>
      <c r="E9">
        <f>IF($D9=1,ROUND(SUM(householdfinance_v4_5!E9,householdfinance_v4_4!E9,householdfinance_v4_3!E9,householdfinance_v4_2!E9,householdfinance_v4_1!E9)/COUNT(householdfinance_v4_5!E9,householdfinance_v4_4!E9,householdfinance_v4_3!E9,householdfinance_v4_2!E9,householdfinance_v4_1!E9),0),"NA")</f>
        <v>1</v>
      </c>
      <c r="F9">
        <f>IF($D9=1,ROUND(SUM(householdfinance_v4_5!F9,householdfinance_v4_4!F9,householdfinance_v4_3!F9,householdfinance_v4_2!F9,householdfinance_v4_1!F9)/COUNT(householdfinance_v4_5!F9,householdfinance_v4_4!F9,householdfinance_v4_3!F9,householdfinance_v4_2!F9,householdfinance_v4_1!F9),0),"NA")</f>
        <v>1</v>
      </c>
      <c r="G9">
        <f>IF($D9=1,ROUND(SUM(householdfinance_v4_5!G9,householdfinance_v4_4!G9,householdfinance_v4_3!G9,householdfinance_v4_2!G9,householdfinance_v4_1!G9)/COUNT(householdfinance_v4_5!G9,householdfinance_v4_4!G9,householdfinance_v4_3!G9,householdfinance_v4_2!G9,householdfinance_v4_1!G9),0),"NA")</f>
        <v>1</v>
      </c>
      <c r="H9">
        <f>IF($E9=1,ROUND(SUM(householdfinance_v4_5!H9,householdfinance_v4_4!H9,householdfinance_v4_3!H9,householdfinance_v4_2!H9,householdfinance_v4_1!H9)/COUNT(householdfinance_v4_5!H9,householdfinance_v4_4!H9,householdfinance_v4_3!H9,householdfinance_v4_2!H9,householdfinance_v4_1!H9),0),"NA")</f>
        <v>1</v>
      </c>
      <c r="I9">
        <f>IF($D9=1,ROUND(SUM(householdfinance_v4_5!I9,householdfinance_v4_4!I9,householdfinance_v4_3!I9,householdfinance_v4_2!I9,householdfinance_v4_1!I9)/COUNT(householdfinance_v4_5!I9,householdfinance_v4_4!I9,householdfinance_v4_3!I9,householdfinance_v4_2!I9,householdfinance_v4_1!I9),0),"NA")</f>
        <v>1</v>
      </c>
      <c r="J9">
        <f>IF(AND($E9=1,$F9=1),ROUND(SUM(householdfinance_v4_5!J9,householdfinance_v4_4!J9,householdfinance_v4_3!J9,householdfinance_v4_2!J9,householdfinance_v4_1!J9)/COUNT(householdfinance_v4_5!J9,householdfinance_v4_4!J9,householdfinance_v4_3!J9,householdfinance_v4_2!J9,householdfinance_v4_1!J9),0),"NA")</f>
        <v>1</v>
      </c>
      <c r="K9">
        <f>IF($D9=1,ROUND(SUM(householdfinance_v4_5!K9,householdfinance_v4_4!K9,householdfinance_v4_3!K9,householdfinance_v4_2!K9,householdfinance_v4_1!K9)/COUNT(householdfinance_v4_5!K9,householdfinance_v4_4!K9,householdfinance_v4_3!K9,householdfinance_v4_2!K9,householdfinance_v4_1!K9),0),"NA")</f>
        <v>1</v>
      </c>
      <c r="L9">
        <f>IF($D9=1,ROUND(SUM(householdfinance_v4_5!L9,householdfinance_v4_4!L9,householdfinance_v4_3!L9,householdfinance_v4_2!L9,householdfinance_v4_1!L9)/COUNT(householdfinance_v4_5!L9,householdfinance_v4_4!L9,householdfinance_v4_3!L9,householdfinance_v4_2!L9,householdfinance_v4_1!L9),0),"NA")</f>
        <v>1</v>
      </c>
      <c r="M9">
        <f>IF($D9=1,ROUND(SUM(householdfinance_v4_5!M9,householdfinance_v4_4!M9,householdfinance_v4_3!M9,householdfinance_v4_2!M9,householdfinance_v4_1!M9)/COUNT(householdfinance_v4_5!M9,householdfinance_v4_4!M9,householdfinance_v4_3!M9,householdfinance_v4_2!M9,householdfinance_v4_1!M9),0),"NA")</f>
        <v>1</v>
      </c>
      <c r="N9">
        <f>IF($D9=1,ROUND(SUM(householdfinance_v4_5!N9,householdfinance_v4_4!N9,householdfinance_v4_3!N9,householdfinance_v4_2!N9,householdfinance_v4_1!N9)/COUNT(householdfinance_v4_5!N9,householdfinance_v4_4!N9,householdfinance_v4_3!N9,householdfinance_v4_2!N9,householdfinance_v4_1!N9),0),"NA")</f>
        <v>1</v>
      </c>
      <c r="O9">
        <v>1.5795407295227051</v>
      </c>
    </row>
    <row r="10" spans="1:15" x14ac:dyDescent="0.25">
      <c r="A10" t="s">
        <v>17</v>
      </c>
      <c r="B10" t="s">
        <v>30</v>
      </c>
      <c r="C10">
        <v>0</v>
      </c>
      <c r="D10">
        <f>ROUND(SUM(householdfinance_v4_5!D10,householdfinance_v4_4!D10,householdfinance_v4_3!D10,householdfinance_v4_2!D10,householdfinance_v4_1!D10)/COUNT(householdfinance_v4_5!D10,householdfinance_v4_4!D10,householdfinance_v4_3!D10,householdfinance_v4_2!D10,householdfinance_v4_1!D10),0)</f>
        <v>1</v>
      </c>
      <c r="E10">
        <f>IF($D10=1,ROUND(SUM(householdfinance_v4_5!E10,householdfinance_v4_4!E10,householdfinance_v4_3!E10,householdfinance_v4_2!E10,householdfinance_v4_1!E10)/COUNT(householdfinance_v4_5!E10,householdfinance_v4_4!E10,householdfinance_v4_3!E10,householdfinance_v4_2!E10,householdfinance_v4_1!E10),0),"NA")</f>
        <v>1</v>
      </c>
      <c r="F10">
        <f>IF($D10=1,ROUND(SUM(householdfinance_v4_5!F10,householdfinance_v4_4!F10,householdfinance_v4_3!F10,householdfinance_v4_2!F10,householdfinance_v4_1!F10)/COUNT(householdfinance_v4_5!F10,householdfinance_v4_4!F10,householdfinance_v4_3!F10,householdfinance_v4_2!F10,householdfinance_v4_1!F10),0),"NA")</f>
        <v>0</v>
      </c>
      <c r="G10">
        <f>IF($D10=1,ROUND(SUM(householdfinance_v4_5!G10,householdfinance_v4_4!G10,householdfinance_v4_3!G10,householdfinance_v4_2!G10,householdfinance_v4_1!G10)/COUNT(householdfinance_v4_5!G10,householdfinance_v4_4!G10,householdfinance_v4_3!G10,householdfinance_v4_2!G10,householdfinance_v4_1!G10),0),"NA")</f>
        <v>1</v>
      </c>
      <c r="H10">
        <f>IF($E10=1,ROUND(SUM(householdfinance_v4_5!H10,householdfinance_v4_4!H10,householdfinance_v4_3!H10,householdfinance_v4_2!H10,householdfinance_v4_1!H10)/COUNT(householdfinance_v4_5!H10,householdfinance_v4_4!H10,householdfinance_v4_3!H10,householdfinance_v4_2!H10,householdfinance_v4_1!H10),0),"NA")</f>
        <v>1</v>
      </c>
      <c r="I10">
        <f>IF($D10=1,ROUND(SUM(householdfinance_v4_5!I10,householdfinance_v4_4!I10,householdfinance_v4_3!I10,householdfinance_v4_2!I10,householdfinance_v4_1!I10)/COUNT(householdfinance_v4_5!I10,householdfinance_v4_4!I10,householdfinance_v4_3!I10,householdfinance_v4_2!I10,householdfinance_v4_1!I10),0),"NA")</f>
        <v>1</v>
      </c>
      <c r="J10" t="str">
        <f>IF(AND($E10=1,$F10=1),ROUND(SUM(householdfinance_v4_5!J10,householdfinance_v4_4!J10,householdfinance_v4_3!J10,householdfinance_v4_2!J10,householdfinance_v4_1!J10)/COUNT(householdfinance_v4_5!J10,householdfinance_v4_4!J10,householdfinance_v4_3!J10,householdfinance_v4_2!J10,householdfinance_v4_1!J10),0),"NA")</f>
        <v>NA</v>
      </c>
      <c r="K10">
        <f>IF($D10=1,ROUND(SUM(householdfinance_v4_5!K10,householdfinance_v4_4!K10,householdfinance_v4_3!K10,householdfinance_v4_2!K10,householdfinance_v4_1!K10)/COUNT(householdfinance_v4_5!K10,householdfinance_v4_4!K10,householdfinance_v4_3!K10,householdfinance_v4_2!K10,householdfinance_v4_1!K10),0),"NA")</f>
        <v>1</v>
      </c>
      <c r="L10">
        <f>IF($D10=1,ROUND(SUM(householdfinance_v4_5!L10,householdfinance_v4_4!L10,householdfinance_v4_3!L10,householdfinance_v4_2!L10,householdfinance_v4_1!L10)/COUNT(householdfinance_v4_5!L10,householdfinance_v4_4!L10,householdfinance_v4_3!L10,householdfinance_v4_2!L10,householdfinance_v4_1!L10),0),"NA")</f>
        <v>1</v>
      </c>
      <c r="M10">
        <f>IF($D10=1,ROUND(SUM(householdfinance_v4_5!M10,householdfinance_v4_4!M10,householdfinance_v4_3!M10,householdfinance_v4_2!M10,householdfinance_v4_1!M10)/COUNT(householdfinance_v4_5!M10,householdfinance_v4_4!M10,householdfinance_v4_3!M10,householdfinance_v4_2!M10,householdfinance_v4_1!M10),0),"NA")</f>
        <v>1</v>
      </c>
      <c r="N10">
        <f>IF($D10=1,ROUND(SUM(householdfinance_v4_5!N10,householdfinance_v4_4!N10,householdfinance_v4_3!N10,householdfinance_v4_2!N10,householdfinance_v4_1!N10)/COUNT(householdfinance_v4_5!N10,householdfinance_v4_4!N10,householdfinance_v4_3!N10,householdfinance_v4_2!N10,householdfinance_v4_1!N10),0),"NA")</f>
        <v>1</v>
      </c>
      <c r="O10">
        <v>2.508855819702148</v>
      </c>
    </row>
    <row r="11" spans="1:15" x14ac:dyDescent="0.25">
      <c r="A11" t="s">
        <v>17</v>
      </c>
      <c r="B11" t="s">
        <v>32</v>
      </c>
      <c r="C11">
        <v>0</v>
      </c>
      <c r="D11">
        <f>ROUND(SUM(householdfinance_v4_5!D11,householdfinance_v4_4!D11,householdfinance_v4_3!D11,householdfinance_v4_2!D11,householdfinance_v4_1!D11)/COUNT(householdfinance_v4_5!D11,householdfinance_v4_4!D11,householdfinance_v4_3!D11,householdfinance_v4_2!D11,householdfinance_v4_1!D11),0)</f>
        <v>1</v>
      </c>
      <c r="E11">
        <f>IF($D11=1,ROUND(SUM(householdfinance_v4_5!E11,householdfinance_v4_4!E11,householdfinance_v4_3!E11,householdfinance_v4_2!E11,householdfinance_v4_1!E11)/COUNT(householdfinance_v4_5!E11,householdfinance_v4_4!E11,householdfinance_v4_3!E11,householdfinance_v4_2!E11,householdfinance_v4_1!E11),0),"NA")</f>
        <v>1</v>
      </c>
      <c r="F11">
        <f>IF($D11=1,ROUND(SUM(householdfinance_v4_5!F11,householdfinance_v4_4!F11,householdfinance_v4_3!F11,householdfinance_v4_2!F11,householdfinance_v4_1!F11)/COUNT(householdfinance_v4_5!F11,householdfinance_v4_4!F11,householdfinance_v4_3!F11,householdfinance_v4_2!F11,householdfinance_v4_1!F11),0),"NA")</f>
        <v>1</v>
      </c>
      <c r="G11">
        <f>IF($D11=1,ROUND(SUM(householdfinance_v4_5!G11,householdfinance_v4_4!G11,householdfinance_v4_3!G11,householdfinance_v4_2!G11,householdfinance_v4_1!G11)/COUNT(householdfinance_v4_5!G11,householdfinance_v4_4!G11,householdfinance_v4_3!G11,householdfinance_v4_2!G11,householdfinance_v4_1!G11),0),"NA")</f>
        <v>1</v>
      </c>
      <c r="H11">
        <f>IF($E11=1,ROUND(SUM(householdfinance_v4_5!H11,householdfinance_v4_4!H11,householdfinance_v4_3!H11,householdfinance_v4_2!H11,householdfinance_v4_1!H11)/COUNT(householdfinance_v4_5!H11,householdfinance_v4_4!H11,householdfinance_v4_3!H11,householdfinance_v4_2!H11,householdfinance_v4_1!H11),0),"NA")</f>
        <v>1</v>
      </c>
      <c r="I11">
        <f>IF($D11=1,ROUND(SUM(householdfinance_v4_5!I11,householdfinance_v4_4!I11,householdfinance_v4_3!I11,householdfinance_v4_2!I11,householdfinance_v4_1!I11)/COUNT(householdfinance_v4_5!I11,householdfinance_v4_4!I11,householdfinance_v4_3!I11,householdfinance_v4_2!I11,householdfinance_v4_1!I11),0),"NA")</f>
        <v>1</v>
      </c>
      <c r="J11">
        <f>IF(AND($E11=1,$F11=1),ROUND(SUM(householdfinance_v4_5!J11,householdfinance_v4_4!J11,householdfinance_v4_3!J11,householdfinance_v4_2!J11,householdfinance_v4_1!J11)/COUNT(householdfinance_v4_5!J11,householdfinance_v4_4!J11,householdfinance_v4_3!J11,householdfinance_v4_2!J11,householdfinance_v4_1!J11),0),"NA")</f>
        <v>1</v>
      </c>
      <c r="K11">
        <f>IF($D11=1,ROUND(SUM(householdfinance_v4_5!K11,householdfinance_v4_4!K11,householdfinance_v4_3!K11,householdfinance_v4_2!K11,householdfinance_v4_1!K11)/COUNT(householdfinance_v4_5!K11,householdfinance_v4_4!K11,householdfinance_v4_3!K11,householdfinance_v4_2!K11,householdfinance_v4_1!K11),0),"NA")</f>
        <v>1</v>
      </c>
      <c r="L11">
        <f>IF($D11=1,ROUND(SUM(householdfinance_v4_5!L11,householdfinance_v4_4!L11,householdfinance_v4_3!L11,householdfinance_v4_2!L11,householdfinance_v4_1!L11)/COUNT(householdfinance_v4_5!L11,householdfinance_v4_4!L11,householdfinance_v4_3!L11,householdfinance_v4_2!L11,householdfinance_v4_1!L11),0),"NA")</f>
        <v>1</v>
      </c>
      <c r="M11">
        <f>IF($D11=1,ROUND(SUM(householdfinance_v4_5!M11,householdfinance_v4_4!M11,householdfinance_v4_3!M11,householdfinance_v4_2!M11,householdfinance_v4_1!M11)/COUNT(householdfinance_v4_5!M11,householdfinance_v4_4!M11,householdfinance_v4_3!M11,householdfinance_v4_2!M11,householdfinance_v4_1!M11),0),"NA")</f>
        <v>1</v>
      </c>
      <c r="N11">
        <f>IF($D11=1,ROUND(SUM(householdfinance_v4_5!N11,householdfinance_v4_4!N11,householdfinance_v4_3!N11,householdfinance_v4_2!N11,householdfinance_v4_1!N11)/COUNT(householdfinance_v4_5!N11,householdfinance_v4_4!N11,householdfinance_v4_3!N11,householdfinance_v4_2!N11,householdfinance_v4_1!N11),0),"NA")</f>
        <v>1</v>
      </c>
      <c r="O11">
        <v>1.5113101005554199</v>
      </c>
    </row>
    <row r="12" spans="1:15" x14ac:dyDescent="0.25">
      <c r="A12" t="s">
        <v>17</v>
      </c>
      <c r="B12" t="s">
        <v>33</v>
      </c>
      <c r="C12">
        <v>0</v>
      </c>
      <c r="D12">
        <f>ROUND(SUM(householdfinance_v4_5!D12,householdfinance_v4_4!D12,householdfinance_v4_3!D12,householdfinance_v4_2!D12,householdfinance_v4_1!D12)/COUNT(householdfinance_v4_5!D12,householdfinance_v4_4!D12,householdfinance_v4_3!D12,householdfinance_v4_2!D12,householdfinance_v4_1!D12),0)</f>
        <v>1</v>
      </c>
      <c r="E12">
        <f>IF($D12=1,ROUND(SUM(householdfinance_v4_5!E12,householdfinance_v4_4!E12,householdfinance_v4_3!E12,householdfinance_v4_2!E12,householdfinance_v4_1!E12)/COUNT(householdfinance_v4_5!E12,householdfinance_v4_4!E12,householdfinance_v4_3!E12,householdfinance_v4_2!E12,householdfinance_v4_1!E12),0),"NA")</f>
        <v>1</v>
      </c>
      <c r="F12">
        <f>IF($D12=1,ROUND(SUM(householdfinance_v4_5!F12,householdfinance_v4_4!F12,householdfinance_v4_3!F12,householdfinance_v4_2!F12,householdfinance_v4_1!F12)/COUNT(householdfinance_v4_5!F12,householdfinance_v4_4!F12,householdfinance_v4_3!F12,householdfinance_v4_2!F12,householdfinance_v4_1!F12),0),"NA")</f>
        <v>1</v>
      </c>
      <c r="G12">
        <f>IF($D12=1,ROUND(SUM(householdfinance_v4_5!G12,householdfinance_v4_4!G12,householdfinance_v4_3!G12,householdfinance_v4_2!G12,householdfinance_v4_1!G12)/COUNT(householdfinance_v4_5!G12,householdfinance_v4_4!G12,householdfinance_v4_3!G12,householdfinance_v4_2!G12,householdfinance_v4_1!G12),0),"NA")</f>
        <v>1</v>
      </c>
      <c r="H12">
        <f>IF($E12=1,ROUND(SUM(householdfinance_v4_5!H12,householdfinance_v4_4!H12,householdfinance_v4_3!H12,householdfinance_v4_2!H12,householdfinance_v4_1!H12)/COUNT(householdfinance_v4_5!H12,householdfinance_v4_4!H12,householdfinance_v4_3!H12,householdfinance_v4_2!H12,householdfinance_v4_1!H12),0),"NA")</f>
        <v>1</v>
      </c>
      <c r="I12">
        <f>IF($D12=1,ROUND(SUM(householdfinance_v4_5!I12,householdfinance_v4_4!I12,householdfinance_v4_3!I12,householdfinance_v4_2!I12,householdfinance_v4_1!I12)/COUNT(householdfinance_v4_5!I12,householdfinance_v4_4!I12,householdfinance_v4_3!I12,householdfinance_v4_2!I12,householdfinance_v4_1!I12),0),"NA")</f>
        <v>1</v>
      </c>
      <c r="J12">
        <f>IF(AND($E12=1,$F12=1),ROUND(SUM(householdfinance_v4_5!J12,householdfinance_v4_4!J12,householdfinance_v4_3!J12,householdfinance_v4_2!J12,householdfinance_v4_1!J12)/COUNT(householdfinance_v4_5!J12,householdfinance_v4_4!J12,householdfinance_v4_3!J12,householdfinance_v4_2!J12,householdfinance_v4_1!J12),0),"NA")</f>
        <v>1</v>
      </c>
      <c r="K12">
        <f>IF($D12=1,ROUND(SUM(householdfinance_v4_5!K12,householdfinance_v4_4!K12,householdfinance_v4_3!K12,householdfinance_v4_2!K12,householdfinance_v4_1!K12)/COUNT(householdfinance_v4_5!K12,householdfinance_v4_4!K12,householdfinance_v4_3!K12,householdfinance_v4_2!K12,householdfinance_v4_1!K12),0),"NA")</f>
        <v>1</v>
      </c>
      <c r="L12">
        <f>IF($D12=1,ROUND(SUM(householdfinance_v4_5!L12,householdfinance_v4_4!L12,householdfinance_v4_3!L12,householdfinance_v4_2!L12,householdfinance_v4_1!L12)/COUNT(householdfinance_v4_5!L12,householdfinance_v4_4!L12,householdfinance_v4_3!L12,householdfinance_v4_2!L12,householdfinance_v4_1!L12),0),"NA")</f>
        <v>1</v>
      </c>
      <c r="M12">
        <f>IF($D12=1,ROUND(SUM(householdfinance_v4_5!M12,householdfinance_v4_4!M12,householdfinance_v4_3!M12,householdfinance_v4_2!M12,householdfinance_v4_1!M12)/COUNT(householdfinance_v4_5!M12,householdfinance_v4_4!M12,householdfinance_v4_3!M12,householdfinance_v4_2!M12,householdfinance_v4_1!M12),0),"NA")</f>
        <v>1</v>
      </c>
      <c r="N12">
        <f>IF($D12=1,ROUND(SUM(householdfinance_v4_5!N12,householdfinance_v4_4!N12,householdfinance_v4_3!N12,householdfinance_v4_2!N12,householdfinance_v4_1!N12)/COUNT(householdfinance_v4_5!N12,householdfinance_v4_4!N12,householdfinance_v4_3!N12,householdfinance_v4_2!N12,householdfinance_v4_1!N12),0),"NA")</f>
        <v>1</v>
      </c>
      <c r="O12">
        <v>1.6401429176330571</v>
      </c>
    </row>
    <row r="13" spans="1:15" x14ac:dyDescent="0.25">
      <c r="A13" t="s">
        <v>17</v>
      </c>
      <c r="B13" t="s">
        <v>34</v>
      </c>
      <c r="C13">
        <v>0</v>
      </c>
      <c r="D13">
        <f>ROUND(SUM(householdfinance_v4_5!D13,householdfinance_v4_4!D13,householdfinance_v4_3!D13,householdfinance_v4_2!D13,householdfinance_v4_1!D13)/COUNT(householdfinance_v4_5!D13,householdfinance_v4_4!D13,householdfinance_v4_3!D13,householdfinance_v4_2!D13,householdfinance_v4_1!D13),0)</f>
        <v>1</v>
      </c>
      <c r="E13">
        <f>IF($D13=1,ROUND(SUM(householdfinance_v4_5!E13,householdfinance_v4_4!E13,householdfinance_v4_3!E13,householdfinance_v4_2!E13,householdfinance_v4_1!E13)/COUNT(householdfinance_v4_5!E13,householdfinance_v4_4!E13,householdfinance_v4_3!E13,householdfinance_v4_2!E13,householdfinance_v4_1!E13),0),"NA")</f>
        <v>1</v>
      </c>
      <c r="F13">
        <f>IF($D13=1,ROUND(SUM(householdfinance_v4_5!F13,householdfinance_v4_4!F13,householdfinance_v4_3!F13,householdfinance_v4_2!F13,householdfinance_v4_1!F13)/COUNT(householdfinance_v4_5!F13,householdfinance_v4_4!F13,householdfinance_v4_3!F13,householdfinance_v4_2!F13,householdfinance_v4_1!F13),0),"NA")</f>
        <v>1</v>
      </c>
      <c r="G13">
        <f>IF($D13=1,ROUND(SUM(householdfinance_v4_5!G13,householdfinance_v4_4!G13,householdfinance_v4_3!G13,householdfinance_v4_2!G13,householdfinance_v4_1!G13)/COUNT(householdfinance_v4_5!G13,householdfinance_v4_4!G13,householdfinance_v4_3!G13,householdfinance_v4_2!G13,householdfinance_v4_1!G13),0),"NA")</f>
        <v>1</v>
      </c>
      <c r="H13">
        <f>IF($E13=1,ROUND(SUM(householdfinance_v4_5!H13,householdfinance_v4_4!H13,householdfinance_v4_3!H13,householdfinance_v4_2!H13,householdfinance_v4_1!H13)/COUNT(householdfinance_v4_5!H13,householdfinance_v4_4!H13,householdfinance_v4_3!H13,householdfinance_v4_2!H13,householdfinance_v4_1!H13),0),"NA")</f>
        <v>1</v>
      </c>
      <c r="I13">
        <f>IF($D13=1,ROUND(SUM(householdfinance_v4_5!I13,householdfinance_v4_4!I13,householdfinance_v4_3!I13,householdfinance_v4_2!I13,householdfinance_v4_1!I13)/COUNT(householdfinance_v4_5!I13,householdfinance_v4_4!I13,householdfinance_v4_3!I13,householdfinance_v4_2!I13,householdfinance_v4_1!I13),0),"NA")</f>
        <v>1</v>
      </c>
      <c r="J13">
        <f>IF(AND($E13=1,$F13=1),ROUND(SUM(householdfinance_v4_5!J13,householdfinance_v4_4!J13,householdfinance_v4_3!J13,householdfinance_v4_2!J13,householdfinance_v4_1!J13)/COUNT(householdfinance_v4_5!J13,householdfinance_v4_4!J13,householdfinance_v4_3!J13,householdfinance_v4_2!J13,householdfinance_v4_1!J13),0),"NA")</f>
        <v>1</v>
      </c>
      <c r="K13">
        <f>IF($D13=1,ROUND(SUM(householdfinance_v4_5!K13,householdfinance_v4_4!K13,householdfinance_v4_3!K13,householdfinance_v4_2!K13,householdfinance_v4_1!K13)/COUNT(householdfinance_v4_5!K13,householdfinance_v4_4!K13,householdfinance_v4_3!K13,householdfinance_v4_2!K13,householdfinance_v4_1!K13),0),"NA")</f>
        <v>1</v>
      </c>
      <c r="L13">
        <f>IF($D13=1,ROUND(SUM(householdfinance_v4_5!L13,householdfinance_v4_4!L13,householdfinance_v4_3!L13,householdfinance_v4_2!L13,householdfinance_v4_1!L13)/COUNT(householdfinance_v4_5!L13,householdfinance_v4_4!L13,householdfinance_v4_3!L13,householdfinance_v4_2!L13,householdfinance_v4_1!L13),0),"NA")</f>
        <v>1</v>
      </c>
      <c r="M13">
        <f>IF($D13=1,ROUND(SUM(householdfinance_v4_5!M13,householdfinance_v4_4!M13,householdfinance_v4_3!M13,householdfinance_v4_2!M13,householdfinance_v4_1!M13)/COUNT(householdfinance_v4_5!M13,householdfinance_v4_4!M13,householdfinance_v4_3!M13,householdfinance_v4_2!M13,householdfinance_v4_1!M13),0),"NA")</f>
        <v>1</v>
      </c>
      <c r="N13">
        <f>IF($D13=1,ROUND(SUM(householdfinance_v4_5!N13,householdfinance_v4_4!N13,householdfinance_v4_3!N13,householdfinance_v4_2!N13,householdfinance_v4_1!N13)/COUNT(householdfinance_v4_5!N13,householdfinance_v4_4!N13,householdfinance_v4_3!N13,householdfinance_v4_2!N13,householdfinance_v4_1!N13),0),"NA")</f>
        <v>1</v>
      </c>
      <c r="O13">
        <v>2.8631727695465088</v>
      </c>
    </row>
    <row r="14" spans="1:15" x14ac:dyDescent="0.25">
      <c r="A14" t="s">
        <v>17</v>
      </c>
      <c r="B14" t="s">
        <v>35</v>
      </c>
      <c r="C14">
        <v>0</v>
      </c>
      <c r="D14">
        <f>ROUND(SUM(householdfinance_v4_5!D14,householdfinance_v4_4!D14,householdfinance_v4_3!D14,householdfinance_v4_2!D14,householdfinance_v4_1!D14)/COUNT(householdfinance_v4_5!D14,householdfinance_v4_4!D14,householdfinance_v4_3!D14,householdfinance_v4_2!D14,householdfinance_v4_1!D14),0)</f>
        <v>1</v>
      </c>
      <c r="E14">
        <f>IF($D14=1,ROUND(SUM(householdfinance_v4_5!E14,householdfinance_v4_4!E14,householdfinance_v4_3!E14,householdfinance_v4_2!E14,householdfinance_v4_1!E14)/COUNT(householdfinance_v4_5!E14,householdfinance_v4_4!E14,householdfinance_v4_3!E14,householdfinance_v4_2!E14,householdfinance_v4_1!E14),0),"NA")</f>
        <v>0</v>
      </c>
      <c r="F14">
        <f>IF($D14=1,ROUND(SUM(householdfinance_v4_5!F14,householdfinance_v4_4!F14,householdfinance_v4_3!F14,householdfinance_v4_2!F14,householdfinance_v4_1!F14)/COUNT(householdfinance_v4_5!F14,householdfinance_v4_4!F14,householdfinance_v4_3!F14,householdfinance_v4_2!F14,householdfinance_v4_1!F14),0),"NA")</f>
        <v>1</v>
      </c>
      <c r="G14">
        <f>IF($D14=1,ROUND(SUM(householdfinance_v4_5!G14,householdfinance_v4_4!G14,householdfinance_v4_3!G14,householdfinance_v4_2!G14,householdfinance_v4_1!G14)/COUNT(householdfinance_v4_5!G14,householdfinance_v4_4!G14,householdfinance_v4_3!G14,householdfinance_v4_2!G14,householdfinance_v4_1!G14),0),"NA")</f>
        <v>1</v>
      </c>
      <c r="H14" t="str">
        <f>IF($E14=1,ROUND(SUM(householdfinance_v4_5!H14,householdfinance_v4_4!H14,householdfinance_v4_3!H14,householdfinance_v4_2!H14,householdfinance_v4_1!H14)/COUNT(householdfinance_v4_5!H14,householdfinance_v4_4!H14,householdfinance_v4_3!H14,householdfinance_v4_2!H14,householdfinance_v4_1!H14),0),"NA")</f>
        <v>NA</v>
      </c>
      <c r="I14">
        <f>IF($D14=1,ROUND(SUM(householdfinance_v4_5!I14,householdfinance_v4_4!I14,householdfinance_v4_3!I14,householdfinance_v4_2!I14,householdfinance_v4_1!I14)/COUNT(householdfinance_v4_5!I14,householdfinance_v4_4!I14,householdfinance_v4_3!I14,householdfinance_v4_2!I14,householdfinance_v4_1!I14),0),"NA")</f>
        <v>0</v>
      </c>
      <c r="J14" t="str">
        <f>IF(AND($E14=1,$F14=1),ROUND(SUM(householdfinance_v4_5!J14,householdfinance_v4_4!J14,householdfinance_v4_3!J14,householdfinance_v4_2!J14,householdfinance_v4_1!J14)/COUNT(householdfinance_v4_5!J14,householdfinance_v4_4!J14,householdfinance_v4_3!J14,householdfinance_v4_2!J14,householdfinance_v4_1!J14),0),"NA")</f>
        <v>NA</v>
      </c>
      <c r="K14">
        <f>IF($D14=1,ROUND(SUM(householdfinance_v4_5!K14,householdfinance_v4_4!K14,householdfinance_v4_3!K14,householdfinance_v4_2!K14,householdfinance_v4_1!K14)/COUNT(householdfinance_v4_5!K14,householdfinance_v4_4!K14,householdfinance_v4_3!K14,householdfinance_v4_2!K14,householdfinance_v4_1!K14),0),"NA")</f>
        <v>1</v>
      </c>
      <c r="L14">
        <f>IF($D14=1,ROUND(SUM(householdfinance_v4_5!L14,householdfinance_v4_4!L14,householdfinance_v4_3!L14,householdfinance_v4_2!L14,householdfinance_v4_1!L14)/COUNT(householdfinance_v4_5!L14,householdfinance_v4_4!L14,householdfinance_v4_3!L14,householdfinance_v4_2!L14,householdfinance_v4_1!L14),0),"NA")</f>
        <v>1</v>
      </c>
      <c r="M14">
        <f>IF($D14=1,ROUND(SUM(householdfinance_v4_5!M14,householdfinance_v4_4!M14,householdfinance_v4_3!M14,householdfinance_v4_2!M14,householdfinance_v4_1!M14)/COUNT(householdfinance_v4_5!M14,householdfinance_v4_4!M14,householdfinance_v4_3!M14,householdfinance_v4_2!M14,householdfinance_v4_1!M14),0),"NA")</f>
        <v>1</v>
      </c>
      <c r="N14">
        <f>IF($D14=1,ROUND(SUM(householdfinance_v4_5!N14,householdfinance_v4_4!N14,householdfinance_v4_3!N14,householdfinance_v4_2!N14,householdfinance_v4_1!N14)/COUNT(householdfinance_v4_5!N14,householdfinance_v4_4!N14,householdfinance_v4_3!N14,householdfinance_v4_2!N14,householdfinance_v4_1!N14),0),"NA")</f>
        <v>1</v>
      </c>
      <c r="O14">
        <v>3.5787127017974849</v>
      </c>
    </row>
    <row r="15" spans="1:15" x14ac:dyDescent="0.25">
      <c r="A15" t="s">
        <v>17</v>
      </c>
      <c r="B15" t="s">
        <v>37</v>
      </c>
      <c r="C15">
        <v>0</v>
      </c>
      <c r="D15">
        <f>ROUND(SUM(householdfinance_v4_5!D15,householdfinance_v4_4!D15,householdfinance_v4_3!D15,householdfinance_v4_2!D15,householdfinance_v4_1!D15)/COUNT(householdfinance_v4_5!D15,householdfinance_v4_4!D15,householdfinance_v4_3!D15,householdfinance_v4_2!D15,householdfinance_v4_1!D15),0)</f>
        <v>1</v>
      </c>
      <c r="E15">
        <f>IF($D15=1,ROUND(SUM(householdfinance_v4_5!E15,householdfinance_v4_4!E15,householdfinance_v4_3!E15,householdfinance_v4_2!E15,householdfinance_v4_1!E15)/COUNT(householdfinance_v4_5!E15,householdfinance_v4_4!E15,householdfinance_v4_3!E15,householdfinance_v4_2!E15,householdfinance_v4_1!E15),0),"NA")</f>
        <v>1</v>
      </c>
      <c r="F15">
        <f>IF($D15=1,ROUND(SUM(householdfinance_v4_5!F15,householdfinance_v4_4!F15,householdfinance_v4_3!F15,householdfinance_v4_2!F15,householdfinance_v4_1!F15)/COUNT(householdfinance_v4_5!F15,householdfinance_v4_4!F15,householdfinance_v4_3!F15,householdfinance_v4_2!F15,householdfinance_v4_1!F15),0),"NA")</f>
        <v>1</v>
      </c>
      <c r="G15">
        <f>IF($D15=1,ROUND(SUM(householdfinance_v4_5!G15,householdfinance_v4_4!G15,householdfinance_v4_3!G15,householdfinance_v4_2!G15,householdfinance_v4_1!G15)/COUNT(householdfinance_v4_5!G15,householdfinance_v4_4!G15,householdfinance_v4_3!G15,householdfinance_v4_2!G15,householdfinance_v4_1!G15),0),"NA")</f>
        <v>1</v>
      </c>
      <c r="H15">
        <f>IF($E15=1,ROUND(SUM(householdfinance_v4_5!H15,householdfinance_v4_4!H15,householdfinance_v4_3!H15,householdfinance_v4_2!H15,householdfinance_v4_1!H15)/COUNT(householdfinance_v4_5!H15,householdfinance_v4_4!H15,householdfinance_v4_3!H15,householdfinance_v4_2!H15,householdfinance_v4_1!H15),0),"NA")</f>
        <v>1</v>
      </c>
      <c r="I15">
        <f>IF($D15=1,ROUND(SUM(householdfinance_v4_5!I15,householdfinance_v4_4!I15,householdfinance_v4_3!I15,householdfinance_v4_2!I15,householdfinance_v4_1!I15)/COUNT(householdfinance_v4_5!I15,householdfinance_v4_4!I15,householdfinance_v4_3!I15,householdfinance_v4_2!I15,householdfinance_v4_1!I15),0),"NA")</f>
        <v>1</v>
      </c>
      <c r="J15">
        <f>IF(AND($E15=1,$F15=1),ROUND(SUM(householdfinance_v4_5!J15,householdfinance_v4_4!J15,householdfinance_v4_3!J15,householdfinance_v4_2!J15,householdfinance_v4_1!J15)/COUNT(householdfinance_v4_5!J15,householdfinance_v4_4!J15,householdfinance_v4_3!J15,householdfinance_v4_2!J15,householdfinance_v4_1!J15),0),"NA")</f>
        <v>1</v>
      </c>
      <c r="K15">
        <f>IF($D15=1,ROUND(SUM(householdfinance_v4_5!K15,householdfinance_v4_4!K15,householdfinance_v4_3!K15,householdfinance_v4_2!K15,householdfinance_v4_1!K15)/COUNT(householdfinance_v4_5!K15,householdfinance_v4_4!K15,householdfinance_v4_3!K15,householdfinance_v4_2!K15,householdfinance_v4_1!K15),0),"NA")</f>
        <v>1</v>
      </c>
      <c r="L15">
        <f>IF($D15=1,ROUND(SUM(householdfinance_v4_5!L15,householdfinance_v4_4!L15,householdfinance_v4_3!L15,householdfinance_v4_2!L15,householdfinance_v4_1!L15)/COUNT(householdfinance_v4_5!L15,householdfinance_v4_4!L15,householdfinance_v4_3!L15,householdfinance_v4_2!L15,householdfinance_v4_1!L15),0),"NA")</f>
        <v>1</v>
      </c>
      <c r="M15">
        <f>IF($D15=1,ROUND(SUM(householdfinance_v4_5!M15,householdfinance_v4_4!M15,householdfinance_v4_3!M15,householdfinance_v4_2!M15,householdfinance_v4_1!M15)/COUNT(householdfinance_v4_5!M15,householdfinance_v4_4!M15,householdfinance_v4_3!M15,householdfinance_v4_2!M15,householdfinance_v4_1!M15),0),"NA")</f>
        <v>1</v>
      </c>
      <c r="N15">
        <f>IF($D15=1,ROUND(SUM(householdfinance_v4_5!N15,householdfinance_v4_4!N15,householdfinance_v4_3!N15,householdfinance_v4_2!N15,householdfinance_v4_1!N15)/COUNT(householdfinance_v4_5!N15,householdfinance_v4_4!N15,householdfinance_v4_3!N15,householdfinance_v4_2!N15,householdfinance_v4_1!N15),0),"NA")</f>
        <v>1</v>
      </c>
      <c r="O15">
        <v>2.0902917385101318</v>
      </c>
    </row>
    <row r="16" spans="1:15" x14ac:dyDescent="0.25">
      <c r="A16" t="s">
        <v>17</v>
      </c>
      <c r="B16" t="s">
        <v>38</v>
      </c>
      <c r="C16">
        <v>0</v>
      </c>
      <c r="D16">
        <f>ROUND(SUM(householdfinance_v4_5!D16,householdfinance_v4_4!D16,householdfinance_v4_3!D16,householdfinance_v4_2!D16,householdfinance_v4_1!D16)/COUNT(householdfinance_v4_5!D16,householdfinance_v4_4!D16,householdfinance_v4_3!D16,householdfinance_v4_2!D16,householdfinance_v4_1!D16),0)</f>
        <v>1</v>
      </c>
      <c r="E16">
        <f>IF($D16=1,ROUND(SUM(householdfinance_v4_5!E16,householdfinance_v4_4!E16,householdfinance_v4_3!E16,householdfinance_v4_2!E16,householdfinance_v4_1!E16)/COUNT(householdfinance_v4_5!E16,householdfinance_v4_4!E16,householdfinance_v4_3!E16,householdfinance_v4_2!E16,householdfinance_v4_1!E16),0),"NA")</f>
        <v>1</v>
      </c>
      <c r="F16">
        <f>IF($D16=1,ROUND(SUM(householdfinance_v4_5!F16,householdfinance_v4_4!F16,householdfinance_v4_3!F16,householdfinance_v4_2!F16,householdfinance_v4_1!F16)/COUNT(householdfinance_v4_5!F16,householdfinance_v4_4!F16,householdfinance_v4_3!F16,householdfinance_v4_2!F16,householdfinance_v4_1!F16),0),"NA")</f>
        <v>1</v>
      </c>
      <c r="G16">
        <f>IF($D16=1,ROUND(SUM(householdfinance_v4_5!G16,householdfinance_v4_4!G16,householdfinance_v4_3!G16,householdfinance_v4_2!G16,householdfinance_v4_1!G16)/COUNT(householdfinance_v4_5!G16,householdfinance_v4_4!G16,householdfinance_v4_3!G16,householdfinance_v4_2!G16,householdfinance_v4_1!G16),0),"NA")</f>
        <v>1</v>
      </c>
      <c r="H16">
        <f>IF($E16=1,ROUND(SUM(householdfinance_v4_5!H16,householdfinance_v4_4!H16,householdfinance_v4_3!H16,householdfinance_v4_2!H16,householdfinance_v4_1!H16)/COUNT(householdfinance_v4_5!H16,householdfinance_v4_4!H16,householdfinance_v4_3!H16,householdfinance_v4_2!H16,householdfinance_v4_1!H16),0),"NA")</f>
        <v>1</v>
      </c>
      <c r="I16">
        <f>IF($D16=1,ROUND(SUM(householdfinance_v4_5!I16,householdfinance_v4_4!I16,householdfinance_v4_3!I16,householdfinance_v4_2!I16,householdfinance_v4_1!I16)/COUNT(householdfinance_v4_5!I16,householdfinance_v4_4!I16,householdfinance_v4_3!I16,householdfinance_v4_2!I16,householdfinance_v4_1!I16),0),"NA")</f>
        <v>1</v>
      </c>
      <c r="J16">
        <f>IF(AND($E16=1,$F16=1),ROUND(SUM(householdfinance_v4_5!J16,householdfinance_v4_4!J16,householdfinance_v4_3!J16,householdfinance_v4_2!J16,householdfinance_v4_1!J16)/COUNT(householdfinance_v4_5!J16,householdfinance_v4_4!J16,householdfinance_v4_3!J16,householdfinance_v4_2!J16,householdfinance_v4_1!J16),0),"NA")</f>
        <v>1</v>
      </c>
      <c r="K16">
        <f>IF($D16=1,ROUND(SUM(householdfinance_v4_5!K16,householdfinance_v4_4!K16,householdfinance_v4_3!K16,householdfinance_v4_2!K16,householdfinance_v4_1!K16)/COUNT(householdfinance_v4_5!K16,householdfinance_v4_4!K16,householdfinance_v4_3!K16,householdfinance_v4_2!K16,householdfinance_v4_1!K16),0),"NA")</f>
        <v>1</v>
      </c>
      <c r="L16">
        <f>IF($D16=1,ROUND(SUM(householdfinance_v4_5!L16,householdfinance_v4_4!L16,householdfinance_v4_3!L16,householdfinance_v4_2!L16,householdfinance_v4_1!L16)/COUNT(householdfinance_v4_5!L16,householdfinance_v4_4!L16,householdfinance_v4_3!L16,householdfinance_v4_2!L16,householdfinance_v4_1!L16),0),"NA")</f>
        <v>1</v>
      </c>
      <c r="M16">
        <f>IF($D16=1,ROUND(SUM(householdfinance_v4_5!M16,householdfinance_v4_4!M16,householdfinance_v4_3!M16,householdfinance_v4_2!M16,householdfinance_v4_1!M16)/COUNT(householdfinance_v4_5!M16,householdfinance_v4_4!M16,householdfinance_v4_3!M16,householdfinance_v4_2!M16,householdfinance_v4_1!M16),0),"NA")</f>
        <v>1</v>
      </c>
      <c r="N16">
        <f>IF($D16=1,ROUND(SUM(householdfinance_v4_5!N16,householdfinance_v4_4!N16,householdfinance_v4_3!N16,householdfinance_v4_2!N16,householdfinance_v4_1!N16)/COUNT(householdfinance_v4_5!N16,householdfinance_v4_4!N16,householdfinance_v4_3!N16,householdfinance_v4_2!N16,householdfinance_v4_1!N16),0),"NA")</f>
        <v>1</v>
      </c>
      <c r="O16">
        <v>1.5835549831390381</v>
      </c>
    </row>
    <row r="17" spans="1:15" x14ac:dyDescent="0.25">
      <c r="A17" t="s">
        <v>17</v>
      </c>
      <c r="B17" t="s">
        <v>39</v>
      </c>
      <c r="C17">
        <v>0</v>
      </c>
      <c r="D17">
        <f>ROUND(SUM(householdfinance_v4_5!D17,householdfinance_v4_4!D17,householdfinance_v4_3!D17,householdfinance_v4_2!D17,householdfinance_v4_1!D17)/COUNT(householdfinance_v4_5!D17,householdfinance_v4_4!D17,householdfinance_v4_3!D17,householdfinance_v4_2!D17,householdfinance_v4_1!D17),0)</f>
        <v>1</v>
      </c>
      <c r="E17">
        <f>IF($D17=1,ROUND(SUM(householdfinance_v4_5!E17,householdfinance_v4_4!E17,householdfinance_v4_3!E17,householdfinance_v4_2!E17,householdfinance_v4_1!E17)/COUNT(householdfinance_v4_5!E17,householdfinance_v4_4!E17,householdfinance_v4_3!E17,householdfinance_v4_2!E17,householdfinance_v4_1!E17),0),"NA")</f>
        <v>1</v>
      </c>
      <c r="F17">
        <f>IF($D17=1,ROUND(SUM(householdfinance_v4_5!F17,householdfinance_v4_4!F17,householdfinance_v4_3!F17,householdfinance_v4_2!F17,householdfinance_v4_1!F17)/COUNT(householdfinance_v4_5!F17,householdfinance_v4_4!F17,householdfinance_v4_3!F17,householdfinance_v4_2!F17,householdfinance_v4_1!F17),0),"NA")</f>
        <v>1</v>
      </c>
      <c r="G17">
        <f>IF($D17=1,ROUND(SUM(householdfinance_v4_5!G17,householdfinance_v4_4!G17,householdfinance_v4_3!G17,householdfinance_v4_2!G17,householdfinance_v4_1!G17)/COUNT(householdfinance_v4_5!G17,householdfinance_v4_4!G17,householdfinance_v4_3!G17,householdfinance_v4_2!G17,householdfinance_v4_1!G17),0),"NA")</f>
        <v>1</v>
      </c>
      <c r="H17">
        <f>IF($E17=1,ROUND(SUM(householdfinance_v4_5!H17,householdfinance_v4_4!H17,householdfinance_v4_3!H17,householdfinance_v4_2!H17,householdfinance_v4_1!H17)/COUNT(householdfinance_v4_5!H17,householdfinance_v4_4!H17,householdfinance_v4_3!H17,householdfinance_v4_2!H17,householdfinance_v4_1!H17),0),"NA")</f>
        <v>1</v>
      </c>
      <c r="I17">
        <f>IF($D17=1,ROUND(SUM(householdfinance_v4_5!I17,householdfinance_v4_4!I17,householdfinance_v4_3!I17,householdfinance_v4_2!I17,householdfinance_v4_1!I17)/COUNT(householdfinance_v4_5!I17,householdfinance_v4_4!I17,householdfinance_v4_3!I17,householdfinance_v4_2!I17,householdfinance_v4_1!I17),0),"NA")</f>
        <v>1</v>
      </c>
      <c r="J17">
        <f>IF(AND($E17=1,$F17=1),ROUND(SUM(householdfinance_v4_5!J17,householdfinance_v4_4!J17,householdfinance_v4_3!J17,householdfinance_v4_2!J17,householdfinance_v4_1!J17)/COUNT(householdfinance_v4_5!J17,householdfinance_v4_4!J17,householdfinance_v4_3!J17,householdfinance_v4_2!J17,householdfinance_v4_1!J17),0),"NA")</f>
        <v>1</v>
      </c>
      <c r="K17">
        <f>IF($D17=1,ROUND(SUM(householdfinance_v4_5!K17,householdfinance_v4_4!K17,householdfinance_v4_3!K17,householdfinance_v4_2!K17,householdfinance_v4_1!K17)/COUNT(householdfinance_v4_5!K17,householdfinance_v4_4!K17,householdfinance_v4_3!K17,householdfinance_v4_2!K17,householdfinance_v4_1!K17),0),"NA")</f>
        <v>1</v>
      </c>
      <c r="L17">
        <f>IF($D17=1,ROUND(SUM(householdfinance_v4_5!L17,householdfinance_v4_4!L17,householdfinance_v4_3!L17,householdfinance_v4_2!L17,householdfinance_v4_1!L17)/COUNT(householdfinance_v4_5!L17,householdfinance_v4_4!L17,householdfinance_v4_3!L17,householdfinance_v4_2!L17,householdfinance_v4_1!L17),0),"NA")</f>
        <v>1</v>
      </c>
      <c r="M17">
        <f>IF($D17=1,ROUND(SUM(householdfinance_v4_5!M17,householdfinance_v4_4!M17,householdfinance_v4_3!M17,householdfinance_v4_2!M17,householdfinance_v4_1!M17)/COUNT(householdfinance_v4_5!M17,householdfinance_v4_4!M17,householdfinance_v4_3!M17,householdfinance_v4_2!M17,householdfinance_v4_1!M17),0),"NA")</f>
        <v>1</v>
      </c>
      <c r="N17">
        <f>IF($D17=1,ROUND(SUM(householdfinance_v4_5!N17,householdfinance_v4_4!N17,householdfinance_v4_3!N17,householdfinance_v4_2!N17,householdfinance_v4_1!N17)/COUNT(householdfinance_v4_5!N17,householdfinance_v4_4!N17,householdfinance_v4_3!N17,householdfinance_v4_2!N17,householdfinance_v4_1!N17),0),"NA")</f>
        <v>1</v>
      </c>
      <c r="O17">
        <v>1.482709646224976</v>
      </c>
    </row>
    <row r="18" spans="1:15" x14ac:dyDescent="0.25">
      <c r="A18" t="s">
        <v>17</v>
      </c>
      <c r="B18" t="s">
        <v>40</v>
      </c>
      <c r="C18">
        <v>0</v>
      </c>
      <c r="D18">
        <f>ROUND(SUM(householdfinance_v4_5!D18,householdfinance_v4_4!D18,householdfinance_v4_3!D18,householdfinance_v4_2!D18,householdfinance_v4_1!D18)/COUNT(householdfinance_v4_5!D18,householdfinance_v4_4!D18,householdfinance_v4_3!D18,householdfinance_v4_2!D18,householdfinance_v4_1!D18),0)</f>
        <v>1</v>
      </c>
      <c r="E18">
        <f>IF($D18=1,ROUND(SUM(householdfinance_v4_5!E18,householdfinance_v4_4!E18,householdfinance_v4_3!E18,householdfinance_v4_2!E18,householdfinance_v4_1!E18)/COUNT(householdfinance_v4_5!E18,householdfinance_v4_4!E18,householdfinance_v4_3!E18,householdfinance_v4_2!E18,householdfinance_v4_1!E18),0),"NA")</f>
        <v>1</v>
      </c>
      <c r="F18">
        <f>IF($D18=1,ROUND(SUM(householdfinance_v4_5!F18,householdfinance_v4_4!F18,householdfinance_v4_3!F18,householdfinance_v4_2!F18,householdfinance_v4_1!F18)/COUNT(householdfinance_v4_5!F18,householdfinance_v4_4!F18,householdfinance_v4_3!F18,householdfinance_v4_2!F18,householdfinance_v4_1!F18),0),"NA")</f>
        <v>1</v>
      </c>
      <c r="G18">
        <f>IF($D18=1,ROUND(SUM(householdfinance_v4_5!G18,householdfinance_v4_4!G18,householdfinance_v4_3!G18,householdfinance_v4_2!G18,householdfinance_v4_1!G18)/COUNT(householdfinance_v4_5!G18,householdfinance_v4_4!G18,householdfinance_v4_3!G18,householdfinance_v4_2!G18,householdfinance_v4_1!G18),0),"NA")</f>
        <v>1</v>
      </c>
      <c r="H18">
        <f>IF($E18=1,ROUND(SUM(householdfinance_v4_5!H18,householdfinance_v4_4!H18,householdfinance_v4_3!H18,householdfinance_v4_2!H18,householdfinance_v4_1!H18)/COUNT(householdfinance_v4_5!H18,householdfinance_v4_4!H18,householdfinance_v4_3!H18,householdfinance_v4_2!H18,householdfinance_v4_1!H18),0),"NA")</f>
        <v>1</v>
      </c>
      <c r="I18">
        <f>IF($D18=1,ROUND(SUM(householdfinance_v4_5!I18,householdfinance_v4_4!I18,householdfinance_v4_3!I18,householdfinance_v4_2!I18,householdfinance_v4_1!I18)/COUNT(householdfinance_v4_5!I18,householdfinance_v4_4!I18,householdfinance_v4_3!I18,householdfinance_v4_2!I18,householdfinance_v4_1!I18),0),"NA")</f>
        <v>1</v>
      </c>
      <c r="J18">
        <f>IF(AND($E18=1,$F18=1),ROUND(SUM(householdfinance_v4_5!J18,householdfinance_v4_4!J18,householdfinance_v4_3!J18,householdfinance_v4_2!J18,householdfinance_v4_1!J18)/COUNT(householdfinance_v4_5!J18,householdfinance_v4_4!J18,householdfinance_v4_3!J18,householdfinance_v4_2!J18,householdfinance_v4_1!J18),0),"NA")</f>
        <v>1</v>
      </c>
      <c r="K18">
        <f>IF($D18=1,ROUND(SUM(householdfinance_v4_5!K18,householdfinance_v4_4!K18,householdfinance_v4_3!K18,householdfinance_v4_2!K18,householdfinance_v4_1!K18)/COUNT(householdfinance_v4_5!K18,householdfinance_v4_4!K18,householdfinance_v4_3!K18,householdfinance_v4_2!K18,householdfinance_v4_1!K18),0),"NA")</f>
        <v>1</v>
      </c>
      <c r="L18">
        <f>IF($D18=1,ROUND(SUM(householdfinance_v4_5!L18,householdfinance_v4_4!L18,householdfinance_v4_3!L18,householdfinance_v4_2!L18,householdfinance_v4_1!L18)/COUNT(householdfinance_v4_5!L18,householdfinance_v4_4!L18,householdfinance_v4_3!L18,householdfinance_v4_2!L18,householdfinance_v4_1!L18),0),"NA")</f>
        <v>1</v>
      </c>
      <c r="M18">
        <f>IF($D18=1,ROUND(SUM(householdfinance_v4_5!M18,householdfinance_v4_4!M18,householdfinance_v4_3!M18,householdfinance_v4_2!M18,householdfinance_v4_1!M18)/COUNT(householdfinance_v4_5!M18,householdfinance_v4_4!M18,householdfinance_v4_3!M18,householdfinance_v4_2!M18,householdfinance_v4_1!M18),0),"NA")</f>
        <v>1</v>
      </c>
      <c r="N18">
        <f>IF($D18=1,ROUND(SUM(householdfinance_v4_5!N18,householdfinance_v4_4!N18,householdfinance_v4_3!N18,householdfinance_v4_2!N18,householdfinance_v4_1!N18)/COUNT(householdfinance_v4_5!N18,householdfinance_v4_4!N18,householdfinance_v4_3!N18,householdfinance_v4_2!N18,householdfinance_v4_1!N18),0),"NA")</f>
        <v>1</v>
      </c>
      <c r="O18">
        <v>1.676573753356934</v>
      </c>
    </row>
    <row r="19" spans="1:15" x14ac:dyDescent="0.25">
      <c r="A19" t="s">
        <v>17</v>
      </c>
      <c r="B19" t="s">
        <v>41</v>
      </c>
      <c r="C19">
        <v>0</v>
      </c>
      <c r="D19">
        <f>ROUND(SUM(householdfinance_v4_5!D19,householdfinance_v4_4!D19,householdfinance_v4_3!D19,householdfinance_v4_2!D19,householdfinance_v4_1!D19)/COUNT(householdfinance_v4_5!D19,householdfinance_v4_4!D19,householdfinance_v4_3!D19,householdfinance_v4_2!D19,householdfinance_v4_1!D19),0)</f>
        <v>1</v>
      </c>
      <c r="E19">
        <f>IF($D19=1,ROUND(SUM(householdfinance_v4_5!E19,householdfinance_v4_4!E19,householdfinance_v4_3!E19,householdfinance_v4_2!E19,householdfinance_v4_1!E19)/COUNT(householdfinance_v4_5!E19,householdfinance_v4_4!E19,householdfinance_v4_3!E19,householdfinance_v4_2!E19,householdfinance_v4_1!E19),0),"NA")</f>
        <v>1</v>
      </c>
      <c r="F19">
        <f>IF($D19=1,ROUND(SUM(householdfinance_v4_5!F19,householdfinance_v4_4!F19,householdfinance_v4_3!F19,householdfinance_v4_2!F19,householdfinance_v4_1!F19)/COUNT(householdfinance_v4_5!F19,householdfinance_v4_4!F19,householdfinance_v4_3!F19,householdfinance_v4_2!F19,householdfinance_v4_1!F19),0),"NA")</f>
        <v>1</v>
      </c>
      <c r="G19">
        <f>IF($D19=1,ROUND(SUM(householdfinance_v4_5!G19,householdfinance_v4_4!G19,householdfinance_v4_3!G19,householdfinance_v4_2!G19,householdfinance_v4_1!G19)/COUNT(householdfinance_v4_5!G19,householdfinance_v4_4!G19,householdfinance_v4_3!G19,householdfinance_v4_2!G19,householdfinance_v4_1!G19),0),"NA")</f>
        <v>1</v>
      </c>
      <c r="H19">
        <f>IF($E19=1,ROUND(SUM(householdfinance_v4_5!H19,householdfinance_v4_4!H19,householdfinance_v4_3!H19,householdfinance_v4_2!H19,householdfinance_v4_1!H19)/COUNT(householdfinance_v4_5!H19,householdfinance_v4_4!H19,householdfinance_v4_3!H19,householdfinance_v4_2!H19,householdfinance_v4_1!H19),0),"NA")</f>
        <v>1</v>
      </c>
      <c r="I19">
        <f>IF($D19=1,ROUND(SUM(householdfinance_v4_5!I19,householdfinance_v4_4!I19,householdfinance_v4_3!I19,householdfinance_v4_2!I19,householdfinance_v4_1!I19)/COUNT(householdfinance_v4_5!I19,householdfinance_v4_4!I19,householdfinance_v4_3!I19,householdfinance_v4_2!I19,householdfinance_v4_1!I19),0),"NA")</f>
        <v>1</v>
      </c>
      <c r="J19">
        <f>IF(AND($E19=1,$F19=1),ROUND(SUM(householdfinance_v4_5!J19,householdfinance_v4_4!J19,householdfinance_v4_3!J19,householdfinance_v4_2!J19,householdfinance_v4_1!J19)/COUNT(householdfinance_v4_5!J19,householdfinance_v4_4!J19,householdfinance_v4_3!J19,householdfinance_v4_2!J19,householdfinance_v4_1!J19),0),"NA")</f>
        <v>1</v>
      </c>
      <c r="K19">
        <f>IF($D19=1,ROUND(SUM(householdfinance_v4_5!K19,householdfinance_v4_4!K19,householdfinance_v4_3!K19,householdfinance_v4_2!K19,householdfinance_v4_1!K19)/COUNT(householdfinance_v4_5!K19,householdfinance_v4_4!K19,householdfinance_v4_3!K19,householdfinance_v4_2!K19,householdfinance_v4_1!K19),0),"NA")</f>
        <v>1</v>
      </c>
      <c r="L19">
        <f>IF($D19=1,ROUND(SUM(householdfinance_v4_5!L19,householdfinance_v4_4!L19,householdfinance_v4_3!L19,householdfinance_v4_2!L19,householdfinance_v4_1!L19)/COUNT(householdfinance_v4_5!L19,householdfinance_v4_4!L19,householdfinance_v4_3!L19,householdfinance_v4_2!L19,householdfinance_v4_1!L19),0),"NA")</f>
        <v>1</v>
      </c>
      <c r="M19">
        <f>IF($D19=1,ROUND(SUM(householdfinance_v4_5!M19,householdfinance_v4_4!M19,householdfinance_v4_3!M19,householdfinance_v4_2!M19,householdfinance_v4_1!M19)/COUNT(householdfinance_v4_5!M19,householdfinance_v4_4!M19,householdfinance_v4_3!M19,householdfinance_v4_2!M19,householdfinance_v4_1!M19),0),"NA")</f>
        <v>1</v>
      </c>
      <c r="N19">
        <f>IF($D19=1,ROUND(SUM(householdfinance_v4_5!N19,householdfinance_v4_4!N19,householdfinance_v4_3!N19,householdfinance_v4_2!N19,householdfinance_v4_1!N19)/COUNT(householdfinance_v4_5!N19,householdfinance_v4_4!N19,householdfinance_v4_3!N19,householdfinance_v4_2!N19,householdfinance_v4_1!N19),0),"NA")</f>
        <v>1</v>
      </c>
      <c r="O19">
        <v>2.2481956481933589</v>
      </c>
    </row>
    <row r="20" spans="1:15" x14ac:dyDescent="0.25">
      <c r="A20" t="s">
        <v>17</v>
      </c>
      <c r="B20" t="s">
        <v>42</v>
      </c>
      <c r="C20">
        <v>0</v>
      </c>
      <c r="D20">
        <f>ROUND(SUM(householdfinance_v4_5!D20,householdfinance_v4_4!D20,householdfinance_v4_3!D20,householdfinance_v4_2!D20,householdfinance_v4_1!D20)/COUNT(householdfinance_v4_5!D20,householdfinance_v4_4!D20,householdfinance_v4_3!D20,householdfinance_v4_2!D20,householdfinance_v4_1!D20),0)</f>
        <v>1</v>
      </c>
      <c r="E20">
        <f>IF($D20=1,ROUND(SUM(householdfinance_v4_5!E20,householdfinance_v4_4!E20,householdfinance_v4_3!E20,householdfinance_v4_2!E20,householdfinance_v4_1!E20)/COUNT(householdfinance_v4_5!E20,householdfinance_v4_4!E20,householdfinance_v4_3!E20,householdfinance_v4_2!E20,householdfinance_v4_1!E20),0),"NA")</f>
        <v>1</v>
      </c>
      <c r="F20">
        <f>IF($D20=1,ROUND(SUM(householdfinance_v4_5!F20,householdfinance_v4_4!F20,householdfinance_v4_3!F20,householdfinance_v4_2!F20,householdfinance_v4_1!F20)/COUNT(householdfinance_v4_5!F20,householdfinance_v4_4!F20,householdfinance_v4_3!F20,householdfinance_v4_2!F20,householdfinance_v4_1!F20),0),"NA")</f>
        <v>1</v>
      </c>
      <c r="G20">
        <f>IF($D20=1,ROUND(SUM(householdfinance_v4_5!G20,householdfinance_v4_4!G20,householdfinance_v4_3!G20,householdfinance_v4_2!G20,householdfinance_v4_1!G20)/COUNT(householdfinance_v4_5!G20,householdfinance_v4_4!G20,householdfinance_v4_3!G20,householdfinance_v4_2!G20,householdfinance_v4_1!G20),0),"NA")</f>
        <v>1</v>
      </c>
      <c r="H20">
        <f>IF($E20=1,ROUND(SUM(householdfinance_v4_5!H20,householdfinance_v4_4!H20,householdfinance_v4_3!H20,householdfinance_v4_2!H20,householdfinance_v4_1!H20)/COUNT(householdfinance_v4_5!H20,householdfinance_v4_4!H20,householdfinance_v4_3!H20,householdfinance_v4_2!H20,householdfinance_v4_1!H20),0),"NA")</f>
        <v>1</v>
      </c>
      <c r="I20">
        <f>IF($D20=1,ROUND(SUM(householdfinance_v4_5!I20,householdfinance_v4_4!I20,householdfinance_v4_3!I20,householdfinance_v4_2!I20,householdfinance_v4_1!I20)/COUNT(householdfinance_v4_5!I20,householdfinance_v4_4!I20,householdfinance_v4_3!I20,householdfinance_v4_2!I20,householdfinance_v4_1!I20),0),"NA")</f>
        <v>1</v>
      </c>
      <c r="J20">
        <f>IF(AND($E20=1,$F20=1),ROUND(SUM(householdfinance_v4_5!J20,householdfinance_v4_4!J20,householdfinance_v4_3!J20,householdfinance_v4_2!J20,householdfinance_v4_1!J20)/COUNT(householdfinance_v4_5!J20,householdfinance_v4_4!J20,householdfinance_v4_3!J20,householdfinance_v4_2!J20,householdfinance_v4_1!J20),0),"NA")</f>
        <v>1</v>
      </c>
      <c r="K20">
        <f>IF($D20=1,ROUND(SUM(householdfinance_v4_5!K20,householdfinance_v4_4!K20,householdfinance_v4_3!K20,householdfinance_v4_2!K20,householdfinance_v4_1!K20)/COUNT(householdfinance_v4_5!K20,householdfinance_v4_4!K20,householdfinance_v4_3!K20,householdfinance_v4_2!K20,householdfinance_v4_1!K20),0),"NA")</f>
        <v>1</v>
      </c>
      <c r="L20">
        <f>IF($D20=1,ROUND(SUM(householdfinance_v4_5!L20,householdfinance_v4_4!L20,householdfinance_v4_3!L20,householdfinance_v4_2!L20,householdfinance_v4_1!L20)/COUNT(householdfinance_v4_5!L20,householdfinance_v4_4!L20,householdfinance_v4_3!L20,householdfinance_v4_2!L20,householdfinance_v4_1!L20),0),"NA")</f>
        <v>1</v>
      </c>
      <c r="M20">
        <f>IF($D20=1,ROUND(SUM(householdfinance_v4_5!M20,householdfinance_v4_4!M20,householdfinance_v4_3!M20,householdfinance_v4_2!M20,householdfinance_v4_1!M20)/COUNT(householdfinance_v4_5!M20,householdfinance_v4_4!M20,householdfinance_v4_3!M20,householdfinance_v4_2!M20,householdfinance_v4_1!M20),0),"NA")</f>
        <v>1</v>
      </c>
      <c r="N20">
        <f>IF($D20=1,ROUND(SUM(householdfinance_v4_5!N20,householdfinance_v4_4!N20,householdfinance_v4_3!N20,householdfinance_v4_2!N20,householdfinance_v4_1!N20)/COUNT(householdfinance_v4_5!N20,householdfinance_v4_4!N20,householdfinance_v4_3!N20,householdfinance_v4_2!N20,householdfinance_v4_1!N20),0),"NA")</f>
        <v>1</v>
      </c>
      <c r="O20">
        <v>1.2345066070556641</v>
      </c>
    </row>
    <row r="21" spans="1:15" x14ac:dyDescent="0.25">
      <c r="A21" t="s">
        <v>17</v>
      </c>
      <c r="B21" t="s">
        <v>43</v>
      </c>
      <c r="C21">
        <v>0</v>
      </c>
      <c r="D21">
        <f>ROUND(SUM(householdfinance_v4_5!D21,householdfinance_v4_4!D21,householdfinance_v4_3!D21,householdfinance_v4_2!D21,householdfinance_v4_1!D21)/COUNT(householdfinance_v4_5!D21,householdfinance_v4_4!D21,householdfinance_v4_3!D21,householdfinance_v4_2!D21,householdfinance_v4_1!D21),0)</f>
        <v>1</v>
      </c>
      <c r="E21">
        <f>IF($D21=1,ROUND(SUM(householdfinance_v4_5!E21,householdfinance_v4_4!E21,householdfinance_v4_3!E21,householdfinance_v4_2!E21,householdfinance_v4_1!E21)/COUNT(householdfinance_v4_5!E21,householdfinance_v4_4!E21,householdfinance_v4_3!E21,householdfinance_v4_2!E21,householdfinance_v4_1!E21),0),"NA")</f>
        <v>1</v>
      </c>
      <c r="F21">
        <f>IF($D21=1,ROUND(SUM(householdfinance_v4_5!F21,householdfinance_v4_4!F21,householdfinance_v4_3!F21,householdfinance_v4_2!F21,householdfinance_v4_1!F21)/COUNT(householdfinance_v4_5!F21,householdfinance_v4_4!F21,householdfinance_v4_3!F21,householdfinance_v4_2!F21,householdfinance_v4_1!F21),0),"NA")</f>
        <v>1</v>
      </c>
      <c r="G21">
        <f>IF($D21=1,ROUND(SUM(householdfinance_v4_5!G21,householdfinance_v4_4!G21,householdfinance_v4_3!G21,householdfinance_v4_2!G21,householdfinance_v4_1!G21)/COUNT(householdfinance_v4_5!G21,householdfinance_v4_4!G21,householdfinance_v4_3!G21,householdfinance_v4_2!G21,householdfinance_v4_1!G21),0),"NA")</f>
        <v>1</v>
      </c>
      <c r="H21">
        <f>IF($E21=1,ROUND(SUM(householdfinance_v4_5!H21,householdfinance_v4_4!H21,householdfinance_v4_3!H21,householdfinance_v4_2!H21,householdfinance_v4_1!H21)/COUNT(householdfinance_v4_5!H21,householdfinance_v4_4!H21,householdfinance_v4_3!H21,householdfinance_v4_2!H21,householdfinance_v4_1!H21),0),"NA")</f>
        <v>1</v>
      </c>
      <c r="I21">
        <f>IF($D21=1,ROUND(SUM(householdfinance_v4_5!I21,householdfinance_v4_4!I21,householdfinance_v4_3!I21,householdfinance_v4_2!I21,householdfinance_v4_1!I21)/COUNT(householdfinance_v4_5!I21,householdfinance_v4_4!I21,householdfinance_v4_3!I21,householdfinance_v4_2!I21,householdfinance_v4_1!I21),0),"NA")</f>
        <v>1</v>
      </c>
      <c r="J21">
        <f>IF(AND($E21=1,$F21=1),ROUND(SUM(householdfinance_v4_5!J21,householdfinance_v4_4!J21,householdfinance_v4_3!J21,householdfinance_v4_2!J21,householdfinance_v4_1!J21)/COUNT(householdfinance_v4_5!J21,householdfinance_v4_4!J21,householdfinance_v4_3!J21,householdfinance_v4_2!J21,householdfinance_v4_1!J21),0),"NA")</f>
        <v>1</v>
      </c>
      <c r="K21">
        <f>IF($D21=1,ROUND(SUM(householdfinance_v4_5!K21,householdfinance_v4_4!K21,householdfinance_v4_3!K21,householdfinance_v4_2!K21,householdfinance_v4_1!K21)/COUNT(householdfinance_v4_5!K21,householdfinance_v4_4!K21,householdfinance_v4_3!K21,householdfinance_v4_2!K21,householdfinance_v4_1!K21),0),"NA")</f>
        <v>1</v>
      </c>
      <c r="L21">
        <f>IF($D21=1,ROUND(SUM(householdfinance_v4_5!L21,householdfinance_v4_4!L21,householdfinance_v4_3!L21,householdfinance_v4_2!L21,householdfinance_v4_1!L21)/COUNT(householdfinance_v4_5!L21,householdfinance_v4_4!L21,householdfinance_v4_3!L21,householdfinance_v4_2!L21,householdfinance_v4_1!L21),0),"NA")</f>
        <v>1</v>
      </c>
      <c r="M21">
        <f>IF($D21=1,ROUND(SUM(householdfinance_v4_5!M21,householdfinance_v4_4!M21,householdfinance_v4_3!M21,householdfinance_v4_2!M21,householdfinance_v4_1!M21)/COUNT(householdfinance_v4_5!M21,householdfinance_v4_4!M21,householdfinance_v4_3!M21,householdfinance_v4_2!M21,householdfinance_v4_1!M21),0),"NA")</f>
        <v>1</v>
      </c>
      <c r="N21">
        <f>IF($D21=1,ROUND(SUM(householdfinance_v4_5!N21,householdfinance_v4_4!N21,householdfinance_v4_3!N21,householdfinance_v4_2!N21,householdfinance_v4_1!N21)/COUNT(householdfinance_v4_5!N21,householdfinance_v4_4!N21,householdfinance_v4_3!N21,householdfinance_v4_2!N21,householdfinance_v4_1!N21),0),"NA")</f>
        <v>1</v>
      </c>
      <c r="O21">
        <v>3.9077153205871582</v>
      </c>
    </row>
    <row r="22" spans="1:15" x14ac:dyDescent="0.25">
      <c r="A22" t="s">
        <v>17</v>
      </c>
      <c r="B22" t="s">
        <v>44</v>
      </c>
      <c r="C22">
        <v>0</v>
      </c>
      <c r="D22">
        <f>ROUND(SUM(householdfinance_v4_5!D22,householdfinance_v4_4!D22,householdfinance_v4_3!D22,householdfinance_v4_2!D22,householdfinance_v4_1!D22)/COUNT(householdfinance_v4_5!D22,householdfinance_v4_4!D22,householdfinance_v4_3!D22,householdfinance_v4_2!D22,householdfinance_v4_1!D22),0)</f>
        <v>1</v>
      </c>
      <c r="E22">
        <f>IF($D22=1,ROUND(SUM(householdfinance_v4_5!E22,householdfinance_v4_4!E22,householdfinance_v4_3!E22,householdfinance_v4_2!E22,householdfinance_v4_1!E22)/COUNT(householdfinance_v4_5!E22,householdfinance_v4_4!E22,householdfinance_v4_3!E22,householdfinance_v4_2!E22,householdfinance_v4_1!E22),0),"NA")</f>
        <v>1</v>
      </c>
      <c r="F22">
        <f>IF($D22=1,ROUND(SUM(householdfinance_v4_5!F22,householdfinance_v4_4!F22,householdfinance_v4_3!F22,householdfinance_v4_2!F22,householdfinance_v4_1!F22)/COUNT(householdfinance_v4_5!F22,householdfinance_v4_4!F22,householdfinance_v4_3!F22,householdfinance_v4_2!F22,householdfinance_v4_1!F22),0),"NA")</f>
        <v>1</v>
      </c>
      <c r="G22">
        <f>IF($D22=1,ROUND(SUM(householdfinance_v4_5!G22,householdfinance_v4_4!G22,householdfinance_v4_3!G22,householdfinance_v4_2!G22,householdfinance_v4_1!G22)/COUNT(householdfinance_v4_5!G22,householdfinance_v4_4!G22,householdfinance_v4_3!G22,householdfinance_v4_2!G22,householdfinance_v4_1!G22),0),"NA")</f>
        <v>1</v>
      </c>
      <c r="H22">
        <f>IF($E22=1,ROUND(SUM(householdfinance_v4_5!H22,householdfinance_v4_4!H22,householdfinance_v4_3!H22,householdfinance_v4_2!H22,householdfinance_v4_1!H22)/COUNT(householdfinance_v4_5!H22,householdfinance_v4_4!H22,householdfinance_v4_3!H22,householdfinance_v4_2!H22,householdfinance_v4_1!H22),0),"NA")</f>
        <v>1</v>
      </c>
      <c r="I22">
        <f>IF($D22=1,ROUND(SUM(householdfinance_v4_5!I22,householdfinance_v4_4!I22,householdfinance_v4_3!I22,householdfinance_v4_2!I22,householdfinance_v4_1!I22)/COUNT(householdfinance_v4_5!I22,householdfinance_v4_4!I22,householdfinance_v4_3!I22,householdfinance_v4_2!I22,householdfinance_v4_1!I22),0),"NA")</f>
        <v>1</v>
      </c>
      <c r="J22">
        <f>IF(AND($E22=1,$F22=1),ROUND(SUM(householdfinance_v4_5!J22,householdfinance_v4_4!J22,householdfinance_v4_3!J22,householdfinance_v4_2!J22,householdfinance_v4_1!J22)/COUNT(householdfinance_v4_5!J22,householdfinance_v4_4!J22,householdfinance_v4_3!J22,householdfinance_v4_2!J22,householdfinance_v4_1!J22),0),"NA")</f>
        <v>1</v>
      </c>
      <c r="K22">
        <f>IF($D22=1,ROUND(SUM(householdfinance_v4_5!K22,householdfinance_v4_4!K22,householdfinance_v4_3!K22,householdfinance_v4_2!K22,householdfinance_v4_1!K22)/COUNT(householdfinance_v4_5!K22,householdfinance_v4_4!K22,householdfinance_v4_3!K22,householdfinance_v4_2!K22,householdfinance_v4_1!K22),0),"NA")</f>
        <v>1</v>
      </c>
      <c r="L22">
        <f>IF($D22=1,ROUND(SUM(householdfinance_v4_5!L22,householdfinance_v4_4!L22,householdfinance_v4_3!L22,householdfinance_v4_2!L22,householdfinance_v4_1!L22)/COUNT(householdfinance_v4_5!L22,householdfinance_v4_4!L22,householdfinance_v4_3!L22,householdfinance_v4_2!L22,householdfinance_v4_1!L22),0),"NA")</f>
        <v>1</v>
      </c>
      <c r="M22">
        <f>IF($D22=1,ROUND(SUM(householdfinance_v4_5!M22,householdfinance_v4_4!M22,householdfinance_v4_3!M22,householdfinance_v4_2!M22,householdfinance_v4_1!M22)/COUNT(householdfinance_v4_5!M22,householdfinance_v4_4!M22,householdfinance_v4_3!M22,householdfinance_v4_2!M22,householdfinance_v4_1!M22),0),"NA")</f>
        <v>1</v>
      </c>
      <c r="N22">
        <f>IF($D22=1,ROUND(SUM(householdfinance_v4_5!N22,householdfinance_v4_4!N22,householdfinance_v4_3!N22,householdfinance_v4_2!N22,householdfinance_v4_1!N22)/COUNT(householdfinance_v4_5!N22,householdfinance_v4_4!N22,householdfinance_v4_3!N22,householdfinance_v4_2!N22,householdfinance_v4_1!N22),0),"NA")</f>
        <v>1</v>
      </c>
      <c r="O22">
        <v>1.5684471130371089</v>
      </c>
    </row>
    <row r="23" spans="1:15" x14ac:dyDescent="0.25">
      <c r="A23" t="s">
        <v>17</v>
      </c>
      <c r="B23" t="s">
        <v>45</v>
      </c>
      <c r="C23">
        <v>0</v>
      </c>
      <c r="D23">
        <f>ROUND(SUM(householdfinance_v4_5!D23,householdfinance_v4_4!D23,householdfinance_v4_3!D23,householdfinance_v4_2!D23,householdfinance_v4_1!D23)/COUNT(householdfinance_v4_5!D23,householdfinance_v4_4!D23,householdfinance_v4_3!D23,householdfinance_v4_2!D23,householdfinance_v4_1!D23),0)</f>
        <v>1</v>
      </c>
      <c r="E23">
        <f>IF($D23=1,ROUND(SUM(householdfinance_v4_5!E23,householdfinance_v4_4!E23,householdfinance_v4_3!E23,householdfinance_v4_2!E23,householdfinance_v4_1!E23)/COUNT(householdfinance_v4_5!E23,householdfinance_v4_4!E23,householdfinance_v4_3!E23,householdfinance_v4_2!E23,householdfinance_v4_1!E23),0),"NA")</f>
        <v>1</v>
      </c>
      <c r="F23">
        <f>IF($D23=1,ROUND(SUM(householdfinance_v4_5!F23,householdfinance_v4_4!F23,householdfinance_v4_3!F23,householdfinance_v4_2!F23,householdfinance_v4_1!F23)/COUNT(householdfinance_v4_5!F23,householdfinance_v4_4!F23,householdfinance_v4_3!F23,householdfinance_v4_2!F23,householdfinance_v4_1!F23),0),"NA")</f>
        <v>0</v>
      </c>
      <c r="G23">
        <f>IF($D23=1,ROUND(SUM(householdfinance_v4_5!G23,householdfinance_v4_4!G23,householdfinance_v4_3!G23,householdfinance_v4_2!G23,householdfinance_v4_1!G23)/COUNT(householdfinance_v4_5!G23,householdfinance_v4_4!G23,householdfinance_v4_3!G23,householdfinance_v4_2!G23,householdfinance_v4_1!G23),0),"NA")</f>
        <v>1</v>
      </c>
      <c r="H23">
        <f>IF($E23=1,ROUND(SUM(householdfinance_v4_5!H23,householdfinance_v4_4!H23,householdfinance_v4_3!H23,householdfinance_v4_2!H23,householdfinance_v4_1!H23)/COUNT(householdfinance_v4_5!H23,householdfinance_v4_4!H23,householdfinance_v4_3!H23,householdfinance_v4_2!H23,householdfinance_v4_1!H23),0),"NA")</f>
        <v>1</v>
      </c>
      <c r="I23">
        <f>IF($D23=1,ROUND(SUM(householdfinance_v4_5!I23,householdfinance_v4_4!I23,householdfinance_v4_3!I23,householdfinance_v4_2!I23,householdfinance_v4_1!I23)/COUNT(householdfinance_v4_5!I23,householdfinance_v4_4!I23,householdfinance_v4_3!I23,householdfinance_v4_2!I23,householdfinance_v4_1!I23),0),"NA")</f>
        <v>1</v>
      </c>
      <c r="J23" t="str">
        <f>IF(AND($E23=1,$F23=1),ROUND(SUM(householdfinance_v4_5!J23,householdfinance_v4_4!J23,householdfinance_v4_3!J23,householdfinance_v4_2!J23,householdfinance_v4_1!J23)/COUNT(householdfinance_v4_5!J23,householdfinance_v4_4!J23,householdfinance_v4_3!J23,householdfinance_v4_2!J23,householdfinance_v4_1!J23),0),"NA")</f>
        <v>NA</v>
      </c>
      <c r="K23">
        <f>IF($D23=1,ROUND(SUM(householdfinance_v4_5!K23,householdfinance_v4_4!K23,householdfinance_v4_3!K23,householdfinance_v4_2!K23,householdfinance_v4_1!K23)/COUNT(householdfinance_v4_5!K23,householdfinance_v4_4!K23,householdfinance_v4_3!K23,householdfinance_v4_2!K23,householdfinance_v4_1!K23),0),"NA")</f>
        <v>1</v>
      </c>
      <c r="L23">
        <f>IF($D23=1,ROUND(SUM(householdfinance_v4_5!L23,householdfinance_v4_4!L23,householdfinance_v4_3!L23,householdfinance_v4_2!L23,householdfinance_v4_1!L23)/COUNT(householdfinance_v4_5!L23,householdfinance_v4_4!L23,householdfinance_v4_3!L23,householdfinance_v4_2!L23,householdfinance_v4_1!L23),0),"NA")</f>
        <v>1</v>
      </c>
      <c r="M23">
        <f>IF($D23=1,ROUND(SUM(householdfinance_v4_5!M23,householdfinance_v4_4!M23,householdfinance_v4_3!M23,householdfinance_v4_2!M23,householdfinance_v4_1!M23)/COUNT(householdfinance_v4_5!M23,householdfinance_v4_4!M23,householdfinance_v4_3!M23,householdfinance_v4_2!M23,householdfinance_v4_1!M23),0),"NA")</f>
        <v>1</v>
      </c>
      <c r="N23">
        <f>IF($D23=1,ROUND(SUM(householdfinance_v4_5!N23,householdfinance_v4_4!N23,householdfinance_v4_3!N23,householdfinance_v4_2!N23,householdfinance_v4_1!N23)/COUNT(householdfinance_v4_5!N23,householdfinance_v4_4!N23,householdfinance_v4_3!N23,householdfinance_v4_2!N23,householdfinance_v4_1!N23),0),"NA")</f>
        <v>1</v>
      </c>
      <c r="O23">
        <v>2.0272243022918701</v>
      </c>
    </row>
    <row r="24" spans="1:15" x14ac:dyDescent="0.25">
      <c r="A24" t="s">
        <v>17</v>
      </c>
      <c r="B24" t="s">
        <v>47</v>
      </c>
      <c r="C24">
        <v>0</v>
      </c>
      <c r="D24">
        <f>ROUND(SUM(householdfinance_v4_5!D24,householdfinance_v4_4!D24,householdfinance_v4_3!D24,householdfinance_v4_2!D24,householdfinance_v4_1!D24)/COUNT(householdfinance_v4_5!D24,householdfinance_v4_4!D24,householdfinance_v4_3!D24,householdfinance_v4_2!D24,householdfinance_v4_1!D24),0)</f>
        <v>1</v>
      </c>
      <c r="E24">
        <f>IF($D24=1,ROUND(SUM(householdfinance_v4_5!E24,householdfinance_v4_4!E24,householdfinance_v4_3!E24,householdfinance_v4_2!E24,householdfinance_v4_1!E24)/COUNT(householdfinance_v4_5!E24,householdfinance_v4_4!E24,householdfinance_v4_3!E24,householdfinance_v4_2!E24,householdfinance_v4_1!E24),0),"NA")</f>
        <v>1</v>
      </c>
      <c r="F24">
        <f>IF($D24=1,ROUND(SUM(householdfinance_v4_5!F24,householdfinance_v4_4!F24,householdfinance_v4_3!F24,householdfinance_v4_2!F24,householdfinance_v4_1!F24)/COUNT(householdfinance_v4_5!F24,householdfinance_v4_4!F24,householdfinance_v4_3!F24,householdfinance_v4_2!F24,householdfinance_v4_1!F24),0),"NA")</f>
        <v>1</v>
      </c>
      <c r="G24">
        <f>IF($D24=1,ROUND(SUM(householdfinance_v4_5!G24,householdfinance_v4_4!G24,householdfinance_v4_3!G24,householdfinance_v4_2!G24,householdfinance_v4_1!G24)/COUNT(householdfinance_v4_5!G24,householdfinance_v4_4!G24,householdfinance_v4_3!G24,householdfinance_v4_2!G24,householdfinance_v4_1!G24),0),"NA")</f>
        <v>1</v>
      </c>
      <c r="H24">
        <f>IF($E24=1,ROUND(SUM(householdfinance_v4_5!H24,householdfinance_v4_4!H24,householdfinance_v4_3!H24,householdfinance_v4_2!H24,householdfinance_v4_1!H24)/COUNT(householdfinance_v4_5!H24,householdfinance_v4_4!H24,householdfinance_v4_3!H24,householdfinance_v4_2!H24,householdfinance_v4_1!H24),0),"NA")</f>
        <v>1</v>
      </c>
      <c r="I24">
        <f>IF($D24=1,ROUND(SUM(householdfinance_v4_5!I24,householdfinance_v4_4!I24,householdfinance_v4_3!I24,householdfinance_v4_2!I24,householdfinance_v4_1!I24)/COUNT(householdfinance_v4_5!I24,householdfinance_v4_4!I24,householdfinance_v4_3!I24,householdfinance_v4_2!I24,householdfinance_v4_1!I24),0),"NA")</f>
        <v>1</v>
      </c>
      <c r="J24">
        <f>IF(AND($E24=1,$F24=1),ROUND(SUM(householdfinance_v4_5!J24,householdfinance_v4_4!J24,householdfinance_v4_3!J24,householdfinance_v4_2!J24,householdfinance_v4_1!J24)/COUNT(householdfinance_v4_5!J24,householdfinance_v4_4!J24,householdfinance_v4_3!J24,householdfinance_v4_2!J24,householdfinance_v4_1!J24),0),"NA")</f>
        <v>1</v>
      </c>
      <c r="K24">
        <f>IF($D24=1,ROUND(SUM(householdfinance_v4_5!K24,householdfinance_v4_4!K24,householdfinance_v4_3!K24,householdfinance_v4_2!K24,householdfinance_v4_1!K24)/COUNT(householdfinance_v4_5!K24,householdfinance_v4_4!K24,householdfinance_v4_3!K24,householdfinance_v4_2!K24,householdfinance_v4_1!K24),0),"NA")</f>
        <v>1</v>
      </c>
      <c r="L24">
        <f>IF($D24=1,ROUND(SUM(householdfinance_v4_5!L24,householdfinance_v4_4!L24,householdfinance_v4_3!L24,householdfinance_v4_2!L24,householdfinance_v4_1!L24)/COUNT(householdfinance_v4_5!L24,householdfinance_v4_4!L24,householdfinance_v4_3!L24,householdfinance_v4_2!L24,householdfinance_v4_1!L24),0),"NA")</f>
        <v>1</v>
      </c>
      <c r="M24">
        <f>IF($D24=1,ROUND(SUM(householdfinance_v4_5!M24,householdfinance_v4_4!M24,householdfinance_v4_3!M24,householdfinance_v4_2!M24,householdfinance_v4_1!M24)/COUNT(householdfinance_v4_5!M24,householdfinance_v4_4!M24,householdfinance_v4_3!M24,householdfinance_v4_2!M24,householdfinance_v4_1!M24),0),"NA")</f>
        <v>1</v>
      </c>
      <c r="N24">
        <f>IF($D24=1,ROUND(SUM(householdfinance_v4_5!N24,householdfinance_v4_4!N24,householdfinance_v4_3!N24,householdfinance_v4_2!N24,householdfinance_v4_1!N24)/COUNT(householdfinance_v4_5!N24,householdfinance_v4_4!N24,householdfinance_v4_3!N24,householdfinance_v4_2!N24,householdfinance_v4_1!N24),0),"NA")</f>
        <v>1</v>
      </c>
      <c r="O24">
        <v>1.1869654655456541</v>
      </c>
    </row>
    <row r="25" spans="1:15" x14ac:dyDescent="0.25">
      <c r="A25" t="s">
        <v>17</v>
      </c>
      <c r="B25" t="s">
        <v>48</v>
      </c>
      <c r="C25">
        <v>0</v>
      </c>
      <c r="D25">
        <f>ROUND(SUM(householdfinance_v4_5!D25,householdfinance_v4_4!D25,householdfinance_v4_3!D25,householdfinance_v4_2!D25,householdfinance_v4_1!D25)/COUNT(householdfinance_v4_5!D25,householdfinance_v4_4!D25,householdfinance_v4_3!D25,householdfinance_v4_2!D25,householdfinance_v4_1!D25),0)</f>
        <v>1</v>
      </c>
      <c r="E25">
        <f>IF($D25=1,ROUND(SUM(householdfinance_v4_5!E25,householdfinance_v4_4!E25,householdfinance_v4_3!E25,householdfinance_v4_2!E25,householdfinance_v4_1!E25)/COUNT(householdfinance_v4_5!E25,householdfinance_v4_4!E25,householdfinance_v4_3!E25,householdfinance_v4_2!E25,householdfinance_v4_1!E25),0),"NA")</f>
        <v>1</v>
      </c>
      <c r="F25">
        <f>IF($D25=1,ROUND(SUM(householdfinance_v4_5!F25,householdfinance_v4_4!F25,householdfinance_v4_3!F25,householdfinance_v4_2!F25,householdfinance_v4_1!F25)/COUNT(householdfinance_v4_5!F25,householdfinance_v4_4!F25,householdfinance_v4_3!F25,householdfinance_v4_2!F25,householdfinance_v4_1!F25),0),"NA")</f>
        <v>0</v>
      </c>
      <c r="G25">
        <f>IF($D25=1,ROUND(SUM(householdfinance_v4_5!G25,householdfinance_v4_4!G25,householdfinance_v4_3!G25,householdfinance_v4_2!G25,householdfinance_v4_1!G25)/COUNT(householdfinance_v4_5!G25,householdfinance_v4_4!G25,householdfinance_v4_3!G25,householdfinance_v4_2!G25,householdfinance_v4_1!G25),0),"NA")</f>
        <v>1</v>
      </c>
      <c r="H25">
        <f>IF($E25=1,ROUND(SUM(householdfinance_v4_5!H25,householdfinance_v4_4!H25,householdfinance_v4_3!H25,householdfinance_v4_2!H25,householdfinance_v4_1!H25)/COUNT(householdfinance_v4_5!H25,householdfinance_v4_4!H25,householdfinance_v4_3!H25,householdfinance_v4_2!H25,householdfinance_v4_1!H25),0),"NA")</f>
        <v>1</v>
      </c>
      <c r="I25">
        <f>IF($D25=1,ROUND(SUM(householdfinance_v4_5!I25,householdfinance_v4_4!I25,householdfinance_v4_3!I25,householdfinance_v4_2!I25,householdfinance_v4_1!I25)/COUNT(householdfinance_v4_5!I25,householdfinance_v4_4!I25,householdfinance_v4_3!I25,householdfinance_v4_2!I25,householdfinance_v4_1!I25),0),"NA")</f>
        <v>1</v>
      </c>
      <c r="J25" t="str">
        <f>IF(AND($E25=1,$F25=1),ROUND(SUM(householdfinance_v4_5!J25,householdfinance_v4_4!J25,householdfinance_v4_3!J25,householdfinance_v4_2!J25,householdfinance_v4_1!J25)/COUNT(householdfinance_v4_5!J25,householdfinance_v4_4!J25,householdfinance_v4_3!J25,householdfinance_v4_2!J25,householdfinance_v4_1!J25),0),"NA")</f>
        <v>NA</v>
      </c>
      <c r="K25">
        <f>IF($D25=1,ROUND(SUM(householdfinance_v4_5!K25,householdfinance_v4_4!K25,householdfinance_v4_3!K25,householdfinance_v4_2!K25,householdfinance_v4_1!K25)/COUNT(householdfinance_v4_5!K25,householdfinance_v4_4!K25,householdfinance_v4_3!K25,householdfinance_v4_2!K25,householdfinance_v4_1!K25),0),"NA")</f>
        <v>1</v>
      </c>
      <c r="L25">
        <f>IF($D25=1,ROUND(SUM(householdfinance_v4_5!L25,householdfinance_v4_4!L25,householdfinance_v4_3!L25,householdfinance_v4_2!L25,householdfinance_v4_1!L25)/COUNT(householdfinance_v4_5!L25,householdfinance_v4_4!L25,householdfinance_v4_3!L25,householdfinance_v4_2!L25,householdfinance_v4_1!L25),0),"NA")</f>
        <v>1</v>
      </c>
      <c r="M25">
        <f>IF($D25=1,ROUND(SUM(householdfinance_v4_5!M25,householdfinance_v4_4!M25,householdfinance_v4_3!M25,householdfinance_v4_2!M25,householdfinance_v4_1!M25)/COUNT(householdfinance_v4_5!M25,householdfinance_v4_4!M25,householdfinance_v4_3!M25,householdfinance_v4_2!M25,householdfinance_v4_1!M25),0),"NA")</f>
        <v>1</v>
      </c>
      <c r="N25">
        <f>IF($D25=1,ROUND(SUM(householdfinance_v4_5!N25,householdfinance_v4_4!N25,householdfinance_v4_3!N25,householdfinance_v4_2!N25,householdfinance_v4_1!N25)/COUNT(householdfinance_v4_5!N25,householdfinance_v4_4!N25,householdfinance_v4_3!N25,householdfinance_v4_2!N25,householdfinance_v4_1!N25),0),"NA")</f>
        <v>1</v>
      </c>
      <c r="O25">
        <v>2.5446958541870122</v>
      </c>
    </row>
    <row r="26" spans="1:15" x14ac:dyDescent="0.25">
      <c r="A26" t="s">
        <v>17</v>
      </c>
      <c r="B26" t="s">
        <v>50</v>
      </c>
      <c r="C26">
        <v>0</v>
      </c>
      <c r="D26">
        <f>ROUND(SUM(householdfinance_v4_5!D26,householdfinance_v4_4!D26,householdfinance_v4_3!D26,householdfinance_v4_2!D26,householdfinance_v4_1!D26)/COUNT(householdfinance_v4_5!D26,householdfinance_v4_4!D26,householdfinance_v4_3!D26,householdfinance_v4_2!D26,householdfinance_v4_1!D26),0)</f>
        <v>1</v>
      </c>
      <c r="E26">
        <f>IF($D26=1,ROUND(SUM(householdfinance_v4_5!E26,householdfinance_v4_4!E26,householdfinance_v4_3!E26,householdfinance_v4_2!E26,householdfinance_v4_1!E26)/COUNT(householdfinance_v4_5!E26,householdfinance_v4_4!E26,householdfinance_v4_3!E26,householdfinance_v4_2!E26,householdfinance_v4_1!E26),0),"NA")</f>
        <v>1</v>
      </c>
      <c r="F26">
        <f>IF($D26=1,ROUND(SUM(householdfinance_v4_5!F26,householdfinance_v4_4!F26,householdfinance_v4_3!F26,householdfinance_v4_2!F26,householdfinance_v4_1!F26)/COUNT(householdfinance_v4_5!F26,householdfinance_v4_4!F26,householdfinance_v4_3!F26,householdfinance_v4_2!F26,householdfinance_v4_1!F26),0),"NA")</f>
        <v>1</v>
      </c>
      <c r="G26">
        <f>IF($D26=1,ROUND(SUM(householdfinance_v4_5!G26,householdfinance_v4_4!G26,householdfinance_v4_3!G26,householdfinance_v4_2!G26,householdfinance_v4_1!G26)/COUNT(householdfinance_v4_5!G26,householdfinance_v4_4!G26,householdfinance_v4_3!G26,householdfinance_v4_2!G26,householdfinance_v4_1!G26),0),"NA")</f>
        <v>1</v>
      </c>
      <c r="H26">
        <f>IF($E26=1,ROUND(SUM(householdfinance_v4_5!H26,householdfinance_v4_4!H26,householdfinance_v4_3!H26,householdfinance_v4_2!H26,householdfinance_v4_1!H26)/COUNT(householdfinance_v4_5!H26,householdfinance_v4_4!H26,householdfinance_v4_3!H26,householdfinance_v4_2!H26,householdfinance_v4_1!H26),0),"NA")</f>
        <v>1</v>
      </c>
      <c r="I26">
        <f>IF($D26=1,ROUND(SUM(householdfinance_v4_5!I26,householdfinance_v4_4!I26,householdfinance_v4_3!I26,householdfinance_v4_2!I26,householdfinance_v4_1!I26)/COUNT(householdfinance_v4_5!I26,householdfinance_v4_4!I26,householdfinance_v4_3!I26,householdfinance_v4_2!I26,householdfinance_v4_1!I26),0),"NA")</f>
        <v>1</v>
      </c>
      <c r="J26">
        <f>IF(AND($E26=1,$F26=1),ROUND(SUM(householdfinance_v4_5!J26,householdfinance_v4_4!J26,householdfinance_v4_3!J26,householdfinance_v4_2!J26,householdfinance_v4_1!J26)/COUNT(householdfinance_v4_5!J26,householdfinance_v4_4!J26,householdfinance_v4_3!J26,householdfinance_v4_2!J26,householdfinance_v4_1!J26),0),"NA")</f>
        <v>1</v>
      </c>
      <c r="K26">
        <f>IF($D26=1,ROUND(SUM(householdfinance_v4_5!K26,householdfinance_v4_4!K26,householdfinance_v4_3!K26,householdfinance_v4_2!K26,householdfinance_v4_1!K26)/COUNT(householdfinance_v4_5!K26,householdfinance_v4_4!K26,householdfinance_v4_3!K26,householdfinance_v4_2!K26,householdfinance_v4_1!K26),0),"NA")</f>
        <v>1</v>
      </c>
      <c r="L26">
        <f>IF($D26=1,ROUND(SUM(householdfinance_v4_5!L26,householdfinance_v4_4!L26,householdfinance_v4_3!L26,householdfinance_v4_2!L26,householdfinance_v4_1!L26)/COUNT(householdfinance_v4_5!L26,householdfinance_v4_4!L26,householdfinance_v4_3!L26,householdfinance_v4_2!L26,householdfinance_v4_1!L26),0),"NA")</f>
        <v>1</v>
      </c>
      <c r="M26">
        <f>IF($D26=1,ROUND(SUM(householdfinance_v4_5!M26,householdfinance_v4_4!M26,householdfinance_v4_3!M26,householdfinance_v4_2!M26,householdfinance_v4_1!M26)/COUNT(householdfinance_v4_5!M26,householdfinance_v4_4!M26,householdfinance_v4_3!M26,householdfinance_v4_2!M26,householdfinance_v4_1!M26),0),"NA")</f>
        <v>1</v>
      </c>
      <c r="N26">
        <f>IF($D26=1,ROUND(SUM(householdfinance_v4_5!N26,householdfinance_v4_4!N26,householdfinance_v4_3!N26,householdfinance_v4_2!N26,householdfinance_v4_1!N26)/COUNT(householdfinance_v4_5!N26,householdfinance_v4_4!N26,householdfinance_v4_3!N26,householdfinance_v4_2!N26,householdfinance_v4_1!N26),0),"NA")</f>
        <v>1</v>
      </c>
      <c r="O26">
        <v>1.2667615413665769</v>
      </c>
    </row>
    <row r="27" spans="1:15" x14ac:dyDescent="0.25">
      <c r="A27" t="s">
        <v>17</v>
      </c>
      <c r="B27" t="s">
        <v>51</v>
      </c>
      <c r="C27">
        <v>0</v>
      </c>
      <c r="D27">
        <f>ROUND(SUM(householdfinance_v4_5!D27,householdfinance_v4_4!D27,householdfinance_v4_3!D27,householdfinance_v4_2!D27,householdfinance_v4_1!D27)/COUNT(householdfinance_v4_5!D27,householdfinance_v4_4!D27,householdfinance_v4_3!D27,householdfinance_v4_2!D27,householdfinance_v4_1!D27),0)</f>
        <v>1</v>
      </c>
      <c r="E27">
        <f>IF($D27=1,ROUND(SUM(householdfinance_v4_5!E27,householdfinance_v4_4!E27,householdfinance_v4_3!E27,householdfinance_v4_2!E27,householdfinance_v4_1!E27)/COUNT(householdfinance_v4_5!E27,householdfinance_v4_4!E27,householdfinance_v4_3!E27,householdfinance_v4_2!E27,householdfinance_v4_1!E27),0),"NA")</f>
        <v>0</v>
      </c>
      <c r="F27">
        <f>IF($D27=1,ROUND(SUM(householdfinance_v4_5!F27,householdfinance_v4_4!F27,householdfinance_v4_3!F27,householdfinance_v4_2!F27,householdfinance_v4_1!F27)/COUNT(householdfinance_v4_5!F27,householdfinance_v4_4!F27,householdfinance_v4_3!F27,householdfinance_v4_2!F27,householdfinance_v4_1!F27),0),"NA")</f>
        <v>0</v>
      </c>
      <c r="G27">
        <f>IF($D27=1,ROUND(SUM(householdfinance_v4_5!G27,householdfinance_v4_4!G27,householdfinance_v4_3!G27,householdfinance_v4_2!G27,householdfinance_v4_1!G27)/COUNT(householdfinance_v4_5!G27,householdfinance_v4_4!G27,householdfinance_v4_3!G27,householdfinance_v4_2!G27,householdfinance_v4_1!G27),0),"NA")</f>
        <v>0</v>
      </c>
      <c r="H27" t="str">
        <f>IF($E27=1,ROUND(SUM(householdfinance_v4_5!H27,householdfinance_v4_4!H27,householdfinance_v4_3!H27,householdfinance_v4_2!H27,householdfinance_v4_1!H27)/COUNT(householdfinance_v4_5!H27,householdfinance_v4_4!H27,householdfinance_v4_3!H27,householdfinance_v4_2!H27,householdfinance_v4_1!H27),0),"NA")</f>
        <v>NA</v>
      </c>
      <c r="I27">
        <f>IF($D27=1,ROUND(SUM(householdfinance_v4_5!I27,householdfinance_v4_4!I27,householdfinance_v4_3!I27,householdfinance_v4_2!I27,householdfinance_v4_1!I27)/COUNT(householdfinance_v4_5!I27,householdfinance_v4_4!I27,householdfinance_v4_3!I27,householdfinance_v4_2!I27,householdfinance_v4_1!I27),0),"NA")</f>
        <v>1</v>
      </c>
      <c r="J27" t="str">
        <f>IF(AND($E27=1,$F27=1),ROUND(SUM(householdfinance_v4_5!J27,householdfinance_v4_4!J27,householdfinance_v4_3!J27,householdfinance_v4_2!J27,householdfinance_v4_1!J27)/COUNT(householdfinance_v4_5!J27,householdfinance_v4_4!J27,householdfinance_v4_3!J27,householdfinance_v4_2!J27,householdfinance_v4_1!J27),0),"NA")</f>
        <v>NA</v>
      </c>
      <c r="K27">
        <f>IF($D27=1,ROUND(SUM(householdfinance_v4_5!K27,householdfinance_v4_4!K27,householdfinance_v4_3!K27,householdfinance_v4_2!K27,householdfinance_v4_1!K27)/COUNT(householdfinance_v4_5!K27,householdfinance_v4_4!K27,householdfinance_v4_3!K27,householdfinance_v4_2!K27,householdfinance_v4_1!K27),0),"NA")</f>
        <v>1</v>
      </c>
      <c r="L27">
        <f>IF($D27=1,ROUND(SUM(householdfinance_v4_5!L27,householdfinance_v4_4!L27,householdfinance_v4_3!L27,householdfinance_v4_2!L27,householdfinance_v4_1!L27)/COUNT(householdfinance_v4_5!L27,householdfinance_v4_4!L27,householdfinance_v4_3!L27,householdfinance_v4_2!L27,householdfinance_v4_1!L27),0),"NA")</f>
        <v>1</v>
      </c>
      <c r="M27">
        <f>IF($D27=1,ROUND(SUM(householdfinance_v4_5!M27,householdfinance_v4_4!M27,householdfinance_v4_3!M27,householdfinance_v4_2!M27,householdfinance_v4_1!M27)/COUNT(householdfinance_v4_5!M27,householdfinance_v4_4!M27,householdfinance_v4_3!M27,householdfinance_v4_2!M27,householdfinance_v4_1!M27),0),"NA")</f>
        <v>1</v>
      </c>
      <c r="N27">
        <f>IF($D27=1,ROUND(SUM(householdfinance_v4_5!N27,householdfinance_v4_4!N27,householdfinance_v4_3!N27,householdfinance_v4_2!N27,householdfinance_v4_1!N27)/COUNT(householdfinance_v4_5!N27,householdfinance_v4_4!N27,householdfinance_v4_3!N27,householdfinance_v4_2!N27,householdfinance_v4_1!N27),0),"NA")</f>
        <v>1</v>
      </c>
      <c r="O27">
        <v>3.1619443893432622</v>
      </c>
    </row>
    <row r="28" spans="1:15" x14ac:dyDescent="0.25">
      <c r="A28" t="s">
        <v>17</v>
      </c>
      <c r="B28" t="s">
        <v>53</v>
      </c>
      <c r="C28">
        <v>0</v>
      </c>
      <c r="D28">
        <f>ROUND(SUM(householdfinance_v4_5!D28,householdfinance_v4_4!D28,householdfinance_v4_3!D28,householdfinance_v4_2!D28,householdfinance_v4_1!D28)/COUNT(householdfinance_v4_5!D28,householdfinance_v4_4!D28,householdfinance_v4_3!D28,householdfinance_v4_2!D28,householdfinance_v4_1!D28),0)</f>
        <v>0</v>
      </c>
      <c r="E28" t="str">
        <f>IF($D28=1,ROUND(SUM(householdfinance_v4_5!E28,householdfinance_v4_4!E28,householdfinance_v4_3!E28,householdfinance_v4_2!E28,householdfinance_v4_1!E28)/COUNT(householdfinance_v4_5!E28,householdfinance_v4_4!E28,householdfinance_v4_3!E28,householdfinance_v4_2!E28,householdfinance_v4_1!E28),0),"NA")</f>
        <v>NA</v>
      </c>
      <c r="F28" t="str">
        <f>IF($D28=1,ROUND(SUM(householdfinance_v4_5!F28,householdfinance_v4_4!F28,householdfinance_v4_3!F28,householdfinance_v4_2!F28,householdfinance_v4_1!F28)/COUNT(householdfinance_v4_5!F28,householdfinance_v4_4!F28,householdfinance_v4_3!F28,householdfinance_v4_2!F28,householdfinance_v4_1!F28),0),"NA")</f>
        <v>NA</v>
      </c>
      <c r="G28" t="str">
        <f>IF($D28=1,ROUND(SUM(householdfinance_v4_5!G28,householdfinance_v4_4!G28,householdfinance_v4_3!G28,householdfinance_v4_2!G28,householdfinance_v4_1!G28)/COUNT(householdfinance_v4_5!G28,householdfinance_v4_4!G28,householdfinance_v4_3!G28,householdfinance_v4_2!G28,householdfinance_v4_1!G28),0),"NA")</f>
        <v>NA</v>
      </c>
      <c r="H28" t="str">
        <f>IF($E28=1,ROUND(SUM(householdfinance_v4_5!H28,householdfinance_v4_4!H28,householdfinance_v4_3!H28,householdfinance_v4_2!H28,householdfinance_v4_1!H28)/COUNT(householdfinance_v4_5!H28,householdfinance_v4_4!H28,householdfinance_v4_3!H28,householdfinance_v4_2!H28,householdfinance_v4_1!H28),0),"NA")</f>
        <v>NA</v>
      </c>
      <c r="I28" t="str">
        <f>IF($D28=1,ROUND(SUM(householdfinance_v4_5!I28,householdfinance_v4_4!I28,householdfinance_v4_3!I28,householdfinance_v4_2!I28,householdfinance_v4_1!I28)/COUNT(householdfinance_v4_5!I28,householdfinance_v4_4!I28,householdfinance_v4_3!I28,householdfinance_v4_2!I28,householdfinance_v4_1!I28),0),"NA")</f>
        <v>NA</v>
      </c>
      <c r="J28" t="str">
        <f>IF(AND($E28=1,$F28=1),ROUND(SUM(householdfinance_v4_5!J28,householdfinance_v4_4!J28,householdfinance_v4_3!J28,householdfinance_v4_2!J28,householdfinance_v4_1!J28)/COUNT(householdfinance_v4_5!J28,householdfinance_v4_4!J28,householdfinance_v4_3!J28,householdfinance_v4_2!J28,householdfinance_v4_1!J28),0),"NA")</f>
        <v>NA</v>
      </c>
      <c r="K28" t="str">
        <f>IF($D28=1,ROUND(SUM(householdfinance_v4_5!K28,householdfinance_v4_4!K28,householdfinance_v4_3!K28,householdfinance_v4_2!K28,householdfinance_v4_1!K28)/COUNT(householdfinance_v4_5!K28,householdfinance_v4_4!K28,householdfinance_v4_3!K28,householdfinance_v4_2!K28,householdfinance_v4_1!K28),0),"NA")</f>
        <v>NA</v>
      </c>
      <c r="L28" t="str">
        <f>IF($D28=1,ROUND(SUM(householdfinance_v4_5!L28,householdfinance_v4_4!L28,householdfinance_v4_3!L28,householdfinance_v4_2!L28,householdfinance_v4_1!L28)/COUNT(householdfinance_v4_5!L28,householdfinance_v4_4!L28,householdfinance_v4_3!L28,householdfinance_v4_2!L28,householdfinance_v4_1!L28),0),"NA")</f>
        <v>NA</v>
      </c>
      <c r="M28" t="str">
        <f>IF($D28=1,ROUND(SUM(householdfinance_v4_5!M28,householdfinance_v4_4!M28,householdfinance_v4_3!M28,householdfinance_v4_2!M28,householdfinance_v4_1!M28)/COUNT(householdfinance_v4_5!M28,householdfinance_v4_4!M28,householdfinance_v4_3!M28,householdfinance_v4_2!M28,householdfinance_v4_1!M28),0),"NA")</f>
        <v>NA</v>
      </c>
      <c r="N28" t="str">
        <f>IF($D28=1,ROUND(SUM(householdfinance_v4_5!N28,householdfinance_v4_4!N28,householdfinance_v4_3!N28,householdfinance_v4_2!N28,householdfinance_v4_1!N28)/COUNT(householdfinance_v4_5!N28,householdfinance_v4_4!N28,householdfinance_v4_3!N28,householdfinance_v4_2!N28,householdfinance_v4_1!N28),0),"NA")</f>
        <v>NA</v>
      </c>
      <c r="O28">
        <v>3.1022379398345952</v>
      </c>
    </row>
    <row r="29" spans="1:15" x14ac:dyDescent="0.25">
      <c r="A29" t="s">
        <v>17</v>
      </c>
      <c r="B29" t="s">
        <v>55</v>
      </c>
      <c r="C29">
        <v>0</v>
      </c>
      <c r="D29">
        <f>ROUND(SUM(householdfinance_v4_5!D29,householdfinance_v4_4!D29,householdfinance_v4_3!D29,householdfinance_v4_2!D29,householdfinance_v4_1!D29)/COUNT(householdfinance_v4_5!D29,householdfinance_v4_4!D29,householdfinance_v4_3!D29,householdfinance_v4_2!D29,householdfinance_v4_1!D29),0)</f>
        <v>1</v>
      </c>
      <c r="E29">
        <f>IF($D29=1,ROUND(SUM(householdfinance_v4_5!E29,householdfinance_v4_4!E29,householdfinance_v4_3!E29,householdfinance_v4_2!E29,householdfinance_v4_1!E29)/COUNT(householdfinance_v4_5!E29,householdfinance_v4_4!E29,householdfinance_v4_3!E29,householdfinance_v4_2!E29,householdfinance_v4_1!E29),0),"NA")</f>
        <v>1</v>
      </c>
      <c r="F29">
        <f>IF($D29=1,ROUND(SUM(householdfinance_v4_5!F29,householdfinance_v4_4!F29,householdfinance_v4_3!F29,householdfinance_v4_2!F29,householdfinance_v4_1!F29)/COUNT(householdfinance_v4_5!F29,householdfinance_v4_4!F29,householdfinance_v4_3!F29,householdfinance_v4_2!F29,householdfinance_v4_1!F29),0),"NA")</f>
        <v>1</v>
      </c>
      <c r="G29">
        <f>IF($D29=1,ROUND(SUM(householdfinance_v4_5!G29,householdfinance_v4_4!G29,householdfinance_v4_3!G29,householdfinance_v4_2!G29,householdfinance_v4_1!G29)/COUNT(householdfinance_v4_5!G29,householdfinance_v4_4!G29,householdfinance_v4_3!G29,householdfinance_v4_2!G29,householdfinance_v4_1!G29),0),"NA")</f>
        <v>1</v>
      </c>
      <c r="H29">
        <f>IF($E29=1,ROUND(SUM(householdfinance_v4_5!H29,householdfinance_v4_4!H29,householdfinance_v4_3!H29,householdfinance_v4_2!H29,householdfinance_v4_1!H29)/COUNT(householdfinance_v4_5!H29,householdfinance_v4_4!H29,householdfinance_v4_3!H29,householdfinance_v4_2!H29,householdfinance_v4_1!H29),0),"NA")</f>
        <v>1</v>
      </c>
      <c r="I29">
        <f>IF($D29=1,ROUND(SUM(householdfinance_v4_5!I29,householdfinance_v4_4!I29,householdfinance_v4_3!I29,householdfinance_v4_2!I29,householdfinance_v4_1!I29)/COUNT(householdfinance_v4_5!I29,householdfinance_v4_4!I29,householdfinance_v4_3!I29,householdfinance_v4_2!I29,householdfinance_v4_1!I29),0),"NA")</f>
        <v>1</v>
      </c>
      <c r="J29">
        <f>IF(AND($E29=1,$F29=1),ROUND(SUM(householdfinance_v4_5!J29,householdfinance_v4_4!J29,householdfinance_v4_3!J29,householdfinance_v4_2!J29,householdfinance_v4_1!J29)/COUNT(householdfinance_v4_5!J29,householdfinance_v4_4!J29,householdfinance_v4_3!J29,householdfinance_v4_2!J29,householdfinance_v4_1!J29),0),"NA")</f>
        <v>1</v>
      </c>
      <c r="K29">
        <f>IF($D29=1,ROUND(SUM(householdfinance_v4_5!K29,householdfinance_v4_4!K29,householdfinance_v4_3!K29,householdfinance_v4_2!K29,householdfinance_v4_1!K29)/COUNT(householdfinance_v4_5!K29,householdfinance_v4_4!K29,householdfinance_v4_3!K29,householdfinance_v4_2!K29,householdfinance_v4_1!K29),0),"NA")</f>
        <v>1</v>
      </c>
      <c r="L29">
        <f>IF($D29=1,ROUND(SUM(householdfinance_v4_5!L29,householdfinance_v4_4!L29,householdfinance_v4_3!L29,householdfinance_v4_2!L29,householdfinance_v4_1!L29)/COUNT(householdfinance_v4_5!L29,householdfinance_v4_4!L29,householdfinance_v4_3!L29,householdfinance_v4_2!L29,householdfinance_v4_1!L29),0),"NA")</f>
        <v>1</v>
      </c>
      <c r="M29">
        <f>IF($D29=1,ROUND(SUM(householdfinance_v4_5!M29,householdfinance_v4_4!M29,householdfinance_v4_3!M29,householdfinance_v4_2!M29,householdfinance_v4_1!M29)/COUNT(householdfinance_v4_5!M29,householdfinance_v4_4!M29,householdfinance_v4_3!M29,householdfinance_v4_2!M29,householdfinance_v4_1!M29),0),"NA")</f>
        <v>1</v>
      </c>
      <c r="N29">
        <f>IF($D29=1,ROUND(SUM(householdfinance_v4_5!N29,householdfinance_v4_4!N29,householdfinance_v4_3!N29,householdfinance_v4_2!N29,householdfinance_v4_1!N29)/COUNT(householdfinance_v4_5!N29,householdfinance_v4_4!N29,householdfinance_v4_3!N29,householdfinance_v4_2!N29,householdfinance_v4_1!N29),0),"NA")</f>
        <v>1</v>
      </c>
      <c r="O29">
        <v>1.2000405788421631</v>
      </c>
    </row>
    <row r="30" spans="1:15" x14ac:dyDescent="0.25">
      <c r="A30" t="s">
        <v>17</v>
      </c>
      <c r="B30" t="s">
        <v>56</v>
      </c>
      <c r="C30">
        <v>0</v>
      </c>
      <c r="D30">
        <f>ROUND(SUM(householdfinance_v4_5!D30,householdfinance_v4_4!D30,householdfinance_v4_3!D30,householdfinance_v4_2!D30,householdfinance_v4_1!D30)/COUNT(householdfinance_v4_5!D30,householdfinance_v4_4!D30,householdfinance_v4_3!D30,householdfinance_v4_2!D30,householdfinance_v4_1!D30),0)</f>
        <v>1</v>
      </c>
      <c r="E30">
        <f>IF($D30=1,ROUND(SUM(householdfinance_v4_5!E30,householdfinance_v4_4!E30,householdfinance_v4_3!E30,householdfinance_v4_2!E30,householdfinance_v4_1!E30)/COUNT(householdfinance_v4_5!E30,householdfinance_v4_4!E30,householdfinance_v4_3!E30,householdfinance_v4_2!E30,householdfinance_v4_1!E30),0),"NA")</f>
        <v>1</v>
      </c>
      <c r="F30">
        <f>IF($D30=1,ROUND(SUM(householdfinance_v4_5!F30,householdfinance_v4_4!F30,householdfinance_v4_3!F30,householdfinance_v4_2!F30,householdfinance_v4_1!F30)/COUNT(householdfinance_v4_5!F30,householdfinance_v4_4!F30,householdfinance_v4_3!F30,householdfinance_v4_2!F30,householdfinance_v4_1!F30),0),"NA")</f>
        <v>1</v>
      </c>
      <c r="G30">
        <f>IF($D30=1,ROUND(SUM(householdfinance_v4_5!G30,householdfinance_v4_4!G30,householdfinance_v4_3!G30,householdfinance_v4_2!G30,householdfinance_v4_1!G30)/COUNT(householdfinance_v4_5!G30,householdfinance_v4_4!G30,householdfinance_v4_3!G30,householdfinance_v4_2!G30,householdfinance_v4_1!G30),0),"NA")</f>
        <v>0</v>
      </c>
      <c r="H30">
        <f>IF($E30=1,ROUND(SUM(householdfinance_v4_5!H30,householdfinance_v4_4!H30,householdfinance_v4_3!H30,householdfinance_v4_2!H30,householdfinance_v4_1!H30)/COUNT(householdfinance_v4_5!H30,householdfinance_v4_4!H30,householdfinance_v4_3!H30,householdfinance_v4_2!H30,householdfinance_v4_1!H30),0),"NA")</f>
        <v>1</v>
      </c>
      <c r="I30">
        <f>IF($D30=1,ROUND(SUM(householdfinance_v4_5!I30,householdfinance_v4_4!I30,householdfinance_v4_3!I30,householdfinance_v4_2!I30,householdfinance_v4_1!I30)/COUNT(householdfinance_v4_5!I30,householdfinance_v4_4!I30,householdfinance_v4_3!I30,householdfinance_v4_2!I30,householdfinance_v4_1!I30),0),"NA")</f>
        <v>1</v>
      </c>
      <c r="J30">
        <f>IF(AND($E30=1,$F30=1),ROUND(SUM(householdfinance_v4_5!J30,householdfinance_v4_4!J30,householdfinance_v4_3!J30,householdfinance_v4_2!J30,householdfinance_v4_1!J30)/COUNT(householdfinance_v4_5!J30,householdfinance_v4_4!J30,householdfinance_v4_3!J30,householdfinance_v4_2!J30,householdfinance_v4_1!J30),0),"NA")</f>
        <v>1</v>
      </c>
      <c r="K30">
        <f>IF($D30=1,ROUND(SUM(householdfinance_v4_5!K30,householdfinance_v4_4!K30,householdfinance_v4_3!K30,householdfinance_v4_2!K30,householdfinance_v4_1!K30)/COUNT(householdfinance_v4_5!K30,householdfinance_v4_4!K30,householdfinance_v4_3!K30,householdfinance_v4_2!K30,householdfinance_v4_1!K30),0),"NA")</f>
        <v>1</v>
      </c>
      <c r="L30">
        <f>IF($D30=1,ROUND(SUM(householdfinance_v4_5!L30,householdfinance_v4_4!L30,householdfinance_v4_3!L30,householdfinance_v4_2!L30,householdfinance_v4_1!L30)/COUNT(householdfinance_v4_5!L30,householdfinance_v4_4!L30,householdfinance_v4_3!L30,householdfinance_v4_2!L30,householdfinance_v4_1!L30),0),"NA")</f>
        <v>1</v>
      </c>
      <c r="M30">
        <f>IF($D30=1,ROUND(SUM(householdfinance_v4_5!M30,householdfinance_v4_4!M30,householdfinance_v4_3!M30,householdfinance_v4_2!M30,householdfinance_v4_1!M30)/COUNT(householdfinance_v4_5!M30,householdfinance_v4_4!M30,householdfinance_v4_3!M30,householdfinance_v4_2!M30,householdfinance_v4_1!M30),0),"NA")</f>
        <v>1</v>
      </c>
      <c r="N30">
        <f>IF($D30=1,ROUND(SUM(householdfinance_v4_5!N30,householdfinance_v4_4!N30,householdfinance_v4_3!N30,householdfinance_v4_2!N30,householdfinance_v4_1!N30)/COUNT(householdfinance_v4_5!N30,householdfinance_v4_4!N30,householdfinance_v4_3!N30,householdfinance_v4_2!N30,householdfinance_v4_1!N30),0),"NA")</f>
        <v>1</v>
      </c>
      <c r="O30">
        <v>3.0982623100280762</v>
      </c>
    </row>
    <row r="31" spans="1:15" x14ac:dyDescent="0.25">
      <c r="A31" t="s">
        <v>17</v>
      </c>
      <c r="B31" t="s">
        <v>58</v>
      </c>
      <c r="C31">
        <v>0</v>
      </c>
      <c r="D31">
        <f>ROUND(SUM(householdfinance_v4_5!D31,householdfinance_v4_4!D31,householdfinance_v4_3!D31,householdfinance_v4_2!D31,householdfinance_v4_1!D31)/COUNT(householdfinance_v4_5!D31,householdfinance_v4_4!D31,householdfinance_v4_3!D31,householdfinance_v4_2!D31,householdfinance_v4_1!D31),0)</f>
        <v>1</v>
      </c>
      <c r="E31">
        <f>IF($D31=1,ROUND(SUM(householdfinance_v4_5!E31,householdfinance_v4_4!E31,householdfinance_v4_3!E31,householdfinance_v4_2!E31,householdfinance_v4_1!E31)/COUNT(householdfinance_v4_5!E31,householdfinance_v4_4!E31,householdfinance_v4_3!E31,householdfinance_v4_2!E31,householdfinance_v4_1!E31),0),"NA")</f>
        <v>0</v>
      </c>
      <c r="F31">
        <f>IF($D31=1,ROUND(SUM(householdfinance_v4_5!F31,householdfinance_v4_4!F31,householdfinance_v4_3!F31,householdfinance_v4_2!F31,householdfinance_v4_1!F31)/COUNT(householdfinance_v4_5!F31,householdfinance_v4_4!F31,householdfinance_v4_3!F31,householdfinance_v4_2!F31,householdfinance_v4_1!F31),0),"NA")</f>
        <v>1</v>
      </c>
      <c r="G31">
        <f>IF($D31=1,ROUND(SUM(householdfinance_v4_5!G31,householdfinance_v4_4!G31,householdfinance_v4_3!G31,householdfinance_v4_2!G31,householdfinance_v4_1!G31)/COUNT(householdfinance_v4_5!G31,householdfinance_v4_4!G31,householdfinance_v4_3!G31,householdfinance_v4_2!G31,householdfinance_v4_1!G31),0),"NA")</f>
        <v>1</v>
      </c>
      <c r="H31" t="str">
        <f>IF($E31=1,ROUND(SUM(householdfinance_v4_5!H31,householdfinance_v4_4!H31,householdfinance_v4_3!H31,householdfinance_v4_2!H31,householdfinance_v4_1!H31)/COUNT(householdfinance_v4_5!H31,householdfinance_v4_4!H31,householdfinance_v4_3!H31,householdfinance_v4_2!H31,householdfinance_v4_1!H31),0),"NA")</f>
        <v>NA</v>
      </c>
      <c r="I31">
        <f>IF($D31=1,ROUND(SUM(householdfinance_v4_5!I31,householdfinance_v4_4!I31,householdfinance_v4_3!I31,householdfinance_v4_2!I31,householdfinance_v4_1!I31)/COUNT(householdfinance_v4_5!I31,householdfinance_v4_4!I31,householdfinance_v4_3!I31,householdfinance_v4_2!I31,householdfinance_v4_1!I31),0),"NA")</f>
        <v>1</v>
      </c>
      <c r="J31" t="str">
        <f>IF(AND($E31=1,$F31=1),ROUND(SUM(householdfinance_v4_5!J31,householdfinance_v4_4!J31,householdfinance_v4_3!J31,householdfinance_v4_2!J31,householdfinance_v4_1!J31)/COUNT(householdfinance_v4_5!J31,householdfinance_v4_4!J31,householdfinance_v4_3!J31,householdfinance_v4_2!J31,householdfinance_v4_1!J31),0),"NA")</f>
        <v>NA</v>
      </c>
      <c r="K31">
        <f>IF($D31=1,ROUND(SUM(householdfinance_v4_5!K31,householdfinance_v4_4!K31,householdfinance_v4_3!K31,householdfinance_v4_2!K31,householdfinance_v4_1!K31)/COUNT(householdfinance_v4_5!K31,householdfinance_v4_4!K31,householdfinance_v4_3!K31,householdfinance_v4_2!K31,householdfinance_v4_1!K31),0),"NA")</f>
        <v>1</v>
      </c>
      <c r="L31">
        <f>IF($D31=1,ROUND(SUM(householdfinance_v4_5!L31,householdfinance_v4_4!L31,householdfinance_v4_3!L31,householdfinance_v4_2!L31,householdfinance_v4_1!L31)/COUNT(householdfinance_v4_5!L31,householdfinance_v4_4!L31,householdfinance_v4_3!L31,householdfinance_v4_2!L31,householdfinance_v4_1!L31),0),"NA")</f>
        <v>1</v>
      </c>
      <c r="M31">
        <f>IF($D31=1,ROUND(SUM(householdfinance_v4_5!M31,householdfinance_v4_4!M31,householdfinance_v4_3!M31,householdfinance_v4_2!M31,householdfinance_v4_1!M31)/COUNT(householdfinance_v4_5!M31,householdfinance_v4_4!M31,householdfinance_v4_3!M31,householdfinance_v4_2!M31,householdfinance_v4_1!M31),0),"NA")</f>
        <v>1</v>
      </c>
      <c r="N31">
        <f>IF($D31=1,ROUND(SUM(householdfinance_v4_5!N31,householdfinance_v4_4!N31,householdfinance_v4_3!N31,householdfinance_v4_2!N31,householdfinance_v4_1!N31)/COUNT(householdfinance_v4_5!N31,householdfinance_v4_4!N31,householdfinance_v4_3!N31,householdfinance_v4_2!N31,householdfinance_v4_1!N31),0),"NA")</f>
        <v>1</v>
      </c>
      <c r="O31">
        <v>1.6406233310699461</v>
      </c>
    </row>
    <row r="32" spans="1:15" x14ac:dyDescent="0.25">
      <c r="A32" t="s">
        <v>17</v>
      </c>
      <c r="B32" t="s">
        <v>60</v>
      </c>
      <c r="C32">
        <v>0</v>
      </c>
      <c r="D32">
        <f>ROUND(SUM(householdfinance_v4_5!D32,householdfinance_v4_4!D32,householdfinance_v4_3!D32,householdfinance_v4_2!D32,householdfinance_v4_1!D32)/COUNT(householdfinance_v4_5!D32,householdfinance_v4_4!D32,householdfinance_v4_3!D32,householdfinance_v4_2!D32,householdfinance_v4_1!D32),0)</f>
        <v>1</v>
      </c>
      <c r="E32">
        <f>IF($D32=1,ROUND(SUM(householdfinance_v4_5!E32,householdfinance_v4_4!E32,householdfinance_v4_3!E32,householdfinance_v4_2!E32,householdfinance_v4_1!E32)/COUNT(householdfinance_v4_5!E32,householdfinance_v4_4!E32,householdfinance_v4_3!E32,householdfinance_v4_2!E32,householdfinance_v4_1!E32),0),"NA")</f>
        <v>0</v>
      </c>
      <c r="F32">
        <f>IF($D32=1,ROUND(SUM(householdfinance_v4_5!F32,householdfinance_v4_4!F32,householdfinance_v4_3!F32,householdfinance_v4_2!F32,householdfinance_v4_1!F32)/COUNT(householdfinance_v4_5!F32,householdfinance_v4_4!F32,householdfinance_v4_3!F32,householdfinance_v4_2!F32,householdfinance_v4_1!F32),0),"NA")</f>
        <v>1</v>
      </c>
      <c r="G32">
        <f>IF($D32=1,ROUND(SUM(householdfinance_v4_5!G32,householdfinance_v4_4!G32,householdfinance_v4_3!G32,householdfinance_v4_2!G32,householdfinance_v4_1!G32)/COUNT(householdfinance_v4_5!G32,householdfinance_v4_4!G32,householdfinance_v4_3!G32,householdfinance_v4_2!G32,householdfinance_v4_1!G32),0),"NA")</f>
        <v>1</v>
      </c>
      <c r="H32" t="str">
        <f>IF($E32=1,ROUND(SUM(householdfinance_v4_5!H32,householdfinance_v4_4!H32,householdfinance_v4_3!H32,householdfinance_v4_2!H32,householdfinance_v4_1!H32)/COUNT(householdfinance_v4_5!H32,householdfinance_v4_4!H32,householdfinance_v4_3!H32,householdfinance_v4_2!H32,householdfinance_v4_1!H32),0),"NA")</f>
        <v>NA</v>
      </c>
      <c r="I32">
        <f>IF($D32=1,ROUND(SUM(householdfinance_v4_5!I32,householdfinance_v4_4!I32,householdfinance_v4_3!I32,householdfinance_v4_2!I32,householdfinance_v4_1!I32)/COUNT(householdfinance_v4_5!I32,householdfinance_v4_4!I32,householdfinance_v4_3!I32,householdfinance_v4_2!I32,householdfinance_v4_1!I32),0),"NA")</f>
        <v>1</v>
      </c>
      <c r="J32" t="str">
        <f>IF(AND($E32=1,$F32=1),ROUND(SUM(householdfinance_v4_5!J32,householdfinance_v4_4!J32,householdfinance_v4_3!J32,householdfinance_v4_2!J32,householdfinance_v4_1!J32)/COUNT(householdfinance_v4_5!J32,householdfinance_v4_4!J32,householdfinance_v4_3!J32,householdfinance_v4_2!J32,householdfinance_v4_1!J32),0),"NA")</f>
        <v>NA</v>
      </c>
      <c r="K32">
        <f>IF($D32=1,ROUND(SUM(householdfinance_v4_5!K32,householdfinance_v4_4!K32,householdfinance_v4_3!K32,householdfinance_v4_2!K32,householdfinance_v4_1!K32)/COUNT(householdfinance_v4_5!K32,householdfinance_v4_4!K32,householdfinance_v4_3!K32,householdfinance_v4_2!K32,householdfinance_v4_1!K32),0),"NA")</f>
        <v>1</v>
      </c>
      <c r="L32">
        <f>IF($D32=1,ROUND(SUM(householdfinance_v4_5!L32,householdfinance_v4_4!L32,householdfinance_v4_3!L32,householdfinance_v4_2!L32,householdfinance_v4_1!L32)/COUNT(householdfinance_v4_5!L32,householdfinance_v4_4!L32,householdfinance_v4_3!L32,householdfinance_v4_2!L32,householdfinance_v4_1!L32),0),"NA")</f>
        <v>1</v>
      </c>
      <c r="M32">
        <f>IF($D32=1,ROUND(SUM(householdfinance_v4_5!M32,householdfinance_v4_4!M32,householdfinance_v4_3!M32,householdfinance_v4_2!M32,householdfinance_v4_1!M32)/COUNT(householdfinance_v4_5!M32,householdfinance_v4_4!M32,householdfinance_v4_3!M32,householdfinance_v4_2!M32,householdfinance_v4_1!M32),0),"NA")</f>
        <v>1</v>
      </c>
      <c r="N32">
        <f>IF($D32=1,ROUND(SUM(householdfinance_v4_5!N32,householdfinance_v4_4!N32,householdfinance_v4_3!N32,householdfinance_v4_2!N32,householdfinance_v4_1!N32)/COUNT(householdfinance_v4_5!N32,householdfinance_v4_4!N32,householdfinance_v4_3!N32,householdfinance_v4_2!N32,householdfinance_v4_1!N32),0),"NA")</f>
        <v>1</v>
      </c>
      <c r="O32">
        <v>3.1032390594482422</v>
      </c>
    </row>
    <row r="33" spans="1:15" x14ac:dyDescent="0.25">
      <c r="A33" t="s">
        <v>17</v>
      </c>
      <c r="B33" t="s">
        <v>62</v>
      </c>
      <c r="C33">
        <v>0</v>
      </c>
      <c r="D33">
        <f>ROUND(SUM(householdfinance_v4_5!D33,householdfinance_v4_4!D33,householdfinance_v4_3!D33,householdfinance_v4_2!D33,householdfinance_v4_1!D33)/COUNT(householdfinance_v4_5!D33,householdfinance_v4_4!D33,householdfinance_v4_3!D33,householdfinance_v4_2!D33,householdfinance_v4_1!D33),0)</f>
        <v>1</v>
      </c>
      <c r="E33">
        <f>IF($D33=1,ROUND(SUM(householdfinance_v4_5!E33,householdfinance_v4_4!E33,householdfinance_v4_3!E33,householdfinance_v4_2!E33,householdfinance_v4_1!E33)/COUNT(householdfinance_v4_5!E33,householdfinance_v4_4!E33,householdfinance_v4_3!E33,householdfinance_v4_2!E33,householdfinance_v4_1!E33),0),"NA")</f>
        <v>1</v>
      </c>
      <c r="F33">
        <f>IF($D33=1,ROUND(SUM(householdfinance_v4_5!F33,householdfinance_v4_4!F33,householdfinance_v4_3!F33,householdfinance_v4_2!F33,householdfinance_v4_1!F33)/COUNT(householdfinance_v4_5!F33,householdfinance_v4_4!F33,householdfinance_v4_3!F33,householdfinance_v4_2!F33,householdfinance_v4_1!F33),0),"NA")</f>
        <v>1</v>
      </c>
      <c r="G33">
        <f>IF($D33=1,ROUND(SUM(householdfinance_v4_5!G33,householdfinance_v4_4!G33,householdfinance_v4_3!G33,householdfinance_v4_2!G33,householdfinance_v4_1!G33)/COUNT(householdfinance_v4_5!G33,householdfinance_v4_4!G33,householdfinance_v4_3!G33,householdfinance_v4_2!G33,householdfinance_v4_1!G33),0),"NA")</f>
        <v>1</v>
      </c>
      <c r="H33">
        <f>IF($E33=1,ROUND(SUM(householdfinance_v4_5!H33,householdfinance_v4_4!H33,householdfinance_v4_3!H33,householdfinance_v4_2!H33,householdfinance_v4_1!H33)/COUNT(householdfinance_v4_5!H33,householdfinance_v4_4!H33,householdfinance_v4_3!H33,householdfinance_v4_2!H33,householdfinance_v4_1!H33),0),"NA")</f>
        <v>1</v>
      </c>
      <c r="I33">
        <f>IF($D33=1,ROUND(SUM(householdfinance_v4_5!I33,householdfinance_v4_4!I33,householdfinance_v4_3!I33,householdfinance_v4_2!I33,householdfinance_v4_1!I33)/COUNT(householdfinance_v4_5!I33,householdfinance_v4_4!I33,householdfinance_v4_3!I33,householdfinance_v4_2!I33,householdfinance_v4_1!I33),0),"NA")</f>
        <v>1</v>
      </c>
      <c r="J33">
        <f>IF(AND($E33=1,$F33=1),ROUND(SUM(householdfinance_v4_5!J33,householdfinance_v4_4!J33,householdfinance_v4_3!J33,householdfinance_v4_2!J33,householdfinance_v4_1!J33)/COUNT(householdfinance_v4_5!J33,householdfinance_v4_4!J33,householdfinance_v4_3!J33,householdfinance_v4_2!J33,householdfinance_v4_1!J33),0),"NA")</f>
        <v>1</v>
      </c>
      <c r="K33">
        <f>IF($D33=1,ROUND(SUM(householdfinance_v4_5!K33,householdfinance_v4_4!K33,householdfinance_v4_3!K33,householdfinance_v4_2!K33,householdfinance_v4_1!K33)/COUNT(householdfinance_v4_5!K33,householdfinance_v4_4!K33,householdfinance_v4_3!K33,householdfinance_v4_2!K33,householdfinance_v4_1!K33),0),"NA")</f>
        <v>1</v>
      </c>
      <c r="L33">
        <f>IF($D33=1,ROUND(SUM(householdfinance_v4_5!L33,householdfinance_v4_4!L33,householdfinance_v4_3!L33,householdfinance_v4_2!L33,householdfinance_v4_1!L33)/COUNT(householdfinance_v4_5!L33,householdfinance_v4_4!L33,householdfinance_v4_3!L33,householdfinance_v4_2!L33,householdfinance_v4_1!L33),0),"NA")</f>
        <v>1</v>
      </c>
      <c r="M33">
        <f>IF($D33=1,ROUND(SUM(householdfinance_v4_5!M33,householdfinance_v4_4!M33,householdfinance_v4_3!M33,householdfinance_v4_2!M33,householdfinance_v4_1!M33)/COUNT(householdfinance_v4_5!M33,householdfinance_v4_4!M33,householdfinance_v4_3!M33,householdfinance_v4_2!M33,householdfinance_v4_1!M33),0),"NA")</f>
        <v>1</v>
      </c>
      <c r="N33">
        <f>IF($D33=1,ROUND(SUM(householdfinance_v4_5!N33,householdfinance_v4_4!N33,householdfinance_v4_3!N33,householdfinance_v4_2!N33,householdfinance_v4_1!N33)/COUNT(householdfinance_v4_5!N33,householdfinance_v4_4!N33,householdfinance_v4_3!N33,householdfinance_v4_2!N33,householdfinance_v4_1!N33),0),"NA")</f>
        <v>1</v>
      </c>
      <c r="O33">
        <v>1.617106676101685</v>
      </c>
    </row>
    <row r="34" spans="1:15" x14ac:dyDescent="0.25">
      <c r="A34" t="s">
        <v>17</v>
      </c>
      <c r="B34" t="s">
        <v>63</v>
      </c>
      <c r="C34">
        <v>0</v>
      </c>
      <c r="D34">
        <f>ROUND(SUM(householdfinance_v4_5!D34,householdfinance_v4_4!D34,householdfinance_v4_3!D34,householdfinance_v4_2!D34,householdfinance_v4_1!D34)/COUNT(householdfinance_v4_5!D34,householdfinance_v4_4!D34,householdfinance_v4_3!D34,householdfinance_v4_2!D34,householdfinance_v4_1!D34),0)</f>
        <v>1</v>
      </c>
      <c r="E34">
        <f>IF($D34=1,ROUND(SUM(householdfinance_v4_5!E34,householdfinance_v4_4!E34,householdfinance_v4_3!E34,householdfinance_v4_2!E34,householdfinance_v4_1!E34)/COUNT(householdfinance_v4_5!E34,householdfinance_v4_4!E34,householdfinance_v4_3!E34,householdfinance_v4_2!E34,householdfinance_v4_1!E34),0),"NA")</f>
        <v>1</v>
      </c>
      <c r="F34">
        <f>IF($D34=1,ROUND(SUM(householdfinance_v4_5!F34,householdfinance_v4_4!F34,householdfinance_v4_3!F34,householdfinance_v4_2!F34,householdfinance_v4_1!F34)/COUNT(householdfinance_v4_5!F34,householdfinance_v4_4!F34,householdfinance_v4_3!F34,householdfinance_v4_2!F34,householdfinance_v4_1!F34),0),"NA")</f>
        <v>1</v>
      </c>
      <c r="G34">
        <f>IF($D34=1,ROUND(SUM(householdfinance_v4_5!G34,householdfinance_v4_4!G34,householdfinance_v4_3!G34,householdfinance_v4_2!G34,householdfinance_v4_1!G34)/COUNT(householdfinance_v4_5!G34,householdfinance_v4_4!G34,householdfinance_v4_3!G34,householdfinance_v4_2!G34,householdfinance_v4_1!G34),0),"NA")</f>
        <v>1</v>
      </c>
      <c r="H34">
        <f>IF($E34=1,ROUND(SUM(householdfinance_v4_5!H34,householdfinance_v4_4!H34,householdfinance_v4_3!H34,householdfinance_v4_2!H34,householdfinance_v4_1!H34)/COUNT(householdfinance_v4_5!H34,householdfinance_v4_4!H34,householdfinance_v4_3!H34,householdfinance_v4_2!H34,householdfinance_v4_1!H34),0),"NA")</f>
        <v>1</v>
      </c>
      <c r="I34">
        <f>IF($D34=1,ROUND(SUM(householdfinance_v4_5!I34,householdfinance_v4_4!I34,householdfinance_v4_3!I34,householdfinance_v4_2!I34,householdfinance_v4_1!I34)/COUNT(householdfinance_v4_5!I34,householdfinance_v4_4!I34,householdfinance_v4_3!I34,householdfinance_v4_2!I34,householdfinance_v4_1!I34),0),"NA")</f>
        <v>1</v>
      </c>
      <c r="J34">
        <f>IF(AND($E34=1,$F34=1),ROUND(SUM(householdfinance_v4_5!J34,householdfinance_v4_4!J34,householdfinance_v4_3!J34,householdfinance_v4_2!J34,householdfinance_v4_1!J34)/COUNT(householdfinance_v4_5!J34,householdfinance_v4_4!J34,householdfinance_v4_3!J34,householdfinance_v4_2!J34,householdfinance_v4_1!J34),0),"NA")</f>
        <v>1</v>
      </c>
      <c r="K34">
        <f>IF($D34=1,ROUND(SUM(householdfinance_v4_5!K34,householdfinance_v4_4!K34,householdfinance_v4_3!K34,householdfinance_v4_2!K34,householdfinance_v4_1!K34)/COUNT(householdfinance_v4_5!K34,householdfinance_v4_4!K34,householdfinance_v4_3!K34,householdfinance_v4_2!K34,householdfinance_v4_1!K34),0),"NA")</f>
        <v>1</v>
      </c>
      <c r="L34">
        <f>IF($D34=1,ROUND(SUM(householdfinance_v4_5!L34,householdfinance_v4_4!L34,householdfinance_v4_3!L34,householdfinance_v4_2!L34,householdfinance_v4_1!L34)/COUNT(householdfinance_v4_5!L34,householdfinance_v4_4!L34,householdfinance_v4_3!L34,householdfinance_v4_2!L34,householdfinance_v4_1!L34),0),"NA")</f>
        <v>1</v>
      </c>
      <c r="M34">
        <f>IF($D34=1,ROUND(SUM(householdfinance_v4_5!M34,householdfinance_v4_4!M34,householdfinance_v4_3!M34,householdfinance_v4_2!M34,householdfinance_v4_1!M34)/COUNT(householdfinance_v4_5!M34,householdfinance_v4_4!M34,householdfinance_v4_3!M34,householdfinance_v4_2!M34,householdfinance_v4_1!M34),0),"NA")</f>
        <v>1</v>
      </c>
      <c r="N34">
        <f>IF($D34=1,ROUND(SUM(householdfinance_v4_5!N34,householdfinance_v4_4!N34,householdfinance_v4_3!N34,householdfinance_v4_2!N34,householdfinance_v4_1!N34)/COUNT(householdfinance_v4_5!N34,householdfinance_v4_4!N34,householdfinance_v4_3!N34,householdfinance_v4_2!N34,householdfinance_v4_1!N34),0),"NA")</f>
        <v>1</v>
      </c>
      <c r="O34">
        <v>5.7010025978088379</v>
      </c>
    </row>
    <row r="35" spans="1:15" x14ac:dyDescent="0.25">
      <c r="A35" t="s">
        <v>17</v>
      </c>
      <c r="B35" t="s">
        <v>65</v>
      </c>
      <c r="C35">
        <v>0</v>
      </c>
      <c r="D35">
        <f>ROUND(SUM(householdfinance_v4_5!D35,householdfinance_v4_4!D35,householdfinance_v4_3!D35,householdfinance_v4_2!D35,householdfinance_v4_1!D35)/COUNT(householdfinance_v4_5!D35,householdfinance_v4_4!D35,householdfinance_v4_3!D35,householdfinance_v4_2!D35,householdfinance_v4_1!D35),0)</f>
        <v>1</v>
      </c>
      <c r="E35">
        <f>IF($D35=1,ROUND(SUM(householdfinance_v4_5!E35,householdfinance_v4_4!E35,householdfinance_v4_3!E35,householdfinance_v4_2!E35,householdfinance_v4_1!E35)/COUNT(householdfinance_v4_5!E35,householdfinance_v4_4!E35,householdfinance_v4_3!E35,householdfinance_v4_2!E35,householdfinance_v4_1!E35),0),"NA")</f>
        <v>1</v>
      </c>
      <c r="F35">
        <f>IF($D35=1,ROUND(SUM(householdfinance_v4_5!F35,householdfinance_v4_4!F35,householdfinance_v4_3!F35,householdfinance_v4_2!F35,householdfinance_v4_1!F35)/COUNT(householdfinance_v4_5!F35,householdfinance_v4_4!F35,householdfinance_v4_3!F35,householdfinance_v4_2!F35,householdfinance_v4_1!F35),0),"NA")</f>
        <v>1</v>
      </c>
      <c r="G35">
        <f>IF($D35=1,ROUND(SUM(householdfinance_v4_5!G35,householdfinance_v4_4!G35,householdfinance_v4_3!G35,householdfinance_v4_2!G35,householdfinance_v4_1!G35)/COUNT(householdfinance_v4_5!G35,householdfinance_v4_4!G35,householdfinance_v4_3!G35,householdfinance_v4_2!G35,householdfinance_v4_1!G35),0),"NA")</f>
        <v>1</v>
      </c>
      <c r="H35">
        <f>IF($E35=1,ROUND(SUM(householdfinance_v4_5!H35,householdfinance_v4_4!H35,householdfinance_v4_3!H35,householdfinance_v4_2!H35,householdfinance_v4_1!H35)/COUNT(householdfinance_v4_5!H35,householdfinance_v4_4!H35,householdfinance_v4_3!H35,householdfinance_v4_2!H35,householdfinance_v4_1!H35),0),"NA")</f>
        <v>1</v>
      </c>
      <c r="I35">
        <f>IF($D35=1,ROUND(SUM(householdfinance_v4_5!I35,householdfinance_v4_4!I35,householdfinance_v4_3!I35,householdfinance_v4_2!I35,householdfinance_v4_1!I35)/COUNT(householdfinance_v4_5!I35,householdfinance_v4_4!I35,householdfinance_v4_3!I35,householdfinance_v4_2!I35,householdfinance_v4_1!I35),0),"NA")</f>
        <v>1</v>
      </c>
      <c r="J35">
        <f>IF(AND($E35=1,$F35=1),ROUND(SUM(householdfinance_v4_5!J35,householdfinance_v4_4!J35,householdfinance_v4_3!J35,householdfinance_v4_2!J35,householdfinance_v4_1!J35)/COUNT(householdfinance_v4_5!J35,householdfinance_v4_4!J35,householdfinance_v4_3!J35,householdfinance_v4_2!J35,householdfinance_v4_1!J35),0),"NA")</f>
        <v>1</v>
      </c>
      <c r="K35">
        <f>IF($D35=1,ROUND(SUM(householdfinance_v4_5!K35,householdfinance_v4_4!K35,householdfinance_v4_3!K35,householdfinance_v4_2!K35,householdfinance_v4_1!K35)/COUNT(householdfinance_v4_5!K35,householdfinance_v4_4!K35,householdfinance_v4_3!K35,householdfinance_v4_2!K35,householdfinance_v4_1!K35),0),"NA")</f>
        <v>1</v>
      </c>
      <c r="L35">
        <f>IF($D35=1,ROUND(SUM(householdfinance_v4_5!L35,householdfinance_v4_4!L35,householdfinance_v4_3!L35,householdfinance_v4_2!L35,householdfinance_v4_1!L35)/COUNT(householdfinance_v4_5!L35,householdfinance_v4_4!L35,householdfinance_v4_3!L35,householdfinance_v4_2!L35,householdfinance_v4_1!L35),0),"NA")</f>
        <v>1</v>
      </c>
      <c r="M35">
        <f>IF($D35=1,ROUND(SUM(householdfinance_v4_5!M35,householdfinance_v4_4!M35,householdfinance_v4_3!M35,householdfinance_v4_2!M35,householdfinance_v4_1!M35)/COUNT(householdfinance_v4_5!M35,householdfinance_v4_4!M35,householdfinance_v4_3!M35,householdfinance_v4_2!M35,householdfinance_v4_1!M35),0),"NA")</f>
        <v>1</v>
      </c>
      <c r="N35">
        <f>IF($D35=1,ROUND(SUM(householdfinance_v4_5!N35,householdfinance_v4_4!N35,householdfinance_v4_3!N35,householdfinance_v4_2!N35,householdfinance_v4_1!N35)/COUNT(householdfinance_v4_5!N35,householdfinance_v4_4!N35,householdfinance_v4_3!N35,householdfinance_v4_2!N35,householdfinance_v4_1!N35),0),"NA")</f>
        <v>1</v>
      </c>
      <c r="O35">
        <v>1.301586389541626</v>
      </c>
    </row>
    <row r="36" spans="1:15" x14ac:dyDescent="0.25">
      <c r="A36" t="s">
        <v>17</v>
      </c>
      <c r="B36" t="s">
        <v>66</v>
      </c>
      <c r="C36">
        <v>0</v>
      </c>
      <c r="D36">
        <f>ROUND(SUM(householdfinance_v4_5!D36,householdfinance_v4_4!D36,householdfinance_v4_3!D36,householdfinance_v4_2!D36,householdfinance_v4_1!D36)/COUNT(householdfinance_v4_5!D36,householdfinance_v4_4!D36,householdfinance_v4_3!D36,householdfinance_v4_2!D36,householdfinance_v4_1!D36),0)</f>
        <v>1</v>
      </c>
      <c r="E36">
        <f>IF($D36=1,ROUND(SUM(householdfinance_v4_5!E36,householdfinance_v4_4!E36,householdfinance_v4_3!E36,householdfinance_v4_2!E36,householdfinance_v4_1!E36)/COUNT(householdfinance_v4_5!E36,householdfinance_v4_4!E36,householdfinance_v4_3!E36,householdfinance_v4_2!E36,householdfinance_v4_1!E36),0),"NA")</f>
        <v>1</v>
      </c>
      <c r="F36">
        <f>IF($D36=1,ROUND(SUM(householdfinance_v4_5!F36,householdfinance_v4_4!F36,householdfinance_v4_3!F36,householdfinance_v4_2!F36,householdfinance_v4_1!F36)/COUNT(householdfinance_v4_5!F36,householdfinance_v4_4!F36,householdfinance_v4_3!F36,householdfinance_v4_2!F36,householdfinance_v4_1!F36),0),"NA")</f>
        <v>1</v>
      </c>
      <c r="G36">
        <f>IF($D36=1,ROUND(SUM(householdfinance_v4_5!G36,householdfinance_v4_4!G36,householdfinance_v4_3!G36,householdfinance_v4_2!G36,householdfinance_v4_1!G36)/COUNT(householdfinance_v4_5!G36,householdfinance_v4_4!G36,householdfinance_v4_3!G36,householdfinance_v4_2!G36,householdfinance_v4_1!G36),0),"NA")</f>
        <v>1</v>
      </c>
      <c r="H36">
        <f>IF($E36=1,ROUND(SUM(householdfinance_v4_5!H36,householdfinance_v4_4!H36,householdfinance_v4_3!H36,householdfinance_v4_2!H36,householdfinance_v4_1!H36)/COUNT(householdfinance_v4_5!H36,householdfinance_v4_4!H36,householdfinance_v4_3!H36,householdfinance_v4_2!H36,householdfinance_v4_1!H36),0),"NA")</f>
        <v>1</v>
      </c>
      <c r="I36">
        <f>IF($D36=1,ROUND(SUM(householdfinance_v4_5!I36,householdfinance_v4_4!I36,householdfinance_v4_3!I36,householdfinance_v4_2!I36,householdfinance_v4_1!I36)/COUNT(householdfinance_v4_5!I36,householdfinance_v4_4!I36,householdfinance_v4_3!I36,householdfinance_v4_2!I36,householdfinance_v4_1!I36),0),"NA")</f>
        <v>1</v>
      </c>
      <c r="J36">
        <f>IF(AND($E36=1,$F36=1),ROUND(SUM(householdfinance_v4_5!J36,householdfinance_v4_4!J36,householdfinance_v4_3!J36,householdfinance_v4_2!J36,householdfinance_v4_1!J36)/COUNT(householdfinance_v4_5!J36,householdfinance_v4_4!J36,householdfinance_v4_3!J36,householdfinance_v4_2!J36,householdfinance_v4_1!J36),0),"NA")</f>
        <v>1</v>
      </c>
      <c r="K36">
        <f>IF($D36=1,ROUND(SUM(householdfinance_v4_5!K36,householdfinance_v4_4!K36,householdfinance_v4_3!K36,householdfinance_v4_2!K36,householdfinance_v4_1!K36)/COUNT(householdfinance_v4_5!K36,householdfinance_v4_4!K36,householdfinance_v4_3!K36,householdfinance_v4_2!K36,householdfinance_v4_1!K36),0),"NA")</f>
        <v>1</v>
      </c>
      <c r="L36">
        <f>IF($D36=1,ROUND(SUM(householdfinance_v4_5!L36,householdfinance_v4_4!L36,householdfinance_v4_3!L36,householdfinance_v4_2!L36,householdfinance_v4_1!L36)/COUNT(householdfinance_v4_5!L36,householdfinance_v4_4!L36,householdfinance_v4_3!L36,householdfinance_v4_2!L36,householdfinance_v4_1!L36),0),"NA")</f>
        <v>1</v>
      </c>
      <c r="M36">
        <f>IF($D36=1,ROUND(SUM(householdfinance_v4_5!M36,householdfinance_v4_4!M36,householdfinance_v4_3!M36,householdfinance_v4_2!M36,householdfinance_v4_1!M36)/COUNT(householdfinance_v4_5!M36,householdfinance_v4_4!M36,householdfinance_v4_3!M36,householdfinance_v4_2!M36,householdfinance_v4_1!M36),0),"NA")</f>
        <v>1</v>
      </c>
      <c r="N36">
        <f>IF($D36=1,ROUND(SUM(householdfinance_v4_5!N36,householdfinance_v4_4!N36,householdfinance_v4_3!N36,householdfinance_v4_2!N36,householdfinance_v4_1!N36)/COUNT(householdfinance_v4_5!N36,householdfinance_v4_4!N36,householdfinance_v4_3!N36,householdfinance_v4_2!N36,householdfinance_v4_1!N36),0),"NA")</f>
        <v>1</v>
      </c>
      <c r="O36">
        <v>1.390830993652344</v>
      </c>
    </row>
    <row r="37" spans="1:15" x14ac:dyDescent="0.25">
      <c r="A37" t="s">
        <v>17</v>
      </c>
      <c r="B37" t="s">
        <v>67</v>
      </c>
      <c r="C37">
        <v>0</v>
      </c>
      <c r="D37">
        <f>ROUND(SUM(householdfinance_v4_5!D37,householdfinance_v4_4!D37,householdfinance_v4_3!D37,householdfinance_v4_2!D37,householdfinance_v4_1!D37)/COUNT(householdfinance_v4_5!D37,householdfinance_v4_4!D37,householdfinance_v4_3!D37,householdfinance_v4_2!D37,householdfinance_v4_1!D37),0)</f>
        <v>1</v>
      </c>
      <c r="E37">
        <f>IF($D37=1,ROUND(SUM(householdfinance_v4_5!E37,householdfinance_v4_4!E37,householdfinance_v4_3!E37,householdfinance_v4_2!E37,householdfinance_v4_1!E37)/COUNT(householdfinance_v4_5!E37,householdfinance_v4_4!E37,householdfinance_v4_3!E37,householdfinance_v4_2!E37,householdfinance_v4_1!E37),0),"NA")</f>
        <v>1</v>
      </c>
      <c r="F37">
        <f>IF($D37=1,ROUND(SUM(householdfinance_v4_5!F37,householdfinance_v4_4!F37,householdfinance_v4_3!F37,householdfinance_v4_2!F37,householdfinance_v4_1!F37)/COUNT(householdfinance_v4_5!F37,householdfinance_v4_4!F37,householdfinance_v4_3!F37,householdfinance_v4_2!F37,householdfinance_v4_1!F37),0),"NA")</f>
        <v>1</v>
      </c>
      <c r="G37">
        <f>IF($D37=1,ROUND(SUM(householdfinance_v4_5!G37,householdfinance_v4_4!G37,householdfinance_v4_3!G37,householdfinance_v4_2!G37,householdfinance_v4_1!G37)/COUNT(householdfinance_v4_5!G37,householdfinance_v4_4!G37,householdfinance_v4_3!G37,householdfinance_v4_2!G37,householdfinance_v4_1!G37),0),"NA")</f>
        <v>1</v>
      </c>
      <c r="H37">
        <f>IF($E37=1,ROUND(SUM(householdfinance_v4_5!H37,householdfinance_v4_4!H37,householdfinance_v4_3!H37,householdfinance_v4_2!H37,householdfinance_v4_1!H37)/COUNT(householdfinance_v4_5!H37,householdfinance_v4_4!H37,householdfinance_v4_3!H37,householdfinance_v4_2!H37,householdfinance_v4_1!H37),0),"NA")</f>
        <v>1</v>
      </c>
      <c r="I37">
        <f>IF($D37=1,ROUND(SUM(householdfinance_v4_5!I37,householdfinance_v4_4!I37,householdfinance_v4_3!I37,householdfinance_v4_2!I37,householdfinance_v4_1!I37)/COUNT(householdfinance_v4_5!I37,householdfinance_v4_4!I37,householdfinance_v4_3!I37,householdfinance_v4_2!I37,householdfinance_v4_1!I37),0),"NA")</f>
        <v>1</v>
      </c>
      <c r="J37">
        <f>IF(AND($E37=1,$F37=1),ROUND(SUM(householdfinance_v4_5!J37,householdfinance_v4_4!J37,householdfinance_v4_3!J37,householdfinance_v4_2!J37,householdfinance_v4_1!J37)/COUNT(householdfinance_v4_5!J37,householdfinance_v4_4!J37,householdfinance_v4_3!J37,householdfinance_v4_2!J37,householdfinance_v4_1!J37),0),"NA")</f>
        <v>1</v>
      </c>
      <c r="K37">
        <f>IF($D37=1,ROUND(SUM(householdfinance_v4_5!K37,householdfinance_v4_4!K37,householdfinance_v4_3!K37,householdfinance_v4_2!K37,householdfinance_v4_1!K37)/COUNT(householdfinance_v4_5!K37,householdfinance_v4_4!K37,householdfinance_v4_3!K37,householdfinance_v4_2!K37,householdfinance_v4_1!K37),0),"NA")</f>
        <v>1</v>
      </c>
      <c r="L37">
        <f>IF($D37=1,ROUND(SUM(householdfinance_v4_5!L37,householdfinance_v4_4!L37,householdfinance_v4_3!L37,householdfinance_v4_2!L37,householdfinance_v4_1!L37)/COUNT(householdfinance_v4_5!L37,householdfinance_v4_4!L37,householdfinance_v4_3!L37,householdfinance_v4_2!L37,householdfinance_v4_1!L37),0),"NA")</f>
        <v>1</v>
      </c>
      <c r="M37">
        <f>IF($D37=1,ROUND(SUM(householdfinance_v4_5!M37,householdfinance_v4_4!M37,householdfinance_v4_3!M37,householdfinance_v4_2!M37,householdfinance_v4_1!M37)/COUNT(householdfinance_v4_5!M37,householdfinance_v4_4!M37,householdfinance_v4_3!M37,householdfinance_v4_2!M37,householdfinance_v4_1!M37),0),"NA")</f>
        <v>1</v>
      </c>
      <c r="N37">
        <f>IF($D37=1,ROUND(SUM(householdfinance_v4_5!N37,householdfinance_v4_4!N37,householdfinance_v4_3!N37,householdfinance_v4_2!N37,householdfinance_v4_1!N37)/COUNT(householdfinance_v4_5!N37,householdfinance_v4_4!N37,householdfinance_v4_3!N37,householdfinance_v4_2!N37,householdfinance_v4_1!N37),0),"NA")</f>
        <v>1</v>
      </c>
      <c r="O37">
        <v>1.1579451560974121</v>
      </c>
    </row>
    <row r="38" spans="1:15" x14ac:dyDescent="0.25">
      <c r="A38" t="s">
        <v>17</v>
      </c>
      <c r="B38" t="s">
        <v>68</v>
      </c>
      <c r="C38">
        <v>0</v>
      </c>
      <c r="D38">
        <f>ROUND(SUM(householdfinance_v4_5!D38,householdfinance_v4_4!D38,householdfinance_v4_3!D38,householdfinance_v4_2!D38,householdfinance_v4_1!D38)/COUNT(householdfinance_v4_5!D38,householdfinance_v4_4!D38,householdfinance_v4_3!D38,householdfinance_v4_2!D38,householdfinance_v4_1!D38),0)</f>
        <v>1</v>
      </c>
      <c r="E38">
        <f>IF($D38=1,ROUND(SUM(householdfinance_v4_5!E38,householdfinance_v4_4!E38,householdfinance_v4_3!E38,householdfinance_v4_2!E38,householdfinance_v4_1!E38)/COUNT(householdfinance_v4_5!E38,householdfinance_v4_4!E38,householdfinance_v4_3!E38,householdfinance_v4_2!E38,householdfinance_v4_1!E38),0),"NA")</f>
        <v>1</v>
      </c>
      <c r="F38">
        <f>IF($D38=1,ROUND(SUM(householdfinance_v4_5!F38,householdfinance_v4_4!F38,householdfinance_v4_3!F38,householdfinance_v4_2!F38,householdfinance_v4_1!F38)/COUNT(householdfinance_v4_5!F38,householdfinance_v4_4!F38,householdfinance_v4_3!F38,householdfinance_v4_2!F38,householdfinance_v4_1!F38),0),"NA")</f>
        <v>1</v>
      </c>
      <c r="G38">
        <f>IF($D38=1,ROUND(SUM(householdfinance_v4_5!G38,householdfinance_v4_4!G38,householdfinance_v4_3!G38,householdfinance_v4_2!G38,householdfinance_v4_1!G38)/COUNT(householdfinance_v4_5!G38,householdfinance_v4_4!G38,householdfinance_v4_3!G38,householdfinance_v4_2!G38,householdfinance_v4_1!G38),0),"NA")</f>
        <v>1</v>
      </c>
      <c r="H38">
        <f>IF($E38=1,ROUND(SUM(householdfinance_v4_5!H38,householdfinance_v4_4!H38,householdfinance_v4_3!H38,householdfinance_v4_2!H38,householdfinance_v4_1!H38)/COUNT(householdfinance_v4_5!H38,householdfinance_v4_4!H38,householdfinance_v4_3!H38,householdfinance_v4_2!H38,householdfinance_v4_1!H38),0),"NA")</f>
        <v>1</v>
      </c>
      <c r="I38">
        <f>IF($D38=1,ROUND(SUM(householdfinance_v4_5!I38,householdfinance_v4_4!I38,householdfinance_v4_3!I38,householdfinance_v4_2!I38,householdfinance_v4_1!I38)/COUNT(householdfinance_v4_5!I38,householdfinance_v4_4!I38,householdfinance_v4_3!I38,householdfinance_v4_2!I38,householdfinance_v4_1!I38),0),"NA")</f>
        <v>1</v>
      </c>
      <c r="J38">
        <f>IF(AND($E38=1,$F38=1),ROUND(SUM(householdfinance_v4_5!J38,householdfinance_v4_4!J38,householdfinance_v4_3!J38,householdfinance_v4_2!J38,householdfinance_v4_1!J38)/COUNT(householdfinance_v4_5!J38,householdfinance_v4_4!J38,householdfinance_v4_3!J38,householdfinance_v4_2!J38,householdfinance_v4_1!J38),0),"NA")</f>
        <v>1</v>
      </c>
      <c r="K38">
        <f>IF($D38=1,ROUND(SUM(householdfinance_v4_5!K38,householdfinance_v4_4!K38,householdfinance_v4_3!K38,householdfinance_v4_2!K38,householdfinance_v4_1!K38)/COUNT(householdfinance_v4_5!K38,householdfinance_v4_4!K38,householdfinance_v4_3!K38,householdfinance_v4_2!K38,householdfinance_v4_1!K38),0),"NA")</f>
        <v>1</v>
      </c>
      <c r="L38">
        <f>IF($D38=1,ROUND(SUM(householdfinance_v4_5!L38,householdfinance_v4_4!L38,householdfinance_v4_3!L38,householdfinance_v4_2!L38,householdfinance_v4_1!L38)/COUNT(householdfinance_v4_5!L38,householdfinance_v4_4!L38,householdfinance_v4_3!L38,householdfinance_v4_2!L38,householdfinance_v4_1!L38),0),"NA")</f>
        <v>1</v>
      </c>
      <c r="M38">
        <f>IF($D38=1,ROUND(SUM(householdfinance_v4_5!M38,householdfinance_v4_4!M38,householdfinance_v4_3!M38,householdfinance_v4_2!M38,householdfinance_v4_1!M38)/COUNT(householdfinance_v4_5!M38,householdfinance_v4_4!M38,householdfinance_v4_3!M38,householdfinance_v4_2!M38,householdfinance_v4_1!M38),0),"NA")</f>
        <v>1</v>
      </c>
      <c r="N38">
        <f>IF($D38=1,ROUND(SUM(householdfinance_v4_5!N38,householdfinance_v4_4!N38,householdfinance_v4_3!N38,householdfinance_v4_2!N38,householdfinance_v4_1!N38)/COUNT(householdfinance_v4_5!N38,householdfinance_v4_4!N38,householdfinance_v4_3!N38,householdfinance_v4_2!N38,householdfinance_v4_1!N38),0),"NA")</f>
        <v>1</v>
      </c>
      <c r="O38">
        <v>1.853434085845947</v>
      </c>
    </row>
    <row r="39" spans="1:15" x14ac:dyDescent="0.25">
      <c r="A39" t="s">
        <v>17</v>
      </c>
      <c r="B39" t="s">
        <v>69</v>
      </c>
      <c r="C39">
        <v>0</v>
      </c>
      <c r="D39">
        <f>ROUND(SUM(householdfinance_v4_5!D39,householdfinance_v4_4!D39,householdfinance_v4_3!D39,householdfinance_v4_2!D39,householdfinance_v4_1!D39)/COUNT(householdfinance_v4_5!D39,householdfinance_v4_4!D39,householdfinance_v4_3!D39,householdfinance_v4_2!D39,householdfinance_v4_1!D39),0)</f>
        <v>1</v>
      </c>
      <c r="E39">
        <f>IF($D39=1,ROUND(SUM(householdfinance_v4_5!E39,householdfinance_v4_4!E39,householdfinance_v4_3!E39,householdfinance_v4_2!E39,householdfinance_v4_1!E39)/COUNT(householdfinance_v4_5!E39,householdfinance_v4_4!E39,householdfinance_v4_3!E39,householdfinance_v4_2!E39,householdfinance_v4_1!E39),0),"NA")</f>
        <v>0</v>
      </c>
      <c r="F39">
        <f>IF($D39=1,ROUND(SUM(householdfinance_v4_5!F39,householdfinance_v4_4!F39,householdfinance_v4_3!F39,householdfinance_v4_2!F39,householdfinance_v4_1!F39)/COUNT(householdfinance_v4_5!F39,householdfinance_v4_4!F39,householdfinance_v4_3!F39,householdfinance_v4_2!F39,householdfinance_v4_1!F39),0),"NA")</f>
        <v>1</v>
      </c>
      <c r="G39">
        <f>IF($D39=1,ROUND(SUM(householdfinance_v4_5!G39,householdfinance_v4_4!G39,householdfinance_v4_3!G39,householdfinance_v4_2!G39,householdfinance_v4_1!G39)/COUNT(householdfinance_v4_5!G39,householdfinance_v4_4!G39,householdfinance_v4_3!G39,householdfinance_v4_2!G39,householdfinance_v4_1!G39),0),"NA")</f>
        <v>0</v>
      </c>
      <c r="H39" t="str">
        <f>IF($E39=1,ROUND(SUM(householdfinance_v4_5!H39,householdfinance_v4_4!H39,householdfinance_v4_3!H39,householdfinance_v4_2!H39,householdfinance_v4_1!H39)/COUNT(householdfinance_v4_5!H39,householdfinance_v4_4!H39,householdfinance_v4_3!H39,householdfinance_v4_2!H39,householdfinance_v4_1!H39),0),"NA")</f>
        <v>NA</v>
      </c>
      <c r="I39">
        <f>IF($D39=1,ROUND(SUM(householdfinance_v4_5!I39,householdfinance_v4_4!I39,householdfinance_v4_3!I39,householdfinance_v4_2!I39,householdfinance_v4_1!I39)/COUNT(householdfinance_v4_5!I39,householdfinance_v4_4!I39,householdfinance_v4_3!I39,householdfinance_v4_2!I39,householdfinance_v4_1!I39),0),"NA")</f>
        <v>1</v>
      </c>
      <c r="J39" t="str">
        <f>IF(AND($E39=1,$F39=1),ROUND(SUM(householdfinance_v4_5!J39,householdfinance_v4_4!J39,householdfinance_v4_3!J39,householdfinance_v4_2!J39,householdfinance_v4_1!J39)/COUNT(householdfinance_v4_5!J39,householdfinance_v4_4!J39,householdfinance_v4_3!J39,householdfinance_v4_2!J39,householdfinance_v4_1!J39),0),"NA")</f>
        <v>NA</v>
      </c>
      <c r="K39">
        <f>IF($D39=1,ROUND(SUM(householdfinance_v4_5!K39,householdfinance_v4_4!K39,householdfinance_v4_3!K39,householdfinance_v4_2!K39,householdfinance_v4_1!K39)/COUNT(householdfinance_v4_5!K39,householdfinance_v4_4!K39,householdfinance_v4_3!K39,householdfinance_v4_2!K39,householdfinance_v4_1!K39),0),"NA")</f>
        <v>1</v>
      </c>
      <c r="L39">
        <f>IF($D39=1,ROUND(SUM(householdfinance_v4_5!L39,householdfinance_v4_4!L39,householdfinance_v4_3!L39,householdfinance_v4_2!L39,householdfinance_v4_1!L39)/COUNT(householdfinance_v4_5!L39,householdfinance_v4_4!L39,householdfinance_v4_3!L39,householdfinance_v4_2!L39,householdfinance_v4_1!L39),0),"NA")</f>
        <v>1</v>
      </c>
      <c r="M39">
        <f>IF($D39=1,ROUND(SUM(householdfinance_v4_5!M39,householdfinance_v4_4!M39,householdfinance_v4_3!M39,householdfinance_v4_2!M39,householdfinance_v4_1!M39)/COUNT(householdfinance_v4_5!M39,householdfinance_v4_4!M39,householdfinance_v4_3!M39,householdfinance_v4_2!M39,householdfinance_v4_1!M39),0),"NA")</f>
        <v>1</v>
      </c>
      <c r="N39">
        <f>IF($D39=1,ROUND(SUM(householdfinance_v4_5!N39,householdfinance_v4_4!N39,householdfinance_v4_3!N39,householdfinance_v4_2!N39,householdfinance_v4_1!N39)/COUNT(householdfinance_v4_5!N39,householdfinance_v4_4!N39,householdfinance_v4_3!N39,householdfinance_v4_2!N39,householdfinance_v4_1!N39),0),"NA")</f>
        <v>1</v>
      </c>
      <c r="O39">
        <v>2.5971488952636719</v>
      </c>
    </row>
    <row r="40" spans="1:15" x14ac:dyDescent="0.25">
      <c r="A40" t="s">
        <v>17</v>
      </c>
      <c r="B40" t="s">
        <v>71</v>
      </c>
      <c r="C40">
        <v>0</v>
      </c>
      <c r="D40">
        <f>ROUND(SUM(householdfinance_v4_5!D40,householdfinance_v4_4!D40,householdfinance_v4_3!D40,householdfinance_v4_2!D40,householdfinance_v4_1!D40)/COUNT(householdfinance_v4_5!D40,householdfinance_v4_4!D40,householdfinance_v4_3!D40,householdfinance_v4_2!D40,householdfinance_v4_1!D40),0)</f>
        <v>1</v>
      </c>
      <c r="E40">
        <f>IF($D40=1,ROUND(SUM(householdfinance_v4_5!E40,householdfinance_v4_4!E40,householdfinance_v4_3!E40,householdfinance_v4_2!E40,householdfinance_v4_1!E40)/COUNT(householdfinance_v4_5!E40,householdfinance_v4_4!E40,householdfinance_v4_3!E40,householdfinance_v4_2!E40,householdfinance_v4_1!E40),0),"NA")</f>
        <v>0</v>
      </c>
      <c r="F40">
        <f>IF($D40=1,ROUND(SUM(householdfinance_v4_5!F40,householdfinance_v4_4!F40,householdfinance_v4_3!F40,householdfinance_v4_2!F40,householdfinance_v4_1!F40)/COUNT(householdfinance_v4_5!F40,householdfinance_v4_4!F40,householdfinance_v4_3!F40,householdfinance_v4_2!F40,householdfinance_v4_1!F40),0),"NA")</f>
        <v>0</v>
      </c>
      <c r="G40">
        <f>IF($D40=1,ROUND(SUM(householdfinance_v4_5!G40,householdfinance_v4_4!G40,householdfinance_v4_3!G40,householdfinance_v4_2!G40,householdfinance_v4_1!G40)/COUNT(householdfinance_v4_5!G40,householdfinance_v4_4!G40,householdfinance_v4_3!G40,householdfinance_v4_2!G40,householdfinance_v4_1!G40),0),"NA")</f>
        <v>1</v>
      </c>
      <c r="H40" t="str">
        <f>IF($E40=1,ROUND(SUM(householdfinance_v4_5!H40,householdfinance_v4_4!H40,householdfinance_v4_3!H40,householdfinance_v4_2!H40,householdfinance_v4_1!H40)/COUNT(householdfinance_v4_5!H40,householdfinance_v4_4!H40,householdfinance_v4_3!H40,householdfinance_v4_2!H40,householdfinance_v4_1!H40),0),"NA")</f>
        <v>NA</v>
      </c>
      <c r="I40">
        <f>IF($D40=1,ROUND(SUM(householdfinance_v4_5!I40,householdfinance_v4_4!I40,householdfinance_v4_3!I40,householdfinance_v4_2!I40,householdfinance_v4_1!I40)/COUNT(householdfinance_v4_5!I40,householdfinance_v4_4!I40,householdfinance_v4_3!I40,householdfinance_v4_2!I40,householdfinance_v4_1!I40),0),"NA")</f>
        <v>1</v>
      </c>
      <c r="J40" t="str">
        <f>IF(AND($E40=1,$F40=1),ROUND(SUM(householdfinance_v4_5!J40,householdfinance_v4_4!J40,householdfinance_v4_3!J40,householdfinance_v4_2!J40,householdfinance_v4_1!J40)/COUNT(householdfinance_v4_5!J40,householdfinance_v4_4!J40,householdfinance_v4_3!J40,householdfinance_v4_2!J40,householdfinance_v4_1!J40),0),"NA")</f>
        <v>NA</v>
      </c>
      <c r="K40">
        <f>IF($D40=1,ROUND(SUM(householdfinance_v4_5!K40,householdfinance_v4_4!K40,householdfinance_v4_3!K40,householdfinance_v4_2!K40,householdfinance_v4_1!K40)/COUNT(householdfinance_v4_5!K40,householdfinance_v4_4!K40,householdfinance_v4_3!K40,householdfinance_v4_2!K40,householdfinance_v4_1!K40),0),"NA")</f>
        <v>1</v>
      </c>
      <c r="L40">
        <f>IF($D40=1,ROUND(SUM(householdfinance_v4_5!L40,householdfinance_v4_4!L40,householdfinance_v4_3!L40,householdfinance_v4_2!L40,householdfinance_v4_1!L40)/COUNT(householdfinance_v4_5!L40,householdfinance_v4_4!L40,householdfinance_v4_3!L40,householdfinance_v4_2!L40,householdfinance_v4_1!L40),0),"NA")</f>
        <v>1</v>
      </c>
      <c r="M40">
        <f>IF($D40=1,ROUND(SUM(householdfinance_v4_5!M40,householdfinance_v4_4!M40,householdfinance_v4_3!M40,householdfinance_v4_2!M40,householdfinance_v4_1!M40)/COUNT(householdfinance_v4_5!M40,householdfinance_v4_4!M40,householdfinance_v4_3!M40,householdfinance_v4_2!M40,householdfinance_v4_1!M40),0),"NA")</f>
        <v>1</v>
      </c>
      <c r="N40">
        <f>IF($D40=1,ROUND(SUM(householdfinance_v4_5!N40,householdfinance_v4_4!N40,householdfinance_v4_3!N40,householdfinance_v4_2!N40,householdfinance_v4_1!N40)/COUNT(householdfinance_v4_5!N40,householdfinance_v4_4!N40,householdfinance_v4_3!N40,householdfinance_v4_2!N40,householdfinance_v4_1!N40),0),"NA")</f>
        <v>1</v>
      </c>
      <c r="O40">
        <v>2.4320845603942871</v>
      </c>
    </row>
    <row r="41" spans="1:15" x14ac:dyDescent="0.25">
      <c r="A41" t="s">
        <v>17</v>
      </c>
      <c r="B41" t="s">
        <v>73</v>
      </c>
      <c r="C41">
        <v>0</v>
      </c>
      <c r="D41">
        <f>ROUND(SUM(householdfinance_v4_5!D41,householdfinance_v4_4!D41,householdfinance_v4_3!D41,householdfinance_v4_2!D41,householdfinance_v4_1!D41)/COUNT(householdfinance_v4_5!D41,householdfinance_v4_4!D41,householdfinance_v4_3!D41,householdfinance_v4_2!D41,householdfinance_v4_1!D41),0)</f>
        <v>1</v>
      </c>
      <c r="E41">
        <f>IF($D41=1,ROUND(SUM(householdfinance_v4_5!E41,householdfinance_v4_4!E41,householdfinance_v4_3!E41,householdfinance_v4_2!E41,householdfinance_v4_1!E41)/COUNT(householdfinance_v4_5!E41,householdfinance_v4_4!E41,householdfinance_v4_3!E41,householdfinance_v4_2!E41,householdfinance_v4_1!E41),0),"NA")</f>
        <v>0</v>
      </c>
      <c r="F41">
        <f>IF($D41=1,ROUND(SUM(householdfinance_v4_5!F41,householdfinance_v4_4!F41,householdfinance_v4_3!F41,householdfinance_v4_2!F41,householdfinance_v4_1!F41)/COUNT(householdfinance_v4_5!F41,householdfinance_v4_4!F41,householdfinance_v4_3!F41,householdfinance_v4_2!F41,householdfinance_v4_1!F41),0),"NA")</f>
        <v>1</v>
      </c>
      <c r="G41">
        <f>IF($D41=1,ROUND(SUM(householdfinance_v4_5!G41,householdfinance_v4_4!G41,householdfinance_v4_3!G41,householdfinance_v4_2!G41,householdfinance_v4_1!G41)/COUNT(householdfinance_v4_5!G41,householdfinance_v4_4!G41,householdfinance_v4_3!G41,householdfinance_v4_2!G41,householdfinance_v4_1!G41),0),"NA")</f>
        <v>1</v>
      </c>
      <c r="H41" t="str">
        <f>IF($E41=1,ROUND(SUM(householdfinance_v4_5!H41,householdfinance_v4_4!H41,householdfinance_v4_3!H41,householdfinance_v4_2!H41,householdfinance_v4_1!H41)/COUNT(householdfinance_v4_5!H41,householdfinance_v4_4!H41,householdfinance_v4_3!H41,householdfinance_v4_2!H41,householdfinance_v4_1!H41),0),"NA")</f>
        <v>NA</v>
      </c>
      <c r="I41">
        <f>IF($D41=1,ROUND(SUM(householdfinance_v4_5!I41,householdfinance_v4_4!I41,householdfinance_v4_3!I41,householdfinance_v4_2!I41,householdfinance_v4_1!I41)/COUNT(householdfinance_v4_5!I41,householdfinance_v4_4!I41,householdfinance_v4_3!I41,householdfinance_v4_2!I41,householdfinance_v4_1!I41),0),"NA")</f>
        <v>1</v>
      </c>
      <c r="J41" t="str">
        <f>IF(AND($E41=1,$F41=1),ROUND(SUM(householdfinance_v4_5!J41,householdfinance_v4_4!J41,householdfinance_v4_3!J41,householdfinance_v4_2!J41,householdfinance_v4_1!J41)/COUNT(householdfinance_v4_5!J41,householdfinance_v4_4!J41,householdfinance_v4_3!J41,householdfinance_v4_2!J41,householdfinance_v4_1!J41),0),"NA")</f>
        <v>NA</v>
      </c>
      <c r="K41">
        <f>IF($D41=1,ROUND(SUM(householdfinance_v4_5!K41,householdfinance_v4_4!K41,householdfinance_v4_3!K41,householdfinance_v4_2!K41,householdfinance_v4_1!K41)/COUNT(householdfinance_v4_5!K41,householdfinance_v4_4!K41,householdfinance_v4_3!K41,householdfinance_v4_2!K41,householdfinance_v4_1!K41),0),"NA")</f>
        <v>1</v>
      </c>
      <c r="L41">
        <f>IF($D41=1,ROUND(SUM(householdfinance_v4_5!L41,householdfinance_v4_4!L41,householdfinance_v4_3!L41,householdfinance_v4_2!L41,householdfinance_v4_1!L41)/COUNT(householdfinance_v4_5!L41,householdfinance_v4_4!L41,householdfinance_v4_3!L41,householdfinance_v4_2!L41,householdfinance_v4_1!L41),0),"NA")</f>
        <v>1</v>
      </c>
      <c r="M41">
        <f>IF($D41=1,ROUND(SUM(householdfinance_v4_5!M41,householdfinance_v4_4!M41,householdfinance_v4_3!M41,householdfinance_v4_2!M41,householdfinance_v4_1!M41)/COUNT(householdfinance_v4_5!M41,householdfinance_v4_4!M41,householdfinance_v4_3!M41,householdfinance_v4_2!M41,householdfinance_v4_1!M41),0),"NA")</f>
        <v>1</v>
      </c>
      <c r="N41">
        <f>IF($D41=1,ROUND(SUM(householdfinance_v4_5!N41,householdfinance_v4_4!N41,householdfinance_v4_3!N41,householdfinance_v4_2!N41,householdfinance_v4_1!N41)/COUNT(householdfinance_v4_5!N41,householdfinance_v4_4!N41,householdfinance_v4_3!N41,householdfinance_v4_2!N41,householdfinance_v4_1!N41),0),"NA")</f>
        <v>1</v>
      </c>
      <c r="O41">
        <v>2.771593332290649</v>
      </c>
    </row>
    <row r="42" spans="1:15" x14ac:dyDescent="0.25">
      <c r="A42" t="s">
        <v>17</v>
      </c>
      <c r="B42" t="s">
        <v>75</v>
      </c>
      <c r="C42">
        <v>0</v>
      </c>
      <c r="D42">
        <f>ROUND(SUM(householdfinance_v4_5!D42,householdfinance_v4_4!D42,householdfinance_v4_3!D42,householdfinance_v4_2!D42,householdfinance_v4_1!D42)/COUNT(householdfinance_v4_5!D42,householdfinance_v4_4!D42,householdfinance_v4_3!D42,householdfinance_v4_2!D42,householdfinance_v4_1!D42),0)</f>
        <v>1</v>
      </c>
      <c r="E42">
        <f>IF($D42=1,ROUND(SUM(householdfinance_v4_5!E42,householdfinance_v4_4!E42,householdfinance_v4_3!E42,householdfinance_v4_2!E42,householdfinance_v4_1!E42)/COUNT(householdfinance_v4_5!E42,householdfinance_v4_4!E42,householdfinance_v4_3!E42,householdfinance_v4_2!E42,householdfinance_v4_1!E42),0),"NA")</f>
        <v>1</v>
      </c>
      <c r="F42">
        <f>IF($D42=1,ROUND(SUM(householdfinance_v4_5!F42,householdfinance_v4_4!F42,householdfinance_v4_3!F42,householdfinance_v4_2!F42,householdfinance_v4_1!F42)/COUNT(householdfinance_v4_5!F42,householdfinance_v4_4!F42,householdfinance_v4_3!F42,householdfinance_v4_2!F42,householdfinance_v4_1!F42),0),"NA")</f>
        <v>0</v>
      </c>
      <c r="G42">
        <f>IF($D42=1,ROUND(SUM(householdfinance_v4_5!G42,householdfinance_v4_4!G42,householdfinance_v4_3!G42,householdfinance_v4_2!G42,householdfinance_v4_1!G42)/COUNT(householdfinance_v4_5!G42,householdfinance_v4_4!G42,householdfinance_v4_3!G42,householdfinance_v4_2!G42,householdfinance_v4_1!G42),0),"NA")</f>
        <v>1</v>
      </c>
      <c r="H42">
        <f>IF($E42=1,ROUND(SUM(householdfinance_v4_5!H42,householdfinance_v4_4!H42,householdfinance_v4_3!H42,householdfinance_v4_2!H42,householdfinance_v4_1!H42)/COUNT(householdfinance_v4_5!H42,householdfinance_v4_4!H42,householdfinance_v4_3!H42,householdfinance_v4_2!H42,householdfinance_v4_1!H42),0),"NA")</f>
        <v>1</v>
      </c>
      <c r="I42">
        <f>IF($D42=1,ROUND(SUM(householdfinance_v4_5!I42,householdfinance_v4_4!I42,householdfinance_v4_3!I42,householdfinance_v4_2!I42,householdfinance_v4_1!I42)/COUNT(householdfinance_v4_5!I42,householdfinance_v4_4!I42,householdfinance_v4_3!I42,householdfinance_v4_2!I42,householdfinance_v4_1!I42),0),"NA")</f>
        <v>1</v>
      </c>
      <c r="J42" t="str">
        <f>IF(AND($E42=1,$F42=1),ROUND(SUM(householdfinance_v4_5!J42,householdfinance_v4_4!J42,householdfinance_v4_3!J42,householdfinance_v4_2!J42,householdfinance_v4_1!J42)/COUNT(householdfinance_v4_5!J42,householdfinance_v4_4!J42,householdfinance_v4_3!J42,householdfinance_v4_2!J42,householdfinance_v4_1!J42),0),"NA")</f>
        <v>NA</v>
      </c>
      <c r="K42">
        <f>IF($D42=1,ROUND(SUM(householdfinance_v4_5!K42,householdfinance_v4_4!K42,householdfinance_v4_3!K42,householdfinance_v4_2!K42,householdfinance_v4_1!K42)/COUNT(householdfinance_v4_5!K42,householdfinance_v4_4!K42,householdfinance_v4_3!K42,householdfinance_v4_2!K42,householdfinance_v4_1!K42),0),"NA")</f>
        <v>1</v>
      </c>
      <c r="L42">
        <f>IF($D42=1,ROUND(SUM(householdfinance_v4_5!L42,householdfinance_v4_4!L42,householdfinance_v4_3!L42,householdfinance_v4_2!L42,householdfinance_v4_1!L42)/COUNT(householdfinance_v4_5!L42,householdfinance_v4_4!L42,householdfinance_v4_3!L42,householdfinance_v4_2!L42,householdfinance_v4_1!L42),0),"NA")</f>
        <v>1</v>
      </c>
      <c r="M42">
        <f>IF($D42=1,ROUND(SUM(householdfinance_v4_5!M42,householdfinance_v4_4!M42,householdfinance_v4_3!M42,householdfinance_v4_2!M42,householdfinance_v4_1!M42)/COUNT(householdfinance_v4_5!M42,householdfinance_v4_4!M42,householdfinance_v4_3!M42,householdfinance_v4_2!M42,householdfinance_v4_1!M42),0),"NA")</f>
        <v>1</v>
      </c>
      <c r="N42">
        <f>IF($D42=1,ROUND(SUM(householdfinance_v4_5!N42,householdfinance_v4_4!N42,householdfinance_v4_3!N42,householdfinance_v4_2!N42,householdfinance_v4_1!N42)/COUNT(householdfinance_v4_5!N42,householdfinance_v4_4!N42,householdfinance_v4_3!N42,householdfinance_v4_2!N42,householdfinance_v4_1!N42),0),"NA")</f>
        <v>1</v>
      </c>
      <c r="O42">
        <v>3.0719809532165532</v>
      </c>
    </row>
    <row r="43" spans="1:15" x14ac:dyDescent="0.25">
      <c r="A43" t="s">
        <v>17</v>
      </c>
      <c r="B43" t="s">
        <v>77</v>
      </c>
      <c r="C43">
        <v>0</v>
      </c>
      <c r="D43">
        <f>ROUND(SUM(householdfinance_v4_5!D43,householdfinance_v4_4!D43,householdfinance_v4_3!D43,householdfinance_v4_2!D43,householdfinance_v4_1!D43)/COUNT(householdfinance_v4_5!D43,householdfinance_v4_4!D43,householdfinance_v4_3!D43,householdfinance_v4_2!D43,householdfinance_v4_1!D43),0)</f>
        <v>1</v>
      </c>
      <c r="E43">
        <f>IF($D43=1,ROUND(SUM(householdfinance_v4_5!E43,householdfinance_v4_4!E43,householdfinance_v4_3!E43,householdfinance_v4_2!E43,householdfinance_v4_1!E43)/COUNT(householdfinance_v4_5!E43,householdfinance_v4_4!E43,householdfinance_v4_3!E43,householdfinance_v4_2!E43,householdfinance_v4_1!E43),0),"NA")</f>
        <v>1</v>
      </c>
      <c r="F43">
        <f>IF($D43=1,ROUND(SUM(householdfinance_v4_5!F43,householdfinance_v4_4!F43,householdfinance_v4_3!F43,householdfinance_v4_2!F43,householdfinance_v4_1!F43)/COUNT(householdfinance_v4_5!F43,householdfinance_v4_4!F43,householdfinance_v4_3!F43,householdfinance_v4_2!F43,householdfinance_v4_1!F43),0),"NA")</f>
        <v>1</v>
      </c>
      <c r="G43">
        <f>IF($D43=1,ROUND(SUM(householdfinance_v4_5!G43,householdfinance_v4_4!G43,householdfinance_v4_3!G43,householdfinance_v4_2!G43,householdfinance_v4_1!G43)/COUNT(householdfinance_v4_5!G43,householdfinance_v4_4!G43,householdfinance_v4_3!G43,householdfinance_v4_2!G43,householdfinance_v4_1!G43),0),"NA")</f>
        <v>1</v>
      </c>
      <c r="H43">
        <f>IF($E43=1,ROUND(SUM(householdfinance_v4_5!H43,householdfinance_v4_4!H43,householdfinance_v4_3!H43,householdfinance_v4_2!H43,householdfinance_v4_1!H43)/COUNT(householdfinance_v4_5!H43,householdfinance_v4_4!H43,householdfinance_v4_3!H43,householdfinance_v4_2!H43,householdfinance_v4_1!H43),0),"NA")</f>
        <v>1</v>
      </c>
      <c r="I43">
        <f>IF($D43=1,ROUND(SUM(householdfinance_v4_5!I43,householdfinance_v4_4!I43,householdfinance_v4_3!I43,householdfinance_v4_2!I43,householdfinance_v4_1!I43)/COUNT(householdfinance_v4_5!I43,householdfinance_v4_4!I43,householdfinance_v4_3!I43,householdfinance_v4_2!I43,householdfinance_v4_1!I43),0),"NA")</f>
        <v>1</v>
      </c>
      <c r="J43">
        <f>IF(AND($E43=1,$F43=1),ROUND(SUM(householdfinance_v4_5!J43,householdfinance_v4_4!J43,householdfinance_v4_3!J43,householdfinance_v4_2!J43,householdfinance_v4_1!J43)/COUNT(householdfinance_v4_5!J43,householdfinance_v4_4!J43,householdfinance_v4_3!J43,householdfinance_v4_2!J43,householdfinance_v4_1!J43),0),"NA")</f>
        <v>1</v>
      </c>
      <c r="K43">
        <f>IF($D43=1,ROUND(SUM(householdfinance_v4_5!K43,householdfinance_v4_4!K43,householdfinance_v4_3!K43,householdfinance_v4_2!K43,householdfinance_v4_1!K43)/COUNT(householdfinance_v4_5!K43,householdfinance_v4_4!K43,householdfinance_v4_3!K43,householdfinance_v4_2!K43,householdfinance_v4_1!K43),0),"NA")</f>
        <v>1</v>
      </c>
      <c r="L43">
        <f>IF($D43=1,ROUND(SUM(householdfinance_v4_5!L43,householdfinance_v4_4!L43,householdfinance_v4_3!L43,householdfinance_v4_2!L43,householdfinance_v4_1!L43)/COUNT(householdfinance_v4_5!L43,householdfinance_v4_4!L43,householdfinance_v4_3!L43,householdfinance_v4_2!L43,householdfinance_v4_1!L43),0),"NA")</f>
        <v>1</v>
      </c>
      <c r="M43">
        <f>IF($D43=1,ROUND(SUM(householdfinance_v4_5!M43,householdfinance_v4_4!M43,householdfinance_v4_3!M43,householdfinance_v4_2!M43,householdfinance_v4_1!M43)/COUNT(householdfinance_v4_5!M43,householdfinance_v4_4!M43,householdfinance_v4_3!M43,householdfinance_v4_2!M43,householdfinance_v4_1!M43),0),"NA")</f>
        <v>1</v>
      </c>
      <c r="N43">
        <f>IF($D43=1,ROUND(SUM(householdfinance_v4_5!N43,householdfinance_v4_4!N43,householdfinance_v4_3!N43,householdfinance_v4_2!N43,householdfinance_v4_1!N43)/COUNT(householdfinance_v4_5!N43,householdfinance_v4_4!N43,householdfinance_v4_3!N43,householdfinance_v4_2!N43,householdfinance_v4_1!N43),0),"NA")</f>
        <v>1</v>
      </c>
      <c r="O43">
        <v>1.546859502792358</v>
      </c>
    </row>
    <row r="44" spans="1:15" x14ac:dyDescent="0.25">
      <c r="A44" t="s">
        <v>17</v>
      </c>
      <c r="B44" t="s">
        <v>78</v>
      </c>
      <c r="C44">
        <v>0</v>
      </c>
      <c r="D44">
        <f>ROUND(SUM(householdfinance_v4_5!D44,householdfinance_v4_4!D44,householdfinance_v4_3!D44,householdfinance_v4_2!D44,householdfinance_v4_1!D44)/COUNT(householdfinance_v4_5!D44,householdfinance_v4_4!D44,householdfinance_v4_3!D44,householdfinance_v4_2!D44,householdfinance_v4_1!D44),0)</f>
        <v>1</v>
      </c>
      <c r="E44">
        <f>IF($D44=1,ROUND(SUM(householdfinance_v4_5!E44,householdfinance_v4_4!E44,householdfinance_v4_3!E44,householdfinance_v4_2!E44,householdfinance_v4_1!E44)/COUNT(householdfinance_v4_5!E44,householdfinance_v4_4!E44,householdfinance_v4_3!E44,householdfinance_v4_2!E44,householdfinance_v4_1!E44),0),"NA")</f>
        <v>1</v>
      </c>
      <c r="F44">
        <f>IF($D44=1,ROUND(SUM(householdfinance_v4_5!F44,householdfinance_v4_4!F44,householdfinance_v4_3!F44,householdfinance_v4_2!F44,householdfinance_v4_1!F44)/COUNT(householdfinance_v4_5!F44,householdfinance_v4_4!F44,householdfinance_v4_3!F44,householdfinance_v4_2!F44,householdfinance_v4_1!F44),0),"NA")</f>
        <v>1</v>
      </c>
      <c r="G44">
        <f>IF($D44=1,ROUND(SUM(householdfinance_v4_5!G44,householdfinance_v4_4!G44,householdfinance_v4_3!G44,householdfinance_v4_2!G44,householdfinance_v4_1!G44)/COUNT(householdfinance_v4_5!G44,householdfinance_v4_4!G44,householdfinance_v4_3!G44,householdfinance_v4_2!G44,householdfinance_v4_1!G44),0),"NA")</f>
        <v>1</v>
      </c>
      <c r="H44">
        <f>IF($E44=1,ROUND(SUM(householdfinance_v4_5!H44,householdfinance_v4_4!H44,householdfinance_v4_3!H44,householdfinance_v4_2!H44,householdfinance_v4_1!H44)/COUNT(householdfinance_v4_5!H44,householdfinance_v4_4!H44,householdfinance_v4_3!H44,householdfinance_v4_2!H44,householdfinance_v4_1!H44),0),"NA")</f>
        <v>1</v>
      </c>
      <c r="I44">
        <f>IF($D44=1,ROUND(SUM(householdfinance_v4_5!I44,householdfinance_v4_4!I44,householdfinance_v4_3!I44,householdfinance_v4_2!I44,householdfinance_v4_1!I44)/COUNT(householdfinance_v4_5!I44,householdfinance_v4_4!I44,householdfinance_v4_3!I44,householdfinance_v4_2!I44,householdfinance_v4_1!I44),0),"NA")</f>
        <v>1</v>
      </c>
      <c r="J44">
        <f>IF(AND($E44=1,$F44=1),ROUND(SUM(householdfinance_v4_5!J44,householdfinance_v4_4!J44,householdfinance_v4_3!J44,householdfinance_v4_2!J44,householdfinance_v4_1!J44)/COUNT(householdfinance_v4_5!J44,householdfinance_v4_4!J44,householdfinance_v4_3!J44,householdfinance_v4_2!J44,householdfinance_v4_1!J44),0),"NA")</f>
        <v>1</v>
      </c>
      <c r="K44">
        <f>IF($D44=1,ROUND(SUM(householdfinance_v4_5!K44,householdfinance_v4_4!K44,householdfinance_v4_3!K44,householdfinance_v4_2!K44,householdfinance_v4_1!K44)/COUNT(householdfinance_v4_5!K44,householdfinance_v4_4!K44,householdfinance_v4_3!K44,householdfinance_v4_2!K44,householdfinance_v4_1!K44),0),"NA")</f>
        <v>1</v>
      </c>
      <c r="L44">
        <f>IF($D44=1,ROUND(SUM(householdfinance_v4_5!L44,householdfinance_v4_4!L44,householdfinance_v4_3!L44,householdfinance_v4_2!L44,householdfinance_v4_1!L44)/COUNT(householdfinance_v4_5!L44,householdfinance_v4_4!L44,householdfinance_v4_3!L44,householdfinance_v4_2!L44,householdfinance_v4_1!L44),0),"NA")</f>
        <v>1</v>
      </c>
      <c r="M44">
        <f>IF($D44=1,ROUND(SUM(householdfinance_v4_5!M44,householdfinance_v4_4!M44,householdfinance_v4_3!M44,householdfinance_v4_2!M44,householdfinance_v4_1!M44)/COUNT(householdfinance_v4_5!M44,householdfinance_v4_4!M44,householdfinance_v4_3!M44,householdfinance_v4_2!M44,householdfinance_v4_1!M44),0),"NA")</f>
        <v>1</v>
      </c>
      <c r="N44">
        <f>IF($D44=1,ROUND(SUM(householdfinance_v4_5!N44,householdfinance_v4_4!N44,householdfinance_v4_3!N44,householdfinance_v4_2!N44,householdfinance_v4_1!N44)/COUNT(householdfinance_v4_5!N44,householdfinance_v4_4!N44,householdfinance_v4_3!N44,householdfinance_v4_2!N44,householdfinance_v4_1!N44),0),"NA")</f>
        <v>1</v>
      </c>
      <c r="O44">
        <v>1.839620113372803</v>
      </c>
    </row>
    <row r="45" spans="1:15" x14ac:dyDescent="0.25">
      <c r="A45" t="s">
        <v>17</v>
      </c>
      <c r="B45" t="s">
        <v>79</v>
      </c>
      <c r="C45">
        <v>0</v>
      </c>
      <c r="D45">
        <f>ROUND(SUM(householdfinance_v4_5!D45,householdfinance_v4_4!D45,householdfinance_v4_3!D45,householdfinance_v4_2!D45,householdfinance_v4_1!D45)/COUNT(householdfinance_v4_5!D45,householdfinance_v4_4!D45,householdfinance_v4_3!D45,householdfinance_v4_2!D45,householdfinance_v4_1!D45),0)</f>
        <v>1</v>
      </c>
      <c r="E45">
        <f>IF($D45=1,ROUND(SUM(householdfinance_v4_5!E45,householdfinance_v4_4!E45,householdfinance_v4_3!E45,householdfinance_v4_2!E45,householdfinance_v4_1!E45)/COUNT(householdfinance_v4_5!E45,householdfinance_v4_4!E45,householdfinance_v4_3!E45,householdfinance_v4_2!E45,householdfinance_v4_1!E45),0),"NA")</f>
        <v>1</v>
      </c>
      <c r="F45">
        <f>IF($D45=1,ROUND(SUM(householdfinance_v4_5!F45,householdfinance_v4_4!F45,householdfinance_v4_3!F45,householdfinance_v4_2!F45,householdfinance_v4_1!F45)/COUNT(householdfinance_v4_5!F45,householdfinance_v4_4!F45,householdfinance_v4_3!F45,householdfinance_v4_2!F45,householdfinance_v4_1!F45),0),"NA")</f>
        <v>1</v>
      </c>
      <c r="G45">
        <f>IF($D45=1,ROUND(SUM(householdfinance_v4_5!G45,householdfinance_v4_4!G45,householdfinance_v4_3!G45,householdfinance_v4_2!G45,householdfinance_v4_1!G45)/COUNT(householdfinance_v4_5!G45,householdfinance_v4_4!G45,householdfinance_v4_3!G45,householdfinance_v4_2!G45,householdfinance_v4_1!G45),0),"NA")</f>
        <v>1</v>
      </c>
      <c r="H45">
        <f>IF($E45=1,ROUND(SUM(householdfinance_v4_5!H45,householdfinance_v4_4!H45,householdfinance_v4_3!H45,householdfinance_v4_2!H45,householdfinance_v4_1!H45)/COUNT(householdfinance_v4_5!H45,householdfinance_v4_4!H45,householdfinance_v4_3!H45,householdfinance_v4_2!H45,householdfinance_v4_1!H45),0),"NA")</f>
        <v>1</v>
      </c>
      <c r="I45">
        <f>IF($D45=1,ROUND(SUM(householdfinance_v4_5!I45,householdfinance_v4_4!I45,householdfinance_v4_3!I45,householdfinance_v4_2!I45,householdfinance_v4_1!I45)/COUNT(householdfinance_v4_5!I45,householdfinance_v4_4!I45,householdfinance_v4_3!I45,householdfinance_v4_2!I45,householdfinance_v4_1!I45),0),"NA")</f>
        <v>1</v>
      </c>
      <c r="J45">
        <f>IF(AND($E45=1,$F45=1),ROUND(SUM(householdfinance_v4_5!J45,householdfinance_v4_4!J45,householdfinance_v4_3!J45,householdfinance_v4_2!J45,householdfinance_v4_1!J45)/COUNT(householdfinance_v4_5!J45,householdfinance_v4_4!J45,householdfinance_v4_3!J45,householdfinance_v4_2!J45,householdfinance_v4_1!J45),0),"NA")</f>
        <v>1</v>
      </c>
      <c r="K45">
        <f>IF($D45=1,ROUND(SUM(householdfinance_v4_5!K45,householdfinance_v4_4!K45,householdfinance_v4_3!K45,householdfinance_v4_2!K45,householdfinance_v4_1!K45)/COUNT(householdfinance_v4_5!K45,householdfinance_v4_4!K45,householdfinance_v4_3!K45,householdfinance_v4_2!K45,householdfinance_v4_1!K45),0),"NA")</f>
        <v>1</v>
      </c>
      <c r="L45">
        <f>IF($D45=1,ROUND(SUM(householdfinance_v4_5!L45,householdfinance_v4_4!L45,householdfinance_v4_3!L45,householdfinance_v4_2!L45,householdfinance_v4_1!L45)/COUNT(householdfinance_v4_5!L45,householdfinance_v4_4!L45,householdfinance_v4_3!L45,householdfinance_v4_2!L45,householdfinance_v4_1!L45),0),"NA")</f>
        <v>1</v>
      </c>
      <c r="M45">
        <f>IF($D45=1,ROUND(SUM(householdfinance_v4_5!M45,householdfinance_v4_4!M45,householdfinance_v4_3!M45,householdfinance_v4_2!M45,householdfinance_v4_1!M45)/COUNT(householdfinance_v4_5!M45,householdfinance_v4_4!M45,householdfinance_v4_3!M45,householdfinance_v4_2!M45,householdfinance_v4_1!M45),0),"NA")</f>
        <v>1</v>
      </c>
      <c r="N45">
        <f>IF($D45=1,ROUND(SUM(householdfinance_v4_5!N45,householdfinance_v4_4!N45,householdfinance_v4_3!N45,householdfinance_v4_2!N45,householdfinance_v4_1!N45)/COUNT(householdfinance_v4_5!N45,householdfinance_v4_4!N45,householdfinance_v4_3!N45,householdfinance_v4_2!N45,householdfinance_v4_1!N45),0),"NA")</f>
        <v>1</v>
      </c>
      <c r="O45">
        <v>1.9395127296447749</v>
      </c>
    </row>
    <row r="46" spans="1:15" x14ac:dyDescent="0.25">
      <c r="A46" t="s">
        <v>17</v>
      </c>
      <c r="B46" t="s">
        <v>80</v>
      </c>
      <c r="C46">
        <v>0</v>
      </c>
      <c r="D46">
        <f>ROUND(SUM(householdfinance_v4_5!D46,householdfinance_v4_4!D46,householdfinance_v4_3!D46,householdfinance_v4_2!D46,householdfinance_v4_1!D46)/COUNT(householdfinance_v4_5!D46,householdfinance_v4_4!D46,householdfinance_v4_3!D46,householdfinance_v4_2!D46,householdfinance_v4_1!D46),0)</f>
        <v>1</v>
      </c>
      <c r="E46">
        <f>IF($D46=1,ROUND(SUM(householdfinance_v4_5!E46,householdfinance_v4_4!E46,householdfinance_v4_3!E46,householdfinance_v4_2!E46,householdfinance_v4_1!E46)/COUNT(householdfinance_v4_5!E46,householdfinance_v4_4!E46,householdfinance_v4_3!E46,householdfinance_v4_2!E46,householdfinance_v4_1!E46),0),"NA")</f>
        <v>1</v>
      </c>
      <c r="F46">
        <f>IF($D46=1,ROUND(SUM(householdfinance_v4_5!F46,householdfinance_v4_4!F46,householdfinance_v4_3!F46,householdfinance_v4_2!F46,householdfinance_v4_1!F46)/COUNT(householdfinance_v4_5!F46,householdfinance_v4_4!F46,householdfinance_v4_3!F46,householdfinance_v4_2!F46,householdfinance_v4_1!F46),0),"NA")</f>
        <v>1</v>
      </c>
      <c r="G46">
        <f>IF($D46=1,ROUND(SUM(householdfinance_v4_5!G46,householdfinance_v4_4!G46,householdfinance_v4_3!G46,householdfinance_v4_2!G46,householdfinance_v4_1!G46)/COUNT(householdfinance_v4_5!G46,householdfinance_v4_4!G46,householdfinance_v4_3!G46,householdfinance_v4_2!G46,householdfinance_v4_1!G46),0),"NA")</f>
        <v>1</v>
      </c>
      <c r="H46">
        <f>IF($E46=1,ROUND(SUM(householdfinance_v4_5!H46,householdfinance_v4_4!H46,householdfinance_v4_3!H46,householdfinance_v4_2!H46,householdfinance_v4_1!H46)/COUNT(householdfinance_v4_5!H46,householdfinance_v4_4!H46,householdfinance_v4_3!H46,householdfinance_v4_2!H46,householdfinance_v4_1!H46),0),"NA")</f>
        <v>1</v>
      </c>
      <c r="I46">
        <f>IF($D46=1,ROUND(SUM(householdfinance_v4_5!I46,householdfinance_v4_4!I46,householdfinance_v4_3!I46,householdfinance_v4_2!I46,householdfinance_v4_1!I46)/COUNT(householdfinance_v4_5!I46,householdfinance_v4_4!I46,householdfinance_v4_3!I46,householdfinance_v4_2!I46,householdfinance_v4_1!I46),0),"NA")</f>
        <v>1</v>
      </c>
      <c r="J46">
        <f>IF(AND($E46=1,$F46=1),ROUND(SUM(householdfinance_v4_5!J46,householdfinance_v4_4!J46,householdfinance_v4_3!J46,householdfinance_v4_2!J46,householdfinance_v4_1!J46)/COUNT(householdfinance_v4_5!J46,householdfinance_v4_4!J46,householdfinance_v4_3!J46,householdfinance_v4_2!J46,householdfinance_v4_1!J46),0),"NA")</f>
        <v>1</v>
      </c>
      <c r="K46">
        <f>IF($D46=1,ROUND(SUM(householdfinance_v4_5!K46,householdfinance_v4_4!K46,householdfinance_v4_3!K46,householdfinance_v4_2!K46,householdfinance_v4_1!K46)/COUNT(householdfinance_v4_5!K46,householdfinance_v4_4!K46,householdfinance_v4_3!K46,householdfinance_v4_2!K46,householdfinance_v4_1!K46),0),"NA")</f>
        <v>1</v>
      </c>
      <c r="L46">
        <f>IF($D46=1,ROUND(SUM(householdfinance_v4_5!L46,householdfinance_v4_4!L46,householdfinance_v4_3!L46,householdfinance_v4_2!L46,householdfinance_v4_1!L46)/COUNT(householdfinance_v4_5!L46,householdfinance_v4_4!L46,householdfinance_v4_3!L46,householdfinance_v4_2!L46,householdfinance_v4_1!L46),0),"NA")</f>
        <v>1</v>
      </c>
      <c r="M46">
        <f>IF($D46=1,ROUND(SUM(householdfinance_v4_5!M46,householdfinance_v4_4!M46,householdfinance_v4_3!M46,householdfinance_v4_2!M46,householdfinance_v4_1!M46)/COUNT(householdfinance_v4_5!M46,householdfinance_v4_4!M46,householdfinance_v4_3!M46,householdfinance_v4_2!M46,householdfinance_v4_1!M46),0),"NA")</f>
        <v>1</v>
      </c>
      <c r="N46">
        <f>IF($D46=1,ROUND(SUM(householdfinance_v4_5!N46,householdfinance_v4_4!N46,householdfinance_v4_3!N46,householdfinance_v4_2!N46,householdfinance_v4_1!N46)/COUNT(householdfinance_v4_5!N46,householdfinance_v4_4!N46,householdfinance_v4_3!N46,householdfinance_v4_2!N46,householdfinance_v4_1!N46),0),"NA")</f>
        <v>1</v>
      </c>
      <c r="O46">
        <v>1.104265451431274</v>
      </c>
    </row>
    <row r="47" spans="1:15" x14ac:dyDescent="0.25">
      <c r="A47" t="s">
        <v>17</v>
      </c>
      <c r="B47" t="s">
        <v>81</v>
      </c>
      <c r="C47">
        <v>0</v>
      </c>
      <c r="D47">
        <f>ROUND(SUM(householdfinance_v4_5!D47,householdfinance_v4_4!D47,householdfinance_v4_3!D47,householdfinance_v4_2!D47,householdfinance_v4_1!D47)/COUNT(householdfinance_v4_5!D47,householdfinance_v4_4!D47,householdfinance_v4_3!D47,householdfinance_v4_2!D47,householdfinance_v4_1!D47),0)</f>
        <v>1</v>
      </c>
      <c r="E47">
        <f>IF($D47=1,ROUND(SUM(householdfinance_v4_5!E47,householdfinance_v4_4!E47,householdfinance_v4_3!E47,householdfinance_v4_2!E47,householdfinance_v4_1!E47)/COUNT(householdfinance_v4_5!E47,householdfinance_v4_4!E47,householdfinance_v4_3!E47,householdfinance_v4_2!E47,householdfinance_v4_1!E47),0),"NA")</f>
        <v>1</v>
      </c>
      <c r="F47">
        <f>IF($D47=1,ROUND(SUM(householdfinance_v4_5!F47,householdfinance_v4_4!F47,householdfinance_v4_3!F47,householdfinance_v4_2!F47,householdfinance_v4_1!F47)/COUNT(householdfinance_v4_5!F47,householdfinance_v4_4!F47,householdfinance_v4_3!F47,householdfinance_v4_2!F47,householdfinance_v4_1!F47),0),"NA")</f>
        <v>1</v>
      </c>
      <c r="G47">
        <f>IF($D47=1,ROUND(SUM(householdfinance_v4_5!G47,householdfinance_v4_4!G47,householdfinance_v4_3!G47,householdfinance_v4_2!G47,householdfinance_v4_1!G47)/COUNT(householdfinance_v4_5!G47,householdfinance_v4_4!G47,householdfinance_v4_3!G47,householdfinance_v4_2!G47,householdfinance_v4_1!G47),0),"NA")</f>
        <v>1</v>
      </c>
      <c r="H47">
        <f>IF($E47=1,ROUND(SUM(householdfinance_v4_5!H47,householdfinance_v4_4!H47,householdfinance_v4_3!H47,householdfinance_v4_2!H47,householdfinance_v4_1!H47)/COUNT(householdfinance_v4_5!H47,householdfinance_v4_4!H47,householdfinance_v4_3!H47,householdfinance_v4_2!H47,householdfinance_v4_1!H47),0),"NA")</f>
        <v>1</v>
      </c>
      <c r="I47">
        <f>IF($D47=1,ROUND(SUM(householdfinance_v4_5!I47,householdfinance_v4_4!I47,householdfinance_v4_3!I47,householdfinance_v4_2!I47,householdfinance_v4_1!I47)/COUNT(householdfinance_v4_5!I47,householdfinance_v4_4!I47,householdfinance_v4_3!I47,householdfinance_v4_2!I47,householdfinance_v4_1!I47),0),"NA")</f>
        <v>1</v>
      </c>
      <c r="J47">
        <f>IF(AND($E47=1,$F47=1),ROUND(SUM(householdfinance_v4_5!J47,householdfinance_v4_4!J47,householdfinance_v4_3!J47,householdfinance_v4_2!J47,householdfinance_v4_1!J47)/COUNT(householdfinance_v4_5!J47,householdfinance_v4_4!J47,householdfinance_v4_3!J47,householdfinance_v4_2!J47,householdfinance_v4_1!J47),0),"NA")</f>
        <v>1</v>
      </c>
      <c r="K47">
        <f>IF($D47=1,ROUND(SUM(householdfinance_v4_5!K47,householdfinance_v4_4!K47,householdfinance_v4_3!K47,householdfinance_v4_2!K47,householdfinance_v4_1!K47)/COUNT(householdfinance_v4_5!K47,householdfinance_v4_4!K47,householdfinance_v4_3!K47,householdfinance_v4_2!K47,householdfinance_v4_1!K47),0),"NA")</f>
        <v>1</v>
      </c>
      <c r="L47">
        <f>IF($D47=1,ROUND(SUM(householdfinance_v4_5!L47,householdfinance_v4_4!L47,householdfinance_v4_3!L47,householdfinance_v4_2!L47,householdfinance_v4_1!L47)/COUNT(householdfinance_v4_5!L47,householdfinance_v4_4!L47,householdfinance_v4_3!L47,householdfinance_v4_2!L47,householdfinance_v4_1!L47),0),"NA")</f>
        <v>1</v>
      </c>
      <c r="M47">
        <f>IF($D47=1,ROUND(SUM(householdfinance_v4_5!M47,householdfinance_v4_4!M47,householdfinance_v4_3!M47,householdfinance_v4_2!M47,householdfinance_v4_1!M47)/COUNT(householdfinance_v4_5!M47,householdfinance_v4_4!M47,householdfinance_v4_3!M47,householdfinance_v4_2!M47,householdfinance_v4_1!M47),0),"NA")</f>
        <v>1</v>
      </c>
      <c r="N47">
        <f>IF($D47=1,ROUND(SUM(householdfinance_v4_5!N47,householdfinance_v4_4!N47,householdfinance_v4_3!N47,householdfinance_v4_2!N47,householdfinance_v4_1!N47)/COUNT(householdfinance_v4_5!N47,householdfinance_v4_4!N47,householdfinance_v4_3!N47,householdfinance_v4_2!N47,householdfinance_v4_1!N47),0),"NA")</f>
        <v>1</v>
      </c>
      <c r="O47">
        <v>1.137840270996094</v>
      </c>
    </row>
    <row r="48" spans="1:15" x14ac:dyDescent="0.25">
      <c r="A48" t="s">
        <v>17</v>
      </c>
      <c r="B48" t="s">
        <v>82</v>
      </c>
      <c r="C48">
        <v>0</v>
      </c>
      <c r="D48">
        <f>ROUND(SUM(householdfinance_v4_5!D48,householdfinance_v4_4!D48,householdfinance_v4_3!D48,householdfinance_v4_2!D48,householdfinance_v4_1!D48)/COUNT(householdfinance_v4_5!D48,householdfinance_v4_4!D48,householdfinance_v4_3!D48,householdfinance_v4_2!D48,householdfinance_v4_1!D48),0)</f>
        <v>1</v>
      </c>
      <c r="E48">
        <f>IF($D48=1,ROUND(SUM(householdfinance_v4_5!E48,householdfinance_v4_4!E48,householdfinance_v4_3!E48,householdfinance_v4_2!E48,householdfinance_v4_1!E48)/COUNT(householdfinance_v4_5!E48,householdfinance_v4_4!E48,householdfinance_v4_3!E48,householdfinance_v4_2!E48,householdfinance_v4_1!E48),0),"NA")</f>
        <v>1</v>
      </c>
      <c r="F48">
        <f>IF($D48=1,ROUND(SUM(householdfinance_v4_5!F48,householdfinance_v4_4!F48,householdfinance_v4_3!F48,householdfinance_v4_2!F48,householdfinance_v4_1!F48)/COUNT(householdfinance_v4_5!F48,householdfinance_v4_4!F48,householdfinance_v4_3!F48,householdfinance_v4_2!F48,householdfinance_v4_1!F48),0),"NA")</f>
        <v>1</v>
      </c>
      <c r="G48">
        <f>IF($D48=1,ROUND(SUM(householdfinance_v4_5!G48,householdfinance_v4_4!G48,householdfinance_v4_3!G48,householdfinance_v4_2!G48,householdfinance_v4_1!G48)/COUNT(householdfinance_v4_5!G48,householdfinance_v4_4!G48,householdfinance_v4_3!G48,householdfinance_v4_2!G48,householdfinance_v4_1!G48),0),"NA")</f>
        <v>1</v>
      </c>
      <c r="H48">
        <f>IF($E48=1,ROUND(SUM(householdfinance_v4_5!H48,householdfinance_v4_4!H48,householdfinance_v4_3!H48,householdfinance_v4_2!H48,householdfinance_v4_1!H48)/COUNT(householdfinance_v4_5!H48,householdfinance_v4_4!H48,householdfinance_v4_3!H48,householdfinance_v4_2!H48,householdfinance_v4_1!H48),0),"NA")</f>
        <v>1</v>
      </c>
      <c r="I48">
        <f>IF($D48=1,ROUND(SUM(householdfinance_v4_5!I48,householdfinance_v4_4!I48,householdfinance_v4_3!I48,householdfinance_v4_2!I48,householdfinance_v4_1!I48)/COUNT(householdfinance_v4_5!I48,householdfinance_v4_4!I48,householdfinance_v4_3!I48,householdfinance_v4_2!I48,householdfinance_v4_1!I48),0),"NA")</f>
        <v>1</v>
      </c>
      <c r="J48">
        <f>IF(AND($E48=1,$F48=1),ROUND(SUM(householdfinance_v4_5!J48,householdfinance_v4_4!J48,householdfinance_v4_3!J48,householdfinance_v4_2!J48,householdfinance_v4_1!J48)/COUNT(householdfinance_v4_5!J48,householdfinance_v4_4!J48,householdfinance_v4_3!J48,householdfinance_v4_2!J48,householdfinance_v4_1!J48),0),"NA")</f>
        <v>1</v>
      </c>
      <c r="K48">
        <f>IF($D48=1,ROUND(SUM(householdfinance_v4_5!K48,householdfinance_v4_4!K48,householdfinance_v4_3!K48,householdfinance_v4_2!K48,householdfinance_v4_1!K48)/COUNT(householdfinance_v4_5!K48,householdfinance_v4_4!K48,householdfinance_v4_3!K48,householdfinance_v4_2!K48,householdfinance_v4_1!K48),0),"NA")</f>
        <v>1</v>
      </c>
      <c r="L48">
        <f>IF($D48=1,ROUND(SUM(householdfinance_v4_5!L48,householdfinance_v4_4!L48,householdfinance_v4_3!L48,householdfinance_v4_2!L48,householdfinance_v4_1!L48)/COUNT(householdfinance_v4_5!L48,householdfinance_v4_4!L48,householdfinance_v4_3!L48,householdfinance_v4_2!L48,householdfinance_v4_1!L48),0),"NA")</f>
        <v>1</v>
      </c>
      <c r="M48">
        <f>IF($D48=1,ROUND(SUM(householdfinance_v4_5!M48,householdfinance_v4_4!M48,householdfinance_v4_3!M48,householdfinance_v4_2!M48,householdfinance_v4_1!M48)/COUNT(householdfinance_v4_5!M48,householdfinance_v4_4!M48,householdfinance_v4_3!M48,householdfinance_v4_2!M48,householdfinance_v4_1!M48),0),"NA")</f>
        <v>1</v>
      </c>
      <c r="N48">
        <f>IF($D48=1,ROUND(SUM(householdfinance_v4_5!N48,householdfinance_v4_4!N48,householdfinance_v4_3!N48,householdfinance_v4_2!N48,householdfinance_v4_1!N48)/COUNT(householdfinance_v4_5!N48,householdfinance_v4_4!N48,householdfinance_v4_3!N48,householdfinance_v4_2!N48,householdfinance_v4_1!N48),0),"NA")</f>
        <v>1</v>
      </c>
      <c r="O48">
        <v>1.870839595794678</v>
      </c>
    </row>
    <row r="49" spans="1:15" x14ac:dyDescent="0.25">
      <c r="A49" t="s">
        <v>17</v>
      </c>
      <c r="B49" t="s">
        <v>83</v>
      </c>
      <c r="C49">
        <v>0</v>
      </c>
      <c r="D49">
        <f>ROUND(SUM(householdfinance_v4_5!D49,householdfinance_v4_4!D49,householdfinance_v4_3!D49,householdfinance_v4_2!D49,householdfinance_v4_1!D49)/COUNT(householdfinance_v4_5!D49,householdfinance_v4_4!D49,householdfinance_v4_3!D49,householdfinance_v4_2!D49,householdfinance_v4_1!D49),0)</f>
        <v>1</v>
      </c>
      <c r="E49">
        <f>IF($D49=1,ROUND(SUM(householdfinance_v4_5!E49,householdfinance_v4_4!E49,householdfinance_v4_3!E49,householdfinance_v4_2!E49,householdfinance_v4_1!E49)/COUNT(householdfinance_v4_5!E49,householdfinance_v4_4!E49,householdfinance_v4_3!E49,householdfinance_v4_2!E49,householdfinance_v4_1!E49),0),"NA")</f>
        <v>0</v>
      </c>
      <c r="F49">
        <f>IF($D49=1,ROUND(SUM(householdfinance_v4_5!F49,householdfinance_v4_4!F49,householdfinance_v4_3!F49,householdfinance_v4_2!F49,householdfinance_v4_1!F49)/COUNT(householdfinance_v4_5!F49,householdfinance_v4_4!F49,householdfinance_v4_3!F49,householdfinance_v4_2!F49,householdfinance_v4_1!F49),0),"NA")</f>
        <v>1</v>
      </c>
      <c r="G49">
        <f>IF($D49=1,ROUND(SUM(householdfinance_v4_5!G49,householdfinance_v4_4!G49,householdfinance_v4_3!G49,householdfinance_v4_2!G49,householdfinance_v4_1!G49)/COUNT(householdfinance_v4_5!G49,householdfinance_v4_4!G49,householdfinance_v4_3!G49,householdfinance_v4_2!G49,householdfinance_v4_1!G49),0),"NA")</f>
        <v>1</v>
      </c>
      <c r="H49" t="str">
        <f>IF($E49=1,ROUND(SUM(householdfinance_v4_5!H49,householdfinance_v4_4!H49,householdfinance_v4_3!H49,householdfinance_v4_2!H49,householdfinance_v4_1!H49)/COUNT(householdfinance_v4_5!H49,householdfinance_v4_4!H49,householdfinance_v4_3!H49,householdfinance_v4_2!H49,householdfinance_v4_1!H49),0),"NA")</f>
        <v>NA</v>
      </c>
      <c r="I49">
        <f>IF($D49=1,ROUND(SUM(householdfinance_v4_5!I49,householdfinance_v4_4!I49,householdfinance_v4_3!I49,householdfinance_v4_2!I49,householdfinance_v4_1!I49)/COUNT(householdfinance_v4_5!I49,householdfinance_v4_4!I49,householdfinance_v4_3!I49,householdfinance_v4_2!I49,householdfinance_v4_1!I49),0),"NA")</f>
        <v>1</v>
      </c>
      <c r="J49" t="str">
        <f>IF(AND($E49=1,$F49=1),ROUND(SUM(householdfinance_v4_5!J49,householdfinance_v4_4!J49,householdfinance_v4_3!J49,householdfinance_v4_2!J49,householdfinance_v4_1!J49)/COUNT(householdfinance_v4_5!J49,householdfinance_v4_4!J49,householdfinance_v4_3!J49,householdfinance_v4_2!J49,householdfinance_v4_1!J49),0),"NA")</f>
        <v>NA</v>
      </c>
      <c r="K49">
        <f>IF($D49=1,ROUND(SUM(householdfinance_v4_5!K49,householdfinance_v4_4!K49,householdfinance_v4_3!K49,householdfinance_v4_2!K49,householdfinance_v4_1!K49)/COUNT(householdfinance_v4_5!K49,householdfinance_v4_4!K49,householdfinance_v4_3!K49,householdfinance_v4_2!K49,householdfinance_v4_1!K49),0),"NA")</f>
        <v>1</v>
      </c>
      <c r="L49">
        <f>IF($D49=1,ROUND(SUM(householdfinance_v4_5!L49,householdfinance_v4_4!L49,householdfinance_v4_3!L49,householdfinance_v4_2!L49,householdfinance_v4_1!L49)/COUNT(householdfinance_v4_5!L49,householdfinance_v4_4!L49,householdfinance_v4_3!L49,householdfinance_v4_2!L49,householdfinance_v4_1!L49),0),"NA")</f>
        <v>1</v>
      </c>
      <c r="M49">
        <f>IF($D49=1,ROUND(SUM(householdfinance_v4_5!M49,householdfinance_v4_4!M49,householdfinance_v4_3!M49,householdfinance_v4_2!M49,householdfinance_v4_1!M49)/COUNT(householdfinance_v4_5!M49,householdfinance_v4_4!M49,householdfinance_v4_3!M49,householdfinance_v4_2!M49,householdfinance_v4_1!M49),0),"NA")</f>
        <v>1</v>
      </c>
      <c r="N49">
        <f>IF($D49=1,ROUND(SUM(householdfinance_v4_5!N49,householdfinance_v4_4!N49,householdfinance_v4_3!N49,householdfinance_v4_2!N49,householdfinance_v4_1!N49)/COUNT(householdfinance_v4_5!N49,householdfinance_v4_4!N49,householdfinance_v4_3!N49,householdfinance_v4_2!N49,householdfinance_v4_1!N49),0),"NA")</f>
        <v>1</v>
      </c>
      <c r="O49">
        <v>2.9408237934112549</v>
      </c>
    </row>
    <row r="50" spans="1:15" x14ac:dyDescent="0.25">
      <c r="A50" t="s">
        <v>17</v>
      </c>
      <c r="B50" t="s">
        <v>85</v>
      </c>
      <c r="C50">
        <v>0</v>
      </c>
      <c r="D50">
        <f>ROUND(SUM(householdfinance_v4_5!D50,householdfinance_v4_4!D50,householdfinance_v4_3!D50,householdfinance_v4_2!D50,householdfinance_v4_1!D50)/COUNT(householdfinance_v4_5!D50,householdfinance_v4_4!D50,householdfinance_v4_3!D50,householdfinance_v4_2!D50,householdfinance_v4_1!D50),0)</f>
        <v>1</v>
      </c>
      <c r="E50">
        <f>IF($D50=1,ROUND(SUM(householdfinance_v4_5!E50,householdfinance_v4_4!E50,householdfinance_v4_3!E50,householdfinance_v4_2!E50,householdfinance_v4_1!E50)/COUNT(householdfinance_v4_5!E50,householdfinance_v4_4!E50,householdfinance_v4_3!E50,householdfinance_v4_2!E50,householdfinance_v4_1!E50),0),"NA")</f>
        <v>1</v>
      </c>
      <c r="F50">
        <f>IF($D50=1,ROUND(SUM(householdfinance_v4_5!F50,householdfinance_v4_4!F50,householdfinance_v4_3!F50,householdfinance_v4_2!F50,householdfinance_v4_1!F50)/COUNT(householdfinance_v4_5!F50,householdfinance_v4_4!F50,householdfinance_v4_3!F50,householdfinance_v4_2!F50,householdfinance_v4_1!F50),0),"NA")</f>
        <v>1</v>
      </c>
      <c r="G50">
        <f>IF($D50=1,ROUND(SUM(householdfinance_v4_5!G50,householdfinance_v4_4!G50,householdfinance_v4_3!G50,householdfinance_v4_2!G50,householdfinance_v4_1!G50)/COUNT(householdfinance_v4_5!G50,householdfinance_v4_4!G50,householdfinance_v4_3!G50,householdfinance_v4_2!G50,householdfinance_v4_1!G50),0),"NA")</f>
        <v>1</v>
      </c>
      <c r="H50">
        <f>IF($E50=1,ROUND(SUM(householdfinance_v4_5!H50,householdfinance_v4_4!H50,householdfinance_v4_3!H50,householdfinance_v4_2!H50,householdfinance_v4_1!H50)/COUNT(householdfinance_v4_5!H50,householdfinance_v4_4!H50,householdfinance_v4_3!H50,householdfinance_v4_2!H50,householdfinance_v4_1!H50),0),"NA")</f>
        <v>1</v>
      </c>
      <c r="I50">
        <f>IF($D50=1,ROUND(SUM(householdfinance_v4_5!I50,householdfinance_v4_4!I50,householdfinance_v4_3!I50,householdfinance_v4_2!I50,householdfinance_v4_1!I50)/COUNT(householdfinance_v4_5!I50,householdfinance_v4_4!I50,householdfinance_v4_3!I50,householdfinance_v4_2!I50,householdfinance_v4_1!I50),0),"NA")</f>
        <v>1</v>
      </c>
      <c r="J50">
        <f>IF(AND($E50=1,$F50=1),ROUND(SUM(householdfinance_v4_5!J50,householdfinance_v4_4!J50,householdfinance_v4_3!J50,householdfinance_v4_2!J50,householdfinance_v4_1!J50)/COUNT(householdfinance_v4_5!J50,householdfinance_v4_4!J50,householdfinance_v4_3!J50,householdfinance_v4_2!J50,householdfinance_v4_1!J50),0),"NA")</f>
        <v>1</v>
      </c>
      <c r="K50">
        <f>IF($D50=1,ROUND(SUM(householdfinance_v4_5!K50,householdfinance_v4_4!K50,householdfinance_v4_3!K50,householdfinance_v4_2!K50,householdfinance_v4_1!K50)/COUNT(householdfinance_v4_5!K50,householdfinance_v4_4!K50,householdfinance_v4_3!K50,householdfinance_v4_2!K50,householdfinance_v4_1!K50),0),"NA")</f>
        <v>1</v>
      </c>
      <c r="L50">
        <f>IF($D50=1,ROUND(SUM(householdfinance_v4_5!L50,householdfinance_v4_4!L50,householdfinance_v4_3!L50,householdfinance_v4_2!L50,householdfinance_v4_1!L50)/COUNT(householdfinance_v4_5!L50,householdfinance_v4_4!L50,householdfinance_v4_3!L50,householdfinance_v4_2!L50,householdfinance_v4_1!L50),0),"NA")</f>
        <v>1</v>
      </c>
      <c r="M50">
        <f>IF($D50=1,ROUND(SUM(householdfinance_v4_5!M50,householdfinance_v4_4!M50,householdfinance_v4_3!M50,householdfinance_v4_2!M50,householdfinance_v4_1!M50)/COUNT(householdfinance_v4_5!M50,householdfinance_v4_4!M50,householdfinance_v4_3!M50,householdfinance_v4_2!M50,householdfinance_v4_1!M50),0),"NA")</f>
        <v>1</v>
      </c>
      <c r="N50">
        <f>IF($D50=1,ROUND(SUM(householdfinance_v4_5!N50,householdfinance_v4_4!N50,householdfinance_v4_3!N50,householdfinance_v4_2!N50,householdfinance_v4_1!N50)/COUNT(householdfinance_v4_5!N50,householdfinance_v4_4!N50,householdfinance_v4_3!N50,householdfinance_v4_2!N50,householdfinance_v4_1!N50),0),"NA")</f>
        <v>1</v>
      </c>
      <c r="O50">
        <v>1.453681945800781</v>
      </c>
    </row>
    <row r="51" spans="1:15" x14ac:dyDescent="0.25">
      <c r="A51" t="s">
        <v>86</v>
      </c>
      <c r="B51" t="s">
        <v>18</v>
      </c>
      <c r="C51">
        <v>0</v>
      </c>
      <c r="D51">
        <f>ROUND(SUM(householdfinance_v4_5!D51,householdfinance_v4_4!D51,householdfinance_v4_3!D51,householdfinance_v4_2!D51,householdfinance_v4_1!D51)/COUNT(householdfinance_v4_5!D51,householdfinance_v4_4!D51,householdfinance_v4_3!D51,householdfinance_v4_2!D51,householdfinance_v4_1!D51),0)</f>
        <v>1</v>
      </c>
      <c r="E51">
        <f>IF($D51=1,ROUND(SUM(householdfinance_v4_5!E51,householdfinance_v4_4!E51,householdfinance_v4_3!E51,householdfinance_v4_2!E51,householdfinance_v4_1!E51)/COUNT(householdfinance_v4_5!E51,householdfinance_v4_4!E51,householdfinance_v4_3!E51,householdfinance_v4_2!E51,householdfinance_v4_1!E51),0),"NA")</f>
        <v>1</v>
      </c>
      <c r="F51">
        <f>IF($D51=1,ROUND(SUM(householdfinance_v4_5!F51,householdfinance_v4_4!F51,householdfinance_v4_3!F51,householdfinance_v4_2!F51,householdfinance_v4_1!F51)/COUNT(householdfinance_v4_5!F51,householdfinance_v4_4!F51,householdfinance_v4_3!F51,householdfinance_v4_2!F51,householdfinance_v4_1!F51),0),"NA")</f>
        <v>1</v>
      </c>
      <c r="G51">
        <f>IF($D51=1,ROUND(SUM(householdfinance_v4_5!G51,householdfinance_v4_4!G51,householdfinance_v4_3!G51,householdfinance_v4_2!G51,householdfinance_v4_1!G51)/COUNT(householdfinance_v4_5!G51,householdfinance_v4_4!G51,householdfinance_v4_3!G51,householdfinance_v4_2!G51,householdfinance_v4_1!G51),0),"NA")</f>
        <v>1</v>
      </c>
      <c r="H51">
        <f>IF($E51=1,ROUND(SUM(householdfinance_v4_5!H51,householdfinance_v4_4!H51,householdfinance_v4_3!H51,householdfinance_v4_2!H51,householdfinance_v4_1!H51)/COUNT(householdfinance_v4_5!H51,householdfinance_v4_4!H51,householdfinance_v4_3!H51,householdfinance_v4_2!H51,householdfinance_v4_1!H51),0),"NA")</f>
        <v>1</v>
      </c>
      <c r="I51">
        <f>IF($D51=1,ROUND(SUM(householdfinance_v4_5!I51,householdfinance_v4_4!I51,householdfinance_v4_3!I51,householdfinance_v4_2!I51,householdfinance_v4_1!I51)/COUNT(householdfinance_v4_5!I51,householdfinance_v4_4!I51,householdfinance_v4_3!I51,householdfinance_v4_2!I51,householdfinance_v4_1!I51),0),"NA")</f>
        <v>1</v>
      </c>
      <c r="J51">
        <f>IF(AND($E51=1,$F51=1),ROUND(SUM(householdfinance_v4_5!J51,householdfinance_v4_4!J51,householdfinance_v4_3!J51,householdfinance_v4_2!J51,householdfinance_v4_1!J51)/COUNT(householdfinance_v4_5!J51,householdfinance_v4_4!J51,householdfinance_v4_3!J51,householdfinance_v4_2!J51,householdfinance_v4_1!J51),0),"NA")</f>
        <v>1</v>
      </c>
      <c r="K51">
        <f>IF($D51=1,ROUND(SUM(householdfinance_v4_5!K51,householdfinance_v4_4!K51,householdfinance_v4_3!K51,householdfinance_v4_2!K51,householdfinance_v4_1!K51)/COUNT(householdfinance_v4_5!K51,householdfinance_v4_4!K51,householdfinance_v4_3!K51,householdfinance_v4_2!K51,householdfinance_v4_1!K51),0),"NA")</f>
        <v>1</v>
      </c>
      <c r="L51">
        <f>IF($D51=1,ROUND(SUM(householdfinance_v4_5!L51,householdfinance_v4_4!L51,householdfinance_v4_3!L51,householdfinance_v4_2!L51,householdfinance_v4_1!L51)/COUNT(householdfinance_v4_5!L51,householdfinance_v4_4!L51,householdfinance_v4_3!L51,householdfinance_v4_2!L51,householdfinance_v4_1!L51),0),"NA")</f>
        <v>1</v>
      </c>
      <c r="M51">
        <f>IF($D51=1,ROUND(SUM(householdfinance_v4_5!M51,householdfinance_v4_4!M51,householdfinance_v4_3!M51,householdfinance_v4_2!M51,householdfinance_v4_1!M51)/COUNT(householdfinance_v4_5!M51,householdfinance_v4_4!M51,householdfinance_v4_3!M51,householdfinance_v4_2!M51,householdfinance_v4_1!M51),0),"NA")</f>
        <v>1</v>
      </c>
      <c r="N51">
        <f>IF($D51=1,ROUND(SUM(householdfinance_v4_5!N51,householdfinance_v4_4!N51,householdfinance_v4_3!N51,householdfinance_v4_2!N51,householdfinance_v4_1!N51)/COUNT(householdfinance_v4_5!N51,householdfinance_v4_4!N51,householdfinance_v4_3!N51,householdfinance_v4_2!N51,householdfinance_v4_1!N51),0),"NA")</f>
        <v>1</v>
      </c>
      <c r="O51">
        <v>1.248056888580322</v>
      </c>
    </row>
    <row r="52" spans="1:15" x14ac:dyDescent="0.25">
      <c r="A52" t="s">
        <v>86</v>
      </c>
      <c r="B52" t="s">
        <v>19</v>
      </c>
      <c r="C52">
        <v>0</v>
      </c>
      <c r="D52">
        <f>ROUND(SUM(householdfinance_v4_5!D52,householdfinance_v4_4!D52,householdfinance_v4_3!D52,householdfinance_v4_2!D52,householdfinance_v4_1!D52)/COUNT(householdfinance_v4_5!D52,householdfinance_v4_4!D52,householdfinance_v4_3!D52,householdfinance_v4_2!D52,householdfinance_v4_1!D52),0)</f>
        <v>1</v>
      </c>
      <c r="E52">
        <f>IF($D52=1,ROUND(SUM(householdfinance_v4_5!E52,householdfinance_v4_4!E52,householdfinance_v4_3!E52,householdfinance_v4_2!E52,householdfinance_v4_1!E52)/COUNT(householdfinance_v4_5!E52,householdfinance_v4_4!E52,householdfinance_v4_3!E52,householdfinance_v4_2!E52,householdfinance_v4_1!E52),0),"NA")</f>
        <v>1</v>
      </c>
      <c r="F52">
        <f>IF($D52=1,ROUND(SUM(householdfinance_v4_5!F52,householdfinance_v4_4!F52,householdfinance_v4_3!F52,householdfinance_v4_2!F52,householdfinance_v4_1!F52)/COUNT(householdfinance_v4_5!F52,householdfinance_v4_4!F52,householdfinance_v4_3!F52,householdfinance_v4_2!F52,householdfinance_v4_1!F52),0),"NA")</f>
        <v>1</v>
      </c>
      <c r="G52">
        <f>IF($D52=1,ROUND(SUM(householdfinance_v4_5!G52,householdfinance_v4_4!G52,householdfinance_v4_3!G52,householdfinance_v4_2!G52,householdfinance_v4_1!G52)/COUNT(householdfinance_v4_5!G52,householdfinance_v4_4!G52,householdfinance_v4_3!G52,householdfinance_v4_2!G52,householdfinance_v4_1!G52),0),"NA")</f>
        <v>1</v>
      </c>
      <c r="H52">
        <f>IF($E52=1,ROUND(SUM(householdfinance_v4_5!H52,householdfinance_v4_4!H52,householdfinance_v4_3!H52,householdfinance_v4_2!H52,householdfinance_v4_1!H52)/COUNT(householdfinance_v4_5!H52,householdfinance_v4_4!H52,householdfinance_v4_3!H52,householdfinance_v4_2!H52,householdfinance_v4_1!H52),0),"NA")</f>
        <v>1</v>
      </c>
      <c r="I52">
        <f>IF($D52=1,ROUND(SUM(householdfinance_v4_5!I52,householdfinance_v4_4!I52,householdfinance_v4_3!I52,householdfinance_v4_2!I52,householdfinance_v4_1!I52)/COUNT(householdfinance_v4_5!I52,householdfinance_v4_4!I52,householdfinance_v4_3!I52,householdfinance_v4_2!I52,householdfinance_v4_1!I52),0),"NA")</f>
        <v>1</v>
      </c>
      <c r="J52">
        <f>IF(AND($E52=1,$F52=1),ROUND(SUM(householdfinance_v4_5!J52,householdfinance_v4_4!J52,householdfinance_v4_3!J52,householdfinance_v4_2!J52,householdfinance_v4_1!J52)/COUNT(householdfinance_v4_5!J52,householdfinance_v4_4!J52,householdfinance_v4_3!J52,householdfinance_v4_2!J52,householdfinance_v4_1!J52),0),"NA")</f>
        <v>1</v>
      </c>
      <c r="K52">
        <f>IF($D52=1,ROUND(SUM(householdfinance_v4_5!K52,householdfinance_v4_4!K52,householdfinance_v4_3!K52,householdfinance_v4_2!K52,householdfinance_v4_1!K52)/COUNT(householdfinance_v4_5!K52,householdfinance_v4_4!K52,householdfinance_v4_3!K52,householdfinance_v4_2!K52,householdfinance_v4_1!K52),0),"NA")</f>
        <v>1</v>
      </c>
      <c r="L52">
        <f>IF($D52=1,ROUND(SUM(householdfinance_v4_5!L52,householdfinance_v4_4!L52,householdfinance_v4_3!L52,householdfinance_v4_2!L52,householdfinance_v4_1!L52)/COUNT(householdfinance_v4_5!L52,householdfinance_v4_4!L52,householdfinance_v4_3!L52,householdfinance_v4_2!L52,householdfinance_v4_1!L52),0),"NA")</f>
        <v>1</v>
      </c>
      <c r="M52">
        <f>IF($D52=1,ROUND(SUM(householdfinance_v4_5!M52,householdfinance_v4_4!M52,householdfinance_v4_3!M52,householdfinance_v4_2!M52,householdfinance_v4_1!M52)/COUNT(householdfinance_v4_5!M52,householdfinance_v4_4!M52,householdfinance_v4_3!M52,householdfinance_v4_2!M52,householdfinance_v4_1!M52),0),"NA")</f>
        <v>1</v>
      </c>
      <c r="N52">
        <f>IF($D52=1,ROUND(SUM(householdfinance_v4_5!N52,householdfinance_v4_4!N52,householdfinance_v4_3!N52,householdfinance_v4_2!N52,householdfinance_v4_1!N52)/COUNT(householdfinance_v4_5!N52,householdfinance_v4_4!N52,householdfinance_v4_3!N52,householdfinance_v4_2!N52,householdfinance_v4_1!N52),0),"NA")</f>
        <v>1</v>
      </c>
      <c r="O52">
        <v>1.711002111434937</v>
      </c>
    </row>
    <row r="53" spans="1:15" x14ac:dyDescent="0.25">
      <c r="A53" t="s">
        <v>86</v>
      </c>
      <c r="B53" t="s">
        <v>22</v>
      </c>
      <c r="C53">
        <v>0</v>
      </c>
      <c r="D53">
        <f>ROUND(SUM(householdfinance_v4_5!D53,householdfinance_v4_4!D53,householdfinance_v4_3!D53,householdfinance_v4_2!D53,householdfinance_v4_1!D53)/COUNT(householdfinance_v4_5!D53,householdfinance_v4_4!D53,householdfinance_v4_3!D53,householdfinance_v4_2!D53,householdfinance_v4_1!D53),0)</f>
        <v>1</v>
      </c>
      <c r="E53">
        <f>IF($D53=1,ROUND(SUM(householdfinance_v4_5!E53,householdfinance_v4_4!E53,householdfinance_v4_3!E53,householdfinance_v4_2!E53,householdfinance_v4_1!E53)/COUNT(householdfinance_v4_5!E53,householdfinance_v4_4!E53,householdfinance_v4_3!E53,householdfinance_v4_2!E53,householdfinance_v4_1!E53),0),"NA")</f>
        <v>1</v>
      </c>
      <c r="F53">
        <f>IF($D53=1,ROUND(SUM(householdfinance_v4_5!F53,householdfinance_v4_4!F53,householdfinance_v4_3!F53,householdfinance_v4_2!F53,householdfinance_v4_1!F53)/COUNT(householdfinance_v4_5!F53,householdfinance_v4_4!F53,householdfinance_v4_3!F53,householdfinance_v4_2!F53,householdfinance_v4_1!F53),0),"NA")</f>
        <v>1</v>
      </c>
      <c r="G53">
        <f>IF($D53=1,ROUND(SUM(householdfinance_v4_5!G53,householdfinance_v4_4!G53,householdfinance_v4_3!G53,householdfinance_v4_2!G53,householdfinance_v4_1!G53)/COUNT(householdfinance_v4_5!G53,householdfinance_v4_4!G53,householdfinance_v4_3!G53,householdfinance_v4_2!G53,householdfinance_v4_1!G53),0),"NA")</f>
        <v>1</v>
      </c>
      <c r="H53">
        <f>IF($E53=1,ROUND(SUM(householdfinance_v4_5!H53,householdfinance_v4_4!H53,householdfinance_v4_3!H53,householdfinance_v4_2!H53,householdfinance_v4_1!H53)/COUNT(householdfinance_v4_5!H53,householdfinance_v4_4!H53,householdfinance_v4_3!H53,householdfinance_v4_2!H53,householdfinance_v4_1!H53),0),"NA")</f>
        <v>1</v>
      </c>
      <c r="I53">
        <f>IF($D53=1,ROUND(SUM(householdfinance_v4_5!I53,householdfinance_v4_4!I53,householdfinance_v4_3!I53,householdfinance_v4_2!I53,householdfinance_v4_1!I53)/COUNT(householdfinance_v4_5!I53,householdfinance_v4_4!I53,householdfinance_v4_3!I53,householdfinance_v4_2!I53,householdfinance_v4_1!I53),0),"NA")</f>
        <v>1</v>
      </c>
      <c r="J53">
        <f>IF(AND($E53=1,$F53=1),ROUND(SUM(householdfinance_v4_5!J53,householdfinance_v4_4!J53,householdfinance_v4_3!J53,householdfinance_v4_2!J53,householdfinance_v4_1!J53)/COUNT(householdfinance_v4_5!J53,householdfinance_v4_4!J53,householdfinance_v4_3!J53,householdfinance_v4_2!J53,householdfinance_v4_1!J53),0),"NA")</f>
        <v>1</v>
      </c>
      <c r="K53">
        <f>IF($D53=1,ROUND(SUM(householdfinance_v4_5!K53,householdfinance_v4_4!K53,householdfinance_v4_3!K53,householdfinance_v4_2!K53,householdfinance_v4_1!K53)/COUNT(householdfinance_v4_5!K53,householdfinance_v4_4!K53,householdfinance_v4_3!K53,householdfinance_v4_2!K53,householdfinance_v4_1!K53),0),"NA")</f>
        <v>1</v>
      </c>
      <c r="L53">
        <f>IF($D53=1,ROUND(SUM(householdfinance_v4_5!L53,householdfinance_v4_4!L53,householdfinance_v4_3!L53,householdfinance_v4_2!L53,householdfinance_v4_1!L53)/COUNT(householdfinance_v4_5!L53,householdfinance_v4_4!L53,householdfinance_v4_3!L53,householdfinance_v4_2!L53,householdfinance_v4_1!L53),0),"NA")</f>
        <v>1</v>
      </c>
      <c r="M53">
        <f>IF($D53=1,ROUND(SUM(householdfinance_v4_5!M53,householdfinance_v4_4!M53,householdfinance_v4_3!M53,householdfinance_v4_2!M53,householdfinance_v4_1!M53)/COUNT(householdfinance_v4_5!M53,householdfinance_v4_4!M53,householdfinance_v4_3!M53,householdfinance_v4_2!M53,householdfinance_v4_1!M53),0),"NA")</f>
        <v>1</v>
      </c>
      <c r="N53">
        <f>IF($D53=1,ROUND(SUM(householdfinance_v4_5!N53,householdfinance_v4_4!N53,householdfinance_v4_3!N53,householdfinance_v4_2!N53,householdfinance_v4_1!N53)/COUNT(householdfinance_v4_5!N53,householdfinance_v4_4!N53,householdfinance_v4_3!N53,householdfinance_v4_2!N53,householdfinance_v4_1!N53),0),"NA")</f>
        <v>1</v>
      </c>
      <c r="O53">
        <v>1.743061304092407</v>
      </c>
    </row>
    <row r="54" spans="1:15" x14ac:dyDescent="0.25">
      <c r="A54" t="s">
        <v>86</v>
      </c>
      <c r="B54" t="s">
        <v>24</v>
      </c>
      <c r="C54">
        <v>0</v>
      </c>
      <c r="D54">
        <f>ROUND(SUM(householdfinance_v4_5!D54,householdfinance_v4_4!D54,householdfinance_v4_3!D54,householdfinance_v4_2!D54,householdfinance_v4_1!D54)/COUNT(householdfinance_v4_5!D54,householdfinance_v4_4!D54,householdfinance_v4_3!D54,householdfinance_v4_2!D54,householdfinance_v4_1!D54),0)</f>
        <v>1</v>
      </c>
      <c r="E54">
        <f>IF($D54=1,ROUND(SUM(householdfinance_v4_5!E54,householdfinance_v4_4!E54,householdfinance_v4_3!E54,householdfinance_v4_2!E54,householdfinance_v4_1!E54)/COUNT(householdfinance_v4_5!E54,householdfinance_v4_4!E54,householdfinance_v4_3!E54,householdfinance_v4_2!E54,householdfinance_v4_1!E54),0),"NA")</f>
        <v>1</v>
      </c>
      <c r="F54">
        <f>IF($D54=1,ROUND(SUM(householdfinance_v4_5!F54,householdfinance_v4_4!F54,householdfinance_v4_3!F54,householdfinance_v4_2!F54,householdfinance_v4_1!F54)/COUNT(householdfinance_v4_5!F54,householdfinance_v4_4!F54,householdfinance_v4_3!F54,householdfinance_v4_2!F54,householdfinance_v4_1!F54),0),"NA")</f>
        <v>1</v>
      </c>
      <c r="G54">
        <f>IF($D54=1,ROUND(SUM(householdfinance_v4_5!G54,householdfinance_v4_4!G54,householdfinance_v4_3!G54,householdfinance_v4_2!G54,householdfinance_v4_1!G54)/COUNT(householdfinance_v4_5!G54,householdfinance_v4_4!G54,householdfinance_v4_3!G54,householdfinance_v4_2!G54,householdfinance_v4_1!G54),0),"NA")</f>
        <v>1</v>
      </c>
      <c r="H54">
        <f>IF($E54=1,ROUND(SUM(householdfinance_v4_5!H54,householdfinance_v4_4!H54,householdfinance_v4_3!H54,householdfinance_v4_2!H54,householdfinance_v4_1!H54)/COUNT(householdfinance_v4_5!H54,householdfinance_v4_4!H54,householdfinance_v4_3!H54,householdfinance_v4_2!H54,householdfinance_v4_1!H54),0),"NA")</f>
        <v>1</v>
      </c>
      <c r="I54">
        <f>IF($D54=1,ROUND(SUM(householdfinance_v4_5!I54,householdfinance_v4_4!I54,householdfinance_v4_3!I54,householdfinance_v4_2!I54,householdfinance_v4_1!I54)/COUNT(householdfinance_v4_5!I54,householdfinance_v4_4!I54,householdfinance_v4_3!I54,householdfinance_v4_2!I54,householdfinance_v4_1!I54),0),"NA")</f>
        <v>1</v>
      </c>
      <c r="J54">
        <f>IF(AND($E54=1,$F54=1),ROUND(SUM(householdfinance_v4_5!J54,householdfinance_v4_4!J54,householdfinance_v4_3!J54,householdfinance_v4_2!J54,householdfinance_v4_1!J54)/COUNT(householdfinance_v4_5!J54,householdfinance_v4_4!J54,householdfinance_v4_3!J54,householdfinance_v4_2!J54,householdfinance_v4_1!J54),0),"NA")</f>
        <v>1</v>
      </c>
      <c r="K54">
        <f>IF($D54=1,ROUND(SUM(householdfinance_v4_5!K54,householdfinance_v4_4!K54,householdfinance_v4_3!K54,householdfinance_v4_2!K54,householdfinance_v4_1!K54)/COUNT(householdfinance_v4_5!K54,householdfinance_v4_4!K54,householdfinance_v4_3!K54,householdfinance_v4_2!K54,householdfinance_v4_1!K54),0),"NA")</f>
        <v>1</v>
      </c>
      <c r="L54">
        <f>IF($D54=1,ROUND(SUM(householdfinance_v4_5!L54,householdfinance_v4_4!L54,householdfinance_v4_3!L54,householdfinance_v4_2!L54,householdfinance_v4_1!L54)/COUNT(householdfinance_v4_5!L54,householdfinance_v4_4!L54,householdfinance_v4_3!L54,householdfinance_v4_2!L54,householdfinance_v4_1!L54),0),"NA")</f>
        <v>1</v>
      </c>
      <c r="M54">
        <f>IF($D54=1,ROUND(SUM(householdfinance_v4_5!M54,householdfinance_v4_4!M54,householdfinance_v4_3!M54,householdfinance_v4_2!M54,householdfinance_v4_1!M54)/COUNT(householdfinance_v4_5!M54,householdfinance_v4_4!M54,householdfinance_v4_3!M54,householdfinance_v4_2!M54,householdfinance_v4_1!M54),0),"NA")</f>
        <v>1</v>
      </c>
      <c r="N54">
        <f>IF($D54=1,ROUND(SUM(householdfinance_v4_5!N54,householdfinance_v4_4!N54,householdfinance_v4_3!N54,householdfinance_v4_2!N54,householdfinance_v4_1!N54)/COUNT(householdfinance_v4_5!N54,householdfinance_v4_4!N54,householdfinance_v4_3!N54,householdfinance_v4_2!N54,householdfinance_v4_1!N54),0),"NA")</f>
        <v>1</v>
      </c>
      <c r="O54">
        <v>1.635296583175659</v>
      </c>
    </row>
    <row r="55" spans="1:15" x14ac:dyDescent="0.25">
      <c r="A55" t="s">
        <v>86</v>
      </c>
      <c r="B55" t="s">
        <v>25</v>
      </c>
      <c r="C55">
        <v>0</v>
      </c>
      <c r="D55">
        <f>ROUND(SUM(householdfinance_v4_5!D55,householdfinance_v4_4!D55,householdfinance_v4_3!D55,householdfinance_v4_2!D55,householdfinance_v4_1!D55)/COUNT(householdfinance_v4_5!D55,householdfinance_v4_4!D55,householdfinance_v4_3!D55,householdfinance_v4_2!D55,householdfinance_v4_1!D55),0)</f>
        <v>1</v>
      </c>
      <c r="E55">
        <f>IF($D55=1,ROUND(SUM(householdfinance_v4_5!E55,householdfinance_v4_4!E55,householdfinance_v4_3!E55,householdfinance_v4_2!E55,householdfinance_v4_1!E55)/COUNT(householdfinance_v4_5!E55,householdfinance_v4_4!E55,householdfinance_v4_3!E55,householdfinance_v4_2!E55,householdfinance_v4_1!E55),0),"NA")</f>
        <v>1</v>
      </c>
      <c r="F55">
        <f>IF($D55=1,ROUND(SUM(householdfinance_v4_5!F55,householdfinance_v4_4!F55,householdfinance_v4_3!F55,householdfinance_v4_2!F55,householdfinance_v4_1!F55)/COUNT(householdfinance_v4_5!F55,householdfinance_v4_4!F55,householdfinance_v4_3!F55,householdfinance_v4_2!F55,householdfinance_v4_1!F55),0),"NA")</f>
        <v>1</v>
      </c>
      <c r="G55">
        <f>IF($D55=1,ROUND(SUM(householdfinance_v4_5!G55,householdfinance_v4_4!G55,householdfinance_v4_3!G55,householdfinance_v4_2!G55,householdfinance_v4_1!G55)/COUNT(householdfinance_v4_5!G55,householdfinance_v4_4!G55,householdfinance_v4_3!G55,householdfinance_v4_2!G55,householdfinance_v4_1!G55),0),"NA")</f>
        <v>1</v>
      </c>
      <c r="H55">
        <f>IF($E55=1,ROUND(SUM(householdfinance_v4_5!H55,householdfinance_v4_4!H55,householdfinance_v4_3!H55,householdfinance_v4_2!H55,householdfinance_v4_1!H55)/COUNT(householdfinance_v4_5!H55,householdfinance_v4_4!H55,householdfinance_v4_3!H55,householdfinance_v4_2!H55,householdfinance_v4_1!H55),0),"NA")</f>
        <v>1</v>
      </c>
      <c r="I55">
        <f>IF($D55=1,ROUND(SUM(householdfinance_v4_5!I55,householdfinance_v4_4!I55,householdfinance_v4_3!I55,householdfinance_v4_2!I55,householdfinance_v4_1!I55)/COUNT(householdfinance_v4_5!I55,householdfinance_v4_4!I55,householdfinance_v4_3!I55,householdfinance_v4_2!I55,householdfinance_v4_1!I55),0),"NA")</f>
        <v>1</v>
      </c>
      <c r="J55">
        <f>IF(AND($E55=1,$F55=1),ROUND(SUM(householdfinance_v4_5!J55,householdfinance_v4_4!J55,householdfinance_v4_3!J55,householdfinance_v4_2!J55,householdfinance_v4_1!J55)/COUNT(householdfinance_v4_5!J55,householdfinance_v4_4!J55,householdfinance_v4_3!J55,householdfinance_v4_2!J55,householdfinance_v4_1!J55),0),"NA")</f>
        <v>1</v>
      </c>
      <c r="K55">
        <f>IF($D55=1,ROUND(SUM(householdfinance_v4_5!K55,householdfinance_v4_4!K55,householdfinance_v4_3!K55,householdfinance_v4_2!K55,householdfinance_v4_1!K55)/COUNT(householdfinance_v4_5!K55,householdfinance_v4_4!K55,householdfinance_v4_3!K55,householdfinance_v4_2!K55,householdfinance_v4_1!K55),0),"NA")</f>
        <v>1</v>
      </c>
      <c r="L55">
        <f>IF($D55=1,ROUND(SUM(householdfinance_v4_5!L55,householdfinance_v4_4!L55,householdfinance_v4_3!L55,householdfinance_v4_2!L55,householdfinance_v4_1!L55)/COUNT(householdfinance_v4_5!L55,householdfinance_v4_4!L55,householdfinance_v4_3!L55,householdfinance_v4_2!L55,householdfinance_v4_1!L55),0),"NA")</f>
        <v>1</v>
      </c>
      <c r="M55">
        <f>IF($D55=1,ROUND(SUM(householdfinance_v4_5!M55,householdfinance_v4_4!M55,householdfinance_v4_3!M55,householdfinance_v4_2!M55,householdfinance_v4_1!M55)/COUNT(householdfinance_v4_5!M55,householdfinance_v4_4!M55,householdfinance_v4_3!M55,householdfinance_v4_2!M55,householdfinance_v4_1!M55),0),"NA")</f>
        <v>1</v>
      </c>
      <c r="N55">
        <f>IF($D55=1,ROUND(SUM(householdfinance_v4_5!N55,householdfinance_v4_4!N55,householdfinance_v4_3!N55,householdfinance_v4_2!N55,householdfinance_v4_1!N55)/COUNT(householdfinance_v4_5!N55,householdfinance_v4_4!N55,householdfinance_v4_3!N55,householdfinance_v4_2!N55,householdfinance_v4_1!N55),0),"NA")</f>
        <v>1</v>
      </c>
      <c r="O55">
        <v>1.238750696182251</v>
      </c>
    </row>
    <row r="56" spans="1:15" x14ac:dyDescent="0.25">
      <c r="A56" t="s">
        <v>86</v>
      </c>
      <c r="B56" t="s">
        <v>26</v>
      </c>
      <c r="C56">
        <v>0</v>
      </c>
      <c r="D56">
        <f>ROUND(SUM(householdfinance_v4_5!D56,householdfinance_v4_4!D56,householdfinance_v4_3!D56,householdfinance_v4_2!D56,householdfinance_v4_1!D56)/COUNT(householdfinance_v4_5!D56,householdfinance_v4_4!D56,householdfinance_v4_3!D56,householdfinance_v4_2!D56,householdfinance_v4_1!D56),0)</f>
        <v>1</v>
      </c>
      <c r="E56">
        <f>IF($D56=1,ROUND(SUM(householdfinance_v4_5!E56,householdfinance_v4_4!E56,householdfinance_v4_3!E56,householdfinance_v4_2!E56,householdfinance_v4_1!E56)/COUNT(householdfinance_v4_5!E56,householdfinance_v4_4!E56,householdfinance_v4_3!E56,householdfinance_v4_2!E56,householdfinance_v4_1!E56),0),"NA")</f>
        <v>0</v>
      </c>
      <c r="F56">
        <f>IF($D56=1,ROUND(SUM(householdfinance_v4_5!F56,householdfinance_v4_4!F56,householdfinance_v4_3!F56,householdfinance_v4_2!F56,householdfinance_v4_1!F56)/COUNT(householdfinance_v4_5!F56,householdfinance_v4_4!F56,householdfinance_v4_3!F56,householdfinance_v4_2!F56,householdfinance_v4_1!F56),0),"NA")</f>
        <v>1</v>
      </c>
      <c r="G56">
        <f>IF($D56=1,ROUND(SUM(householdfinance_v4_5!G56,householdfinance_v4_4!G56,householdfinance_v4_3!G56,householdfinance_v4_2!G56,householdfinance_v4_1!G56)/COUNT(householdfinance_v4_5!G56,householdfinance_v4_4!G56,householdfinance_v4_3!G56,householdfinance_v4_2!G56,householdfinance_v4_1!G56),0),"NA")</f>
        <v>1</v>
      </c>
      <c r="H56" t="str">
        <f>IF($E56=1,ROUND(SUM(householdfinance_v4_5!H56,householdfinance_v4_4!H56,householdfinance_v4_3!H56,householdfinance_v4_2!H56,householdfinance_v4_1!H56)/COUNT(householdfinance_v4_5!H56,householdfinance_v4_4!H56,householdfinance_v4_3!H56,householdfinance_v4_2!H56,householdfinance_v4_1!H56),0),"NA")</f>
        <v>NA</v>
      </c>
      <c r="I56">
        <f>IF($D56=1,ROUND(SUM(householdfinance_v4_5!I56,householdfinance_v4_4!I56,householdfinance_v4_3!I56,householdfinance_v4_2!I56,householdfinance_v4_1!I56)/COUNT(householdfinance_v4_5!I56,householdfinance_v4_4!I56,householdfinance_v4_3!I56,householdfinance_v4_2!I56,householdfinance_v4_1!I56),0),"NA")</f>
        <v>1</v>
      </c>
      <c r="J56" t="str">
        <f>IF(AND($E56=1,$F56=1),ROUND(SUM(householdfinance_v4_5!J56,householdfinance_v4_4!J56,householdfinance_v4_3!J56,householdfinance_v4_2!J56,householdfinance_v4_1!J56)/COUNT(householdfinance_v4_5!J56,householdfinance_v4_4!J56,householdfinance_v4_3!J56,householdfinance_v4_2!J56,householdfinance_v4_1!J56),0),"NA")</f>
        <v>NA</v>
      </c>
      <c r="K56">
        <f>IF($D56=1,ROUND(SUM(householdfinance_v4_5!K56,householdfinance_v4_4!K56,householdfinance_v4_3!K56,householdfinance_v4_2!K56,householdfinance_v4_1!K56)/COUNT(householdfinance_v4_5!K56,householdfinance_v4_4!K56,householdfinance_v4_3!K56,householdfinance_v4_2!K56,householdfinance_v4_1!K56),0),"NA")</f>
        <v>1</v>
      </c>
      <c r="L56">
        <f>IF($D56=1,ROUND(SUM(householdfinance_v4_5!L56,householdfinance_v4_4!L56,householdfinance_v4_3!L56,householdfinance_v4_2!L56,householdfinance_v4_1!L56)/COUNT(householdfinance_v4_5!L56,householdfinance_v4_4!L56,householdfinance_v4_3!L56,householdfinance_v4_2!L56,householdfinance_v4_1!L56),0),"NA")</f>
        <v>1</v>
      </c>
      <c r="M56">
        <f>IF($D56=1,ROUND(SUM(householdfinance_v4_5!M56,householdfinance_v4_4!M56,householdfinance_v4_3!M56,householdfinance_v4_2!M56,householdfinance_v4_1!M56)/COUNT(householdfinance_v4_5!M56,householdfinance_v4_4!M56,householdfinance_v4_3!M56,householdfinance_v4_2!M56,householdfinance_v4_1!M56),0),"NA")</f>
        <v>1</v>
      </c>
      <c r="N56">
        <f>IF($D56=1,ROUND(SUM(householdfinance_v4_5!N56,householdfinance_v4_4!N56,householdfinance_v4_3!N56,householdfinance_v4_2!N56,householdfinance_v4_1!N56)/COUNT(householdfinance_v4_5!N56,householdfinance_v4_4!N56,householdfinance_v4_3!N56,householdfinance_v4_2!N56,householdfinance_v4_1!N56),0),"NA")</f>
        <v>1</v>
      </c>
      <c r="O56">
        <v>4.1370251178741464</v>
      </c>
    </row>
    <row r="57" spans="1:15" x14ac:dyDescent="0.25">
      <c r="A57" t="s">
        <v>86</v>
      </c>
      <c r="B57" t="s">
        <v>27</v>
      </c>
      <c r="C57">
        <v>0</v>
      </c>
      <c r="D57">
        <f>ROUND(SUM(householdfinance_v4_5!D57,householdfinance_v4_4!D57,householdfinance_v4_3!D57,householdfinance_v4_2!D57,householdfinance_v4_1!D57)/COUNT(householdfinance_v4_5!D57,householdfinance_v4_4!D57,householdfinance_v4_3!D57,householdfinance_v4_2!D57,householdfinance_v4_1!D57),0)</f>
        <v>1</v>
      </c>
      <c r="E57">
        <f>IF($D57=1,ROUND(SUM(householdfinance_v4_5!E57,householdfinance_v4_4!E57,householdfinance_v4_3!E57,householdfinance_v4_2!E57,householdfinance_v4_1!E57)/COUNT(householdfinance_v4_5!E57,householdfinance_v4_4!E57,householdfinance_v4_3!E57,householdfinance_v4_2!E57,householdfinance_v4_1!E57),0),"NA")</f>
        <v>1</v>
      </c>
      <c r="F57">
        <f>IF($D57=1,ROUND(SUM(householdfinance_v4_5!F57,householdfinance_v4_4!F57,householdfinance_v4_3!F57,householdfinance_v4_2!F57,householdfinance_v4_1!F57)/COUNT(householdfinance_v4_5!F57,householdfinance_v4_4!F57,householdfinance_v4_3!F57,householdfinance_v4_2!F57,householdfinance_v4_1!F57),0),"NA")</f>
        <v>1</v>
      </c>
      <c r="G57">
        <f>IF($D57=1,ROUND(SUM(householdfinance_v4_5!G57,householdfinance_v4_4!G57,householdfinance_v4_3!G57,householdfinance_v4_2!G57,householdfinance_v4_1!G57)/COUNT(householdfinance_v4_5!G57,householdfinance_v4_4!G57,householdfinance_v4_3!G57,householdfinance_v4_2!G57,householdfinance_v4_1!G57),0),"NA")</f>
        <v>1</v>
      </c>
      <c r="H57">
        <f>IF($E57=1,ROUND(SUM(householdfinance_v4_5!H57,householdfinance_v4_4!H57,householdfinance_v4_3!H57,householdfinance_v4_2!H57,householdfinance_v4_1!H57)/COUNT(householdfinance_v4_5!H57,householdfinance_v4_4!H57,householdfinance_v4_3!H57,householdfinance_v4_2!H57,householdfinance_v4_1!H57),0),"NA")</f>
        <v>1</v>
      </c>
      <c r="I57">
        <f>IF($D57=1,ROUND(SUM(householdfinance_v4_5!I57,householdfinance_v4_4!I57,householdfinance_v4_3!I57,householdfinance_v4_2!I57,householdfinance_v4_1!I57)/COUNT(householdfinance_v4_5!I57,householdfinance_v4_4!I57,householdfinance_v4_3!I57,householdfinance_v4_2!I57,householdfinance_v4_1!I57),0),"NA")</f>
        <v>1</v>
      </c>
      <c r="J57">
        <f>IF(AND($E57=1,$F57=1),ROUND(SUM(householdfinance_v4_5!J57,householdfinance_v4_4!J57,householdfinance_v4_3!J57,householdfinance_v4_2!J57,householdfinance_v4_1!J57)/COUNT(householdfinance_v4_5!J57,householdfinance_v4_4!J57,householdfinance_v4_3!J57,householdfinance_v4_2!J57,householdfinance_v4_1!J57),0),"NA")</f>
        <v>1</v>
      </c>
      <c r="K57">
        <f>IF($D57=1,ROUND(SUM(householdfinance_v4_5!K57,householdfinance_v4_4!K57,householdfinance_v4_3!K57,householdfinance_v4_2!K57,householdfinance_v4_1!K57)/COUNT(householdfinance_v4_5!K57,householdfinance_v4_4!K57,householdfinance_v4_3!K57,householdfinance_v4_2!K57,householdfinance_v4_1!K57),0),"NA")</f>
        <v>1</v>
      </c>
      <c r="L57">
        <f>IF($D57=1,ROUND(SUM(householdfinance_v4_5!L57,householdfinance_v4_4!L57,householdfinance_v4_3!L57,householdfinance_v4_2!L57,householdfinance_v4_1!L57)/COUNT(householdfinance_v4_5!L57,householdfinance_v4_4!L57,householdfinance_v4_3!L57,householdfinance_v4_2!L57,householdfinance_v4_1!L57),0),"NA")</f>
        <v>1</v>
      </c>
      <c r="M57">
        <f>IF($D57=1,ROUND(SUM(householdfinance_v4_5!M57,householdfinance_v4_4!M57,householdfinance_v4_3!M57,householdfinance_v4_2!M57,householdfinance_v4_1!M57)/COUNT(householdfinance_v4_5!M57,householdfinance_v4_4!M57,householdfinance_v4_3!M57,householdfinance_v4_2!M57,householdfinance_v4_1!M57),0),"NA")</f>
        <v>1</v>
      </c>
      <c r="N57">
        <f>IF($D57=1,ROUND(SUM(householdfinance_v4_5!N57,householdfinance_v4_4!N57,householdfinance_v4_3!N57,householdfinance_v4_2!N57,householdfinance_v4_1!N57)/COUNT(householdfinance_v4_5!N57,householdfinance_v4_4!N57,householdfinance_v4_3!N57,householdfinance_v4_2!N57,householdfinance_v4_1!N57),0),"NA")</f>
        <v>1</v>
      </c>
      <c r="O57">
        <v>1.692873001098633</v>
      </c>
    </row>
    <row r="58" spans="1:15" x14ac:dyDescent="0.25">
      <c r="A58" t="s">
        <v>86</v>
      </c>
      <c r="B58" t="s">
        <v>29</v>
      </c>
      <c r="C58">
        <v>0</v>
      </c>
      <c r="D58">
        <f>ROUND(SUM(householdfinance_v4_5!D58,householdfinance_v4_4!D58,householdfinance_v4_3!D58,householdfinance_v4_2!D58,householdfinance_v4_1!D58)/COUNT(householdfinance_v4_5!D58,householdfinance_v4_4!D58,householdfinance_v4_3!D58,householdfinance_v4_2!D58,householdfinance_v4_1!D58),0)</f>
        <v>1</v>
      </c>
      <c r="E58">
        <f>IF($D58=1,ROUND(SUM(householdfinance_v4_5!E58,householdfinance_v4_4!E58,householdfinance_v4_3!E58,householdfinance_v4_2!E58,householdfinance_v4_1!E58)/COUNT(householdfinance_v4_5!E58,householdfinance_v4_4!E58,householdfinance_v4_3!E58,householdfinance_v4_2!E58,householdfinance_v4_1!E58),0),"NA")</f>
        <v>1</v>
      </c>
      <c r="F58">
        <f>IF($D58=1,ROUND(SUM(householdfinance_v4_5!F58,householdfinance_v4_4!F58,householdfinance_v4_3!F58,householdfinance_v4_2!F58,householdfinance_v4_1!F58)/COUNT(householdfinance_v4_5!F58,householdfinance_v4_4!F58,householdfinance_v4_3!F58,householdfinance_v4_2!F58,householdfinance_v4_1!F58),0),"NA")</f>
        <v>1</v>
      </c>
      <c r="G58">
        <f>IF($D58=1,ROUND(SUM(householdfinance_v4_5!G58,householdfinance_v4_4!G58,householdfinance_v4_3!G58,householdfinance_v4_2!G58,householdfinance_v4_1!G58)/COUNT(householdfinance_v4_5!G58,householdfinance_v4_4!G58,householdfinance_v4_3!G58,householdfinance_v4_2!G58,householdfinance_v4_1!G58),0),"NA")</f>
        <v>0</v>
      </c>
      <c r="H58">
        <f>IF($E58=1,ROUND(SUM(householdfinance_v4_5!H58,householdfinance_v4_4!H58,householdfinance_v4_3!H58,householdfinance_v4_2!H58,householdfinance_v4_1!H58)/COUNT(householdfinance_v4_5!H58,householdfinance_v4_4!H58,householdfinance_v4_3!H58,householdfinance_v4_2!H58,householdfinance_v4_1!H58),0),"NA")</f>
        <v>1</v>
      </c>
      <c r="I58">
        <f>IF($D58=1,ROUND(SUM(householdfinance_v4_5!I58,householdfinance_v4_4!I58,householdfinance_v4_3!I58,householdfinance_v4_2!I58,householdfinance_v4_1!I58)/COUNT(householdfinance_v4_5!I58,householdfinance_v4_4!I58,householdfinance_v4_3!I58,householdfinance_v4_2!I58,householdfinance_v4_1!I58),0),"NA")</f>
        <v>1</v>
      </c>
      <c r="J58">
        <f>IF(AND($E58=1,$F58=1),ROUND(SUM(householdfinance_v4_5!J58,householdfinance_v4_4!J58,householdfinance_v4_3!J58,householdfinance_v4_2!J58,householdfinance_v4_1!J58)/COUNT(householdfinance_v4_5!J58,householdfinance_v4_4!J58,householdfinance_v4_3!J58,householdfinance_v4_2!J58,householdfinance_v4_1!J58),0),"NA")</f>
        <v>1</v>
      </c>
      <c r="K58">
        <f>IF($D58=1,ROUND(SUM(householdfinance_v4_5!K58,householdfinance_v4_4!K58,householdfinance_v4_3!K58,householdfinance_v4_2!K58,householdfinance_v4_1!K58)/COUNT(householdfinance_v4_5!K58,householdfinance_v4_4!K58,householdfinance_v4_3!K58,householdfinance_v4_2!K58,householdfinance_v4_1!K58),0),"NA")</f>
        <v>1</v>
      </c>
      <c r="L58">
        <f>IF($D58=1,ROUND(SUM(householdfinance_v4_5!L58,householdfinance_v4_4!L58,householdfinance_v4_3!L58,householdfinance_v4_2!L58,householdfinance_v4_1!L58)/COUNT(householdfinance_v4_5!L58,householdfinance_v4_4!L58,householdfinance_v4_3!L58,householdfinance_v4_2!L58,householdfinance_v4_1!L58),0),"NA")</f>
        <v>1</v>
      </c>
      <c r="M58">
        <f>IF($D58=1,ROUND(SUM(householdfinance_v4_5!M58,householdfinance_v4_4!M58,householdfinance_v4_3!M58,householdfinance_v4_2!M58,householdfinance_v4_1!M58)/COUNT(householdfinance_v4_5!M58,householdfinance_v4_4!M58,householdfinance_v4_3!M58,householdfinance_v4_2!M58,householdfinance_v4_1!M58),0),"NA")</f>
        <v>1</v>
      </c>
      <c r="N58">
        <f>IF($D58=1,ROUND(SUM(householdfinance_v4_5!N58,householdfinance_v4_4!N58,householdfinance_v4_3!N58,householdfinance_v4_2!N58,householdfinance_v4_1!N58)/COUNT(householdfinance_v4_5!N58,householdfinance_v4_4!N58,householdfinance_v4_3!N58,householdfinance_v4_2!N58,householdfinance_v4_1!N58),0),"NA")</f>
        <v>1</v>
      </c>
      <c r="O58">
        <v>1.785069465637207</v>
      </c>
    </row>
    <row r="59" spans="1:15" x14ac:dyDescent="0.25">
      <c r="A59" t="s">
        <v>86</v>
      </c>
      <c r="B59" t="s">
        <v>30</v>
      </c>
      <c r="C59">
        <v>0</v>
      </c>
      <c r="D59">
        <f>ROUND(SUM(householdfinance_v4_5!D59,householdfinance_v4_4!D59,householdfinance_v4_3!D59,householdfinance_v4_2!D59,householdfinance_v4_1!D59)/COUNT(householdfinance_v4_5!D59,householdfinance_v4_4!D59,householdfinance_v4_3!D59,householdfinance_v4_2!D59,householdfinance_v4_1!D59),0)</f>
        <v>1</v>
      </c>
      <c r="E59">
        <f>IF($D59=1,ROUND(SUM(householdfinance_v4_5!E59,householdfinance_v4_4!E59,householdfinance_v4_3!E59,householdfinance_v4_2!E59,householdfinance_v4_1!E59)/COUNT(householdfinance_v4_5!E59,householdfinance_v4_4!E59,householdfinance_v4_3!E59,householdfinance_v4_2!E59,householdfinance_v4_1!E59),0),"NA")</f>
        <v>1</v>
      </c>
      <c r="F59">
        <f>IF($D59=1,ROUND(SUM(householdfinance_v4_5!F59,householdfinance_v4_4!F59,householdfinance_v4_3!F59,householdfinance_v4_2!F59,householdfinance_v4_1!F59)/COUNT(householdfinance_v4_5!F59,householdfinance_v4_4!F59,householdfinance_v4_3!F59,householdfinance_v4_2!F59,householdfinance_v4_1!F59),0),"NA")</f>
        <v>1</v>
      </c>
      <c r="G59">
        <f>IF($D59=1,ROUND(SUM(householdfinance_v4_5!G59,householdfinance_v4_4!G59,householdfinance_v4_3!G59,householdfinance_v4_2!G59,householdfinance_v4_1!G59)/COUNT(householdfinance_v4_5!G59,householdfinance_v4_4!G59,householdfinance_v4_3!G59,householdfinance_v4_2!G59,householdfinance_v4_1!G59),0),"NA")</f>
        <v>0</v>
      </c>
      <c r="H59">
        <f>IF($E59=1,ROUND(SUM(householdfinance_v4_5!H59,householdfinance_v4_4!H59,householdfinance_v4_3!H59,householdfinance_v4_2!H59,householdfinance_v4_1!H59)/COUNT(householdfinance_v4_5!H59,householdfinance_v4_4!H59,householdfinance_v4_3!H59,householdfinance_v4_2!H59,householdfinance_v4_1!H59),0),"NA")</f>
        <v>1</v>
      </c>
      <c r="I59">
        <f>IF($D59=1,ROUND(SUM(householdfinance_v4_5!I59,householdfinance_v4_4!I59,householdfinance_v4_3!I59,householdfinance_v4_2!I59,householdfinance_v4_1!I59)/COUNT(householdfinance_v4_5!I59,householdfinance_v4_4!I59,householdfinance_v4_3!I59,householdfinance_v4_2!I59,householdfinance_v4_1!I59),0),"NA")</f>
        <v>1</v>
      </c>
      <c r="J59">
        <f>IF(AND($E59=1,$F59=1),ROUND(SUM(householdfinance_v4_5!J59,householdfinance_v4_4!J59,householdfinance_v4_3!J59,householdfinance_v4_2!J59,householdfinance_v4_1!J59)/COUNT(householdfinance_v4_5!J59,householdfinance_v4_4!J59,householdfinance_v4_3!J59,householdfinance_v4_2!J59,householdfinance_v4_1!J59),0),"NA")</f>
        <v>1</v>
      </c>
      <c r="K59">
        <f>IF($D59=1,ROUND(SUM(householdfinance_v4_5!K59,householdfinance_v4_4!K59,householdfinance_v4_3!K59,householdfinance_v4_2!K59,householdfinance_v4_1!K59)/COUNT(householdfinance_v4_5!K59,householdfinance_v4_4!K59,householdfinance_v4_3!K59,householdfinance_v4_2!K59,householdfinance_v4_1!K59),0),"NA")</f>
        <v>1</v>
      </c>
      <c r="L59">
        <f>IF($D59=1,ROUND(SUM(householdfinance_v4_5!L59,householdfinance_v4_4!L59,householdfinance_v4_3!L59,householdfinance_v4_2!L59,householdfinance_v4_1!L59)/COUNT(householdfinance_v4_5!L59,householdfinance_v4_4!L59,householdfinance_v4_3!L59,householdfinance_v4_2!L59,householdfinance_v4_1!L59),0),"NA")</f>
        <v>1</v>
      </c>
      <c r="M59">
        <f>IF($D59=1,ROUND(SUM(householdfinance_v4_5!M59,householdfinance_v4_4!M59,householdfinance_v4_3!M59,householdfinance_v4_2!M59,householdfinance_v4_1!M59)/COUNT(householdfinance_v4_5!M59,householdfinance_v4_4!M59,householdfinance_v4_3!M59,householdfinance_v4_2!M59,householdfinance_v4_1!M59),0),"NA")</f>
        <v>1</v>
      </c>
      <c r="N59">
        <f>IF($D59=1,ROUND(SUM(householdfinance_v4_5!N59,householdfinance_v4_4!N59,householdfinance_v4_3!N59,householdfinance_v4_2!N59,householdfinance_v4_1!N59)/COUNT(householdfinance_v4_5!N59,householdfinance_v4_4!N59,householdfinance_v4_3!N59,householdfinance_v4_2!N59,householdfinance_v4_1!N59),0),"NA")</f>
        <v>1</v>
      </c>
      <c r="O59">
        <v>1.710721969604492</v>
      </c>
    </row>
    <row r="60" spans="1:15" x14ac:dyDescent="0.25">
      <c r="A60" t="s">
        <v>86</v>
      </c>
      <c r="B60" t="s">
        <v>32</v>
      </c>
      <c r="C60">
        <v>0</v>
      </c>
      <c r="D60">
        <f>ROUND(SUM(householdfinance_v4_5!D60,householdfinance_v4_4!D60,householdfinance_v4_3!D60,householdfinance_v4_2!D60,householdfinance_v4_1!D60)/COUNT(householdfinance_v4_5!D60,householdfinance_v4_4!D60,householdfinance_v4_3!D60,householdfinance_v4_2!D60,householdfinance_v4_1!D60),0)</f>
        <v>1</v>
      </c>
      <c r="E60">
        <f>IF($D60=1,ROUND(SUM(householdfinance_v4_5!E60,householdfinance_v4_4!E60,householdfinance_v4_3!E60,householdfinance_v4_2!E60,householdfinance_v4_1!E60)/COUNT(householdfinance_v4_5!E60,householdfinance_v4_4!E60,householdfinance_v4_3!E60,householdfinance_v4_2!E60,householdfinance_v4_1!E60),0),"NA")</f>
        <v>1</v>
      </c>
      <c r="F60">
        <f>IF($D60=1,ROUND(SUM(householdfinance_v4_5!F60,householdfinance_v4_4!F60,householdfinance_v4_3!F60,householdfinance_v4_2!F60,householdfinance_v4_1!F60)/COUNT(householdfinance_v4_5!F60,householdfinance_v4_4!F60,householdfinance_v4_3!F60,householdfinance_v4_2!F60,householdfinance_v4_1!F60),0),"NA")</f>
        <v>1</v>
      </c>
      <c r="G60">
        <f>IF($D60=1,ROUND(SUM(householdfinance_v4_5!G60,householdfinance_v4_4!G60,householdfinance_v4_3!G60,householdfinance_v4_2!G60,householdfinance_v4_1!G60)/COUNT(householdfinance_v4_5!G60,householdfinance_v4_4!G60,householdfinance_v4_3!G60,householdfinance_v4_2!G60,householdfinance_v4_1!G60),0),"NA")</f>
        <v>1</v>
      </c>
      <c r="H60">
        <f>IF($E60=1,ROUND(SUM(householdfinance_v4_5!H60,householdfinance_v4_4!H60,householdfinance_v4_3!H60,householdfinance_v4_2!H60,householdfinance_v4_1!H60)/COUNT(householdfinance_v4_5!H60,householdfinance_v4_4!H60,householdfinance_v4_3!H60,householdfinance_v4_2!H60,householdfinance_v4_1!H60),0),"NA")</f>
        <v>1</v>
      </c>
      <c r="I60">
        <f>IF($D60=1,ROUND(SUM(householdfinance_v4_5!I60,householdfinance_v4_4!I60,householdfinance_v4_3!I60,householdfinance_v4_2!I60,householdfinance_v4_1!I60)/COUNT(householdfinance_v4_5!I60,householdfinance_v4_4!I60,householdfinance_v4_3!I60,householdfinance_v4_2!I60,householdfinance_v4_1!I60),0),"NA")</f>
        <v>1</v>
      </c>
      <c r="J60">
        <f>IF(AND($E60=1,$F60=1),ROUND(SUM(householdfinance_v4_5!J60,householdfinance_v4_4!J60,householdfinance_v4_3!J60,householdfinance_v4_2!J60,householdfinance_v4_1!J60)/COUNT(householdfinance_v4_5!J60,householdfinance_v4_4!J60,householdfinance_v4_3!J60,householdfinance_v4_2!J60,householdfinance_v4_1!J60),0),"NA")</f>
        <v>1</v>
      </c>
      <c r="K60">
        <f>IF($D60=1,ROUND(SUM(householdfinance_v4_5!K60,householdfinance_v4_4!K60,householdfinance_v4_3!K60,householdfinance_v4_2!K60,householdfinance_v4_1!K60)/COUNT(householdfinance_v4_5!K60,householdfinance_v4_4!K60,householdfinance_v4_3!K60,householdfinance_v4_2!K60,householdfinance_v4_1!K60),0),"NA")</f>
        <v>1</v>
      </c>
      <c r="L60">
        <f>IF($D60=1,ROUND(SUM(householdfinance_v4_5!L60,householdfinance_v4_4!L60,householdfinance_v4_3!L60,householdfinance_v4_2!L60,householdfinance_v4_1!L60)/COUNT(householdfinance_v4_5!L60,householdfinance_v4_4!L60,householdfinance_v4_3!L60,householdfinance_v4_2!L60,householdfinance_v4_1!L60),0),"NA")</f>
        <v>1</v>
      </c>
      <c r="M60">
        <f>IF($D60=1,ROUND(SUM(householdfinance_v4_5!M60,householdfinance_v4_4!M60,householdfinance_v4_3!M60,householdfinance_v4_2!M60,householdfinance_v4_1!M60)/COUNT(householdfinance_v4_5!M60,householdfinance_v4_4!M60,householdfinance_v4_3!M60,householdfinance_v4_2!M60,householdfinance_v4_1!M60),0),"NA")</f>
        <v>1</v>
      </c>
      <c r="N60">
        <f>IF($D60=1,ROUND(SUM(householdfinance_v4_5!N60,householdfinance_v4_4!N60,householdfinance_v4_3!N60,householdfinance_v4_2!N60,householdfinance_v4_1!N60)/COUNT(householdfinance_v4_5!N60,householdfinance_v4_4!N60,householdfinance_v4_3!N60,householdfinance_v4_2!N60,householdfinance_v4_1!N60),0),"NA")</f>
        <v>1</v>
      </c>
      <c r="O60">
        <v>1.2419142723083501</v>
      </c>
    </row>
    <row r="61" spans="1:15" x14ac:dyDescent="0.25">
      <c r="A61" t="s">
        <v>86</v>
      </c>
      <c r="B61" t="s">
        <v>33</v>
      </c>
      <c r="C61">
        <v>0</v>
      </c>
      <c r="D61">
        <f>ROUND(SUM(householdfinance_v4_5!D61,householdfinance_v4_4!D61,householdfinance_v4_3!D61,householdfinance_v4_2!D61,householdfinance_v4_1!D61)/COUNT(householdfinance_v4_5!D61,householdfinance_v4_4!D61,householdfinance_v4_3!D61,householdfinance_v4_2!D61,householdfinance_v4_1!D61),0)</f>
        <v>1</v>
      </c>
      <c r="E61">
        <f>IF($D61=1,ROUND(SUM(householdfinance_v4_5!E61,householdfinance_v4_4!E61,householdfinance_v4_3!E61,householdfinance_v4_2!E61,householdfinance_v4_1!E61)/COUNT(householdfinance_v4_5!E61,householdfinance_v4_4!E61,householdfinance_v4_3!E61,householdfinance_v4_2!E61,householdfinance_v4_1!E61),0),"NA")</f>
        <v>1</v>
      </c>
      <c r="F61">
        <f>IF($D61=1,ROUND(SUM(householdfinance_v4_5!F61,householdfinance_v4_4!F61,householdfinance_v4_3!F61,householdfinance_v4_2!F61,householdfinance_v4_1!F61)/COUNT(householdfinance_v4_5!F61,householdfinance_v4_4!F61,householdfinance_v4_3!F61,householdfinance_v4_2!F61,householdfinance_v4_1!F61),0),"NA")</f>
        <v>1</v>
      </c>
      <c r="G61">
        <f>IF($D61=1,ROUND(SUM(householdfinance_v4_5!G61,householdfinance_v4_4!G61,householdfinance_v4_3!G61,householdfinance_v4_2!G61,householdfinance_v4_1!G61)/COUNT(householdfinance_v4_5!G61,householdfinance_v4_4!G61,householdfinance_v4_3!G61,householdfinance_v4_2!G61,householdfinance_v4_1!G61),0),"NA")</f>
        <v>1</v>
      </c>
      <c r="H61">
        <f>IF($E61=1,ROUND(SUM(householdfinance_v4_5!H61,householdfinance_v4_4!H61,householdfinance_v4_3!H61,householdfinance_v4_2!H61,householdfinance_v4_1!H61)/COUNT(householdfinance_v4_5!H61,householdfinance_v4_4!H61,householdfinance_v4_3!H61,householdfinance_v4_2!H61,householdfinance_v4_1!H61),0),"NA")</f>
        <v>1</v>
      </c>
      <c r="I61">
        <f>IF($D61=1,ROUND(SUM(householdfinance_v4_5!I61,householdfinance_v4_4!I61,householdfinance_v4_3!I61,householdfinance_v4_2!I61,householdfinance_v4_1!I61)/COUNT(householdfinance_v4_5!I61,householdfinance_v4_4!I61,householdfinance_v4_3!I61,householdfinance_v4_2!I61,householdfinance_v4_1!I61),0),"NA")</f>
        <v>1</v>
      </c>
      <c r="J61">
        <f>IF(AND($E61=1,$F61=1),ROUND(SUM(householdfinance_v4_5!J61,householdfinance_v4_4!J61,householdfinance_v4_3!J61,householdfinance_v4_2!J61,householdfinance_v4_1!J61)/COUNT(householdfinance_v4_5!J61,householdfinance_v4_4!J61,householdfinance_v4_3!J61,householdfinance_v4_2!J61,householdfinance_v4_1!J61),0),"NA")</f>
        <v>1</v>
      </c>
      <c r="K61">
        <f>IF($D61=1,ROUND(SUM(householdfinance_v4_5!K61,householdfinance_v4_4!K61,householdfinance_v4_3!K61,householdfinance_v4_2!K61,householdfinance_v4_1!K61)/COUNT(householdfinance_v4_5!K61,householdfinance_v4_4!K61,householdfinance_v4_3!K61,householdfinance_v4_2!K61,householdfinance_v4_1!K61),0),"NA")</f>
        <v>1</v>
      </c>
      <c r="L61">
        <f>IF($D61=1,ROUND(SUM(householdfinance_v4_5!L61,householdfinance_v4_4!L61,householdfinance_v4_3!L61,householdfinance_v4_2!L61,householdfinance_v4_1!L61)/COUNT(householdfinance_v4_5!L61,householdfinance_v4_4!L61,householdfinance_v4_3!L61,householdfinance_v4_2!L61,householdfinance_v4_1!L61),0),"NA")</f>
        <v>1</v>
      </c>
      <c r="M61">
        <f>IF($D61=1,ROUND(SUM(householdfinance_v4_5!M61,householdfinance_v4_4!M61,householdfinance_v4_3!M61,householdfinance_v4_2!M61,householdfinance_v4_1!M61)/COUNT(householdfinance_v4_5!M61,householdfinance_v4_4!M61,householdfinance_v4_3!M61,householdfinance_v4_2!M61,householdfinance_v4_1!M61),0),"NA")</f>
        <v>1</v>
      </c>
      <c r="N61">
        <f>IF($D61=1,ROUND(SUM(householdfinance_v4_5!N61,householdfinance_v4_4!N61,householdfinance_v4_3!N61,householdfinance_v4_2!N61,householdfinance_v4_1!N61)/COUNT(householdfinance_v4_5!N61,householdfinance_v4_4!N61,householdfinance_v4_3!N61,householdfinance_v4_2!N61,householdfinance_v4_1!N61),0),"NA")</f>
        <v>1</v>
      </c>
      <c r="O61">
        <v>1.6234893798828121</v>
      </c>
    </row>
    <row r="62" spans="1:15" x14ac:dyDescent="0.25">
      <c r="A62" t="s">
        <v>86</v>
      </c>
      <c r="B62" t="s">
        <v>34</v>
      </c>
      <c r="C62">
        <v>0</v>
      </c>
      <c r="D62">
        <f>ROUND(SUM(householdfinance_v4_5!D62,householdfinance_v4_4!D62,householdfinance_v4_3!D62,householdfinance_v4_2!D62,householdfinance_v4_1!D62)/COUNT(householdfinance_v4_5!D62,householdfinance_v4_4!D62,householdfinance_v4_3!D62,householdfinance_v4_2!D62,householdfinance_v4_1!D62),0)</f>
        <v>1</v>
      </c>
      <c r="E62">
        <f>IF($D62=1,ROUND(SUM(householdfinance_v4_5!E62,householdfinance_v4_4!E62,householdfinance_v4_3!E62,householdfinance_v4_2!E62,householdfinance_v4_1!E62)/COUNT(householdfinance_v4_5!E62,householdfinance_v4_4!E62,householdfinance_v4_3!E62,householdfinance_v4_2!E62,householdfinance_v4_1!E62),0),"NA")</f>
        <v>1</v>
      </c>
      <c r="F62">
        <f>IF($D62=1,ROUND(SUM(householdfinance_v4_5!F62,householdfinance_v4_4!F62,householdfinance_v4_3!F62,householdfinance_v4_2!F62,householdfinance_v4_1!F62)/COUNT(householdfinance_v4_5!F62,householdfinance_v4_4!F62,householdfinance_v4_3!F62,householdfinance_v4_2!F62,householdfinance_v4_1!F62),0),"NA")</f>
        <v>1</v>
      </c>
      <c r="G62">
        <f>IF($D62=1,ROUND(SUM(householdfinance_v4_5!G62,householdfinance_v4_4!G62,householdfinance_v4_3!G62,householdfinance_v4_2!G62,householdfinance_v4_1!G62)/COUNT(householdfinance_v4_5!G62,householdfinance_v4_4!G62,householdfinance_v4_3!G62,householdfinance_v4_2!G62,householdfinance_v4_1!G62),0),"NA")</f>
        <v>1</v>
      </c>
      <c r="H62">
        <f>IF($E62=1,ROUND(SUM(householdfinance_v4_5!H62,householdfinance_v4_4!H62,householdfinance_v4_3!H62,householdfinance_v4_2!H62,householdfinance_v4_1!H62)/COUNT(householdfinance_v4_5!H62,householdfinance_v4_4!H62,householdfinance_v4_3!H62,householdfinance_v4_2!H62,householdfinance_v4_1!H62),0),"NA")</f>
        <v>1</v>
      </c>
      <c r="I62">
        <f>IF($D62=1,ROUND(SUM(householdfinance_v4_5!I62,householdfinance_v4_4!I62,householdfinance_v4_3!I62,householdfinance_v4_2!I62,householdfinance_v4_1!I62)/COUNT(householdfinance_v4_5!I62,householdfinance_v4_4!I62,householdfinance_v4_3!I62,householdfinance_v4_2!I62,householdfinance_v4_1!I62),0),"NA")</f>
        <v>1</v>
      </c>
      <c r="J62">
        <f>IF(AND($E62=1,$F62=1),ROUND(SUM(householdfinance_v4_5!J62,householdfinance_v4_4!J62,householdfinance_v4_3!J62,householdfinance_v4_2!J62,householdfinance_v4_1!J62)/COUNT(householdfinance_v4_5!J62,householdfinance_v4_4!J62,householdfinance_v4_3!J62,householdfinance_v4_2!J62,householdfinance_v4_1!J62),0),"NA")</f>
        <v>1</v>
      </c>
      <c r="K62">
        <f>IF($D62=1,ROUND(SUM(householdfinance_v4_5!K62,householdfinance_v4_4!K62,householdfinance_v4_3!K62,householdfinance_v4_2!K62,householdfinance_v4_1!K62)/COUNT(householdfinance_v4_5!K62,householdfinance_v4_4!K62,householdfinance_v4_3!K62,householdfinance_v4_2!K62,householdfinance_v4_1!K62),0),"NA")</f>
        <v>1</v>
      </c>
      <c r="L62">
        <f>IF($D62=1,ROUND(SUM(householdfinance_v4_5!L62,householdfinance_v4_4!L62,householdfinance_v4_3!L62,householdfinance_v4_2!L62,householdfinance_v4_1!L62)/COUNT(householdfinance_v4_5!L62,householdfinance_v4_4!L62,householdfinance_v4_3!L62,householdfinance_v4_2!L62,householdfinance_v4_1!L62),0),"NA")</f>
        <v>1</v>
      </c>
      <c r="M62">
        <f>IF($D62=1,ROUND(SUM(householdfinance_v4_5!M62,householdfinance_v4_4!M62,householdfinance_v4_3!M62,householdfinance_v4_2!M62,householdfinance_v4_1!M62)/COUNT(householdfinance_v4_5!M62,householdfinance_v4_4!M62,householdfinance_v4_3!M62,householdfinance_v4_2!M62,householdfinance_v4_1!M62),0),"NA")</f>
        <v>1</v>
      </c>
      <c r="N62">
        <f>IF($D62=1,ROUND(SUM(householdfinance_v4_5!N62,householdfinance_v4_4!N62,householdfinance_v4_3!N62,householdfinance_v4_2!N62,householdfinance_v4_1!N62)/COUNT(householdfinance_v4_5!N62,householdfinance_v4_4!N62,householdfinance_v4_3!N62,householdfinance_v4_2!N62,householdfinance_v4_1!N62),0),"NA")</f>
        <v>1</v>
      </c>
      <c r="O62">
        <v>4.4535751342773438</v>
      </c>
    </row>
    <row r="63" spans="1:15" x14ac:dyDescent="0.25">
      <c r="A63" t="s">
        <v>86</v>
      </c>
      <c r="B63" t="s">
        <v>35</v>
      </c>
      <c r="C63">
        <v>0</v>
      </c>
      <c r="D63">
        <f>ROUND(SUM(householdfinance_v4_5!D63,householdfinance_v4_4!D63,householdfinance_v4_3!D63,householdfinance_v4_2!D63,householdfinance_v4_1!D63)/COUNT(householdfinance_v4_5!D63,householdfinance_v4_4!D63,householdfinance_v4_3!D63,householdfinance_v4_2!D63,householdfinance_v4_1!D63),0)</f>
        <v>1</v>
      </c>
      <c r="E63">
        <f>IF($D63=1,ROUND(SUM(householdfinance_v4_5!E63,householdfinance_v4_4!E63,householdfinance_v4_3!E63,householdfinance_v4_2!E63,householdfinance_v4_1!E63)/COUNT(householdfinance_v4_5!E63,householdfinance_v4_4!E63,householdfinance_v4_3!E63,householdfinance_v4_2!E63,householdfinance_v4_1!E63),0),"NA")</f>
        <v>1</v>
      </c>
      <c r="F63">
        <f>IF($D63=1,ROUND(SUM(householdfinance_v4_5!F63,householdfinance_v4_4!F63,householdfinance_v4_3!F63,householdfinance_v4_2!F63,householdfinance_v4_1!F63)/COUNT(householdfinance_v4_5!F63,householdfinance_v4_4!F63,householdfinance_v4_3!F63,householdfinance_v4_2!F63,householdfinance_v4_1!F63),0),"NA")</f>
        <v>1</v>
      </c>
      <c r="G63">
        <f>IF($D63=1,ROUND(SUM(householdfinance_v4_5!G63,householdfinance_v4_4!G63,householdfinance_v4_3!G63,householdfinance_v4_2!G63,householdfinance_v4_1!G63)/COUNT(householdfinance_v4_5!G63,householdfinance_v4_4!G63,householdfinance_v4_3!G63,householdfinance_v4_2!G63,householdfinance_v4_1!G63),0),"NA")</f>
        <v>1</v>
      </c>
      <c r="H63">
        <f>IF($E63=1,ROUND(SUM(householdfinance_v4_5!H63,householdfinance_v4_4!H63,householdfinance_v4_3!H63,householdfinance_v4_2!H63,householdfinance_v4_1!H63)/COUNT(householdfinance_v4_5!H63,householdfinance_v4_4!H63,householdfinance_v4_3!H63,householdfinance_v4_2!H63,householdfinance_v4_1!H63),0),"NA")</f>
        <v>1</v>
      </c>
      <c r="I63">
        <f>IF($D63=1,ROUND(SUM(householdfinance_v4_5!I63,householdfinance_v4_4!I63,householdfinance_v4_3!I63,householdfinance_v4_2!I63,householdfinance_v4_1!I63)/COUNT(householdfinance_v4_5!I63,householdfinance_v4_4!I63,householdfinance_v4_3!I63,householdfinance_v4_2!I63,householdfinance_v4_1!I63),0),"NA")</f>
        <v>1</v>
      </c>
      <c r="J63">
        <f>IF(AND($E63=1,$F63=1),ROUND(SUM(householdfinance_v4_5!J63,householdfinance_v4_4!J63,householdfinance_v4_3!J63,householdfinance_v4_2!J63,householdfinance_v4_1!J63)/COUNT(householdfinance_v4_5!J63,householdfinance_v4_4!J63,householdfinance_v4_3!J63,householdfinance_v4_2!J63,householdfinance_v4_1!J63),0),"NA")</f>
        <v>1</v>
      </c>
      <c r="K63">
        <f>IF($D63=1,ROUND(SUM(householdfinance_v4_5!K63,householdfinance_v4_4!K63,householdfinance_v4_3!K63,householdfinance_v4_2!K63,householdfinance_v4_1!K63)/COUNT(householdfinance_v4_5!K63,householdfinance_v4_4!K63,householdfinance_v4_3!K63,householdfinance_v4_2!K63,householdfinance_v4_1!K63),0),"NA")</f>
        <v>1</v>
      </c>
      <c r="L63">
        <f>IF($D63=1,ROUND(SUM(householdfinance_v4_5!L63,householdfinance_v4_4!L63,householdfinance_v4_3!L63,householdfinance_v4_2!L63,householdfinance_v4_1!L63)/COUNT(householdfinance_v4_5!L63,householdfinance_v4_4!L63,householdfinance_v4_3!L63,householdfinance_v4_2!L63,householdfinance_v4_1!L63),0),"NA")</f>
        <v>1</v>
      </c>
      <c r="M63">
        <f>IF($D63=1,ROUND(SUM(householdfinance_v4_5!M63,householdfinance_v4_4!M63,householdfinance_v4_3!M63,householdfinance_v4_2!M63,householdfinance_v4_1!M63)/COUNT(householdfinance_v4_5!M63,householdfinance_v4_4!M63,householdfinance_v4_3!M63,householdfinance_v4_2!M63,householdfinance_v4_1!M63),0),"NA")</f>
        <v>1</v>
      </c>
      <c r="N63">
        <f>IF($D63=1,ROUND(SUM(householdfinance_v4_5!N63,householdfinance_v4_4!N63,householdfinance_v4_3!N63,householdfinance_v4_2!N63,householdfinance_v4_1!N63)/COUNT(householdfinance_v4_5!N63,householdfinance_v4_4!N63,householdfinance_v4_3!N63,householdfinance_v4_2!N63,householdfinance_v4_1!N63),0),"NA")</f>
        <v>1</v>
      </c>
      <c r="O63">
        <v>2.8139216899871831</v>
      </c>
    </row>
    <row r="64" spans="1:15" x14ac:dyDescent="0.25">
      <c r="A64" t="s">
        <v>86</v>
      </c>
      <c r="B64" t="s">
        <v>37</v>
      </c>
      <c r="C64">
        <v>0</v>
      </c>
      <c r="D64">
        <f>ROUND(SUM(householdfinance_v4_5!D64,householdfinance_v4_4!D64,householdfinance_v4_3!D64,householdfinance_v4_2!D64,householdfinance_v4_1!D64)/COUNT(householdfinance_v4_5!D64,householdfinance_v4_4!D64,householdfinance_v4_3!D64,householdfinance_v4_2!D64,householdfinance_v4_1!D64),0)</f>
        <v>1</v>
      </c>
      <c r="E64">
        <f>IF($D64=1,ROUND(SUM(householdfinance_v4_5!E64,householdfinance_v4_4!E64,householdfinance_v4_3!E64,householdfinance_v4_2!E64,householdfinance_v4_1!E64)/COUNT(householdfinance_v4_5!E64,householdfinance_v4_4!E64,householdfinance_v4_3!E64,householdfinance_v4_2!E64,householdfinance_v4_1!E64),0),"NA")</f>
        <v>1</v>
      </c>
      <c r="F64">
        <f>IF($D64=1,ROUND(SUM(householdfinance_v4_5!F64,householdfinance_v4_4!F64,householdfinance_v4_3!F64,householdfinance_v4_2!F64,householdfinance_v4_1!F64)/COUNT(householdfinance_v4_5!F64,householdfinance_v4_4!F64,householdfinance_v4_3!F64,householdfinance_v4_2!F64,householdfinance_v4_1!F64),0),"NA")</f>
        <v>1</v>
      </c>
      <c r="G64">
        <f>IF($D64=1,ROUND(SUM(householdfinance_v4_5!G64,householdfinance_v4_4!G64,householdfinance_v4_3!G64,householdfinance_v4_2!G64,householdfinance_v4_1!G64)/COUNT(householdfinance_v4_5!G64,householdfinance_v4_4!G64,householdfinance_v4_3!G64,householdfinance_v4_2!G64,householdfinance_v4_1!G64),0),"NA")</f>
        <v>1</v>
      </c>
      <c r="H64">
        <f>IF($E64=1,ROUND(SUM(householdfinance_v4_5!H64,householdfinance_v4_4!H64,householdfinance_v4_3!H64,householdfinance_v4_2!H64,householdfinance_v4_1!H64)/COUNT(householdfinance_v4_5!H64,householdfinance_v4_4!H64,householdfinance_v4_3!H64,householdfinance_v4_2!H64,householdfinance_v4_1!H64),0),"NA")</f>
        <v>1</v>
      </c>
      <c r="I64">
        <f>IF($D64=1,ROUND(SUM(householdfinance_v4_5!I64,householdfinance_v4_4!I64,householdfinance_v4_3!I64,householdfinance_v4_2!I64,householdfinance_v4_1!I64)/COUNT(householdfinance_v4_5!I64,householdfinance_v4_4!I64,householdfinance_v4_3!I64,householdfinance_v4_2!I64,householdfinance_v4_1!I64),0),"NA")</f>
        <v>1</v>
      </c>
      <c r="J64">
        <f>IF(AND($E64=1,$F64=1),ROUND(SUM(householdfinance_v4_5!J64,householdfinance_v4_4!J64,householdfinance_v4_3!J64,householdfinance_v4_2!J64,householdfinance_v4_1!J64)/COUNT(householdfinance_v4_5!J64,householdfinance_v4_4!J64,householdfinance_v4_3!J64,householdfinance_v4_2!J64,householdfinance_v4_1!J64),0),"NA")</f>
        <v>1</v>
      </c>
      <c r="K64">
        <f>IF($D64=1,ROUND(SUM(householdfinance_v4_5!K64,householdfinance_v4_4!K64,householdfinance_v4_3!K64,householdfinance_v4_2!K64,householdfinance_v4_1!K64)/COUNT(householdfinance_v4_5!K64,householdfinance_v4_4!K64,householdfinance_v4_3!K64,householdfinance_v4_2!K64,householdfinance_v4_1!K64),0),"NA")</f>
        <v>1</v>
      </c>
      <c r="L64">
        <f>IF($D64=1,ROUND(SUM(householdfinance_v4_5!L64,householdfinance_v4_4!L64,householdfinance_v4_3!L64,householdfinance_v4_2!L64,householdfinance_v4_1!L64)/COUNT(householdfinance_v4_5!L64,householdfinance_v4_4!L64,householdfinance_v4_3!L64,householdfinance_v4_2!L64,householdfinance_v4_1!L64),0),"NA")</f>
        <v>1</v>
      </c>
      <c r="M64">
        <f>IF($D64=1,ROUND(SUM(householdfinance_v4_5!M64,householdfinance_v4_4!M64,householdfinance_v4_3!M64,householdfinance_v4_2!M64,householdfinance_v4_1!M64)/COUNT(householdfinance_v4_5!M64,householdfinance_v4_4!M64,householdfinance_v4_3!M64,householdfinance_v4_2!M64,householdfinance_v4_1!M64),0),"NA")</f>
        <v>1</v>
      </c>
      <c r="N64">
        <f>IF($D64=1,ROUND(SUM(householdfinance_v4_5!N64,householdfinance_v4_4!N64,householdfinance_v4_3!N64,householdfinance_v4_2!N64,householdfinance_v4_1!N64)/COUNT(householdfinance_v4_5!N64,householdfinance_v4_4!N64,householdfinance_v4_3!N64,householdfinance_v4_2!N64,householdfinance_v4_1!N64),0),"NA")</f>
        <v>1</v>
      </c>
      <c r="O64">
        <v>1.1576218605041499</v>
      </c>
    </row>
    <row r="65" spans="1:15" x14ac:dyDescent="0.25">
      <c r="A65" t="s">
        <v>86</v>
      </c>
      <c r="B65" t="s">
        <v>38</v>
      </c>
      <c r="C65">
        <v>0</v>
      </c>
      <c r="D65">
        <f>ROUND(SUM(householdfinance_v4_5!D65,householdfinance_v4_4!D65,householdfinance_v4_3!D65,householdfinance_v4_2!D65,householdfinance_v4_1!D65)/COUNT(householdfinance_v4_5!D65,householdfinance_v4_4!D65,householdfinance_v4_3!D65,householdfinance_v4_2!D65,householdfinance_v4_1!D65),0)</f>
        <v>1</v>
      </c>
      <c r="E65">
        <f>IF($D65=1,ROUND(SUM(householdfinance_v4_5!E65,householdfinance_v4_4!E65,householdfinance_v4_3!E65,householdfinance_v4_2!E65,householdfinance_v4_1!E65)/COUNT(householdfinance_v4_5!E65,householdfinance_v4_4!E65,householdfinance_v4_3!E65,householdfinance_v4_2!E65,householdfinance_v4_1!E65),0),"NA")</f>
        <v>1</v>
      </c>
      <c r="F65">
        <f>IF($D65=1,ROUND(SUM(householdfinance_v4_5!F65,householdfinance_v4_4!F65,householdfinance_v4_3!F65,householdfinance_v4_2!F65,householdfinance_v4_1!F65)/COUNT(householdfinance_v4_5!F65,householdfinance_v4_4!F65,householdfinance_v4_3!F65,householdfinance_v4_2!F65,householdfinance_v4_1!F65),0),"NA")</f>
        <v>1</v>
      </c>
      <c r="G65">
        <f>IF($D65=1,ROUND(SUM(householdfinance_v4_5!G65,householdfinance_v4_4!G65,householdfinance_v4_3!G65,householdfinance_v4_2!G65,householdfinance_v4_1!G65)/COUNT(householdfinance_v4_5!G65,householdfinance_v4_4!G65,householdfinance_v4_3!G65,householdfinance_v4_2!G65,householdfinance_v4_1!G65),0),"NA")</f>
        <v>1</v>
      </c>
      <c r="H65">
        <f>IF($E65=1,ROUND(SUM(householdfinance_v4_5!H65,householdfinance_v4_4!H65,householdfinance_v4_3!H65,householdfinance_v4_2!H65,householdfinance_v4_1!H65)/COUNT(householdfinance_v4_5!H65,householdfinance_v4_4!H65,householdfinance_v4_3!H65,householdfinance_v4_2!H65,householdfinance_v4_1!H65),0),"NA")</f>
        <v>1</v>
      </c>
      <c r="I65">
        <f>IF($D65=1,ROUND(SUM(householdfinance_v4_5!I65,householdfinance_v4_4!I65,householdfinance_v4_3!I65,householdfinance_v4_2!I65,householdfinance_v4_1!I65)/COUNT(householdfinance_v4_5!I65,householdfinance_v4_4!I65,householdfinance_v4_3!I65,householdfinance_v4_2!I65,householdfinance_v4_1!I65),0),"NA")</f>
        <v>1</v>
      </c>
      <c r="J65">
        <f>IF(AND($E65=1,$F65=1),ROUND(SUM(householdfinance_v4_5!J65,householdfinance_v4_4!J65,householdfinance_v4_3!J65,householdfinance_v4_2!J65,householdfinance_v4_1!J65)/COUNT(householdfinance_v4_5!J65,householdfinance_v4_4!J65,householdfinance_v4_3!J65,householdfinance_v4_2!J65,householdfinance_v4_1!J65),0),"NA")</f>
        <v>1</v>
      </c>
      <c r="K65">
        <f>IF($D65=1,ROUND(SUM(householdfinance_v4_5!K65,householdfinance_v4_4!K65,householdfinance_v4_3!K65,householdfinance_v4_2!K65,householdfinance_v4_1!K65)/COUNT(householdfinance_v4_5!K65,householdfinance_v4_4!K65,householdfinance_v4_3!K65,householdfinance_v4_2!K65,householdfinance_v4_1!K65),0),"NA")</f>
        <v>1</v>
      </c>
      <c r="L65">
        <f>IF($D65=1,ROUND(SUM(householdfinance_v4_5!L65,householdfinance_v4_4!L65,householdfinance_v4_3!L65,householdfinance_v4_2!L65,householdfinance_v4_1!L65)/COUNT(householdfinance_v4_5!L65,householdfinance_v4_4!L65,householdfinance_v4_3!L65,householdfinance_v4_2!L65,householdfinance_v4_1!L65),0),"NA")</f>
        <v>1</v>
      </c>
      <c r="M65">
        <f>IF($D65=1,ROUND(SUM(householdfinance_v4_5!M65,householdfinance_v4_4!M65,householdfinance_v4_3!M65,householdfinance_v4_2!M65,householdfinance_v4_1!M65)/COUNT(householdfinance_v4_5!M65,householdfinance_v4_4!M65,householdfinance_v4_3!M65,householdfinance_v4_2!M65,householdfinance_v4_1!M65),0),"NA")</f>
        <v>1</v>
      </c>
      <c r="N65">
        <f>IF($D65=1,ROUND(SUM(householdfinance_v4_5!N65,householdfinance_v4_4!N65,householdfinance_v4_3!N65,householdfinance_v4_2!N65,householdfinance_v4_1!N65)/COUNT(householdfinance_v4_5!N65,householdfinance_v4_4!N65,householdfinance_v4_3!N65,householdfinance_v4_2!N65,householdfinance_v4_1!N65),0),"NA")</f>
        <v>1</v>
      </c>
      <c r="O65">
        <v>1.3282308578491211</v>
      </c>
    </row>
    <row r="66" spans="1:15" x14ac:dyDescent="0.25">
      <c r="A66" t="s">
        <v>86</v>
      </c>
      <c r="B66" t="s">
        <v>39</v>
      </c>
      <c r="C66">
        <v>0</v>
      </c>
      <c r="D66">
        <f>ROUND(SUM(householdfinance_v4_5!D66,householdfinance_v4_4!D66,householdfinance_v4_3!D66,householdfinance_v4_2!D66,householdfinance_v4_1!D66)/COUNT(householdfinance_v4_5!D66,householdfinance_v4_4!D66,householdfinance_v4_3!D66,householdfinance_v4_2!D66,householdfinance_v4_1!D66),0)</f>
        <v>1</v>
      </c>
      <c r="E66">
        <f>IF($D66=1,ROUND(SUM(householdfinance_v4_5!E66,householdfinance_v4_4!E66,householdfinance_v4_3!E66,householdfinance_v4_2!E66,householdfinance_v4_1!E66)/COUNT(householdfinance_v4_5!E66,householdfinance_v4_4!E66,householdfinance_v4_3!E66,householdfinance_v4_2!E66,householdfinance_v4_1!E66),0),"NA")</f>
        <v>1</v>
      </c>
      <c r="F66">
        <f>IF($D66=1,ROUND(SUM(householdfinance_v4_5!F66,householdfinance_v4_4!F66,householdfinance_v4_3!F66,householdfinance_v4_2!F66,householdfinance_v4_1!F66)/COUNT(householdfinance_v4_5!F66,householdfinance_v4_4!F66,householdfinance_v4_3!F66,householdfinance_v4_2!F66,householdfinance_v4_1!F66),0),"NA")</f>
        <v>1</v>
      </c>
      <c r="G66">
        <f>IF($D66=1,ROUND(SUM(householdfinance_v4_5!G66,householdfinance_v4_4!G66,householdfinance_v4_3!G66,householdfinance_v4_2!G66,householdfinance_v4_1!G66)/COUNT(householdfinance_v4_5!G66,householdfinance_v4_4!G66,householdfinance_v4_3!G66,householdfinance_v4_2!G66,householdfinance_v4_1!G66),0),"NA")</f>
        <v>1</v>
      </c>
      <c r="H66">
        <f>IF($E66=1,ROUND(SUM(householdfinance_v4_5!H66,householdfinance_v4_4!H66,householdfinance_v4_3!H66,householdfinance_v4_2!H66,householdfinance_v4_1!H66)/COUNT(householdfinance_v4_5!H66,householdfinance_v4_4!H66,householdfinance_v4_3!H66,householdfinance_v4_2!H66,householdfinance_v4_1!H66),0),"NA")</f>
        <v>1</v>
      </c>
      <c r="I66">
        <f>IF($D66=1,ROUND(SUM(householdfinance_v4_5!I66,householdfinance_v4_4!I66,householdfinance_v4_3!I66,householdfinance_v4_2!I66,householdfinance_v4_1!I66)/COUNT(householdfinance_v4_5!I66,householdfinance_v4_4!I66,householdfinance_v4_3!I66,householdfinance_v4_2!I66,householdfinance_v4_1!I66),0),"NA")</f>
        <v>1</v>
      </c>
      <c r="J66">
        <f>IF(AND($E66=1,$F66=1),ROUND(SUM(householdfinance_v4_5!J66,householdfinance_v4_4!J66,householdfinance_v4_3!J66,householdfinance_v4_2!J66,householdfinance_v4_1!J66)/COUNT(householdfinance_v4_5!J66,householdfinance_v4_4!J66,householdfinance_v4_3!J66,householdfinance_v4_2!J66,householdfinance_v4_1!J66),0),"NA")</f>
        <v>1</v>
      </c>
      <c r="K66">
        <f>IF($D66=1,ROUND(SUM(householdfinance_v4_5!K66,householdfinance_v4_4!K66,householdfinance_v4_3!K66,householdfinance_v4_2!K66,householdfinance_v4_1!K66)/COUNT(householdfinance_v4_5!K66,householdfinance_v4_4!K66,householdfinance_v4_3!K66,householdfinance_v4_2!K66,householdfinance_v4_1!K66),0),"NA")</f>
        <v>1</v>
      </c>
      <c r="L66">
        <f>IF($D66=1,ROUND(SUM(householdfinance_v4_5!L66,householdfinance_v4_4!L66,householdfinance_v4_3!L66,householdfinance_v4_2!L66,householdfinance_v4_1!L66)/COUNT(householdfinance_v4_5!L66,householdfinance_v4_4!L66,householdfinance_v4_3!L66,householdfinance_v4_2!L66,householdfinance_v4_1!L66),0),"NA")</f>
        <v>1</v>
      </c>
      <c r="M66">
        <f>IF($D66=1,ROUND(SUM(householdfinance_v4_5!M66,householdfinance_v4_4!M66,householdfinance_v4_3!M66,householdfinance_v4_2!M66,householdfinance_v4_1!M66)/COUNT(householdfinance_v4_5!M66,householdfinance_v4_4!M66,householdfinance_v4_3!M66,householdfinance_v4_2!M66,householdfinance_v4_1!M66),0),"NA")</f>
        <v>1</v>
      </c>
      <c r="N66">
        <f>IF($D66=1,ROUND(SUM(householdfinance_v4_5!N66,householdfinance_v4_4!N66,householdfinance_v4_3!N66,householdfinance_v4_2!N66,householdfinance_v4_1!N66)/COUNT(householdfinance_v4_5!N66,householdfinance_v4_4!N66,householdfinance_v4_3!N66,householdfinance_v4_2!N66,householdfinance_v4_1!N66),0),"NA")</f>
        <v>1</v>
      </c>
      <c r="O66">
        <v>1.668779134750366</v>
      </c>
    </row>
    <row r="67" spans="1:15" x14ac:dyDescent="0.25">
      <c r="A67" t="s">
        <v>86</v>
      </c>
      <c r="B67" t="s">
        <v>40</v>
      </c>
      <c r="C67">
        <v>0</v>
      </c>
      <c r="D67">
        <f>ROUND(SUM(householdfinance_v4_5!D67,householdfinance_v4_4!D67,householdfinance_v4_3!D67,householdfinance_v4_2!D67,householdfinance_v4_1!D67)/COUNT(householdfinance_v4_5!D67,householdfinance_v4_4!D67,householdfinance_v4_3!D67,householdfinance_v4_2!D67,householdfinance_v4_1!D67),0)</f>
        <v>1</v>
      </c>
      <c r="E67">
        <f>IF($D67=1,ROUND(SUM(householdfinance_v4_5!E67,householdfinance_v4_4!E67,householdfinance_v4_3!E67,householdfinance_v4_2!E67,householdfinance_v4_1!E67)/COUNT(householdfinance_v4_5!E67,householdfinance_v4_4!E67,householdfinance_v4_3!E67,householdfinance_v4_2!E67,householdfinance_v4_1!E67),0),"NA")</f>
        <v>1</v>
      </c>
      <c r="F67">
        <f>IF($D67=1,ROUND(SUM(householdfinance_v4_5!F67,householdfinance_v4_4!F67,householdfinance_v4_3!F67,householdfinance_v4_2!F67,householdfinance_v4_1!F67)/COUNT(householdfinance_v4_5!F67,householdfinance_v4_4!F67,householdfinance_v4_3!F67,householdfinance_v4_2!F67,householdfinance_v4_1!F67),0),"NA")</f>
        <v>1</v>
      </c>
      <c r="G67">
        <f>IF($D67=1,ROUND(SUM(householdfinance_v4_5!G67,householdfinance_v4_4!G67,householdfinance_v4_3!G67,householdfinance_v4_2!G67,householdfinance_v4_1!G67)/COUNT(householdfinance_v4_5!G67,householdfinance_v4_4!G67,householdfinance_v4_3!G67,householdfinance_v4_2!G67,householdfinance_v4_1!G67),0),"NA")</f>
        <v>1</v>
      </c>
      <c r="H67">
        <f>IF($E67=1,ROUND(SUM(householdfinance_v4_5!H67,householdfinance_v4_4!H67,householdfinance_v4_3!H67,householdfinance_v4_2!H67,householdfinance_v4_1!H67)/COUNT(householdfinance_v4_5!H67,householdfinance_v4_4!H67,householdfinance_v4_3!H67,householdfinance_v4_2!H67,householdfinance_v4_1!H67),0),"NA")</f>
        <v>1</v>
      </c>
      <c r="I67">
        <f>IF($D67=1,ROUND(SUM(householdfinance_v4_5!I67,householdfinance_v4_4!I67,householdfinance_v4_3!I67,householdfinance_v4_2!I67,householdfinance_v4_1!I67)/COUNT(householdfinance_v4_5!I67,householdfinance_v4_4!I67,householdfinance_v4_3!I67,householdfinance_v4_2!I67,householdfinance_v4_1!I67),0),"NA")</f>
        <v>1</v>
      </c>
      <c r="J67">
        <f>IF(AND($E67=1,$F67=1),ROUND(SUM(householdfinance_v4_5!J67,householdfinance_v4_4!J67,householdfinance_v4_3!J67,householdfinance_v4_2!J67,householdfinance_v4_1!J67)/COUNT(householdfinance_v4_5!J67,householdfinance_v4_4!J67,householdfinance_v4_3!J67,householdfinance_v4_2!J67,householdfinance_v4_1!J67),0),"NA")</f>
        <v>1</v>
      </c>
      <c r="K67">
        <f>IF($D67=1,ROUND(SUM(householdfinance_v4_5!K67,householdfinance_v4_4!K67,householdfinance_v4_3!K67,householdfinance_v4_2!K67,householdfinance_v4_1!K67)/COUNT(householdfinance_v4_5!K67,householdfinance_v4_4!K67,householdfinance_v4_3!K67,householdfinance_v4_2!K67,householdfinance_v4_1!K67),0),"NA")</f>
        <v>1</v>
      </c>
      <c r="L67">
        <f>IF($D67=1,ROUND(SUM(householdfinance_v4_5!L67,householdfinance_v4_4!L67,householdfinance_v4_3!L67,householdfinance_v4_2!L67,householdfinance_v4_1!L67)/COUNT(householdfinance_v4_5!L67,householdfinance_v4_4!L67,householdfinance_v4_3!L67,householdfinance_v4_2!L67,householdfinance_v4_1!L67),0),"NA")</f>
        <v>1</v>
      </c>
      <c r="M67">
        <f>IF($D67=1,ROUND(SUM(householdfinance_v4_5!M67,householdfinance_v4_4!M67,householdfinance_v4_3!M67,householdfinance_v4_2!M67,householdfinance_v4_1!M67)/COUNT(householdfinance_v4_5!M67,householdfinance_v4_4!M67,householdfinance_v4_3!M67,householdfinance_v4_2!M67,householdfinance_v4_1!M67),0),"NA")</f>
        <v>1</v>
      </c>
      <c r="N67">
        <f>IF($D67=1,ROUND(SUM(householdfinance_v4_5!N67,householdfinance_v4_4!N67,householdfinance_v4_3!N67,householdfinance_v4_2!N67,householdfinance_v4_1!N67)/COUNT(householdfinance_v4_5!N67,householdfinance_v4_4!N67,householdfinance_v4_3!N67,householdfinance_v4_2!N67,householdfinance_v4_1!N67),0),"NA")</f>
        <v>1</v>
      </c>
      <c r="O67">
        <v>1.4827005863189699</v>
      </c>
    </row>
    <row r="68" spans="1:15" x14ac:dyDescent="0.25">
      <c r="A68" t="s">
        <v>86</v>
      </c>
      <c r="B68" t="s">
        <v>41</v>
      </c>
      <c r="C68">
        <v>0</v>
      </c>
      <c r="D68">
        <f>ROUND(SUM(householdfinance_v4_5!D68,householdfinance_v4_4!D68,householdfinance_v4_3!D68,householdfinance_v4_2!D68,householdfinance_v4_1!D68)/COUNT(householdfinance_v4_5!D68,householdfinance_v4_4!D68,householdfinance_v4_3!D68,householdfinance_v4_2!D68,householdfinance_v4_1!D68),0)</f>
        <v>1</v>
      </c>
      <c r="E68">
        <f>IF($D68=1,ROUND(SUM(householdfinance_v4_5!E68,householdfinance_v4_4!E68,householdfinance_v4_3!E68,householdfinance_v4_2!E68,householdfinance_v4_1!E68)/COUNT(householdfinance_v4_5!E68,householdfinance_v4_4!E68,householdfinance_v4_3!E68,householdfinance_v4_2!E68,householdfinance_v4_1!E68),0),"NA")</f>
        <v>1</v>
      </c>
      <c r="F68">
        <f>IF($D68=1,ROUND(SUM(householdfinance_v4_5!F68,householdfinance_v4_4!F68,householdfinance_v4_3!F68,householdfinance_v4_2!F68,householdfinance_v4_1!F68)/COUNT(householdfinance_v4_5!F68,householdfinance_v4_4!F68,householdfinance_v4_3!F68,householdfinance_v4_2!F68,householdfinance_v4_1!F68),0),"NA")</f>
        <v>1</v>
      </c>
      <c r="G68">
        <f>IF($D68=1,ROUND(SUM(householdfinance_v4_5!G68,householdfinance_v4_4!G68,householdfinance_v4_3!G68,householdfinance_v4_2!G68,householdfinance_v4_1!G68)/COUNT(householdfinance_v4_5!G68,householdfinance_v4_4!G68,householdfinance_v4_3!G68,householdfinance_v4_2!G68,householdfinance_v4_1!G68),0),"NA")</f>
        <v>1</v>
      </c>
      <c r="H68">
        <f>IF($E68=1,ROUND(SUM(householdfinance_v4_5!H68,householdfinance_v4_4!H68,householdfinance_v4_3!H68,householdfinance_v4_2!H68,householdfinance_v4_1!H68)/COUNT(householdfinance_v4_5!H68,householdfinance_v4_4!H68,householdfinance_v4_3!H68,householdfinance_v4_2!H68,householdfinance_v4_1!H68),0),"NA")</f>
        <v>1</v>
      </c>
      <c r="I68">
        <f>IF($D68=1,ROUND(SUM(householdfinance_v4_5!I68,householdfinance_v4_4!I68,householdfinance_v4_3!I68,householdfinance_v4_2!I68,householdfinance_v4_1!I68)/COUNT(householdfinance_v4_5!I68,householdfinance_v4_4!I68,householdfinance_v4_3!I68,householdfinance_v4_2!I68,householdfinance_v4_1!I68),0),"NA")</f>
        <v>1</v>
      </c>
      <c r="J68">
        <f>IF(AND($E68=1,$F68=1),ROUND(SUM(householdfinance_v4_5!J68,householdfinance_v4_4!J68,householdfinance_v4_3!J68,householdfinance_v4_2!J68,householdfinance_v4_1!J68)/COUNT(householdfinance_v4_5!J68,householdfinance_v4_4!J68,householdfinance_v4_3!J68,householdfinance_v4_2!J68,householdfinance_v4_1!J68),0),"NA")</f>
        <v>1</v>
      </c>
      <c r="K68">
        <f>IF($D68=1,ROUND(SUM(householdfinance_v4_5!K68,householdfinance_v4_4!K68,householdfinance_v4_3!K68,householdfinance_v4_2!K68,householdfinance_v4_1!K68)/COUNT(householdfinance_v4_5!K68,householdfinance_v4_4!K68,householdfinance_v4_3!K68,householdfinance_v4_2!K68,householdfinance_v4_1!K68),0),"NA")</f>
        <v>1</v>
      </c>
      <c r="L68">
        <f>IF($D68=1,ROUND(SUM(householdfinance_v4_5!L68,householdfinance_v4_4!L68,householdfinance_v4_3!L68,householdfinance_v4_2!L68,householdfinance_v4_1!L68)/COUNT(householdfinance_v4_5!L68,householdfinance_v4_4!L68,householdfinance_v4_3!L68,householdfinance_v4_2!L68,householdfinance_v4_1!L68),0),"NA")</f>
        <v>1</v>
      </c>
      <c r="M68">
        <f>IF($D68=1,ROUND(SUM(householdfinance_v4_5!M68,householdfinance_v4_4!M68,householdfinance_v4_3!M68,householdfinance_v4_2!M68,householdfinance_v4_1!M68)/COUNT(householdfinance_v4_5!M68,householdfinance_v4_4!M68,householdfinance_v4_3!M68,householdfinance_v4_2!M68,householdfinance_v4_1!M68),0),"NA")</f>
        <v>1</v>
      </c>
      <c r="N68">
        <f>IF($D68=1,ROUND(SUM(householdfinance_v4_5!N68,householdfinance_v4_4!N68,householdfinance_v4_3!N68,householdfinance_v4_2!N68,householdfinance_v4_1!N68)/COUNT(householdfinance_v4_5!N68,householdfinance_v4_4!N68,householdfinance_v4_3!N68,householdfinance_v4_2!N68,householdfinance_v4_1!N68),0),"NA")</f>
        <v>1</v>
      </c>
      <c r="O68">
        <v>1.2952015399932859</v>
      </c>
    </row>
    <row r="69" spans="1:15" x14ac:dyDescent="0.25">
      <c r="A69" t="s">
        <v>86</v>
      </c>
      <c r="B69" t="s">
        <v>42</v>
      </c>
      <c r="C69">
        <v>0</v>
      </c>
      <c r="D69">
        <f>ROUND(SUM(householdfinance_v4_5!D69,householdfinance_v4_4!D69,householdfinance_v4_3!D69,householdfinance_v4_2!D69,householdfinance_v4_1!D69)/COUNT(householdfinance_v4_5!D69,householdfinance_v4_4!D69,householdfinance_v4_3!D69,householdfinance_v4_2!D69,householdfinance_v4_1!D69),0)</f>
        <v>1</v>
      </c>
      <c r="E69">
        <f>IF($D69=1,ROUND(SUM(householdfinance_v4_5!E69,householdfinance_v4_4!E69,householdfinance_v4_3!E69,householdfinance_v4_2!E69,householdfinance_v4_1!E69)/COUNT(householdfinance_v4_5!E69,householdfinance_v4_4!E69,householdfinance_v4_3!E69,householdfinance_v4_2!E69,householdfinance_v4_1!E69),0),"NA")</f>
        <v>1</v>
      </c>
      <c r="F69">
        <f>IF($D69=1,ROUND(SUM(householdfinance_v4_5!F69,householdfinance_v4_4!F69,householdfinance_v4_3!F69,householdfinance_v4_2!F69,householdfinance_v4_1!F69)/COUNT(householdfinance_v4_5!F69,householdfinance_v4_4!F69,householdfinance_v4_3!F69,householdfinance_v4_2!F69,householdfinance_v4_1!F69),0),"NA")</f>
        <v>1</v>
      </c>
      <c r="G69">
        <f>IF($D69=1,ROUND(SUM(householdfinance_v4_5!G69,householdfinance_v4_4!G69,householdfinance_v4_3!G69,householdfinance_v4_2!G69,householdfinance_v4_1!G69)/COUNT(householdfinance_v4_5!G69,householdfinance_v4_4!G69,householdfinance_v4_3!G69,householdfinance_v4_2!G69,householdfinance_v4_1!G69),0),"NA")</f>
        <v>1</v>
      </c>
      <c r="H69">
        <f>IF($E69=1,ROUND(SUM(householdfinance_v4_5!H69,householdfinance_v4_4!H69,householdfinance_v4_3!H69,householdfinance_v4_2!H69,householdfinance_v4_1!H69)/COUNT(householdfinance_v4_5!H69,householdfinance_v4_4!H69,householdfinance_v4_3!H69,householdfinance_v4_2!H69,householdfinance_v4_1!H69),0),"NA")</f>
        <v>1</v>
      </c>
      <c r="I69">
        <f>IF($D69=1,ROUND(SUM(householdfinance_v4_5!I69,householdfinance_v4_4!I69,householdfinance_v4_3!I69,householdfinance_v4_2!I69,householdfinance_v4_1!I69)/COUNT(householdfinance_v4_5!I69,householdfinance_v4_4!I69,householdfinance_v4_3!I69,householdfinance_v4_2!I69,householdfinance_v4_1!I69),0),"NA")</f>
        <v>1</v>
      </c>
      <c r="J69">
        <f>IF(AND($E69=1,$F69=1),ROUND(SUM(householdfinance_v4_5!J69,householdfinance_v4_4!J69,householdfinance_v4_3!J69,householdfinance_v4_2!J69,householdfinance_v4_1!J69)/COUNT(householdfinance_v4_5!J69,householdfinance_v4_4!J69,householdfinance_v4_3!J69,householdfinance_v4_2!J69,householdfinance_v4_1!J69),0),"NA")</f>
        <v>1</v>
      </c>
      <c r="K69">
        <f>IF($D69=1,ROUND(SUM(householdfinance_v4_5!K69,householdfinance_v4_4!K69,householdfinance_v4_3!K69,householdfinance_v4_2!K69,householdfinance_v4_1!K69)/COUNT(householdfinance_v4_5!K69,householdfinance_v4_4!K69,householdfinance_v4_3!K69,householdfinance_v4_2!K69,householdfinance_v4_1!K69),0),"NA")</f>
        <v>1</v>
      </c>
      <c r="L69">
        <f>IF($D69=1,ROUND(SUM(householdfinance_v4_5!L69,householdfinance_v4_4!L69,householdfinance_v4_3!L69,householdfinance_v4_2!L69,householdfinance_v4_1!L69)/COUNT(householdfinance_v4_5!L69,householdfinance_v4_4!L69,householdfinance_v4_3!L69,householdfinance_v4_2!L69,householdfinance_v4_1!L69),0),"NA")</f>
        <v>1</v>
      </c>
      <c r="M69">
        <f>IF($D69=1,ROUND(SUM(householdfinance_v4_5!M69,householdfinance_v4_4!M69,householdfinance_v4_3!M69,householdfinance_v4_2!M69,householdfinance_v4_1!M69)/COUNT(householdfinance_v4_5!M69,householdfinance_v4_4!M69,householdfinance_v4_3!M69,householdfinance_v4_2!M69,householdfinance_v4_1!M69),0),"NA")</f>
        <v>1</v>
      </c>
      <c r="N69">
        <f>IF($D69=1,ROUND(SUM(householdfinance_v4_5!N69,householdfinance_v4_4!N69,householdfinance_v4_3!N69,householdfinance_v4_2!N69,householdfinance_v4_1!N69)/COUNT(householdfinance_v4_5!N69,householdfinance_v4_4!N69,householdfinance_v4_3!N69,householdfinance_v4_2!N69,householdfinance_v4_1!N69),0),"NA")</f>
        <v>1</v>
      </c>
      <c r="O69">
        <v>1.550844669342041</v>
      </c>
    </row>
    <row r="70" spans="1:15" x14ac:dyDescent="0.25">
      <c r="A70" t="s">
        <v>86</v>
      </c>
      <c r="B70" t="s">
        <v>43</v>
      </c>
      <c r="C70">
        <v>0</v>
      </c>
      <c r="D70">
        <f>ROUND(SUM(householdfinance_v4_5!D70,householdfinance_v4_4!D70,householdfinance_v4_3!D70,householdfinance_v4_2!D70,householdfinance_v4_1!D70)/COUNT(householdfinance_v4_5!D70,householdfinance_v4_4!D70,householdfinance_v4_3!D70,householdfinance_v4_2!D70,householdfinance_v4_1!D70),0)</f>
        <v>1</v>
      </c>
      <c r="E70">
        <f>IF($D70=1,ROUND(SUM(householdfinance_v4_5!E70,householdfinance_v4_4!E70,householdfinance_v4_3!E70,householdfinance_v4_2!E70,householdfinance_v4_1!E70)/COUNT(householdfinance_v4_5!E70,householdfinance_v4_4!E70,householdfinance_v4_3!E70,householdfinance_v4_2!E70,householdfinance_v4_1!E70),0),"NA")</f>
        <v>1</v>
      </c>
      <c r="F70">
        <f>IF($D70=1,ROUND(SUM(householdfinance_v4_5!F70,householdfinance_v4_4!F70,householdfinance_v4_3!F70,householdfinance_v4_2!F70,householdfinance_v4_1!F70)/COUNT(householdfinance_v4_5!F70,householdfinance_v4_4!F70,householdfinance_v4_3!F70,householdfinance_v4_2!F70,householdfinance_v4_1!F70),0),"NA")</f>
        <v>1</v>
      </c>
      <c r="G70">
        <f>IF($D70=1,ROUND(SUM(householdfinance_v4_5!G70,householdfinance_v4_4!G70,householdfinance_v4_3!G70,householdfinance_v4_2!G70,householdfinance_v4_1!G70)/COUNT(householdfinance_v4_5!G70,householdfinance_v4_4!G70,householdfinance_v4_3!G70,householdfinance_v4_2!G70,householdfinance_v4_1!G70),0),"NA")</f>
        <v>1</v>
      </c>
      <c r="H70">
        <f>IF($E70=1,ROUND(SUM(householdfinance_v4_5!H70,householdfinance_v4_4!H70,householdfinance_v4_3!H70,householdfinance_v4_2!H70,householdfinance_v4_1!H70)/COUNT(householdfinance_v4_5!H70,householdfinance_v4_4!H70,householdfinance_v4_3!H70,householdfinance_v4_2!H70,householdfinance_v4_1!H70),0),"NA")</f>
        <v>1</v>
      </c>
      <c r="I70">
        <f>IF($D70=1,ROUND(SUM(householdfinance_v4_5!I70,householdfinance_v4_4!I70,householdfinance_v4_3!I70,householdfinance_v4_2!I70,householdfinance_v4_1!I70)/COUNT(householdfinance_v4_5!I70,householdfinance_v4_4!I70,householdfinance_v4_3!I70,householdfinance_v4_2!I70,householdfinance_v4_1!I70),0),"NA")</f>
        <v>1</v>
      </c>
      <c r="J70">
        <f>IF(AND($E70=1,$F70=1),ROUND(SUM(householdfinance_v4_5!J70,householdfinance_v4_4!J70,householdfinance_v4_3!J70,householdfinance_v4_2!J70,householdfinance_v4_1!J70)/COUNT(householdfinance_v4_5!J70,householdfinance_v4_4!J70,householdfinance_v4_3!J70,householdfinance_v4_2!J70,householdfinance_v4_1!J70),0),"NA")</f>
        <v>1</v>
      </c>
      <c r="K70">
        <f>IF($D70=1,ROUND(SUM(householdfinance_v4_5!K70,householdfinance_v4_4!K70,householdfinance_v4_3!K70,householdfinance_v4_2!K70,householdfinance_v4_1!K70)/COUNT(householdfinance_v4_5!K70,householdfinance_v4_4!K70,householdfinance_v4_3!K70,householdfinance_v4_2!K70,householdfinance_v4_1!K70),0),"NA")</f>
        <v>1</v>
      </c>
      <c r="L70">
        <f>IF($D70=1,ROUND(SUM(householdfinance_v4_5!L70,householdfinance_v4_4!L70,householdfinance_v4_3!L70,householdfinance_v4_2!L70,householdfinance_v4_1!L70)/COUNT(householdfinance_v4_5!L70,householdfinance_v4_4!L70,householdfinance_v4_3!L70,householdfinance_v4_2!L70,householdfinance_v4_1!L70),0),"NA")</f>
        <v>1</v>
      </c>
      <c r="M70">
        <f>IF($D70=1,ROUND(SUM(householdfinance_v4_5!M70,householdfinance_v4_4!M70,householdfinance_v4_3!M70,householdfinance_v4_2!M70,householdfinance_v4_1!M70)/COUNT(householdfinance_v4_5!M70,householdfinance_v4_4!M70,householdfinance_v4_3!M70,householdfinance_v4_2!M70,householdfinance_v4_1!M70),0),"NA")</f>
        <v>1</v>
      </c>
      <c r="N70">
        <f>IF($D70=1,ROUND(SUM(householdfinance_v4_5!N70,householdfinance_v4_4!N70,householdfinance_v4_3!N70,householdfinance_v4_2!N70,householdfinance_v4_1!N70)/COUNT(householdfinance_v4_5!N70,householdfinance_v4_4!N70,householdfinance_v4_3!N70,householdfinance_v4_2!N70,householdfinance_v4_1!N70),0),"NA")</f>
        <v>1</v>
      </c>
      <c r="O70">
        <v>1.1737184524536131</v>
      </c>
    </row>
    <row r="71" spans="1:15" x14ac:dyDescent="0.25">
      <c r="A71" t="s">
        <v>86</v>
      </c>
      <c r="B71" t="s">
        <v>44</v>
      </c>
      <c r="C71">
        <v>0</v>
      </c>
      <c r="D71">
        <f>ROUND(SUM(householdfinance_v4_5!D71,householdfinance_v4_4!D71,householdfinance_v4_3!D71,householdfinance_v4_2!D71,householdfinance_v4_1!D71)/COUNT(householdfinance_v4_5!D71,householdfinance_v4_4!D71,householdfinance_v4_3!D71,householdfinance_v4_2!D71,householdfinance_v4_1!D71),0)</f>
        <v>1</v>
      </c>
      <c r="E71">
        <f>IF($D71=1,ROUND(SUM(householdfinance_v4_5!E71,householdfinance_v4_4!E71,householdfinance_v4_3!E71,householdfinance_v4_2!E71,householdfinance_v4_1!E71)/COUNT(householdfinance_v4_5!E71,householdfinance_v4_4!E71,householdfinance_v4_3!E71,householdfinance_v4_2!E71,householdfinance_v4_1!E71),0),"NA")</f>
        <v>1</v>
      </c>
      <c r="F71">
        <f>IF($D71=1,ROUND(SUM(householdfinance_v4_5!F71,householdfinance_v4_4!F71,householdfinance_v4_3!F71,householdfinance_v4_2!F71,householdfinance_v4_1!F71)/COUNT(householdfinance_v4_5!F71,householdfinance_v4_4!F71,householdfinance_v4_3!F71,householdfinance_v4_2!F71,householdfinance_v4_1!F71),0),"NA")</f>
        <v>1</v>
      </c>
      <c r="G71">
        <f>IF($D71=1,ROUND(SUM(householdfinance_v4_5!G71,householdfinance_v4_4!G71,householdfinance_v4_3!G71,householdfinance_v4_2!G71,householdfinance_v4_1!G71)/COUNT(householdfinance_v4_5!G71,householdfinance_v4_4!G71,householdfinance_v4_3!G71,householdfinance_v4_2!G71,householdfinance_v4_1!G71),0),"NA")</f>
        <v>1</v>
      </c>
      <c r="H71">
        <f>IF($E71=1,ROUND(SUM(householdfinance_v4_5!H71,householdfinance_v4_4!H71,householdfinance_v4_3!H71,householdfinance_v4_2!H71,householdfinance_v4_1!H71)/COUNT(householdfinance_v4_5!H71,householdfinance_v4_4!H71,householdfinance_v4_3!H71,householdfinance_v4_2!H71,householdfinance_v4_1!H71),0),"NA")</f>
        <v>1</v>
      </c>
      <c r="I71">
        <f>IF($D71=1,ROUND(SUM(householdfinance_v4_5!I71,householdfinance_v4_4!I71,householdfinance_v4_3!I71,householdfinance_v4_2!I71,householdfinance_v4_1!I71)/COUNT(householdfinance_v4_5!I71,householdfinance_v4_4!I71,householdfinance_v4_3!I71,householdfinance_v4_2!I71,householdfinance_v4_1!I71),0),"NA")</f>
        <v>1</v>
      </c>
      <c r="J71">
        <f>IF(AND($E71=1,$F71=1),ROUND(SUM(householdfinance_v4_5!J71,householdfinance_v4_4!J71,householdfinance_v4_3!J71,householdfinance_v4_2!J71,householdfinance_v4_1!J71)/COUNT(householdfinance_v4_5!J71,householdfinance_v4_4!J71,householdfinance_v4_3!J71,householdfinance_v4_2!J71,householdfinance_v4_1!J71),0),"NA")</f>
        <v>1</v>
      </c>
      <c r="K71">
        <f>IF($D71=1,ROUND(SUM(householdfinance_v4_5!K71,householdfinance_v4_4!K71,householdfinance_v4_3!K71,householdfinance_v4_2!K71,householdfinance_v4_1!K71)/COUNT(householdfinance_v4_5!K71,householdfinance_v4_4!K71,householdfinance_v4_3!K71,householdfinance_v4_2!K71,householdfinance_v4_1!K71),0),"NA")</f>
        <v>1</v>
      </c>
      <c r="L71">
        <f>IF($D71=1,ROUND(SUM(householdfinance_v4_5!L71,householdfinance_v4_4!L71,householdfinance_v4_3!L71,householdfinance_v4_2!L71,householdfinance_v4_1!L71)/COUNT(householdfinance_v4_5!L71,householdfinance_v4_4!L71,householdfinance_v4_3!L71,householdfinance_v4_2!L71,householdfinance_v4_1!L71),0),"NA")</f>
        <v>1</v>
      </c>
      <c r="M71">
        <f>IF($D71=1,ROUND(SUM(householdfinance_v4_5!M71,householdfinance_v4_4!M71,householdfinance_v4_3!M71,householdfinance_v4_2!M71,householdfinance_v4_1!M71)/COUNT(householdfinance_v4_5!M71,householdfinance_v4_4!M71,householdfinance_v4_3!M71,householdfinance_v4_2!M71,householdfinance_v4_1!M71),0),"NA")</f>
        <v>1</v>
      </c>
      <c r="N71">
        <f>IF($D71=1,ROUND(SUM(householdfinance_v4_5!N71,householdfinance_v4_4!N71,householdfinance_v4_3!N71,householdfinance_v4_2!N71,householdfinance_v4_1!N71)/COUNT(householdfinance_v4_5!N71,householdfinance_v4_4!N71,householdfinance_v4_3!N71,householdfinance_v4_2!N71,householdfinance_v4_1!N71),0),"NA")</f>
        <v>1</v>
      </c>
      <c r="O71">
        <v>1.4778115749359131</v>
      </c>
    </row>
    <row r="72" spans="1:15" x14ac:dyDescent="0.25">
      <c r="A72" t="s">
        <v>86</v>
      </c>
      <c r="B72" t="s">
        <v>45</v>
      </c>
      <c r="C72">
        <v>0</v>
      </c>
      <c r="D72">
        <f>ROUND(SUM(householdfinance_v4_5!D72,householdfinance_v4_4!D72,householdfinance_v4_3!D72,householdfinance_v4_2!D72,householdfinance_v4_1!D72)/COUNT(householdfinance_v4_5!D72,householdfinance_v4_4!D72,householdfinance_v4_3!D72,householdfinance_v4_2!D72,householdfinance_v4_1!D72),0)</f>
        <v>1</v>
      </c>
      <c r="E72">
        <f>IF($D72=1,ROUND(SUM(householdfinance_v4_5!E72,householdfinance_v4_4!E72,householdfinance_v4_3!E72,householdfinance_v4_2!E72,householdfinance_v4_1!E72)/COUNT(householdfinance_v4_5!E72,householdfinance_v4_4!E72,householdfinance_v4_3!E72,householdfinance_v4_2!E72,householdfinance_v4_1!E72),0),"NA")</f>
        <v>1</v>
      </c>
      <c r="F72">
        <f>IF($D72=1,ROUND(SUM(householdfinance_v4_5!F72,householdfinance_v4_4!F72,householdfinance_v4_3!F72,householdfinance_v4_2!F72,householdfinance_v4_1!F72)/COUNT(householdfinance_v4_5!F72,householdfinance_v4_4!F72,householdfinance_v4_3!F72,householdfinance_v4_2!F72,householdfinance_v4_1!F72),0),"NA")</f>
        <v>1</v>
      </c>
      <c r="G72">
        <f>IF($D72=1,ROUND(SUM(householdfinance_v4_5!G72,householdfinance_v4_4!G72,householdfinance_v4_3!G72,householdfinance_v4_2!G72,householdfinance_v4_1!G72)/COUNT(householdfinance_v4_5!G72,householdfinance_v4_4!G72,householdfinance_v4_3!G72,householdfinance_v4_2!G72,householdfinance_v4_1!G72),0),"NA")</f>
        <v>1</v>
      </c>
      <c r="H72">
        <f>IF($E72=1,ROUND(SUM(householdfinance_v4_5!H72,householdfinance_v4_4!H72,householdfinance_v4_3!H72,householdfinance_v4_2!H72,householdfinance_v4_1!H72)/COUNT(householdfinance_v4_5!H72,householdfinance_v4_4!H72,householdfinance_v4_3!H72,householdfinance_v4_2!H72,householdfinance_v4_1!H72),0),"NA")</f>
        <v>1</v>
      </c>
      <c r="I72">
        <f>IF($D72=1,ROUND(SUM(householdfinance_v4_5!I72,householdfinance_v4_4!I72,householdfinance_v4_3!I72,householdfinance_v4_2!I72,householdfinance_v4_1!I72)/COUNT(householdfinance_v4_5!I72,householdfinance_v4_4!I72,householdfinance_v4_3!I72,householdfinance_v4_2!I72,householdfinance_v4_1!I72),0),"NA")</f>
        <v>1</v>
      </c>
      <c r="J72">
        <f>IF(AND($E72=1,$F72=1),ROUND(SUM(householdfinance_v4_5!J72,householdfinance_v4_4!J72,householdfinance_v4_3!J72,householdfinance_v4_2!J72,householdfinance_v4_1!J72)/COUNT(householdfinance_v4_5!J72,householdfinance_v4_4!J72,householdfinance_v4_3!J72,householdfinance_v4_2!J72,householdfinance_v4_1!J72),0),"NA")</f>
        <v>1</v>
      </c>
      <c r="K72">
        <f>IF($D72=1,ROUND(SUM(householdfinance_v4_5!K72,householdfinance_v4_4!K72,householdfinance_v4_3!K72,householdfinance_v4_2!K72,householdfinance_v4_1!K72)/COUNT(householdfinance_v4_5!K72,householdfinance_v4_4!K72,householdfinance_v4_3!K72,householdfinance_v4_2!K72,householdfinance_v4_1!K72),0),"NA")</f>
        <v>1</v>
      </c>
      <c r="L72">
        <f>IF($D72=1,ROUND(SUM(householdfinance_v4_5!L72,householdfinance_v4_4!L72,householdfinance_v4_3!L72,householdfinance_v4_2!L72,householdfinance_v4_1!L72)/COUNT(householdfinance_v4_5!L72,householdfinance_v4_4!L72,householdfinance_v4_3!L72,householdfinance_v4_2!L72,householdfinance_v4_1!L72),0),"NA")</f>
        <v>1</v>
      </c>
      <c r="M72">
        <f>IF($D72=1,ROUND(SUM(householdfinance_v4_5!M72,householdfinance_v4_4!M72,householdfinance_v4_3!M72,householdfinance_v4_2!M72,householdfinance_v4_1!M72)/COUNT(householdfinance_v4_5!M72,householdfinance_v4_4!M72,householdfinance_v4_3!M72,householdfinance_v4_2!M72,householdfinance_v4_1!M72),0),"NA")</f>
        <v>1</v>
      </c>
      <c r="N72">
        <f>IF($D72=1,ROUND(SUM(householdfinance_v4_5!N72,householdfinance_v4_4!N72,householdfinance_v4_3!N72,householdfinance_v4_2!N72,householdfinance_v4_1!N72)/COUNT(householdfinance_v4_5!N72,householdfinance_v4_4!N72,householdfinance_v4_3!N72,householdfinance_v4_2!N72,householdfinance_v4_1!N72),0),"NA")</f>
        <v>1</v>
      </c>
      <c r="O72">
        <v>1.69652271270752</v>
      </c>
    </row>
    <row r="73" spans="1:15" x14ac:dyDescent="0.25">
      <c r="A73" t="s">
        <v>86</v>
      </c>
      <c r="B73" t="s">
        <v>47</v>
      </c>
      <c r="C73">
        <v>0</v>
      </c>
      <c r="D73">
        <f>ROUND(SUM(householdfinance_v4_5!D73,householdfinance_v4_4!D73,householdfinance_v4_3!D73,householdfinance_v4_2!D73,householdfinance_v4_1!D73)/COUNT(householdfinance_v4_5!D73,householdfinance_v4_4!D73,householdfinance_v4_3!D73,householdfinance_v4_2!D73,householdfinance_v4_1!D73),0)</f>
        <v>1</v>
      </c>
      <c r="E73">
        <f>IF($D73=1,ROUND(SUM(householdfinance_v4_5!E73,householdfinance_v4_4!E73,householdfinance_v4_3!E73,householdfinance_v4_2!E73,householdfinance_v4_1!E73)/COUNT(householdfinance_v4_5!E73,householdfinance_v4_4!E73,householdfinance_v4_3!E73,householdfinance_v4_2!E73,householdfinance_v4_1!E73),0),"NA")</f>
        <v>1</v>
      </c>
      <c r="F73">
        <f>IF($D73=1,ROUND(SUM(householdfinance_v4_5!F73,householdfinance_v4_4!F73,householdfinance_v4_3!F73,householdfinance_v4_2!F73,householdfinance_v4_1!F73)/COUNT(householdfinance_v4_5!F73,householdfinance_v4_4!F73,householdfinance_v4_3!F73,householdfinance_v4_2!F73,householdfinance_v4_1!F73),0),"NA")</f>
        <v>1</v>
      </c>
      <c r="G73">
        <f>IF($D73=1,ROUND(SUM(householdfinance_v4_5!G73,householdfinance_v4_4!G73,householdfinance_v4_3!G73,householdfinance_v4_2!G73,householdfinance_v4_1!G73)/COUNT(householdfinance_v4_5!G73,householdfinance_v4_4!G73,householdfinance_v4_3!G73,householdfinance_v4_2!G73,householdfinance_v4_1!G73),0),"NA")</f>
        <v>1</v>
      </c>
      <c r="H73">
        <f>IF($E73=1,ROUND(SUM(householdfinance_v4_5!H73,householdfinance_v4_4!H73,householdfinance_v4_3!H73,householdfinance_v4_2!H73,householdfinance_v4_1!H73)/COUNT(householdfinance_v4_5!H73,householdfinance_v4_4!H73,householdfinance_v4_3!H73,householdfinance_v4_2!H73,householdfinance_v4_1!H73),0),"NA")</f>
        <v>1</v>
      </c>
      <c r="I73">
        <f>IF($D73=1,ROUND(SUM(householdfinance_v4_5!I73,householdfinance_v4_4!I73,householdfinance_v4_3!I73,householdfinance_v4_2!I73,householdfinance_v4_1!I73)/COUNT(householdfinance_v4_5!I73,householdfinance_v4_4!I73,householdfinance_v4_3!I73,householdfinance_v4_2!I73,householdfinance_v4_1!I73),0),"NA")</f>
        <v>1</v>
      </c>
      <c r="J73">
        <f>IF(AND($E73=1,$F73=1),ROUND(SUM(householdfinance_v4_5!J73,householdfinance_v4_4!J73,householdfinance_v4_3!J73,householdfinance_v4_2!J73,householdfinance_v4_1!J73)/COUNT(householdfinance_v4_5!J73,householdfinance_v4_4!J73,householdfinance_v4_3!J73,householdfinance_v4_2!J73,householdfinance_v4_1!J73),0),"NA")</f>
        <v>1</v>
      </c>
      <c r="K73">
        <f>IF($D73=1,ROUND(SUM(householdfinance_v4_5!K73,householdfinance_v4_4!K73,householdfinance_v4_3!K73,householdfinance_v4_2!K73,householdfinance_v4_1!K73)/COUNT(householdfinance_v4_5!K73,householdfinance_v4_4!K73,householdfinance_v4_3!K73,householdfinance_v4_2!K73,householdfinance_v4_1!K73),0),"NA")</f>
        <v>1</v>
      </c>
      <c r="L73">
        <f>IF($D73=1,ROUND(SUM(householdfinance_v4_5!L73,householdfinance_v4_4!L73,householdfinance_v4_3!L73,householdfinance_v4_2!L73,householdfinance_v4_1!L73)/COUNT(householdfinance_v4_5!L73,householdfinance_v4_4!L73,householdfinance_v4_3!L73,householdfinance_v4_2!L73,householdfinance_v4_1!L73),0),"NA")</f>
        <v>1</v>
      </c>
      <c r="M73">
        <f>IF($D73=1,ROUND(SUM(householdfinance_v4_5!M73,householdfinance_v4_4!M73,householdfinance_v4_3!M73,householdfinance_v4_2!M73,householdfinance_v4_1!M73)/COUNT(householdfinance_v4_5!M73,householdfinance_v4_4!M73,householdfinance_v4_3!M73,householdfinance_v4_2!M73,householdfinance_v4_1!M73),0),"NA")</f>
        <v>1</v>
      </c>
      <c r="N73">
        <f>IF($D73=1,ROUND(SUM(householdfinance_v4_5!N73,householdfinance_v4_4!N73,householdfinance_v4_3!N73,householdfinance_v4_2!N73,householdfinance_v4_1!N73)/COUNT(householdfinance_v4_5!N73,householdfinance_v4_4!N73,householdfinance_v4_3!N73,householdfinance_v4_2!N73,householdfinance_v4_1!N73),0),"NA")</f>
        <v>1</v>
      </c>
      <c r="O73">
        <v>1.8805665969848631</v>
      </c>
    </row>
    <row r="74" spans="1:15" x14ac:dyDescent="0.25">
      <c r="A74" t="s">
        <v>86</v>
      </c>
      <c r="B74" t="s">
        <v>48</v>
      </c>
      <c r="C74">
        <v>0</v>
      </c>
      <c r="D74">
        <f>ROUND(SUM(householdfinance_v4_5!D74,householdfinance_v4_4!D74,householdfinance_v4_3!D74,householdfinance_v4_2!D74,householdfinance_v4_1!D74)/COUNT(householdfinance_v4_5!D74,householdfinance_v4_4!D74,householdfinance_v4_3!D74,householdfinance_v4_2!D74,householdfinance_v4_1!D74),0)</f>
        <v>1</v>
      </c>
      <c r="E74">
        <f>IF($D74=1,ROUND(SUM(householdfinance_v4_5!E74,householdfinance_v4_4!E74,householdfinance_v4_3!E74,householdfinance_v4_2!E74,householdfinance_v4_1!E74)/COUNT(householdfinance_v4_5!E74,householdfinance_v4_4!E74,householdfinance_v4_3!E74,householdfinance_v4_2!E74,householdfinance_v4_1!E74),0),"NA")</f>
        <v>0</v>
      </c>
      <c r="F74">
        <f>IF($D74=1,ROUND(SUM(householdfinance_v4_5!F74,householdfinance_v4_4!F74,householdfinance_v4_3!F74,householdfinance_v4_2!F74,householdfinance_v4_1!F74)/COUNT(householdfinance_v4_5!F74,householdfinance_v4_4!F74,householdfinance_v4_3!F74,householdfinance_v4_2!F74,householdfinance_v4_1!F74),0),"NA")</f>
        <v>0</v>
      </c>
      <c r="G74">
        <f>IF($D74=1,ROUND(SUM(householdfinance_v4_5!G74,householdfinance_v4_4!G74,householdfinance_v4_3!G74,householdfinance_v4_2!G74,householdfinance_v4_1!G74)/COUNT(householdfinance_v4_5!G74,householdfinance_v4_4!G74,householdfinance_v4_3!G74,householdfinance_v4_2!G74,householdfinance_v4_1!G74),0),"NA")</f>
        <v>1</v>
      </c>
      <c r="H74" t="str">
        <f>IF($E74=1,ROUND(SUM(householdfinance_v4_5!H74,householdfinance_v4_4!H74,householdfinance_v4_3!H74,householdfinance_v4_2!H74,householdfinance_v4_1!H74)/COUNT(householdfinance_v4_5!H74,householdfinance_v4_4!H74,householdfinance_v4_3!H74,householdfinance_v4_2!H74,householdfinance_v4_1!H74),0),"NA")</f>
        <v>NA</v>
      </c>
      <c r="I74">
        <f>IF($D74=1,ROUND(SUM(householdfinance_v4_5!I74,householdfinance_v4_4!I74,householdfinance_v4_3!I74,householdfinance_v4_2!I74,householdfinance_v4_1!I74)/COUNT(householdfinance_v4_5!I74,householdfinance_v4_4!I74,householdfinance_v4_3!I74,householdfinance_v4_2!I74,householdfinance_v4_1!I74),0),"NA")</f>
        <v>1</v>
      </c>
      <c r="J74" t="str">
        <f>IF(AND($E74=1,$F74=1),ROUND(SUM(householdfinance_v4_5!J74,householdfinance_v4_4!J74,householdfinance_v4_3!J74,householdfinance_v4_2!J74,householdfinance_v4_1!J74)/COUNT(householdfinance_v4_5!J74,householdfinance_v4_4!J74,householdfinance_v4_3!J74,householdfinance_v4_2!J74,householdfinance_v4_1!J74),0),"NA")</f>
        <v>NA</v>
      </c>
      <c r="K74">
        <f>IF($D74=1,ROUND(SUM(householdfinance_v4_5!K74,householdfinance_v4_4!K74,householdfinance_v4_3!K74,householdfinance_v4_2!K74,householdfinance_v4_1!K74)/COUNT(householdfinance_v4_5!K74,householdfinance_v4_4!K74,householdfinance_v4_3!K74,householdfinance_v4_2!K74,householdfinance_v4_1!K74),0),"NA")</f>
        <v>1</v>
      </c>
      <c r="L74">
        <f>IF($D74=1,ROUND(SUM(householdfinance_v4_5!L74,householdfinance_v4_4!L74,householdfinance_v4_3!L74,householdfinance_v4_2!L74,householdfinance_v4_1!L74)/COUNT(householdfinance_v4_5!L74,householdfinance_v4_4!L74,householdfinance_v4_3!L74,householdfinance_v4_2!L74,householdfinance_v4_1!L74),0),"NA")</f>
        <v>1</v>
      </c>
      <c r="M74">
        <f>IF($D74=1,ROUND(SUM(householdfinance_v4_5!M74,householdfinance_v4_4!M74,householdfinance_v4_3!M74,householdfinance_v4_2!M74,householdfinance_v4_1!M74)/COUNT(householdfinance_v4_5!M74,householdfinance_v4_4!M74,householdfinance_v4_3!M74,householdfinance_v4_2!M74,householdfinance_v4_1!M74),0),"NA")</f>
        <v>1</v>
      </c>
      <c r="N74">
        <f>IF($D74=1,ROUND(SUM(householdfinance_v4_5!N74,householdfinance_v4_4!N74,householdfinance_v4_3!N74,householdfinance_v4_2!N74,householdfinance_v4_1!N74)/COUNT(householdfinance_v4_5!N74,householdfinance_v4_4!N74,householdfinance_v4_3!N74,householdfinance_v4_2!N74,householdfinance_v4_1!N74),0),"NA")</f>
        <v>1</v>
      </c>
      <c r="O74">
        <v>4.0673987865447998</v>
      </c>
    </row>
    <row r="75" spans="1:15" x14ac:dyDescent="0.25">
      <c r="A75" t="s">
        <v>86</v>
      </c>
      <c r="B75" t="s">
        <v>50</v>
      </c>
      <c r="C75">
        <v>0</v>
      </c>
      <c r="D75">
        <f>ROUND(SUM(householdfinance_v4_5!D75,householdfinance_v4_4!D75,householdfinance_v4_3!D75,householdfinance_v4_2!D75,householdfinance_v4_1!D75)/COUNT(householdfinance_v4_5!D75,householdfinance_v4_4!D75,householdfinance_v4_3!D75,householdfinance_v4_2!D75,householdfinance_v4_1!D75),0)</f>
        <v>1</v>
      </c>
      <c r="E75">
        <f>IF($D75=1,ROUND(SUM(householdfinance_v4_5!E75,householdfinance_v4_4!E75,householdfinance_v4_3!E75,householdfinance_v4_2!E75,householdfinance_v4_1!E75)/COUNT(householdfinance_v4_5!E75,householdfinance_v4_4!E75,householdfinance_v4_3!E75,householdfinance_v4_2!E75,householdfinance_v4_1!E75),0),"NA")</f>
        <v>1</v>
      </c>
      <c r="F75">
        <f>IF($D75=1,ROUND(SUM(householdfinance_v4_5!F75,householdfinance_v4_4!F75,householdfinance_v4_3!F75,householdfinance_v4_2!F75,householdfinance_v4_1!F75)/COUNT(householdfinance_v4_5!F75,householdfinance_v4_4!F75,householdfinance_v4_3!F75,householdfinance_v4_2!F75,householdfinance_v4_1!F75),0),"NA")</f>
        <v>1</v>
      </c>
      <c r="G75">
        <f>IF($D75=1,ROUND(SUM(householdfinance_v4_5!G75,householdfinance_v4_4!G75,householdfinance_v4_3!G75,householdfinance_v4_2!G75,householdfinance_v4_1!G75)/COUNT(householdfinance_v4_5!G75,householdfinance_v4_4!G75,householdfinance_v4_3!G75,householdfinance_v4_2!G75,householdfinance_v4_1!G75),0),"NA")</f>
        <v>1</v>
      </c>
      <c r="H75">
        <f>IF($E75=1,ROUND(SUM(householdfinance_v4_5!H75,householdfinance_v4_4!H75,householdfinance_v4_3!H75,householdfinance_v4_2!H75,householdfinance_v4_1!H75)/COUNT(householdfinance_v4_5!H75,householdfinance_v4_4!H75,householdfinance_v4_3!H75,householdfinance_v4_2!H75,householdfinance_v4_1!H75),0),"NA")</f>
        <v>1</v>
      </c>
      <c r="I75">
        <f>IF($D75=1,ROUND(SUM(householdfinance_v4_5!I75,householdfinance_v4_4!I75,householdfinance_v4_3!I75,householdfinance_v4_2!I75,householdfinance_v4_1!I75)/COUNT(householdfinance_v4_5!I75,householdfinance_v4_4!I75,householdfinance_v4_3!I75,householdfinance_v4_2!I75,householdfinance_v4_1!I75),0),"NA")</f>
        <v>1</v>
      </c>
      <c r="J75">
        <f>IF(AND($E75=1,$F75=1),ROUND(SUM(householdfinance_v4_5!J75,householdfinance_v4_4!J75,householdfinance_v4_3!J75,householdfinance_v4_2!J75,householdfinance_v4_1!J75)/COUNT(householdfinance_v4_5!J75,householdfinance_v4_4!J75,householdfinance_v4_3!J75,householdfinance_v4_2!J75,householdfinance_v4_1!J75),0),"NA")</f>
        <v>1</v>
      </c>
      <c r="K75">
        <f>IF($D75=1,ROUND(SUM(householdfinance_v4_5!K75,householdfinance_v4_4!K75,householdfinance_v4_3!K75,householdfinance_v4_2!K75,householdfinance_v4_1!K75)/COUNT(householdfinance_v4_5!K75,householdfinance_v4_4!K75,householdfinance_v4_3!K75,householdfinance_v4_2!K75,householdfinance_v4_1!K75),0),"NA")</f>
        <v>1</v>
      </c>
      <c r="L75">
        <f>IF($D75=1,ROUND(SUM(householdfinance_v4_5!L75,householdfinance_v4_4!L75,householdfinance_v4_3!L75,householdfinance_v4_2!L75,householdfinance_v4_1!L75)/COUNT(householdfinance_v4_5!L75,householdfinance_v4_4!L75,householdfinance_v4_3!L75,householdfinance_v4_2!L75,householdfinance_v4_1!L75),0),"NA")</f>
        <v>1</v>
      </c>
      <c r="M75">
        <f>IF($D75=1,ROUND(SUM(householdfinance_v4_5!M75,householdfinance_v4_4!M75,householdfinance_v4_3!M75,householdfinance_v4_2!M75,householdfinance_v4_1!M75)/COUNT(householdfinance_v4_5!M75,householdfinance_v4_4!M75,householdfinance_v4_3!M75,householdfinance_v4_2!M75,householdfinance_v4_1!M75),0),"NA")</f>
        <v>1</v>
      </c>
      <c r="N75">
        <f>IF($D75=1,ROUND(SUM(householdfinance_v4_5!N75,householdfinance_v4_4!N75,householdfinance_v4_3!N75,householdfinance_v4_2!N75,householdfinance_v4_1!N75)/COUNT(householdfinance_v4_5!N75,householdfinance_v4_4!N75,householdfinance_v4_3!N75,householdfinance_v4_2!N75,householdfinance_v4_1!N75),0),"NA")</f>
        <v>1</v>
      </c>
      <c r="O75">
        <v>1.12639307975769</v>
      </c>
    </row>
    <row r="76" spans="1:15" x14ac:dyDescent="0.25">
      <c r="A76" t="s">
        <v>86</v>
      </c>
      <c r="B76" t="s">
        <v>51</v>
      </c>
      <c r="C76">
        <v>0</v>
      </c>
      <c r="D76">
        <f>ROUND(SUM(householdfinance_v4_5!D76,householdfinance_v4_4!D76,householdfinance_v4_3!D76,householdfinance_v4_2!D76,householdfinance_v4_1!D76)/COUNT(householdfinance_v4_5!D76,householdfinance_v4_4!D76,householdfinance_v4_3!D76,householdfinance_v4_2!D76,householdfinance_v4_1!D76),0)</f>
        <v>1</v>
      </c>
      <c r="E76">
        <f>IF($D76=1,ROUND(SUM(householdfinance_v4_5!E76,householdfinance_v4_4!E76,householdfinance_v4_3!E76,householdfinance_v4_2!E76,householdfinance_v4_1!E76)/COUNT(householdfinance_v4_5!E76,householdfinance_v4_4!E76,householdfinance_v4_3!E76,householdfinance_v4_2!E76,householdfinance_v4_1!E76),0),"NA")</f>
        <v>1</v>
      </c>
      <c r="F76">
        <f>IF($D76=1,ROUND(SUM(householdfinance_v4_5!F76,householdfinance_v4_4!F76,householdfinance_v4_3!F76,householdfinance_v4_2!F76,householdfinance_v4_1!F76)/COUNT(householdfinance_v4_5!F76,householdfinance_v4_4!F76,householdfinance_v4_3!F76,householdfinance_v4_2!F76,householdfinance_v4_1!F76),0),"NA")</f>
        <v>1</v>
      </c>
      <c r="G76">
        <f>IF($D76=1,ROUND(SUM(householdfinance_v4_5!G76,householdfinance_v4_4!G76,householdfinance_v4_3!G76,householdfinance_v4_2!G76,householdfinance_v4_1!G76)/COUNT(householdfinance_v4_5!G76,householdfinance_v4_4!G76,householdfinance_v4_3!G76,householdfinance_v4_2!G76,householdfinance_v4_1!G76),0),"NA")</f>
        <v>0</v>
      </c>
      <c r="H76">
        <f>IF($E76=1,ROUND(SUM(householdfinance_v4_5!H76,householdfinance_v4_4!H76,householdfinance_v4_3!H76,householdfinance_v4_2!H76,householdfinance_v4_1!H76)/COUNT(householdfinance_v4_5!H76,householdfinance_v4_4!H76,householdfinance_v4_3!H76,householdfinance_v4_2!H76,householdfinance_v4_1!H76),0),"NA")</f>
        <v>1</v>
      </c>
      <c r="I76">
        <f>IF($D76=1,ROUND(SUM(householdfinance_v4_5!I76,householdfinance_v4_4!I76,householdfinance_v4_3!I76,householdfinance_v4_2!I76,householdfinance_v4_1!I76)/COUNT(householdfinance_v4_5!I76,householdfinance_v4_4!I76,householdfinance_v4_3!I76,householdfinance_v4_2!I76,householdfinance_v4_1!I76),0),"NA")</f>
        <v>1</v>
      </c>
      <c r="J76">
        <f>IF(AND($E76=1,$F76=1),ROUND(SUM(householdfinance_v4_5!J76,householdfinance_v4_4!J76,householdfinance_v4_3!J76,householdfinance_v4_2!J76,householdfinance_v4_1!J76)/COUNT(householdfinance_v4_5!J76,householdfinance_v4_4!J76,householdfinance_v4_3!J76,householdfinance_v4_2!J76,householdfinance_v4_1!J76),0),"NA")</f>
        <v>1</v>
      </c>
      <c r="K76">
        <f>IF($D76=1,ROUND(SUM(householdfinance_v4_5!K76,householdfinance_v4_4!K76,householdfinance_v4_3!K76,householdfinance_v4_2!K76,householdfinance_v4_1!K76)/COUNT(householdfinance_v4_5!K76,householdfinance_v4_4!K76,householdfinance_v4_3!K76,householdfinance_v4_2!K76,householdfinance_v4_1!K76),0),"NA")</f>
        <v>1</v>
      </c>
      <c r="L76">
        <f>IF($D76=1,ROUND(SUM(householdfinance_v4_5!L76,householdfinance_v4_4!L76,householdfinance_v4_3!L76,householdfinance_v4_2!L76,householdfinance_v4_1!L76)/COUNT(householdfinance_v4_5!L76,householdfinance_v4_4!L76,householdfinance_v4_3!L76,householdfinance_v4_2!L76,householdfinance_v4_1!L76),0),"NA")</f>
        <v>1</v>
      </c>
      <c r="M76">
        <f>IF($D76=1,ROUND(SUM(householdfinance_v4_5!M76,householdfinance_v4_4!M76,householdfinance_v4_3!M76,householdfinance_v4_2!M76,householdfinance_v4_1!M76)/COUNT(householdfinance_v4_5!M76,householdfinance_v4_4!M76,householdfinance_v4_3!M76,householdfinance_v4_2!M76,householdfinance_v4_1!M76),0),"NA")</f>
        <v>1</v>
      </c>
      <c r="N76">
        <f>IF($D76=1,ROUND(SUM(householdfinance_v4_5!N76,householdfinance_v4_4!N76,householdfinance_v4_3!N76,householdfinance_v4_2!N76,householdfinance_v4_1!N76)/COUNT(householdfinance_v4_5!N76,householdfinance_v4_4!N76,householdfinance_v4_3!N76,householdfinance_v4_2!N76,householdfinance_v4_1!N76),0),"NA")</f>
        <v>1</v>
      </c>
      <c r="O76">
        <v>1.652548551559448</v>
      </c>
    </row>
    <row r="77" spans="1:15" x14ac:dyDescent="0.25">
      <c r="A77" t="s">
        <v>86</v>
      </c>
      <c r="B77" t="s">
        <v>53</v>
      </c>
      <c r="C77">
        <v>0</v>
      </c>
      <c r="D77">
        <f>ROUND(SUM(householdfinance_v4_5!D77,householdfinance_v4_4!D77,householdfinance_v4_3!D77,householdfinance_v4_2!D77,householdfinance_v4_1!D77)/COUNT(householdfinance_v4_5!D77,householdfinance_v4_4!D77,householdfinance_v4_3!D77,householdfinance_v4_2!D77,householdfinance_v4_1!D77),0)</f>
        <v>1</v>
      </c>
      <c r="E77">
        <f>IF($D77=1,ROUND(SUM(householdfinance_v4_5!E77,householdfinance_v4_4!E77,householdfinance_v4_3!E77,householdfinance_v4_2!E77,householdfinance_v4_1!E77)/COUNT(householdfinance_v4_5!E77,householdfinance_v4_4!E77,householdfinance_v4_3!E77,householdfinance_v4_2!E77,householdfinance_v4_1!E77),0),"NA")</f>
        <v>0</v>
      </c>
      <c r="F77">
        <f>IF($D77=1,ROUND(SUM(householdfinance_v4_5!F77,householdfinance_v4_4!F77,householdfinance_v4_3!F77,householdfinance_v4_2!F77,householdfinance_v4_1!F77)/COUNT(householdfinance_v4_5!F77,householdfinance_v4_4!F77,householdfinance_v4_3!F77,householdfinance_v4_2!F77,householdfinance_v4_1!F77),0),"NA")</f>
        <v>1</v>
      </c>
      <c r="G77">
        <f>IF($D77=1,ROUND(SUM(householdfinance_v4_5!G77,householdfinance_v4_4!G77,householdfinance_v4_3!G77,householdfinance_v4_2!G77,householdfinance_v4_1!G77)/COUNT(householdfinance_v4_5!G77,householdfinance_v4_4!G77,householdfinance_v4_3!G77,householdfinance_v4_2!G77,householdfinance_v4_1!G77),0),"NA")</f>
        <v>1</v>
      </c>
      <c r="H77" t="str">
        <f>IF($E77=1,ROUND(SUM(householdfinance_v4_5!H77,householdfinance_v4_4!H77,householdfinance_v4_3!H77,householdfinance_v4_2!H77,householdfinance_v4_1!H77)/COUNT(householdfinance_v4_5!H77,householdfinance_v4_4!H77,householdfinance_v4_3!H77,householdfinance_v4_2!H77,householdfinance_v4_1!H77),0),"NA")</f>
        <v>NA</v>
      </c>
      <c r="I77">
        <f>IF($D77=1,ROUND(SUM(householdfinance_v4_5!I77,householdfinance_v4_4!I77,householdfinance_v4_3!I77,householdfinance_v4_2!I77,householdfinance_v4_1!I77)/COUNT(householdfinance_v4_5!I77,householdfinance_v4_4!I77,householdfinance_v4_3!I77,householdfinance_v4_2!I77,householdfinance_v4_1!I77),0),"NA")</f>
        <v>1</v>
      </c>
      <c r="J77" t="str">
        <f>IF(AND($E77=1,$F77=1),ROUND(SUM(householdfinance_v4_5!J77,householdfinance_v4_4!J77,householdfinance_v4_3!J77,householdfinance_v4_2!J77,householdfinance_v4_1!J77)/COUNT(householdfinance_v4_5!J77,householdfinance_v4_4!J77,householdfinance_v4_3!J77,householdfinance_v4_2!J77,householdfinance_v4_1!J77),0),"NA")</f>
        <v>NA</v>
      </c>
      <c r="K77">
        <f>IF($D77=1,ROUND(SUM(householdfinance_v4_5!K77,householdfinance_v4_4!K77,householdfinance_v4_3!K77,householdfinance_v4_2!K77,householdfinance_v4_1!K77)/COUNT(householdfinance_v4_5!K77,householdfinance_v4_4!K77,householdfinance_v4_3!K77,householdfinance_v4_2!K77,householdfinance_v4_1!K77),0),"NA")</f>
        <v>1</v>
      </c>
      <c r="L77">
        <f>IF($D77=1,ROUND(SUM(householdfinance_v4_5!L77,householdfinance_v4_4!L77,householdfinance_v4_3!L77,householdfinance_v4_2!L77,householdfinance_v4_1!L77)/COUNT(householdfinance_v4_5!L77,householdfinance_v4_4!L77,householdfinance_v4_3!L77,householdfinance_v4_2!L77,householdfinance_v4_1!L77),0),"NA")</f>
        <v>1</v>
      </c>
      <c r="M77">
        <f>IF($D77=1,ROUND(SUM(householdfinance_v4_5!M77,householdfinance_v4_4!M77,householdfinance_v4_3!M77,householdfinance_v4_2!M77,householdfinance_v4_1!M77)/COUNT(householdfinance_v4_5!M77,householdfinance_v4_4!M77,householdfinance_v4_3!M77,householdfinance_v4_2!M77,householdfinance_v4_1!M77),0),"NA")</f>
        <v>1</v>
      </c>
      <c r="N77">
        <f>IF($D77=1,ROUND(SUM(householdfinance_v4_5!N77,householdfinance_v4_4!N77,householdfinance_v4_3!N77,householdfinance_v4_2!N77,householdfinance_v4_1!N77)/COUNT(householdfinance_v4_5!N77,householdfinance_v4_4!N77,householdfinance_v4_3!N77,householdfinance_v4_2!N77,householdfinance_v4_1!N77),0),"NA")</f>
        <v>1</v>
      </c>
      <c r="O77">
        <v>2.076018095016479</v>
      </c>
    </row>
    <row r="78" spans="1:15" x14ac:dyDescent="0.25">
      <c r="A78" t="s">
        <v>86</v>
      </c>
      <c r="B78" t="s">
        <v>55</v>
      </c>
      <c r="C78">
        <v>0</v>
      </c>
      <c r="D78">
        <f>ROUND(SUM(householdfinance_v4_5!D78,householdfinance_v4_4!D78,householdfinance_v4_3!D78,householdfinance_v4_2!D78,householdfinance_v4_1!D78)/COUNT(householdfinance_v4_5!D78,householdfinance_v4_4!D78,householdfinance_v4_3!D78,householdfinance_v4_2!D78,householdfinance_v4_1!D78),0)</f>
        <v>1</v>
      </c>
      <c r="E78">
        <f>IF($D78=1,ROUND(SUM(householdfinance_v4_5!E78,householdfinance_v4_4!E78,householdfinance_v4_3!E78,householdfinance_v4_2!E78,householdfinance_v4_1!E78)/COUNT(householdfinance_v4_5!E78,householdfinance_v4_4!E78,householdfinance_v4_3!E78,householdfinance_v4_2!E78,householdfinance_v4_1!E78),0),"NA")</f>
        <v>1</v>
      </c>
      <c r="F78">
        <f>IF($D78=1,ROUND(SUM(householdfinance_v4_5!F78,householdfinance_v4_4!F78,householdfinance_v4_3!F78,householdfinance_v4_2!F78,householdfinance_v4_1!F78)/COUNT(householdfinance_v4_5!F78,householdfinance_v4_4!F78,householdfinance_v4_3!F78,householdfinance_v4_2!F78,householdfinance_v4_1!F78),0),"NA")</f>
        <v>1</v>
      </c>
      <c r="G78">
        <f>IF($D78=1,ROUND(SUM(householdfinance_v4_5!G78,householdfinance_v4_4!G78,householdfinance_v4_3!G78,householdfinance_v4_2!G78,householdfinance_v4_1!G78)/COUNT(householdfinance_v4_5!G78,householdfinance_v4_4!G78,householdfinance_v4_3!G78,householdfinance_v4_2!G78,householdfinance_v4_1!G78),0),"NA")</f>
        <v>1</v>
      </c>
      <c r="H78">
        <f>IF($E78=1,ROUND(SUM(householdfinance_v4_5!H78,householdfinance_v4_4!H78,householdfinance_v4_3!H78,householdfinance_v4_2!H78,householdfinance_v4_1!H78)/COUNT(householdfinance_v4_5!H78,householdfinance_v4_4!H78,householdfinance_v4_3!H78,householdfinance_v4_2!H78,householdfinance_v4_1!H78),0),"NA")</f>
        <v>1</v>
      </c>
      <c r="I78">
        <f>IF($D78=1,ROUND(SUM(householdfinance_v4_5!I78,householdfinance_v4_4!I78,householdfinance_v4_3!I78,householdfinance_v4_2!I78,householdfinance_v4_1!I78)/COUNT(householdfinance_v4_5!I78,householdfinance_v4_4!I78,householdfinance_v4_3!I78,householdfinance_v4_2!I78,householdfinance_v4_1!I78),0),"NA")</f>
        <v>1</v>
      </c>
      <c r="J78">
        <f>IF(AND($E78=1,$F78=1),ROUND(SUM(householdfinance_v4_5!J78,householdfinance_v4_4!J78,householdfinance_v4_3!J78,householdfinance_v4_2!J78,householdfinance_v4_1!J78)/COUNT(householdfinance_v4_5!J78,householdfinance_v4_4!J78,householdfinance_v4_3!J78,householdfinance_v4_2!J78,householdfinance_v4_1!J78),0),"NA")</f>
        <v>1</v>
      </c>
      <c r="K78">
        <f>IF($D78=1,ROUND(SUM(householdfinance_v4_5!K78,householdfinance_v4_4!K78,householdfinance_v4_3!K78,householdfinance_v4_2!K78,householdfinance_v4_1!K78)/COUNT(householdfinance_v4_5!K78,householdfinance_v4_4!K78,householdfinance_v4_3!K78,householdfinance_v4_2!K78,householdfinance_v4_1!K78),0),"NA")</f>
        <v>1</v>
      </c>
      <c r="L78">
        <f>IF($D78=1,ROUND(SUM(householdfinance_v4_5!L78,householdfinance_v4_4!L78,householdfinance_v4_3!L78,householdfinance_v4_2!L78,householdfinance_v4_1!L78)/COUNT(householdfinance_v4_5!L78,householdfinance_v4_4!L78,householdfinance_v4_3!L78,householdfinance_v4_2!L78,householdfinance_v4_1!L78),0),"NA")</f>
        <v>1</v>
      </c>
      <c r="M78">
        <f>IF($D78=1,ROUND(SUM(householdfinance_v4_5!M78,householdfinance_v4_4!M78,householdfinance_v4_3!M78,householdfinance_v4_2!M78,householdfinance_v4_1!M78)/COUNT(householdfinance_v4_5!M78,householdfinance_v4_4!M78,householdfinance_v4_3!M78,householdfinance_v4_2!M78,householdfinance_v4_1!M78),0),"NA")</f>
        <v>0</v>
      </c>
      <c r="N78">
        <f>IF($D78=1,ROUND(SUM(householdfinance_v4_5!N78,householdfinance_v4_4!N78,householdfinance_v4_3!N78,householdfinance_v4_2!N78,householdfinance_v4_1!N78)/COUNT(householdfinance_v4_5!N78,householdfinance_v4_4!N78,householdfinance_v4_3!N78,householdfinance_v4_2!N78,householdfinance_v4_1!N78),0),"NA")</f>
        <v>1</v>
      </c>
      <c r="O78">
        <v>4.2152431011199951</v>
      </c>
    </row>
    <row r="79" spans="1:15" x14ac:dyDescent="0.25">
      <c r="A79" t="s">
        <v>86</v>
      </c>
      <c r="B79" t="s">
        <v>56</v>
      </c>
      <c r="C79">
        <v>0</v>
      </c>
      <c r="D79">
        <f>ROUND(SUM(householdfinance_v4_5!D79,householdfinance_v4_4!D79,householdfinance_v4_3!D79,householdfinance_v4_2!D79,householdfinance_v4_1!D79)/COUNT(householdfinance_v4_5!D79,householdfinance_v4_4!D79,householdfinance_v4_3!D79,householdfinance_v4_2!D79,householdfinance_v4_1!D79),0)</f>
        <v>1</v>
      </c>
      <c r="E79">
        <f>IF($D79=1,ROUND(SUM(householdfinance_v4_5!E79,householdfinance_v4_4!E79,householdfinance_v4_3!E79,householdfinance_v4_2!E79,householdfinance_v4_1!E79)/COUNT(householdfinance_v4_5!E79,householdfinance_v4_4!E79,householdfinance_v4_3!E79,householdfinance_v4_2!E79,householdfinance_v4_1!E79),0),"NA")</f>
        <v>1</v>
      </c>
      <c r="F79">
        <f>IF($D79=1,ROUND(SUM(householdfinance_v4_5!F79,householdfinance_v4_4!F79,householdfinance_v4_3!F79,householdfinance_v4_2!F79,householdfinance_v4_1!F79)/COUNT(householdfinance_v4_5!F79,householdfinance_v4_4!F79,householdfinance_v4_3!F79,householdfinance_v4_2!F79,householdfinance_v4_1!F79),0),"NA")</f>
        <v>1</v>
      </c>
      <c r="G79">
        <f>IF($D79=1,ROUND(SUM(householdfinance_v4_5!G79,householdfinance_v4_4!G79,householdfinance_v4_3!G79,householdfinance_v4_2!G79,householdfinance_v4_1!G79)/COUNT(householdfinance_v4_5!G79,householdfinance_v4_4!G79,householdfinance_v4_3!G79,householdfinance_v4_2!G79,householdfinance_v4_1!G79),0),"NA")</f>
        <v>1</v>
      </c>
      <c r="H79">
        <f>IF($E79=1,ROUND(SUM(householdfinance_v4_5!H79,householdfinance_v4_4!H79,householdfinance_v4_3!H79,householdfinance_v4_2!H79,householdfinance_v4_1!H79)/COUNT(householdfinance_v4_5!H79,householdfinance_v4_4!H79,householdfinance_v4_3!H79,householdfinance_v4_2!H79,householdfinance_v4_1!H79),0),"NA")</f>
        <v>1</v>
      </c>
      <c r="I79">
        <f>IF($D79=1,ROUND(SUM(householdfinance_v4_5!I79,householdfinance_v4_4!I79,householdfinance_v4_3!I79,householdfinance_v4_2!I79,householdfinance_v4_1!I79)/COUNT(householdfinance_v4_5!I79,householdfinance_v4_4!I79,householdfinance_v4_3!I79,householdfinance_v4_2!I79,householdfinance_v4_1!I79),0),"NA")</f>
        <v>1</v>
      </c>
      <c r="J79">
        <f>IF(AND($E79=1,$F79=1),ROUND(SUM(householdfinance_v4_5!J79,householdfinance_v4_4!J79,householdfinance_v4_3!J79,householdfinance_v4_2!J79,householdfinance_v4_1!J79)/COUNT(householdfinance_v4_5!J79,householdfinance_v4_4!J79,householdfinance_v4_3!J79,householdfinance_v4_2!J79,householdfinance_v4_1!J79),0),"NA")</f>
        <v>1</v>
      </c>
      <c r="K79">
        <f>IF($D79=1,ROUND(SUM(householdfinance_v4_5!K79,householdfinance_v4_4!K79,householdfinance_v4_3!K79,householdfinance_v4_2!K79,householdfinance_v4_1!K79)/COUNT(householdfinance_v4_5!K79,householdfinance_v4_4!K79,householdfinance_v4_3!K79,householdfinance_v4_2!K79,householdfinance_v4_1!K79),0),"NA")</f>
        <v>1</v>
      </c>
      <c r="L79">
        <f>IF($D79=1,ROUND(SUM(householdfinance_v4_5!L79,householdfinance_v4_4!L79,householdfinance_v4_3!L79,householdfinance_v4_2!L79,householdfinance_v4_1!L79)/COUNT(householdfinance_v4_5!L79,householdfinance_v4_4!L79,householdfinance_v4_3!L79,householdfinance_v4_2!L79,householdfinance_v4_1!L79),0),"NA")</f>
        <v>1</v>
      </c>
      <c r="M79">
        <f>IF($D79=1,ROUND(SUM(householdfinance_v4_5!M79,householdfinance_v4_4!M79,householdfinance_v4_3!M79,householdfinance_v4_2!M79,householdfinance_v4_1!M79)/COUNT(householdfinance_v4_5!M79,householdfinance_v4_4!M79,householdfinance_v4_3!M79,householdfinance_v4_2!M79,householdfinance_v4_1!M79),0),"NA")</f>
        <v>1</v>
      </c>
      <c r="N79">
        <f>IF($D79=1,ROUND(SUM(householdfinance_v4_5!N79,householdfinance_v4_4!N79,householdfinance_v4_3!N79,householdfinance_v4_2!N79,householdfinance_v4_1!N79)/COUNT(householdfinance_v4_5!N79,householdfinance_v4_4!N79,householdfinance_v4_3!N79,householdfinance_v4_2!N79,householdfinance_v4_1!N79),0),"NA")</f>
        <v>1</v>
      </c>
      <c r="O79">
        <v>1.2637438774108889</v>
      </c>
    </row>
    <row r="80" spans="1:15" x14ac:dyDescent="0.25">
      <c r="A80" t="s">
        <v>86</v>
      </c>
      <c r="B80" t="s">
        <v>58</v>
      </c>
      <c r="C80">
        <v>0</v>
      </c>
      <c r="D80">
        <f>ROUND(SUM(householdfinance_v4_5!D80,householdfinance_v4_4!D80,householdfinance_v4_3!D80,householdfinance_v4_2!D80,householdfinance_v4_1!D80)/COUNT(householdfinance_v4_5!D80,householdfinance_v4_4!D80,householdfinance_v4_3!D80,householdfinance_v4_2!D80,householdfinance_v4_1!D80),0)</f>
        <v>1</v>
      </c>
      <c r="E80">
        <f>IF($D80=1,ROUND(SUM(householdfinance_v4_5!E80,householdfinance_v4_4!E80,householdfinance_v4_3!E80,householdfinance_v4_2!E80,householdfinance_v4_1!E80)/COUNT(householdfinance_v4_5!E80,householdfinance_v4_4!E80,householdfinance_v4_3!E80,householdfinance_v4_2!E80,householdfinance_v4_1!E80),0),"NA")</f>
        <v>1</v>
      </c>
      <c r="F80">
        <f>IF($D80=1,ROUND(SUM(householdfinance_v4_5!F80,householdfinance_v4_4!F80,householdfinance_v4_3!F80,householdfinance_v4_2!F80,householdfinance_v4_1!F80)/COUNT(householdfinance_v4_5!F80,householdfinance_v4_4!F80,householdfinance_v4_3!F80,householdfinance_v4_2!F80,householdfinance_v4_1!F80),0),"NA")</f>
        <v>1</v>
      </c>
      <c r="G80">
        <f>IF($D80=1,ROUND(SUM(householdfinance_v4_5!G80,householdfinance_v4_4!G80,householdfinance_v4_3!G80,householdfinance_v4_2!G80,householdfinance_v4_1!G80)/COUNT(householdfinance_v4_5!G80,householdfinance_v4_4!G80,householdfinance_v4_3!G80,householdfinance_v4_2!G80,householdfinance_v4_1!G80),0),"NA")</f>
        <v>1</v>
      </c>
      <c r="H80">
        <f>IF($E80=1,ROUND(SUM(householdfinance_v4_5!H80,householdfinance_v4_4!H80,householdfinance_v4_3!H80,householdfinance_v4_2!H80,householdfinance_v4_1!H80)/COUNT(householdfinance_v4_5!H80,householdfinance_v4_4!H80,householdfinance_v4_3!H80,householdfinance_v4_2!H80,householdfinance_v4_1!H80),0),"NA")</f>
        <v>1</v>
      </c>
      <c r="I80">
        <f>IF($D80=1,ROUND(SUM(householdfinance_v4_5!I80,householdfinance_v4_4!I80,householdfinance_v4_3!I80,householdfinance_v4_2!I80,householdfinance_v4_1!I80)/COUNT(householdfinance_v4_5!I80,householdfinance_v4_4!I80,householdfinance_v4_3!I80,householdfinance_v4_2!I80,householdfinance_v4_1!I80),0),"NA")</f>
        <v>1</v>
      </c>
      <c r="J80">
        <f>IF(AND($E80=1,$F80=1),ROUND(SUM(householdfinance_v4_5!J80,householdfinance_v4_4!J80,householdfinance_v4_3!J80,householdfinance_v4_2!J80,householdfinance_v4_1!J80)/COUNT(householdfinance_v4_5!J80,householdfinance_v4_4!J80,householdfinance_v4_3!J80,householdfinance_v4_2!J80,householdfinance_v4_1!J80),0),"NA")</f>
        <v>1</v>
      </c>
      <c r="K80">
        <f>IF($D80=1,ROUND(SUM(householdfinance_v4_5!K80,householdfinance_v4_4!K80,householdfinance_v4_3!K80,householdfinance_v4_2!K80,householdfinance_v4_1!K80)/COUNT(householdfinance_v4_5!K80,householdfinance_v4_4!K80,householdfinance_v4_3!K80,householdfinance_v4_2!K80,householdfinance_v4_1!K80),0),"NA")</f>
        <v>1</v>
      </c>
      <c r="L80">
        <f>IF($D80=1,ROUND(SUM(householdfinance_v4_5!L80,householdfinance_v4_4!L80,householdfinance_v4_3!L80,householdfinance_v4_2!L80,householdfinance_v4_1!L80)/COUNT(householdfinance_v4_5!L80,householdfinance_v4_4!L80,householdfinance_v4_3!L80,householdfinance_v4_2!L80,householdfinance_v4_1!L80),0),"NA")</f>
        <v>1</v>
      </c>
      <c r="M80">
        <f>IF($D80=1,ROUND(SUM(householdfinance_v4_5!M80,householdfinance_v4_4!M80,householdfinance_v4_3!M80,householdfinance_v4_2!M80,householdfinance_v4_1!M80)/COUNT(householdfinance_v4_5!M80,householdfinance_v4_4!M80,householdfinance_v4_3!M80,householdfinance_v4_2!M80,householdfinance_v4_1!M80),0),"NA")</f>
        <v>1</v>
      </c>
      <c r="N80">
        <f>IF($D80=1,ROUND(SUM(householdfinance_v4_5!N80,householdfinance_v4_4!N80,householdfinance_v4_3!N80,householdfinance_v4_2!N80,householdfinance_v4_1!N80)/COUNT(householdfinance_v4_5!N80,householdfinance_v4_4!N80,householdfinance_v4_3!N80,householdfinance_v4_2!N80,householdfinance_v4_1!N80),0),"NA")</f>
        <v>1</v>
      </c>
      <c r="O80">
        <v>1.082624197006226</v>
      </c>
    </row>
    <row r="81" spans="1:15" x14ac:dyDescent="0.25">
      <c r="A81" t="s">
        <v>86</v>
      </c>
      <c r="B81" t="s">
        <v>60</v>
      </c>
      <c r="C81">
        <v>0</v>
      </c>
      <c r="D81">
        <f>ROUND(SUM(householdfinance_v4_5!D81,householdfinance_v4_4!D81,householdfinance_v4_3!D81,householdfinance_v4_2!D81,householdfinance_v4_1!D81)/COUNT(householdfinance_v4_5!D81,householdfinance_v4_4!D81,householdfinance_v4_3!D81,householdfinance_v4_2!D81,householdfinance_v4_1!D81),0)</f>
        <v>1</v>
      </c>
      <c r="E81">
        <f>IF($D81=1,ROUND(SUM(householdfinance_v4_5!E81,householdfinance_v4_4!E81,householdfinance_v4_3!E81,householdfinance_v4_2!E81,householdfinance_v4_1!E81)/COUNT(householdfinance_v4_5!E81,householdfinance_v4_4!E81,householdfinance_v4_3!E81,householdfinance_v4_2!E81,householdfinance_v4_1!E81),0),"NA")</f>
        <v>1</v>
      </c>
      <c r="F81">
        <f>IF($D81=1,ROUND(SUM(householdfinance_v4_5!F81,householdfinance_v4_4!F81,householdfinance_v4_3!F81,householdfinance_v4_2!F81,householdfinance_v4_1!F81)/COUNT(householdfinance_v4_5!F81,householdfinance_v4_4!F81,householdfinance_v4_3!F81,householdfinance_v4_2!F81,householdfinance_v4_1!F81),0),"NA")</f>
        <v>1</v>
      </c>
      <c r="G81">
        <f>IF($D81=1,ROUND(SUM(householdfinance_v4_5!G81,householdfinance_v4_4!G81,householdfinance_v4_3!G81,householdfinance_v4_2!G81,householdfinance_v4_1!G81)/COUNT(householdfinance_v4_5!G81,householdfinance_v4_4!G81,householdfinance_v4_3!G81,householdfinance_v4_2!G81,householdfinance_v4_1!G81),0),"NA")</f>
        <v>1</v>
      </c>
      <c r="H81">
        <f>IF($E81=1,ROUND(SUM(householdfinance_v4_5!H81,householdfinance_v4_4!H81,householdfinance_v4_3!H81,householdfinance_v4_2!H81,householdfinance_v4_1!H81)/COUNT(householdfinance_v4_5!H81,householdfinance_v4_4!H81,householdfinance_v4_3!H81,householdfinance_v4_2!H81,householdfinance_v4_1!H81),0),"NA")</f>
        <v>1</v>
      </c>
      <c r="I81">
        <f>IF($D81=1,ROUND(SUM(householdfinance_v4_5!I81,householdfinance_v4_4!I81,householdfinance_v4_3!I81,householdfinance_v4_2!I81,householdfinance_v4_1!I81)/COUNT(householdfinance_v4_5!I81,householdfinance_v4_4!I81,householdfinance_v4_3!I81,householdfinance_v4_2!I81,householdfinance_v4_1!I81),0),"NA")</f>
        <v>1</v>
      </c>
      <c r="J81">
        <f>IF(AND($E81=1,$F81=1),ROUND(SUM(householdfinance_v4_5!J81,householdfinance_v4_4!J81,householdfinance_v4_3!J81,householdfinance_v4_2!J81,householdfinance_v4_1!J81)/COUNT(householdfinance_v4_5!J81,householdfinance_v4_4!J81,householdfinance_v4_3!J81,householdfinance_v4_2!J81,householdfinance_v4_1!J81),0),"NA")</f>
        <v>1</v>
      </c>
      <c r="K81">
        <f>IF($D81=1,ROUND(SUM(householdfinance_v4_5!K81,householdfinance_v4_4!K81,householdfinance_v4_3!K81,householdfinance_v4_2!K81,householdfinance_v4_1!K81)/COUNT(householdfinance_v4_5!K81,householdfinance_v4_4!K81,householdfinance_v4_3!K81,householdfinance_v4_2!K81,householdfinance_v4_1!K81),0),"NA")</f>
        <v>1</v>
      </c>
      <c r="L81">
        <f>IF($D81=1,ROUND(SUM(householdfinance_v4_5!L81,householdfinance_v4_4!L81,householdfinance_v4_3!L81,householdfinance_v4_2!L81,householdfinance_v4_1!L81)/COUNT(householdfinance_v4_5!L81,householdfinance_v4_4!L81,householdfinance_v4_3!L81,householdfinance_v4_2!L81,householdfinance_v4_1!L81),0),"NA")</f>
        <v>1</v>
      </c>
      <c r="M81">
        <f>IF($D81=1,ROUND(SUM(householdfinance_v4_5!M81,householdfinance_v4_4!M81,householdfinance_v4_3!M81,householdfinance_v4_2!M81,householdfinance_v4_1!M81)/COUNT(householdfinance_v4_5!M81,householdfinance_v4_4!M81,householdfinance_v4_3!M81,householdfinance_v4_2!M81,householdfinance_v4_1!M81),0),"NA")</f>
        <v>1</v>
      </c>
      <c r="N81">
        <f>IF($D81=1,ROUND(SUM(householdfinance_v4_5!N81,householdfinance_v4_4!N81,householdfinance_v4_3!N81,householdfinance_v4_2!N81,householdfinance_v4_1!N81)/COUNT(householdfinance_v4_5!N81,householdfinance_v4_4!N81,householdfinance_v4_3!N81,householdfinance_v4_2!N81,householdfinance_v4_1!N81),0),"NA")</f>
        <v>1</v>
      </c>
      <c r="O81">
        <v>1.252732515335083</v>
      </c>
    </row>
    <row r="82" spans="1:15" x14ac:dyDescent="0.25">
      <c r="A82" t="s">
        <v>86</v>
      </c>
      <c r="B82" t="s">
        <v>62</v>
      </c>
      <c r="C82">
        <v>0</v>
      </c>
      <c r="D82">
        <f>ROUND(SUM(householdfinance_v4_5!D82,householdfinance_v4_4!D82,householdfinance_v4_3!D82,householdfinance_v4_2!D82,householdfinance_v4_1!D82)/COUNT(householdfinance_v4_5!D82,householdfinance_v4_4!D82,householdfinance_v4_3!D82,householdfinance_v4_2!D82,householdfinance_v4_1!D82),0)</f>
        <v>1</v>
      </c>
      <c r="E82">
        <f>IF($D82=1,ROUND(SUM(householdfinance_v4_5!E82,householdfinance_v4_4!E82,householdfinance_v4_3!E82,householdfinance_v4_2!E82,householdfinance_v4_1!E82)/COUNT(householdfinance_v4_5!E82,householdfinance_v4_4!E82,householdfinance_v4_3!E82,householdfinance_v4_2!E82,householdfinance_v4_1!E82),0),"NA")</f>
        <v>1</v>
      </c>
      <c r="F82">
        <f>IF($D82=1,ROUND(SUM(householdfinance_v4_5!F82,householdfinance_v4_4!F82,householdfinance_v4_3!F82,householdfinance_v4_2!F82,householdfinance_v4_1!F82)/COUNT(householdfinance_v4_5!F82,householdfinance_v4_4!F82,householdfinance_v4_3!F82,householdfinance_v4_2!F82,householdfinance_v4_1!F82),0),"NA")</f>
        <v>1</v>
      </c>
      <c r="G82">
        <f>IF($D82=1,ROUND(SUM(householdfinance_v4_5!G82,householdfinance_v4_4!G82,householdfinance_v4_3!G82,householdfinance_v4_2!G82,householdfinance_v4_1!G82)/COUNT(householdfinance_v4_5!G82,householdfinance_v4_4!G82,householdfinance_v4_3!G82,householdfinance_v4_2!G82,householdfinance_v4_1!G82),0),"NA")</f>
        <v>1</v>
      </c>
      <c r="H82">
        <f>IF($E82=1,ROUND(SUM(householdfinance_v4_5!H82,householdfinance_v4_4!H82,householdfinance_v4_3!H82,householdfinance_v4_2!H82,householdfinance_v4_1!H82)/COUNT(householdfinance_v4_5!H82,householdfinance_v4_4!H82,householdfinance_v4_3!H82,householdfinance_v4_2!H82,householdfinance_v4_1!H82),0),"NA")</f>
        <v>1</v>
      </c>
      <c r="I82">
        <f>IF($D82=1,ROUND(SUM(householdfinance_v4_5!I82,householdfinance_v4_4!I82,householdfinance_v4_3!I82,householdfinance_v4_2!I82,householdfinance_v4_1!I82)/COUNT(householdfinance_v4_5!I82,householdfinance_v4_4!I82,householdfinance_v4_3!I82,householdfinance_v4_2!I82,householdfinance_v4_1!I82),0),"NA")</f>
        <v>1</v>
      </c>
      <c r="J82">
        <f>IF(AND($E82=1,$F82=1),ROUND(SUM(householdfinance_v4_5!J82,householdfinance_v4_4!J82,householdfinance_v4_3!J82,householdfinance_v4_2!J82,householdfinance_v4_1!J82)/COUNT(householdfinance_v4_5!J82,householdfinance_v4_4!J82,householdfinance_v4_3!J82,householdfinance_v4_2!J82,householdfinance_v4_1!J82),0),"NA")</f>
        <v>1</v>
      </c>
      <c r="K82">
        <f>IF($D82=1,ROUND(SUM(householdfinance_v4_5!K82,householdfinance_v4_4!K82,householdfinance_v4_3!K82,householdfinance_v4_2!K82,householdfinance_v4_1!K82)/COUNT(householdfinance_v4_5!K82,householdfinance_v4_4!K82,householdfinance_v4_3!K82,householdfinance_v4_2!K82,householdfinance_v4_1!K82),0),"NA")</f>
        <v>1</v>
      </c>
      <c r="L82">
        <f>IF($D82=1,ROUND(SUM(householdfinance_v4_5!L82,householdfinance_v4_4!L82,householdfinance_v4_3!L82,householdfinance_v4_2!L82,householdfinance_v4_1!L82)/COUNT(householdfinance_v4_5!L82,householdfinance_v4_4!L82,householdfinance_v4_3!L82,householdfinance_v4_2!L82,householdfinance_v4_1!L82),0),"NA")</f>
        <v>1</v>
      </c>
      <c r="M82">
        <f>IF($D82=1,ROUND(SUM(householdfinance_v4_5!M82,householdfinance_v4_4!M82,householdfinance_v4_3!M82,householdfinance_v4_2!M82,householdfinance_v4_1!M82)/COUNT(householdfinance_v4_5!M82,householdfinance_v4_4!M82,householdfinance_v4_3!M82,householdfinance_v4_2!M82,householdfinance_v4_1!M82),0),"NA")</f>
        <v>1</v>
      </c>
      <c r="N82">
        <f>IF($D82=1,ROUND(SUM(householdfinance_v4_5!N82,householdfinance_v4_4!N82,householdfinance_v4_3!N82,householdfinance_v4_2!N82,householdfinance_v4_1!N82)/COUNT(householdfinance_v4_5!N82,householdfinance_v4_4!N82,householdfinance_v4_3!N82,householdfinance_v4_2!N82,householdfinance_v4_1!N82),0),"NA")</f>
        <v>1</v>
      </c>
      <c r="O82">
        <v>1.310423851013184</v>
      </c>
    </row>
    <row r="83" spans="1:15" x14ac:dyDescent="0.25">
      <c r="A83" t="s">
        <v>86</v>
      </c>
      <c r="B83" t="s">
        <v>63</v>
      </c>
      <c r="C83">
        <v>0</v>
      </c>
      <c r="D83">
        <f>ROUND(SUM(householdfinance_v4_5!D83,householdfinance_v4_4!D83,householdfinance_v4_3!D83,householdfinance_v4_2!D83,householdfinance_v4_1!D83)/COUNT(householdfinance_v4_5!D83,householdfinance_v4_4!D83,householdfinance_v4_3!D83,householdfinance_v4_2!D83,householdfinance_v4_1!D83),0)</f>
        <v>1</v>
      </c>
      <c r="E83">
        <f>IF($D83=1,ROUND(SUM(householdfinance_v4_5!E83,householdfinance_v4_4!E83,householdfinance_v4_3!E83,householdfinance_v4_2!E83,householdfinance_v4_1!E83)/COUNT(householdfinance_v4_5!E83,householdfinance_v4_4!E83,householdfinance_v4_3!E83,householdfinance_v4_2!E83,householdfinance_v4_1!E83),0),"NA")</f>
        <v>1</v>
      </c>
      <c r="F83">
        <f>IF($D83=1,ROUND(SUM(householdfinance_v4_5!F83,householdfinance_v4_4!F83,householdfinance_v4_3!F83,householdfinance_v4_2!F83,householdfinance_v4_1!F83)/COUNT(householdfinance_v4_5!F83,householdfinance_v4_4!F83,householdfinance_v4_3!F83,householdfinance_v4_2!F83,householdfinance_v4_1!F83),0),"NA")</f>
        <v>1</v>
      </c>
      <c r="G83">
        <f>IF($D83=1,ROUND(SUM(householdfinance_v4_5!G83,householdfinance_v4_4!G83,householdfinance_v4_3!G83,householdfinance_v4_2!G83,householdfinance_v4_1!G83)/COUNT(householdfinance_v4_5!G83,householdfinance_v4_4!G83,householdfinance_v4_3!G83,householdfinance_v4_2!G83,householdfinance_v4_1!G83),0),"NA")</f>
        <v>0</v>
      </c>
      <c r="H83">
        <f>IF($E83=1,ROUND(SUM(householdfinance_v4_5!H83,householdfinance_v4_4!H83,householdfinance_v4_3!H83,householdfinance_v4_2!H83,householdfinance_v4_1!H83)/COUNT(householdfinance_v4_5!H83,householdfinance_v4_4!H83,householdfinance_v4_3!H83,householdfinance_v4_2!H83,householdfinance_v4_1!H83),0),"NA")</f>
        <v>1</v>
      </c>
      <c r="I83">
        <f>IF($D83=1,ROUND(SUM(householdfinance_v4_5!I83,householdfinance_v4_4!I83,householdfinance_v4_3!I83,householdfinance_v4_2!I83,householdfinance_v4_1!I83)/COUNT(householdfinance_v4_5!I83,householdfinance_v4_4!I83,householdfinance_v4_3!I83,householdfinance_v4_2!I83,householdfinance_v4_1!I83),0),"NA")</f>
        <v>1</v>
      </c>
      <c r="J83">
        <f>IF(AND($E83=1,$F83=1),ROUND(SUM(householdfinance_v4_5!J83,householdfinance_v4_4!J83,householdfinance_v4_3!J83,householdfinance_v4_2!J83,householdfinance_v4_1!J83)/COUNT(householdfinance_v4_5!J83,householdfinance_v4_4!J83,householdfinance_v4_3!J83,householdfinance_v4_2!J83,householdfinance_v4_1!J83),0),"NA")</f>
        <v>1</v>
      </c>
      <c r="K83">
        <f>IF($D83=1,ROUND(SUM(householdfinance_v4_5!K83,householdfinance_v4_4!K83,householdfinance_v4_3!K83,householdfinance_v4_2!K83,householdfinance_v4_1!K83)/COUNT(householdfinance_v4_5!K83,householdfinance_v4_4!K83,householdfinance_v4_3!K83,householdfinance_v4_2!K83,householdfinance_v4_1!K83),0),"NA")</f>
        <v>1</v>
      </c>
      <c r="L83">
        <f>IF($D83=1,ROUND(SUM(householdfinance_v4_5!L83,householdfinance_v4_4!L83,householdfinance_v4_3!L83,householdfinance_v4_2!L83,householdfinance_v4_1!L83)/COUNT(householdfinance_v4_5!L83,householdfinance_v4_4!L83,householdfinance_v4_3!L83,householdfinance_v4_2!L83,householdfinance_v4_1!L83),0),"NA")</f>
        <v>1</v>
      </c>
      <c r="M83">
        <f>IF($D83=1,ROUND(SUM(householdfinance_v4_5!M83,householdfinance_v4_4!M83,householdfinance_v4_3!M83,householdfinance_v4_2!M83,householdfinance_v4_1!M83)/COUNT(householdfinance_v4_5!M83,householdfinance_v4_4!M83,householdfinance_v4_3!M83,householdfinance_v4_2!M83,householdfinance_v4_1!M83),0),"NA")</f>
        <v>1</v>
      </c>
      <c r="N83">
        <f>IF($D83=1,ROUND(SUM(householdfinance_v4_5!N83,householdfinance_v4_4!N83,householdfinance_v4_3!N83,householdfinance_v4_2!N83,householdfinance_v4_1!N83)/COUNT(householdfinance_v4_5!N83,householdfinance_v4_4!N83,householdfinance_v4_3!N83,householdfinance_v4_2!N83,householdfinance_v4_1!N83),0),"NA")</f>
        <v>1</v>
      </c>
      <c r="O83">
        <v>5.344684362411499</v>
      </c>
    </row>
    <row r="84" spans="1:15" x14ac:dyDescent="0.25">
      <c r="A84" t="s">
        <v>86</v>
      </c>
      <c r="B84" t="s">
        <v>65</v>
      </c>
      <c r="C84">
        <v>0</v>
      </c>
      <c r="D84">
        <f>ROUND(SUM(householdfinance_v4_5!D84,householdfinance_v4_4!D84,householdfinance_v4_3!D84,householdfinance_v4_2!D84,householdfinance_v4_1!D84)/COUNT(householdfinance_v4_5!D84,householdfinance_v4_4!D84,householdfinance_v4_3!D84,householdfinance_v4_2!D84,householdfinance_v4_1!D84),0)</f>
        <v>1</v>
      </c>
      <c r="E84">
        <f>IF($D84=1,ROUND(SUM(householdfinance_v4_5!E84,householdfinance_v4_4!E84,householdfinance_v4_3!E84,householdfinance_v4_2!E84,householdfinance_v4_1!E84)/COUNT(householdfinance_v4_5!E84,householdfinance_v4_4!E84,householdfinance_v4_3!E84,householdfinance_v4_2!E84,householdfinance_v4_1!E84),0),"NA")</f>
        <v>1</v>
      </c>
      <c r="F84">
        <f>IF($D84=1,ROUND(SUM(householdfinance_v4_5!F84,householdfinance_v4_4!F84,householdfinance_v4_3!F84,householdfinance_v4_2!F84,householdfinance_v4_1!F84)/COUNT(householdfinance_v4_5!F84,householdfinance_v4_4!F84,householdfinance_v4_3!F84,householdfinance_v4_2!F84,householdfinance_v4_1!F84),0),"NA")</f>
        <v>1</v>
      </c>
      <c r="G84">
        <f>IF($D84=1,ROUND(SUM(householdfinance_v4_5!G84,householdfinance_v4_4!G84,householdfinance_v4_3!G84,householdfinance_v4_2!G84,householdfinance_v4_1!G84)/COUNT(householdfinance_v4_5!G84,householdfinance_v4_4!G84,householdfinance_v4_3!G84,householdfinance_v4_2!G84,householdfinance_v4_1!G84),0),"NA")</f>
        <v>1</v>
      </c>
      <c r="H84">
        <f>IF($E84=1,ROUND(SUM(householdfinance_v4_5!H84,householdfinance_v4_4!H84,householdfinance_v4_3!H84,householdfinance_v4_2!H84,householdfinance_v4_1!H84)/COUNT(householdfinance_v4_5!H84,householdfinance_v4_4!H84,householdfinance_v4_3!H84,householdfinance_v4_2!H84,householdfinance_v4_1!H84),0),"NA")</f>
        <v>1</v>
      </c>
      <c r="I84">
        <f>IF($D84=1,ROUND(SUM(householdfinance_v4_5!I84,householdfinance_v4_4!I84,householdfinance_v4_3!I84,householdfinance_v4_2!I84,householdfinance_v4_1!I84)/COUNT(householdfinance_v4_5!I84,householdfinance_v4_4!I84,householdfinance_v4_3!I84,householdfinance_v4_2!I84,householdfinance_v4_1!I84),0),"NA")</f>
        <v>1</v>
      </c>
      <c r="J84">
        <f>IF(AND($E84=1,$F84=1),ROUND(SUM(householdfinance_v4_5!J84,householdfinance_v4_4!J84,householdfinance_v4_3!J84,householdfinance_v4_2!J84,householdfinance_v4_1!J84)/COUNT(householdfinance_v4_5!J84,householdfinance_v4_4!J84,householdfinance_v4_3!J84,householdfinance_v4_2!J84,householdfinance_v4_1!J84),0),"NA")</f>
        <v>1</v>
      </c>
      <c r="K84">
        <f>IF($D84=1,ROUND(SUM(householdfinance_v4_5!K84,householdfinance_v4_4!K84,householdfinance_v4_3!K84,householdfinance_v4_2!K84,householdfinance_v4_1!K84)/COUNT(householdfinance_v4_5!K84,householdfinance_v4_4!K84,householdfinance_v4_3!K84,householdfinance_v4_2!K84,householdfinance_v4_1!K84),0),"NA")</f>
        <v>1</v>
      </c>
      <c r="L84">
        <f>IF($D84=1,ROUND(SUM(householdfinance_v4_5!L84,householdfinance_v4_4!L84,householdfinance_v4_3!L84,householdfinance_v4_2!L84,householdfinance_v4_1!L84)/COUNT(householdfinance_v4_5!L84,householdfinance_v4_4!L84,householdfinance_v4_3!L84,householdfinance_v4_2!L84,householdfinance_v4_1!L84),0),"NA")</f>
        <v>1</v>
      </c>
      <c r="M84">
        <f>IF($D84=1,ROUND(SUM(householdfinance_v4_5!M84,householdfinance_v4_4!M84,householdfinance_v4_3!M84,householdfinance_v4_2!M84,householdfinance_v4_1!M84)/COUNT(householdfinance_v4_5!M84,householdfinance_v4_4!M84,householdfinance_v4_3!M84,householdfinance_v4_2!M84,householdfinance_v4_1!M84),0),"NA")</f>
        <v>1</v>
      </c>
      <c r="N84">
        <f>IF($D84=1,ROUND(SUM(householdfinance_v4_5!N84,householdfinance_v4_4!N84,householdfinance_v4_3!N84,householdfinance_v4_2!N84,householdfinance_v4_1!N84)/COUNT(householdfinance_v4_5!N84,householdfinance_v4_4!N84,householdfinance_v4_3!N84,householdfinance_v4_2!N84,householdfinance_v4_1!N84),0),"NA")</f>
        <v>1</v>
      </c>
      <c r="O84">
        <v>3.1459603309631352</v>
      </c>
    </row>
    <row r="85" spans="1:15" x14ac:dyDescent="0.25">
      <c r="A85" t="s">
        <v>86</v>
      </c>
      <c r="B85" t="s">
        <v>66</v>
      </c>
      <c r="C85">
        <v>0</v>
      </c>
      <c r="D85">
        <f>ROUND(SUM(householdfinance_v4_5!D85,householdfinance_v4_4!D85,householdfinance_v4_3!D85,householdfinance_v4_2!D85,householdfinance_v4_1!D85)/COUNT(householdfinance_v4_5!D85,householdfinance_v4_4!D85,householdfinance_v4_3!D85,householdfinance_v4_2!D85,householdfinance_v4_1!D85),0)</f>
        <v>1</v>
      </c>
      <c r="E85">
        <f>IF($D85=1,ROUND(SUM(householdfinance_v4_5!E85,householdfinance_v4_4!E85,householdfinance_v4_3!E85,householdfinance_v4_2!E85,householdfinance_v4_1!E85)/COUNT(householdfinance_v4_5!E85,householdfinance_v4_4!E85,householdfinance_v4_3!E85,householdfinance_v4_2!E85,householdfinance_v4_1!E85),0),"NA")</f>
        <v>1</v>
      </c>
      <c r="F85">
        <f>IF($D85=1,ROUND(SUM(householdfinance_v4_5!F85,householdfinance_v4_4!F85,householdfinance_v4_3!F85,householdfinance_v4_2!F85,householdfinance_v4_1!F85)/COUNT(householdfinance_v4_5!F85,householdfinance_v4_4!F85,householdfinance_v4_3!F85,householdfinance_v4_2!F85,householdfinance_v4_1!F85),0),"NA")</f>
        <v>1</v>
      </c>
      <c r="G85">
        <f>IF($D85=1,ROUND(SUM(householdfinance_v4_5!G85,householdfinance_v4_4!G85,householdfinance_v4_3!G85,householdfinance_v4_2!G85,householdfinance_v4_1!G85)/COUNT(householdfinance_v4_5!G85,householdfinance_v4_4!G85,householdfinance_v4_3!G85,householdfinance_v4_2!G85,householdfinance_v4_1!G85),0),"NA")</f>
        <v>0</v>
      </c>
      <c r="H85">
        <f>IF($E85=1,ROUND(SUM(householdfinance_v4_5!H85,householdfinance_v4_4!H85,householdfinance_v4_3!H85,householdfinance_v4_2!H85,householdfinance_v4_1!H85)/COUNT(householdfinance_v4_5!H85,householdfinance_v4_4!H85,householdfinance_v4_3!H85,householdfinance_v4_2!H85,householdfinance_v4_1!H85),0),"NA")</f>
        <v>1</v>
      </c>
      <c r="I85">
        <f>IF($D85=1,ROUND(SUM(householdfinance_v4_5!I85,householdfinance_v4_4!I85,householdfinance_v4_3!I85,householdfinance_v4_2!I85,householdfinance_v4_1!I85)/COUNT(householdfinance_v4_5!I85,householdfinance_v4_4!I85,householdfinance_v4_3!I85,householdfinance_v4_2!I85,householdfinance_v4_1!I85),0),"NA")</f>
        <v>1</v>
      </c>
      <c r="J85">
        <f>IF(AND($E85=1,$F85=1),ROUND(SUM(householdfinance_v4_5!J85,householdfinance_v4_4!J85,householdfinance_v4_3!J85,householdfinance_v4_2!J85,householdfinance_v4_1!J85)/COUNT(householdfinance_v4_5!J85,householdfinance_v4_4!J85,householdfinance_v4_3!J85,householdfinance_v4_2!J85,householdfinance_v4_1!J85),0),"NA")</f>
        <v>1</v>
      </c>
      <c r="K85">
        <f>IF($D85=1,ROUND(SUM(householdfinance_v4_5!K85,householdfinance_v4_4!K85,householdfinance_v4_3!K85,householdfinance_v4_2!K85,householdfinance_v4_1!K85)/COUNT(householdfinance_v4_5!K85,householdfinance_v4_4!K85,householdfinance_v4_3!K85,householdfinance_v4_2!K85,householdfinance_v4_1!K85),0),"NA")</f>
        <v>1</v>
      </c>
      <c r="L85">
        <f>IF($D85=1,ROUND(SUM(householdfinance_v4_5!L85,householdfinance_v4_4!L85,householdfinance_v4_3!L85,householdfinance_v4_2!L85,householdfinance_v4_1!L85)/COUNT(householdfinance_v4_5!L85,householdfinance_v4_4!L85,householdfinance_v4_3!L85,householdfinance_v4_2!L85,householdfinance_v4_1!L85),0),"NA")</f>
        <v>1</v>
      </c>
      <c r="M85">
        <f>IF($D85=1,ROUND(SUM(householdfinance_v4_5!M85,householdfinance_v4_4!M85,householdfinance_v4_3!M85,householdfinance_v4_2!M85,householdfinance_v4_1!M85)/COUNT(householdfinance_v4_5!M85,householdfinance_v4_4!M85,householdfinance_v4_3!M85,householdfinance_v4_2!M85,householdfinance_v4_1!M85),0),"NA")</f>
        <v>1</v>
      </c>
      <c r="N85">
        <f>IF($D85=1,ROUND(SUM(householdfinance_v4_5!N85,householdfinance_v4_4!N85,householdfinance_v4_3!N85,householdfinance_v4_2!N85,householdfinance_v4_1!N85)/COUNT(householdfinance_v4_5!N85,householdfinance_v4_4!N85,householdfinance_v4_3!N85,householdfinance_v4_2!N85,householdfinance_v4_1!N85),0),"NA")</f>
        <v>1</v>
      </c>
      <c r="O85">
        <v>4.1579592227935791</v>
      </c>
    </row>
    <row r="86" spans="1:15" x14ac:dyDescent="0.25">
      <c r="A86" t="s">
        <v>86</v>
      </c>
      <c r="B86" t="s">
        <v>67</v>
      </c>
      <c r="C86">
        <v>0</v>
      </c>
      <c r="D86">
        <f>ROUND(SUM(householdfinance_v4_5!D86,householdfinance_v4_4!D86,householdfinance_v4_3!D86,householdfinance_v4_2!D86,householdfinance_v4_1!D86)/COUNT(householdfinance_v4_5!D86,householdfinance_v4_4!D86,householdfinance_v4_3!D86,householdfinance_v4_2!D86,householdfinance_v4_1!D86),0)</f>
        <v>1</v>
      </c>
      <c r="E86">
        <f>IF($D86=1,ROUND(SUM(householdfinance_v4_5!E86,householdfinance_v4_4!E86,householdfinance_v4_3!E86,householdfinance_v4_2!E86,householdfinance_v4_1!E86)/COUNT(householdfinance_v4_5!E86,householdfinance_v4_4!E86,householdfinance_v4_3!E86,householdfinance_v4_2!E86,householdfinance_v4_1!E86),0),"NA")</f>
        <v>1</v>
      </c>
      <c r="F86">
        <f>IF($D86=1,ROUND(SUM(householdfinance_v4_5!F86,householdfinance_v4_4!F86,householdfinance_v4_3!F86,householdfinance_v4_2!F86,householdfinance_v4_1!F86)/COUNT(householdfinance_v4_5!F86,householdfinance_v4_4!F86,householdfinance_v4_3!F86,householdfinance_v4_2!F86,householdfinance_v4_1!F86),0),"NA")</f>
        <v>0</v>
      </c>
      <c r="G86">
        <f>IF($D86=1,ROUND(SUM(householdfinance_v4_5!G86,householdfinance_v4_4!G86,householdfinance_v4_3!G86,householdfinance_v4_2!G86,householdfinance_v4_1!G86)/COUNT(householdfinance_v4_5!G86,householdfinance_v4_4!G86,householdfinance_v4_3!G86,householdfinance_v4_2!G86,householdfinance_v4_1!G86),0),"NA")</f>
        <v>1</v>
      </c>
      <c r="H86">
        <f>IF($E86=1,ROUND(SUM(householdfinance_v4_5!H86,householdfinance_v4_4!H86,householdfinance_v4_3!H86,householdfinance_v4_2!H86,householdfinance_v4_1!H86)/COUNT(householdfinance_v4_5!H86,householdfinance_v4_4!H86,householdfinance_v4_3!H86,householdfinance_v4_2!H86,householdfinance_v4_1!H86),0),"NA")</f>
        <v>1</v>
      </c>
      <c r="I86">
        <f>IF($D86=1,ROUND(SUM(householdfinance_v4_5!I86,householdfinance_v4_4!I86,householdfinance_v4_3!I86,householdfinance_v4_2!I86,householdfinance_v4_1!I86)/COUNT(householdfinance_v4_5!I86,householdfinance_v4_4!I86,householdfinance_v4_3!I86,householdfinance_v4_2!I86,householdfinance_v4_1!I86),0),"NA")</f>
        <v>1</v>
      </c>
      <c r="J86" t="str">
        <f>IF(AND($E86=1,$F86=1),ROUND(SUM(householdfinance_v4_5!J86,householdfinance_v4_4!J86,householdfinance_v4_3!J86,householdfinance_v4_2!J86,householdfinance_v4_1!J86)/COUNT(householdfinance_v4_5!J86,householdfinance_v4_4!J86,householdfinance_v4_3!J86,householdfinance_v4_2!J86,householdfinance_v4_1!J86),0),"NA")</f>
        <v>NA</v>
      </c>
      <c r="K86">
        <f>IF($D86=1,ROUND(SUM(householdfinance_v4_5!K86,householdfinance_v4_4!K86,householdfinance_v4_3!K86,householdfinance_v4_2!K86,householdfinance_v4_1!K86)/COUNT(householdfinance_v4_5!K86,householdfinance_v4_4!K86,householdfinance_v4_3!K86,householdfinance_v4_2!K86,householdfinance_v4_1!K86),0),"NA")</f>
        <v>1</v>
      </c>
      <c r="L86">
        <f>IF($D86=1,ROUND(SUM(householdfinance_v4_5!L86,householdfinance_v4_4!L86,householdfinance_v4_3!L86,householdfinance_v4_2!L86,householdfinance_v4_1!L86)/COUNT(householdfinance_v4_5!L86,householdfinance_v4_4!L86,householdfinance_v4_3!L86,householdfinance_v4_2!L86,householdfinance_v4_1!L86),0),"NA")</f>
        <v>1</v>
      </c>
      <c r="M86">
        <f>IF($D86=1,ROUND(SUM(householdfinance_v4_5!M86,householdfinance_v4_4!M86,householdfinance_v4_3!M86,householdfinance_v4_2!M86,householdfinance_v4_1!M86)/COUNT(householdfinance_v4_5!M86,householdfinance_v4_4!M86,householdfinance_v4_3!M86,householdfinance_v4_2!M86,householdfinance_v4_1!M86),0),"NA")</f>
        <v>1</v>
      </c>
      <c r="N86">
        <f>IF($D86=1,ROUND(SUM(householdfinance_v4_5!N86,householdfinance_v4_4!N86,householdfinance_v4_3!N86,householdfinance_v4_2!N86,householdfinance_v4_1!N86)/COUNT(householdfinance_v4_5!N86,householdfinance_v4_4!N86,householdfinance_v4_3!N86,householdfinance_v4_2!N86,householdfinance_v4_1!N86),0),"NA")</f>
        <v>1</v>
      </c>
      <c r="O86">
        <v>3.162643671035767</v>
      </c>
    </row>
    <row r="87" spans="1:15" x14ac:dyDescent="0.25">
      <c r="A87" t="s">
        <v>86</v>
      </c>
      <c r="B87" t="s">
        <v>68</v>
      </c>
      <c r="C87">
        <v>0</v>
      </c>
      <c r="D87">
        <f>ROUND(SUM(householdfinance_v4_5!D87,householdfinance_v4_4!D87,householdfinance_v4_3!D87,householdfinance_v4_2!D87,householdfinance_v4_1!D87)/COUNT(householdfinance_v4_5!D87,householdfinance_v4_4!D87,householdfinance_v4_3!D87,householdfinance_v4_2!D87,householdfinance_v4_1!D87),0)</f>
        <v>1</v>
      </c>
      <c r="E87">
        <f>IF($D87=1,ROUND(SUM(householdfinance_v4_5!E87,householdfinance_v4_4!E87,householdfinance_v4_3!E87,householdfinance_v4_2!E87,householdfinance_v4_1!E87)/COUNT(householdfinance_v4_5!E87,householdfinance_v4_4!E87,householdfinance_v4_3!E87,householdfinance_v4_2!E87,householdfinance_v4_1!E87),0),"NA")</f>
        <v>1</v>
      </c>
      <c r="F87">
        <f>IF($D87=1,ROUND(SUM(householdfinance_v4_5!F87,householdfinance_v4_4!F87,householdfinance_v4_3!F87,householdfinance_v4_2!F87,householdfinance_v4_1!F87)/COUNT(householdfinance_v4_5!F87,householdfinance_v4_4!F87,householdfinance_v4_3!F87,householdfinance_v4_2!F87,householdfinance_v4_1!F87),0),"NA")</f>
        <v>1</v>
      </c>
      <c r="G87">
        <f>IF($D87=1,ROUND(SUM(householdfinance_v4_5!G87,householdfinance_v4_4!G87,householdfinance_v4_3!G87,householdfinance_v4_2!G87,householdfinance_v4_1!G87)/COUNT(householdfinance_v4_5!G87,householdfinance_v4_4!G87,householdfinance_v4_3!G87,householdfinance_v4_2!G87,householdfinance_v4_1!G87),0),"NA")</f>
        <v>1</v>
      </c>
      <c r="H87">
        <f>IF($E87=1,ROUND(SUM(householdfinance_v4_5!H87,householdfinance_v4_4!H87,householdfinance_v4_3!H87,householdfinance_v4_2!H87,householdfinance_v4_1!H87)/COUNT(householdfinance_v4_5!H87,householdfinance_v4_4!H87,householdfinance_v4_3!H87,householdfinance_v4_2!H87,householdfinance_v4_1!H87),0),"NA")</f>
        <v>1</v>
      </c>
      <c r="I87">
        <f>IF($D87=1,ROUND(SUM(householdfinance_v4_5!I87,householdfinance_v4_4!I87,householdfinance_v4_3!I87,householdfinance_v4_2!I87,householdfinance_v4_1!I87)/COUNT(householdfinance_v4_5!I87,householdfinance_v4_4!I87,householdfinance_v4_3!I87,householdfinance_v4_2!I87,householdfinance_v4_1!I87),0),"NA")</f>
        <v>1</v>
      </c>
      <c r="J87">
        <f>IF(AND($E87=1,$F87=1),ROUND(SUM(householdfinance_v4_5!J87,householdfinance_v4_4!J87,householdfinance_v4_3!J87,householdfinance_v4_2!J87,householdfinance_v4_1!J87)/COUNT(householdfinance_v4_5!J87,householdfinance_v4_4!J87,householdfinance_v4_3!J87,householdfinance_v4_2!J87,householdfinance_v4_1!J87),0),"NA")</f>
        <v>1</v>
      </c>
      <c r="K87">
        <f>IF($D87=1,ROUND(SUM(householdfinance_v4_5!K87,householdfinance_v4_4!K87,householdfinance_v4_3!K87,householdfinance_v4_2!K87,householdfinance_v4_1!K87)/COUNT(householdfinance_v4_5!K87,householdfinance_v4_4!K87,householdfinance_v4_3!K87,householdfinance_v4_2!K87,householdfinance_v4_1!K87),0),"NA")</f>
        <v>1</v>
      </c>
      <c r="L87">
        <f>IF($D87=1,ROUND(SUM(householdfinance_v4_5!L87,householdfinance_v4_4!L87,householdfinance_v4_3!L87,householdfinance_v4_2!L87,householdfinance_v4_1!L87)/COUNT(householdfinance_v4_5!L87,householdfinance_v4_4!L87,householdfinance_v4_3!L87,householdfinance_v4_2!L87,householdfinance_v4_1!L87),0),"NA")</f>
        <v>1</v>
      </c>
      <c r="M87">
        <f>IF($D87=1,ROUND(SUM(householdfinance_v4_5!M87,householdfinance_v4_4!M87,householdfinance_v4_3!M87,householdfinance_v4_2!M87,householdfinance_v4_1!M87)/COUNT(householdfinance_v4_5!M87,householdfinance_v4_4!M87,householdfinance_v4_3!M87,householdfinance_v4_2!M87,householdfinance_v4_1!M87),0),"NA")</f>
        <v>1</v>
      </c>
      <c r="N87">
        <f>IF($D87=1,ROUND(SUM(householdfinance_v4_5!N87,householdfinance_v4_4!N87,householdfinance_v4_3!N87,householdfinance_v4_2!N87,householdfinance_v4_1!N87)/COUNT(householdfinance_v4_5!N87,householdfinance_v4_4!N87,householdfinance_v4_3!N87,householdfinance_v4_2!N87,householdfinance_v4_1!N87),0),"NA")</f>
        <v>1</v>
      </c>
      <c r="O87">
        <v>2.0603189468383789</v>
      </c>
    </row>
    <row r="88" spans="1:15" x14ac:dyDescent="0.25">
      <c r="A88" t="s">
        <v>86</v>
      </c>
      <c r="B88" t="s">
        <v>69</v>
      </c>
      <c r="C88">
        <v>0</v>
      </c>
      <c r="D88">
        <f>ROUND(SUM(householdfinance_v4_5!D88,householdfinance_v4_4!D88,householdfinance_v4_3!D88,householdfinance_v4_2!D88,householdfinance_v4_1!D88)/COUNT(householdfinance_v4_5!D88,householdfinance_v4_4!D88,householdfinance_v4_3!D88,householdfinance_v4_2!D88,householdfinance_v4_1!D88),0)</f>
        <v>1</v>
      </c>
      <c r="E88">
        <f>IF($D88=1,ROUND(SUM(householdfinance_v4_5!E88,householdfinance_v4_4!E88,householdfinance_v4_3!E88,householdfinance_v4_2!E88,householdfinance_v4_1!E88)/COUNT(householdfinance_v4_5!E88,householdfinance_v4_4!E88,householdfinance_v4_3!E88,householdfinance_v4_2!E88,householdfinance_v4_1!E88),0),"NA")</f>
        <v>1</v>
      </c>
      <c r="F88">
        <f>IF($D88=1,ROUND(SUM(householdfinance_v4_5!F88,householdfinance_v4_4!F88,householdfinance_v4_3!F88,householdfinance_v4_2!F88,householdfinance_v4_1!F88)/COUNT(householdfinance_v4_5!F88,householdfinance_v4_4!F88,householdfinance_v4_3!F88,householdfinance_v4_2!F88,householdfinance_v4_1!F88),0),"NA")</f>
        <v>1</v>
      </c>
      <c r="G88">
        <f>IF($D88=1,ROUND(SUM(householdfinance_v4_5!G88,householdfinance_v4_4!G88,householdfinance_v4_3!G88,householdfinance_v4_2!G88,householdfinance_v4_1!G88)/COUNT(householdfinance_v4_5!G88,householdfinance_v4_4!G88,householdfinance_v4_3!G88,householdfinance_v4_2!G88,householdfinance_v4_1!G88),0),"NA")</f>
        <v>1</v>
      </c>
      <c r="H88">
        <f>IF($E88=1,ROUND(SUM(householdfinance_v4_5!H88,householdfinance_v4_4!H88,householdfinance_v4_3!H88,householdfinance_v4_2!H88,householdfinance_v4_1!H88)/COUNT(householdfinance_v4_5!H88,householdfinance_v4_4!H88,householdfinance_v4_3!H88,householdfinance_v4_2!H88,householdfinance_v4_1!H88),0),"NA")</f>
        <v>1</v>
      </c>
      <c r="I88">
        <f>IF($D88=1,ROUND(SUM(householdfinance_v4_5!I88,householdfinance_v4_4!I88,householdfinance_v4_3!I88,householdfinance_v4_2!I88,householdfinance_v4_1!I88)/COUNT(householdfinance_v4_5!I88,householdfinance_v4_4!I88,householdfinance_v4_3!I88,householdfinance_v4_2!I88,householdfinance_v4_1!I88),0),"NA")</f>
        <v>1</v>
      </c>
      <c r="J88">
        <f>IF(AND($E88=1,$F88=1),ROUND(SUM(householdfinance_v4_5!J88,householdfinance_v4_4!J88,householdfinance_v4_3!J88,householdfinance_v4_2!J88,householdfinance_v4_1!J88)/COUNT(householdfinance_v4_5!J88,householdfinance_v4_4!J88,householdfinance_v4_3!J88,householdfinance_v4_2!J88,householdfinance_v4_1!J88),0),"NA")</f>
        <v>1</v>
      </c>
      <c r="K88">
        <f>IF($D88=1,ROUND(SUM(householdfinance_v4_5!K88,householdfinance_v4_4!K88,householdfinance_v4_3!K88,householdfinance_v4_2!K88,householdfinance_v4_1!K88)/COUNT(householdfinance_v4_5!K88,householdfinance_v4_4!K88,householdfinance_v4_3!K88,householdfinance_v4_2!K88,householdfinance_v4_1!K88),0),"NA")</f>
        <v>1</v>
      </c>
      <c r="L88">
        <f>IF($D88=1,ROUND(SUM(householdfinance_v4_5!L88,householdfinance_v4_4!L88,householdfinance_v4_3!L88,householdfinance_v4_2!L88,householdfinance_v4_1!L88)/COUNT(householdfinance_v4_5!L88,householdfinance_v4_4!L88,householdfinance_v4_3!L88,householdfinance_v4_2!L88,householdfinance_v4_1!L88),0),"NA")</f>
        <v>1</v>
      </c>
      <c r="M88">
        <f>IF($D88=1,ROUND(SUM(householdfinance_v4_5!M88,householdfinance_v4_4!M88,householdfinance_v4_3!M88,householdfinance_v4_2!M88,householdfinance_v4_1!M88)/COUNT(householdfinance_v4_5!M88,householdfinance_v4_4!M88,householdfinance_v4_3!M88,householdfinance_v4_2!M88,householdfinance_v4_1!M88),0),"NA")</f>
        <v>1</v>
      </c>
      <c r="N88">
        <f>IF($D88=1,ROUND(SUM(householdfinance_v4_5!N88,householdfinance_v4_4!N88,householdfinance_v4_3!N88,householdfinance_v4_2!N88,householdfinance_v4_1!N88)/COUNT(householdfinance_v4_5!N88,householdfinance_v4_4!N88,householdfinance_v4_3!N88,householdfinance_v4_2!N88,householdfinance_v4_1!N88),0),"NA")</f>
        <v>1</v>
      </c>
      <c r="O88">
        <v>1.2504866123199461</v>
      </c>
    </row>
    <row r="89" spans="1:15" x14ac:dyDescent="0.25">
      <c r="A89" t="s">
        <v>86</v>
      </c>
      <c r="B89" t="s">
        <v>71</v>
      </c>
      <c r="C89">
        <v>0</v>
      </c>
      <c r="D89">
        <f>ROUND(SUM(householdfinance_v4_5!D89,householdfinance_v4_4!D89,householdfinance_v4_3!D89,householdfinance_v4_2!D89,householdfinance_v4_1!D89)/COUNT(householdfinance_v4_5!D89,householdfinance_v4_4!D89,householdfinance_v4_3!D89,householdfinance_v4_2!D89,householdfinance_v4_1!D89),0)</f>
        <v>1</v>
      </c>
      <c r="E89">
        <f>IF($D89=1,ROUND(SUM(householdfinance_v4_5!E89,householdfinance_v4_4!E89,householdfinance_v4_3!E89,householdfinance_v4_2!E89,householdfinance_v4_1!E89)/COUNT(householdfinance_v4_5!E89,householdfinance_v4_4!E89,householdfinance_v4_3!E89,householdfinance_v4_2!E89,householdfinance_v4_1!E89),0),"NA")</f>
        <v>1</v>
      </c>
      <c r="F89">
        <f>IF($D89=1,ROUND(SUM(householdfinance_v4_5!F89,householdfinance_v4_4!F89,householdfinance_v4_3!F89,householdfinance_v4_2!F89,householdfinance_v4_1!F89)/COUNT(householdfinance_v4_5!F89,householdfinance_v4_4!F89,householdfinance_v4_3!F89,householdfinance_v4_2!F89,householdfinance_v4_1!F89),0),"NA")</f>
        <v>1</v>
      </c>
      <c r="G89">
        <f>IF($D89=1,ROUND(SUM(householdfinance_v4_5!G89,householdfinance_v4_4!G89,householdfinance_v4_3!G89,householdfinance_v4_2!G89,householdfinance_v4_1!G89)/COUNT(householdfinance_v4_5!G89,householdfinance_v4_4!G89,householdfinance_v4_3!G89,householdfinance_v4_2!G89,householdfinance_v4_1!G89),0),"NA")</f>
        <v>1</v>
      </c>
      <c r="H89">
        <f>IF($E89=1,ROUND(SUM(householdfinance_v4_5!H89,householdfinance_v4_4!H89,householdfinance_v4_3!H89,householdfinance_v4_2!H89,householdfinance_v4_1!H89)/COUNT(householdfinance_v4_5!H89,householdfinance_v4_4!H89,householdfinance_v4_3!H89,householdfinance_v4_2!H89,householdfinance_v4_1!H89),0),"NA")</f>
        <v>1</v>
      </c>
      <c r="I89">
        <f>IF($D89=1,ROUND(SUM(householdfinance_v4_5!I89,householdfinance_v4_4!I89,householdfinance_v4_3!I89,householdfinance_v4_2!I89,householdfinance_v4_1!I89)/COUNT(householdfinance_v4_5!I89,householdfinance_v4_4!I89,householdfinance_v4_3!I89,householdfinance_v4_2!I89,householdfinance_v4_1!I89),0),"NA")</f>
        <v>1</v>
      </c>
      <c r="J89">
        <f>IF(AND($E89=1,$F89=1),ROUND(SUM(householdfinance_v4_5!J89,householdfinance_v4_4!J89,householdfinance_v4_3!J89,householdfinance_v4_2!J89,householdfinance_v4_1!J89)/COUNT(householdfinance_v4_5!J89,householdfinance_v4_4!J89,householdfinance_v4_3!J89,householdfinance_v4_2!J89,householdfinance_v4_1!J89),0),"NA")</f>
        <v>1</v>
      </c>
      <c r="K89">
        <f>IF($D89=1,ROUND(SUM(householdfinance_v4_5!K89,householdfinance_v4_4!K89,householdfinance_v4_3!K89,householdfinance_v4_2!K89,householdfinance_v4_1!K89)/COUNT(householdfinance_v4_5!K89,householdfinance_v4_4!K89,householdfinance_v4_3!K89,householdfinance_v4_2!K89,householdfinance_v4_1!K89),0),"NA")</f>
        <v>1</v>
      </c>
      <c r="L89">
        <f>IF($D89=1,ROUND(SUM(householdfinance_v4_5!L89,householdfinance_v4_4!L89,householdfinance_v4_3!L89,householdfinance_v4_2!L89,householdfinance_v4_1!L89)/COUNT(householdfinance_v4_5!L89,householdfinance_v4_4!L89,householdfinance_v4_3!L89,householdfinance_v4_2!L89,householdfinance_v4_1!L89),0),"NA")</f>
        <v>1</v>
      </c>
      <c r="M89">
        <f>IF($D89=1,ROUND(SUM(householdfinance_v4_5!M89,householdfinance_v4_4!M89,householdfinance_v4_3!M89,householdfinance_v4_2!M89,householdfinance_v4_1!M89)/COUNT(householdfinance_v4_5!M89,householdfinance_v4_4!M89,householdfinance_v4_3!M89,householdfinance_v4_2!M89,householdfinance_v4_1!M89),0),"NA")</f>
        <v>1</v>
      </c>
      <c r="N89">
        <f>IF($D89=1,ROUND(SUM(householdfinance_v4_5!N89,householdfinance_v4_4!N89,householdfinance_v4_3!N89,householdfinance_v4_2!N89,householdfinance_v4_1!N89)/COUNT(householdfinance_v4_5!N89,householdfinance_v4_4!N89,householdfinance_v4_3!N89,householdfinance_v4_2!N89,householdfinance_v4_1!N89),0),"NA")</f>
        <v>1</v>
      </c>
      <c r="O89">
        <v>1.382945775985718</v>
      </c>
    </row>
    <row r="90" spans="1:15" x14ac:dyDescent="0.25">
      <c r="A90" t="s">
        <v>86</v>
      </c>
      <c r="B90" t="s">
        <v>73</v>
      </c>
      <c r="C90">
        <v>0</v>
      </c>
      <c r="D90">
        <f>ROUND(SUM(householdfinance_v4_5!D90,householdfinance_v4_4!D90,householdfinance_v4_3!D90,householdfinance_v4_2!D90,householdfinance_v4_1!D90)/COUNT(householdfinance_v4_5!D90,householdfinance_v4_4!D90,householdfinance_v4_3!D90,householdfinance_v4_2!D90,householdfinance_v4_1!D90),0)</f>
        <v>1</v>
      </c>
      <c r="E90">
        <f>IF($D90=1,ROUND(SUM(householdfinance_v4_5!E90,householdfinance_v4_4!E90,householdfinance_v4_3!E90,householdfinance_v4_2!E90,householdfinance_v4_1!E90)/COUNT(householdfinance_v4_5!E90,householdfinance_v4_4!E90,householdfinance_v4_3!E90,householdfinance_v4_2!E90,householdfinance_v4_1!E90),0),"NA")</f>
        <v>1</v>
      </c>
      <c r="F90">
        <f>IF($D90=1,ROUND(SUM(householdfinance_v4_5!F90,householdfinance_v4_4!F90,householdfinance_v4_3!F90,householdfinance_v4_2!F90,householdfinance_v4_1!F90)/COUNT(householdfinance_v4_5!F90,householdfinance_v4_4!F90,householdfinance_v4_3!F90,householdfinance_v4_2!F90,householdfinance_v4_1!F90),0),"NA")</f>
        <v>1</v>
      </c>
      <c r="G90">
        <f>IF($D90=1,ROUND(SUM(householdfinance_v4_5!G90,householdfinance_v4_4!G90,householdfinance_v4_3!G90,householdfinance_v4_2!G90,householdfinance_v4_1!G90)/COUNT(householdfinance_v4_5!G90,householdfinance_v4_4!G90,householdfinance_v4_3!G90,householdfinance_v4_2!G90,householdfinance_v4_1!G90),0),"NA")</f>
        <v>1</v>
      </c>
      <c r="H90">
        <f>IF($E90=1,ROUND(SUM(householdfinance_v4_5!H90,householdfinance_v4_4!H90,householdfinance_v4_3!H90,householdfinance_v4_2!H90,householdfinance_v4_1!H90)/COUNT(householdfinance_v4_5!H90,householdfinance_v4_4!H90,householdfinance_v4_3!H90,householdfinance_v4_2!H90,householdfinance_v4_1!H90),0),"NA")</f>
        <v>1</v>
      </c>
      <c r="I90">
        <f>IF($D90=1,ROUND(SUM(householdfinance_v4_5!I90,householdfinance_v4_4!I90,householdfinance_v4_3!I90,householdfinance_v4_2!I90,householdfinance_v4_1!I90)/COUNT(householdfinance_v4_5!I90,householdfinance_v4_4!I90,householdfinance_v4_3!I90,householdfinance_v4_2!I90,householdfinance_v4_1!I90),0),"NA")</f>
        <v>1</v>
      </c>
      <c r="J90">
        <f>IF(AND($E90=1,$F90=1),ROUND(SUM(householdfinance_v4_5!J90,householdfinance_v4_4!J90,householdfinance_v4_3!J90,householdfinance_v4_2!J90,householdfinance_v4_1!J90)/COUNT(householdfinance_v4_5!J90,householdfinance_v4_4!J90,householdfinance_v4_3!J90,householdfinance_v4_2!J90,householdfinance_v4_1!J90),0),"NA")</f>
        <v>1</v>
      </c>
      <c r="K90">
        <f>IF($D90=1,ROUND(SUM(householdfinance_v4_5!K90,householdfinance_v4_4!K90,householdfinance_v4_3!K90,householdfinance_v4_2!K90,householdfinance_v4_1!K90)/COUNT(householdfinance_v4_5!K90,householdfinance_v4_4!K90,householdfinance_v4_3!K90,householdfinance_v4_2!K90,householdfinance_v4_1!K90),0),"NA")</f>
        <v>1</v>
      </c>
      <c r="L90">
        <f>IF($D90=1,ROUND(SUM(householdfinance_v4_5!L90,householdfinance_v4_4!L90,householdfinance_v4_3!L90,householdfinance_v4_2!L90,householdfinance_v4_1!L90)/COUNT(householdfinance_v4_5!L90,householdfinance_v4_4!L90,householdfinance_v4_3!L90,householdfinance_v4_2!L90,householdfinance_v4_1!L90),0),"NA")</f>
        <v>1</v>
      </c>
      <c r="M90">
        <f>IF($D90=1,ROUND(SUM(householdfinance_v4_5!M90,householdfinance_v4_4!M90,householdfinance_v4_3!M90,householdfinance_v4_2!M90,householdfinance_v4_1!M90)/COUNT(householdfinance_v4_5!M90,householdfinance_v4_4!M90,householdfinance_v4_3!M90,householdfinance_v4_2!M90,householdfinance_v4_1!M90),0),"NA")</f>
        <v>1</v>
      </c>
      <c r="N90">
        <f>IF($D90=1,ROUND(SUM(householdfinance_v4_5!N90,householdfinance_v4_4!N90,householdfinance_v4_3!N90,householdfinance_v4_2!N90,householdfinance_v4_1!N90)/COUNT(householdfinance_v4_5!N90,householdfinance_v4_4!N90,householdfinance_v4_3!N90,householdfinance_v4_2!N90,householdfinance_v4_1!N90),0),"NA")</f>
        <v>1</v>
      </c>
      <c r="O90">
        <v>1.199684619903564</v>
      </c>
    </row>
    <row r="91" spans="1:15" x14ac:dyDescent="0.25">
      <c r="A91" t="s">
        <v>86</v>
      </c>
      <c r="B91" t="s">
        <v>75</v>
      </c>
      <c r="C91">
        <v>0</v>
      </c>
      <c r="D91">
        <f>ROUND(SUM(householdfinance_v4_5!D91,householdfinance_v4_4!D91,householdfinance_v4_3!D91,householdfinance_v4_2!D91,householdfinance_v4_1!D91)/COUNT(householdfinance_v4_5!D91,householdfinance_v4_4!D91,householdfinance_v4_3!D91,householdfinance_v4_2!D91,householdfinance_v4_1!D91),0)</f>
        <v>1</v>
      </c>
      <c r="E91">
        <f>IF($D91=1,ROUND(SUM(householdfinance_v4_5!E91,householdfinance_v4_4!E91,householdfinance_v4_3!E91,householdfinance_v4_2!E91,householdfinance_v4_1!E91)/COUNT(householdfinance_v4_5!E91,householdfinance_v4_4!E91,householdfinance_v4_3!E91,householdfinance_v4_2!E91,householdfinance_v4_1!E91),0),"NA")</f>
        <v>1</v>
      </c>
      <c r="F91">
        <f>IF($D91=1,ROUND(SUM(householdfinance_v4_5!F91,householdfinance_v4_4!F91,householdfinance_v4_3!F91,householdfinance_v4_2!F91,householdfinance_v4_1!F91)/COUNT(householdfinance_v4_5!F91,householdfinance_v4_4!F91,householdfinance_v4_3!F91,householdfinance_v4_2!F91,householdfinance_v4_1!F91),0),"NA")</f>
        <v>1</v>
      </c>
      <c r="G91">
        <f>IF($D91=1,ROUND(SUM(householdfinance_v4_5!G91,householdfinance_v4_4!G91,householdfinance_v4_3!G91,householdfinance_v4_2!G91,householdfinance_v4_1!G91)/COUNT(householdfinance_v4_5!G91,householdfinance_v4_4!G91,householdfinance_v4_3!G91,householdfinance_v4_2!G91,householdfinance_v4_1!G91),0),"NA")</f>
        <v>1</v>
      </c>
      <c r="H91">
        <f>IF($E91=1,ROUND(SUM(householdfinance_v4_5!H91,householdfinance_v4_4!H91,householdfinance_v4_3!H91,householdfinance_v4_2!H91,householdfinance_v4_1!H91)/COUNT(householdfinance_v4_5!H91,householdfinance_v4_4!H91,householdfinance_v4_3!H91,householdfinance_v4_2!H91,householdfinance_v4_1!H91),0),"NA")</f>
        <v>1</v>
      </c>
      <c r="I91">
        <f>IF($D91=1,ROUND(SUM(householdfinance_v4_5!I91,householdfinance_v4_4!I91,householdfinance_v4_3!I91,householdfinance_v4_2!I91,householdfinance_v4_1!I91)/COUNT(householdfinance_v4_5!I91,householdfinance_v4_4!I91,householdfinance_v4_3!I91,householdfinance_v4_2!I91,householdfinance_v4_1!I91),0),"NA")</f>
        <v>1</v>
      </c>
      <c r="J91">
        <f>IF(AND($E91=1,$F91=1),ROUND(SUM(householdfinance_v4_5!J91,householdfinance_v4_4!J91,householdfinance_v4_3!J91,householdfinance_v4_2!J91,householdfinance_v4_1!J91)/COUNT(householdfinance_v4_5!J91,householdfinance_v4_4!J91,householdfinance_v4_3!J91,householdfinance_v4_2!J91,householdfinance_v4_1!J91),0),"NA")</f>
        <v>1</v>
      </c>
      <c r="K91">
        <f>IF($D91=1,ROUND(SUM(householdfinance_v4_5!K91,householdfinance_v4_4!K91,householdfinance_v4_3!K91,householdfinance_v4_2!K91,householdfinance_v4_1!K91)/COUNT(householdfinance_v4_5!K91,householdfinance_v4_4!K91,householdfinance_v4_3!K91,householdfinance_v4_2!K91,householdfinance_v4_1!K91),0),"NA")</f>
        <v>1</v>
      </c>
      <c r="L91">
        <f>IF($D91=1,ROUND(SUM(householdfinance_v4_5!L91,householdfinance_v4_4!L91,householdfinance_v4_3!L91,householdfinance_v4_2!L91,householdfinance_v4_1!L91)/COUNT(householdfinance_v4_5!L91,householdfinance_v4_4!L91,householdfinance_v4_3!L91,householdfinance_v4_2!L91,householdfinance_v4_1!L91),0),"NA")</f>
        <v>1</v>
      </c>
      <c r="M91">
        <f>IF($D91=1,ROUND(SUM(householdfinance_v4_5!M91,householdfinance_v4_4!M91,householdfinance_v4_3!M91,householdfinance_v4_2!M91,householdfinance_v4_1!M91)/COUNT(householdfinance_v4_5!M91,householdfinance_v4_4!M91,householdfinance_v4_3!M91,householdfinance_v4_2!M91,householdfinance_v4_1!M91),0),"NA")</f>
        <v>1</v>
      </c>
      <c r="N91">
        <f>IF($D91=1,ROUND(SUM(householdfinance_v4_5!N91,householdfinance_v4_4!N91,householdfinance_v4_3!N91,householdfinance_v4_2!N91,householdfinance_v4_1!N91)/COUNT(householdfinance_v4_5!N91,householdfinance_v4_4!N91,householdfinance_v4_3!N91,householdfinance_v4_2!N91,householdfinance_v4_1!N91),0),"NA")</f>
        <v>1</v>
      </c>
      <c r="O91">
        <v>2.0181221961975102</v>
      </c>
    </row>
    <row r="92" spans="1:15" x14ac:dyDescent="0.25">
      <c r="A92" t="s">
        <v>86</v>
      </c>
      <c r="B92" t="s">
        <v>77</v>
      </c>
      <c r="C92">
        <v>0</v>
      </c>
      <c r="D92">
        <f>ROUND(SUM(householdfinance_v4_5!D92,householdfinance_v4_4!D92,householdfinance_v4_3!D92,householdfinance_v4_2!D92,householdfinance_v4_1!D92)/COUNT(householdfinance_v4_5!D92,householdfinance_v4_4!D92,householdfinance_v4_3!D92,householdfinance_v4_2!D92,householdfinance_v4_1!D92),0)</f>
        <v>1</v>
      </c>
      <c r="E92">
        <f>IF($D92=1,ROUND(SUM(householdfinance_v4_5!E92,householdfinance_v4_4!E92,householdfinance_v4_3!E92,householdfinance_v4_2!E92,householdfinance_v4_1!E92)/COUNT(householdfinance_v4_5!E92,householdfinance_v4_4!E92,householdfinance_v4_3!E92,householdfinance_v4_2!E92,householdfinance_v4_1!E92),0),"NA")</f>
        <v>1</v>
      </c>
      <c r="F92">
        <f>IF($D92=1,ROUND(SUM(householdfinance_v4_5!F92,householdfinance_v4_4!F92,householdfinance_v4_3!F92,householdfinance_v4_2!F92,householdfinance_v4_1!F92)/COUNT(householdfinance_v4_5!F92,householdfinance_v4_4!F92,householdfinance_v4_3!F92,householdfinance_v4_2!F92,householdfinance_v4_1!F92),0),"NA")</f>
        <v>1</v>
      </c>
      <c r="G92">
        <f>IF($D92=1,ROUND(SUM(householdfinance_v4_5!G92,householdfinance_v4_4!G92,householdfinance_v4_3!G92,householdfinance_v4_2!G92,householdfinance_v4_1!G92)/COUNT(householdfinance_v4_5!G92,householdfinance_v4_4!G92,householdfinance_v4_3!G92,householdfinance_v4_2!G92,householdfinance_v4_1!G92),0),"NA")</f>
        <v>1</v>
      </c>
      <c r="H92">
        <f>IF($E92=1,ROUND(SUM(householdfinance_v4_5!H92,householdfinance_v4_4!H92,householdfinance_v4_3!H92,householdfinance_v4_2!H92,householdfinance_v4_1!H92)/COUNT(householdfinance_v4_5!H92,householdfinance_v4_4!H92,householdfinance_v4_3!H92,householdfinance_v4_2!H92,householdfinance_v4_1!H92),0),"NA")</f>
        <v>1</v>
      </c>
      <c r="I92">
        <f>IF($D92=1,ROUND(SUM(householdfinance_v4_5!I92,householdfinance_v4_4!I92,householdfinance_v4_3!I92,householdfinance_v4_2!I92,householdfinance_v4_1!I92)/COUNT(householdfinance_v4_5!I92,householdfinance_v4_4!I92,householdfinance_v4_3!I92,householdfinance_v4_2!I92,householdfinance_v4_1!I92),0),"NA")</f>
        <v>1</v>
      </c>
      <c r="J92">
        <f>IF(AND($E92=1,$F92=1),ROUND(SUM(householdfinance_v4_5!J92,householdfinance_v4_4!J92,householdfinance_v4_3!J92,householdfinance_v4_2!J92,householdfinance_v4_1!J92)/COUNT(householdfinance_v4_5!J92,householdfinance_v4_4!J92,householdfinance_v4_3!J92,householdfinance_v4_2!J92,householdfinance_v4_1!J92),0),"NA")</f>
        <v>1</v>
      </c>
      <c r="K92">
        <f>IF($D92=1,ROUND(SUM(householdfinance_v4_5!K92,householdfinance_v4_4!K92,householdfinance_v4_3!K92,householdfinance_v4_2!K92,householdfinance_v4_1!K92)/COUNT(householdfinance_v4_5!K92,householdfinance_v4_4!K92,householdfinance_v4_3!K92,householdfinance_v4_2!K92,householdfinance_v4_1!K92),0),"NA")</f>
        <v>1</v>
      </c>
      <c r="L92">
        <f>IF($D92=1,ROUND(SUM(householdfinance_v4_5!L92,householdfinance_v4_4!L92,householdfinance_v4_3!L92,householdfinance_v4_2!L92,householdfinance_v4_1!L92)/COUNT(householdfinance_v4_5!L92,householdfinance_v4_4!L92,householdfinance_v4_3!L92,householdfinance_v4_2!L92,householdfinance_v4_1!L92),0),"NA")</f>
        <v>1</v>
      </c>
      <c r="M92">
        <f>IF($D92=1,ROUND(SUM(householdfinance_v4_5!M92,householdfinance_v4_4!M92,householdfinance_v4_3!M92,householdfinance_v4_2!M92,householdfinance_v4_1!M92)/COUNT(householdfinance_v4_5!M92,householdfinance_v4_4!M92,householdfinance_v4_3!M92,householdfinance_v4_2!M92,householdfinance_v4_1!M92),0),"NA")</f>
        <v>1</v>
      </c>
      <c r="N92">
        <f>IF($D92=1,ROUND(SUM(householdfinance_v4_5!N92,householdfinance_v4_4!N92,householdfinance_v4_3!N92,householdfinance_v4_2!N92,householdfinance_v4_1!N92)/COUNT(householdfinance_v4_5!N92,householdfinance_v4_4!N92,householdfinance_v4_3!N92,householdfinance_v4_2!N92,householdfinance_v4_1!N92),0),"NA")</f>
        <v>1</v>
      </c>
      <c r="O92">
        <v>2.081952810287476</v>
      </c>
    </row>
    <row r="93" spans="1:15" x14ac:dyDescent="0.25">
      <c r="A93" t="s">
        <v>86</v>
      </c>
      <c r="B93" t="s">
        <v>78</v>
      </c>
      <c r="C93">
        <v>0</v>
      </c>
      <c r="D93">
        <f>ROUND(SUM(householdfinance_v4_5!D93,householdfinance_v4_4!D93,householdfinance_v4_3!D93,householdfinance_v4_2!D93,householdfinance_v4_1!D93)/COUNT(householdfinance_v4_5!D93,householdfinance_v4_4!D93,householdfinance_v4_3!D93,householdfinance_v4_2!D93,householdfinance_v4_1!D93),0)</f>
        <v>1</v>
      </c>
      <c r="E93">
        <f>IF($D93=1,ROUND(SUM(householdfinance_v4_5!E93,householdfinance_v4_4!E93,householdfinance_v4_3!E93,householdfinance_v4_2!E93,householdfinance_v4_1!E93)/COUNT(householdfinance_v4_5!E93,householdfinance_v4_4!E93,householdfinance_v4_3!E93,householdfinance_v4_2!E93,householdfinance_v4_1!E93),0),"NA")</f>
        <v>1</v>
      </c>
      <c r="F93">
        <f>IF($D93=1,ROUND(SUM(householdfinance_v4_5!F93,householdfinance_v4_4!F93,householdfinance_v4_3!F93,householdfinance_v4_2!F93,householdfinance_v4_1!F93)/COUNT(householdfinance_v4_5!F93,householdfinance_v4_4!F93,householdfinance_v4_3!F93,householdfinance_v4_2!F93,householdfinance_v4_1!F93),0),"NA")</f>
        <v>1</v>
      </c>
      <c r="G93">
        <f>IF($D93=1,ROUND(SUM(householdfinance_v4_5!G93,householdfinance_v4_4!G93,householdfinance_v4_3!G93,householdfinance_v4_2!G93,householdfinance_v4_1!G93)/COUNT(householdfinance_v4_5!G93,householdfinance_v4_4!G93,householdfinance_v4_3!G93,householdfinance_v4_2!G93,householdfinance_v4_1!G93),0),"NA")</f>
        <v>1</v>
      </c>
      <c r="H93">
        <f>IF($E93=1,ROUND(SUM(householdfinance_v4_5!H93,householdfinance_v4_4!H93,householdfinance_v4_3!H93,householdfinance_v4_2!H93,householdfinance_v4_1!H93)/COUNT(householdfinance_v4_5!H93,householdfinance_v4_4!H93,householdfinance_v4_3!H93,householdfinance_v4_2!H93,householdfinance_v4_1!H93),0),"NA")</f>
        <v>1</v>
      </c>
      <c r="I93">
        <f>IF($D93=1,ROUND(SUM(householdfinance_v4_5!I93,householdfinance_v4_4!I93,householdfinance_v4_3!I93,householdfinance_v4_2!I93,householdfinance_v4_1!I93)/COUNT(householdfinance_v4_5!I93,householdfinance_v4_4!I93,householdfinance_v4_3!I93,householdfinance_v4_2!I93,householdfinance_v4_1!I93),0),"NA")</f>
        <v>1</v>
      </c>
      <c r="J93">
        <f>IF(AND($E93=1,$F93=1),ROUND(SUM(householdfinance_v4_5!J93,householdfinance_v4_4!J93,householdfinance_v4_3!J93,householdfinance_v4_2!J93,householdfinance_v4_1!J93)/COUNT(householdfinance_v4_5!J93,householdfinance_v4_4!J93,householdfinance_v4_3!J93,householdfinance_v4_2!J93,householdfinance_v4_1!J93),0),"NA")</f>
        <v>1</v>
      </c>
      <c r="K93">
        <f>IF($D93=1,ROUND(SUM(householdfinance_v4_5!K93,householdfinance_v4_4!K93,householdfinance_v4_3!K93,householdfinance_v4_2!K93,householdfinance_v4_1!K93)/COUNT(householdfinance_v4_5!K93,householdfinance_v4_4!K93,householdfinance_v4_3!K93,householdfinance_v4_2!K93,householdfinance_v4_1!K93),0),"NA")</f>
        <v>1</v>
      </c>
      <c r="L93">
        <f>IF($D93=1,ROUND(SUM(householdfinance_v4_5!L93,householdfinance_v4_4!L93,householdfinance_v4_3!L93,householdfinance_v4_2!L93,householdfinance_v4_1!L93)/COUNT(householdfinance_v4_5!L93,householdfinance_v4_4!L93,householdfinance_v4_3!L93,householdfinance_v4_2!L93,householdfinance_v4_1!L93),0),"NA")</f>
        <v>1</v>
      </c>
      <c r="M93">
        <f>IF($D93=1,ROUND(SUM(householdfinance_v4_5!M93,householdfinance_v4_4!M93,householdfinance_v4_3!M93,householdfinance_v4_2!M93,householdfinance_v4_1!M93)/COUNT(householdfinance_v4_5!M93,householdfinance_v4_4!M93,householdfinance_v4_3!M93,householdfinance_v4_2!M93,householdfinance_v4_1!M93),0),"NA")</f>
        <v>1</v>
      </c>
      <c r="N93">
        <f>IF($D93=1,ROUND(SUM(householdfinance_v4_5!N93,householdfinance_v4_4!N93,householdfinance_v4_3!N93,householdfinance_v4_2!N93,householdfinance_v4_1!N93)/COUNT(householdfinance_v4_5!N93,householdfinance_v4_4!N93,householdfinance_v4_3!N93,householdfinance_v4_2!N93,householdfinance_v4_1!N93),0),"NA")</f>
        <v>1</v>
      </c>
      <c r="O93">
        <v>1.2811036109924321</v>
      </c>
    </row>
    <row r="94" spans="1:15" x14ac:dyDescent="0.25">
      <c r="A94" t="s">
        <v>86</v>
      </c>
      <c r="B94" t="s">
        <v>79</v>
      </c>
      <c r="C94">
        <v>0</v>
      </c>
      <c r="D94">
        <f>ROUND(SUM(householdfinance_v4_5!D94,householdfinance_v4_4!D94,householdfinance_v4_3!D94,householdfinance_v4_2!D94,householdfinance_v4_1!D94)/COUNT(householdfinance_v4_5!D94,householdfinance_v4_4!D94,householdfinance_v4_3!D94,householdfinance_v4_2!D94,householdfinance_v4_1!D94),0)</f>
        <v>1</v>
      </c>
      <c r="E94">
        <f>IF($D94=1,ROUND(SUM(householdfinance_v4_5!E94,householdfinance_v4_4!E94,householdfinance_v4_3!E94,householdfinance_v4_2!E94,householdfinance_v4_1!E94)/COUNT(householdfinance_v4_5!E94,householdfinance_v4_4!E94,householdfinance_v4_3!E94,householdfinance_v4_2!E94,householdfinance_v4_1!E94),0),"NA")</f>
        <v>1</v>
      </c>
      <c r="F94">
        <f>IF($D94=1,ROUND(SUM(householdfinance_v4_5!F94,householdfinance_v4_4!F94,householdfinance_v4_3!F94,householdfinance_v4_2!F94,householdfinance_v4_1!F94)/COUNT(householdfinance_v4_5!F94,householdfinance_v4_4!F94,householdfinance_v4_3!F94,householdfinance_v4_2!F94,householdfinance_v4_1!F94),0),"NA")</f>
        <v>1</v>
      </c>
      <c r="G94">
        <f>IF($D94=1,ROUND(SUM(householdfinance_v4_5!G94,householdfinance_v4_4!G94,householdfinance_v4_3!G94,householdfinance_v4_2!G94,householdfinance_v4_1!G94)/COUNT(householdfinance_v4_5!G94,householdfinance_v4_4!G94,householdfinance_v4_3!G94,householdfinance_v4_2!G94,householdfinance_v4_1!G94),0),"NA")</f>
        <v>1</v>
      </c>
      <c r="H94">
        <f>IF($E94=1,ROUND(SUM(householdfinance_v4_5!H94,householdfinance_v4_4!H94,householdfinance_v4_3!H94,householdfinance_v4_2!H94,householdfinance_v4_1!H94)/COUNT(householdfinance_v4_5!H94,householdfinance_v4_4!H94,householdfinance_v4_3!H94,householdfinance_v4_2!H94,householdfinance_v4_1!H94),0),"NA")</f>
        <v>1</v>
      </c>
      <c r="I94">
        <f>IF($D94=1,ROUND(SUM(householdfinance_v4_5!I94,householdfinance_v4_4!I94,householdfinance_v4_3!I94,householdfinance_v4_2!I94,householdfinance_v4_1!I94)/COUNT(householdfinance_v4_5!I94,householdfinance_v4_4!I94,householdfinance_v4_3!I94,householdfinance_v4_2!I94,householdfinance_v4_1!I94),0),"NA")</f>
        <v>1</v>
      </c>
      <c r="J94">
        <f>IF(AND($E94=1,$F94=1),ROUND(SUM(householdfinance_v4_5!J94,householdfinance_v4_4!J94,householdfinance_v4_3!J94,householdfinance_v4_2!J94,householdfinance_v4_1!J94)/COUNT(householdfinance_v4_5!J94,householdfinance_v4_4!J94,householdfinance_v4_3!J94,householdfinance_v4_2!J94,householdfinance_v4_1!J94),0),"NA")</f>
        <v>1</v>
      </c>
      <c r="K94">
        <f>IF($D94=1,ROUND(SUM(householdfinance_v4_5!K94,householdfinance_v4_4!K94,householdfinance_v4_3!K94,householdfinance_v4_2!K94,householdfinance_v4_1!K94)/COUNT(householdfinance_v4_5!K94,householdfinance_v4_4!K94,householdfinance_v4_3!K94,householdfinance_v4_2!K94,householdfinance_v4_1!K94),0),"NA")</f>
        <v>1</v>
      </c>
      <c r="L94">
        <f>IF($D94=1,ROUND(SUM(householdfinance_v4_5!L94,householdfinance_v4_4!L94,householdfinance_v4_3!L94,householdfinance_v4_2!L94,householdfinance_v4_1!L94)/COUNT(householdfinance_v4_5!L94,householdfinance_v4_4!L94,householdfinance_v4_3!L94,householdfinance_v4_2!L94,householdfinance_v4_1!L94),0),"NA")</f>
        <v>1</v>
      </c>
      <c r="M94">
        <f>IF($D94=1,ROUND(SUM(householdfinance_v4_5!M94,householdfinance_v4_4!M94,householdfinance_v4_3!M94,householdfinance_v4_2!M94,householdfinance_v4_1!M94)/COUNT(householdfinance_v4_5!M94,householdfinance_v4_4!M94,householdfinance_v4_3!M94,householdfinance_v4_2!M94,householdfinance_v4_1!M94),0),"NA")</f>
        <v>1</v>
      </c>
      <c r="N94">
        <f>IF($D94=1,ROUND(SUM(householdfinance_v4_5!N94,householdfinance_v4_4!N94,householdfinance_v4_3!N94,householdfinance_v4_2!N94,householdfinance_v4_1!N94)/COUNT(householdfinance_v4_5!N94,householdfinance_v4_4!N94,householdfinance_v4_3!N94,householdfinance_v4_2!N94,householdfinance_v4_1!N94),0),"NA")</f>
        <v>1</v>
      </c>
      <c r="O94">
        <v>1.3692305088043211</v>
      </c>
    </row>
    <row r="95" spans="1:15" x14ac:dyDescent="0.25">
      <c r="A95" t="s">
        <v>86</v>
      </c>
      <c r="B95" t="s">
        <v>80</v>
      </c>
      <c r="C95">
        <v>0</v>
      </c>
      <c r="D95">
        <f>ROUND(SUM(householdfinance_v4_5!D95,householdfinance_v4_4!D95,householdfinance_v4_3!D95,householdfinance_v4_2!D95,householdfinance_v4_1!D95)/COUNT(householdfinance_v4_5!D95,householdfinance_v4_4!D95,householdfinance_v4_3!D95,householdfinance_v4_2!D95,householdfinance_v4_1!D95),0)</f>
        <v>1</v>
      </c>
      <c r="E95">
        <f>IF($D95=1,ROUND(SUM(householdfinance_v4_5!E95,householdfinance_v4_4!E95,householdfinance_v4_3!E95,householdfinance_v4_2!E95,householdfinance_v4_1!E95)/COUNT(householdfinance_v4_5!E95,householdfinance_v4_4!E95,householdfinance_v4_3!E95,householdfinance_v4_2!E95,householdfinance_v4_1!E95),0),"NA")</f>
        <v>1</v>
      </c>
      <c r="F95">
        <f>IF($D95=1,ROUND(SUM(householdfinance_v4_5!F95,householdfinance_v4_4!F95,householdfinance_v4_3!F95,householdfinance_v4_2!F95,householdfinance_v4_1!F95)/COUNT(householdfinance_v4_5!F95,householdfinance_v4_4!F95,householdfinance_v4_3!F95,householdfinance_v4_2!F95,householdfinance_v4_1!F95),0),"NA")</f>
        <v>1</v>
      </c>
      <c r="G95">
        <f>IF($D95=1,ROUND(SUM(householdfinance_v4_5!G95,householdfinance_v4_4!G95,householdfinance_v4_3!G95,householdfinance_v4_2!G95,householdfinance_v4_1!G95)/COUNT(householdfinance_v4_5!G95,householdfinance_v4_4!G95,householdfinance_v4_3!G95,householdfinance_v4_2!G95,householdfinance_v4_1!G95),0),"NA")</f>
        <v>1</v>
      </c>
      <c r="H95">
        <f>IF($E95=1,ROUND(SUM(householdfinance_v4_5!H95,householdfinance_v4_4!H95,householdfinance_v4_3!H95,householdfinance_v4_2!H95,householdfinance_v4_1!H95)/COUNT(householdfinance_v4_5!H95,householdfinance_v4_4!H95,householdfinance_v4_3!H95,householdfinance_v4_2!H95,householdfinance_v4_1!H95),0),"NA")</f>
        <v>1</v>
      </c>
      <c r="I95">
        <f>IF($D95=1,ROUND(SUM(householdfinance_v4_5!I95,householdfinance_v4_4!I95,householdfinance_v4_3!I95,householdfinance_v4_2!I95,householdfinance_v4_1!I95)/COUNT(householdfinance_v4_5!I95,householdfinance_v4_4!I95,householdfinance_v4_3!I95,householdfinance_v4_2!I95,householdfinance_v4_1!I95),0),"NA")</f>
        <v>1</v>
      </c>
      <c r="J95">
        <f>IF(AND($E95=1,$F95=1),ROUND(SUM(householdfinance_v4_5!J95,householdfinance_v4_4!J95,householdfinance_v4_3!J95,householdfinance_v4_2!J95,householdfinance_v4_1!J95)/COUNT(householdfinance_v4_5!J95,householdfinance_v4_4!J95,householdfinance_v4_3!J95,householdfinance_v4_2!J95,householdfinance_v4_1!J95),0),"NA")</f>
        <v>1</v>
      </c>
      <c r="K95">
        <f>IF($D95=1,ROUND(SUM(householdfinance_v4_5!K95,householdfinance_v4_4!K95,householdfinance_v4_3!K95,householdfinance_v4_2!K95,householdfinance_v4_1!K95)/COUNT(householdfinance_v4_5!K95,householdfinance_v4_4!K95,householdfinance_v4_3!K95,householdfinance_v4_2!K95,householdfinance_v4_1!K95),0),"NA")</f>
        <v>1</v>
      </c>
      <c r="L95">
        <f>IF($D95=1,ROUND(SUM(householdfinance_v4_5!L95,householdfinance_v4_4!L95,householdfinance_v4_3!L95,householdfinance_v4_2!L95,householdfinance_v4_1!L95)/COUNT(householdfinance_v4_5!L95,householdfinance_v4_4!L95,householdfinance_v4_3!L95,householdfinance_v4_2!L95,householdfinance_v4_1!L95),0),"NA")</f>
        <v>1</v>
      </c>
      <c r="M95">
        <f>IF($D95=1,ROUND(SUM(householdfinance_v4_5!M95,householdfinance_v4_4!M95,householdfinance_v4_3!M95,householdfinance_v4_2!M95,householdfinance_v4_1!M95)/COUNT(householdfinance_v4_5!M95,householdfinance_v4_4!M95,householdfinance_v4_3!M95,householdfinance_v4_2!M95,householdfinance_v4_1!M95),0),"NA")</f>
        <v>1</v>
      </c>
      <c r="N95">
        <f>IF($D95=1,ROUND(SUM(householdfinance_v4_5!N95,householdfinance_v4_4!N95,householdfinance_v4_3!N95,householdfinance_v4_2!N95,householdfinance_v4_1!N95)/COUNT(householdfinance_v4_5!N95,householdfinance_v4_4!N95,householdfinance_v4_3!N95,householdfinance_v4_2!N95,householdfinance_v4_1!N95),0),"NA")</f>
        <v>1</v>
      </c>
      <c r="O95">
        <v>2.4649755954742432</v>
      </c>
    </row>
    <row r="96" spans="1:15" x14ac:dyDescent="0.25">
      <c r="A96" t="s">
        <v>86</v>
      </c>
      <c r="B96" t="s">
        <v>81</v>
      </c>
      <c r="C96">
        <v>0</v>
      </c>
      <c r="D96">
        <f>ROUND(SUM(householdfinance_v4_5!D96,householdfinance_v4_4!D96,householdfinance_v4_3!D96,householdfinance_v4_2!D96,householdfinance_v4_1!D96)/COUNT(householdfinance_v4_5!D96,householdfinance_v4_4!D96,householdfinance_v4_3!D96,householdfinance_v4_2!D96,householdfinance_v4_1!D96),0)</f>
        <v>1</v>
      </c>
      <c r="E96">
        <f>IF($D96=1,ROUND(SUM(householdfinance_v4_5!E96,householdfinance_v4_4!E96,householdfinance_v4_3!E96,householdfinance_v4_2!E96,householdfinance_v4_1!E96)/COUNT(householdfinance_v4_5!E96,householdfinance_v4_4!E96,householdfinance_v4_3!E96,householdfinance_v4_2!E96,householdfinance_v4_1!E96),0),"NA")</f>
        <v>1</v>
      </c>
      <c r="F96">
        <f>IF($D96=1,ROUND(SUM(householdfinance_v4_5!F96,householdfinance_v4_4!F96,householdfinance_v4_3!F96,householdfinance_v4_2!F96,householdfinance_v4_1!F96)/COUNT(householdfinance_v4_5!F96,householdfinance_v4_4!F96,householdfinance_v4_3!F96,householdfinance_v4_2!F96,householdfinance_v4_1!F96),0),"NA")</f>
        <v>1</v>
      </c>
      <c r="G96">
        <f>IF($D96=1,ROUND(SUM(householdfinance_v4_5!G96,householdfinance_v4_4!G96,householdfinance_v4_3!G96,householdfinance_v4_2!G96,householdfinance_v4_1!G96)/COUNT(householdfinance_v4_5!G96,householdfinance_v4_4!G96,householdfinance_v4_3!G96,householdfinance_v4_2!G96,householdfinance_v4_1!G96),0),"NA")</f>
        <v>1</v>
      </c>
      <c r="H96">
        <f>IF($E96=1,ROUND(SUM(householdfinance_v4_5!H96,householdfinance_v4_4!H96,householdfinance_v4_3!H96,householdfinance_v4_2!H96,householdfinance_v4_1!H96)/COUNT(householdfinance_v4_5!H96,householdfinance_v4_4!H96,householdfinance_v4_3!H96,householdfinance_v4_2!H96,householdfinance_v4_1!H96),0),"NA")</f>
        <v>1</v>
      </c>
      <c r="I96">
        <f>IF($D96=1,ROUND(SUM(householdfinance_v4_5!I96,householdfinance_v4_4!I96,householdfinance_v4_3!I96,householdfinance_v4_2!I96,householdfinance_v4_1!I96)/COUNT(householdfinance_v4_5!I96,householdfinance_v4_4!I96,householdfinance_v4_3!I96,householdfinance_v4_2!I96,householdfinance_v4_1!I96),0),"NA")</f>
        <v>1</v>
      </c>
      <c r="J96">
        <f>IF(AND($E96=1,$F96=1),ROUND(SUM(householdfinance_v4_5!J96,householdfinance_v4_4!J96,householdfinance_v4_3!J96,householdfinance_v4_2!J96,householdfinance_v4_1!J96)/COUNT(householdfinance_v4_5!J96,householdfinance_v4_4!J96,householdfinance_v4_3!J96,householdfinance_v4_2!J96,householdfinance_v4_1!J96),0),"NA")</f>
        <v>1</v>
      </c>
      <c r="K96">
        <f>IF($D96=1,ROUND(SUM(householdfinance_v4_5!K96,householdfinance_v4_4!K96,householdfinance_v4_3!K96,householdfinance_v4_2!K96,householdfinance_v4_1!K96)/COUNT(householdfinance_v4_5!K96,householdfinance_v4_4!K96,householdfinance_v4_3!K96,householdfinance_v4_2!K96,householdfinance_v4_1!K96),0),"NA")</f>
        <v>1</v>
      </c>
      <c r="L96">
        <f>IF($D96=1,ROUND(SUM(householdfinance_v4_5!L96,householdfinance_v4_4!L96,householdfinance_v4_3!L96,householdfinance_v4_2!L96,householdfinance_v4_1!L96)/COUNT(householdfinance_v4_5!L96,householdfinance_v4_4!L96,householdfinance_v4_3!L96,householdfinance_v4_2!L96,householdfinance_v4_1!L96),0),"NA")</f>
        <v>1</v>
      </c>
      <c r="M96">
        <f>IF($D96=1,ROUND(SUM(householdfinance_v4_5!M96,householdfinance_v4_4!M96,householdfinance_v4_3!M96,householdfinance_v4_2!M96,householdfinance_v4_1!M96)/COUNT(householdfinance_v4_5!M96,householdfinance_v4_4!M96,householdfinance_v4_3!M96,householdfinance_v4_2!M96,householdfinance_v4_1!M96),0),"NA")</f>
        <v>1</v>
      </c>
      <c r="N96">
        <f>IF($D96=1,ROUND(SUM(householdfinance_v4_5!N96,householdfinance_v4_4!N96,householdfinance_v4_3!N96,householdfinance_v4_2!N96,householdfinance_v4_1!N96)/COUNT(householdfinance_v4_5!N96,householdfinance_v4_4!N96,householdfinance_v4_3!N96,householdfinance_v4_2!N96,householdfinance_v4_1!N96),0),"NA")</f>
        <v>1</v>
      </c>
      <c r="O96">
        <v>1.2014214992523189</v>
      </c>
    </row>
    <row r="97" spans="1:15" x14ac:dyDescent="0.25">
      <c r="A97" t="s">
        <v>86</v>
      </c>
      <c r="B97" t="s">
        <v>82</v>
      </c>
      <c r="C97">
        <v>0</v>
      </c>
      <c r="D97">
        <f>ROUND(SUM(householdfinance_v4_5!D97,householdfinance_v4_4!D97,householdfinance_v4_3!D97,householdfinance_v4_2!D97,householdfinance_v4_1!D97)/COUNT(householdfinance_v4_5!D97,householdfinance_v4_4!D97,householdfinance_v4_3!D97,householdfinance_v4_2!D97,householdfinance_v4_1!D97),0)</f>
        <v>1</v>
      </c>
      <c r="E97">
        <f>IF($D97=1,ROUND(SUM(householdfinance_v4_5!E97,householdfinance_v4_4!E97,householdfinance_v4_3!E97,householdfinance_v4_2!E97,householdfinance_v4_1!E97)/COUNT(householdfinance_v4_5!E97,householdfinance_v4_4!E97,householdfinance_v4_3!E97,householdfinance_v4_2!E97,householdfinance_v4_1!E97),0),"NA")</f>
        <v>1</v>
      </c>
      <c r="F97">
        <f>IF($D97=1,ROUND(SUM(householdfinance_v4_5!F97,householdfinance_v4_4!F97,householdfinance_v4_3!F97,householdfinance_v4_2!F97,householdfinance_v4_1!F97)/COUNT(householdfinance_v4_5!F97,householdfinance_v4_4!F97,householdfinance_v4_3!F97,householdfinance_v4_2!F97,householdfinance_v4_1!F97),0),"NA")</f>
        <v>1</v>
      </c>
      <c r="G97">
        <f>IF($D97=1,ROUND(SUM(householdfinance_v4_5!G97,householdfinance_v4_4!G97,householdfinance_v4_3!G97,householdfinance_v4_2!G97,householdfinance_v4_1!G97)/COUNT(householdfinance_v4_5!G97,householdfinance_v4_4!G97,householdfinance_v4_3!G97,householdfinance_v4_2!G97,householdfinance_v4_1!G97),0),"NA")</f>
        <v>1</v>
      </c>
      <c r="H97">
        <f>IF($E97=1,ROUND(SUM(householdfinance_v4_5!H97,householdfinance_v4_4!H97,householdfinance_v4_3!H97,householdfinance_v4_2!H97,householdfinance_v4_1!H97)/COUNT(householdfinance_v4_5!H97,householdfinance_v4_4!H97,householdfinance_v4_3!H97,householdfinance_v4_2!H97,householdfinance_v4_1!H97),0),"NA")</f>
        <v>1</v>
      </c>
      <c r="I97">
        <f>IF($D97=1,ROUND(SUM(householdfinance_v4_5!I97,householdfinance_v4_4!I97,householdfinance_v4_3!I97,householdfinance_v4_2!I97,householdfinance_v4_1!I97)/COUNT(householdfinance_v4_5!I97,householdfinance_v4_4!I97,householdfinance_v4_3!I97,householdfinance_v4_2!I97,householdfinance_v4_1!I97),0),"NA")</f>
        <v>1</v>
      </c>
      <c r="J97">
        <f>IF(AND($E97=1,$F97=1),ROUND(SUM(householdfinance_v4_5!J97,householdfinance_v4_4!J97,householdfinance_v4_3!J97,householdfinance_v4_2!J97,householdfinance_v4_1!J97)/COUNT(householdfinance_v4_5!J97,householdfinance_v4_4!J97,householdfinance_v4_3!J97,householdfinance_v4_2!J97,householdfinance_v4_1!J97),0),"NA")</f>
        <v>1</v>
      </c>
      <c r="K97">
        <f>IF($D97=1,ROUND(SUM(householdfinance_v4_5!K97,householdfinance_v4_4!K97,householdfinance_v4_3!K97,householdfinance_v4_2!K97,householdfinance_v4_1!K97)/COUNT(householdfinance_v4_5!K97,householdfinance_v4_4!K97,householdfinance_v4_3!K97,householdfinance_v4_2!K97,householdfinance_v4_1!K97),0),"NA")</f>
        <v>1</v>
      </c>
      <c r="L97">
        <f>IF($D97=1,ROUND(SUM(householdfinance_v4_5!L97,householdfinance_v4_4!L97,householdfinance_v4_3!L97,householdfinance_v4_2!L97,householdfinance_v4_1!L97)/COUNT(householdfinance_v4_5!L97,householdfinance_v4_4!L97,householdfinance_v4_3!L97,householdfinance_v4_2!L97,householdfinance_v4_1!L97),0),"NA")</f>
        <v>1</v>
      </c>
      <c r="M97">
        <f>IF($D97=1,ROUND(SUM(householdfinance_v4_5!M97,householdfinance_v4_4!M97,householdfinance_v4_3!M97,householdfinance_v4_2!M97,householdfinance_v4_1!M97)/COUNT(householdfinance_v4_5!M97,householdfinance_v4_4!M97,householdfinance_v4_3!M97,householdfinance_v4_2!M97,householdfinance_v4_1!M97),0),"NA")</f>
        <v>1</v>
      </c>
      <c r="N97">
        <f>IF($D97=1,ROUND(SUM(householdfinance_v4_5!N97,householdfinance_v4_4!N97,householdfinance_v4_3!N97,householdfinance_v4_2!N97,householdfinance_v4_1!N97)/COUNT(householdfinance_v4_5!N97,householdfinance_v4_4!N97,householdfinance_v4_3!N97,householdfinance_v4_2!N97,householdfinance_v4_1!N97),0),"NA")</f>
        <v>1</v>
      </c>
      <c r="O97">
        <v>1.8200361728668211</v>
      </c>
    </row>
    <row r="98" spans="1:15" x14ac:dyDescent="0.25">
      <c r="A98" t="s">
        <v>86</v>
      </c>
      <c r="B98" t="s">
        <v>83</v>
      </c>
      <c r="C98">
        <v>0</v>
      </c>
      <c r="D98">
        <f>ROUND(SUM(householdfinance_v4_5!D98,householdfinance_v4_4!D98,householdfinance_v4_3!D98,householdfinance_v4_2!D98,householdfinance_v4_1!D98)/COUNT(householdfinance_v4_5!D98,householdfinance_v4_4!D98,householdfinance_v4_3!D98,householdfinance_v4_2!D98,householdfinance_v4_1!D98),0)</f>
        <v>1</v>
      </c>
      <c r="E98">
        <f>IF($D98=1,ROUND(SUM(householdfinance_v4_5!E98,householdfinance_v4_4!E98,householdfinance_v4_3!E98,householdfinance_v4_2!E98,householdfinance_v4_1!E98)/COUNT(householdfinance_v4_5!E98,householdfinance_v4_4!E98,householdfinance_v4_3!E98,householdfinance_v4_2!E98,householdfinance_v4_1!E98),0),"NA")</f>
        <v>1</v>
      </c>
      <c r="F98">
        <f>IF($D98=1,ROUND(SUM(householdfinance_v4_5!F98,householdfinance_v4_4!F98,householdfinance_v4_3!F98,householdfinance_v4_2!F98,householdfinance_v4_1!F98)/COUNT(householdfinance_v4_5!F98,householdfinance_v4_4!F98,householdfinance_v4_3!F98,householdfinance_v4_2!F98,householdfinance_v4_1!F98),0),"NA")</f>
        <v>1</v>
      </c>
      <c r="G98">
        <f>IF($D98=1,ROUND(SUM(householdfinance_v4_5!G98,householdfinance_v4_4!G98,householdfinance_v4_3!G98,householdfinance_v4_2!G98,householdfinance_v4_1!G98)/COUNT(householdfinance_v4_5!G98,householdfinance_v4_4!G98,householdfinance_v4_3!G98,householdfinance_v4_2!G98,householdfinance_v4_1!G98),0),"NA")</f>
        <v>1</v>
      </c>
      <c r="H98">
        <f>IF($E98=1,ROUND(SUM(householdfinance_v4_5!H98,householdfinance_v4_4!H98,householdfinance_v4_3!H98,householdfinance_v4_2!H98,householdfinance_v4_1!H98)/COUNT(householdfinance_v4_5!H98,householdfinance_v4_4!H98,householdfinance_v4_3!H98,householdfinance_v4_2!H98,householdfinance_v4_1!H98),0),"NA")</f>
        <v>1</v>
      </c>
      <c r="I98">
        <f>IF($D98=1,ROUND(SUM(householdfinance_v4_5!I98,householdfinance_v4_4!I98,householdfinance_v4_3!I98,householdfinance_v4_2!I98,householdfinance_v4_1!I98)/COUNT(householdfinance_v4_5!I98,householdfinance_v4_4!I98,householdfinance_v4_3!I98,householdfinance_v4_2!I98,householdfinance_v4_1!I98),0),"NA")</f>
        <v>1</v>
      </c>
      <c r="J98">
        <f>IF(AND($E98=1,$F98=1),ROUND(SUM(householdfinance_v4_5!J98,householdfinance_v4_4!J98,householdfinance_v4_3!J98,householdfinance_v4_2!J98,householdfinance_v4_1!J98)/COUNT(householdfinance_v4_5!J98,householdfinance_v4_4!J98,householdfinance_v4_3!J98,householdfinance_v4_2!J98,householdfinance_v4_1!J98),0),"NA")</f>
        <v>1</v>
      </c>
      <c r="K98">
        <f>IF($D98=1,ROUND(SUM(householdfinance_v4_5!K98,householdfinance_v4_4!K98,householdfinance_v4_3!K98,householdfinance_v4_2!K98,householdfinance_v4_1!K98)/COUNT(householdfinance_v4_5!K98,householdfinance_v4_4!K98,householdfinance_v4_3!K98,householdfinance_v4_2!K98,householdfinance_v4_1!K98),0),"NA")</f>
        <v>1</v>
      </c>
      <c r="L98">
        <f>IF($D98=1,ROUND(SUM(householdfinance_v4_5!L98,householdfinance_v4_4!L98,householdfinance_v4_3!L98,householdfinance_v4_2!L98,householdfinance_v4_1!L98)/COUNT(householdfinance_v4_5!L98,householdfinance_v4_4!L98,householdfinance_v4_3!L98,householdfinance_v4_2!L98,householdfinance_v4_1!L98),0),"NA")</f>
        <v>1</v>
      </c>
      <c r="M98">
        <f>IF($D98=1,ROUND(SUM(householdfinance_v4_5!M98,householdfinance_v4_4!M98,householdfinance_v4_3!M98,householdfinance_v4_2!M98,householdfinance_v4_1!M98)/COUNT(householdfinance_v4_5!M98,householdfinance_v4_4!M98,householdfinance_v4_3!M98,householdfinance_v4_2!M98,householdfinance_v4_1!M98),0),"NA")</f>
        <v>1</v>
      </c>
      <c r="N98">
        <f>IF($D98=1,ROUND(SUM(householdfinance_v4_5!N98,householdfinance_v4_4!N98,householdfinance_v4_3!N98,householdfinance_v4_2!N98,householdfinance_v4_1!N98)/COUNT(householdfinance_v4_5!N98,householdfinance_v4_4!N98,householdfinance_v4_3!N98,householdfinance_v4_2!N98,householdfinance_v4_1!N98),0),"NA")</f>
        <v>1</v>
      </c>
      <c r="O98">
        <v>1.919801712036133</v>
      </c>
    </row>
    <row r="99" spans="1:15" x14ac:dyDescent="0.25">
      <c r="A99" t="s">
        <v>86</v>
      </c>
      <c r="B99" t="s">
        <v>85</v>
      </c>
      <c r="C99">
        <v>0</v>
      </c>
      <c r="D99">
        <f>ROUND(SUM(householdfinance_v4_5!D99,householdfinance_v4_4!D99,householdfinance_v4_3!D99,householdfinance_v4_2!D99,householdfinance_v4_1!D99)/COUNT(householdfinance_v4_5!D99,householdfinance_v4_4!D99,householdfinance_v4_3!D99,householdfinance_v4_2!D99,householdfinance_v4_1!D99),0)</f>
        <v>1</v>
      </c>
      <c r="E99">
        <f>IF($D99=1,ROUND(SUM(householdfinance_v4_5!E99,householdfinance_v4_4!E99,householdfinance_v4_3!E99,householdfinance_v4_2!E99,householdfinance_v4_1!E99)/COUNT(householdfinance_v4_5!E99,householdfinance_v4_4!E99,householdfinance_v4_3!E99,householdfinance_v4_2!E99,householdfinance_v4_1!E99),0),"NA")</f>
        <v>1</v>
      </c>
      <c r="F99">
        <f>IF($D99=1,ROUND(SUM(householdfinance_v4_5!F99,householdfinance_v4_4!F99,householdfinance_v4_3!F99,householdfinance_v4_2!F99,householdfinance_v4_1!F99)/COUNT(householdfinance_v4_5!F99,householdfinance_v4_4!F99,householdfinance_v4_3!F99,householdfinance_v4_2!F99,householdfinance_v4_1!F99),0),"NA")</f>
        <v>1</v>
      </c>
      <c r="G99">
        <f>IF($D99=1,ROUND(SUM(householdfinance_v4_5!G99,householdfinance_v4_4!G99,householdfinance_v4_3!G99,householdfinance_v4_2!G99,householdfinance_v4_1!G99)/COUNT(householdfinance_v4_5!G99,householdfinance_v4_4!G99,householdfinance_v4_3!G99,householdfinance_v4_2!G99,householdfinance_v4_1!G99),0),"NA")</f>
        <v>1</v>
      </c>
      <c r="H99">
        <f>IF($E99=1,ROUND(SUM(householdfinance_v4_5!H99,householdfinance_v4_4!H99,householdfinance_v4_3!H99,householdfinance_v4_2!H99,householdfinance_v4_1!H99)/COUNT(householdfinance_v4_5!H99,householdfinance_v4_4!H99,householdfinance_v4_3!H99,householdfinance_v4_2!H99,householdfinance_v4_1!H99),0),"NA")</f>
        <v>1</v>
      </c>
      <c r="I99">
        <f>IF($D99=1,ROUND(SUM(householdfinance_v4_5!I99,householdfinance_v4_4!I99,householdfinance_v4_3!I99,householdfinance_v4_2!I99,householdfinance_v4_1!I99)/COUNT(householdfinance_v4_5!I99,householdfinance_v4_4!I99,householdfinance_v4_3!I99,householdfinance_v4_2!I99,householdfinance_v4_1!I99),0),"NA")</f>
        <v>1</v>
      </c>
      <c r="J99">
        <f>IF(AND($E99=1,$F99=1),ROUND(SUM(householdfinance_v4_5!J99,householdfinance_v4_4!J99,householdfinance_v4_3!J99,householdfinance_v4_2!J99,householdfinance_v4_1!J99)/COUNT(householdfinance_v4_5!J99,householdfinance_v4_4!J99,householdfinance_v4_3!J99,householdfinance_v4_2!J99,householdfinance_v4_1!J99),0),"NA")</f>
        <v>1</v>
      </c>
      <c r="K99">
        <f>IF($D99=1,ROUND(SUM(householdfinance_v4_5!K99,householdfinance_v4_4!K99,householdfinance_v4_3!K99,householdfinance_v4_2!K99,householdfinance_v4_1!K99)/COUNT(householdfinance_v4_5!K99,householdfinance_v4_4!K99,householdfinance_v4_3!K99,householdfinance_v4_2!K99,householdfinance_v4_1!K99),0),"NA")</f>
        <v>1</v>
      </c>
      <c r="L99">
        <f>IF($D99=1,ROUND(SUM(householdfinance_v4_5!L99,householdfinance_v4_4!L99,householdfinance_v4_3!L99,householdfinance_v4_2!L99,householdfinance_v4_1!L99)/COUNT(householdfinance_v4_5!L99,householdfinance_v4_4!L99,householdfinance_v4_3!L99,householdfinance_v4_2!L99,householdfinance_v4_1!L99),0),"NA")</f>
        <v>1</v>
      </c>
      <c r="M99">
        <f>IF($D99=1,ROUND(SUM(householdfinance_v4_5!M99,householdfinance_v4_4!M99,householdfinance_v4_3!M99,householdfinance_v4_2!M99,householdfinance_v4_1!M99)/COUNT(householdfinance_v4_5!M99,householdfinance_v4_4!M99,householdfinance_v4_3!M99,householdfinance_v4_2!M99,householdfinance_v4_1!M99),0),"NA")</f>
        <v>1</v>
      </c>
      <c r="N99">
        <f>IF($D99=1,ROUND(SUM(householdfinance_v4_5!N99,householdfinance_v4_4!N99,householdfinance_v4_3!N99,householdfinance_v4_2!N99,householdfinance_v4_1!N99)/COUNT(householdfinance_v4_5!N99,householdfinance_v4_4!N99,householdfinance_v4_3!N99,householdfinance_v4_2!N99,householdfinance_v4_1!N99),0),"NA")</f>
        <v>1</v>
      </c>
      <c r="O99">
        <v>1.8498368263244629</v>
      </c>
    </row>
    <row r="100" spans="1:15" x14ac:dyDescent="0.25">
      <c r="A100" t="s">
        <v>86</v>
      </c>
      <c r="B100" t="s">
        <v>98</v>
      </c>
      <c r="C100">
        <v>0</v>
      </c>
      <c r="D100">
        <f>ROUND(SUM(householdfinance_v4_5!D100,householdfinance_v4_4!D100,householdfinance_v4_3!D100,householdfinance_v4_2!D100,householdfinance_v4_1!D100)/COUNT(householdfinance_v4_5!D100,householdfinance_v4_4!D100,householdfinance_v4_3!D100,householdfinance_v4_2!D100,householdfinance_v4_1!D100),0)</f>
        <v>1</v>
      </c>
      <c r="E100">
        <f>IF($D100=1,ROUND(SUM(householdfinance_v4_5!E100,householdfinance_v4_4!E100,householdfinance_v4_3!E100,householdfinance_v4_2!E100,householdfinance_v4_1!E100)/COUNT(householdfinance_v4_5!E100,householdfinance_v4_4!E100,householdfinance_v4_3!E100,householdfinance_v4_2!E100,householdfinance_v4_1!E100),0),"NA")</f>
        <v>1</v>
      </c>
      <c r="F100">
        <f>IF($D100=1,ROUND(SUM(householdfinance_v4_5!F100,householdfinance_v4_4!F100,householdfinance_v4_3!F100,householdfinance_v4_2!F100,householdfinance_v4_1!F100)/COUNT(householdfinance_v4_5!F100,householdfinance_v4_4!F100,householdfinance_v4_3!F100,householdfinance_v4_2!F100,householdfinance_v4_1!F100),0),"NA")</f>
        <v>1</v>
      </c>
      <c r="G100">
        <f>IF($D100=1,ROUND(SUM(householdfinance_v4_5!G100,householdfinance_v4_4!G100,householdfinance_v4_3!G100,householdfinance_v4_2!G100,householdfinance_v4_1!G100)/COUNT(householdfinance_v4_5!G100,householdfinance_v4_4!G100,householdfinance_v4_3!G100,householdfinance_v4_2!G100,householdfinance_v4_1!G100),0),"NA")</f>
        <v>1</v>
      </c>
      <c r="H100">
        <f>IF($E100=1,ROUND(SUM(householdfinance_v4_5!H100,householdfinance_v4_4!H100,householdfinance_v4_3!H100,householdfinance_v4_2!H100,householdfinance_v4_1!H100)/COUNT(householdfinance_v4_5!H100,householdfinance_v4_4!H100,householdfinance_v4_3!H100,householdfinance_v4_2!H100,householdfinance_v4_1!H100),0),"NA")</f>
        <v>1</v>
      </c>
      <c r="I100">
        <f>IF($D100=1,ROUND(SUM(householdfinance_v4_5!I100,householdfinance_v4_4!I100,householdfinance_v4_3!I100,householdfinance_v4_2!I100,householdfinance_v4_1!I100)/COUNT(householdfinance_v4_5!I100,householdfinance_v4_4!I100,householdfinance_v4_3!I100,householdfinance_v4_2!I100,householdfinance_v4_1!I100),0),"NA")</f>
        <v>1</v>
      </c>
      <c r="J100">
        <f>IF(AND($E100=1,$F100=1),ROUND(SUM(householdfinance_v4_5!J100,householdfinance_v4_4!J100,householdfinance_v4_3!J100,householdfinance_v4_2!J100,householdfinance_v4_1!J100)/COUNT(householdfinance_v4_5!J100,householdfinance_v4_4!J100,householdfinance_v4_3!J100,householdfinance_v4_2!J100,householdfinance_v4_1!J100),0),"NA")</f>
        <v>1</v>
      </c>
      <c r="K100">
        <f>IF($D100=1,ROUND(SUM(householdfinance_v4_5!K100,householdfinance_v4_4!K100,householdfinance_v4_3!K100,householdfinance_v4_2!K100,householdfinance_v4_1!K100)/COUNT(householdfinance_v4_5!K100,householdfinance_v4_4!K100,householdfinance_v4_3!K100,householdfinance_v4_2!K100,householdfinance_v4_1!K100),0),"NA")</f>
        <v>1</v>
      </c>
      <c r="L100">
        <f>IF($D100=1,ROUND(SUM(householdfinance_v4_5!L100,householdfinance_v4_4!L100,householdfinance_v4_3!L100,householdfinance_v4_2!L100,householdfinance_v4_1!L100)/COUNT(householdfinance_v4_5!L100,householdfinance_v4_4!L100,householdfinance_v4_3!L100,householdfinance_v4_2!L100,householdfinance_v4_1!L100),0),"NA")</f>
        <v>1</v>
      </c>
      <c r="M100">
        <f>IF($D100=1,ROUND(SUM(householdfinance_v4_5!M100,householdfinance_v4_4!M100,householdfinance_v4_3!M100,householdfinance_v4_2!M100,householdfinance_v4_1!M100)/COUNT(householdfinance_v4_5!M100,householdfinance_v4_4!M100,householdfinance_v4_3!M100,householdfinance_v4_2!M100,householdfinance_v4_1!M100),0),"NA")</f>
        <v>1</v>
      </c>
      <c r="N100">
        <f>IF($D100=1,ROUND(SUM(householdfinance_v4_5!N100,householdfinance_v4_4!N100,householdfinance_v4_3!N100,householdfinance_v4_2!N100,householdfinance_v4_1!N100)/COUNT(householdfinance_v4_5!N100,householdfinance_v4_4!N100,householdfinance_v4_3!N100,householdfinance_v4_2!N100,householdfinance_v4_1!N100),0),"NA")</f>
        <v>1</v>
      </c>
      <c r="O100">
        <v>1.243923664093018</v>
      </c>
    </row>
    <row r="101" spans="1:15" x14ac:dyDescent="0.25">
      <c r="A101" t="s">
        <v>86</v>
      </c>
      <c r="B101" t="s">
        <v>99</v>
      </c>
      <c r="C101">
        <v>0</v>
      </c>
      <c r="D101">
        <f>ROUND(SUM(householdfinance_v4_5!D101,householdfinance_v4_4!D101,householdfinance_v4_3!D101,householdfinance_v4_2!D101,householdfinance_v4_1!D101)/COUNT(householdfinance_v4_5!D101,householdfinance_v4_4!D101,householdfinance_v4_3!D101,householdfinance_v4_2!D101,householdfinance_v4_1!D101),0)</f>
        <v>1</v>
      </c>
      <c r="E101">
        <f>IF($D101=1,ROUND(SUM(householdfinance_v4_5!E101,householdfinance_v4_4!E101,householdfinance_v4_3!E101,householdfinance_v4_2!E101,householdfinance_v4_1!E101)/COUNT(householdfinance_v4_5!E101,householdfinance_v4_4!E101,householdfinance_v4_3!E101,householdfinance_v4_2!E101,householdfinance_v4_1!E101),0),"NA")</f>
        <v>1</v>
      </c>
      <c r="F101">
        <f>IF($D101=1,ROUND(SUM(householdfinance_v4_5!F101,householdfinance_v4_4!F101,householdfinance_v4_3!F101,householdfinance_v4_2!F101,householdfinance_v4_1!F101)/COUNT(householdfinance_v4_5!F101,householdfinance_v4_4!F101,householdfinance_v4_3!F101,householdfinance_v4_2!F101,householdfinance_v4_1!F101),0),"NA")</f>
        <v>1</v>
      </c>
      <c r="G101">
        <f>IF($D101=1,ROUND(SUM(householdfinance_v4_5!G101,householdfinance_v4_4!G101,householdfinance_v4_3!G101,householdfinance_v4_2!G101,householdfinance_v4_1!G101)/COUNT(householdfinance_v4_5!G101,householdfinance_v4_4!G101,householdfinance_v4_3!G101,householdfinance_v4_2!G101,householdfinance_v4_1!G101),0),"NA")</f>
        <v>1</v>
      </c>
      <c r="H101">
        <f>IF($E101=1,ROUND(SUM(householdfinance_v4_5!H101,householdfinance_v4_4!H101,householdfinance_v4_3!H101,householdfinance_v4_2!H101,householdfinance_v4_1!H101)/COUNT(householdfinance_v4_5!H101,householdfinance_v4_4!H101,householdfinance_v4_3!H101,householdfinance_v4_2!H101,householdfinance_v4_1!H101),0),"NA")</f>
        <v>1</v>
      </c>
      <c r="I101">
        <f>IF($D101=1,ROUND(SUM(householdfinance_v4_5!I101,householdfinance_v4_4!I101,householdfinance_v4_3!I101,householdfinance_v4_2!I101,householdfinance_v4_1!I101)/COUNT(householdfinance_v4_5!I101,householdfinance_v4_4!I101,householdfinance_v4_3!I101,householdfinance_v4_2!I101,householdfinance_v4_1!I101),0),"NA")</f>
        <v>1</v>
      </c>
      <c r="J101">
        <f>IF(AND($E101=1,$F101=1),ROUND(SUM(householdfinance_v4_5!J101,householdfinance_v4_4!J101,householdfinance_v4_3!J101,householdfinance_v4_2!J101,householdfinance_v4_1!J101)/COUNT(householdfinance_v4_5!J101,householdfinance_v4_4!J101,householdfinance_v4_3!J101,householdfinance_v4_2!J101,householdfinance_v4_1!J101),0),"NA")</f>
        <v>1</v>
      </c>
      <c r="K101">
        <f>IF($D101=1,ROUND(SUM(householdfinance_v4_5!K101,householdfinance_v4_4!K101,householdfinance_v4_3!K101,householdfinance_v4_2!K101,householdfinance_v4_1!K101)/COUNT(householdfinance_v4_5!K101,householdfinance_v4_4!K101,householdfinance_v4_3!K101,householdfinance_v4_2!K101,householdfinance_v4_1!K101),0),"NA")</f>
        <v>1</v>
      </c>
      <c r="L101">
        <f>IF($D101=1,ROUND(SUM(householdfinance_v4_5!L101,householdfinance_v4_4!L101,householdfinance_v4_3!L101,householdfinance_v4_2!L101,householdfinance_v4_1!L101)/COUNT(householdfinance_v4_5!L101,householdfinance_v4_4!L101,householdfinance_v4_3!L101,householdfinance_v4_2!L101,householdfinance_v4_1!L101),0),"NA")</f>
        <v>1</v>
      </c>
      <c r="M101">
        <f>IF($D101=1,ROUND(SUM(householdfinance_v4_5!M101,householdfinance_v4_4!M101,householdfinance_v4_3!M101,householdfinance_v4_2!M101,householdfinance_v4_1!M101)/COUNT(householdfinance_v4_5!M101,householdfinance_v4_4!M101,householdfinance_v4_3!M101,householdfinance_v4_2!M101,householdfinance_v4_1!M101),0),"NA")</f>
        <v>1</v>
      </c>
      <c r="N101">
        <f>IF($D101=1,ROUND(SUM(householdfinance_v4_5!N101,householdfinance_v4_4!N101,householdfinance_v4_3!N101,householdfinance_v4_2!N101,householdfinance_v4_1!N101)/COUNT(householdfinance_v4_5!N101,householdfinance_v4_4!N101,householdfinance_v4_3!N101,householdfinance_v4_2!N101,householdfinance_v4_1!N101),0),"NA")</f>
        <v>1</v>
      </c>
      <c r="O101">
        <v>1.1541769504547119</v>
      </c>
    </row>
    <row r="102" spans="1:15" x14ac:dyDescent="0.25">
      <c r="A102" t="s">
        <v>86</v>
      </c>
      <c r="B102" t="s">
        <v>100</v>
      </c>
      <c r="C102">
        <v>0</v>
      </c>
      <c r="D102">
        <f>ROUND(SUM(householdfinance_v4_5!D102,householdfinance_v4_4!D102,householdfinance_v4_3!D102,householdfinance_v4_2!D102,householdfinance_v4_1!D102)/COUNT(householdfinance_v4_5!D102,householdfinance_v4_4!D102,householdfinance_v4_3!D102,householdfinance_v4_2!D102,householdfinance_v4_1!D102),0)</f>
        <v>1</v>
      </c>
      <c r="E102">
        <f>IF($D102=1,ROUND(SUM(householdfinance_v4_5!E102,householdfinance_v4_4!E102,householdfinance_v4_3!E102,householdfinance_v4_2!E102,householdfinance_v4_1!E102)/COUNT(householdfinance_v4_5!E102,householdfinance_v4_4!E102,householdfinance_v4_3!E102,householdfinance_v4_2!E102,householdfinance_v4_1!E102),0),"NA")</f>
        <v>1</v>
      </c>
      <c r="F102">
        <f>IF($D102=1,ROUND(SUM(householdfinance_v4_5!F102,householdfinance_v4_4!F102,householdfinance_v4_3!F102,householdfinance_v4_2!F102,householdfinance_v4_1!F102)/COUNT(householdfinance_v4_5!F102,householdfinance_v4_4!F102,householdfinance_v4_3!F102,householdfinance_v4_2!F102,householdfinance_v4_1!F102),0),"NA")</f>
        <v>1</v>
      </c>
      <c r="G102">
        <f>IF($D102=1,ROUND(SUM(householdfinance_v4_5!G102,householdfinance_v4_4!G102,householdfinance_v4_3!G102,householdfinance_v4_2!G102,householdfinance_v4_1!G102)/COUNT(householdfinance_v4_5!G102,householdfinance_v4_4!G102,householdfinance_v4_3!G102,householdfinance_v4_2!G102,householdfinance_v4_1!G102),0),"NA")</f>
        <v>1</v>
      </c>
      <c r="H102">
        <f>IF($E102=1,ROUND(SUM(householdfinance_v4_5!H102,householdfinance_v4_4!H102,householdfinance_v4_3!H102,householdfinance_v4_2!H102,householdfinance_v4_1!H102)/COUNT(householdfinance_v4_5!H102,householdfinance_v4_4!H102,householdfinance_v4_3!H102,householdfinance_v4_2!H102,householdfinance_v4_1!H102),0),"NA")</f>
        <v>1</v>
      </c>
      <c r="I102">
        <f>IF($D102=1,ROUND(SUM(householdfinance_v4_5!I102,householdfinance_v4_4!I102,householdfinance_v4_3!I102,householdfinance_v4_2!I102,householdfinance_v4_1!I102)/COUNT(householdfinance_v4_5!I102,householdfinance_v4_4!I102,householdfinance_v4_3!I102,householdfinance_v4_2!I102,householdfinance_v4_1!I102),0),"NA")</f>
        <v>1</v>
      </c>
      <c r="J102">
        <f>IF(AND($E102=1,$F102=1),ROUND(SUM(householdfinance_v4_5!J102,householdfinance_v4_4!J102,householdfinance_v4_3!J102,householdfinance_v4_2!J102,householdfinance_v4_1!J102)/COUNT(householdfinance_v4_5!J102,householdfinance_v4_4!J102,householdfinance_v4_3!J102,householdfinance_v4_2!J102,householdfinance_v4_1!J102),0),"NA")</f>
        <v>1</v>
      </c>
      <c r="K102">
        <f>IF($D102=1,ROUND(SUM(householdfinance_v4_5!K102,householdfinance_v4_4!K102,householdfinance_v4_3!K102,householdfinance_v4_2!K102,householdfinance_v4_1!K102)/COUNT(householdfinance_v4_5!K102,householdfinance_v4_4!K102,householdfinance_v4_3!K102,householdfinance_v4_2!K102,householdfinance_v4_1!K102),0),"NA")</f>
        <v>1</v>
      </c>
      <c r="L102">
        <f>IF($D102=1,ROUND(SUM(householdfinance_v4_5!L102,householdfinance_v4_4!L102,householdfinance_v4_3!L102,householdfinance_v4_2!L102,householdfinance_v4_1!L102)/COUNT(householdfinance_v4_5!L102,householdfinance_v4_4!L102,householdfinance_v4_3!L102,householdfinance_v4_2!L102,householdfinance_v4_1!L102),0),"NA")</f>
        <v>1</v>
      </c>
      <c r="M102">
        <f>IF($D102=1,ROUND(SUM(householdfinance_v4_5!M102,householdfinance_v4_4!M102,householdfinance_v4_3!M102,householdfinance_v4_2!M102,householdfinance_v4_1!M102)/COUNT(householdfinance_v4_5!M102,householdfinance_v4_4!M102,householdfinance_v4_3!M102,householdfinance_v4_2!M102,householdfinance_v4_1!M102),0),"NA")</f>
        <v>1</v>
      </c>
      <c r="N102">
        <f>IF($D102=1,ROUND(SUM(householdfinance_v4_5!N102,householdfinance_v4_4!N102,householdfinance_v4_3!N102,householdfinance_v4_2!N102,householdfinance_v4_1!N102)/COUNT(householdfinance_v4_5!N102,householdfinance_v4_4!N102,householdfinance_v4_3!N102,householdfinance_v4_2!N102,householdfinance_v4_1!N102),0),"NA")</f>
        <v>1</v>
      </c>
      <c r="O102">
        <v>1.200447082519531</v>
      </c>
    </row>
    <row r="103" spans="1:15" x14ac:dyDescent="0.25">
      <c r="A103" t="s">
        <v>86</v>
      </c>
      <c r="B103" t="s">
        <v>101</v>
      </c>
      <c r="C103">
        <v>0</v>
      </c>
      <c r="D103">
        <f>ROUND(SUM(householdfinance_v4_5!D103,householdfinance_v4_4!D103,householdfinance_v4_3!D103,householdfinance_v4_2!D103,householdfinance_v4_1!D103)/COUNT(householdfinance_v4_5!D103,householdfinance_v4_4!D103,householdfinance_v4_3!D103,householdfinance_v4_2!D103,householdfinance_v4_1!D103),0)</f>
        <v>1</v>
      </c>
      <c r="E103">
        <f>IF($D103=1,ROUND(SUM(householdfinance_v4_5!E103,householdfinance_v4_4!E103,householdfinance_v4_3!E103,householdfinance_v4_2!E103,householdfinance_v4_1!E103)/COUNT(householdfinance_v4_5!E103,householdfinance_v4_4!E103,householdfinance_v4_3!E103,householdfinance_v4_2!E103,householdfinance_v4_1!E103),0),"NA")</f>
        <v>1</v>
      </c>
      <c r="F103">
        <f>IF($D103=1,ROUND(SUM(householdfinance_v4_5!F103,householdfinance_v4_4!F103,householdfinance_v4_3!F103,householdfinance_v4_2!F103,householdfinance_v4_1!F103)/COUNT(householdfinance_v4_5!F103,householdfinance_v4_4!F103,householdfinance_v4_3!F103,householdfinance_v4_2!F103,householdfinance_v4_1!F103),0),"NA")</f>
        <v>1</v>
      </c>
      <c r="G103">
        <f>IF($D103=1,ROUND(SUM(householdfinance_v4_5!G103,householdfinance_v4_4!G103,householdfinance_v4_3!G103,householdfinance_v4_2!G103,householdfinance_v4_1!G103)/COUNT(householdfinance_v4_5!G103,householdfinance_v4_4!G103,householdfinance_v4_3!G103,householdfinance_v4_2!G103,householdfinance_v4_1!G103),0),"NA")</f>
        <v>1</v>
      </c>
      <c r="H103">
        <f>IF($E103=1,ROUND(SUM(householdfinance_v4_5!H103,householdfinance_v4_4!H103,householdfinance_v4_3!H103,householdfinance_v4_2!H103,householdfinance_v4_1!H103)/COUNT(householdfinance_v4_5!H103,householdfinance_v4_4!H103,householdfinance_v4_3!H103,householdfinance_v4_2!H103,householdfinance_v4_1!H103),0),"NA")</f>
        <v>1</v>
      </c>
      <c r="I103">
        <f>IF($D103=1,ROUND(SUM(householdfinance_v4_5!I103,householdfinance_v4_4!I103,householdfinance_v4_3!I103,householdfinance_v4_2!I103,householdfinance_v4_1!I103)/COUNT(householdfinance_v4_5!I103,householdfinance_v4_4!I103,householdfinance_v4_3!I103,householdfinance_v4_2!I103,householdfinance_v4_1!I103),0),"NA")</f>
        <v>1</v>
      </c>
      <c r="J103">
        <f>IF(AND($E103=1,$F103=1),ROUND(SUM(householdfinance_v4_5!J103,householdfinance_v4_4!J103,householdfinance_v4_3!J103,householdfinance_v4_2!J103,householdfinance_v4_1!J103)/COUNT(householdfinance_v4_5!J103,householdfinance_v4_4!J103,householdfinance_v4_3!J103,householdfinance_v4_2!J103,householdfinance_v4_1!J103),0),"NA")</f>
        <v>1</v>
      </c>
      <c r="K103">
        <f>IF($D103=1,ROUND(SUM(householdfinance_v4_5!K103,householdfinance_v4_4!K103,householdfinance_v4_3!K103,householdfinance_v4_2!K103,householdfinance_v4_1!K103)/COUNT(householdfinance_v4_5!K103,householdfinance_v4_4!K103,householdfinance_v4_3!K103,householdfinance_v4_2!K103,householdfinance_v4_1!K103),0),"NA")</f>
        <v>1</v>
      </c>
      <c r="L103">
        <f>IF($D103=1,ROUND(SUM(householdfinance_v4_5!L103,householdfinance_v4_4!L103,householdfinance_v4_3!L103,householdfinance_v4_2!L103,householdfinance_v4_1!L103)/COUNT(householdfinance_v4_5!L103,householdfinance_v4_4!L103,householdfinance_v4_3!L103,householdfinance_v4_2!L103,householdfinance_v4_1!L103),0),"NA")</f>
        <v>1</v>
      </c>
      <c r="M103">
        <f>IF($D103=1,ROUND(SUM(householdfinance_v4_5!M103,householdfinance_v4_4!M103,householdfinance_v4_3!M103,householdfinance_v4_2!M103,householdfinance_v4_1!M103)/COUNT(householdfinance_v4_5!M103,householdfinance_v4_4!M103,householdfinance_v4_3!M103,householdfinance_v4_2!M103,householdfinance_v4_1!M103),0),"NA")</f>
        <v>1</v>
      </c>
      <c r="N103">
        <f>IF($D103=1,ROUND(SUM(householdfinance_v4_5!N103,householdfinance_v4_4!N103,householdfinance_v4_3!N103,householdfinance_v4_2!N103,householdfinance_v4_1!N103)/COUNT(householdfinance_v4_5!N103,householdfinance_v4_4!N103,householdfinance_v4_3!N103,householdfinance_v4_2!N103,householdfinance_v4_1!N103),0),"NA")</f>
        <v>1</v>
      </c>
      <c r="O103">
        <v>1.362061500549316</v>
      </c>
    </row>
    <row r="104" spans="1:15" x14ac:dyDescent="0.25">
      <c r="A104" t="s">
        <v>86</v>
      </c>
      <c r="B104" t="s">
        <v>102</v>
      </c>
      <c r="C104">
        <v>0</v>
      </c>
      <c r="D104">
        <f>ROUND(SUM(householdfinance_v4_5!D104,householdfinance_v4_4!D104,householdfinance_v4_3!D104,householdfinance_v4_2!D104,householdfinance_v4_1!D104)/COUNT(householdfinance_v4_5!D104,householdfinance_v4_4!D104,householdfinance_v4_3!D104,householdfinance_v4_2!D104,householdfinance_v4_1!D104),0)</f>
        <v>1</v>
      </c>
      <c r="E104">
        <f>IF($D104=1,ROUND(SUM(householdfinance_v4_5!E104,householdfinance_v4_4!E104,householdfinance_v4_3!E104,householdfinance_v4_2!E104,householdfinance_v4_1!E104)/COUNT(householdfinance_v4_5!E104,householdfinance_v4_4!E104,householdfinance_v4_3!E104,householdfinance_v4_2!E104,householdfinance_v4_1!E104),0),"NA")</f>
        <v>1</v>
      </c>
      <c r="F104">
        <f>IF($D104=1,ROUND(SUM(householdfinance_v4_5!F104,householdfinance_v4_4!F104,householdfinance_v4_3!F104,householdfinance_v4_2!F104,householdfinance_v4_1!F104)/COUNT(householdfinance_v4_5!F104,householdfinance_v4_4!F104,householdfinance_v4_3!F104,householdfinance_v4_2!F104,householdfinance_v4_1!F104),0),"NA")</f>
        <v>1</v>
      </c>
      <c r="G104">
        <f>IF($D104=1,ROUND(SUM(householdfinance_v4_5!G104,householdfinance_v4_4!G104,householdfinance_v4_3!G104,householdfinance_v4_2!G104,householdfinance_v4_1!G104)/COUNT(householdfinance_v4_5!G104,householdfinance_v4_4!G104,householdfinance_v4_3!G104,householdfinance_v4_2!G104,householdfinance_v4_1!G104),0),"NA")</f>
        <v>1</v>
      </c>
      <c r="H104">
        <f>IF($E104=1,ROUND(SUM(householdfinance_v4_5!H104,householdfinance_v4_4!H104,householdfinance_v4_3!H104,householdfinance_v4_2!H104,householdfinance_v4_1!H104)/COUNT(householdfinance_v4_5!H104,householdfinance_v4_4!H104,householdfinance_v4_3!H104,householdfinance_v4_2!H104,householdfinance_v4_1!H104),0),"NA")</f>
        <v>1</v>
      </c>
      <c r="I104">
        <f>IF($D104=1,ROUND(SUM(householdfinance_v4_5!I104,householdfinance_v4_4!I104,householdfinance_v4_3!I104,householdfinance_v4_2!I104,householdfinance_v4_1!I104)/COUNT(householdfinance_v4_5!I104,householdfinance_v4_4!I104,householdfinance_v4_3!I104,householdfinance_v4_2!I104,householdfinance_v4_1!I104),0),"NA")</f>
        <v>1</v>
      </c>
      <c r="J104">
        <f>IF(AND($E104=1,$F104=1),ROUND(SUM(householdfinance_v4_5!J104,householdfinance_v4_4!J104,householdfinance_v4_3!J104,householdfinance_v4_2!J104,householdfinance_v4_1!J104)/COUNT(householdfinance_v4_5!J104,householdfinance_v4_4!J104,householdfinance_v4_3!J104,householdfinance_v4_2!J104,householdfinance_v4_1!J104),0),"NA")</f>
        <v>0</v>
      </c>
      <c r="K104">
        <f>IF($D104=1,ROUND(SUM(householdfinance_v4_5!K104,householdfinance_v4_4!K104,householdfinance_v4_3!K104,householdfinance_v4_2!K104,householdfinance_v4_1!K104)/COUNT(householdfinance_v4_5!K104,householdfinance_v4_4!K104,householdfinance_v4_3!K104,householdfinance_v4_2!K104,householdfinance_v4_1!K104),0),"NA")</f>
        <v>1</v>
      </c>
      <c r="L104">
        <f>IF($D104=1,ROUND(SUM(householdfinance_v4_5!L104,householdfinance_v4_4!L104,householdfinance_v4_3!L104,householdfinance_v4_2!L104,householdfinance_v4_1!L104)/COUNT(householdfinance_v4_5!L104,householdfinance_v4_4!L104,householdfinance_v4_3!L104,householdfinance_v4_2!L104,householdfinance_v4_1!L104),0),"NA")</f>
        <v>1</v>
      </c>
      <c r="M104">
        <f>IF($D104=1,ROUND(SUM(householdfinance_v4_5!M104,householdfinance_v4_4!M104,householdfinance_v4_3!M104,householdfinance_v4_2!M104,householdfinance_v4_1!M104)/COUNT(householdfinance_v4_5!M104,householdfinance_v4_4!M104,householdfinance_v4_3!M104,householdfinance_v4_2!M104,householdfinance_v4_1!M104),0),"NA")</f>
        <v>1</v>
      </c>
      <c r="N104">
        <f>IF($D104=1,ROUND(SUM(householdfinance_v4_5!N104,householdfinance_v4_4!N104,householdfinance_v4_3!N104,householdfinance_v4_2!N104,householdfinance_v4_1!N104)/COUNT(householdfinance_v4_5!N104,householdfinance_v4_4!N104,householdfinance_v4_3!N104,householdfinance_v4_2!N104,householdfinance_v4_1!N104),0),"NA")</f>
        <v>1</v>
      </c>
      <c r="O104">
        <v>1.5470864772796631</v>
      </c>
    </row>
    <row r="105" spans="1:15" x14ac:dyDescent="0.25">
      <c r="A105" t="s">
        <v>86</v>
      </c>
      <c r="B105" t="s">
        <v>104</v>
      </c>
      <c r="C105">
        <v>0</v>
      </c>
      <c r="D105">
        <f>ROUND(SUM(householdfinance_v4_5!D105,householdfinance_v4_4!D105,householdfinance_v4_3!D105,householdfinance_v4_2!D105,householdfinance_v4_1!D105)/COUNT(householdfinance_v4_5!D105,householdfinance_v4_4!D105,householdfinance_v4_3!D105,householdfinance_v4_2!D105,householdfinance_v4_1!D105),0)</f>
        <v>1</v>
      </c>
      <c r="E105">
        <f>IF($D105=1,ROUND(SUM(householdfinance_v4_5!E105,householdfinance_v4_4!E105,householdfinance_v4_3!E105,householdfinance_v4_2!E105,householdfinance_v4_1!E105)/COUNT(householdfinance_v4_5!E105,householdfinance_v4_4!E105,householdfinance_v4_3!E105,householdfinance_v4_2!E105,householdfinance_v4_1!E105),0),"NA")</f>
        <v>1</v>
      </c>
      <c r="F105">
        <f>IF($D105=1,ROUND(SUM(householdfinance_v4_5!F105,householdfinance_v4_4!F105,householdfinance_v4_3!F105,householdfinance_v4_2!F105,householdfinance_v4_1!F105)/COUNT(householdfinance_v4_5!F105,householdfinance_v4_4!F105,householdfinance_v4_3!F105,householdfinance_v4_2!F105,householdfinance_v4_1!F105),0),"NA")</f>
        <v>1</v>
      </c>
      <c r="G105">
        <f>IF($D105=1,ROUND(SUM(householdfinance_v4_5!G105,householdfinance_v4_4!G105,householdfinance_v4_3!G105,householdfinance_v4_2!G105,householdfinance_v4_1!G105)/COUNT(householdfinance_v4_5!G105,householdfinance_v4_4!G105,householdfinance_v4_3!G105,householdfinance_v4_2!G105,householdfinance_v4_1!G105),0),"NA")</f>
        <v>1</v>
      </c>
      <c r="H105">
        <f>IF($E105=1,ROUND(SUM(householdfinance_v4_5!H105,householdfinance_v4_4!H105,householdfinance_v4_3!H105,householdfinance_v4_2!H105,householdfinance_v4_1!H105)/COUNT(householdfinance_v4_5!H105,householdfinance_v4_4!H105,householdfinance_v4_3!H105,householdfinance_v4_2!H105,householdfinance_v4_1!H105),0),"NA")</f>
        <v>1</v>
      </c>
      <c r="I105">
        <f>IF($D105=1,ROUND(SUM(householdfinance_v4_5!I105,householdfinance_v4_4!I105,householdfinance_v4_3!I105,householdfinance_v4_2!I105,householdfinance_v4_1!I105)/COUNT(householdfinance_v4_5!I105,householdfinance_v4_4!I105,householdfinance_v4_3!I105,householdfinance_v4_2!I105,householdfinance_v4_1!I105),0),"NA")</f>
        <v>1</v>
      </c>
      <c r="J105">
        <f>IF(AND($E105=1,$F105=1),ROUND(SUM(householdfinance_v4_5!J105,householdfinance_v4_4!J105,householdfinance_v4_3!J105,householdfinance_v4_2!J105,householdfinance_v4_1!J105)/COUNT(householdfinance_v4_5!J105,householdfinance_v4_4!J105,householdfinance_v4_3!J105,householdfinance_v4_2!J105,householdfinance_v4_1!J105),0),"NA")</f>
        <v>1</v>
      </c>
      <c r="K105">
        <f>IF($D105=1,ROUND(SUM(householdfinance_v4_5!K105,householdfinance_v4_4!K105,householdfinance_v4_3!K105,householdfinance_v4_2!K105,householdfinance_v4_1!K105)/COUNT(householdfinance_v4_5!K105,householdfinance_v4_4!K105,householdfinance_v4_3!K105,householdfinance_v4_2!K105,householdfinance_v4_1!K105),0),"NA")</f>
        <v>1</v>
      </c>
      <c r="L105">
        <f>IF($D105=1,ROUND(SUM(householdfinance_v4_5!L105,householdfinance_v4_4!L105,householdfinance_v4_3!L105,householdfinance_v4_2!L105,householdfinance_v4_1!L105)/COUNT(householdfinance_v4_5!L105,householdfinance_v4_4!L105,householdfinance_v4_3!L105,householdfinance_v4_2!L105,householdfinance_v4_1!L105),0),"NA")</f>
        <v>1</v>
      </c>
      <c r="M105">
        <f>IF($D105=1,ROUND(SUM(householdfinance_v4_5!M105,householdfinance_v4_4!M105,householdfinance_v4_3!M105,householdfinance_v4_2!M105,householdfinance_v4_1!M105)/COUNT(householdfinance_v4_5!M105,householdfinance_v4_4!M105,householdfinance_v4_3!M105,householdfinance_v4_2!M105,householdfinance_v4_1!M105),0),"NA")</f>
        <v>1</v>
      </c>
      <c r="N105">
        <f>IF($D105=1,ROUND(SUM(householdfinance_v4_5!N105,householdfinance_v4_4!N105,householdfinance_v4_3!N105,householdfinance_v4_2!N105,householdfinance_v4_1!N105)/COUNT(householdfinance_v4_5!N105,householdfinance_v4_4!N105,householdfinance_v4_3!N105,householdfinance_v4_2!N105,householdfinance_v4_1!N105),0),"NA")</f>
        <v>1</v>
      </c>
      <c r="O105">
        <v>1.336533784866333</v>
      </c>
    </row>
    <row r="106" spans="1:15" x14ac:dyDescent="0.25">
      <c r="A106" t="s">
        <v>86</v>
      </c>
      <c r="B106" t="s">
        <v>105</v>
      </c>
      <c r="C106">
        <v>0</v>
      </c>
      <c r="D106">
        <f>ROUND(SUM(householdfinance_v4_5!D106,householdfinance_v4_4!D106,householdfinance_v4_3!D106,householdfinance_v4_2!D106,householdfinance_v4_1!D106)/COUNT(householdfinance_v4_5!D106,householdfinance_v4_4!D106,householdfinance_v4_3!D106,householdfinance_v4_2!D106,householdfinance_v4_1!D106),0)</f>
        <v>1</v>
      </c>
      <c r="E106">
        <f>IF($D106=1,ROUND(SUM(householdfinance_v4_5!E106,householdfinance_v4_4!E106,householdfinance_v4_3!E106,householdfinance_v4_2!E106,householdfinance_v4_1!E106)/COUNT(householdfinance_v4_5!E106,householdfinance_v4_4!E106,householdfinance_v4_3!E106,householdfinance_v4_2!E106,householdfinance_v4_1!E106),0),"NA")</f>
        <v>1</v>
      </c>
      <c r="F106">
        <f>IF($D106=1,ROUND(SUM(householdfinance_v4_5!F106,householdfinance_v4_4!F106,householdfinance_v4_3!F106,householdfinance_v4_2!F106,householdfinance_v4_1!F106)/COUNT(householdfinance_v4_5!F106,householdfinance_v4_4!F106,householdfinance_v4_3!F106,householdfinance_v4_2!F106,householdfinance_v4_1!F106),0),"NA")</f>
        <v>1</v>
      </c>
      <c r="G106">
        <f>IF($D106=1,ROUND(SUM(householdfinance_v4_5!G106,householdfinance_v4_4!G106,householdfinance_v4_3!G106,householdfinance_v4_2!G106,householdfinance_v4_1!G106)/COUNT(householdfinance_v4_5!G106,householdfinance_v4_4!G106,householdfinance_v4_3!G106,householdfinance_v4_2!G106,householdfinance_v4_1!G106),0),"NA")</f>
        <v>1</v>
      </c>
      <c r="H106">
        <f>IF($E106=1,ROUND(SUM(householdfinance_v4_5!H106,householdfinance_v4_4!H106,householdfinance_v4_3!H106,householdfinance_v4_2!H106,householdfinance_v4_1!H106)/COUNT(householdfinance_v4_5!H106,householdfinance_v4_4!H106,householdfinance_v4_3!H106,householdfinance_v4_2!H106,householdfinance_v4_1!H106),0),"NA")</f>
        <v>1</v>
      </c>
      <c r="I106">
        <f>IF($D106=1,ROUND(SUM(householdfinance_v4_5!I106,householdfinance_v4_4!I106,householdfinance_v4_3!I106,householdfinance_v4_2!I106,householdfinance_v4_1!I106)/COUNT(householdfinance_v4_5!I106,householdfinance_v4_4!I106,householdfinance_v4_3!I106,householdfinance_v4_2!I106,householdfinance_v4_1!I106),0),"NA")</f>
        <v>1</v>
      </c>
      <c r="J106">
        <f>IF(AND($E106=1,$F106=1),ROUND(SUM(householdfinance_v4_5!J106,householdfinance_v4_4!J106,householdfinance_v4_3!J106,householdfinance_v4_2!J106,householdfinance_v4_1!J106)/COUNT(householdfinance_v4_5!J106,householdfinance_v4_4!J106,householdfinance_v4_3!J106,householdfinance_v4_2!J106,householdfinance_v4_1!J106),0),"NA")</f>
        <v>1</v>
      </c>
      <c r="K106">
        <f>IF($D106=1,ROUND(SUM(householdfinance_v4_5!K106,householdfinance_v4_4!K106,householdfinance_v4_3!K106,householdfinance_v4_2!K106,householdfinance_v4_1!K106)/COUNT(householdfinance_v4_5!K106,householdfinance_v4_4!K106,householdfinance_v4_3!K106,householdfinance_v4_2!K106,householdfinance_v4_1!K106),0),"NA")</f>
        <v>1</v>
      </c>
      <c r="L106">
        <f>IF($D106=1,ROUND(SUM(householdfinance_v4_5!L106,householdfinance_v4_4!L106,householdfinance_v4_3!L106,householdfinance_v4_2!L106,householdfinance_v4_1!L106)/COUNT(householdfinance_v4_5!L106,householdfinance_v4_4!L106,householdfinance_v4_3!L106,householdfinance_v4_2!L106,householdfinance_v4_1!L106),0),"NA")</f>
        <v>1</v>
      </c>
      <c r="M106">
        <f>IF($D106=1,ROUND(SUM(householdfinance_v4_5!M106,householdfinance_v4_4!M106,householdfinance_v4_3!M106,householdfinance_v4_2!M106,householdfinance_v4_1!M106)/COUNT(householdfinance_v4_5!M106,householdfinance_v4_4!M106,householdfinance_v4_3!M106,householdfinance_v4_2!M106,householdfinance_v4_1!M106),0),"NA")</f>
        <v>1</v>
      </c>
      <c r="N106">
        <f>IF($D106=1,ROUND(SUM(householdfinance_v4_5!N106,householdfinance_v4_4!N106,householdfinance_v4_3!N106,householdfinance_v4_2!N106,householdfinance_v4_1!N106)/COUNT(householdfinance_v4_5!N106,householdfinance_v4_4!N106,householdfinance_v4_3!N106,householdfinance_v4_2!N106,householdfinance_v4_1!N106),0),"NA")</f>
        <v>1</v>
      </c>
      <c r="O106">
        <v>2.0828192234039311</v>
      </c>
    </row>
    <row r="107" spans="1:15" x14ac:dyDescent="0.25">
      <c r="A107" t="s">
        <v>86</v>
      </c>
      <c r="B107" t="s">
        <v>106</v>
      </c>
      <c r="C107">
        <v>0</v>
      </c>
      <c r="D107">
        <f>ROUND(SUM(householdfinance_v4_5!D107,householdfinance_v4_4!D107,householdfinance_v4_3!D107,householdfinance_v4_2!D107,householdfinance_v4_1!D107)/COUNT(householdfinance_v4_5!D107,householdfinance_v4_4!D107,householdfinance_v4_3!D107,householdfinance_v4_2!D107,householdfinance_v4_1!D107),0)</f>
        <v>1</v>
      </c>
      <c r="E107">
        <f>IF($D107=1,ROUND(SUM(householdfinance_v4_5!E107,householdfinance_v4_4!E107,householdfinance_v4_3!E107,householdfinance_v4_2!E107,householdfinance_v4_1!E107)/COUNT(householdfinance_v4_5!E107,householdfinance_v4_4!E107,householdfinance_v4_3!E107,householdfinance_v4_2!E107,householdfinance_v4_1!E107),0),"NA")</f>
        <v>1</v>
      </c>
      <c r="F107">
        <f>IF($D107=1,ROUND(SUM(householdfinance_v4_5!F107,householdfinance_v4_4!F107,householdfinance_v4_3!F107,householdfinance_v4_2!F107,householdfinance_v4_1!F107)/COUNT(householdfinance_v4_5!F107,householdfinance_v4_4!F107,householdfinance_v4_3!F107,householdfinance_v4_2!F107,householdfinance_v4_1!F107),0),"NA")</f>
        <v>1</v>
      </c>
      <c r="G107">
        <f>IF($D107=1,ROUND(SUM(householdfinance_v4_5!G107,householdfinance_v4_4!G107,householdfinance_v4_3!G107,householdfinance_v4_2!G107,householdfinance_v4_1!G107)/COUNT(householdfinance_v4_5!G107,householdfinance_v4_4!G107,householdfinance_v4_3!G107,householdfinance_v4_2!G107,householdfinance_v4_1!G107),0),"NA")</f>
        <v>1</v>
      </c>
      <c r="H107">
        <f>IF($E107=1,ROUND(SUM(householdfinance_v4_5!H107,householdfinance_v4_4!H107,householdfinance_v4_3!H107,householdfinance_v4_2!H107,householdfinance_v4_1!H107)/COUNT(householdfinance_v4_5!H107,householdfinance_v4_4!H107,householdfinance_v4_3!H107,householdfinance_v4_2!H107,householdfinance_v4_1!H107),0),"NA")</f>
        <v>1</v>
      </c>
      <c r="I107">
        <f>IF($D107=1,ROUND(SUM(householdfinance_v4_5!I107,householdfinance_v4_4!I107,householdfinance_v4_3!I107,householdfinance_v4_2!I107,householdfinance_v4_1!I107)/COUNT(householdfinance_v4_5!I107,householdfinance_v4_4!I107,householdfinance_v4_3!I107,householdfinance_v4_2!I107,householdfinance_v4_1!I107),0),"NA")</f>
        <v>1</v>
      </c>
      <c r="J107">
        <f>IF(AND($E107=1,$F107=1),ROUND(SUM(householdfinance_v4_5!J107,householdfinance_v4_4!J107,householdfinance_v4_3!J107,householdfinance_v4_2!J107,householdfinance_v4_1!J107)/COUNT(householdfinance_v4_5!J107,householdfinance_v4_4!J107,householdfinance_v4_3!J107,householdfinance_v4_2!J107,householdfinance_v4_1!J107),0),"NA")</f>
        <v>1</v>
      </c>
      <c r="K107">
        <f>IF($D107=1,ROUND(SUM(householdfinance_v4_5!K107,householdfinance_v4_4!K107,householdfinance_v4_3!K107,householdfinance_v4_2!K107,householdfinance_v4_1!K107)/COUNT(householdfinance_v4_5!K107,householdfinance_v4_4!K107,householdfinance_v4_3!K107,householdfinance_v4_2!K107,householdfinance_v4_1!K107),0),"NA")</f>
        <v>1</v>
      </c>
      <c r="L107">
        <f>IF($D107=1,ROUND(SUM(householdfinance_v4_5!L107,householdfinance_v4_4!L107,householdfinance_v4_3!L107,householdfinance_v4_2!L107,householdfinance_v4_1!L107)/COUNT(householdfinance_v4_5!L107,householdfinance_v4_4!L107,householdfinance_v4_3!L107,householdfinance_v4_2!L107,householdfinance_v4_1!L107),0),"NA")</f>
        <v>1</v>
      </c>
      <c r="M107">
        <f>IF($D107=1,ROUND(SUM(householdfinance_v4_5!M107,householdfinance_v4_4!M107,householdfinance_v4_3!M107,householdfinance_v4_2!M107,householdfinance_v4_1!M107)/COUNT(householdfinance_v4_5!M107,householdfinance_v4_4!M107,householdfinance_v4_3!M107,householdfinance_v4_2!M107,householdfinance_v4_1!M107),0),"NA")</f>
        <v>1</v>
      </c>
      <c r="N107">
        <f>IF($D107=1,ROUND(SUM(householdfinance_v4_5!N107,householdfinance_v4_4!N107,householdfinance_v4_3!N107,householdfinance_v4_2!N107,householdfinance_v4_1!N107)/COUNT(householdfinance_v4_5!N107,householdfinance_v4_4!N107,householdfinance_v4_3!N107,householdfinance_v4_2!N107,householdfinance_v4_1!N107),0),"NA")</f>
        <v>1</v>
      </c>
      <c r="O107">
        <v>1.801542997360229</v>
      </c>
    </row>
    <row r="108" spans="1:15" x14ac:dyDescent="0.25">
      <c r="A108" t="s">
        <v>86</v>
      </c>
      <c r="B108" t="s">
        <v>107</v>
      </c>
      <c r="C108">
        <v>0</v>
      </c>
      <c r="D108">
        <f>ROUND(SUM(householdfinance_v4_5!D108,householdfinance_v4_4!D108,householdfinance_v4_3!D108,householdfinance_v4_2!D108,householdfinance_v4_1!D108)/COUNT(householdfinance_v4_5!D108,householdfinance_v4_4!D108,householdfinance_v4_3!D108,householdfinance_v4_2!D108,householdfinance_v4_1!D108),0)</f>
        <v>1</v>
      </c>
      <c r="E108">
        <f>IF($D108=1,ROUND(SUM(householdfinance_v4_5!E108,householdfinance_v4_4!E108,householdfinance_v4_3!E108,householdfinance_v4_2!E108,householdfinance_v4_1!E108)/COUNT(householdfinance_v4_5!E108,householdfinance_v4_4!E108,householdfinance_v4_3!E108,householdfinance_v4_2!E108,householdfinance_v4_1!E108),0),"NA")</f>
        <v>1</v>
      </c>
      <c r="F108">
        <f>IF($D108=1,ROUND(SUM(householdfinance_v4_5!F108,householdfinance_v4_4!F108,householdfinance_v4_3!F108,householdfinance_v4_2!F108,householdfinance_v4_1!F108)/COUNT(householdfinance_v4_5!F108,householdfinance_v4_4!F108,householdfinance_v4_3!F108,householdfinance_v4_2!F108,householdfinance_v4_1!F108),0),"NA")</f>
        <v>1</v>
      </c>
      <c r="G108">
        <f>IF($D108=1,ROUND(SUM(householdfinance_v4_5!G108,householdfinance_v4_4!G108,householdfinance_v4_3!G108,householdfinance_v4_2!G108,householdfinance_v4_1!G108)/COUNT(householdfinance_v4_5!G108,householdfinance_v4_4!G108,householdfinance_v4_3!G108,householdfinance_v4_2!G108,householdfinance_v4_1!G108),0),"NA")</f>
        <v>1</v>
      </c>
      <c r="H108">
        <f>IF($E108=1,ROUND(SUM(householdfinance_v4_5!H108,householdfinance_v4_4!H108,householdfinance_v4_3!H108,householdfinance_v4_2!H108,householdfinance_v4_1!H108)/COUNT(householdfinance_v4_5!H108,householdfinance_v4_4!H108,householdfinance_v4_3!H108,householdfinance_v4_2!H108,householdfinance_v4_1!H108),0),"NA")</f>
        <v>1</v>
      </c>
      <c r="I108">
        <f>IF($D108=1,ROUND(SUM(householdfinance_v4_5!I108,householdfinance_v4_4!I108,householdfinance_v4_3!I108,householdfinance_v4_2!I108,householdfinance_v4_1!I108)/COUNT(householdfinance_v4_5!I108,householdfinance_v4_4!I108,householdfinance_v4_3!I108,householdfinance_v4_2!I108,householdfinance_v4_1!I108),0),"NA")</f>
        <v>1</v>
      </c>
      <c r="J108">
        <f>IF(AND($E108=1,$F108=1),ROUND(SUM(householdfinance_v4_5!J108,householdfinance_v4_4!J108,householdfinance_v4_3!J108,householdfinance_v4_2!J108,householdfinance_v4_1!J108)/COUNT(householdfinance_v4_5!J108,householdfinance_v4_4!J108,householdfinance_v4_3!J108,householdfinance_v4_2!J108,householdfinance_v4_1!J108),0),"NA")</f>
        <v>1</v>
      </c>
      <c r="K108">
        <f>IF($D108=1,ROUND(SUM(householdfinance_v4_5!K108,householdfinance_v4_4!K108,householdfinance_v4_3!K108,householdfinance_v4_2!K108,householdfinance_v4_1!K108)/COUNT(householdfinance_v4_5!K108,householdfinance_v4_4!K108,householdfinance_v4_3!K108,householdfinance_v4_2!K108,householdfinance_v4_1!K108),0),"NA")</f>
        <v>1</v>
      </c>
      <c r="L108">
        <f>IF($D108=1,ROUND(SUM(householdfinance_v4_5!L108,householdfinance_v4_4!L108,householdfinance_v4_3!L108,householdfinance_v4_2!L108,householdfinance_v4_1!L108)/COUNT(householdfinance_v4_5!L108,householdfinance_v4_4!L108,householdfinance_v4_3!L108,householdfinance_v4_2!L108,householdfinance_v4_1!L108),0),"NA")</f>
        <v>1</v>
      </c>
      <c r="M108">
        <f>IF($D108=1,ROUND(SUM(householdfinance_v4_5!M108,householdfinance_v4_4!M108,householdfinance_v4_3!M108,householdfinance_v4_2!M108,householdfinance_v4_1!M108)/COUNT(householdfinance_v4_5!M108,householdfinance_v4_4!M108,householdfinance_v4_3!M108,householdfinance_v4_2!M108,householdfinance_v4_1!M108),0),"NA")</f>
        <v>1</v>
      </c>
      <c r="N108">
        <f>IF($D108=1,ROUND(SUM(householdfinance_v4_5!N108,householdfinance_v4_4!N108,householdfinance_v4_3!N108,householdfinance_v4_2!N108,householdfinance_v4_1!N108)/COUNT(householdfinance_v4_5!N108,householdfinance_v4_4!N108,householdfinance_v4_3!N108,householdfinance_v4_2!N108,householdfinance_v4_1!N108),0),"NA")</f>
        <v>1</v>
      </c>
      <c r="O108">
        <v>1.8132364749908449</v>
      </c>
    </row>
    <row r="109" spans="1:15" x14ac:dyDescent="0.25">
      <c r="A109" t="s">
        <v>86</v>
      </c>
      <c r="B109" t="s">
        <v>108</v>
      </c>
      <c r="C109">
        <v>0</v>
      </c>
      <c r="D109">
        <f>ROUND(SUM(householdfinance_v4_5!D109,householdfinance_v4_4!D109,householdfinance_v4_3!D109,householdfinance_v4_2!D109,householdfinance_v4_1!D109)/COUNT(householdfinance_v4_5!D109,householdfinance_v4_4!D109,householdfinance_v4_3!D109,householdfinance_v4_2!D109,householdfinance_v4_1!D109),0)</f>
        <v>1</v>
      </c>
      <c r="E109">
        <f>IF($D109=1,ROUND(SUM(householdfinance_v4_5!E109,householdfinance_v4_4!E109,householdfinance_v4_3!E109,householdfinance_v4_2!E109,householdfinance_v4_1!E109)/COUNT(householdfinance_v4_5!E109,householdfinance_v4_4!E109,householdfinance_v4_3!E109,householdfinance_v4_2!E109,householdfinance_v4_1!E109),0),"NA")</f>
        <v>1</v>
      </c>
      <c r="F109">
        <f>IF($D109=1,ROUND(SUM(householdfinance_v4_5!F109,householdfinance_v4_4!F109,householdfinance_v4_3!F109,householdfinance_v4_2!F109,householdfinance_v4_1!F109)/COUNT(householdfinance_v4_5!F109,householdfinance_v4_4!F109,householdfinance_v4_3!F109,householdfinance_v4_2!F109,householdfinance_v4_1!F109),0),"NA")</f>
        <v>1</v>
      </c>
      <c r="G109">
        <f>IF($D109=1,ROUND(SUM(householdfinance_v4_5!G109,householdfinance_v4_4!G109,householdfinance_v4_3!G109,householdfinance_v4_2!G109,householdfinance_v4_1!G109)/COUNT(householdfinance_v4_5!G109,householdfinance_v4_4!G109,householdfinance_v4_3!G109,householdfinance_v4_2!G109,householdfinance_v4_1!G109),0),"NA")</f>
        <v>1</v>
      </c>
      <c r="H109">
        <f>IF($E109=1,ROUND(SUM(householdfinance_v4_5!H109,householdfinance_v4_4!H109,householdfinance_v4_3!H109,householdfinance_v4_2!H109,householdfinance_v4_1!H109)/COUNT(householdfinance_v4_5!H109,householdfinance_v4_4!H109,householdfinance_v4_3!H109,householdfinance_v4_2!H109,householdfinance_v4_1!H109),0),"NA")</f>
        <v>1</v>
      </c>
      <c r="I109">
        <f>IF($D109=1,ROUND(SUM(householdfinance_v4_5!I109,householdfinance_v4_4!I109,householdfinance_v4_3!I109,householdfinance_v4_2!I109,householdfinance_v4_1!I109)/COUNT(householdfinance_v4_5!I109,householdfinance_v4_4!I109,householdfinance_v4_3!I109,householdfinance_v4_2!I109,householdfinance_v4_1!I109),0),"NA")</f>
        <v>1</v>
      </c>
      <c r="J109">
        <f>IF(AND($E109=1,$F109=1),ROUND(SUM(householdfinance_v4_5!J109,householdfinance_v4_4!J109,householdfinance_v4_3!J109,householdfinance_v4_2!J109,householdfinance_v4_1!J109)/COUNT(householdfinance_v4_5!J109,householdfinance_v4_4!J109,householdfinance_v4_3!J109,householdfinance_v4_2!J109,householdfinance_v4_1!J109),0),"NA")</f>
        <v>1</v>
      </c>
      <c r="K109">
        <f>IF($D109=1,ROUND(SUM(householdfinance_v4_5!K109,householdfinance_v4_4!K109,householdfinance_v4_3!K109,householdfinance_v4_2!K109,householdfinance_v4_1!K109)/COUNT(householdfinance_v4_5!K109,householdfinance_v4_4!K109,householdfinance_v4_3!K109,householdfinance_v4_2!K109,householdfinance_v4_1!K109),0),"NA")</f>
        <v>1</v>
      </c>
      <c r="L109">
        <f>IF($D109=1,ROUND(SUM(householdfinance_v4_5!L109,householdfinance_v4_4!L109,householdfinance_v4_3!L109,householdfinance_v4_2!L109,householdfinance_v4_1!L109)/COUNT(householdfinance_v4_5!L109,householdfinance_v4_4!L109,householdfinance_v4_3!L109,householdfinance_v4_2!L109,householdfinance_v4_1!L109),0),"NA")</f>
        <v>1</v>
      </c>
      <c r="M109">
        <f>IF($D109=1,ROUND(SUM(householdfinance_v4_5!M109,householdfinance_v4_4!M109,householdfinance_v4_3!M109,householdfinance_v4_2!M109,householdfinance_v4_1!M109)/COUNT(householdfinance_v4_5!M109,householdfinance_v4_4!M109,householdfinance_v4_3!M109,householdfinance_v4_2!M109,householdfinance_v4_1!M109),0),"NA")</f>
        <v>1</v>
      </c>
      <c r="N109">
        <f>IF($D109=1,ROUND(SUM(householdfinance_v4_5!N109,householdfinance_v4_4!N109,householdfinance_v4_3!N109,householdfinance_v4_2!N109,householdfinance_v4_1!N109)/COUNT(householdfinance_v4_5!N109,householdfinance_v4_4!N109,householdfinance_v4_3!N109,householdfinance_v4_2!N109,householdfinance_v4_1!N109),0),"NA")</f>
        <v>1</v>
      </c>
      <c r="O109">
        <v>1.4548277854919429</v>
      </c>
    </row>
    <row r="110" spans="1:15" x14ac:dyDescent="0.25">
      <c r="A110" t="s">
        <v>86</v>
      </c>
      <c r="B110" t="s">
        <v>109</v>
      </c>
      <c r="C110">
        <v>0</v>
      </c>
      <c r="D110">
        <f>ROUND(SUM(householdfinance_v4_5!D110,householdfinance_v4_4!D110,householdfinance_v4_3!D110,householdfinance_v4_2!D110,householdfinance_v4_1!D110)/COUNT(householdfinance_v4_5!D110,householdfinance_v4_4!D110,householdfinance_v4_3!D110,householdfinance_v4_2!D110,householdfinance_v4_1!D110),0)</f>
        <v>1</v>
      </c>
      <c r="E110">
        <f>IF($D110=1,ROUND(SUM(householdfinance_v4_5!E110,householdfinance_v4_4!E110,householdfinance_v4_3!E110,householdfinance_v4_2!E110,householdfinance_v4_1!E110)/COUNT(householdfinance_v4_5!E110,householdfinance_v4_4!E110,householdfinance_v4_3!E110,householdfinance_v4_2!E110,householdfinance_v4_1!E110),0),"NA")</f>
        <v>1</v>
      </c>
      <c r="F110">
        <f>IF($D110=1,ROUND(SUM(householdfinance_v4_5!F110,householdfinance_v4_4!F110,householdfinance_v4_3!F110,householdfinance_v4_2!F110,householdfinance_v4_1!F110)/COUNT(householdfinance_v4_5!F110,householdfinance_v4_4!F110,householdfinance_v4_3!F110,householdfinance_v4_2!F110,householdfinance_v4_1!F110),0),"NA")</f>
        <v>1</v>
      </c>
      <c r="G110">
        <f>IF($D110=1,ROUND(SUM(householdfinance_v4_5!G110,householdfinance_v4_4!G110,householdfinance_v4_3!G110,householdfinance_v4_2!G110,householdfinance_v4_1!G110)/COUNT(householdfinance_v4_5!G110,householdfinance_v4_4!G110,householdfinance_v4_3!G110,householdfinance_v4_2!G110,householdfinance_v4_1!G110),0),"NA")</f>
        <v>1</v>
      </c>
      <c r="H110">
        <f>IF($E110=1,ROUND(SUM(householdfinance_v4_5!H110,householdfinance_v4_4!H110,householdfinance_v4_3!H110,householdfinance_v4_2!H110,householdfinance_v4_1!H110)/COUNT(householdfinance_v4_5!H110,householdfinance_v4_4!H110,householdfinance_v4_3!H110,householdfinance_v4_2!H110,householdfinance_v4_1!H110),0),"NA")</f>
        <v>1</v>
      </c>
      <c r="I110">
        <f>IF($D110=1,ROUND(SUM(householdfinance_v4_5!I110,householdfinance_v4_4!I110,householdfinance_v4_3!I110,householdfinance_v4_2!I110,householdfinance_v4_1!I110)/COUNT(householdfinance_v4_5!I110,householdfinance_v4_4!I110,householdfinance_v4_3!I110,householdfinance_v4_2!I110,householdfinance_v4_1!I110),0),"NA")</f>
        <v>1</v>
      </c>
      <c r="J110">
        <f>IF(AND($E110=1,$F110=1),ROUND(SUM(householdfinance_v4_5!J110,householdfinance_v4_4!J110,householdfinance_v4_3!J110,householdfinance_v4_2!J110,householdfinance_v4_1!J110)/COUNT(householdfinance_v4_5!J110,householdfinance_v4_4!J110,householdfinance_v4_3!J110,householdfinance_v4_2!J110,householdfinance_v4_1!J110),0),"NA")</f>
        <v>1</v>
      </c>
      <c r="K110">
        <f>IF($D110=1,ROUND(SUM(householdfinance_v4_5!K110,householdfinance_v4_4!K110,householdfinance_v4_3!K110,householdfinance_v4_2!K110,householdfinance_v4_1!K110)/COUNT(householdfinance_v4_5!K110,householdfinance_v4_4!K110,householdfinance_v4_3!K110,householdfinance_v4_2!K110,householdfinance_v4_1!K110),0),"NA")</f>
        <v>1</v>
      </c>
      <c r="L110">
        <f>IF($D110=1,ROUND(SUM(householdfinance_v4_5!L110,householdfinance_v4_4!L110,householdfinance_v4_3!L110,householdfinance_v4_2!L110,householdfinance_v4_1!L110)/COUNT(householdfinance_v4_5!L110,householdfinance_v4_4!L110,householdfinance_v4_3!L110,householdfinance_v4_2!L110,householdfinance_v4_1!L110),0),"NA")</f>
        <v>1</v>
      </c>
      <c r="M110">
        <f>IF($D110=1,ROUND(SUM(householdfinance_v4_5!M110,householdfinance_v4_4!M110,householdfinance_v4_3!M110,householdfinance_v4_2!M110,householdfinance_v4_1!M110)/COUNT(householdfinance_v4_5!M110,householdfinance_v4_4!M110,householdfinance_v4_3!M110,householdfinance_v4_2!M110,householdfinance_v4_1!M110),0),"NA")</f>
        <v>1</v>
      </c>
      <c r="N110">
        <f>IF($D110=1,ROUND(SUM(householdfinance_v4_5!N110,householdfinance_v4_4!N110,householdfinance_v4_3!N110,householdfinance_v4_2!N110,householdfinance_v4_1!N110)/COUNT(householdfinance_v4_5!N110,householdfinance_v4_4!N110,householdfinance_v4_3!N110,householdfinance_v4_2!N110,householdfinance_v4_1!N110),0),"NA")</f>
        <v>1</v>
      </c>
      <c r="O110">
        <v>1.0920295715332029</v>
      </c>
    </row>
    <row r="111" spans="1:15" x14ac:dyDescent="0.25">
      <c r="A111" t="s">
        <v>86</v>
      </c>
      <c r="B111" t="s">
        <v>110</v>
      </c>
      <c r="C111">
        <v>0</v>
      </c>
      <c r="D111">
        <f>ROUND(SUM(householdfinance_v4_5!D111,householdfinance_v4_4!D111,householdfinance_v4_3!D111,householdfinance_v4_2!D111,householdfinance_v4_1!D111)/COUNT(householdfinance_v4_5!D111,householdfinance_v4_4!D111,householdfinance_v4_3!D111,householdfinance_v4_2!D111,householdfinance_v4_1!D111),0)</f>
        <v>1</v>
      </c>
      <c r="E111">
        <f>IF($D111=1,ROUND(SUM(householdfinance_v4_5!E111,householdfinance_v4_4!E111,householdfinance_v4_3!E111,householdfinance_v4_2!E111,householdfinance_v4_1!E111)/COUNT(householdfinance_v4_5!E111,householdfinance_v4_4!E111,householdfinance_v4_3!E111,householdfinance_v4_2!E111,householdfinance_v4_1!E111),0),"NA")</f>
        <v>0</v>
      </c>
      <c r="F111">
        <f>IF($D111=1,ROUND(SUM(householdfinance_v4_5!F111,householdfinance_v4_4!F111,householdfinance_v4_3!F111,householdfinance_v4_2!F111,householdfinance_v4_1!F111)/COUNT(householdfinance_v4_5!F111,householdfinance_v4_4!F111,householdfinance_v4_3!F111,householdfinance_v4_2!F111,householdfinance_v4_1!F111),0),"NA")</f>
        <v>1</v>
      </c>
      <c r="G111">
        <f>IF($D111=1,ROUND(SUM(householdfinance_v4_5!G111,householdfinance_v4_4!G111,householdfinance_v4_3!G111,householdfinance_v4_2!G111,householdfinance_v4_1!G111)/COUNT(householdfinance_v4_5!G111,householdfinance_v4_4!G111,householdfinance_v4_3!G111,householdfinance_v4_2!G111,householdfinance_v4_1!G111),0),"NA")</f>
        <v>1</v>
      </c>
      <c r="H111" t="str">
        <f>IF($E111=1,ROUND(SUM(householdfinance_v4_5!H111,householdfinance_v4_4!H111,householdfinance_v4_3!H111,householdfinance_v4_2!H111,householdfinance_v4_1!H111)/COUNT(householdfinance_v4_5!H111,householdfinance_v4_4!H111,householdfinance_v4_3!H111,householdfinance_v4_2!H111,householdfinance_v4_1!H111),0),"NA")</f>
        <v>NA</v>
      </c>
      <c r="I111">
        <f>IF($D111=1,ROUND(SUM(householdfinance_v4_5!I111,householdfinance_v4_4!I111,householdfinance_v4_3!I111,householdfinance_v4_2!I111,householdfinance_v4_1!I111)/COUNT(householdfinance_v4_5!I111,householdfinance_v4_4!I111,householdfinance_v4_3!I111,householdfinance_v4_2!I111,householdfinance_v4_1!I111),0),"NA")</f>
        <v>1</v>
      </c>
      <c r="J111" t="str">
        <f>IF(AND($E111=1,$F111=1),ROUND(SUM(householdfinance_v4_5!J111,householdfinance_v4_4!J111,householdfinance_v4_3!J111,householdfinance_v4_2!J111,householdfinance_v4_1!J111)/COUNT(householdfinance_v4_5!J111,householdfinance_v4_4!J111,householdfinance_v4_3!J111,householdfinance_v4_2!J111,householdfinance_v4_1!J111),0),"NA")</f>
        <v>NA</v>
      </c>
      <c r="K111">
        <f>IF($D111=1,ROUND(SUM(householdfinance_v4_5!K111,householdfinance_v4_4!K111,householdfinance_v4_3!K111,householdfinance_v4_2!K111,householdfinance_v4_1!K111)/COUNT(householdfinance_v4_5!K111,householdfinance_v4_4!K111,householdfinance_v4_3!K111,householdfinance_v4_2!K111,householdfinance_v4_1!K111),0),"NA")</f>
        <v>1</v>
      </c>
      <c r="L111">
        <f>IF($D111=1,ROUND(SUM(householdfinance_v4_5!L111,householdfinance_v4_4!L111,householdfinance_v4_3!L111,householdfinance_v4_2!L111,householdfinance_v4_1!L111)/COUNT(householdfinance_v4_5!L111,householdfinance_v4_4!L111,householdfinance_v4_3!L111,householdfinance_v4_2!L111,householdfinance_v4_1!L111),0),"NA")</f>
        <v>1</v>
      </c>
      <c r="M111">
        <f>IF($D111=1,ROUND(SUM(householdfinance_v4_5!M111,householdfinance_v4_4!M111,householdfinance_v4_3!M111,householdfinance_v4_2!M111,householdfinance_v4_1!M111)/COUNT(householdfinance_v4_5!M111,householdfinance_v4_4!M111,householdfinance_v4_3!M111,householdfinance_v4_2!M111,householdfinance_v4_1!M111),0),"NA")</f>
        <v>1</v>
      </c>
      <c r="N111">
        <f>IF($D111=1,ROUND(SUM(householdfinance_v4_5!N111,householdfinance_v4_4!N111,householdfinance_v4_3!N111,householdfinance_v4_2!N111,householdfinance_v4_1!N111)/COUNT(householdfinance_v4_5!N111,householdfinance_v4_4!N111,householdfinance_v4_3!N111,householdfinance_v4_2!N111,householdfinance_v4_1!N111),0),"NA")</f>
        <v>1</v>
      </c>
      <c r="O111">
        <v>3.8900749683380131</v>
      </c>
    </row>
    <row r="112" spans="1:15" x14ac:dyDescent="0.25">
      <c r="A112" t="s">
        <v>86</v>
      </c>
      <c r="B112" t="s">
        <v>112</v>
      </c>
      <c r="C112">
        <v>0</v>
      </c>
      <c r="D112">
        <f>ROUND(SUM(householdfinance_v4_5!D112,householdfinance_v4_4!D112,householdfinance_v4_3!D112,householdfinance_v4_2!D112,householdfinance_v4_1!D112)/COUNT(householdfinance_v4_5!D112,householdfinance_v4_4!D112,householdfinance_v4_3!D112,householdfinance_v4_2!D112,householdfinance_v4_1!D112),0)</f>
        <v>1</v>
      </c>
      <c r="E112">
        <f>IF($D112=1,ROUND(SUM(householdfinance_v4_5!E112,householdfinance_v4_4!E112,householdfinance_v4_3!E112,householdfinance_v4_2!E112,householdfinance_v4_1!E112)/COUNT(householdfinance_v4_5!E112,householdfinance_v4_4!E112,householdfinance_v4_3!E112,householdfinance_v4_2!E112,householdfinance_v4_1!E112),0),"NA")</f>
        <v>1</v>
      </c>
      <c r="F112">
        <f>IF($D112=1,ROUND(SUM(householdfinance_v4_5!F112,householdfinance_v4_4!F112,householdfinance_v4_3!F112,householdfinance_v4_2!F112,householdfinance_v4_1!F112)/COUNT(householdfinance_v4_5!F112,householdfinance_v4_4!F112,householdfinance_v4_3!F112,householdfinance_v4_2!F112,householdfinance_v4_1!F112),0),"NA")</f>
        <v>1</v>
      </c>
      <c r="G112">
        <f>IF($D112=1,ROUND(SUM(householdfinance_v4_5!G112,householdfinance_v4_4!G112,householdfinance_v4_3!G112,householdfinance_v4_2!G112,householdfinance_v4_1!G112)/COUNT(householdfinance_v4_5!G112,householdfinance_v4_4!G112,householdfinance_v4_3!G112,householdfinance_v4_2!G112,householdfinance_v4_1!G112),0),"NA")</f>
        <v>1</v>
      </c>
      <c r="H112">
        <f>IF($E112=1,ROUND(SUM(householdfinance_v4_5!H112,householdfinance_v4_4!H112,householdfinance_v4_3!H112,householdfinance_v4_2!H112,householdfinance_v4_1!H112)/COUNT(householdfinance_v4_5!H112,householdfinance_v4_4!H112,householdfinance_v4_3!H112,householdfinance_v4_2!H112,householdfinance_v4_1!H112),0),"NA")</f>
        <v>1</v>
      </c>
      <c r="I112">
        <f>IF($D112=1,ROUND(SUM(householdfinance_v4_5!I112,householdfinance_v4_4!I112,householdfinance_v4_3!I112,householdfinance_v4_2!I112,householdfinance_v4_1!I112)/COUNT(householdfinance_v4_5!I112,householdfinance_v4_4!I112,householdfinance_v4_3!I112,householdfinance_v4_2!I112,householdfinance_v4_1!I112),0),"NA")</f>
        <v>1</v>
      </c>
      <c r="J112">
        <f>IF(AND($E112=1,$F112=1),ROUND(SUM(householdfinance_v4_5!J112,householdfinance_v4_4!J112,householdfinance_v4_3!J112,householdfinance_v4_2!J112,householdfinance_v4_1!J112)/COUNT(householdfinance_v4_5!J112,householdfinance_v4_4!J112,householdfinance_v4_3!J112,householdfinance_v4_2!J112,householdfinance_v4_1!J112),0),"NA")</f>
        <v>1</v>
      </c>
      <c r="K112">
        <f>IF($D112=1,ROUND(SUM(householdfinance_v4_5!K112,householdfinance_v4_4!K112,householdfinance_v4_3!K112,householdfinance_v4_2!K112,householdfinance_v4_1!K112)/COUNT(householdfinance_v4_5!K112,householdfinance_v4_4!K112,householdfinance_v4_3!K112,householdfinance_v4_2!K112,householdfinance_v4_1!K112),0),"NA")</f>
        <v>1</v>
      </c>
      <c r="L112">
        <f>IF($D112=1,ROUND(SUM(householdfinance_v4_5!L112,householdfinance_v4_4!L112,householdfinance_v4_3!L112,householdfinance_v4_2!L112,householdfinance_v4_1!L112)/COUNT(householdfinance_v4_5!L112,householdfinance_v4_4!L112,householdfinance_v4_3!L112,householdfinance_v4_2!L112,householdfinance_v4_1!L112),0),"NA")</f>
        <v>1</v>
      </c>
      <c r="M112">
        <f>IF($D112=1,ROUND(SUM(householdfinance_v4_5!M112,householdfinance_v4_4!M112,householdfinance_v4_3!M112,householdfinance_v4_2!M112,householdfinance_v4_1!M112)/COUNT(householdfinance_v4_5!M112,householdfinance_v4_4!M112,householdfinance_v4_3!M112,householdfinance_v4_2!M112,householdfinance_v4_1!M112),0),"NA")</f>
        <v>1</v>
      </c>
      <c r="N112">
        <f>IF($D112=1,ROUND(SUM(householdfinance_v4_5!N112,householdfinance_v4_4!N112,householdfinance_v4_3!N112,householdfinance_v4_2!N112,householdfinance_v4_1!N112)/COUNT(householdfinance_v4_5!N112,householdfinance_v4_4!N112,householdfinance_v4_3!N112,householdfinance_v4_2!N112,householdfinance_v4_1!N112),0),"NA")</f>
        <v>1</v>
      </c>
      <c r="O112">
        <v>1.289337635040283</v>
      </c>
    </row>
    <row r="113" spans="1:15" x14ac:dyDescent="0.25">
      <c r="A113" t="s">
        <v>86</v>
      </c>
      <c r="B113" t="s">
        <v>113</v>
      </c>
      <c r="C113">
        <v>0</v>
      </c>
      <c r="D113">
        <f>ROUND(SUM(householdfinance_v4_5!D113,householdfinance_v4_4!D113,householdfinance_v4_3!D113,householdfinance_v4_2!D113,householdfinance_v4_1!D113)/COUNT(householdfinance_v4_5!D113,householdfinance_v4_4!D113,householdfinance_v4_3!D113,householdfinance_v4_2!D113,householdfinance_v4_1!D113),0)</f>
        <v>1</v>
      </c>
      <c r="E113">
        <f>IF($D113=1,ROUND(SUM(householdfinance_v4_5!E113,householdfinance_v4_4!E113,householdfinance_v4_3!E113,householdfinance_v4_2!E113,householdfinance_v4_1!E113)/COUNT(householdfinance_v4_5!E113,householdfinance_v4_4!E113,householdfinance_v4_3!E113,householdfinance_v4_2!E113,householdfinance_v4_1!E113),0),"NA")</f>
        <v>1</v>
      </c>
      <c r="F113">
        <f>IF($D113=1,ROUND(SUM(householdfinance_v4_5!F113,householdfinance_v4_4!F113,householdfinance_v4_3!F113,householdfinance_v4_2!F113,householdfinance_v4_1!F113)/COUNT(householdfinance_v4_5!F113,householdfinance_v4_4!F113,householdfinance_v4_3!F113,householdfinance_v4_2!F113,householdfinance_v4_1!F113),0),"NA")</f>
        <v>1</v>
      </c>
      <c r="G113">
        <f>IF($D113=1,ROUND(SUM(householdfinance_v4_5!G113,householdfinance_v4_4!G113,householdfinance_v4_3!G113,householdfinance_v4_2!G113,householdfinance_v4_1!G113)/COUNT(householdfinance_v4_5!G113,householdfinance_v4_4!G113,householdfinance_v4_3!G113,householdfinance_v4_2!G113,householdfinance_v4_1!G113),0),"NA")</f>
        <v>1</v>
      </c>
      <c r="H113">
        <f>IF($E113=1,ROUND(SUM(householdfinance_v4_5!H113,householdfinance_v4_4!H113,householdfinance_v4_3!H113,householdfinance_v4_2!H113,householdfinance_v4_1!H113)/COUNT(householdfinance_v4_5!H113,householdfinance_v4_4!H113,householdfinance_v4_3!H113,householdfinance_v4_2!H113,householdfinance_v4_1!H113),0),"NA")</f>
        <v>1</v>
      </c>
      <c r="I113">
        <f>IF($D113=1,ROUND(SUM(householdfinance_v4_5!I113,householdfinance_v4_4!I113,householdfinance_v4_3!I113,householdfinance_v4_2!I113,householdfinance_v4_1!I113)/COUNT(householdfinance_v4_5!I113,householdfinance_v4_4!I113,householdfinance_v4_3!I113,householdfinance_v4_2!I113,householdfinance_v4_1!I113),0),"NA")</f>
        <v>1</v>
      </c>
      <c r="J113">
        <f>IF(AND($E113=1,$F113=1),ROUND(SUM(householdfinance_v4_5!J113,householdfinance_v4_4!J113,householdfinance_v4_3!J113,householdfinance_v4_2!J113,householdfinance_v4_1!J113)/COUNT(householdfinance_v4_5!J113,householdfinance_v4_4!J113,householdfinance_v4_3!J113,householdfinance_v4_2!J113,householdfinance_v4_1!J113),0),"NA")</f>
        <v>1</v>
      </c>
      <c r="K113">
        <f>IF($D113=1,ROUND(SUM(householdfinance_v4_5!K113,householdfinance_v4_4!K113,householdfinance_v4_3!K113,householdfinance_v4_2!K113,householdfinance_v4_1!K113)/COUNT(householdfinance_v4_5!K113,householdfinance_v4_4!K113,householdfinance_v4_3!K113,householdfinance_v4_2!K113,householdfinance_v4_1!K113),0),"NA")</f>
        <v>1</v>
      </c>
      <c r="L113">
        <f>IF($D113=1,ROUND(SUM(householdfinance_v4_5!L113,householdfinance_v4_4!L113,householdfinance_v4_3!L113,householdfinance_v4_2!L113,householdfinance_v4_1!L113)/COUNT(householdfinance_v4_5!L113,householdfinance_v4_4!L113,householdfinance_v4_3!L113,householdfinance_v4_2!L113,householdfinance_v4_1!L113),0),"NA")</f>
        <v>1</v>
      </c>
      <c r="M113">
        <f>IF($D113=1,ROUND(SUM(householdfinance_v4_5!M113,householdfinance_v4_4!M113,householdfinance_v4_3!M113,householdfinance_v4_2!M113,householdfinance_v4_1!M113)/COUNT(householdfinance_v4_5!M113,householdfinance_v4_4!M113,householdfinance_v4_3!M113,householdfinance_v4_2!M113,householdfinance_v4_1!M113),0),"NA")</f>
        <v>1</v>
      </c>
      <c r="N113">
        <f>IF($D113=1,ROUND(SUM(householdfinance_v4_5!N113,householdfinance_v4_4!N113,householdfinance_v4_3!N113,householdfinance_v4_2!N113,householdfinance_v4_1!N113)/COUNT(householdfinance_v4_5!N113,householdfinance_v4_4!N113,householdfinance_v4_3!N113,householdfinance_v4_2!N113,householdfinance_v4_1!N113),0),"NA")</f>
        <v>1</v>
      </c>
      <c r="O113">
        <v>1.2109556198120119</v>
      </c>
    </row>
    <row r="114" spans="1:15" x14ac:dyDescent="0.25">
      <c r="A114" t="s">
        <v>115</v>
      </c>
      <c r="B114" t="s">
        <v>18</v>
      </c>
      <c r="C114">
        <v>0</v>
      </c>
      <c r="D114">
        <f>ROUND(SUM(householdfinance_v4_5!D114,householdfinance_v4_4!D114,householdfinance_v4_3!D114,householdfinance_v4_2!D114,householdfinance_v4_1!D114)/COUNT(householdfinance_v4_5!D114,householdfinance_v4_4!D114,householdfinance_v4_3!D114,householdfinance_v4_2!D114,householdfinance_v4_1!D114),0)</f>
        <v>1</v>
      </c>
      <c r="E114">
        <f>IF($D114=1,ROUND(SUM(householdfinance_v4_5!E114,householdfinance_v4_4!E114,householdfinance_v4_3!E114,householdfinance_v4_2!E114,householdfinance_v4_1!E114)/COUNT(householdfinance_v4_5!E114,householdfinance_v4_4!E114,householdfinance_v4_3!E114,householdfinance_v4_2!E114,householdfinance_v4_1!E114),0),"NA")</f>
        <v>1</v>
      </c>
      <c r="F114">
        <f>IF($D114=1,ROUND(SUM(householdfinance_v4_5!F114,householdfinance_v4_4!F114,householdfinance_v4_3!F114,householdfinance_v4_2!F114,householdfinance_v4_1!F114)/COUNT(householdfinance_v4_5!F114,householdfinance_v4_4!F114,householdfinance_v4_3!F114,householdfinance_v4_2!F114,householdfinance_v4_1!F114),0),"NA")</f>
        <v>1</v>
      </c>
      <c r="G114">
        <f>IF($D114=1,ROUND(SUM(householdfinance_v4_5!G114,householdfinance_v4_4!G114,householdfinance_v4_3!G114,householdfinance_v4_2!G114,householdfinance_v4_1!G114)/COUNT(householdfinance_v4_5!G114,householdfinance_v4_4!G114,householdfinance_v4_3!G114,householdfinance_v4_2!G114,householdfinance_v4_1!G114),0),"NA")</f>
        <v>1</v>
      </c>
      <c r="H114">
        <f>IF($E114=1,ROUND(SUM(householdfinance_v4_5!H114,householdfinance_v4_4!H114,householdfinance_v4_3!H114,householdfinance_v4_2!H114,householdfinance_v4_1!H114)/COUNT(householdfinance_v4_5!H114,householdfinance_v4_4!H114,householdfinance_v4_3!H114,householdfinance_v4_2!H114,householdfinance_v4_1!H114),0),"NA")</f>
        <v>1</v>
      </c>
      <c r="I114">
        <f>IF($D114=1,ROUND(SUM(householdfinance_v4_5!I114,householdfinance_v4_4!I114,householdfinance_v4_3!I114,householdfinance_v4_2!I114,householdfinance_v4_1!I114)/COUNT(householdfinance_v4_5!I114,householdfinance_v4_4!I114,householdfinance_v4_3!I114,householdfinance_v4_2!I114,householdfinance_v4_1!I114),0),"NA")</f>
        <v>1</v>
      </c>
      <c r="J114">
        <f>IF(AND($E114=1,$F114=1),ROUND(SUM(householdfinance_v4_5!J114,householdfinance_v4_4!J114,householdfinance_v4_3!J114,householdfinance_v4_2!J114,householdfinance_v4_1!J114)/COUNT(householdfinance_v4_5!J114,householdfinance_v4_4!J114,householdfinance_v4_3!J114,householdfinance_v4_2!J114,householdfinance_v4_1!J114),0),"NA")</f>
        <v>1</v>
      </c>
      <c r="K114">
        <f>IF($D114=1,ROUND(SUM(householdfinance_v4_5!K114,householdfinance_v4_4!K114,householdfinance_v4_3!K114,householdfinance_v4_2!K114,householdfinance_v4_1!K114)/COUNT(householdfinance_v4_5!K114,householdfinance_v4_4!K114,householdfinance_v4_3!K114,householdfinance_v4_2!K114,householdfinance_v4_1!K114),0),"NA")</f>
        <v>1</v>
      </c>
      <c r="L114">
        <f>IF($D114=1,ROUND(SUM(householdfinance_v4_5!L114,householdfinance_v4_4!L114,householdfinance_v4_3!L114,householdfinance_v4_2!L114,householdfinance_v4_1!L114)/COUNT(householdfinance_v4_5!L114,householdfinance_v4_4!L114,householdfinance_v4_3!L114,householdfinance_v4_2!L114,householdfinance_v4_1!L114),0),"NA")</f>
        <v>1</v>
      </c>
      <c r="M114">
        <f>IF($D114=1,ROUND(SUM(householdfinance_v4_5!M114,householdfinance_v4_4!M114,householdfinance_v4_3!M114,householdfinance_v4_2!M114,householdfinance_v4_1!M114)/COUNT(householdfinance_v4_5!M114,householdfinance_v4_4!M114,householdfinance_v4_3!M114,householdfinance_v4_2!M114,householdfinance_v4_1!M114),0),"NA")</f>
        <v>1</v>
      </c>
      <c r="N114">
        <f>IF($D114=1,ROUND(SUM(householdfinance_v4_5!N114,householdfinance_v4_4!N114,householdfinance_v4_3!N114,householdfinance_v4_2!N114,householdfinance_v4_1!N114)/COUNT(householdfinance_v4_5!N114,householdfinance_v4_4!N114,householdfinance_v4_3!N114,householdfinance_v4_2!N114,householdfinance_v4_1!N114),0),"NA")</f>
        <v>1</v>
      </c>
      <c r="O114">
        <v>2.3716392517089839</v>
      </c>
    </row>
    <row r="115" spans="1:15" x14ac:dyDescent="0.25">
      <c r="A115" t="s">
        <v>115</v>
      </c>
      <c r="B115" t="s">
        <v>19</v>
      </c>
      <c r="C115">
        <v>0</v>
      </c>
      <c r="D115">
        <f>ROUND(SUM(householdfinance_v4_5!D115,householdfinance_v4_4!D115,householdfinance_v4_3!D115,householdfinance_v4_2!D115,householdfinance_v4_1!D115)/COUNT(householdfinance_v4_5!D115,householdfinance_v4_4!D115,householdfinance_v4_3!D115,householdfinance_v4_2!D115,householdfinance_v4_1!D115),0)</f>
        <v>1</v>
      </c>
      <c r="E115">
        <f>IF($D115=1,ROUND(SUM(householdfinance_v4_5!E115,householdfinance_v4_4!E115,householdfinance_v4_3!E115,householdfinance_v4_2!E115,householdfinance_v4_1!E115)/COUNT(householdfinance_v4_5!E115,householdfinance_v4_4!E115,householdfinance_v4_3!E115,householdfinance_v4_2!E115,householdfinance_v4_1!E115),0),"NA")</f>
        <v>1</v>
      </c>
      <c r="F115">
        <f>IF($D115=1,ROUND(SUM(householdfinance_v4_5!F115,householdfinance_v4_4!F115,householdfinance_v4_3!F115,householdfinance_v4_2!F115,householdfinance_v4_1!F115)/COUNT(householdfinance_v4_5!F115,householdfinance_v4_4!F115,householdfinance_v4_3!F115,householdfinance_v4_2!F115,householdfinance_v4_1!F115),0),"NA")</f>
        <v>1</v>
      </c>
      <c r="G115">
        <f>IF($D115=1,ROUND(SUM(householdfinance_v4_5!G115,householdfinance_v4_4!G115,householdfinance_v4_3!G115,householdfinance_v4_2!G115,householdfinance_v4_1!G115)/COUNT(householdfinance_v4_5!G115,householdfinance_v4_4!G115,householdfinance_v4_3!G115,householdfinance_v4_2!G115,householdfinance_v4_1!G115),0),"NA")</f>
        <v>0</v>
      </c>
      <c r="H115">
        <f>IF($E115=1,ROUND(SUM(householdfinance_v4_5!H115,householdfinance_v4_4!H115,householdfinance_v4_3!H115,householdfinance_v4_2!H115,householdfinance_v4_1!H115)/COUNT(householdfinance_v4_5!H115,householdfinance_v4_4!H115,householdfinance_v4_3!H115,householdfinance_v4_2!H115,householdfinance_v4_1!H115),0),"NA")</f>
        <v>1</v>
      </c>
      <c r="I115">
        <f>IF($D115=1,ROUND(SUM(householdfinance_v4_5!I115,householdfinance_v4_4!I115,householdfinance_v4_3!I115,householdfinance_v4_2!I115,householdfinance_v4_1!I115)/COUNT(householdfinance_v4_5!I115,householdfinance_v4_4!I115,householdfinance_v4_3!I115,householdfinance_v4_2!I115,householdfinance_v4_1!I115),0),"NA")</f>
        <v>1</v>
      </c>
      <c r="J115">
        <f>IF(AND($E115=1,$F115=1),ROUND(SUM(householdfinance_v4_5!J115,householdfinance_v4_4!J115,householdfinance_v4_3!J115,householdfinance_v4_2!J115,householdfinance_v4_1!J115)/COUNT(householdfinance_v4_5!J115,householdfinance_v4_4!J115,householdfinance_v4_3!J115,householdfinance_v4_2!J115,householdfinance_v4_1!J115),0),"NA")</f>
        <v>1</v>
      </c>
      <c r="K115">
        <f>IF($D115=1,ROUND(SUM(householdfinance_v4_5!K115,householdfinance_v4_4!K115,householdfinance_v4_3!K115,householdfinance_v4_2!K115,householdfinance_v4_1!K115)/COUNT(householdfinance_v4_5!K115,householdfinance_v4_4!K115,householdfinance_v4_3!K115,householdfinance_v4_2!K115,householdfinance_v4_1!K115),0),"NA")</f>
        <v>1</v>
      </c>
      <c r="L115">
        <f>IF($D115=1,ROUND(SUM(householdfinance_v4_5!L115,householdfinance_v4_4!L115,householdfinance_v4_3!L115,householdfinance_v4_2!L115,householdfinance_v4_1!L115)/COUNT(householdfinance_v4_5!L115,householdfinance_v4_4!L115,householdfinance_v4_3!L115,householdfinance_v4_2!L115,householdfinance_v4_1!L115),0),"NA")</f>
        <v>1</v>
      </c>
      <c r="M115">
        <f>IF($D115=1,ROUND(SUM(householdfinance_v4_5!M115,householdfinance_v4_4!M115,householdfinance_v4_3!M115,householdfinance_v4_2!M115,householdfinance_v4_1!M115)/COUNT(householdfinance_v4_5!M115,householdfinance_v4_4!M115,householdfinance_v4_3!M115,householdfinance_v4_2!M115,householdfinance_v4_1!M115),0),"NA")</f>
        <v>1</v>
      </c>
      <c r="N115">
        <f>IF($D115=1,ROUND(SUM(householdfinance_v4_5!N115,householdfinance_v4_4!N115,householdfinance_v4_3!N115,householdfinance_v4_2!N115,householdfinance_v4_1!N115)/COUNT(householdfinance_v4_5!N115,householdfinance_v4_4!N115,householdfinance_v4_3!N115,householdfinance_v4_2!N115,householdfinance_v4_1!N115),0),"NA")</f>
        <v>1</v>
      </c>
      <c r="O115">
        <v>2.0912036895751949</v>
      </c>
    </row>
    <row r="116" spans="1:15" x14ac:dyDescent="0.25">
      <c r="A116" t="s">
        <v>115</v>
      </c>
      <c r="B116" t="s">
        <v>22</v>
      </c>
      <c r="C116">
        <v>0</v>
      </c>
      <c r="D116">
        <f>ROUND(SUM(householdfinance_v4_5!D116,householdfinance_v4_4!D116,householdfinance_v4_3!D116,householdfinance_v4_2!D116,householdfinance_v4_1!D116)/COUNT(householdfinance_v4_5!D116,householdfinance_v4_4!D116,householdfinance_v4_3!D116,householdfinance_v4_2!D116,householdfinance_v4_1!D116),0)</f>
        <v>1</v>
      </c>
      <c r="E116">
        <f>IF($D116=1,ROUND(SUM(householdfinance_v4_5!E116,householdfinance_v4_4!E116,householdfinance_v4_3!E116,householdfinance_v4_2!E116,householdfinance_v4_1!E116)/COUNT(householdfinance_v4_5!E116,householdfinance_v4_4!E116,householdfinance_v4_3!E116,householdfinance_v4_2!E116,householdfinance_v4_1!E116),0),"NA")</f>
        <v>0</v>
      </c>
      <c r="F116">
        <f>IF($D116=1,ROUND(SUM(householdfinance_v4_5!F116,householdfinance_v4_4!F116,householdfinance_v4_3!F116,householdfinance_v4_2!F116,householdfinance_v4_1!F116)/COUNT(householdfinance_v4_5!F116,householdfinance_v4_4!F116,householdfinance_v4_3!F116,householdfinance_v4_2!F116,householdfinance_v4_1!F116),0),"NA")</f>
        <v>1</v>
      </c>
      <c r="G116">
        <f>IF($D116=1,ROUND(SUM(householdfinance_v4_5!G116,householdfinance_v4_4!G116,householdfinance_v4_3!G116,householdfinance_v4_2!G116,householdfinance_v4_1!G116)/COUNT(householdfinance_v4_5!G116,householdfinance_v4_4!G116,householdfinance_v4_3!G116,householdfinance_v4_2!G116,householdfinance_v4_1!G116),0),"NA")</f>
        <v>1</v>
      </c>
      <c r="H116" t="str">
        <f>IF($E116=1,ROUND(SUM(householdfinance_v4_5!H116,householdfinance_v4_4!H116,householdfinance_v4_3!H116,householdfinance_v4_2!H116,householdfinance_v4_1!H116)/COUNT(householdfinance_v4_5!H116,householdfinance_v4_4!H116,householdfinance_v4_3!H116,householdfinance_v4_2!H116,householdfinance_v4_1!H116),0),"NA")</f>
        <v>NA</v>
      </c>
      <c r="I116">
        <f>IF($D116=1,ROUND(SUM(householdfinance_v4_5!I116,householdfinance_v4_4!I116,householdfinance_v4_3!I116,householdfinance_v4_2!I116,householdfinance_v4_1!I116)/COUNT(householdfinance_v4_5!I116,householdfinance_v4_4!I116,householdfinance_v4_3!I116,householdfinance_v4_2!I116,householdfinance_v4_1!I116),0),"NA")</f>
        <v>1</v>
      </c>
      <c r="J116" t="str">
        <f>IF(AND($E116=1,$F116=1),ROUND(SUM(householdfinance_v4_5!J116,householdfinance_v4_4!J116,householdfinance_v4_3!J116,householdfinance_v4_2!J116,householdfinance_v4_1!J116)/COUNT(householdfinance_v4_5!J116,householdfinance_v4_4!J116,householdfinance_v4_3!J116,householdfinance_v4_2!J116,householdfinance_v4_1!J116),0),"NA")</f>
        <v>NA</v>
      </c>
      <c r="K116">
        <f>IF($D116=1,ROUND(SUM(householdfinance_v4_5!K116,householdfinance_v4_4!K116,householdfinance_v4_3!K116,householdfinance_v4_2!K116,householdfinance_v4_1!K116)/COUNT(householdfinance_v4_5!K116,householdfinance_v4_4!K116,householdfinance_v4_3!K116,householdfinance_v4_2!K116,householdfinance_v4_1!K116),0),"NA")</f>
        <v>1</v>
      </c>
      <c r="L116">
        <f>IF($D116=1,ROUND(SUM(householdfinance_v4_5!L116,householdfinance_v4_4!L116,householdfinance_v4_3!L116,householdfinance_v4_2!L116,householdfinance_v4_1!L116)/COUNT(householdfinance_v4_5!L116,householdfinance_v4_4!L116,householdfinance_v4_3!L116,householdfinance_v4_2!L116,householdfinance_v4_1!L116),0),"NA")</f>
        <v>1</v>
      </c>
      <c r="M116">
        <f>IF($D116=1,ROUND(SUM(householdfinance_v4_5!M116,householdfinance_v4_4!M116,householdfinance_v4_3!M116,householdfinance_v4_2!M116,householdfinance_v4_1!M116)/COUNT(householdfinance_v4_5!M116,householdfinance_v4_4!M116,householdfinance_v4_3!M116,householdfinance_v4_2!M116,householdfinance_v4_1!M116),0),"NA")</f>
        <v>1</v>
      </c>
      <c r="N116">
        <f>IF($D116=1,ROUND(SUM(householdfinance_v4_5!N116,householdfinance_v4_4!N116,householdfinance_v4_3!N116,householdfinance_v4_2!N116,householdfinance_v4_1!N116)/COUNT(householdfinance_v4_5!N116,householdfinance_v4_4!N116,householdfinance_v4_3!N116,householdfinance_v4_2!N116,householdfinance_v4_1!N116),0),"NA")</f>
        <v>1</v>
      </c>
      <c r="O116">
        <v>2.780369758605957</v>
      </c>
    </row>
    <row r="117" spans="1:15" x14ac:dyDescent="0.25">
      <c r="A117" t="s">
        <v>115</v>
      </c>
      <c r="B117" t="s">
        <v>24</v>
      </c>
      <c r="C117">
        <v>0</v>
      </c>
      <c r="D117">
        <f>ROUND(SUM(householdfinance_v4_5!D117,householdfinance_v4_4!D117,householdfinance_v4_3!D117,householdfinance_v4_2!D117,householdfinance_v4_1!D117)/COUNT(householdfinance_v4_5!D117,householdfinance_v4_4!D117,householdfinance_v4_3!D117,householdfinance_v4_2!D117,householdfinance_v4_1!D117),0)</f>
        <v>1</v>
      </c>
      <c r="E117">
        <f>IF($D117=1,ROUND(SUM(householdfinance_v4_5!E117,householdfinance_v4_4!E117,householdfinance_v4_3!E117,householdfinance_v4_2!E117,householdfinance_v4_1!E117)/COUNT(householdfinance_v4_5!E117,householdfinance_v4_4!E117,householdfinance_v4_3!E117,householdfinance_v4_2!E117,householdfinance_v4_1!E117),0),"NA")</f>
        <v>1</v>
      </c>
      <c r="F117">
        <f>IF($D117=1,ROUND(SUM(householdfinance_v4_5!F117,householdfinance_v4_4!F117,householdfinance_v4_3!F117,householdfinance_v4_2!F117,householdfinance_v4_1!F117)/COUNT(householdfinance_v4_5!F117,householdfinance_v4_4!F117,householdfinance_v4_3!F117,householdfinance_v4_2!F117,householdfinance_v4_1!F117),0),"NA")</f>
        <v>1</v>
      </c>
      <c r="G117">
        <f>IF($D117=1,ROUND(SUM(householdfinance_v4_5!G117,householdfinance_v4_4!G117,householdfinance_v4_3!G117,householdfinance_v4_2!G117,householdfinance_v4_1!G117)/COUNT(householdfinance_v4_5!G117,householdfinance_v4_4!G117,householdfinance_v4_3!G117,householdfinance_v4_2!G117,householdfinance_v4_1!G117),0),"NA")</f>
        <v>1</v>
      </c>
      <c r="H117">
        <f>IF($E117=1,ROUND(SUM(householdfinance_v4_5!H117,householdfinance_v4_4!H117,householdfinance_v4_3!H117,householdfinance_v4_2!H117,householdfinance_v4_1!H117)/COUNT(householdfinance_v4_5!H117,householdfinance_v4_4!H117,householdfinance_v4_3!H117,householdfinance_v4_2!H117,householdfinance_v4_1!H117),0),"NA")</f>
        <v>1</v>
      </c>
      <c r="I117">
        <f>IF($D117=1,ROUND(SUM(householdfinance_v4_5!I117,householdfinance_v4_4!I117,householdfinance_v4_3!I117,householdfinance_v4_2!I117,householdfinance_v4_1!I117)/COUNT(householdfinance_v4_5!I117,householdfinance_v4_4!I117,householdfinance_v4_3!I117,householdfinance_v4_2!I117,householdfinance_v4_1!I117),0),"NA")</f>
        <v>1</v>
      </c>
      <c r="J117">
        <f>IF(AND($E117=1,$F117=1),ROUND(SUM(householdfinance_v4_5!J117,householdfinance_v4_4!J117,householdfinance_v4_3!J117,householdfinance_v4_2!J117,householdfinance_v4_1!J117)/COUNT(householdfinance_v4_5!J117,householdfinance_v4_4!J117,householdfinance_v4_3!J117,householdfinance_v4_2!J117,householdfinance_v4_1!J117),0),"NA")</f>
        <v>1</v>
      </c>
      <c r="K117">
        <f>IF($D117=1,ROUND(SUM(householdfinance_v4_5!K117,householdfinance_v4_4!K117,householdfinance_v4_3!K117,householdfinance_v4_2!K117,householdfinance_v4_1!K117)/COUNT(householdfinance_v4_5!K117,householdfinance_v4_4!K117,householdfinance_v4_3!K117,householdfinance_v4_2!K117,householdfinance_v4_1!K117),0),"NA")</f>
        <v>1</v>
      </c>
      <c r="L117">
        <f>IF($D117=1,ROUND(SUM(householdfinance_v4_5!L117,householdfinance_v4_4!L117,householdfinance_v4_3!L117,householdfinance_v4_2!L117,householdfinance_v4_1!L117)/COUNT(householdfinance_v4_5!L117,householdfinance_v4_4!L117,householdfinance_v4_3!L117,householdfinance_v4_2!L117,householdfinance_v4_1!L117),0),"NA")</f>
        <v>1</v>
      </c>
      <c r="M117">
        <f>IF($D117=1,ROUND(SUM(householdfinance_v4_5!M117,householdfinance_v4_4!M117,householdfinance_v4_3!M117,householdfinance_v4_2!M117,householdfinance_v4_1!M117)/COUNT(householdfinance_v4_5!M117,householdfinance_v4_4!M117,householdfinance_v4_3!M117,householdfinance_v4_2!M117,householdfinance_v4_1!M117),0),"NA")</f>
        <v>1</v>
      </c>
      <c r="N117">
        <f>IF($D117=1,ROUND(SUM(householdfinance_v4_5!N117,householdfinance_v4_4!N117,householdfinance_v4_3!N117,householdfinance_v4_2!N117,householdfinance_v4_1!N117)/COUNT(householdfinance_v4_5!N117,householdfinance_v4_4!N117,householdfinance_v4_3!N117,householdfinance_v4_2!N117,householdfinance_v4_1!N117),0),"NA")</f>
        <v>1</v>
      </c>
      <c r="O117">
        <v>1.5292150974273679</v>
      </c>
    </row>
    <row r="118" spans="1:15" x14ac:dyDescent="0.25">
      <c r="A118" t="s">
        <v>115</v>
      </c>
      <c r="B118" t="s">
        <v>25</v>
      </c>
      <c r="C118">
        <v>0</v>
      </c>
      <c r="D118">
        <f>ROUND(SUM(householdfinance_v4_5!D118,householdfinance_v4_4!D118,householdfinance_v4_3!D118,householdfinance_v4_2!D118,householdfinance_v4_1!D118)/COUNT(householdfinance_v4_5!D118,householdfinance_v4_4!D118,householdfinance_v4_3!D118,householdfinance_v4_2!D118,householdfinance_v4_1!D118),0)</f>
        <v>1</v>
      </c>
      <c r="E118">
        <f>IF($D118=1,ROUND(SUM(householdfinance_v4_5!E118,householdfinance_v4_4!E118,householdfinance_v4_3!E118,householdfinance_v4_2!E118,householdfinance_v4_1!E118)/COUNT(householdfinance_v4_5!E118,householdfinance_v4_4!E118,householdfinance_v4_3!E118,householdfinance_v4_2!E118,householdfinance_v4_1!E118),0),"NA")</f>
        <v>1</v>
      </c>
      <c r="F118">
        <f>IF($D118=1,ROUND(SUM(householdfinance_v4_5!F118,householdfinance_v4_4!F118,householdfinance_v4_3!F118,householdfinance_v4_2!F118,householdfinance_v4_1!F118)/COUNT(householdfinance_v4_5!F118,householdfinance_v4_4!F118,householdfinance_v4_3!F118,householdfinance_v4_2!F118,householdfinance_v4_1!F118),0),"NA")</f>
        <v>1</v>
      </c>
      <c r="G118">
        <f>IF($D118=1,ROUND(SUM(householdfinance_v4_5!G118,householdfinance_v4_4!G118,householdfinance_v4_3!G118,householdfinance_v4_2!G118,householdfinance_v4_1!G118)/COUNT(householdfinance_v4_5!G118,householdfinance_v4_4!G118,householdfinance_v4_3!G118,householdfinance_v4_2!G118,householdfinance_v4_1!G118),0),"NA")</f>
        <v>0</v>
      </c>
      <c r="H118">
        <f>IF($E118=1,ROUND(SUM(householdfinance_v4_5!H118,householdfinance_v4_4!H118,householdfinance_v4_3!H118,householdfinance_v4_2!H118,householdfinance_v4_1!H118)/COUNT(householdfinance_v4_5!H118,householdfinance_v4_4!H118,householdfinance_v4_3!H118,householdfinance_v4_2!H118,householdfinance_v4_1!H118),0),"NA")</f>
        <v>1</v>
      </c>
      <c r="I118">
        <f>IF($D118=1,ROUND(SUM(householdfinance_v4_5!I118,householdfinance_v4_4!I118,householdfinance_v4_3!I118,householdfinance_v4_2!I118,householdfinance_v4_1!I118)/COUNT(householdfinance_v4_5!I118,householdfinance_v4_4!I118,householdfinance_v4_3!I118,householdfinance_v4_2!I118,householdfinance_v4_1!I118),0),"NA")</f>
        <v>1</v>
      </c>
      <c r="J118">
        <f>IF(AND($E118=1,$F118=1),ROUND(SUM(householdfinance_v4_5!J118,householdfinance_v4_4!J118,householdfinance_v4_3!J118,householdfinance_v4_2!J118,householdfinance_v4_1!J118)/COUNT(householdfinance_v4_5!J118,householdfinance_v4_4!J118,householdfinance_v4_3!J118,householdfinance_v4_2!J118,householdfinance_v4_1!J118),0),"NA")</f>
        <v>1</v>
      </c>
      <c r="K118">
        <f>IF($D118=1,ROUND(SUM(householdfinance_v4_5!K118,householdfinance_v4_4!K118,householdfinance_v4_3!K118,householdfinance_v4_2!K118,householdfinance_v4_1!K118)/COUNT(householdfinance_v4_5!K118,householdfinance_v4_4!K118,householdfinance_v4_3!K118,householdfinance_v4_2!K118,householdfinance_v4_1!K118),0),"NA")</f>
        <v>1</v>
      </c>
      <c r="L118">
        <f>IF($D118=1,ROUND(SUM(householdfinance_v4_5!L118,householdfinance_v4_4!L118,householdfinance_v4_3!L118,householdfinance_v4_2!L118,householdfinance_v4_1!L118)/COUNT(householdfinance_v4_5!L118,householdfinance_v4_4!L118,householdfinance_v4_3!L118,householdfinance_v4_2!L118,householdfinance_v4_1!L118),0),"NA")</f>
        <v>1</v>
      </c>
      <c r="M118">
        <f>IF($D118=1,ROUND(SUM(householdfinance_v4_5!M118,householdfinance_v4_4!M118,householdfinance_v4_3!M118,householdfinance_v4_2!M118,householdfinance_v4_1!M118)/COUNT(householdfinance_v4_5!M118,householdfinance_v4_4!M118,householdfinance_v4_3!M118,householdfinance_v4_2!M118,householdfinance_v4_1!M118),0),"NA")</f>
        <v>1</v>
      </c>
      <c r="N118">
        <f>IF($D118=1,ROUND(SUM(householdfinance_v4_5!N118,householdfinance_v4_4!N118,householdfinance_v4_3!N118,householdfinance_v4_2!N118,householdfinance_v4_1!N118)/COUNT(householdfinance_v4_5!N118,householdfinance_v4_4!N118,householdfinance_v4_3!N118,householdfinance_v4_2!N118,householdfinance_v4_1!N118),0),"NA")</f>
        <v>1</v>
      </c>
      <c r="O118">
        <v>3.4271254539489751</v>
      </c>
    </row>
    <row r="119" spans="1:15" x14ac:dyDescent="0.25">
      <c r="A119" t="s">
        <v>115</v>
      </c>
      <c r="B119" t="s">
        <v>26</v>
      </c>
      <c r="C119">
        <v>0</v>
      </c>
      <c r="D119">
        <f>ROUND(SUM(householdfinance_v4_5!D119,householdfinance_v4_4!D119,householdfinance_v4_3!D119,householdfinance_v4_2!D119,householdfinance_v4_1!D119)/COUNT(householdfinance_v4_5!D119,householdfinance_v4_4!D119,householdfinance_v4_3!D119,householdfinance_v4_2!D119,householdfinance_v4_1!D119),0)</f>
        <v>1</v>
      </c>
      <c r="E119">
        <f>IF($D119=1,ROUND(SUM(householdfinance_v4_5!E119,householdfinance_v4_4!E119,householdfinance_v4_3!E119,householdfinance_v4_2!E119,householdfinance_v4_1!E119)/COUNT(householdfinance_v4_5!E119,householdfinance_v4_4!E119,householdfinance_v4_3!E119,householdfinance_v4_2!E119,householdfinance_v4_1!E119),0),"NA")</f>
        <v>1</v>
      </c>
      <c r="F119">
        <f>IF($D119=1,ROUND(SUM(householdfinance_v4_5!F119,householdfinance_v4_4!F119,householdfinance_v4_3!F119,householdfinance_v4_2!F119,householdfinance_v4_1!F119)/COUNT(householdfinance_v4_5!F119,householdfinance_v4_4!F119,householdfinance_v4_3!F119,householdfinance_v4_2!F119,householdfinance_v4_1!F119),0),"NA")</f>
        <v>1</v>
      </c>
      <c r="G119">
        <f>IF($D119=1,ROUND(SUM(householdfinance_v4_5!G119,householdfinance_v4_4!G119,householdfinance_v4_3!G119,householdfinance_v4_2!G119,householdfinance_v4_1!G119)/COUNT(householdfinance_v4_5!G119,householdfinance_v4_4!G119,householdfinance_v4_3!G119,householdfinance_v4_2!G119,householdfinance_v4_1!G119),0),"NA")</f>
        <v>1</v>
      </c>
      <c r="H119">
        <f>IF($E119=1,ROUND(SUM(householdfinance_v4_5!H119,householdfinance_v4_4!H119,householdfinance_v4_3!H119,householdfinance_v4_2!H119,householdfinance_v4_1!H119)/COUNT(householdfinance_v4_5!H119,householdfinance_v4_4!H119,householdfinance_v4_3!H119,householdfinance_v4_2!H119,householdfinance_v4_1!H119),0),"NA")</f>
        <v>1</v>
      </c>
      <c r="I119">
        <f>IF($D119=1,ROUND(SUM(householdfinance_v4_5!I119,householdfinance_v4_4!I119,householdfinance_v4_3!I119,householdfinance_v4_2!I119,householdfinance_v4_1!I119)/COUNT(householdfinance_v4_5!I119,householdfinance_v4_4!I119,householdfinance_v4_3!I119,householdfinance_v4_2!I119,householdfinance_v4_1!I119),0),"NA")</f>
        <v>1</v>
      </c>
      <c r="J119">
        <f>IF(AND($E119=1,$F119=1),ROUND(SUM(householdfinance_v4_5!J119,householdfinance_v4_4!J119,householdfinance_v4_3!J119,householdfinance_v4_2!J119,householdfinance_v4_1!J119)/COUNT(householdfinance_v4_5!J119,householdfinance_v4_4!J119,householdfinance_v4_3!J119,householdfinance_v4_2!J119,householdfinance_v4_1!J119),0),"NA")</f>
        <v>1</v>
      </c>
      <c r="K119">
        <f>IF($D119=1,ROUND(SUM(householdfinance_v4_5!K119,householdfinance_v4_4!K119,householdfinance_v4_3!K119,householdfinance_v4_2!K119,householdfinance_v4_1!K119)/COUNT(householdfinance_v4_5!K119,householdfinance_v4_4!K119,householdfinance_v4_3!K119,householdfinance_v4_2!K119,householdfinance_v4_1!K119),0),"NA")</f>
        <v>1</v>
      </c>
      <c r="L119">
        <f>IF($D119=1,ROUND(SUM(householdfinance_v4_5!L119,householdfinance_v4_4!L119,householdfinance_v4_3!L119,householdfinance_v4_2!L119,householdfinance_v4_1!L119)/COUNT(householdfinance_v4_5!L119,householdfinance_v4_4!L119,householdfinance_v4_3!L119,householdfinance_v4_2!L119,householdfinance_v4_1!L119),0),"NA")</f>
        <v>1</v>
      </c>
      <c r="M119">
        <f>IF($D119=1,ROUND(SUM(householdfinance_v4_5!M119,householdfinance_v4_4!M119,householdfinance_v4_3!M119,householdfinance_v4_2!M119,householdfinance_v4_1!M119)/COUNT(householdfinance_v4_5!M119,householdfinance_v4_4!M119,householdfinance_v4_3!M119,householdfinance_v4_2!M119,householdfinance_v4_1!M119),0),"NA")</f>
        <v>1</v>
      </c>
      <c r="N119">
        <f>IF($D119=1,ROUND(SUM(householdfinance_v4_5!N119,householdfinance_v4_4!N119,householdfinance_v4_3!N119,householdfinance_v4_2!N119,householdfinance_v4_1!N119)/COUNT(householdfinance_v4_5!N119,householdfinance_v4_4!N119,householdfinance_v4_3!N119,householdfinance_v4_2!N119,householdfinance_v4_1!N119),0),"NA")</f>
        <v>1</v>
      </c>
      <c r="O119">
        <v>1.085378885269165</v>
      </c>
    </row>
    <row r="120" spans="1:15" x14ac:dyDescent="0.25">
      <c r="A120" t="s">
        <v>115</v>
      </c>
      <c r="B120" t="s">
        <v>27</v>
      </c>
      <c r="C120">
        <v>0</v>
      </c>
      <c r="D120">
        <f>ROUND(SUM(householdfinance_v4_5!D120,householdfinance_v4_4!D120,householdfinance_v4_3!D120,householdfinance_v4_2!D120,householdfinance_v4_1!D120)/COUNT(householdfinance_v4_5!D120,householdfinance_v4_4!D120,householdfinance_v4_3!D120,householdfinance_v4_2!D120,householdfinance_v4_1!D120),0)</f>
        <v>1</v>
      </c>
      <c r="E120">
        <f>IF($D120=1,ROUND(SUM(householdfinance_v4_5!E120,householdfinance_v4_4!E120,householdfinance_v4_3!E120,householdfinance_v4_2!E120,householdfinance_v4_1!E120)/COUNT(householdfinance_v4_5!E120,householdfinance_v4_4!E120,householdfinance_v4_3!E120,householdfinance_v4_2!E120,householdfinance_v4_1!E120),0),"NA")</f>
        <v>1</v>
      </c>
      <c r="F120">
        <f>IF($D120=1,ROUND(SUM(householdfinance_v4_5!F120,householdfinance_v4_4!F120,householdfinance_v4_3!F120,householdfinance_v4_2!F120,householdfinance_v4_1!F120)/COUNT(householdfinance_v4_5!F120,householdfinance_v4_4!F120,householdfinance_v4_3!F120,householdfinance_v4_2!F120,householdfinance_v4_1!F120),0),"NA")</f>
        <v>1</v>
      </c>
      <c r="G120">
        <f>IF($D120=1,ROUND(SUM(householdfinance_v4_5!G120,householdfinance_v4_4!G120,householdfinance_v4_3!G120,householdfinance_v4_2!G120,householdfinance_v4_1!G120)/COUNT(householdfinance_v4_5!G120,householdfinance_v4_4!G120,householdfinance_v4_3!G120,householdfinance_v4_2!G120,householdfinance_v4_1!G120),0),"NA")</f>
        <v>1</v>
      </c>
      <c r="H120">
        <f>IF($E120=1,ROUND(SUM(householdfinance_v4_5!H120,householdfinance_v4_4!H120,householdfinance_v4_3!H120,householdfinance_v4_2!H120,householdfinance_v4_1!H120)/COUNT(householdfinance_v4_5!H120,householdfinance_v4_4!H120,householdfinance_v4_3!H120,householdfinance_v4_2!H120,householdfinance_v4_1!H120),0),"NA")</f>
        <v>1</v>
      </c>
      <c r="I120">
        <f>IF($D120=1,ROUND(SUM(householdfinance_v4_5!I120,householdfinance_v4_4!I120,householdfinance_v4_3!I120,householdfinance_v4_2!I120,householdfinance_v4_1!I120)/COUNT(householdfinance_v4_5!I120,householdfinance_v4_4!I120,householdfinance_v4_3!I120,householdfinance_v4_2!I120,householdfinance_v4_1!I120),0),"NA")</f>
        <v>1</v>
      </c>
      <c r="J120">
        <f>IF(AND($E120=1,$F120=1),ROUND(SUM(householdfinance_v4_5!J120,householdfinance_v4_4!J120,householdfinance_v4_3!J120,householdfinance_v4_2!J120,householdfinance_v4_1!J120)/COUNT(householdfinance_v4_5!J120,householdfinance_v4_4!J120,householdfinance_v4_3!J120,householdfinance_v4_2!J120,householdfinance_v4_1!J120),0),"NA")</f>
        <v>1</v>
      </c>
      <c r="K120">
        <f>IF($D120=1,ROUND(SUM(householdfinance_v4_5!K120,householdfinance_v4_4!K120,householdfinance_v4_3!K120,householdfinance_v4_2!K120,householdfinance_v4_1!K120)/COUNT(householdfinance_v4_5!K120,householdfinance_v4_4!K120,householdfinance_v4_3!K120,householdfinance_v4_2!K120,householdfinance_v4_1!K120),0),"NA")</f>
        <v>1</v>
      </c>
      <c r="L120">
        <f>IF($D120=1,ROUND(SUM(householdfinance_v4_5!L120,householdfinance_v4_4!L120,householdfinance_v4_3!L120,householdfinance_v4_2!L120,householdfinance_v4_1!L120)/COUNT(householdfinance_v4_5!L120,householdfinance_v4_4!L120,householdfinance_v4_3!L120,householdfinance_v4_2!L120,householdfinance_v4_1!L120),0),"NA")</f>
        <v>1</v>
      </c>
      <c r="M120">
        <f>IF($D120=1,ROUND(SUM(householdfinance_v4_5!M120,householdfinance_v4_4!M120,householdfinance_v4_3!M120,householdfinance_v4_2!M120,householdfinance_v4_1!M120)/COUNT(householdfinance_v4_5!M120,householdfinance_v4_4!M120,householdfinance_v4_3!M120,householdfinance_v4_2!M120,householdfinance_v4_1!M120),0),"NA")</f>
        <v>1</v>
      </c>
      <c r="N120">
        <f>IF($D120=1,ROUND(SUM(householdfinance_v4_5!N120,householdfinance_v4_4!N120,householdfinance_v4_3!N120,householdfinance_v4_2!N120,householdfinance_v4_1!N120)/COUNT(householdfinance_v4_5!N120,householdfinance_v4_4!N120,householdfinance_v4_3!N120,householdfinance_v4_2!N120,householdfinance_v4_1!N120),0),"NA")</f>
        <v>1</v>
      </c>
      <c r="O120">
        <v>1.2151651382446289</v>
      </c>
    </row>
    <row r="121" spans="1:15" x14ac:dyDescent="0.25">
      <c r="A121" t="s">
        <v>115</v>
      </c>
      <c r="B121" t="s">
        <v>29</v>
      </c>
      <c r="C121">
        <v>0</v>
      </c>
      <c r="D121">
        <f>ROUND(SUM(householdfinance_v4_5!D121,householdfinance_v4_4!D121,householdfinance_v4_3!D121,householdfinance_v4_2!D121,householdfinance_v4_1!D121)/COUNT(householdfinance_v4_5!D121,householdfinance_v4_4!D121,householdfinance_v4_3!D121,householdfinance_v4_2!D121,householdfinance_v4_1!D121),0)</f>
        <v>1</v>
      </c>
      <c r="E121">
        <f>IF($D121=1,ROUND(SUM(householdfinance_v4_5!E121,householdfinance_v4_4!E121,householdfinance_v4_3!E121,householdfinance_v4_2!E121,householdfinance_v4_1!E121)/COUNT(householdfinance_v4_5!E121,householdfinance_v4_4!E121,householdfinance_v4_3!E121,householdfinance_v4_2!E121,householdfinance_v4_1!E121),0),"NA")</f>
        <v>1</v>
      </c>
      <c r="F121">
        <f>IF($D121=1,ROUND(SUM(householdfinance_v4_5!F121,householdfinance_v4_4!F121,householdfinance_v4_3!F121,householdfinance_v4_2!F121,householdfinance_v4_1!F121)/COUNT(householdfinance_v4_5!F121,householdfinance_v4_4!F121,householdfinance_v4_3!F121,householdfinance_v4_2!F121,householdfinance_v4_1!F121),0),"NA")</f>
        <v>1</v>
      </c>
      <c r="G121">
        <f>IF($D121=1,ROUND(SUM(householdfinance_v4_5!G121,householdfinance_v4_4!G121,householdfinance_v4_3!G121,householdfinance_v4_2!G121,householdfinance_v4_1!G121)/COUNT(householdfinance_v4_5!G121,householdfinance_v4_4!G121,householdfinance_v4_3!G121,householdfinance_v4_2!G121,householdfinance_v4_1!G121),0),"NA")</f>
        <v>0</v>
      </c>
      <c r="H121">
        <f>IF($E121=1,ROUND(SUM(householdfinance_v4_5!H121,householdfinance_v4_4!H121,householdfinance_v4_3!H121,householdfinance_v4_2!H121,householdfinance_v4_1!H121)/COUNT(householdfinance_v4_5!H121,householdfinance_v4_4!H121,householdfinance_v4_3!H121,householdfinance_v4_2!H121,householdfinance_v4_1!H121),0),"NA")</f>
        <v>1</v>
      </c>
      <c r="I121">
        <f>IF($D121=1,ROUND(SUM(householdfinance_v4_5!I121,householdfinance_v4_4!I121,householdfinance_v4_3!I121,householdfinance_v4_2!I121,householdfinance_v4_1!I121)/COUNT(householdfinance_v4_5!I121,householdfinance_v4_4!I121,householdfinance_v4_3!I121,householdfinance_v4_2!I121,householdfinance_v4_1!I121),0),"NA")</f>
        <v>1</v>
      </c>
      <c r="J121">
        <f>IF(AND($E121=1,$F121=1),ROUND(SUM(householdfinance_v4_5!J121,householdfinance_v4_4!J121,householdfinance_v4_3!J121,householdfinance_v4_2!J121,householdfinance_v4_1!J121)/COUNT(householdfinance_v4_5!J121,householdfinance_v4_4!J121,householdfinance_v4_3!J121,householdfinance_v4_2!J121,householdfinance_v4_1!J121),0),"NA")</f>
        <v>1</v>
      </c>
      <c r="K121">
        <f>IF($D121=1,ROUND(SUM(householdfinance_v4_5!K121,householdfinance_v4_4!K121,householdfinance_v4_3!K121,householdfinance_v4_2!K121,householdfinance_v4_1!K121)/COUNT(householdfinance_v4_5!K121,householdfinance_v4_4!K121,householdfinance_v4_3!K121,householdfinance_v4_2!K121,householdfinance_v4_1!K121),0),"NA")</f>
        <v>1</v>
      </c>
      <c r="L121">
        <f>IF($D121=1,ROUND(SUM(householdfinance_v4_5!L121,householdfinance_v4_4!L121,householdfinance_v4_3!L121,householdfinance_v4_2!L121,householdfinance_v4_1!L121)/COUNT(householdfinance_v4_5!L121,householdfinance_v4_4!L121,householdfinance_v4_3!L121,householdfinance_v4_2!L121,householdfinance_v4_1!L121),0),"NA")</f>
        <v>1</v>
      </c>
      <c r="M121">
        <f>IF($D121=1,ROUND(SUM(householdfinance_v4_5!M121,householdfinance_v4_4!M121,householdfinance_v4_3!M121,householdfinance_v4_2!M121,householdfinance_v4_1!M121)/COUNT(householdfinance_v4_5!M121,householdfinance_v4_4!M121,householdfinance_v4_3!M121,householdfinance_v4_2!M121,householdfinance_v4_1!M121),0),"NA")</f>
        <v>1</v>
      </c>
      <c r="N121">
        <f>IF($D121=1,ROUND(SUM(householdfinance_v4_5!N121,householdfinance_v4_4!N121,householdfinance_v4_3!N121,householdfinance_v4_2!N121,householdfinance_v4_1!N121)/COUNT(householdfinance_v4_5!N121,householdfinance_v4_4!N121,householdfinance_v4_3!N121,householdfinance_v4_2!N121,householdfinance_v4_1!N121),0),"NA")</f>
        <v>1</v>
      </c>
      <c r="O121">
        <v>2.35090160369873</v>
      </c>
    </row>
    <row r="122" spans="1:15" x14ac:dyDescent="0.25">
      <c r="A122" t="s">
        <v>115</v>
      </c>
      <c r="B122" t="s">
        <v>30</v>
      </c>
      <c r="C122">
        <v>0</v>
      </c>
      <c r="D122">
        <f>ROUND(SUM(householdfinance_v4_5!D122,householdfinance_v4_4!D122,householdfinance_v4_3!D122,householdfinance_v4_2!D122,householdfinance_v4_1!D122)/COUNT(householdfinance_v4_5!D122,householdfinance_v4_4!D122,householdfinance_v4_3!D122,householdfinance_v4_2!D122,householdfinance_v4_1!D122),0)</f>
        <v>0</v>
      </c>
      <c r="E122" t="str">
        <f>IF($D122=1,ROUND(SUM(householdfinance_v4_5!E122,householdfinance_v4_4!E122,householdfinance_v4_3!E122,householdfinance_v4_2!E122,householdfinance_v4_1!E122)/COUNT(householdfinance_v4_5!E122,householdfinance_v4_4!E122,householdfinance_v4_3!E122,householdfinance_v4_2!E122,householdfinance_v4_1!E122),0),"NA")</f>
        <v>NA</v>
      </c>
      <c r="F122" t="str">
        <f>IF($D122=1,ROUND(SUM(householdfinance_v4_5!F122,householdfinance_v4_4!F122,householdfinance_v4_3!F122,householdfinance_v4_2!F122,householdfinance_v4_1!F122)/COUNT(householdfinance_v4_5!F122,householdfinance_v4_4!F122,householdfinance_v4_3!F122,householdfinance_v4_2!F122,householdfinance_v4_1!F122),0),"NA")</f>
        <v>NA</v>
      </c>
      <c r="G122" t="str">
        <f>IF($D122=1,ROUND(SUM(householdfinance_v4_5!G122,householdfinance_v4_4!G122,householdfinance_v4_3!G122,householdfinance_v4_2!G122,householdfinance_v4_1!G122)/COUNT(householdfinance_v4_5!G122,householdfinance_v4_4!G122,householdfinance_v4_3!G122,householdfinance_v4_2!G122,householdfinance_v4_1!G122),0),"NA")</f>
        <v>NA</v>
      </c>
      <c r="H122" t="str">
        <f>IF($E122=1,ROUND(SUM(householdfinance_v4_5!H122,householdfinance_v4_4!H122,householdfinance_v4_3!H122,householdfinance_v4_2!H122,householdfinance_v4_1!H122)/COUNT(householdfinance_v4_5!H122,householdfinance_v4_4!H122,householdfinance_v4_3!H122,householdfinance_v4_2!H122,householdfinance_v4_1!H122),0),"NA")</f>
        <v>NA</v>
      </c>
      <c r="I122" t="str">
        <f>IF($D122=1,ROUND(SUM(householdfinance_v4_5!I122,householdfinance_v4_4!I122,householdfinance_v4_3!I122,householdfinance_v4_2!I122,householdfinance_v4_1!I122)/COUNT(householdfinance_v4_5!I122,householdfinance_v4_4!I122,householdfinance_v4_3!I122,householdfinance_v4_2!I122,householdfinance_v4_1!I122),0),"NA")</f>
        <v>NA</v>
      </c>
      <c r="J122" t="str">
        <f>IF(AND($E122=1,$F122=1),ROUND(SUM(householdfinance_v4_5!J122,householdfinance_v4_4!J122,householdfinance_v4_3!J122,householdfinance_v4_2!J122,householdfinance_v4_1!J122)/COUNT(householdfinance_v4_5!J122,householdfinance_v4_4!J122,householdfinance_v4_3!J122,householdfinance_v4_2!J122,householdfinance_v4_1!J122),0),"NA")</f>
        <v>NA</v>
      </c>
      <c r="K122" t="str">
        <f>IF($D122=1,ROUND(SUM(householdfinance_v4_5!K122,householdfinance_v4_4!K122,householdfinance_v4_3!K122,householdfinance_v4_2!K122,householdfinance_v4_1!K122)/COUNT(householdfinance_v4_5!K122,householdfinance_v4_4!K122,householdfinance_v4_3!K122,householdfinance_v4_2!K122,householdfinance_v4_1!K122),0),"NA")</f>
        <v>NA</v>
      </c>
      <c r="L122" t="str">
        <f>IF($D122=1,ROUND(SUM(householdfinance_v4_5!L122,householdfinance_v4_4!L122,householdfinance_v4_3!L122,householdfinance_v4_2!L122,householdfinance_v4_1!L122)/COUNT(householdfinance_v4_5!L122,householdfinance_v4_4!L122,householdfinance_v4_3!L122,householdfinance_v4_2!L122,householdfinance_v4_1!L122),0),"NA")</f>
        <v>NA</v>
      </c>
      <c r="M122" t="str">
        <f>IF($D122=1,ROUND(SUM(householdfinance_v4_5!M122,householdfinance_v4_4!M122,householdfinance_v4_3!M122,householdfinance_v4_2!M122,householdfinance_v4_1!M122)/COUNT(householdfinance_v4_5!M122,householdfinance_v4_4!M122,householdfinance_v4_3!M122,householdfinance_v4_2!M122,householdfinance_v4_1!M122),0),"NA")</f>
        <v>NA</v>
      </c>
      <c r="N122" t="str">
        <f>IF($D122=1,ROUND(SUM(householdfinance_v4_5!N122,householdfinance_v4_4!N122,householdfinance_v4_3!N122,householdfinance_v4_2!N122,householdfinance_v4_1!N122)/COUNT(householdfinance_v4_5!N122,householdfinance_v4_4!N122,householdfinance_v4_3!N122,householdfinance_v4_2!N122,householdfinance_v4_1!N122),0),"NA")</f>
        <v>NA</v>
      </c>
      <c r="O122">
        <v>3.4282348155975342</v>
      </c>
    </row>
    <row r="123" spans="1:15" x14ac:dyDescent="0.25">
      <c r="A123" t="s">
        <v>115</v>
      </c>
      <c r="B123" t="s">
        <v>32</v>
      </c>
      <c r="C123">
        <v>0</v>
      </c>
      <c r="D123">
        <f>ROUND(SUM(householdfinance_v4_5!D123,householdfinance_v4_4!D123,householdfinance_v4_3!D123,householdfinance_v4_2!D123,householdfinance_v4_1!D123)/COUNT(householdfinance_v4_5!D123,householdfinance_v4_4!D123,householdfinance_v4_3!D123,householdfinance_v4_2!D123,householdfinance_v4_1!D123),0)</f>
        <v>1</v>
      </c>
      <c r="E123">
        <f>IF($D123=1,ROUND(SUM(householdfinance_v4_5!E123,householdfinance_v4_4!E123,householdfinance_v4_3!E123,householdfinance_v4_2!E123,householdfinance_v4_1!E123)/COUNT(householdfinance_v4_5!E123,householdfinance_v4_4!E123,householdfinance_v4_3!E123,householdfinance_v4_2!E123,householdfinance_v4_1!E123),0),"NA")</f>
        <v>0</v>
      </c>
      <c r="F123">
        <f>IF($D123=1,ROUND(SUM(householdfinance_v4_5!F123,householdfinance_v4_4!F123,householdfinance_v4_3!F123,householdfinance_v4_2!F123,householdfinance_v4_1!F123)/COUNT(householdfinance_v4_5!F123,householdfinance_v4_4!F123,householdfinance_v4_3!F123,householdfinance_v4_2!F123,householdfinance_v4_1!F123),0),"NA")</f>
        <v>1</v>
      </c>
      <c r="G123">
        <f>IF($D123=1,ROUND(SUM(householdfinance_v4_5!G123,householdfinance_v4_4!G123,householdfinance_v4_3!G123,householdfinance_v4_2!G123,householdfinance_v4_1!G123)/COUNT(householdfinance_v4_5!G123,householdfinance_v4_4!G123,householdfinance_v4_3!G123,householdfinance_v4_2!G123,householdfinance_v4_1!G123),0),"NA")</f>
        <v>1</v>
      </c>
      <c r="H123" t="str">
        <f>IF($E123=1,ROUND(SUM(householdfinance_v4_5!H123,householdfinance_v4_4!H123,householdfinance_v4_3!H123,householdfinance_v4_2!H123,householdfinance_v4_1!H123)/COUNT(householdfinance_v4_5!H123,householdfinance_v4_4!H123,householdfinance_v4_3!H123,householdfinance_v4_2!H123,householdfinance_v4_1!H123),0),"NA")</f>
        <v>NA</v>
      </c>
      <c r="I123">
        <f>IF($D123=1,ROUND(SUM(householdfinance_v4_5!I123,householdfinance_v4_4!I123,householdfinance_v4_3!I123,householdfinance_v4_2!I123,householdfinance_v4_1!I123)/COUNT(householdfinance_v4_5!I123,householdfinance_v4_4!I123,householdfinance_v4_3!I123,householdfinance_v4_2!I123,householdfinance_v4_1!I123),0),"NA")</f>
        <v>1</v>
      </c>
      <c r="J123" t="str">
        <f>IF(AND($E123=1,$F123=1),ROUND(SUM(householdfinance_v4_5!J123,householdfinance_v4_4!J123,householdfinance_v4_3!J123,householdfinance_v4_2!J123,householdfinance_v4_1!J123)/COUNT(householdfinance_v4_5!J123,householdfinance_v4_4!J123,householdfinance_v4_3!J123,householdfinance_v4_2!J123,householdfinance_v4_1!J123),0),"NA")</f>
        <v>NA</v>
      </c>
      <c r="K123">
        <f>IF($D123=1,ROUND(SUM(householdfinance_v4_5!K123,householdfinance_v4_4!K123,householdfinance_v4_3!K123,householdfinance_v4_2!K123,householdfinance_v4_1!K123)/COUNT(householdfinance_v4_5!K123,householdfinance_v4_4!K123,householdfinance_v4_3!K123,householdfinance_v4_2!K123,householdfinance_v4_1!K123),0),"NA")</f>
        <v>1</v>
      </c>
      <c r="L123">
        <f>IF($D123=1,ROUND(SUM(householdfinance_v4_5!L123,householdfinance_v4_4!L123,householdfinance_v4_3!L123,householdfinance_v4_2!L123,householdfinance_v4_1!L123)/COUNT(householdfinance_v4_5!L123,householdfinance_v4_4!L123,householdfinance_v4_3!L123,householdfinance_v4_2!L123,householdfinance_v4_1!L123),0),"NA")</f>
        <v>1</v>
      </c>
      <c r="M123">
        <f>IF($D123=1,ROUND(SUM(householdfinance_v4_5!M123,householdfinance_v4_4!M123,householdfinance_v4_3!M123,householdfinance_v4_2!M123,householdfinance_v4_1!M123)/COUNT(householdfinance_v4_5!M123,householdfinance_v4_4!M123,householdfinance_v4_3!M123,householdfinance_v4_2!M123,householdfinance_v4_1!M123),0),"NA")</f>
        <v>1</v>
      </c>
      <c r="N123">
        <f>IF($D123=1,ROUND(SUM(householdfinance_v4_5!N123,householdfinance_v4_4!N123,householdfinance_v4_3!N123,householdfinance_v4_2!N123,householdfinance_v4_1!N123)/COUNT(householdfinance_v4_5!N123,householdfinance_v4_4!N123,householdfinance_v4_3!N123,householdfinance_v4_2!N123,householdfinance_v4_1!N123),0),"NA")</f>
        <v>1</v>
      </c>
      <c r="O123">
        <v>2.4963421821594238</v>
      </c>
    </row>
    <row r="124" spans="1:15" x14ac:dyDescent="0.25">
      <c r="A124" t="s">
        <v>115</v>
      </c>
      <c r="B124" t="s">
        <v>33</v>
      </c>
      <c r="C124">
        <v>0</v>
      </c>
      <c r="D124">
        <f>ROUND(SUM(householdfinance_v4_5!D124,householdfinance_v4_4!D124,householdfinance_v4_3!D124,householdfinance_v4_2!D124,householdfinance_v4_1!D124)/COUNT(householdfinance_v4_5!D124,householdfinance_v4_4!D124,householdfinance_v4_3!D124,householdfinance_v4_2!D124,householdfinance_v4_1!D124),0)</f>
        <v>1</v>
      </c>
      <c r="E124">
        <f>IF($D124=1,ROUND(SUM(householdfinance_v4_5!E124,householdfinance_v4_4!E124,householdfinance_v4_3!E124,householdfinance_v4_2!E124,householdfinance_v4_1!E124)/COUNT(householdfinance_v4_5!E124,householdfinance_v4_4!E124,householdfinance_v4_3!E124,householdfinance_v4_2!E124,householdfinance_v4_1!E124),0),"NA")</f>
        <v>0</v>
      </c>
      <c r="F124">
        <f>IF($D124=1,ROUND(SUM(householdfinance_v4_5!F124,householdfinance_v4_4!F124,householdfinance_v4_3!F124,householdfinance_v4_2!F124,householdfinance_v4_1!F124)/COUNT(householdfinance_v4_5!F124,householdfinance_v4_4!F124,householdfinance_v4_3!F124,householdfinance_v4_2!F124,householdfinance_v4_1!F124),0),"NA")</f>
        <v>1</v>
      </c>
      <c r="G124">
        <f>IF($D124=1,ROUND(SUM(householdfinance_v4_5!G124,householdfinance_v4_4!G124,householdfinance_v4_3!G124,householdfinance_v4_2!G124,householdfinance_v4_1!G124)/COUNT(householdfinance_v4_5!G124,householdfinance_v4_4!G124,householdfinance_v4_3!G124,householdfinance_v4_2!G124,householdfinance_v4_1!G124),0),"NA")</f>
        <v>1</v>
      </c>
      <c r="H124" t="str">
        <f>IF($E124=1,ROUND(SUM(householdfinance_v4_5!H124,householdfinance_v4_4!H124,householdfinance_v4_3!H124,householdfinance_v4_2!H124,householdfinance_v4_1!H124)/COUNT(householdfinance_v4_5!H124,householdfinance_v4_4!H124,householdfinance_v4_3!H124,householdfinance_v4_2!H124,householdfinance_v4_1!H124),0),"NA")</f>
        <v>NA</v>
      </c>
      <c r="I124">
        <f>IF($D124=1,ROUND(SUM(householdfinance_v4_5!I124,householdfinance_v4_4!I124,householdfinance_v4_3!I124,householdfinance_v4_2!I124,householdfinance_v4_1!I124)/COUNT(householdfinance_v4_5!I124,householdfinance_v4_4!I124,householdfinance_v4_3!I124,householdfinance_v4_2!I124,householdfinance_v4_1!I124),0),"NA")</f>
        <v>1</v>
      </c>
      <c r="J124" t="str">
        <f>IF(AND($E124=1,$F124=1),ROUND(SUM(householdfinance_v4_5!J124,householdfinance_v4_4!J124,householdfinance_v4_3!J124,householdfinance_v4_2!J124,householdfinance_v4_1!J124)/COUNT(householdfinance_v4_5!J124,householdfinance_v4_4!J124,householdfinance_v4_3!J124,householdfinance_v4_2!J124,householdfinance_v4_1!J124),0),"NA")</f>
        <v>NA</v>
      </c>
      <c r="K124">
        <f>IF($D124=1,ROUND(SUM(householdfinance_v4_5!K124,householdfinance_v4_4!K124,householdfinance_v4_3!K124,householdfinance_v4_2!K124,householdfinance_v4_1!K124)/COUNT(householdfinance_v4_5!K124,householdfinance_v4_4!K124,householdfinance_v4_3!K124,householdfinance_v4_2!K124,householdfinance_v4_1!K124),0),"NA")</f>
        <v>1</v>
      </c>
      <c r="L124">
        <f>IF($D124=1,ROUND(SUM(householdfinance_v4_5!L124,householdfinance_v4_4!L124,householdfinance_v4_3!L124,householdfinance_v4_2!L124,householdfinance_v4_1!L124)/COUNT(householdfinance_v4_5!L124,householdfinance_v4_4!L124,householdfinance_v4_3!L124,householdfinance_v4_2!L124,householdfinance_v4_1!L124),0),"NA")</f>
        <v>1</v>
      </c>
      <c r="M124">
        <f>IF($D124=1,ROUND(SUM(householdfinance_v4_5!M124,householdfinance_v4_4!M124,householdfinance_v4_3!M124,householdfinance_v4_2!M124,householdfinance_v4_1!M124)/COUNT(householdfinance_v4_5!M124,householdfinance_v4_4!M124,householdfinance_v4_3!M124,householdfinance_v4_2!M124,householdfinance_v4_1!M124),0),"NA")</f>
        <v>0</v>
      </c>
      <c r="N124">
        <f>IF($D124=1,ROUND(SUM(householdfinance_v4_5!N124,householdfinance_v4_4!N124,householdfinance_v4_3!N124,householdfinance_v4_2!N124,householdfinance_v4_1!N124)/COUNT(householdfinance_v4_5!N124,householdfinance_v4_4!N124,householdfinance_v4_3!N124,householdfinance_v4_2!N124,householdfinance_v4_1!N124),0),"NA")</f>
        <v>1</v>
      </c>
      <c r="O124">
        <v>5.3915169239044189</v>
      </c>
    </row>
    <row r="125" spans="1:15" x14ac:dyDescent="0.25">
      <c r="A125" t="s">
        <v>115</v>
      </c>
      <c r="B125" t="s">
        <v>34</v>
      </c>
      <c r="C125">
        <v>0</v>
      </c>
      <c r="D125">
        <f>ROUND(SUM(householdfinance_v4_5!D125,householdfinance_v4_4!D125,householdfinance_v4_3!D125,householdfinance_v4_2!D125,householdfinance_v4_1!D125)/COUNT(householdfinance_v4_5!D125,householdfinance_v4_4!D125,householdfinance_v4_3!D125,householdfinance_v4_2!D125,householdfinance_v4_1!D125),0)</f>
        <v>1</v>
      </c>
      <c r="E125">
        <f>IF($D125=1,ROUND(SUM(householdfinance_v4_5!E125,householdfinance_v4_4!E125,householdfinance_v4_3!E125,householdfinance_v4_2!E125,householdfinance_v4_1!E125)/COUNT(householdfinance_v4_5!E125,householdfinance_v4_4!E125,householdfinance_v4_3!E125,householdfinance_v4_2!E125,householdfinance_v4_1!E125),0),"NA")</f>
        <v>1</v>
      </c>
      <c r="F125">
        <f>IF($D125=1,ROUND(SUM(householdfinance_v4_5!F125,householdfinance_v4_4!F125,householdfinance_v4_3!F125,householdfinance_v4_2!F125,householdfinance_v4_1!F125)/COUNT(householdfinance_v4_5!F125,householdfinance_v4_4!F125,householdfinance_v4_3!F125,householdfinance_v4_2!F125,householdfinance_v4_1!F125),0),"NA")</f>
        <v>1</v>
      </c>
      <c r="G125">
        <f>IF($D125=1,ROUND(SUM(householdfinance_v4_5!G125,householdfinance_v4_4!G125,householdfinance_v4_3!G125,householdfinance_v4_2!G125,householdfinance_v4_1!G125)/COUNT(householdfinance_v4_5!G125,householdfinance_v4_4!G125,householdfinance_v4_3!G125,householdfinance_v4_2!G125,householdfinance_v4_1!G125),0),"NA")</f>
        <v>1</v>
      </c>
      <c r="H125">
        <f>IF($E125=1,ROUND(SUM(householdfinance_v4_5!H125,householdfinance_v4_4!H125,householdfinance_v4_3!H125,householdfinance_v4_2!H125,householdfinance_v4_1!H125)/COUNT(householdfinance_v4_5!H125,householdfinance_v4_4!H125,householdfinance_v4_3!H125,householdfinance_v4_2!H125,householdfinance_v4_1!H125),0),"NA")</f>
        <v>1</v>
      </c>
      <c r="I125">
        <f>IF($D125=1,ROUND(SUM(householdfinance_v4_5!I125,householdfinance_v4_4!I125,householdfinance_v4_3!I125,householdfinance_v4_2!I125,householdfinance_v4_1!I125)/COUNT(householdfinance_v4_5!I125,householdfinance_v4_4!I125,householdfinance_v4_3!I125,householdfinance_v4_2!I125,householdfinance_v4_1!I125),0),"NA")</f>
        <v>1</v>
      </c>
      <c r="J125">
        <f>IF(AND($E125=1,$F125=1),ROUND(SUM(householdfinance_v4_5!J125,householdfinance_v4_4!J125,householdfinance_v4_3!J125,householdfinance_v4_2!J125,householdfinance_v4_1!J125)/COUNT(householdfinance_v4_5!J125,householdfinance_v4_4!J125,householdfinance_v4_3!J125,householdfinance_v4_2!J125,householdfinance_v4_1!J125),0),"NA")</f>
        <v>1</v>
      </c>
      <c r="K125">
        <f>IF($D125=1,ROUND(SUM(householdfinance_v4_5!K125,householdfinance_v4_4!K125,householdfinance_v4_3!K125,householdfinance_v4_2!K125,householdfinance_v4_1!K125)/COUNT(householdfinance_v4_5!K125,householdfinance_v4_4!K125,householdfinance_v4_3!K125,householdfinance_v4_2!K125,householdfinance_v4_1!K125),0),"NA")</f>
        <v>1</v>
      </c>
      <c r="L125">
        <f>IF($D125=1,ROUND(SUM(householdfinance_v4_5!L125,householdfinance_v4_4!L125,householdfinance_v4_3!L125,householdfinance_v4_2!L125,householdfinance_v4_1!L125)/COUNT(householdfinance_v4_5!L125,householdfinance_v4_4!L125,householdfinance_v4_3!L125,householdfinance_v4_2!L125,householdfinance_v4_1!L125),0),"NA")</f>
        <v>1</v>
      </c>
      <c r="M125">
        <f>IF($D125=1,ROUND(SUM(householdfinance_v4_5!M125,householdfinance_v4_4!M125,householdfinance_v4_3!M125,householdfinance_v4_2!M125,householdfinance_v4_1!M125)/COUNT(householdfinance_v4_5!M125,householdfinance_v4_4!M125,householdfinance_v4_3!M125,householdfinance_v4_2!M125,householdfinance_v4_1!M125),0),"NA")</f>
        <v>1</v>
      </c>
      <c r="N125">
        <f>IF($D125=1,ROUND(SUM(householdfinance_v4_5!N125,householdfinance_v4_4!N125,householdfinance_v4_3!N125,householdfinance_v4_2!N125,householdfinance_v4_1!N125)/COUNT(householdfinance_v4_5!N125,householdfinance_v4_4!N125,householdfinance_v4_3!N125,householdfinance_v4_2!N125,householdfinance_v4_1!N125),0),"NA")</f>
        <v>1</v>
      </c>
      <c r="O125">
        <v>1.2791373729705811</v>
      </c>
    </row>
    <row r="126" spans="1:15" x14ac:dyDescent="0.25">
      <c r="A126" t="s">
        <v>115</v>
      </c>
      <c r="B126" t="s">
        <v>35</v>
      </c>
      <c r="C126">
        <v>0</v>
      </c>
      <c r="D126">
        <f>ROUND(SUM(householdfinance_v4_5!D126,householdfinance_v4_4!D126,householdfinance_v4_3!D126,householdfinance_v4_2!D126,householdfinance_v4_1!D126)/COUNT(householdfinance_v4_5!D126,householdfinance_v4_4!D126,householdfinance_v4_3!D126,householdfinance_v4_2!D126,householdfinance_v4_1!D126),0)</f>
        <v>1</v>
      </c>
      <c r="E126">
        <f>IF($D126=1,ROUND(SUM(householdfinance_v4_5!E126,householdfinance_v4_4!E126,householdfinance_v4_3!E126,householdfinance_v4_2!E126,householdfinance_v4_1!E126)/COUNT(householdfinance_v4_5!E126,householdfinance_v4_4!E126,householdfinance_v4_3!E126,householdfinance_v4_2!E126,householdfinance_v4_1!E126),0),"NA")</f>
        <v>1</v>
      </c>
      <c r="F126">
        <f>IF($D126=1,ROUND(SUM(householdfinance_v4_5!F126,householdfinance_v4_4!F126,householdfinance_v4_3!F126,householdfinance_v4_2!F126,householdfinance_v4_1!F126)/COUNT(householdfinance_v4_5!F126,householdfinance_v4_4!F126,householdfinance_v4_3!F126,householdfinance_v4_2!F126,householdfinance_v4_1!F126),0),"NA")</f>
        <v>1</v>
      </c>
      <c r="G126">
        <f>IF($D126=1,ROUND(SUM(householdfinance_v4_5!G126,householdfinance_v4_4!G126,householdfinance_v4_3!G126,householdfinance_v4_2!G126,householdfinance_v4_1!G126)/COUNT(householdfinance_v4_5!G126,householdfinance_v4_4!G126,householdfinance_v4_3!G126,householdfinance_v4_2!G126,householdfinance_v4_1!G126),0),"NA")</f>
        <v>1</v>
      </c>
      <c r="H126">
        <f>IF($E126=1,ROUND(SUM(householdfinance_v4_5!H126,householdfinance_v4_4!H126,householdfinance_v4_3!H126,householdfinance_v4_2!H126,householdfinance_v4_1!H126)/COUNT(householdfinance_v4_5!H126,householdfinance_v4_4!H126,householdfinance_v4_3!H126,householdfinance_v4_2!H126,householdfinance_v4_1!H126),0),"NA")</f>
        <v>1</v>
      </c>
      <c r="I126">
        <f>IF($D126=1,ROUND(SUM(householdfinance_v4_5!I126,householdfinance_v4_4!I126,householdfinance_v4_3!I126,householdfinance_v4_2!I126,householdfinance_v4_1!I126)/COUNT(householdfinance_v4_5!I126,householdfinance_v4_4!I126,householdfinance_v4_3!I126,householdfinance_v4_2!I126,householdfinance_v4_1!I126),0),"NA")</f>
        <v>1</v>
      </c>
      <c r="J126">
        <f>IF(AND($E126=1,$F126=1),ROUND(SUM(householdfinance_v4_5!J126,householdfinance_v4_4!J126,householdfinance_v4_3!J126,householdfinance_v4_2!J126,householdfinance_v4_1!J126)/COUNT(householdfinance_v4_5!J126,householdfinance_v4_4!J126,householdfinance_v4_3!J126,householdfinance_v4_2!J126,householdfinance_v4_1!J126),0),"NA")</f>
        <v>1</v>
      </c>
      <c r="K126">
        <f>IF($D126=1,ROUND(SUM(householdfinance_v4_5!K126,householdfinance_v4_4!K126,householdfinance_v4_3!K126,householdfinance_v4_2!K126,householdfinance_v4_1!K126)/COUNT(householdfinance_v4_5!K126,householdfinance_v4_4!K126,householdfinance_v4_3!K126,householdfinance_v4_2!K126,householdfinance_v4_1!K126),0),"NA")</f>
        <v>1</v>
      </c>
      <c r="L126">
        <f>IF($D126=1,ROUND(SUM(householdfinance_v4_5!L126,householdfinance_v4_4!L126,householdfinance_v4_3!L126,householdfinance_v4_2!L126,householdfinance_v4_1!L126)/COUNT(householdfinance_v4_5!L126,householdfinance_v4_4!L126,householdfinance_v4_3!L126,householdfinance_v4_2!L126,householdfinance_v4_1!L126),0),"NA")</f>
        <v>1</v>
      </c>
      <c r="M126">
        <f>IF($D126=1,ROUND(SUM(householdfinance_v4_5!M126,householdfinance_v4_4!M126,householdfinance_v4_3!M126,householdfinance_v4_2!M126,householdfinance_v4_1!M126)/COUNT(householdfinance_v4_5!M126,householdfinance_v4_4!M126,householdfinance_v4_3!M126,householdfinance_v4_2!M126,householdfinance_v4_1!M126),0),"NA")</f>
        <v>1</v>
      </c>
      <c r="N126">
        <f>IF($D126=1,ROUND(SUM(householdfinance_v4_5!N126,householdfinance_v4_4!N126,householdfinance_v4_3!N126,householdfinance_v4_2!N126,householdfinance_v4_1!N126)/COUNT(householdfinance_v4_5!N126,householdfinance_v4_4!N126,householdfinance_v4_3!N126,householdfinance_v4_2!N126,householdfinance_v4_1!N126),0),"NA")</f>
        <v>1</v>
      </c>
      <c r="O126">
        <v>1.197297096252441</v>
      </c>
    </row>
    <row r="127" spans="1:15" x14ac:dyDescent="0.25">
      <c r="A127" t="s">
        <v>115</v>
      </c>
      <c r="B127" t="s">
        <v>37</v>
      </c>
      <c r="C127">
        <v>0</v>
      </c>
      <c r="D127">
        <f>ROUND(SUM(householdfinance_v4_5!D127,householdfinance_v4_4!D127,householdfinance_v4_3!D127,householdfinance_v4_2!D127,householdfinance_v4_1!D127)/COUNT(householdfinance_v4_5!D127,householdfinance_v4_4!D127,householdfinance_v4_3!D127,householdfinance_v4_2!D127,householdfinance_v4_1!D127),0)</f>
        <v>1</v>
      </c>
      <c r="E127">
        <f>IF($D127=1,ROUND(SUM(householdfinance_v4_5!E127,householdfinance_v4_4!E127,householdfinance_v4_3!E127,householdfinance_v4_2!E127,householdfinance_v4_1!E127)/COUNT(householdfinance_v4_5!E127,householdfinance_v4_4!E127,householdfinance_v4_3!E127,householdfinance_v4_2!E127,householdfinance_v4_1!E127),0),"NA")</f>
        <v>1</v>
      </c>
      <c r="F127">
        <f>IF($D127=1,ROUND(SUM(householdfinance_v4_5!F127,householdfinance_v4_4!F127,householdfinance_v4_3!F127,householdfinance_v4_2!F127,householdfinance_v4_1!F127)/COUNT(householdfinance_v4_5!F127,householdfinance_v4_4!F127,householdfinance_v4_3!F127,householdfinance_v4_2!F127,householdfinance_v4_1!F127),0),"NA")</f>
        <v>1</v>
      </c>
      <c r="G127">
        <f>IF($D127=1,ROUND(SUM(householdfinance_v4_5!G127,householdfinance_v4_4!G127,householdfinance_v4_3!G127,householdfinance_v4_2!G127,householdfinance_v4_1!G127)/COUNT(householdfinance_v4_5!G127,householdfinance_v4_4!G127,householdfinance_v4_3!G127,householdfinance_v4_2!G127,householdfinance_v4_1!G127),0),"NA")</f>
        <v>1</v>
      </c>
      <c r="H127">
        <f>IF($E127=1,ROUND(SUM(householdfinance_v4_5!H127,householdfinance_v4_4!H127,householdfinance_v4_3!H127,householdfinance_v4_2!H127,householdfinance_v4_1!H127)/COUNT(householdfinance_v4_5!H127,householdfinance_v4_4!H127,householdfinance_v4_3!H127,householdfinance_v4_2!H127,householdfinance_v4_1!H127),0),"NA")</f>
        <v>1</v>
      </c>
      <c r="I127">
        <f>IF($D127=1,ROUND(SUM(householdfinance_v4_5!I127,householdfinance_v4_4!I127,householdfinance_v4_3!I127,householdfinance_v4_2!I127,householdfinance_v4_1!I127)/COUNT(householdfinance_v4_5!I127,householdfinance_v4_4!I127,householdfinance_v4_3!I127,householdfinance_v4_2!I127,householdfinance_v4_1!I127),0),"NA")</f>
        <v>1</v>
      </c>
      <c r="J127">
        <f>IF(AND($E127=1,$F127=1),ROUND(SUM(householdfinance_v4_5!J127,householdfinance_v4_4!J127,householdfinance_v4_3!J127,householdfinance_v4_2!J127,householdfinance_v4_1!J127)/COUNT(householdfinance_v4_5!J127,householdfinance_v4_4!J127,householdfinance_v4_3!J127,householdfinance_v4_2!J127,householdfinance_v4_1!J127),0),"NA")</f>
        <v>1</v>
      </c>
      <c r="K127">
        <f>IF($D127=1,ROUND(SUM(householdfinance_v4_5!K127,householdfinance_v4_4!K127,householdfinance_v4_3!K127,householdfinance_v4_2!K127,householdfinance_v4_1!K127)/COUNT(householdfinance_v4_5!K127,householdfinance_v4_4!K127,householdfinance_v4_3!K127,householdfinance_v4_2!K127,householdfinance_v4_1!K127),0),"NA")</f>
        <v>1</v>
      </c>
      <c r="L127">
        <f>IF($D127=1,ROUND(SUM(householdfinance_v4_5!L127,householdfinance_v4_4!L127,householdfinance_v4_3!L127,householdfinance_v4_2!L127,householdfinance_v4_1!L127)/COUNT(householdfinance_v4_5!L127,householdfinance_v4_4!L127,householdfinance_v4_3!L127,householdfinance_v4_2!L127,householdfinance_v4_1!L127),0),"NA")</f>
        <v>1</v>
      </c>
      <c r="M127">
        <f>IF($D127=1,ROUND(SUM(householdfinance_v4_5!M127,householdfinance_v4_4!M127,householdfinance_v4_3!M127,householdfinance_v4_2!M127,householdfinance_v4_1!M127)/COUNT(householdfinance_v4_5!M127,householdfinance_v4_4!M127,householdfinance_v4_3!M127,householdfinance_v4_2!M127,householdfinance_v4_1!M127),0),"NA")</f>
        <v>1</v>
      </c>
      <c r="N127">
        <f>IF($D127=1,ROUND(SUM(householdfinance_v4_5!N127,householdfinance_v4_4!N127,householdfinance_v4_3!N127,householdfinance_v4_2!N127,householdfinance_v4_1!N127)/COUNT(householdfinance_v4_5!N127,householdfinance_v4_4!N127,householdfinance_v4_3!N127,householdfinance_v4_2!N127,householdfinance_v4_1!N127),0),"NA")</f>
        <v>1</v>
      </c>
      <c r="O127">
        <v>1.3529670238494871</v>
      </c>
    </row>
    <row r="128" spans="1:15" x14ac:dyDescent="0.25">
      <c r="A128" t="s">
        <v>115</v>
      </c>
      <c r="B128" t="s">
        <v>38</v>
      </c>
      <c r="C128">
        <v>0</v>
      </c>
      <c r="D128">
        <f>ROUND(SUM(householdfinance_v4_5!D128,householdfinance_v4_4!D128,householdfinance_v4_3!D128,householdfinance_v4_2!D128,householdfinance_v4_1!D128)/COUNT(householdfinance_v4_5!D128,householdfinance_v4_4!D128,householdfinance_v4_3!D128,householdfinance_v4_2!D128,householdfinance_v4_1!D128),0)</f>
        <v>1</v>
      </c>
      <c r="E128">
        <f>IF($D128=1,ROUND(SUM(householdfinance_v4_5!E128,householdfinance_v4_4!E128,householdfinance_v4_3!E128,householdfinance_v4_2!E128,householdfinance_v4_1!E128)/COUNT(householdfinance_v4_5!E128,householdfinance_v4_4!E128,householdfinance_v4_3!E128,householdfinance_v4_2!E128,householdfinance_v4_1!E128),0),"NA")</f>
        <v>1</v>
      </c>
      <c r="F128">
        <f>IF($D128=1,ROUND(SUM(householdfinance_v4_5!F128,householdfinance_v4_4!F128,householdfinance_v4_3!F128,householdfinance_v4_2!F128,householdfinance_v4_1!F128)/COUNT(householdfinance_v4_5!F128,householdfinance_v4_4!F128,householdfinance_v4_3!F128,householdfinance_v4_2!F128,householdfinance_v4_1!F128),0),"NA")</f>
        <v>1</v>
      </c>
      <c r="G128">
        <f>IF($D128=1,ROUND(SUM(householdfinance_v4_5!G128,householdfinance_v4_4!G128,householdfinance_v4_3!G128,householdfinance_v4_2!G128,householdfinance_v4_1!G128)/COUNT(householdfinance_v4_5!G128,householdfinance_v4_4!G128,householdfinance_v4_3!G128,householdfinance_v4_2!G128,householdfinance_v4_1!G128),0),"NA")</f>
        <v>1</v>
      </c>
      <c r="H128">
        <f>IF($E128=1,ROUND(SUM(householdfinance_v4_5!H128,householdfinance_v4_4!H128,householdfinance_v4_3!H128,householdfinance_v4_2!H128,householdfinance_v4_1!H128)/COUNT(householdfinance_v4_5!H128,householdfinance_v4_4!H128,householdfinance_v4_3!H128,householdfinance_v4_2!H128,householdfinance_v4_1!H128),0),"NA")</f>
        <v>1</v>
      </c>
      <c r="I128">
        <f>IF($D128=1,ROUND(SUM(householdfinance_v4_5!I128,householdfinance_v4_4!I128,householdfinance_v4_3!I128,householdfinance_v4_2!I128,householdfinance_v4_1!I128)/COUNT(householdfinance_v4_5!I128,householdfinance_v4_4!I128,householdfinance_v4_3!I128,householdfinance_v4_2!I128,householdfinance_v4_1!I128),0),"NA")</f>
        <v>1</v>
      </c>
      <c r="J128">
        <f>IF(AND($E128=1,$F128=1),ROUND(SUM(householdfinance_v4_5!J128,householdfinance_v4_4!J128,householdfinance_v4_3!J128,householdfinance_v4_2!J128,householdfinance_v4_1!J128)/COUNT(householdfinance_v4_5!J128,householdfinance_v4_4!J128,householdfinance_v4_3!J128,householdfinance_v4_2!J128,householdfinance_v4_1!J128),0),"NA")</f>
        <v>1</v>
      </c>
      <c r="K128">
        <f>IF($D128=1,ROUND(SUM(householdfinance_v4_5!K128,householdfinance_v4_4!K128,householdfinance_v4_3!K128,householdfinance_v4_2!K128,householdfinance_v4_1!K128)/COUNT(householdfinance_v4_5!K128,householdfinance_v4_4!K128,householdfinance_v4_3!K128,householdfinance_v4_2!K128,householdfinance_v4_1!K128),0),"NA")</f>
        <v>1</v>
      </c>
      <c r="L128">
        <f>IF($D128=1,ROUND(SUM(householdfinance_v4_5!L128,householdfinance_v4_4!L128,householdfinance_v4_3!L128,householdfinance_v4_2!L128,householdfinance_v4_1!L128)/COUNT(householdfinance_v4_5!L128,householdfinance_v4_4!L128,householdfinance_v4_3!L128,householdfinance_v4_2!L128,householdfinance_v4_1!L128),0),"NA")</f>
        <v>1</v>
      </c>
      <c r="M128">
        <f>IF($D128=1,ROUND(SUM(householdfinance_v4_5!M128,householdfinance_v4_4!M128,householdfinance_v4_3!M128,householdfinance_v4_2!M128,householdfinance_v4_1!M128)/COUNT(householdfinance_v4_5!M128,householdfinance_v4_4!M128,householdfinance_v4_3!M128,householdfinance_v4_2!M128,householdfinance_v4_1!M128),0),"NA")</f>
        <v>1</v>
      </c>
      <c r="N128">
        <f>IF($D128=1,ROUND(SUM(householdfinance_v4_5!N128,householdfinance_v4_4!N128,householdfinance_v4_3!N128,householdfinance_v4_2!N128,householdfinance_v4_1!N128)/COUNT(householdfinance_v4_5!N128,householdfinance_v4_4!N128,householdfinance_v4_3!N128,householdfinance_v4_2!N128,householdfinance_v4_1!N128),0),"NA")</f>
        <v>1</v>
      </c>
      <c r="O128">
        <v>1.175342798233032</v>
      </c>
    </row>
    <row r="129" spans="1:15" x14ac:dyDescent="0.25">
      <c r="A129" t="s">
        <v>115</v>
      </c>
      <c r="B129" t="s">
        <v>39</v>
      </c>
      <c r="C129">
        <v>0</v>
      </c>
      <c r="D129">
        <f>ROUND(SUM(householdfinance_v4_5!D129,householdfinance_v4_4!D129,householdfinance_v4_3!D129,householdfinance_v4_2!D129,householdfinance_v4_1!D129)/COUNT(householdfinance_v4_5!D129,householdfinance_v4_4!D129,householdfinance_v4_3!D129,householdfinance_v4_2!D129,householdfinance_v4_1!D129),0)</f>
        <v>1</v>
      </c>
      <c r="E129">
        <f>IF($D129=1,ROUND(SUM(householdfinance_v4_5!E129,householdfinance_v4_4!E129,householdfinance_v4_3!E129,householdfinance_v4_2!E129,householdfinance_v4_1!E129)/COUNT(householdfinance_v4_5!E129,householdfinance_v4_4!E129,householdfinance_v4_3!E129,householdfinance_v4_2!E129,householdfinance_v4_1!E129),0),"NA")</f>
        <v>1</v>
      </c>
      <c r="F129">
        <f>IF($D129=1,ROUND(SUM(householdfinance_v4_5!F129,householdfinance_v4_4!F129,householdfinance_v4_3!F129,householdfinance_v4_2!F129,householdfinance_v4_1!F129)/COUNT(householdfinance_v4_5!F129,householdfinance_v4_4!F129,householdfinance_v4_3!F129,householdfinance_v4_2!F129,householdfinance_v4_1!F129),0),"NA")</f>
        <v>1</v>
      </c>
      <c r="G129">
        <f>IF($D129=1,ROUND(SUM(householdfinance_v4_5!G129,householdfinance_v4_4!G129,householdfinance_v4_3!G129,householdfinance_v4_2!G129,householdfinance_v4_1!G129)/COUNT(householdfinance_v4_5!G129,householdfinance_v4_4!G129,householdfinance_v4_3!G129,householdfinance_v4_2!G129,householdfinance_v4_1!G129),0),"NA")</f>
        <v>1</v>
      </c>
      <c r="H129">
        <f>IF($E129=1,ROUND(SUM(householdfinance_v4_5!H129,householdfinance_v4_4!H129,householdfinance_v4_3!H129,householdfinance_v4_2!H129,householdfinance_v4_1!H129)/COUNT(householdfinance_v4_5!H129,householdfinance_v4_4!H129,householdfinance_v4_3!H129,householdfinance_v4_2!H129,householdfinance_v4_1!H129),0),"NA")</f>
        <v>1</v>
      </c>
      <c r="I129">
        <f>IF($D129=1,ROUND(SUM(householdfinance_v4_5!I129,householdfinance_v4_4!I129,householdfinance_v4_3!I129,householdfinance_v4_2!I129,householdfinance_v4_1!I129)/COUNT(householdfinance_v4_5!I129,householdfinance_v4_4!I129,householdfinance_v4_3!I129,householdfinance_v4_2!I129,householdfinance_v4_1!I129),0),"NA")</f>
        <v>1</v>
      </c>
      <c r="J129">
        <f>IF(AND($E129=1,$F129=1),ROUND(SUM(householdfinance_v4_5!J129,householdfinance_v4_4!J129,householdfinance_v4_3!J129,householdfinance_v4_2!J129,householdfinance_v4_1!J129)/COUNT(householdfinance_v4_5!J129,householdfinance_v4_4!J129,householdfinance_v4_3!J129,householdfinance_v4_2!J129,householdfinance_v4_1!J129),0),"NA")</f>
        <v>1</v>
      </c>
      <c r="K129">
        <f>IF($D129=1,ROUND(SUM(householdfinance_v4_5!K129,householdfinance_v4_4!K129,householdfinance_v4_3!K129,householdfinance_v4_2!K129,householdfinance_v4_1!K129)/COUNT(householdfinance_v4_5!K129,householdfinance_v4_4!K129,householdfinance_v4_3!K129,householdfinance_v4_2!K129,householdfinance_v4_1!K129),0),"NA")</f>
        <v>1</v>
      </c>
      <c r="L129">
        <f>IF($D129=1,ROUND(SUM(householdfinance_v4_5!L129,householdfinance_v4_4!L129,householdfinance_v4_3!L129,householdfinance_v4_2!L129,householdfinance_v4_1!L129)/COUNT(householdfinance_v4_5!L129,householdfinance_v4_4!L129,householdfinance_v4_3!L129,householdfinance_v4_2!L129,householdfinance_v4_1!L129),0),"NA")</f>
        <v>1</v>
      </c>
      <c r="M129">
        <f>IF($D129=1,ROUND(SUM(householdfinance_v4_5!M129,householdfinance_v4_4!M129,householdfinance_v4_3!M129,householdfinance_v4_2!M129,householdfinance_v4_1!M129)/COUNT(householdfinance_v4_5!M129,householdfinance_v4_4!M129,householdfinance_v4_3!M129,householdfinance_v4_2!M129,householdfinance_v4_1!M129),0),"NA")</f>
        <v>1</v>
      </c>
      <c r="N129">
        <f>IF($D129=1,ROUND(SUM(householdfinance_v4_5!N129,householdfinance_v4_4!N129,householdfinance_v4_3!N129,householdfinance_v4_2!N129,householdfinance_v4_1!N129)/COUNT(householdfinance_v4_5!N129,householdfinance_v4_4!N129,householdfinance_v4_3!N129,householdfinance_v4_2!N129,householdfinance_v4_1!N129),0),"NA")</f>
        <v>1</v>
      </c>
      <c r="O129">
        <v>1.3748779296875</v>
      </c>
    </row>
    <row r="130" spans="1:15" x14ac:dyDescent="0.25">
      <c r="A130" t="s">
        <v>115</v>
      </c>
      <c r="B130" t="s">
        <v>40</v>
      </c>
      <c r="C130">
        <v>0</v>
      </c>
      <c r="D130">
        <f>ROUND(SUM(householdfinance_v4_5!D130,householdfinance_v4_4!D130,householdfinance_v4_3!D130,householdfinance_v4_2!D130,householdfinance_v4_1!D130)/COUNT(householdfinance_v4_5!D130,householdfinance_v4_4!D130,householdfinance_v4_3!D130,householdfinance_v4_2!D130,householdfinance_v4_1!D130),0)</f>
        <v>1</v>
      </c>
      <c r="E130">
        <f>IF($D130=1,ROUND(SUM(householdfinance_v4_5!E130,householdfinance_v4_4!E130,householdfinance_v4_3!E130,householdfinance_v4_2!E130,householdfinance_v4_1!E130)/COUNT(householdfinance_v4_5!E130,householdfinance_v4_4!E130,householdfinance_v4_3!E130,householdfinance_v4_2!E130,householdfinance_v4_1!E130),0),"NA")</f>
        <v>1</v>
      </c>
      <c r="F130">
        <f>IF($D130=1,ROUND(SUM(householdfinance_v4_5!F130,householdfinance_v4_4!F130,householdfinance_v4_3!F130,householdfinance_v4_2!F130,householdfinance_v4_1!F130)/COUNT(householdfinance_v4_5!F130,householdfinance_v4_4!F130,householdfinance_v4_3!F130,householdfinance_v4_2!F130,householdfinance_v4_1!F130),0),"NA")</f>
        <v>1</v>
      </c>
      <c r="G130">
        <f>IF($D130=1,ROUND(SUM(householdfinance_v4_5!G130,householdfinance_v4_4!G130,householdfinance_v4_3!G130,householdfinance_v4_2!G130,householdfinance_v4_1!G130)/COUNT(householdfinance_v4_5!G130,householdfinance_v4_4!G130,householdfinance_v4_3!G130,householdfinance_v4_2!G130,householdfinance_v4_1!G130),0),"NA")</f>
        <v>0</v>
      </c>
      <c r="H130">
        <f>IF($E130=1,ROUND(SUM(householdfinance_v4_5!H130,householdfinance_v4_4!H130,householdfinance_v4_3!H130,householdfinance_v4_2!H130,householdfinance_v4_1!H130)/COUNT(householdfinance_v4_5!H130,householdfinance_v4_4!H130,householdfinance_v4_3!H130,householdfinance_v4_2!H130,householdfinance_v4_1!H130),0),"NA")</f>
        <v>1</v>
      </c>
      <c r="I130">
        <f>IF($D130=1,ROUND(SUM(householdfinance_v4_5!I130,householdfinance_v4_4!I130,householdfinance_v4_3!I130,householdfinance_v4_2!I130,householdfinance_v4_1!I130)/COUNT(householdfinance_v4_5!I130,householdfinance_v4_4!I130,householdfinance_v4_3!I130,householdfinance_v4_2!I130,householdfinance_v4_1!I130),0),"NA")</f>
        <v>1</v>
      </c>
      <c r="J130">
        <f>IF(AND($E130=1,$F130=1),ROUND(SUM(householdfinance_v4_5!J130,householdfinance_v4_4!J130,householdfinance_v4_3!J130,householdfinance_v4_2!J130,householdfinance_v4_1!J130)/COUNT(householdfinance_v4_5!J130,householdfinance_v4_4!J130,householdfinance_v4_3!J130,householdfinance_v4_2!J130,householdfinance_v4_1!J130),0),"NA")</f>
        <v>1</v>
      </c>
      <c r="K130">
        <f>IF($D130=1,ROUND(SUM(householdfinance_v4_5!K130,householdfinance_v4_4!K130,householdfinance_v4_3!K130,householdfinance_v4_2!K130,householdfinance_v4_1!K130)/COUNT(householdfinance_v4_5!K130,householdfinance_v4_4!K130,householdfinance_v4_3!K130,householdfinance_v4_2!K130,householdfinance_v4_1!K130),0),"NA")</f>
        <v>1</v>
      </c>
      <c r="L130">
        <f>IF($D130=1,ROUND(SUM(householdfinance_v4_5!L130,householdfinance_v4_4!L130,householdfinance_v4_3!L130,householdfinance_v4_2!L130,householdfinance_v4_1!L130)/COUNT(householdfinance_v4_5!L130,householdfinance_v4_4!L130,householdfinance_v4_3!L130,householdfinance_v4_2!L130,householdfinance_v4_1!L130),0),"NA")</f>
        <v>1</v>
      </c>
      <c r="M130">
        <f>IF($D130=1,ROUND(SUM(householdfinance_v4_5!M130,householdfinance_v4_4!M130,householdfinance_v4_3!M130,householdfinance_v4_2!M130,householdfinance_v4_1!M130)/COUNT(householdfinance_v4_5!M130,householdfinance_v4_4!M130,householdfinance_v4_3!M130,householdfinance_v4_2!M130,householdfinance_v4_1!M130),0),"NA")</f>
        <v>1</v>
      </c>
      <c r="N130">
        <f>IF($D130=1,ROUND(SUM(householdfinance_v4_5!N130,householdfinance_v4_4!N130,householdfinance_v4_3!N130,householdfinance_v4_2!N130,householdfinance_v4_1!N130)/COUNT(householdfinance_v4_5!N130,householdfinance_v4_4!N130,householdfinance_v4_3!N130,householdfinance_v4_2!N130,householdfinance_v4_1!N130),0),"NA")</f>
        <v>1</v>
      </c>
      <c r="O130">
        <v>2.3354594707489009</v>
      </c>
    </row>
    <row r="131" spans="1:15" x14ac:dyDescent="0.25">
      <c r="A131" t="s">
        <v>115</v>
      </c>
      <c r="B131" t="s">
        <v>41</v>
      </c>
      <c r="C131">
        <v>0</v>
      </c>
      <c r="D131">
        <f>ROUND(SUM(householdfinance_v4_5!D131,householdfinance_v4_4!D131,householdfinance_v4_3!D131,householdfinance_v4_2!D131,householdfinance_v4_1!D131)/COUNT(householdfinance_v4_5!D131,householdfinance_v4_4!D131,householdfinance_v4_3!D131,householdfinance_v4_2!D131,householdfinance_v4_1!D131),0)</f>
        <v>1</v>
      </c>
      <c r="E131">
        <f>IF($D131=1,ROUND(SUM(householdfinance_v4_5!E131,householdfinance_v4_4!E131,householdfinance_v4_3!E131,householdfinance_v4_2!E131,householdfinance_v4_1!E131)/COUNT(householdfinance_v4_5!E131,householdfinance_v4_4!E131,householdfinance_v4_3!E131,householdfinance_v4_2!E131,householdfinance_v4_1!E131),0),"NA")</f>
        <v>1</v>
      </c>
      <c r="F131">
        <f>IF($D131=1,ROUND(SUM(householdfinance_v4_5!F131,householdfinance_v4_4!F131,householdfinance_v4_3!F131,householdfinance_v4_2!F131,householdfinance_v4_1!F131)/COUNT(householdfinance_v4_5!F131,householdfinance_v4_4!F131,householdfinance_v4_3!F131,householdfinance_v4_2!F131,householdfinance_v4_1!F131),0),"NA")</f>
        <v>1</v>
      </c>
      <c r="G131">
        <f>IF($D131=1,ROUND(SUM(householdfinance_v4_5!G131,householdfinance_v4_4!G131,householdfinance_v4_3!G131,householdfinance_v4_2!G131,householdfinance_v4_1!G131)/COUNT(householdfinance_v4_5!G131,householdfinance_v4_4!G131,householdfinance_v4_3!G131,householdfinance_v4_2!G131,householdfinance_v4_1!G131),0),"NA")</f>
        <v>1</v>
      </c>
      <c r="H131">
        <f>IF($E131=1,ROUND(SUM(householdfinance_v4_5!H131,householdfinance_v4_4!H131,householdfinance_v4_3!H131,householdfinance_v4_2!H131,householdfinance_v4_1!H131)/COUNT(householdfinance_v4_5!H131,householdfinance_v4_4!H131,householdfinance_v4_3!H131,householdfinance_v4_2!H131,householdfinance_v4_1!H131),0),"NA")</f>
        <v>1</v>
      </c>
      <c r="I131">
        <f>IF($D131=1,ROUND(SUM(householdfinance_v4_5!I131,householdfinance_v4_4!I131,householdfinance_v4_3!I131,householdfinance_v4_2!I131,householdfinance_v4_1!I131)/COUNT(householdfinance_v4_5!I131,householdfinance_v4_4!I131,householdfinance_v4_3!I131,householdfinance_v4_2!I131,householdfinance_v4_1!I131),0),"NA")</f>
        <v>1</v>
      </c>
      <c r="J131">
        <f>IF(AND($E131=1,$F131=1),ROUND(SUM(householdfinance_v4_5!J131,householdfinance_v4_4!J131,householdfinance_v4_3!J131,householdfinance_v4_2!J131,householdfinance_v4_1!J131)/COUNT(householdfinance_v4_5!J131,householdfinance_v4_4!J131,householdfinance_v4_3!J131,householdfinance_v4_2!J131,householdfinance_v4_1!J131),0),"NA")</f>
        <v>1</v>
      </c>
      <c r="K131">
        <f>IF($D131=1,ROUND(SUM(householdfinance_v4_5!K131,householdfinance_v4_4!K131,householdfinance_v4_3!K131,householdfinance_v4_2!K131,householdfinance_v4_1!K131)/COUNT(householdfinance_v4_5!K131,householdfinance_v4_4!K131,householdfinance_v4_3!K131,householdfinance_v4_2!K131,householdfinance_v4_1!K131),0),"NA")</f>
        <v>1</v>
      </c>
      <c r="L131">
        <f>IF($D131=1,ROUND(SUM(householdfinance_v4_5!L131,householdfinance_v4_4!L131,householdfinance_v4_3!L131,householdfinance_v4_2!L131,householdfinance_v4_1!L131)/COUNT(householdfinance_v4_5!L131,householdfinance_v4_4!L131,householdfinance_v4_3!L131,householdfinance_v4_2!L131,householdfinance_v4_1!L131),0),"NA")</f>
        <v>1</v>
      </c>
      <c r="M131">
        <f>IF($D131=1,ROUND(SUM(householdfinance_v4_5!M131,householdfinance_v4_4!M131,householdfinance_v4_3!M131,householdfinance_v4_2!M131,householdfinance_v4_1!M131)/COUNT(householdfinance_v4_5!M131,householdfinance_v4_4!M131,householdfinance_v4_3!M131,householdfinance_v4_2!M131,householdfinance_v4_1!M131),0),"NA")</f>
        <v>1</v>
      </c>
      <c r="N131">
        <f>IF($D131=1,ROUND(SUM(householdfinance_v4_5!N131,householdfinance_v4_4!N131,householdfinance_v4_3!N131,householdfinance_v4_2!N131,householdfinance_v4_1!N131)/COUNT(householdfinance_v4_5!N131,householdfinance_v4_4!N131,householdfinance_v4_3!N131,householdfinance_v4_2!N131,householdfinance_v4_1!N131),0),"NA")</f>
        <v>1</v>
      </c>
      <c r="O131">
        <v>1.5671031475067141</v>
      </c>
    </row>
    <row r="132" spans="1:15" x14ac:dyDescent="0.25">
      <c r="A132" t="s">
        <v>115</v>
      </c>
      <c r="B132" t="s">
        <v>42</v>
      </c>
      <c r="C132">
        <v>0</v>
      </c>
      <c r="D132">
        <f>ROUND(SUM(householdfinance_v4_5!D132,householdfinance_v4_4!D132,householdfinance_v4_3!D132,householdfinance_v4_2!D132,householdfinance_v4_1!D132)/COUNT(householdfinance_v4_5!D132,householdfinance_v4_4!D132,householdfinance_v4_3!D132,householdfinance_v4_2!D132,householdfinance_v4_1!D132),0)</f>
        <v>1</v>
      </c>
      <c r="E132">
        <f>IF($D132=1,ROUND(SUM(householdfinance_v4_5!E132,householdfinance_v4_4!E132,householdfinance_v4_3!E132,householdfinance_v4_2!E132,householdfinance_v4_1!E132)/COUNT(householdfinance_v4_5!E132,householdfinance_v4_4!E132,householdfinance_v4_3!E132,householdfinance_v4_2!E132,householdfinance_v4_1!E132),0),"NA")</f>
        <v>1</v>
      </c>
      <c r="F132">
        <f>IF($D132=1,ROUND(SUM(householdfinance_v4_5!F132,householdfinance_v4_4!F132,householdfinance_v4_3!F132,householdfinance_v4_2!F132,householdfinance_v4_1!F132)/COUNT(householdfinance_v4_5!F132,householdfinance_v4_4!F132,householdfinance_v4_3!F132,householdfinance_v4_2!F132,householdfinance_v4_1!F132),0),"NA")</f>
        <v>1</v>
      </c>
      <c r="G132">
        <f>IF($D132=1,ROUND(SUM(householdfinance_v4_5!G132,householdfinance_v4_4!G132,householdfinance_v4_3!G132,householdfinance_v4_2!G132,householdfinance_v4_1!G132)/COUNT(householdfinance_v4_5!G132,householdfinance_v4_4!G132,householdfinance_v4_3!G132,householdfinance_v4_2!G132,householdfinance_v4_1!G132),0),"NA")</f>
        <v>1</v>
      </c>
      <c r="H132">
        <f>IF($E132=1,ROUND(SUM(householdfinance_v4_5!H132,householdfinance_v4_4!H132,householdfinance_v4_3!H132,householdfinance_v4_2!H132,householdfinance_v4_1!H132)/COUNT(householdfinance_v4_5!H132,householdfinance_v4_4!H132,householdfinance_v4_3!H132,householdfinance_v4_2!H132,householdfinance_v4_1!H132),0),"NA")</f>
        <v>1</v>
      </c>
      <c r="I132">
        <f>IF($D132=1,ROUND(SUM(householdfinance_v4_5!I132,householdfinance_v4_4!I132,householdfinance_v4_3!I132,householdfinance_v4_2!I132,householdfinance_v4_1!I132)/COUNT(householdfinance_v4_5!I132,householdfinance_v4_4!I132,householdfinance_v4_3!I132,householdfinance_v4_2!I132,householdfinance_v4_1!I132),0),"NA")</f>
        <v>1</v>
      </c>
      <c r="J132">
        <f>IF(AND($E132=1,$F132=1),ROUND(SUM(householdfinance_v4_5!J132,householdfinance_v4_4!J132,householdfinance_v4_3!J132,householdfinance_v4_2!J132,householdfinance_v4_1!J132)/COUNT(householdfinance_v4_5!J132,householdfinance_v4_4!J132,householdfinance_v4_3!J132,householdfinance_v4_2!J132,householdfinance_v4_1!J132),0),"NA")</f>
        <v>1</v>
      </c>
      <c r="K132">
        <f>IF($D132=1,ROUND(SUM(householdfinance_v4_5!K132,householdfinance_v4_4!K132,householdfinance_v4_3!K132,householdfinance_v4_2!K132,householdfinance_v4_1!K132)/COUNT(householdfinance_v4_5!K132,householdfinance_v4_4!K132,householdfinance_v4_3!K132,householdfinance_v4_2!K132,householdfinance_v4_1!K132),0),"NA")</f>
        <v>1</v>
      </c>
      <c r="L132">
        <f>IF($D132=1,ROUND(SUM(householdfinance_v4_5!L132,householdfinance_v4_4!L132,householdfinance_v4_3!L132,householdfinance_v4_2!L132,householdfinance_v4_1!L132)/COUNT(householdfinance_v4_5!L132,householdfinance_v4_4!L132,householdfinance_v4_3!L132,householdfinance_v4_2!L132,householdfinance_v4_1!L132),0),"NA")</f>
        <v>1</v>
      </c>
      <c r="M132">
        <f>IF($D132=1,ROUND(SUM(householdfinance_v4_5!M132,householdfinance_v4_4!M132,householdfinance_v4_3!M132,householdfinance_v4_2!M132,householdfinance_v4_1!M132)/COUNT(householdfinance_v4_5!M132,householdfinance_v4_4!M132,householdfinance_v4_3!M132,householdfinance_v4_2!M132,householdfinance_v4_1!M132),0),"NA")</f>
        <v>1</v>
      </c>
      <c r="N132">
        <f>IF($D132=1,ROUND(SUM(householdfinance_v4_5!N132,householdfinance_v4_4!N132,householdfinance_v4_3!N132,householdfinance_v4_2!N132,householdfinance_v4_1!N132)/COUNT(householdfinance_v4_5!N132,householdfinance_v4_4!N132,householdfinance_v4_3!N132,householdfinance_v4_2!N132,householdfinance_v4_1!N132),0),"NA")</f>
        <v>1</v>
      </c>
      <c r="O132">
        <v>2.1463913917541499</v>
      </c>
    </row>
    <row r="133" spans="1:15" x14ac:dyDescent="0.25">
      <c r="A133" t="s">
        <v>115</v>
      </c>
      <c r="B133" t="s">
        <v>43</v>
      </c>
      <c r="C133">
        <v>0</v>
      </c>
      <c r="D133">
        <f>ROUND(SUM(householdfinance_v4_5!D133,householdfinance_v4_4!D133,householdfinance_v4_3!D133,householdfinance_v4_2!D133,householdfinance_v4_1!D133)/COUNT(householdfinance_v4_5!D133,householdfinance_v4_4!D133,householdfinance_v4_3!D133,householdfinance_v4_2!D133,householdfinance_v4_1!D133),0)</f>
        <v>1</v>
      </c>
      <c r="E133">
        <f>IF($D133=1,ROUND(SUM(householdfinance_v4_5!E133,householdfinance_v4_4!E133,householdfinance_v4_3!E133,householdfinance_v4_2!E133,householdfinance_v4_1!E133)/COUNT(householdfinance_v4_5!E133,householdfinance_v4_4!E133,householdfinance_v4_3!E133,householdfinance_v4_2!E133,householdfinance_v4_1!E133),0),"NA")</f>
        <v>1</v>
      </c>
      <c r="F133">
        <f>IF($D133=1,ROUND(SUM(householdfinance_v4_5!F133,householdfinance_v4_4!F133,householdfinance_v4_3!F133,householdfinance_v4_2!F133,householdfinance_v4_1!F133)/COUNT(householdfinance_v4_5!F133,householdfinance_v4_4!F133,householdfinance_v4_3!F133,householdfinance_v4_2!F133,householdfinance_v4_1!F133),0),"NA")</f>
        <v>1</v>
      </c>
      <c r="G133">
        <f>IF($D133=1,ROUND(SUM(householdfinance_v4_5!G133,householdfinance_v4_4!G133,householdfinance_v4_3!G133,householdfinance_v4_2!G133,householdfinance_v4_1!G133)/COUNT(householdfinance_v4_5!G133,householdfinance_v4_4!G133,householdfinance_v4_3!G133,householdfinance_v4_2!G133,householdfinance_v4_1!G133),0),"NA")</f>
        <v>0</v>
      </c>
      <c r="H133">
        <f>IF($E133=1,ROUND(SUM(householdfinance_v4_5!H133,householdfinance_v4_4!H133,householdfinance_v4_3!H133,householdfinance_v4_2!H133,householdfinance_v4_1!H133)/COUNT(householdfinance_v4_5!H133,householdfinance_v4_4!H133,householdfinance_v4_3!H133,householdfinance_v4_2!H133,householdfinance_v4_1!H133),0),"NA")</f>
        <v>1</v>
      </c>
      <c r="I133">
        <f>IF($D133=1,ROUND(SUM(householdfinance_v4_5!I133,householdfinance_v4_4!I133,householdfinance_v4_3!I133,householdfinance_v4_2!I133,householdfinance_v4_1!I133)/COUNT(householdfinance_v4_5!I133,householdfinance_v4_4!I133,householdfinance_v4_3!I133,householdfinance_v4_2!I133,householdfinance_v4_1!I133),0),"NA")</f>
        <v>1</v>
      </c>
      <c r="J133">
        <f>IF(AND($E133=1,$F133=1),ROUND(SUM(householdfinance_v4_5!J133,householdfinance_v4_4!J133,householdfinance_v4_3!J133,householdfinance_v4_2!J133,householdfinance_v4_1!J133)/COUNT(householdfinance_v4_5!J133,householdfinance_v4_4!J133,householdfinance_v4_3!J133,householdfinance_v4_2!J133,householdfinance_v4_1!J133),0),"NA")</f>
        <v>1</v>
      </c>
      <c r="K133">
        <f>IF($D133=1,ROUND(SUM(householdfinance_v4_5!K133,householdfinance_v4_4!K133,householdfinance_v4_3!K133,householdfinance_v4_2!K133,householdfinance_v4_1!K133)/COUNT(householdfinance_v4_5!K133,householdfinance_v4_4!K133,householdfinance_v4_3!K133,householdfinance_v4_2!K133,householdfinance_v4_1!K133),0),"NA")</f>
        <v>1</v>
      </c>
      <c r="L133">
        <f>IF($D133=1,ROUND(SUM(householdfinance_v4_5!L133,householdfinance_v4_4!L133,householdfinance_v4_3!L133,householdfinance_v4_2!L133,householdfinance_v4_1!L133)/COUNT(householdfinance_v4_5!L133,householdfinance_v4_4!L133,householdfinance_v4_3!L133,householdfinance_v4_2!L133,householdfinance_v4_1!L133),0),"NA")</f>
        <v>1</v>
      </c>
      <c r="M133">
        <f>IF($D133=1,ROUND(SUM(householdfinance_v4_5!M133,householdfinance_v4_4!M133,householdfinance_v4_3!M133,householdfinance_v4_2!M133,householdfinance_v4_1!M133)/COUNT(householdfinance_v4_5!M133,householdfinance_v4_4!M133,householdfinance_v4_3!M133,householdfinance_v4_2!M133,householdfinance_v4_1!M133),0),"NA")</f>
        <v>1</v>
      </c>
      <c r="N133">
        <f>IF($D133=1,ROUND(SUM(householdfinance_v4_5!N133,householdfinance_v4_4!N133,householdfinance_v4_3!N133,householdfinance_v4_2!N133,householdfinance_v4_1!N133)/COUNT(householdfinance_v4_5!N133,householdfinance_v4_4!N133,householdfinance_v4_3!N133,householdfinance_v4_2!N133,householdfinance_v4_1!N133),0),"NA")</f>
        <v>1</v>
      </c>
      <c r="O133">
        <v>2.7495937347412109</v>
      </c>
    </row>
    <row r="134" spans="1:15" x14ac:dyDescent="0.25">
      <c r="A134" t="s">
        <v>115</v>
      </c>
      <c r="B134" t="s">
        <v>44</v>
      </c>
      <c r="C134">
        <v>0</v>
      </c>
      <c r="D134">
        <f>ROUND(SUM(householdfinance_v4_5!D134,householdfinance_v4_4!D134,householdfinance_v4_3!D134,householdfinance_v4_2!D134,householdfinance_v4_1!D134)/COUNT(householdfinance_v4_5!D134,householdfinance_v4_4!D134,householdfinance_v4_3!D134,householdfinance_v4_2!D134,householdfinance_v4_1!D134),0)</f>
        <v>1</v>
      </c>
      <c r="E134">
        <f>IF($D134=1,ROUND(SUM(householdfinance_v4_5!E134,householdfinance_v4_4!E134,householdfinance_v4_3!E134,householdfinance_v4_2!E134,householdfinance_v4_1!E134)/COUNT(householdfinance_v4_5!E134,householdfinance_v4_4!E134,householdfinance_v4_3!E134,householdfinance_v4_2!E134,householdfinance_v4_1!E134),0),"NA")</f>
        <v>1</v>
      </c>
      <c r="F134">
        <f>IF($D134=1,ROUND(SUM(householdfinance_v4_5!F134,householdfinance_v4_4!F134,householdfinance_v4_3!F134,householdfinance_v4_2!F134,householdfinance_v4_1!F134)/COUNT(householdfinance_v4_5!F134,householdfinance_v4_4!F134,householdfinance_v4_3!F134,householdfinance_v4_2!F134,householdfinance_v4_1!F134),0),"NA")</f>
        <v>1</v>
      </c>
      <c r="G134">
        <f>IF($D134=1,ROUND(SUM(householdfinance_v4_5!G134,householdfinance_v4_4!G134,householdfinance_v4_3!G134,householdfinance_v4_2!G134,householdfinance_v4_1!G134)/COUNT(householdfinance_v4_5!G134,householdfinance_v4_4!G134,householdfinance_v4_3!G134,householdfinance_v4_2!G134,householdfinance_v4_1!G134),0),"NA")</f>
        <v>1</v>
      </c>
      <c r="H134">
        <f>IF($E134=1,ROUND(SUM(householdfinance_v4_5!H134,householdfinance_v4_4!H134,householdfinance_v4_3!H134,householdfinance_v4_2!H134,householdfinance_v4_1!H134)/COUNT(householdfinance_v4_5!H134,householdfinance_v4_4!H134,householdfinance_v4_3!H134,householdfinance_v4_2!H134,householdfinance_v4_1!H134),0),"NA")</f>
        <v>1</v>
      </c>
      <c r="I134">
        <f>IF($D134=1,ROUND(SUM(householdfinance_v4_5!I134,householdfinance_v4_4!I134,householdfinance_v4_3!I134,householdfinance_v4_2!I134,householdfinance_v4_1!I134)/COUNT(householdfinance_v4_5!I134,householdfinance_v4_4!I134,householdfinance_v4_3!I134,householdfinance_v4_2!I134,householdfinance_v4_1!I134),0),"NA")</f>
        <v>1</v>
      </c>
      <c r="J134">
        <f>IF(AND($E134=1,$F134=1),ROUND(SUM(householdfinance_v4_5!J134,householdfinance_v4_4!J134,householdfinance_v4_3!J134,householdfinance_v4_2!J134,householdfinance_v4_1!J134)/COUNT(householdfinance_v4_5!J134,householdfinance_v4_4!J134,householdfinance_v4_3!J134,householdfinance_v4_2!J134,householdfinance_v4_1!J134),0),"NA")</f>
        <v>1</v>
      </c>
      <c r="K134">
        <f>IF($D134=1,ROUND(SUM(householdfinance_v4_5!K134,householdfinance_v4_4!K134,householdfinance_v4_3!K134,householdfinance_v4_2!K134,householdfinance_v4_1!K134)/COUNT(householdfinance_v4_5!K134,householdfinance_v4_4!K134,householdfinance_v4_3!K134,householdfinance_v4_2!K134,householdfinance_v4_1!K134),0),"NA")</f>
        <v>1</v>
      </c>
      <c r="L134">
        <f>IF($D134=1,ROUND(SUM(householdfinance_v4_5!L134,householdfinance_v4_4!L134,householdfinance_v4_3!L134,householdfinance_v4_2!L134,householdfinance_v4_1!L134)/COUNT(householdfinance_v4_5!L134,householdfinance_v4_4!L134,householdfinance_v4_3!L134,householdfinance_v4_2!L134,householdfinance_v4_1!L134),0),"NA")</f>
        <v>1</v>
      </c>
      <c r="M134">
        <f>IF($D134=1,ROUND(SUM(householdfinance_v4_5!M134,householdfinance_v4_4!M134,householdfinance_v4_3!M134,householdfinance_v4_2!M134,householdfinance_v4_1!M134)/COUNT(householdfinance_v4_5!M134,householdfinance_v4_4!M134,householdfinance_v4_3!M134,householdfinance_v4_2!M134,householdfinance_v4_1!M134),0),"NA")</f>
        <v>1</v>
      </c>
      <c r="N134">
        <f>IF($D134=1,ROUND(SUM(householdfinance_v4_5!N134,householdfinance_v4_4!N134,householdfinance_v4_3!N134,householdfinance_v4_2!N134,householdfinance_v4_1!N134)/COUNT(householdfinance_v4_5!N134,householdfinance_v4_4!N134,householdfinance_v4_3!N134,householdfinance_v4_2!N134,householdfinance_v4_1!N134),0),"NA")</f>
        <v>1</v>
      </c>
      <c r="O134">
        <v>1.597567081451416</v>
      </c>
    </row>
    <row r="135" spans="1:15" x14ac:dyDescent="0.25">
      <c r="A135" t="s">
        <v>115</v>
      </c>
      <c r="B135" t="s">
        <v>45</v>
      </c>
      <c r="C135">
        <v>0</v>
      </c>
      <c r="D135">
        <f>ROUND(SUM(householdfinance_v4_5!D135,householdfinance_v4_4!D135,householdfinance_v4_3!D135,householdfinance_v4_2!D135,householdfinance_v4_1!D135)/COUNT(householdfinance_v4_5!D135,householdfinance_v4_4!D135,householdfinance_v4_3!D135,householdfinance_v4_2!D135,householdfinance_v4_1!D135),0)</f>
        <v>1</v>
      </c>
      <c r="E135">
        <f>IF($D135=1,ROUND(SUM(householdfinance_v4_5!E135,householdfinance_v4_4!E135,householdfinance_v4_3!E135,householdfinance_v4_2!E135,householdfinance_v4_1!E135)/COUNT(householdfinance_v4_5!E135,householdfinance_v4_4!E135,householdfinance_v4_3!E135,householdfinance_v4_2!E135,householdfinance_v4_1!E135),0),"NA")</f>
        <v>1</v>
      </c>
      <c r="F135">
        <f>IF($D135=1,ROUND(SUM(householdfinance_v4_5!F135,householdfinance_v4_4!F135,householdfinance_v4_3!F135,householdfinance_v4_2!F135,householdfinance_v4_1!F135)/COUNT(householdfinance_v4_5!F135,householdfinance_v4_4!F135,householdfinance_v4_3!F135,householdfinance_v4_2!F135,householdfinance_v4_1!F135),0),"NA")</f>
        <v>1</v>
      </c>
      <c r="G135">
        <f>IF($D135=1,ROUND(SUM(householdfinance_v4_5!G135,householdfinance_v4_4!G135,householdfinance_v4_3!G135,householdfinance_v4_2!G135,householdfinance_v4_1!G135)/COUNT(householdfinance_v4_5!G135,householdfinance_v4_4!G135,householdfinance_v4_3!G135,householdfinance_v4_2!G135,householdfinance_v4_1!G135),0),"NA")</f>
        <v>1</v>
      </c>
      <c r="H135">
        <f>IF($E135=1,ROUND(SUM(householdfinance_v4_5!H135,householdfinance_v4_4!H135,householdfinance_v4_3!H135,householdfinance_v4_2!H135,householdfinance_v4_1!H135)/COUNT(householdfinance_v4_5!H135,householdfinance_v4_4!H135,householdfinance_v4_3!H135,householdfinance_v4_2!H135,householdfinance_v4_1!H135),0),"NA")</f>
        <v>1</v>
      </c>
      <c r="I135">
        <f>IF($D135=1,ROUND(SUM(householdfinance_v4_5!I135,householdfinance_v4_4!I135,householdfinance_v4_3!I135,householdfinance_v4_2!I135,householdfinance_v4_1!I135)/COUNT(householdfinance_v4_5!I135,householdfinance_v4_4!I135,householdfinance_v4_3!I135,householdfinance_v4_2!I135,householdfinance_v4_1!I135),0),"NA")</f>
        <v>1</v>
      </c>
      <c r="J135">
        <f>IF(AND($E135=1,$F135=1),ROUND(SUM(householdfinance_v4_5!J135,householdfinance_v4_4!J135,householdfinance_v4_3!J135,householdfinance_v4_2!J135,householdfinance_v4_1!J135)/COUNT(householdfinance_v4_5!J135,householdfinance_v4_4!J135,householdfinance_v4_3!J135,householdfinance_v4_2!J135,householdfinance_v4_1!J135),0),"NA")</f>
        <v>1</v>
      </c>
      <c r="K135">
        <f>IF($D135=1,ROUND(SUM(householdfinance_v4_5!K135,householdfinance_v4_4!K135,householdfinance_v4_3!K135,householdfinance_v4_2!K135,householdfinance_v4_1!K135)/COUNT(householdfinance_v4_5!K135,householdfinance_v4_4!K135,householdfinance_v4_3!K135,householdfinance_v4_2!K135,householdfinance_v4_1!K135),0),"NA")</f>
        <v>1</v>
      </c>
      <c r="L135">
        <f>IF($D135=1,ROUND(SUM(householdfinance_v4_5!L135,householdfinance_v4_4!L135,householdfinance_v4_3!L135,householdfinance_v4_2!L135,householdfinance_v4_1!L135)/COUNT(householdfinance_v4_5!L135,householdfinance_v4_4!L135,householdfinance_v4_3!L135,householdfinance_v4_2!L135,householdfinance_v4_1!L135),0),"NA")</f>
        <v>1</v>
      </c>
      <c r="M135">
        <f>IF($D135=1,ROUND(SUM(householdfinance_v4_5!M135,householdfinance_v4_4!M135,householdfinance_v4_3!M135,householdfinance_v4_2!M135,householdfinance_v4_1!M135)/COUNT(householdfinance_v4_5!M135,householdfinance_v4_4!M135,householdfinance_v4_3!M135,householdfinance_v4_2!M135,householdfinance_v4_1!M135),0),"NA")</f>
        <v>1</v>
      </c>
      <c r="N135">
        <f>IF($D135=1,ROUND(SUM(householdfinance_v4_5!N135,householdfinance_v4_4!N135,householdfinance_v4_3!N135,householdfinance_v4_2!N135,householdfinance_v4_1!N135)/COUNT(householdfinance_v4_5!N135,householdfinance_v4_4!N135,householdfinance_v4_3!N135,householdfinance_v4_2!N135,householdfinance_v4_1!N135),0),"NA")</f>
        <v>1</v>
      </c>
      <c r="O135">
        <v>1.1563911437988279</v>
      </c>
    </row>
    <row r="136" spans="1:15" x14ac:dyDescent="0.25">
      <c r="A136" t="s">
        <v>115</v>
      </c>
      <c r="B136" t="s">
        <v>47</v>
      </c>
      <c r="C136">
        <v>0</v>
      </c>
      <c r="D136">
        <f>ROUND(SUM(householdfinance_v4_5!D136,householdfinance_v4_4!D136,householdfinance_v4_3!D136,householdfinance_v4_2!D136,householdfinance_v4_1!D136)/COUNT(householdfinance_v4_5!D136,householdfinance_v4_4!D136,householdfinance_v4_3!D136,householdfinance_v4_2!D136,householdfinance_v4_1!D136),0)</f>
        <v>1</v>
      </c>
      <c r="E136">
        <f>IF($D136=1,ROUND(SUM(householdfinance_v4_5!E136,householdfinance_v4_4!E136,householdfinance_v4_3!E136,householdfinance_v4_2!E136,householdfinance_v4_1!E136)/COUNT(householdfinance_v4_5!E136,householdfinance_v4_4!E136,householdfinance_v4_3!E136,householdfinance_v4_2!E136,householdfinance_v4_1!E136),0),"NA")</f>
        <v>1</v>
      </c>
      <c r="F136">
        <f>IF($D136=1,ROUND(SUM(householdfinance_v4_5!F136,householdfinance_v4_4!F136,householdfinance_v4_3!F136,householdfinance_v4_2!F136,householdfinance_v4_1!F136)/COUNT(householdfinance_v4_5!F136,householdfinance_v4_4!F136,householdfinance_v4_3!F136,householdfinance_v4_2!F136,householdfinance_v4_1!F136),0),"NA")</f>
        <v>1</v>
      </c>
      <c r="G136">
        <f>IF($D136=1,ROUND(SUM(householdfinance_v4_5!G136,householdfinance_v4_4!G136,householdfinance_v4_3!G136,householdfinance_v4_2!G136,householdfinance_v4_1!G136)/COUNT(householdfinance_v4_5!G136,householdfinance_v4_4!G136,householdfinance_v4_3!G136,householdfinance_v4_2!G136,householdfinance_v4_1!G136),0),"NA")</f>
        <v>1</v>
      </c>
      <c r="H136">
        <f>IF($E136=1,ROUND(SUM(householdfinance_v4_5!H136,householdfinance_v4_4!H136,householdfinance_v4_3!H136,householdfinance_v4_2!H136,householdfinance_v4_1!H136)/COUNT(householdfinance_v4_5!H136,householdfinance_v4_4!H136,householdfinance_v4_3!H136,householdfinance_v4_2!H136,householdfinance_v4_1!H136),0),"NA")</f>
        <v>1</v>
      </c>
      <c r="I136">
        <f>IF($D136=1,ROUND(SUM(householdfinance_v4_5!I136,householdfinance_v4_4!I136,householdfinance_v4_3!I136,householdfinance_v4_2!I136,householdfinance_v4_1!I136)/COUNT(householdfinance_v4_5!I136,householdfinance_v4_4!I136,householdfinance_v4_3!I136,householdfinance_v4_2!I136,householdfinance_v4_1!I136),0),"NA")</f>
        <v>1</v>
      </c>
      <c r="J136">
        <f>IF(AND($E136=1,$F136=1),ROUND(SUM(householdfinance_v4_5!J136,householdfinance_v4_4!J136,householdfinance_v4_3!J136,householdfinance_v4_2!J136,householdfinance_v4_1!J136)/COUNT(householdfinance_v4_5!J136,householdfinance_v4_4!J136,householdfinance_v4_3!J136,householdfinance_v4_2!J136,householdfinance_v4_1!J136),0),"NA")</f>
        <v>1</v>
      </c>
      <c r="K136">
        <f>IF($D136=1,ROUND(SUM(householdfinance_v4_5!K136,householdfinance_v4_4!K136,householdfinance_v4_3!K136,householdfinance_v4_2!K136,householdfinance_v4_1!K136)/COUNT(householdfinance_v4_5!K136,householdfinance_v4_4!K136,householdfinance_v4_3!K136,householdfinance_v4_2!K136,householdfinance_v4_1!K136),0),"NA")</f>
        <v>1</v>
      </c>
      <c r="L136">
        <f>IF($D136=1,ROUND(SUM(householdfinance_v4_5!L136,householdfinance_v4_4!L136,householdfinance_v4_3!L136,householdfinance_v4_2!L136,householdfinance_v4_1!L136)/COUNT(householdfinance_v4_5!L136,householdfinance_v4_4!L136,householdfinance_v4_3!L136,householdfinance_v4_2!L136,householdfinance_v4_1!L136),0),"NA")</f>
        <v>1</v>
      </c>
      <c r="M136">
        <f>IF($D136=1,ROUND(SUM(householdfinance_v4_5!M136,householdfinance_v4_4!M136,householdfinance_v4_3!M136,householdfinance_v4_2!M136,householdfinance_v4_1!M136)/COUNT(householdfinance_v4_5!M136,householdfinance_v4_4!M136,householdfinance_v4_3!M136,householdfinance_v4_2!M136,householdfinance_v4_1!M136),0),"NA")</f>
        <v>1</v>
      </c>
      <c r="N136">
        <f>IF($D136=1,ROUND(SUM(householdfinance_v4_5!N136,householdfinance_v4_4!N136,householdfinance_v4_3!N136,householdfinance_v4_2!N136,householdfinance_v4_1!N136)/COUNT(householdfinance_v4_5!N136,householdfinance_v4_4!N136,householdfinance_v4_3!N136,householdfinance_v4_2!N136,householdfinance_v4_1!N136),0),"NA")</f>
        <v>1</v>
      </c>
      <c r="O136">
        <v>1.6395478248596189</v>
      </c>
    </row>
    <row r="137" spans="1:15" x14ac:dyDescent="0.25">
      <c r="A137" t="s">
        <v>115</v>
      </c>
      <c r="B137" t="s">
        <v>48</v>
      </c>
      <c r="C137">
        <v>0</v>
      </c>
      <c r="D137">
        <f>ROUND(SUM(householdfinance_v4_5!D137,householdfinance_v4_4!D137,householdfinance_v4_3!D137,householdfinance_v4_2!D137,householdfinance_v4_1!D137)/COUNT(householdfinance_v4_5!D137,householdfinance_v4_4!D137,householdfinance_v4_3!D137,householdfinance_v4_2!D137,householdfinance_v4_1!D137),0)</f>
        <v>1</v>
      </c>
      <c r="E137">
        <f>IF($D137=1,ROUND(SUM(householdfinance_v4_5!E137,householdfinance_v4_4!E137,householdfinance_v4_3!E137,householdfinance_v4_2!E137,householdfinance_v4_1!E137)/COUNT(householdfinance_v4_5!E137,householdfinance_v4_4!E137,householdfinance_v4_3!E137,householdfinance_v4_2!E137,householdfinance_v4_1!E137),0),"NA")</f>
        <v>0</v>
      </c>
      <c r="F137">
        <f>IF($D137=1,ROUND(SUM(householdfinance_v4_5!F137,householdfinance_v4_4!F137,householdfinance_v4_3!F137,householdfinance_v4_2!F137,householdfinance_v4_1!F137)/COUNT(householdfinance_v4_5!F137,householdfinance_v4_4!F137,householdfinance_v4_3!F137,householdfinance_v4_2!F137,householdfinance_v4_1!F137),0),"NA")</f>
        <v>1</v>
      </c>
      <c r="G137">
        <f>IF($D137=1,ROUND(SUM(householdfinance_v4_5!G137,householdfinance_v4_4!G137,householdfinance_v4_3!G137,householdfinance_v4_2!G137,householdfinance_v4_1!G137)/COUNT(householdfinance_v4_5!G137,householdfinance_v4_4!G137,householdfinance_v4_3!G137,householdfinance_v4_2!G137,householdfinance_v4_1!G137),0),"NA")</f>
        <v>1</v>
      </c>
      <c r="H137" t="str">
        <f>IF($E137=1,ROUND(SUM(householdfinance_v4_5!H137,householdfinance_v4_4!H137,householdfinance_v4_3!H137,householdfinance_v4_2!H137,householdfinance_v4_1!H137)/COUNT(householdfinance_v4_5!H137,householdfinance_v4_4!H137,householdfinance_v4_3!H137,householdfinance_v4_2!H137,householdfinance_v4_1!H137),0),"NA")</f>
        <v>NA</v>
      </c>
      <c r="I137">
        <f>IF($D137=1,ROUND(SUM(householdfinance_v4_5!I137,householdfinance_v4_4!I137,householdfinance_v4_3!I137,householdfinance_v4_2!I137,householdfinance_v4_1!I137)/COUNT(householdfinance_v4_5!I137,householdfinance_v4_4!I137,householdfinance_v4_3!I137,householdfinance_v4_2!I137,householdfinance_v4_1!I137),0),"NA")</f>
        <v>1</v>
      </c>
      <c r="J137" t="str">
        <f>IF(AND($E137=1,$F137=1),ROUND(SUM(householdfinance_v4_5!J137,householdfinance_v4_4!J137,householdfinance_v4_3!J137,householdfinance_v4_2!J137,householdfinance_v4_1!J137)/COUNT(householdfinance_v4_5!J137,householdfinance_v4_4!J137,householdfinance_v4_3!J137,householdfinance_v4_2!J137,householdfinance_v4_1!J137),0),"NA")</f>
        <v>NA</v>
      </c>
      <c r="K137">
        <f>IF($D137=1,ROUND(SUM(householdfinance_v4_5!K137,householdfinance_v4_4!K137,householdfinance_v4_3!K137,householdfinance_v4_2!K137,householdfinance_v4_1!K137)/COUNT(householdfinance_v4_5!K137,householdfinance_v4_4!K137,householdfinance_v4_3!K137,householdfinance_v4_2!K137,householdfinance_v4_1!K137),0),"NA")</f>
        <v>1</v>
      </c>
      <c r="L137">
        <f>IF($D137=1,ROUND(SUM(householdfinance_v4_5!L137,householdfinance_v4_4!L137,householdfinance_v4_3!L137,householdfinance_v4_2!L137,householdfinance_v4_1!L137)/COUNT(householdfinance_v4_5!L137,householdfinance_v4_4!L137,householdfinance_v4_3!L137,householdfinance_v4_2!L137,householdfinance_v4_1!L137),0),"NA")</f>
        <v>1</v>
      </c>
      <c r="M137">
        <f>IF($D137=1,ROUND(SUM(householdfinance_v4_5!M137,householdfinance_v4_4!M137,householdfinance_v4_3!M137,householdfinance_v4_2!M137,householdfinance_v4_1!M137)/COUNT(householdfinance_v4_5!M137,householdfinance_v4_4!M137,householdfinance_v4_3!M137,householdfinance_v4_2!M137,householdfinance_v4_1!M137),0),"NA")</f>
        <v>1</v>
      </c>
      <c r="N137">
        <f>IF($D137=1,ROUND(SUM(householdfinance_v4_5!N137,householdfinance_v4_4!N137,householdfinance_v4_3!N137,householdfinance_v4_2!N137,householdfinance_v4_1!N137)/COUNT(householdfinance_v4_5!N137,householdfinance_v4_4!N137,householdfinance_v4_3!N137,householdfinance_v4_2!N137,householdfinance_v4_1!N137),0),"NA")</f>
        <v>1</v>
      </c>
      <c r="O137">
        <v>2.91932201385498</v>
      </c>
    </row>
    <row r="138" spans="1:15" x14ac:dyDescent="0.25">
      <c r="A138" t="s">
        <v>115</v>
      </c>
      <c r="B138" t="s">
        <v>50</v>
      </c>
      <c r="C138">
        <v>0</v>
      </c>
      <c r="D138">
        <f>ROUND(SUM(householdfinance_v4_5!D138,householdfinance_v4_4!D138,householdfinance_v4_3!D138,householdfinance_v4_2!D138,householdfinance_v4_1!D138)/COUNT(householdfinance_v4_5!D138,householdfinance_v4_4!D138,householdfinance_v4_3!D138,householdfinance_v4_2!D138,householdfinance_v4_1!D138),0)</f>
        <v>1</v>
      </c>
      <c r="E138">
        <f>IF($D138=1,ROUND(SUM(householdfinance_v4_5!E138,householdfinance_v4_4!E138,householdfinance_v4_3!E138,householdfinance_v4_2!E138,householdfinance_v4_1!E138)/COUNT(householdfinance_v4_5!E138,householdfinance_v4_4!E138,householdfinance_v4_3!E138,householdfinance_v4_2!E138,householdfinance_v4_1!E138),0),"NA")</f>
        <v>1</v>
      </c>
      <c r="F138">
        <f>IF($D138=1,ROUND(SUM(householdfinance_v4_5!F138,householdfinance_v4_4!F138,householdfinance_v4_3!F138,householdfinance_v4_2!F138,householdfinance_v4_1!F138)/COUNT(householdfinance_v4_5!F138,householdfinance_v4_4!F138,householdfinance_v4_3!F138,householdfinance_v4_2!F138,householdfinance_v4_1!F138),0),"NA")</f>
        <v>1</v>
      </c>
      <c r="G138">
        <f>IF($D138=1,ROUND(SUM(householdfinance_v4_5!G138,householdfinance_v4_4!G138,householdfinance_v4_3!G138,householdfinance_v4_2!G138,householdfinance_v4_1!G138)/COUNT(householdfinance_v4_5!G138,householdfinance_v4_4!G138,householdfinance_v4_3!G138,householdfinance_v4_2!G138,householdfinance_v4_1!G138),0),"NA")</f>
        <v>1</v>
      </c>
      <c r="H138">
        <f>IF($E138=1,ROUND(SUM(householdfinance_v4_5!H138,householdfinance_v4_4!H138,householdfinance_v4_3!H138,householdfinance_v4_2!H138,householdfinance_v4_1!H138)/COUNT(householdfinance_v4_5!H138,householdfinance_v4_4!H138,householdfinance_v4_3!H138,householdfinance_v4_2!H138,householdfinance_v4_1!H138),0),"NA")</f>
        <v>1</v>
      </c>
      <c r="I138">
        <f>IF($D138=1,ROUND(SUM(householdfinance_v4_5!I138,householdfinance_v4_4!I138,householdfinance_v4_3!I138,householdfinance_v4_2!I138,householdfinance_v4_1!I138)/COUNT(householdfinance_v4_5!I138,householdfinance_v4_4!I138,householdfinance_v4_3!I138,householdfinance_v4_2!I138,householdfinance_v4_1!I138),0),"NA")</f>
        <v>1</v>
      </c>
      <c r="J138">
        <f>IF(AND($E138=1,$F138=1),ROUND(SUM(householdfinance_v4_5!J138,householdfinance_v4_4!J138,householdfinance_v4_3!J138,householdfinance_v4_2!J138,householdfinance_v4_1!J138)/COUNT(householdfinance_v4_5!J138,householdfinance_v4_4!J138,householdfinance_v4_3!J138,householdfinance_v4_2!J138,householdfinance_v4_1!J138),0),"NA")</f>
        <v>1</v>
      </c>
      <c r="K138">
        <f>IF($D138=1,ROUND(SUM(householdfinance_v4_5!K138,householdfinance_v4_4!K138,householdfinance_v4_3!K138,householdfinance_v4_2!K138,householdfinance_v4_1!K138)/COUNT(householdfinance_v4_5!K138,householdfinance_v4_4!K138,householdfinance_v4_3!K138,householdfinance_v4_2!K138,householdfinance_v4_1!K138),0),"NA")</f>
        <v>1</v>
      </c>
      <c r="L138">
        <f>IF($D138=1,ROUND(SUM(householdfinance_v4_5!L138,householdfinance_v4_4!L138,householdfinance_v4_3!L138,householdfinance_v4_2!L138,householdfinance_v4_1!L138)/COUNT(householdfinance_v4_5!L138,householdfinance_v4_4!L138,householdfinance_v4_3!L138,householdfinance_v4_2!L138,householdfinance_v4_1!L138),0),"NA")</f>
        <v>1</v>
      </c>
      <c r="M138">
        <f>IF($D138=1,ROUND(SUM(householdfinance_v4_5!M138,householdfinance_v4_4!M138,householdfinance_v4_3!M138,householdfinance_v4_2!M138,householdfinance_v4_1!M138)/COUNT(householdfinance_v4_5!M138,householdfinance_v4_4!M138,householdfinance_v4_3!M138,householdfinance_v4_2!M138,householdfinance_v4_1!M138),0),"NA")</f>
        <v>1</v>
      </c>
      <c r="N138">
        <f>IF($D138=1,ROUND(SUM(householdfinance_v4_5!N138,householdfinance_v4_4!N138,householdfinance_v4_3!N138,householdfinance_v4_2!N138,householdfinance_v4_1!N138)/COUNT(householdfinance_v4_5!N138,householdfinance_v4_4!N138,householdfinance_v4_3!N138,householdfinance_v4_2!N138,householdfinance_v4_1!N138),0),"NA")</f>
        <v>1</v>
      </c>
      <c r="O138">
        <v>1.183607816696167</v>
      </c>
    </row>
    <row r="139" spans="1:15" x14ac:dyDescent="0.25">
      <c r="A139" t="s">
        <v>115</v>
      </c>
      <c r="B139" t="s">
        <v>51</v>
      </c>
      <c r="C139">
        <v>0</v>
      </c>
      <c r="D139">
        <f>ROUND(SUM(householdfinance_v4_5!D139,householdfinance_v4_4!D139,householdfinance_v4_3!D139,householdfinance_v4_2!D139,householdfinance_v4_1!D139)/COUNT(householdfinance_v4_5!D139,householdfinance_v4_4!D139,householdfinance_v4_3!D139,householdfinance_v4_2!D139,householdfinance_v4_1!D139),0)</f>
        <v>1</v>
      </c>
      <c r="E139">
        <f>IF($D139=1,ROUND(SUM(householdfinance_v4_5!E139,householdfinance_v4_4!E139,householdfinance_v4_3!E139,householdfinance_v4_2!E139,householdfinance_v4_1!E139)/COUNT(householdfinance_v4_5!E139,householdfinance_v4_4!E139,householdfinance_v4_3!E139,householdfinance_v4_2!E139,householdfinance_v4_1!E139),0),"NA")</f>
        <v>0</v>
      </c>
      <c r="F139">
        <f>IF($D139=1,ROUND(SUM(householdfinance_v4_5!F139,householdfinance_v4_4!F139,householdfinance_v4_3!F139,householdfinance_v4_2!F139,householdfinance_v4_1!F139)/COUNT(householdfinance_v4_5!F139,householdfinance_v4_4!F139,householdfinance_v4_3!F139,householdfinance_v4_2!F139,householdfinance_v4_1!F139),0),"NA")</f>
        <v>1</v>
      </c>
      <c r="G139">
        <f>IF($D139=1,ROUND(SUM(householdfinance_v4_5!G139,householdfinance_v4_4!G139,householdfinance_v4_3!G139,householdfinance_v4_2!G139,householdfinance_v4_1!G139)/COUNT(householdfinance_v4_5!G139,householdfinance_v4_4!G139,householdfinance_v4_3!G139,householdfinance_v4_2!G139,householdfinance_v4_1!G139),0),"NA")</f>
        <v>1</v>
      </c>
      <c r="H139" t="str">
        <f>IF($E139=1,ROUND(SUM(householdfinance_v4_5!H139,householdfinance_v4_4!H139,householdfinance_v4_3!H139,householdfinance_v4_2!H139,householdfinance_v4_1!H139)/COUNT(householdfinance_v4_5!H139,householdfinance_v4_4!H139,householdfinance_v4_3!H139,householdfinance_v4_2!H139,householdfinance_v4_1!H139),0),"NA")</f>
        <v>NA</v>
      </c>
      <c r="I139">
        <f>IF($D139=1,ROUND(SUM(householdfinance_v4_5!I139,householdfinance_v4_4!I139,householdfinance_v4_3!I139,householdfinance_v4_2!I139,householdfinance_v4_1!I139)/COUNT(householdfinance_v4_5!I139,householdfinance_v4_4!I139,householdfinance_v4_3!I139,householdfinance_v4_2!I139,householdfinance_v4_1!I139),0),"NA")</f>
        <v>1</v>
      </c>
      <c r="J139" t="str">
        <f>IF(AND($E139=1,$F139=1),ROUND(SUM(householdfinance_v4_5!J139,householdfinance_v4_4!J139,householdfinance_v4_3!J139,householdfinance_v4_2!J139,householdfinance_v4_1!J139)/COUNT(householdfinance_v4_5!J139,householdfinance_v4_4!J139,householdfinance_v4_3!J139,householdfinance_v4_2!J139,householdfinance_v4_1!J139),0),"NA")</f>
        <v>NA</v>
      </c>
      <c r="K139">
        <f>IF($D139=1,ROUND(SUM(householdfinance_v4_5!K139,householdfinance_v4_4!K139,householdfinance_v4_3!K139,householdfinance_v4_2!K139,householdfinance_v4_1!K139)/COUNT(householdfinance_v4_5!K139,householdfinance_v4_4!K139,householdfinance_v4_3!K139,householdfinance_v4_2!K139,householdfinance_v4_1!K139),0),"NA")</f>
        <v>1</v>
      </c>
      <c r="L139">
        <f>IF($D139=1,ROUND(SUM(householdfinance_v4_5!L139,householdfinance_v4_4!L139,householdfinance_v4_3!L139,householdfinance_v4_2!L139,householdfinance_v4_1!L139)/COUNT(householdfinance_v4_5!L139,householdfinance_v4_4!L139,householdfinance_v4_3!L139,householdfinance_v4_2!L139,householdfinance_v4_1!L139),0),"NA")</f>
        <v>1</v>
      </c>
      <c r="M139">
        <f>IF($D139=1,ROUND(SUM(householdfinance_v4_5!M139,householdfinance_v4_4!M139,householdfinance_v4_3!M139,householdfinance_v4_2!M139,householdfinance_v4_1!M139)/COUNT(householdfinance_v4_5!M139,householdfinance_v4_4!M139,householdfinance_v4_3!M139,householdfinance_v4_2!M139,householdfinance_v4_1!M139),0),"NA")</f>
        <v>1</v>
      </c>
      <c r="N139">
        <f>IF($D139=1,ROUND(SUM(householdfinance_v4_5!N139,householdfinance_v4_4!N139,householdfinance_v4_3!N139,householdfinance_v4_2!N139,householdfinance_v4_1!N139)/COUNT(householdfinance_v4_5!N139,householdfinance_v4_4!N139,householdfinance_v4_3!N139,householdfinance_v4_2!N139,householdfinance_v4_1!N139),0),"NA")</f>
        <v>1</v>
      </c>
      <c r="O139">
        <v>2.2034554481506352</v>
      </c>
    </row>
    <row r="140" spans="1:15" x14ac:dyDescent="0.25">
      <c r="A140" t="s">
        <v>115</v>
      </c>
      <c r="B140" t="s">
        <v>53</v>
      </c>
      <c r="C140">
        <v>0</v>
      </c>
      <c r="D140">
        <f>ROUND(SUM(householdfinance_v4_5!D140,householdfinance_v4_4!D140,householdfinance_v4_3!D140,householdfinance_v4_2!D140,householdfinance_v4_1!D140)/COUNT(householdfinance_v4_5!D140,householdfinance_v4_4!D140,householdfinance_v4_3!D140,householdfinance_v4_2!D140,householdfinance_v4_1!D140),0)</f>
        <v>1</v>
      </c>
      <c r="E140">
        <f>IF($D140=1,ROUND(SUM(householdfinance_v4_5!E140,householdfinance_v4_4!E140,householdfinance_v4_3!E140,householdfinance_v4_2!E140,householdfinance_v4_1!E140)/COUNT(householdfinance_v4_5!E140,householdfinance_v4_4!E140,householdfinance_v4_3!E140,householdfinance_v4_2!E140,householdfinance_v4_1!E140),0),"NA")</f>
        <v>1</v>
      </c>
      <c r="F140">
        <f>IF($D140=1,ROUND(SUM(householdfinance_v4_5!F140,householdfinance_v4_4!F140,householdfinance_v4_3!F140,householdfinance_v4_2!F140,householdfinance_v4_1!F140)/COUNT(householdfinance_v4_5!F140,householdfinance_v4_4!F140,householdfinance_v4_3!F140,householdfinance_v4_2!F140,householdfinance_v4_1!F140),0),"NA")</f>
        <v>0</v>
      </c>
      <c r="G140">
        <f>IF($D140=1,ROUND(SUM(householdfinance_v4_5!G140,householdfinance_v4_4!G140,householdfinance_v4_3!G140,householdfinance_v4_2!G140,householdfinance_v4_1!G140)/COUNT(householdfinance_v4_5!G140,householdfinance_v4_4!G140,householdfinance_v4_3!G140,householdfinance_v4_2!G140,householdfinance_v4_1!G140),0),"NA")</f>
        <v>1</v>
      </c>
      <c r="H140">
        <f>IF($E140=1,ROUND(SUM(householdfinance_v4_5!H140,householdfinance_v4_4!H140,householdfinance_v4_3!H140,householdfinance_v4_2!H140,householdfinance_v4_1!H140)/COUNT(householdfinance_v4_5!H140,householdfinance_v4_4!H140,householdfinance_v4_3!H140,householdfinance_v4_2!H140,householdfinance_v4_1!H140),0),"NA")</f>
        <v>1</v>
      </c>
      <c r="I140">
        <f>IF($D140=1,ROUND(SUM(householdfinance_v4_5!I140,householdfinance_v4_4!I140,householdfinance_v4_3!I140,householdfinance_v4_2!I140,householdfinance_v4_1!I140)/COUNT(householdfinance_v4_5!I140,householdfinance_v4_4!I140,householdfinance_v4_3!I140,householdfinance_v4_2!I140,householdfinance_v4_1!I140),0),"NA")</f>
        <v>1</v>
      </c>
      <c r="J140" t="str">
        <f>IF(AND($E140=1,$F140=1),ROUND(SUM(householdfinance_v4_5!J140,householdfinance_v4_4!J140,householdfinance_v4_3!J140,householdfinance_v4_2!J140,householdfinance_v4_1!J140)/COUNT(householdfinance_v4_5!J140,householdfinance_v4_4!J140,householdfinance_v4_3!J140,householdfinance_v4_2!J140,householdfinance_v4_1!J140),0),"NA")</f>
        <v>NA</v>
      </c>
      <c r="K140">
        <f>IF($D140=1,ROUND(SUM(householdfinance_v4_5!K140,householdfinance_v4_4!K140,householdfinance_v4_3!K140,householdfinance_v4_2!K140,householdfinance_v4_1!K140)/COUNT(householdfinance_v4_5!K140,householdfinance_v4_4!K140,householdfinance_v4_3!K140,householdfinance_v4_2!K140,householdfinance_v4_1!K140),0),"NA")</f>
        <v>1</v>
      </c>
      <c r="L140">
        <f>IF($D140=1,ROUND(SUM(householdfinance_v4_5!L140,householdfinance_v4_4!L140,householdfinance_v4_3!L140,householdfinance_v4_2!L140,householdfinance_v4_1!L140)/COUNT(householdfinance_v4_5!L140,householdfinance_v4_4!L140,householdfinance_v4_3!L140,householdfinance_v4_2!L140,householdfinance_v4_1!L140),0),"NA")</f>
        <v>1</v>
      </c>
      <c r="M140">
        <f>IF($D140=1,ROUND(SUM(householdfinance_v4_5!M140,householdfinance_v4_4!M140,householdfinance_v4_3!M140,householdfinance_v4_2!M140,householdfinance_v4_1!M140)/COUNT(householdfinance_v4_5!M140,householdfinance_v4_4!M140,householdfinance_v4_3!M140,householdfinance_v4_2!M140,householdfinance_v4_1!M140),0),"NA")</f>
        <v>1</v>
      </c>
      <c r="N140">
        <f>IF($D140=1,ROUND(SUM(householdfinance_v4_5!N140,householdfinance_v4_4!N140,householdfinance_v4_3!N140,householdfinance_v4_2!N140,householdfinance_v4_1!N140)/COUNT(householdfinance_v4_5!N140,householdfinance_v4_4!N140,householdfinance_v4_3!N140,householdfinance_v4_2!N140,householdfinance_v4_1!N140),0),"NA")</f>
        <v>1</v>
      </c>
      <c r="O140">
        <v>2.9175713062286381</v>
      </c>
    </row>
    <row r="141" spans="1:15" x14ac:dyDescent="0.25">
      <c r="A141" t="s">
        <v>115</v>
      </c>
      <c r="B141" t="s">
        <v>55</v>
      </c>
      <c r="C141">
        <v>0</v>
      </c>
      <c r="D141">
        <f>ROUND(SUM(householdfinance_v4_5!D141,householdfinance_v4_4!D141,householdfinance_v4_3!D141,householdfinance_v4_2!D141,householdfinance_v4_1!D141)/COUNT(householdfinance_v4_5!D141,householdfinance_v4_4!D141,householdfinance_v4_3!D141,householdfinance_v4_2!D141,householdfinance_v4_1!D141),0)</f>
        <v>1</v>
      </c>
      <c r="E141">
        <f>IF($D141=1,ROUND(SUM(householdfinance_v4_5!E141,householdfinance_v4_4!E141,householdfinance_v4_3!E141,householdfinance_v4_2!E141,householdfinance_v4_1!E141)/COUNT(householdfinance_v4_5!E141,householdfinance_v4_4!E141,householdfinance_v4_3!E141,householdfinance_v4_2!E141,householdfinance_v4_1!E141),0),"NA")</f>
        <v>1</v>
      </c>
      <c r="F141">
        <f>IF($D141=1,ROUND(SUM(householdfinance_v4_5!F141,householdfinance_v4_4!F141,householdfinance_v4_3!F141,householdfinance_v4_2!F141,householdfinance_v4_1!F141)/COUNT(householdfinance_v4_5!F141,householdfinance_v4_4!F141,householdfinance_v4_3!F141,householdfinance_v4_2!F141,householdfinance_v4_1!F141),0),"NA")</f>
        <v>1</v>
      </c>
      <c r="G141">
        <f>IF($D141=1,ROUND(SUM(householdfinance_v4_5!G141,householdfinance_v4_4!G141,householdfinance_v4_3!G141,householdfinance_v4_2!G141,householdfinance_v4_1!G141)/COUNT(householdfinance_v4_5!G141,householdfinance_v4_4!G141,householdfinance_v4_3!G141,householdfinance_v4_2!G141,householdfinance_v4_1!G141),0),"NA")</f>
        <v>1</v>
      </c>
      <c r="H141">
        <f>IF($E141=1,ROUND(SUM(householdfinance_v4_5!H141,householdfinance_v4_4!H141,householdfinance_v4_3!H141,householdfinance_v4_2!H141,householdfinance_v4_1!H141)/COUNT(householdfinance_v4_5!H141,householdfinance_v4_4!H141,householdfinance_v4_3!H141,householdfinance_v4_2!H141,householdfinance_v4_1!H141),0),"NA")</f>
        <v>1</v>
      </c>
      <c r="I141">
        <f>IF($D141=1,ROUND(SUM(householdfinance_v4_5!I141,householdfinance_v4_4!I141,householdfinance_v4_3!I141,householdfinance_v4_2!I141,householdfinance_v4_1!I141)/COUNT(householdfinance_v4_5!I141,householdfinance_v4_4!I141,householdfinance_v4_3!I141,householdfinance_v4_2!I141,householdfinance_v4_1!I141),0),"NA")</f>
        <v>1</v>
      </c>
      <c r="J141">
        <f>IF(AND($E141=1,$F141=1),ROUND(SUM(householdfinance_v4_5!J141,householdfinance_v4_4!J141,householdfinance_v4_3!J141,householdfinance_v4_2!J141,householdfinance_v4_1!J141)/COUNT(householdfinance_v4_5!J141,householdfinance_v4_4!J141,householdfinance_v4_3!J141,householdfinance_v4_2!J141,householdfinance_v4_1!J141),0),"NA")</f>
        <v>1</v>
      </c>
      <c r="K141">
        <f>IF($D141=1,ROUND(SUM(householdfinance_v4_5!K141,householdfinance_v4_4!K141,householdfinance_v4_3!K141,householdfinance_v4_2!K141,householdfinance_v4_1!K141)/COUNT(householdfinance_v4_5!K141,householdfinance_v4_4!K141,householdfinance_v4_3!K141,householdfinance_v4_2!K141,householdfinance_v4_1!K141),0),"NA")</f>
        <v>1</v>
      </c>
      <c r="L141">
        <f>IF($D141=1,ROUND(SUM(householdfinance_v4_5!L141,householdfinance_v4_4!L141,householdfinance_v4_3!L141,householdfinance_v4_2!L141,householdfinance_v4_1!L141)/COUNT(householdfinance_v4_5!L141,householdfinance_v4_4!L141,householdfinance_v4_3!L141,householdfinance_v4_2!L141,householdfinance_v4_1!L141),0),"NA")</f>
        <v>1</v>
      </c>
      <c r="M141">
        <f>IF($D141=1,ROUND(SUM(householdfinance_v4_5!M141,householdfinance_v4_4!M141,householdfinance_v4_3!M141,householdfinance_v4_2!M141,householdfinance_v4_1!M141)/COUNT(householdfinance_v4_5!M141,householdfinance_v4_4!M141,householdfinance_v4_3!M141,householdfinance_v4_2!M141,householdfinance_v4_1!M141),0),"NA")</f>
        <v>1</v>
      </c>
      <c r="N141">
        <f>IF($D141=1,ROUND(SUM(householdfinance_v4_5!N141,householdfinance_v4_4!N141,householdfinance_v4_3!N141,householdfinance_v4_2!N141,householdfinance_v4_1!N141)/COUNT(householdfinance_v4_5!N141,householdfinance_v4_4!N141,householdfinance_v4_3!N141,householdfinance_v4_2!N141,householdfinance_v4_1!N141),0),"NA")</f>
        <v>1</v>
      </c>
      <c r="O141">
        <v>1.618688821792603</v>
      </c>
    </row>
    <row r="142" spans="1:15" x14ac:dyDescent="0.25">
      <c r="A142" t="s">
        <v>115</v>
      </c>
      <c r="B142" t="s">
        <v>56</v>
      </c>
      <c r="C142">
        <v>0</v>
      </c>
      <c r="D142">
        <f>ROUND(SUM(householdfinance_v4_5!D142,householdfinance_v4_4!D142,householdfinance_v4_3!D142,householdfinance_v4_2!D142,householdfinance_v4_1!D142)/COUNT(householdfinance_v4_5!D142,householdfinance_v4_4!D142,householdfinance_v4_3!D142,householdfinance_v4_2!D142,householdfinance_v4_1!D142),0)</f>
        <v>1</v>
      </c>
      <c r="E142">
        <f>IF($D142=1,ROUND(SUM(householdfinance_v4_5!E142,householdfinance_v4_4!E142,householdfinance_v4_3!E142,householdfinance_v4_2!E142,householdfinance_v4_1!E142)/COUNT(householdfinance_v4_5!E142,householdfinance_v4_4!E142,householdfinance_v4_3!E142,householdfinance_v4_2!E142,householdfinance_v4_1!E142),0),"NA")</f>
        <v>1</v>
      </c>
      <c r="F142">
        <f>IF($D142=1,ROUND(SUM(householdfinance_v4_5!F142,householdfinance_v4_4!F142,householdfinance_v4_3!F142,householdfinance_v4_2!F142,householdfinance_v4_1!F142)/COUNT(householdfinance_v4_5!F142,householdfinance_v4_4!F142,householdfinance_v4_3!F142,householdfinance_v4_2!F142,householdfinance_v4_1!F142),0),"NA")</f>
        <v>1</v>
      </c>
      <c r="G142">
        <f>IF($D142=1,ROUND(SUM(householdfinance_v4_5!G142,householdfinance_v4_4!G142,householdfinance_v4_3!G142,householdfinance_v4_2!G142,householdfinance_v4_1!G142)/COUNT(householdfinance_v4_5!G142,householdfinance_v4_4!G142,householdfinance_v4_3!G142,householdfinance_v4_2!G142,householdfinance_v4_1!G142),0),"NA")</f>
        <v>1</v>
      </c>
      <c r="H142">
        <f>IF($E142=1,ROUND(SUM(householdfinance_v4_5!H142,householdfinance_v4_4!H142,householdfinance_v4_3!H142,householdfinance_v4_2!H142,householdfinance_v4_1!H142)/COUNT(householdfinance_v4_5!H142,householdfinance_v4_4!H142,householdfinance_v4_3!H142,householdfinance_v4_2!H142,householdfinance_v4_1!H142),0),"NA")</f>
        <v>1</v>
      </c>
      <c r="I142">
        <f>IF($D142=1,ROUND(SUM(householdfinance_v4_5!I142,householdfinance_v4_4!I142,householdfinance_v4_3!I142,householdfinance_v4_2!I142,householdfinance_v4_1!I142)/COUNT(householdfinance_v4_5!I142,householdfinance_v4_4!I142,householdfinance_v4_3!I142,householdfinance_v4_2!I142,householdfinance_v4_1!I142),0),"NA")</f>
        <v>1</v>
      </c>
      <c r="J142">
        <f>IF(AND($E142=1,$F142=1),ROUND(SUM(householdfinance_v4_5!J142,householdfinance_v4_4!J142,householdfinance_v4_3!J142,householdfinance_v4_2!J142,householdfinance_v4_1!J142)/COUNT(householdfinance_v4_5!J142,householdfinance_v4_4!J142,householdfinance_v4_3!J142,householdfinance_v4_2!J142,householdfinance_v4_1!J142),0),"NA")</f>
        <v>1</v>
      </c>
      <c r="K142">
        <f>IF($D142=1,ROUND(SUM(householdfinance_v4_5!K142,householdfinance_v4_4!K142,householdfinance_v4_3!K142,householdfinance_v4_2!K142,householdfinance_v4_1!K142)/COUNT(householdfinance_v4_5!K142,householdfinance_v4_4!K142,householdfinance_v4_3!K142,householdfinance_v4_2!K142,householdfinance_v4_1!K142),0),"NA")</f>
        <v>1</v>
      </c>
      <c r="L142">
        <f>IF($D142=1,ROUND(SUM(householdfinance_v4_5!L142,householdfinance_v4_4!L142,householdfinance_v4_3!L142,householdfinance_v4_2!L142,householdfinance_v4_1!L142)/COUNT(householdfinance_v4_5!L142,householdfinance_v4_4!L142,householdfinance_v4_3!L142,householdfinance_v4_2!L142,householdfinance_v4_1!L142),0),"NA")</f>
        <v>1</v>
      </c>
      <c r="M142">
        <f>IF($D142=1,ROUND(SUM(householdfinance_v4_5!M142,householdfinance_v4_4!M142,householdfinance_v4_3!M142,householdfinance_v4_2!M142,householdfinance_v4_1!M142)/COUNT(householdfinance_v4_5!M142,householdfinance_v4_4!M142,householdfinance_v4_3!M142,householdfinance_v4_2!M142,householdfinance_v4_1!M142),0),"NA")</f>
        <v>1</v>
      </c>
      <c r="N142">
        <f>IF($D142=1,ROUND(SUM(householdfinance_v4_5!N142,householdfinance_v4_4!N142,householdfinance_v4_3!N142,householdfinance_v4_2!N142,householdfinance_v4_1!N142)/COUNT(householdfinance_v4_5!N142,householdfinance_v4_4!N142,householdfinance_v4_3!N142,householdfinance_v4_2!N142,householdfinance_v4_1!N142),0),"NA")</f>
        <v>1</v>
      </c>
      <c r="O142">
        <v>2.8082122802734379</v>
      </c>
    </row>
    <row r="143" spans="1:15" x14ac:dyDescent="0.25">
      <c r="A143" t="s">
        <v>115</v>
      </c>
      <c r="B143" t="s">
        <v>58</v>
      </c>
      <c r="C143">
        <v>0</v>
      </c>
      <c r="D143">
        <f>ROUND(SUM(householdfinance_v4_5!D143,householdfinance_v4_4!D143,householdfinance_v4_3!D143,householdfinance_v4_2!D143,householdfinance_v4_1!D143)/COUNT(householdfinance_v4_5!D143,householdfinance_v4_4!D143,householdfinance_v4_3!D143,householdfinance_v4_2!D143,householdfinance_v4_1!D143),0)</f>
        <v>1</v>
      </c>
      <c r="E143">
        <f>IF($D143=1,ROUND(SUM(householdfinance_v4_5!E143,householdfinance_v4_4!E143,householdfinance_v4_3!E143,householdfinance_v4_2!E143,householdfinance_v4_1!E143)/COUNT(householdfinance_v4_5!E143,householdfinance_v4_4!E143,householdfinance_v4_3!E143,householdfinance_v4_2!E143,householdfinance_v4_1!E143),0),"NA")</f>
        <v>1</v>
      </c>
      <c r="F143">
        <f>IF($D143=1,ROUND(SUM(householdfinance_v4_5!F143,householdfinance_v4_4!F143,householdfinance_v4_3!F143,householdfinance_v4_2!F143,householdfinance_v4_1!F143)/COUNT(householdfinance_v4_5!F143,householdfinance_v4_4!F143,householdfinance_v4_3!F143,householdfinance_v4_2!F143,householdfinance_v4_1!F143),0),"NA")</f>
        <v>1</v>
      </c>
      <c r="G143">
        <f>IF($D143=1,ROUND(SUM(householdfinance_v4_5!G143,householdfinance_v4_4!G143,householdfinance_v4_3!G143,householdfinance_v4_2!G143,householdfinance_v4_1!G143)/COUNT(householdfinance_v4_5!G143,householdfinance_v4_4!G143,householdfinance_v4_3!G143,householdfinance_v4_2!G143,householdfinance_v4_1!G143),0),"NA")</f>
        <v>1</v>
      </c>
      <c r="H143">
        <f>IF($E143=1,ROUND(SUM(householdfinance_v4_5!H143,householdfinance_v4_4!H143,householdfinance_v4_3!H143,householdfinance_v4_2!H143,householdfinance_v4_1!H143)/COUNT(householdfinance_v4_5!H143,householdfinance_v4_4!H143,householdfinance_v4_3!H143,householdfinance_v4_2!H143,householdfinance_v4_1!H143),0),"NA")</f>
        <v>1</v>
      </c>
      <c r="I143">
        <f>IF($D143=1,ROUND(SUM(householdfinance_v4_5!I143,householdfinance_v4_4!I143,householdfinance_v4_3!I143,householdfinance_v4_2!I143,householdfinance_v4_1!I143)/COUNT(householdfinance_v4_5!I143,householdfinance_v4_4!I143,householdfinance_v4_3!I143,householdfinance_v4_2!I143,householdfinance_v4_1!I143),0),"NA")</f>
        <v>1</v>
      </c>
      <c r="J143">
        <f>IF(AND($E143=1,$F143=1),ROUND(SUM(householdfinance_v4_5!J143,householdfinance_v4_4!J143,householdfinance_v4_3!J143,householdfinance_v4_2!J143,householdfinance_v4_1!J143)/COUNT(householdfinance_v4_5!J143,householdfinance_v4_4!J143,householdfinance_v4_3!J143,householdfinance_v4_2!J143,householdfinance_v4_1!J143),0),"NA")</f>
        <v>1</v>
      </c>
      <c r="K143">
        <f>IF($D143=1,ROUND(SUM(householdfinance_v4_5!K143,householdfinance_v4_4!K143,householdfinance_v4_3!K143,householdfinance_v4_2!K143,householdfinance_v4_1!K143)/COUNT(householdfinance_v4_5!K143,householdfinance_v4_4!K143,householdfinance_v4_3!K143,householdfinance_v4_2!K143,householdfinance_v4_1!K143),0),"NA")</f>
        <v>1</v>
      </c>
      <c r="L143">
        <f>IF($D143=1,ROUND(SUM(householdfinance_v4_5!L143,householdfinance_v4_4!L143,householdfinance_v4_3!L143,householdfinance_v4_2!L143,householdfinance_v4_1!L143)/COUNT(householdfinance_v4_5!L143,householdfinance_v4_4!L143,householdfinance_v4_3!L143,householdfinance_v4_2!L143,householdfinance_v4_1!L143),0),"NA")</f>
        <v>1</v>
      </c>
      <c r="M143">
        <f>IF($D143=1,ROUND(SUM(householdfinance_v4_5!M143,householdfinance_v4_4!M143,householdfinance_v4_3!M143,householdfinance_v4_2!M143,householdfinance_v4_1!M143)/COUNT(householdfinance_v4_5!M143,householdfinance_v4_4!M143,householdfinance_v4_3!M143,householdfinance_v4_2!M143,householdfinance_v4_1!M143),0),"NA")</f>
        <v>1</v>
      </c>
      <c r="N143">
        <f>IF($D143=1,ROUND(SUM(householdfinance_v4_5!N143,householdfinance_v4_4!N143,householdfinance_v4_3!N143,householdfinance_v4_2!N143,householdfinance_v4_1!N143)/COUNT(householdfinance_v4_5!N143,householdfinance_v4_4!N143,householdfinance_v4_3!N143,householdfinance_v4_2!N143,householdfinance_v4_1!N143),0),"NA")</f>
        <v>1</v>
      </c>
      <c r="O143">
        <v>1.183783292770386</v>
      </c>
    </row>
    <row r="144" spans="1:15" x14ac:dyDescent="0.25">
      <c r="A144" t="s">
        <v>115</v>
      </c>
      <c r="B144" t="s">
        <v>60</v>
      </c>
      <c r="C144">
        <v>0</v>
      </c>
      <c r="D144">
        <f>ROUND(SUM(householdfinance_v4_5!D144,householdfinance_v4_4!D144,householdfinance_v4_3!D144,householdfinance_v4_2!D144,householdfinance_v4_1!D144)/COUNT(householdfinance_v4_5!D144,householdfinance_v4_4!D144,householdfinance_v4_3!D144,householdfinance_v4_2!D144,householdfinance_v4_1!D144),0)</f>
        <v>1</v>
      </c>
      <c r="E144">
        <f>IF($D144=1,ROUND(SUM(householdfinance_v4_5!E144,householdfinance_v4_4!E144,householdfinance_v4_3!E144,householdfinance_v4_2!E144,householdfinance_v4_1!E144)/COUNT(householdfinance_v4_5!E144,householdfinance_v4_4!E144,householdfinance_v4_3!E144,householdfinance_v4_2!E144,householdfinance_v4_1!E144),0),"NA")</f>
        <v>1</v>
      </c>
      <c r="F144">
        <f>IF($D144=1,ROUND(SUM(householdfinance_v4_5!F144,householdfinance_v4_4!F144,householdfinance_v4_3!F144,householdfinance_v4_2!F144,householdfinance_v4_1!F144)/COUNT(householdfinance_v4_5!F144,householdfinance_v4_4!F144,householdfinance_v4_3!F144,householdfinance_v4_2!F144,householdfinance_v4_1!F144),0),"NA")</f>
        <v>1</v>
      </c>
      <c r="G144">
        <f>IF($D144=1,ROUND(SUM(householdfinance_v4_5!G144,householdfinance_v4_4!G144,householdfinance_v4_3!G144,householdfinance_v4_2!G144,householdfinance_v4_1!G144)/COUNT(householdfinance_v4_5!G144,householdfinance_v4_4!G144,householdfinance_v4_3!G144,householdfinance_v4_2!G144,householdfinance_v4_1!G144),0),"NA")</f>
        <v>1</v>
      </c>
      <c r="H144">
        <f>IF($E144=1,ROUND(SUM(householdfinance_v4_5!H144,householdfinance_v4_4!H144,householdfinance_v4_3!H144,householdfinance_v4_2!H144,householdfinance_v4_1!H144)/COUNT(householdfinance_v4_5!H144,householdfinance_v4_4!H144,householdfinance_v4_3!H144,householdfinance_v4_2!H144,householdfinance_v4_1!H144),0),"NA")</f>
        <v>1</v>
      </c>
      <c r="I144">
        <f>IF($D144=1,ROUND(SUM(householdfinance_v4_5!I144,householdfinance_v4_4!I144,householdfinance_v4_3!I144,householdfinance_v4_2!I144,householdfinance_v4_1!I144)/COUNT(householdfinance_v4_5!I144,householdfinance_v4_4!I144,householdfinance_v4_3!I144,householdfinance_v4_2!I144,householdfinance_v4_1!I144),0),"NA")</f>
        <v>1</v>
      </c>
      <c r="J144">
        <f>IF(AND($E144=1,$F144=1),ROUND(SUM(householdfinance_v4_5!J144,householdfinance_v4_4!J144,householdfinance_v4_3!J144,householdfinance_v4_2!J144,householdfinance_v4_1!J144)/COUNT(householdfinance_v4_5!J144,householdfinance_v4_4!J144,householdfinance_v4_3!J144,householdfinance_v4_2!J144,householdfinance_v4_1!J144),0),"NA")</f>
        <v>1</v>
      </c>
      <c r="K144">
        <f>IF($D144=1,ROUND(SUM(householdfinance_v4_5!K144,householdfinance_v4_4!K144,householdfinance_v4_3!K144,householdfinance_v4_2!K144,householdfinance_v4_1!K144)/COUNT(householdfinance_v4_5!K144,householdfinance_v4_4!K144,householdfinance_v4_3!K144,householdfinance_v4_2!K144,householdfinance_v4_1!K144),0),"NA")</f>
        <v>1</v>
      </c>
      <c r="L144">
        <f>IF($D144=1,ROUND(SUM(householdfinance_v4_5!L144,householdfinance_v4_4!L144,householdfinance_v4_3!L144,householdfinance_v4_2!L144,householdfinance_v4_1!L144)/COUNT(householdfinance_v4_5!L144,householdfinance_v4_4!L144,householdfinance_v4_3!L144,householdfinance_v4_2!L144,householdfinance_v4_1!L144),0),"NA")</f>
        <v>1</v>
      </c>
      <c r="M144">
        <f>IF($D144=1,ROUND(SUM(householdfinance_v4_5!M144,householdfinance_v4_4!M144,householdfinance_v4_3!M144,householdfinance_v4_2!M144,householdfinance_v4_1!M144)/COUNT(householdfinance_v4_5!M144,householdfinance_v4_4!M144,householdfinance_v4_3!M144,householdfinance_v4_2!M144,householdfinance_v4_1!M144),0),"NA")</f>
        <v>1</v>
      </c>
      <c r="N144">
        <f>IF($D144=1,ROUND(SUM(householdfinance_v4_5!N144,householdfinance_v4_4!N144,householdfinance_v4_3!N144,householdfinance_v4_2!N144,householdfinance_v4_1!N144)/COUNT(householdfinance_v4_5!N144,householdfinance_v4_4!N144,householdfinance_v4_3!N144,householdfinance_v4_2!N144,householdfinance_v4_1!N144),0),"NA")</f>
        <v>1</v>
      </c>
      <c r="O144">
        <v>1.9413659572601321</v>
      </c>
    </row>
    <row r="145" spans="1:15" x14ac:dyDescent="0.25">
      <c r="A145" t="s">
        <v>115</v>
      </c>
      <c r="B145" t="s">
        <v>62</v>
      </c>
      <c r="C145">
        <v>0</v>
      </c>
      <c r="D145">
        <f>ROUND(SUM(householdfinance_v4_5!D145,householdfinance_v4_4!D145,householdfinance_v4_3!D145,householdfinance_v4_2!D145,householdfinance_v4_1!D145)/COUNT(householdfinance_v4_5!D145,householdfinance_v4_4!D145,householdfinance_v4_3!D145,householdfinance_v4_2!D145,householdfinance_v4_1!D145),0)</f>
        <v>1</v>
      </c>
      <c r="E145">
        <f>IF($D145=1,ROUND(SUM(householdfinance_v4_5!E145,householdfinance_v4_4!E145,householdfinance_v4_3!E145,householdfinance_v4_2!E145,householdfinance_v4_1!E145)/COUNT(householdfinance_v4_5!E145,householdfinance_v4_4!E145,householdfinance_v4_3!E145,householdfinance_v4_2!E145,householdfinance_v4_1!E145),0),"NA")</f>
        <v>1</v>
      </c>
      <c r="F145">
        <f>IF($D145=1,ROUND(SUM(householdfinance_v4_5!F145,householdfinance_v4_4!F145,householdfinance_v4_3!F145,householdfinance_v4_2!F145,householdfinance_v4_1!F145)/COUNT(householdfinance_v4_5!F145,householdfinance_v4_4!F145,householdfinance_v4_3!F145,householdfinance_v4_2!F145,householdfinance_v4_1!F145),0),"NA")</f>
        <v>1</v>
      </c>
      <c r="G145">
        <f>IF($D145=1,ROUND(SUM(householdfinance_v4_5!G145,householdfinance_v4_4!G145,householdfinance_v4_3!G145,householdfinance_v4_2!G145,householdfinance_v4_1!G145)/COUNT(householdfinance_v4_5!G145,householdfinance_v4_4!G145,householdfinance_v4_3!G145,householdfinance_v4_2!G145,householdfinance_v4_1!G145),0),"NA")</f>
        <v>1</v>
      </c>
      <c r="H145">
        <f>IF($E145=1,ROUND(SUM(householdfinance_v4_5!H145,householdfinance_v4_4!H145,householdfinance_v4_3!H145,householdfinance_v4_2!H145,householdfinance_v4_1!H145)/COUNT(householdfinance_v4_5!H145,householdfinance_v4_4!H145,householdfinance_v4_3!H145,householdfinance_v4_2!H145,householdfinance_v4_1!H145),0),"NA")</f>
        <v>1</v>
      </c>
      <c r="I145">
        <f>IF($D145=1,ROUND(SUM(householdfinance_v4_5!I145,householdfinance_v4_4!I145,householdfinance_v4_3!I145,householdfinance_v4_2!I145,householdfinance_v4_1!I145)/COUNT(householdfinance_v4_5!I145,householdfinance_v4_4!I145,householdfinance_v4_3!I145,householdfinance_v4_2!I145,householdfinance_v4_1!I145),0),"NA")</f>
        <v>1</v>
      </c>
      <c r="J145">
        <f>IF(AND($E145=1,$F145=1),ROUND(SUM(householdfinance_v4_5!J145,householdfinance_v4_4!J145,householdfinance_v4_3!J145,householdfinance_v4_2!J145,householdfinance_v4_1!J145)/COUNT(householdfinance_v4_5!J145,householdfinance_v4_4!J145,householdfinance_v4_3!J145,householdfinance_v4_2!J145,householdfinance_v4_1!J145),0),"NA")</f>
        <v>1</v>
      </c>
      <c r="K145">
        <f>IF($D145=1,ROUND(SUM(householdfinance_v4_5!K145,householdfinance_v4_4!K145,householdfinance_v4_3!K145,householdfinance_v4_2!K145,householdfinance_v4_1!K145)/COUNT(householdfinance_v4_5!K145,householdfinance_v4_4!K145,householdfinance_v4_3!K145,householdfinance_v4_2!K145,householdfinance_v4_1!K145),0),"NA")</f>
        <v>1</v>
      </c>
      <c r="L145">
        <f>IF($D145=1,ROUND(SUM(householdfinance_v4_5!L145,householdfinance_v4_4!L145,householdfinance_v4_3!L145,householdfinance_v4_2!L145,householdfinance_v4_1!L145)/COUNT(householdfinance_v4_5!L145,householdfinance_v4_4!L145,householdfinance_v4_3!L145,householdfinance_v4_2!L145,householdfinance_v4_1!L145),0),"NA")</f>
        <v>1</v>
      </c>
      <c r="M145">
        <f>IF($D145=1,ROUND(SUM(householdfinance_v4_5!M145,householdfinance_v4_4!M145,householdfinance_v4_3!M145,householdfinance_v4_2!M145,householdfinance_v4_1!M145)/COUNT(householdfinance_v4_5!M145,householdfinance_v4_4!M145,householdfinance_v4_3!M145,householdfinance_v4_2!M145,householdfinance_v4_1!M145),0),"NA")</f>
        <v>1</v>
      </c>
      <c r="N145">
        <f>IF($D145=1,ROUND(SUM(householdfinance_v4_5!N145,householdfinance_v4_4!N145,householdfinance_v4_3!N145,householdfinance_v4_2!N145,householdfinance_v4_1!N145)/COUNT(householdfinance_v4_5!N145,householdfinance_v4_4!N145,householdfinance_v4_3!N145,householdfinance_v4_2!N145,householdfinance_v4_1!N145),0),"NA")</f>
        <v>1</v>
      </c>
      <c r="O145">
        <v>1.2353441715240481</v>
      </c>
    </row>
    <row r="146" spans="1:15" x14ac:dyDescent="0.25">
      <c r="A146" t="s">
        <v>115</v>
      </c>
      <c r="B146" t="s">
        <v>63</v>
      </c>
      <c r="C146">
        <v>0</v>
      </c>
      <c r="D146">
        <f>ROUND(SUM(householdfinance_v4_5!D146,householdfinance_v4_4!D146,householdfinance_v4_3!D146,householdfinance_v4_2!D146,householdfinance_v4_1!D146)/COUNT(householdfinance_v4_5!D146,householdfinance_v4_4!D146,householdfinance_v4_3!D146,householdfinance_v4_2!D146,householdfinance_v4_1!D146),0)</f>
        <v>1</v>
      </c>
      <c r="E146">
        <f>IF($D146=1,ROUND(SUM(householdfinance_v4_5!E146,householdfinance_v4_4!E146,householdfinance_v4_3!E146,householdfinance_v4_2!E146,householdfinance_v4_1!E146)/COUNT(householdfinance_v4_5!E146,householdfinance_v4_4!E146,householdfinance_v4_3!E146,householdfinance_v4_2!E146,householdfinance_v4_1!E146),0),"NA")</f>
        <v>1</v>
      </c>
      <c r="F146">
        <f>IF($D146=1,ROUND(SUM(householdfinance_v4_5!F146,householdfinance_v4_4!F146,householdfinance_v4_3!F146,householdfinance_v4_2!F146,householdfinance_v4_1!F146)/COUNT(householdfinance_v4_5!F146,householdfinance_v4_4!F146,householdfinance_v4_3!F146,householdfinance_v4_2!F146,householdfinance_v4_1!F146),0),"NA")</f>
        <v>1</v>
      </c>
      <c r="G146">
        <f>IF($D146=1,ROUND(SUM(householdfinance_v4_5!G146,householdfinance_v4_4!G146,householdfinance_v4_3!G146,householdfinance_v4_2!G146,householdfinance_v4_1!G146)/COUNT(householdfinance_v4_5!G146,householdfinance_v4_4!G146,householdfinance_v4_3!G146,householdfinance_v4_2!G146,householdfinance_v4_1!G146),0),"NA")</f>
        <v>1</v>
      </c>
      <c r="H146">
        <f>IF($E146=1,ROUND(SUM(householdfinance_v4_5!H146,householdfinance_v4_4!H146,householdfinance_v4_3!H146,householdfinance_v4_2!H146,householdfinance_v4_1!H146)/COUNT(householdfinance_v4_5!H146,householdfinance_v4_4!H146,householdfinance_v4_3!H146,householdfinance_v4_2!H146,householdfinance_v4_1!H146),0),"NA")</f>
        <v>1</v>
      </c>
      <c r="I146">
        <f>IF($D146=1,ROUND(SUM(householdfinance_v4_5!I146,householdfinance_v4_4!I146,householdfinance_v4_3!I146,householdfinance_v4_2!I146,householdfinance_v4_1!I146)/COUNT(householdfinance_v4_5!I146,householdfinance_v4_4!I146,householdfinance_v4_3!I146,householdfinance_v4_2!I146,householdfinance_v4_1!I146),0),"NA")</f>
        <v>1</v>
      </c>
      <c r="J146">
        <f>IF(AND($E146=1,$F146=1),ROUND(SUM(householdfinance_v4_5!J146,householdfinance_v4_4!J146,householdfinance_v4_3!J146,householdfinance_v4_2!J146,householdfinance_v4_1!J146)/COUNT(householdfinance_v4_5!J146,householdfinance_v4_4!J146,householdfinance_v4_3!J146,householdfinance_v4_2!J146,householdfinance_v4_1!J146),0),"NA")</f>
        <v>1</v>
      </c>
      <c r="K146">
        <f>IF($D146=1,ROUND(SUM(householdfinance_v4_5!K146,householdfinance_v4_4!K146,householdfinance_v4_3!K146,householdfinance_v4_2!K146,householdfinance_v4_1!K146)/COUNT(householdfinance_v4_5!K146,householdfinance_v4_4!K146,householdfinance_v4_3!K146,householdfinance_v4_2!K146,householdfinance_v4_1!K146),0),"NA")</f>
        <v>1</v>
      </c>
      <c r="L146">
        <f>IF($D146=1,ROUND(SUM(householdfinance_v4_5!L146,householdfinance_v4_4!L146,householdfinance_v4_3!L146,householdfinance_v4_2!L146,householdfinance_v4_1!L146)/COUNT(householdfinance_v4_5!L146,householdfinance_v4_4!L146,householdfinance_v4_3!L146,householdfinance_v4_2!L146,householdfinance_v4_1!L146),0),"NA")</f>
        <v>1</v>
      </c>
      <c r="M146">
        <f>IF($D146=1,ROUND(SUM(householdfinance_v4_5!M146,householdfinance_v4_4!M146,householdfinance_v4_3!M146,householdfinance_v4_2!M146,householdfinance_v4_1!M146)/COUNT(householdfinance_v4_5!M146,householdfinance_v4_4!M146,householdfinance_v4_3!M146,householdfinance_v4_2!M146,householdfinance_v4_1!M146),0),"NA")</f>
        <v>1</v>
      </c>
      <c r="N146">
        <f>IF($D146=1,ROUND(SUM(householdfinance_v4_5!N146,householdfinance_v4_4!N146,householdfinance_v4_3!N146,householdfinance_v4_2!N146,householdfinance_v4_1!N146)/COUNT(householdfinance_v4_5!N146,householdfinance_v4_4!N146,householdfinance_v4_3!N146,householdfinance_v4_2!N146,householdfinance_v4_1!N146),0),"NA")</f>
        <v>1</v>
      </c>
      <c r="O146">
        <v>1.720954418182373</v>
      </c>
    </row>
    <row r="147" spans="1:15" x14ac:dyDescent="0.25">
      <c r="A147" t="s">
        <v>115</v>
      </c>
      <c r="B147" t="s">
        <v>65</v>
      </c>
      <c r="C147">
        <v>0</v>
      </c>
      <c r="D147">
        <f>ROUND(SUM(householdfinance_v4_5!D147,householdfinance_v4_4!D147,householdfinance_v4_3!D147,householdfinance_v4_2!D147,householdfinance_v4_1!D147)/COUNT(householdfinance_v4_5!D147,householdfinance_v4_4!D147,householdfinance_v4_3!D147,householdfinance_v4_2!D147,householdfinance_v4_1!D147),0)</f>
        <v>1</v>
      </c>
      <c r="E147">
        <f>IF($D147=1,ROUND(SUM(householdfinance_v4_5!E147,householdfinance_v4_4!E147,householdfinance_v4_3!E147,householdfinance_v4_2!E147,householdfinance_v4_1!E147)/COUNT(householdfinance_v4_5!E147,householdfinance_v4_4!E147,householdfinance_v4_3!E147,householdfinance_v4_2!E147,householdfinance_v4_1!E147),0),"NA")</f>
        <v>1</v>
      </c>
      <c r="F147">
        <f>IF($D147=1,ROUND(SUM(householdfinance_v4_5!F147,householdfinance_v4_4!F147,householdfinance_v4_3!F147,householdfinance_v4_2!F147,householdfinance_v4_1!F147)/COUNT(householdfinance_v4_5!F147,householdfinance_v4_4!F147,householdfinance_v4_3!F147,householdfinance_v4_2!F147,householdfinance_v4_1!F147),0),"NA")</f>
        <v>1</v>
      </c>
      <c r="G147">
        <f>IF($D147=1,ROUND(SUM(householdfinance_v4_5!G147,householdfinance_v4_4!G147,householdfinance_v4_3!G147,householdfinance_v4_2!G147,householdfinance_v4_1!G147)/COUNT(householdfinance_v4_5!G147,householdfinance_v4_4!G147,householdfinance_v4_3!G147,householdfinance_v4_2!G147,householdfinance_v4_1!G147),0),"NA")</f>
        <v>0</v>
      </c>
      <c r="H147">
        <f>IF($E147=1,ROUND(SUM(householdfinance_v4_5!H147,householdfinance_v4_4!H147,householdfinance_v4_3!H147,householdfinance_v4_2!H147,householdfinance_v4_1!H147)/COUNT(householdfinance_v4_5!H147,householdfinance_v4_4!H147,householdfinance_v4_3!H147,householdfinance_v4_2!H147,householdfinance_v4_1!H147),0),"NA")</f>
        <v>1</v>
      </c>
      <c r="I147">
        <f>IF($D147=1,ROUND(SUM(householdfinance_v4_5!I147,householdfinance_v4_4!I147,householdfinance_v4_3!I147,householdfinance_v4_2!I147,householdfinance_v4_1!I147)/COUNT(householdfinance_v4_5!I147,householdfinance_v4_4!I147,householdfinance_v4_3!I147,householdfinance_v4_2!I147,householdfinance_v4_1!I147),0),"NA")</f>
        <v>1</v>
      </c>
      <c r="J147">
        <f>IF(AND($E147=1,$F147=1),ROUND(SUM(householdfinance_v4_5!J147,householdfinance_v4_4!J147,householdfinance_v4_3!J147,householdfinance_v4_2!J147,householdfinance_v4_1!J147)/COUNT(householdfinance_v4_5!J147,householdfinance_v4_4!J147,householdfinance_v4_3!J147,householdfinance_v4_2!J147,householdfinance_v4_1!J147),0),"NA")</f>
        <v>1</v>
      </c>
      <c r="K147">
        <f>IF($D147=1,ROUND(SUM(householdfinance_v4_5!K147,householdfinance_v4_4!K147,householdfinance_v4_3!K147,householdfinance_v4_2!K147,householdfinance_v4_1!K147)/COUNT(householdfinance_v4_5!K147,householdfinance_v4_4!K147,householdfinance_v4_3!K147,householdfinance_v4_2!K147,householdfinance_v4_1!K147),0),"NA")</f>
        <v>1</v>
      </c>
      <c r="L147">
        <f>IF($D147=1,ROUND(SUM(householdfinance_v4_5!L147,householdfinance_v4_4!L147,householdfinance_v4_3!L147,householdfinance_v4_2!L147,householdfinance_v4_1!L147)/COUNT(householdfinance_v4_5!L147,householdfinance_v4_4!L147,householdfinance_v4_3!L147,householdfinance_v4_2!L147,householdfinance_v4_1!L147),0),"NA")</f>
        <v>1</v>
      </c>
      <c r="M147">
        <f>IF($D147=1,ROUND(SUM(householdfinance_v4_5!M147,householdfinance_v4_4!M147,householdfinance_v4_3!M147,householdfinance_v4_2!M147,householdfinance_v4_1!M147)/COUNT(householdfinance_v4_5!M147,householdfinance_v4_4!M147,householdfinance_v4_3!M147,householdfinance_v4_2!M147,householdfinance_v4_1!M147),0),"NA")</f>
        <v>1</v>
      </c>
      <c r="N147">
        <f>IF($D147=1,ROUND(SUM(householdfinance_v4_5!N147,householdfinance_v4_4!N147,householdfinance_v4_3!N147,householdfinance_v4_2!N147,householdfinance_v4_1!N147)/COUNT(householdfinance_v4_5!N147,householdfinance_v4_4!N147,householdfinance_v4_3!N147,householdfinance_v4_2!N147,householdfinance_v4_1!N147),0),"NA")</f>
        <v>1</v>
      </c>
      <c r="O147">
        <v>1.649538993835449</v>
      </c>
    </row>
    <row r="148" spans="1:15" x14ac:dyDescent="0.25">
      <c r="A148" t="s">
        <v>115</v>
      </c>
      <c r="B148" t="s">
        <v>66</v>
      </c>
      <c r="C148">
        <v>0</v>
      </c>
      <c r="D148">
        <f>ROUND(SUM(householdfinance_v4_5!D148,householdfinance_v4_4!D148,householdfinance_v4_3!D148,householdfinance_v4_2!D148,householdfinance_v4_1!D148)/COUNT(householdfinance_v4_5!D148,householdfinance_v4_4!D148,householdfinance_v4_3!D148,householdfinance_v4_2!D148,householdfinance_v4_1!D148),0)</f>
        <v>1</v>
      </c>
      <c r="E148">
        <f>IF($D148=1,ROUND(SUM(householdfinance_v4_5!E148,householdfinance_v4_4!E148,householdfinance_v4_3!E148,householdfinance_v4_2!E148,householdfinance_v4_1!E148)/COUNT(householdfinance_v4_5!E148,householdfinance_v4_4!E148,householdfinance_v4_3!E148,householdfinance_v4_2!E148,householdfinance_v4_1!E148),0),"NA")</f>
        <v>1</v>
      </c>
      <c r="F148">
        <f>IF($D148=1,ROUND(SUM(householdfinance_v4_5!F148,householdfinance_v4_4!F148,householdfinance_v4_3!F148,householdfinance_v4_2!F148,householdfinance_v4_1!F148)/COUNT(householdfinance_v4_5!F148,householdfinance_v4_4!F148,householdfinance_v4_3!F148,householdfinance_v4_2!F148,householdfinance_v4_1!F148),0),"NA")</f>
        <v>1</v>
      </c>
      <c r="G148">
        <f>IF($D148=1,ROUND(SUM(householdfinance_v4_5!G148,householdfinance_v4_4!G148,householdfinance_v4_3!G148,householdfinance_v4_2!G148,householdfinance_v4_1!G148)/COUNT(householdfinance_v4_5!G148,householdfinance_v4_4!G148,householdfinance_v4_3!G148,householdfinance_v4_2!G148,householdfinance_v4_1!G148),0),"NA")</f>
        <v>1</v>
      </c>
      <c r="H148">
        <f>IF($E148=1,ROUND(SUM(householdfinance_v4_5!H148,householdfinance_v4_4!H148,householdfinance_v4_3!H148,householdfinance_v4_2!H148,householdfinance_v4_1!H148)/COUNT(householdfinance_v4_5!H148,householdfinance_v4_4!H148,householdfinance_v4_3!H148,householdfinance_v4_2!H148,householdfinance_v4_1!H148),0),"NA")</f>
        <v>1</v>
      </c>
      <c r="I148">
        <f>IF($D148=1,ROUND(SUM(householdfinance_v4_5!I148,householdfinance_v4_4!I148,householdfinance_v4_3!I148,householdfinance_v4_2!I148,householdfinance_v4_1!I148)/COUNT(householdfinance_v4_5!I148,householdfinance_v4_4!I148,householdfinance_v4_3!I148,householdfinance_v4_2!I148,householdfinance_v4_1!I148),0),"NA")</f>
        <v>1</v>
      </c>
      <c r="J148">
        <f>IF(AND($E148=1,$F148=1),ROUND(SUM(householdfinance_v4_5!J148,householdfinance_v4_4!J148,householdfinance_v4_3!J148,householdfinance_v4_2!J148,householdfinance_v4_1!J148)/COUNT(householdfinance_v4_5!J148,householdfinance_v4_4!J148,householdfinance_v4_3!J148,householdfinance_v4_2!J148,householdfinance_v4_1!J148),0),"NA")</f>
        <v>1</v>
      </c>
      <c r="K148">
        <f>IF($D148=1,ROUND(SUM(householdfinance_v4_5!K148,householdfinance_v4_4!K148,householdfinance_v4_3!K148,householdfinance_v4_2!K148,householdfinance_v4_1!K148)/COUNT(householdfinance_v4_5!K148,householdfinance_v4_4!K148,householdfinance_v4_3!K148,householdfinance_v4_2!K148,householdfinance_v4_1!K148),0),"NA")</f>
        <v>1</v>
      </c>
      <c r="L148">
        <f>IF($D148=1,ROUND(SUM(householdfinance_v4_5!L148,householdfinance_v4_4!L148,householdfinance_v4_3!L148,householdfinance_v4_2!L148,householdfinance_v4_1!L148)/COUNT(householdfinance_v4_5!L148,householdfinance_v4_4!L148,householdfinance_v4_3!L148,householdfinance_v4_2!L148,householdfinance_v4_1!L148),0),"NA")</f>
        <v>1</v>
      </c>
      <c r="M148">
        <f>IF($D148=1,ROUND(SUM(householdfinance_v4_5!M148,householdfinance_v4_4!M148,householdfinance_v4_3!M148,householdfinance_v4_2!M148,householdfinance_v4_1!M148)/COUNT(householdfinance_v4_5!M148,householdfinance_v4_4!M148,householdfinance_v4_3!M148,householdfinance_v4_2!M148,householdfinance_v4_1!M148),0),"NA")</f>
        <v>1</v>
      </c>
      <c r="N148">
        <f>IF($D148=1,ROUND(SUM(householdfinance_v4_5!N148,householdfinance_v4_4!N148,householdfinance_v4_3!N148,householdfinance_v4_2!N148,householdfinance_v4_1!N148)/COUNT(householdfinance_v4_5!N148,householdfinance_v4_4!N148,householdfinance_v4_3!N148,householdfinance_v4_2!N148,householdfinance_v4_1!N148),0),"NA")</f>
        <v>1</v>
      </c>
      <c r="O148">
        <v>1.1275331974029541</v>
      </c>
    </row>
    <row r="149" spans="1:15" x14ac:dyDescent="0.25">
      <c r="A149" t="s">
        <v>115</v>
      </c>
      <c r="B149" t="s">
        <v>67</v>
      </c>
      <c r="C149">
        <v>0</v>
      </c>
      <c r="D149">
        <f>ROUND(SUM(householdfinance_v4_5!D149,householdfinance_v4_4!D149,householdfinance_v4_3!D149,householdfinance_v4_2!D149,householdfinance_v4_1!D149)/COUNT(householdfinance_v4_5!D149,householdfinance_v4_4!D149,householdfinance_v4_3!D149,householdfinance_v4_2!D149,householdfinance_v4_1!D149),0)</f>
        <v>1</v>
      </c>
      <c r="E149">
        <f>IF($D149=1,ROUND(SUM(householdfinance_v4_5!E149,householdfinance_v4_4!E149,householdfinance_v4_3!E149,householdfinance_v4_2!E149,householdfinance_v4_1!E149)/COUNT(householdfinance_v4_5!E149,householdfinance_v4_4!E149,householdfinance_v4_3!E149,householdfinance_v4_2!E149,householdfinance_v4_1!E149),0),"NA")</f>
        <v>1</v>
      </c>
      <c r="F149">
        <f>IF($D149=1,ROUND(SUM(householdfinance_v4_5!F149,householdfinance_v4_4!F149,householdfinance_v4_3!F149,householdfinance_v4_2!F149,householdfinance_v4_1!F149)/COUNT(householdfinance_v4_5!F149,householdfinance_v4_4!F149,householdfinance_v4_3!F149,householdfinance_v4_2!F149,householdfinance_v4_1!F149),0),"NA")</f>
        <v>1</v>
      </c>
      <c r="G149">
        <f>IF($D149=1,ROUND(SUM(householdfinance_v4_5!G149,householdfinance_v4_4!G149,householdfinance_v4_3!G149,householdfinance_v4_2!G149,householdfinance_v4_1!G149)/COUNT(householdfinance_v4_5!G149,householdfinance_v4_4!G149,householdfinance_v4_3!G149,householdfinance_v4_2!G149,householdfinance_v4_1!G149),0),"NA")</f>
        <v>1</v>
      </c>
      <c r="H149">
        <f>IF($E149=1,ROUND(SUM(householdfinance_v4_5!H149,householdfinance_v4_4!H149,householdfinance_v4_3!H149,householdfinance_v4_2!H149,householdfinance_v4_1!H149)/COUNT(householdfinance_v4_5!H149,householdfinance_v4_4!H149,householdfinance_v4_3!H149,householdfinance_v4_2!H149,householdfinance_v4_1!H149),0),"NA")</f>
        <v>1</v>
      </c>
      <c r="I149">
        <f>IF($D149=1,ROUND(SUM(householdfinance_v4_5!I149,householdfinance_v4_4!I149,householdfinance_v4_3!I149,householdfinance_v4_2!I149,householdfinance_v4_1!I149)/COUNT(householdfinance_v4_5!I149,householdfinance_v4_4!I149,householdfinance_v4_3!I149,householdfinance_v4_2!I149,householdfinance_v4_1!I149),0),"NA")</f>
        <v>1</v>
      </c>
      <c r="J149">
        <f>IF(AND($E149=1,$F149=1),ROUND(SUM(householdfinance_v4_5!J149,householdfinance_v4_4!J149,householdfinance_v4_3!J149,householdfinance_v4_2!J149,householdfinance_v4_1!J149)/COUNT(householdfinance_v4_5!J149,householdfinance_v4_4!J149,householdfinance_v4_3!J149,householdfinance_v4_2!J149,householdfinance_v4_1!J149),0),"NA")</f>
        <v>1</v>
      </c>
      <c r="K149">
        <f>IF($D149=1,ROUND(SUM(householdfinance_v4_5!K149,householdfinance_v4_4!K149,householdfinance_v4_3!K149,householdfinance_v4_2!K149,householdfinance_v4_1!K149)/COUNT(householdfinance_v4_5!K149,householdfinance_v4_4!K149,householdfinance_v4_3!K149,householdfinance_v4_2!K149,householdfinance_v4_1!K149),0),"NA")</f>
        <v>1</v>
      </c>
      <c r="L149">
        <f>IF($D149=1,ROUND(SUM(householdfinance_v4_5!L149,householdfinance_v4_4!L149,householdfinance_v4_3!L149,householdfinance_v4_2!L149,householdfinance_v4_1!L149)/COUNT(householdfinance_v4_5!L149,householdfinance_v4_4!L149,householdfinance_v4_3!L149,householdfinance_v4_2!L149,householdfinance_v4_1!L149),0),"NA")</f>
        <v>1</v>
      </c>
      <c r="M149">
        <f>IF($D149=1,ROUND(SUM(householdfinance_v4_5!M149,householdfinance_v4_4!M149,householdfinance_v4_3!M149,householdfinance_v4_2!M149,householdfinance_v4_1!M149)/COUNT(householdfinance_v4_5!M149,householdfinance_v4_4!M149,householdfinance_v4_3!M149,householdfinance_v4_2!M149,householdfinance_v4_1!M149),0),"NA")</f>
        <v>1</v>
      </c>
      <c r="N149">
        <f>IF($D149=1,ROUND(SUM(householdfinance_v4_5!N149,householdfinance_v4_4!N149,householdfinance_v4_3!N149,householdfinance_v4_2!N149,householdfinance_v4_1!N149)/COUNT(householdfinance_v4_5!N149,householdfinance_v4_4!N149,householdfinance_v4_3!N149,householdfinance_v4_2!N149,householdfinance_v4_1!N149),0),"NA")</f>
        <v>1</v>
      </c>
      <c r="O149">
        <v>1.1517267227172849</v>
      </c>
    </row>
    <row r="150" spans="1:15" x14ac:dyDescent="0.25">
      <c r="A150" t="s">
        <v>115</v>
      </c>
      <c r="B150" t="s">
        <v>68</v>
      </c>
      <c r="C150">
        <v>0</v>
      </c>
      <c r="D150">
        <f>ROUND(SUM(householdfinance_v4_5!D150,householdfinance_v4_4!D150,householdfinance_v4_3!D150,householdfinance_v4_2!D150,householdfinance_v4_1!D150)/COUNT(householdfinance_v4_5!D150,householdfinance_v4_4!D150,householdfinance_v4_3!D150,householdfinance_v4_2!D150,householdfinance_v4_1!D150),0)</f>
        <v>1</v>
      </c>
      <c r="E150">
        <f>IF($D150=1,ROUND(SUM(householdfinance_v4_5!E150,householdfinance_v4_4!E150,householdfinance_v4_3!E150,householdfinance_v4_2!E150,householdfinance_v4_1!E150)/COUNT(householdfinance_v4_5!E150,householdfinance_v4_4!E150,householdfinance_v4_3!E150,householdfinance_v4_2!E150,householdfinance_v4_1!E150),0),"NA")</f>
        <v>1</v>
      </c>
      <c r="F150">
        <f>IF($D150=1,ROUND(SUM(householdfinance_v4_5!F150,householdfinance_v4_4!F150,householdfinance_v4_3!F150,householdfinance_v4_2!F150,householdfinance_v4_1!F150)/COUNT(householdfinance_v4_5!F150,householdfinance_v4_4!F150,householdfinance_v4_3!F150,householdfinance_v4_2!F150,householdfinance_v4_1!F150),0),"NA")</f>
        <v>1</v>
      </c>
      <c r="G150">
        <f>IF($D150=1,ROUND(SUM(householdfinance_v4_5!G150,householdfinance_v4_4!G150,householdfinance_v4_3!G150,householdfinance_v4_2!G150,householdfinance_v4_1!G150)/COUNT(householdfinance_v4_5!G150,householdfinance_v4_4!G150,householdfinance_v4_3!G150,householdfinance_v4_2!G150,householdfinance_v4_1!G150),0),"NA")</f>
        <v>1</v>
      </c>
      <c r="H150">
        <f>IF($E150=1,ROUND(SUM(householdfinance_v4_5!H150,householdfinance_v4_4!H150,householdfinance_v4_3!H150,householdfinance_v4_2!H150,householdfinance_v4_1!H150)/COUNT(householdfinance_v4_5!H150,householdfinance_v4_4!H150,householdfinance_v4_3!H150,householdfinance_v4_2!H150,householdfinance_v4_1!H150),0),"NA")</f>
        <v>1</v>
      </c>
      <c r="I150">
        <f>IF($D150=1,ROUND(SUM(householdfinance_v4_5!I150,householdfinance_v4_4!I150,householdfinance_v4_3!I150,householdfinance_v4_2!I150,householdfinance_v4_1!I150)/COUNT(householdfinance_v4_5!I150,householdfinance_v4_4!I150,householdfinance_v4_3!I150,householdfinance_v4_2!I150,householdfinance_v4_1!I150),0),"NA")</f>
        <v>1</v>
      </c>
      <c r="J150">
        <f>IF(AND($E150=1,$F150=1),ROUND(SUM(householdfinance_v4_5!J150,householdfinance_v4_4!J150,householdfinance_v4_3!J150,householdfinance_v4_2!J150,householdfinance_v4_1!J150)/COUNT(householdfinance_v4_5!J150,householdfinance_v4_4!J150,householdfinance_v4_3!J150,householdfinance_v4_2!J150,householdfinance_v4_1!J150),0),"NA")</f>
        <v>1</v>
      </c>
      <c r="K150">
        <f>IF($D150=1,ROUND(SUM(householdfinance_v4_5!K150,householdfinance_v4_4!K150,householdfinance_v4_3!K150,householdfinance_v4_2!K150,householdfinance_v4_1!K150)/COUNT(householdfinance_v4_5!K150,householdfinance_v4_4!K150,householdfinance_v4_3!K150,householdfinance_v4_2!K150,householdfinance_v4_1!K150),0),"NA")</f>
        <v>1</v>
      </c>
      <c r="L150">
        <f>IF($D150=1,ROUND(SUM(householdfinance_v4_5!L150,householdfinance_v4_4!L150,householdfinance_v4_3!L150,householdfinance_v4_2!L150,householdfinance_v4_1!L150)/COUNT(householdfinance_v4_5!L150,householdfinance_v4_4!L150,householdfinance_v4_3!L150,householdfinance_v4_2!L150,householdfinance_v4_1!L150),0),"NA")</f>
        <v>1</v>
      </c>
      <c r="M150">
        <f>IF($D150=1,ROUND(SUM(householdfinance_v4_5!M150,householdfinance_v4_4!M150,householdfinance_v4_3!M150,householdfinance_v4_2!M150,householdfinance_v4_1!M150)/COUNT(householdfinance_v4_5!M150,householdfinance_v4_4!M150,householdfinance_v4_3!M150,householdfinance_v4_2!M150,householdfinance_v4_1!M150),0),"NA")</f>
        <v>1</v>
      </c>
      <c r="N150">
        <f>IF($D150=1,ROUND(SUM(householdfinance_v4_5!N150,householdfinance_v4_4!N150,householdfinance_v4_3!N150,householdfinance_v4_2!N150,householdfinance_v4_1!N150)/COUNT(householdfinance_v4_5!N150,householdfinance_v4_4!N150,householdfinance_v4_3!N150,householdfinance_v4_2!N150,householdfinance_v4_1!N150),0),"NA")</f>
        <v>1</v>
      </c>
      <c r="O150">
        <v>1.302281856536865</v>
      </c>
    </row>
    <row r="151" spans="1:15" x14ac:dyDescent="0.25">
      <c r="A151" t="s">
        <v>115</v>
      </c>
      <c r="B151" t="s">
        <v>69</v>
      </c>
      <c r="C151">
        <v>0</v>
      </c>
      <c r="D151">
        <f>ROUND(SUM(householdfinance_v4_5!D151,householdfinance_v4_4!D151,householdfinance_v4_3!D151,householdfinance_v4_2!D151,householdfinance_v4_1!D151)/COUNT(householdfinance_v4_5!D151,householdfinance_v4_4!D151,householdfinance_v4_3!D151,householdfinance_v4_2!D151,householdfinance_v4_1!D151),0)</f>
        <v>1</v>
      </c>
      <c r="E151">
        <f>IF($D151=1,ROUND(SUM(householdfinance_v4_5!E151,householdfinance_v4_4!E151,householdfinance_v4_3!E151,householdfinance_v4_2!E151,householdfinance_v4_1!E151)/COUNT(householdfinance_v4_5!E151,householdfinance_v4_4!E151,householdfinance_v4_3!E151,householdfinance_v4_2!E151,householdfinance_v4_1!E151),0),"NA")</f>
        <v>1</v>
      </c>
      <c r="F151">
        <f>IF($D151=1,ROUND(SUM(householdfinance_v4_5!F151,householdfinance_v4_4!F151,householdfinance_v4_3!F151,householdfinance_v4_2!F151,householdfinance_v4_1!F151)/COUNT(householdfinance_v4_5!F151,householdfinance_v4_4!F151,householdfinance_v4_3!F151,householdfinance_v4_2!F151,householdfinance_v4_1!F151),0),"NA")</f>
        <v>1</v>
      </c>
      <c r="G151">
        <f>IF($D151=1,ROUND(SUM(householdfinance_v4_5!G151,householdfinance_v4_4!G151,householdfinance_v4_3!G151,householdfinance_v4_2!G151,householdfinance_v4_1!G151)/COUNT(householdfinance_v4_5!G151,householdfinance_v4_4!G151,householdfinance_v4_3!G151,householdfinance_v4_2!G151,householdfinance_v4_1!G151),0),"NA")</f>
        <v>1</v>
      </c>
      <c r="H151">
        <f>IF($E151=1,ROUND(SUM(householdfinance_v4_5!H151,householdfinance_v4_4!H151,householdfinance_v4_3!H151,householdfinance_v4_2!H151,householdfinance_v4_1!H151)/COUNT(householdfinance_v4_5!H151,householdfinance_v4_4!H151,householdfinance_v4_3!H151,householdfinance_v4_2!H151,householdfinance_v4_1!H151),0),"NA")</f>
        <v>1</v>
      </c>
      <c r="I151">
        <f>IF($D151=1,ROUND(SUM(householdfinance_v4_5!I151,householdfinance_v4_4!I151,householdfinance_v4_3!I151,householdfinance_v4_2!I151,householdfinance_v4_1!I151)/COUNT(householdfinance_v4_5!I151,householdfinance_v4_4!I151,householdfinance_v4_3!I151,householdfinance_v4_2!I151,householdfinance_v4_1!I151),0),"NA")</f>
        <v>1</v>
      </c>
      <c r="J151">
        <f>IF(AND($E151=1,$F151=1),ROUND(SUM(householdfinance_v4_5!J151,householdfinance_v4_4!J151,householdfinance_v4_3!J151,householdfinance_v4_2!J151,householdfinance_v4_1!J151)/COUNT(householdfinance_v4_5!J151,householdfinance_v4_4!J151,householdfinance_v4_3!J151,householdfinance_v4_2!J151,householdfinance_v4_1!J151),0),"NA")</f>
        <v>1</v>
      </c>
      <c r="K151">
        <f>IF($D151=1,ROUND(SUM(householdfinance_v4_5!K151,householdfinance_v4_4!K151,householdfinance_v4_3!K151,householdfinance_v4_2!K151,householdfinance_v4_1!K151)/COUNT(householdfinance_v4_5!K151,householdfinance_v4_4!K151,householdfinance_v4_3!K151,householdfinance_v4_2!K151,householdfinance_v4_1!K151),0),"NA")</f>
        <v>1</v>
      </c>
      <c r="L151">
        <f>IF($D151=1,ROUND(SUM(householdfinance_v4_5!L151,householdfinance_v4_4!L151,householdfinance_v4_3!L151,householdfinance_v4_2!L151,householdfinance_v4_1!L151)/COUNT(householdfinance_v4_5!L151,householdfinance_v4_4!L151,householdfinance_v4_3!L151,householdfinance_v4_2!L151,householdfinance_v4_1!L151),0),"NA")</f>
        <v>1</v>
      </c>
      <c r="M151">
        <f>IF($D151=1,ROUND(SUM(householdfinance_v4_5!M151,householdfinance_v4_4!M151,householdfinance_v4_3!M151,householdfinance_v4_2!M151,householdfinance_v4_1!M151)/COUNT(householdfinance_v4_5!M151,householdfinance_v4_4!M151,householdfinance_v4_3!M151,householdfinance_v4_2!M151,householdfinance_v4_1!M151),0),"NA")</f>
        <v>1</v>
      </c>
      <c r="N151">
        <f>IF($D151=1,ROUND(SUM(householdfinance_v4_5!N151,householdfinance_v4_4!N151,householdfinance_v4_3!N151,householdfinance_v4_2!N151,householdfinance_v4_1!N151)/COUNT(householdfinance_v4_5!N151,householdfinance_v4_4!N151,householdfinance_v4_3!N151,householdfinance_v4_2!N151,householdfinance_v4_1!N151),0),"NA")</f>
        <v>1</v>
      </c>
      <c r="O151">
        <v>1.883378744125366</v>
      </c>
    </row>
    <row r="152" spans="1:15" x14ac:dyDescent="0.25">
      <c r="A152" t="s">
        <v>115</v>
      </c>
      <c r="B152" t="s">
        <v>71</v>
      </c>
      <c r="C152">
        <v>0</v>
      </c>
      <c r="D152">
        <f>ROUND(SUM(householdfinance_v4_5!D152,householdfinance_v4_4!D152,householdfinance_v4_3!D152,householdfinance_v4_2!D152,householdfinance_v4_1!D152)/COUNT(householdfinance_v4_5!D152,householdfinance_v4_4!D152,householdfinance_v4_3!D152,householdfinance_v4_2!D152,householdfinance_v4_1!D152),0)</f>
        <v>1</v>
      </c>
      <c r="E152">
        <f>IF($D152=1,ROUND(SUM(householdfinance_v4_5!E152,householdfinance_v4_4!E152,householdfinance_v4_3!E152,householdfinance_v4_2!E152,householdfinance_v4_1!E152)/COUNT(householdfinance_v4_5!E152,householdfinance_v4_4!E152,householdfinance_v4_3!E152,householdfinance_v4_2!E152,householdfinance_v4_1!E152),0),"NA")</f>
        <v>1</v>
      </c>
      <c r="F152">
        <f>IF($D152=1,ROUND(SUM(householdfinance_v4_5!F152,householdfinance_v4_4!F152,householdfinance_v4_3!F152,householdfinance_v4_2!F152,householdfinance_v4_1!F152)/COUNT(householdfinance_v4_5!F152,householdfinance_v4_4!F152,householdfinance_v4_3!F152,householdfinance_v4_2!F152,householdfinance_v4_1!F152),0),"NA")</f>
        <v>1</v>
      </c>
      <c r="G152">
        <f>IF($D152=1,ROUND(SUM(householdfinance_v4_5!G152,householdfinance_v4_4!G152,householdfinance_v4_3!G152,householdfinance_v4_2!G152,householdfinance_v4_1!G152)/COUNT(householdfinance_v4_5!G152,householdfinance_v4_4!G152,householdfinance_v4_3!G152,householdfinance_v4_2!G152,householdfinance_v4_1!G152),0),"NA")</f>
        <v>1</v>
      </c>
      <c r="H152">
        <f>IF($E152=1,ROUND(SUM(householdfinance_v4_5!H152,householdfinance_v4_4!H152,householdfinance_v4_3!H152,householdfinance_v4_2!H152,householdfinance_v4_1!H152)/COUNT(householdfinance_v4_5!H152,householdfinance_v4_4!H152,householdfinance_v4_3!H152,householdfinance_v4_2!H152,householdfinance_v4_1!H152),0),"NA")</f>
        <v>1</v>
      </c>
      <c r="I152">
        <f>IF($D152=1,ROUND(SUM(householdfinance_v4_5!I152,householdfinance_v4_4!I152,householdfinance_v4_3!I152,householdfinance_v4_2!I152,householdfinance_v4_1!I152)/COUNT(householdfinance_v4_5!I152,householdfinance_v4_4!I152,householdfinance_v4_3!I152,householdfinance_v4_2!I152,householdfinance_v4_1!I152),0),"NA")</f>
        <v>1</v>
      </c>
      <c r="J152">
        <f>IF(AND($E152=1,$F152=1),ROUND(SUM(householdfinance_v4_5!J152,householdfinance_v4_4!J152,householdfinance_v4_3!J152,householdfinance_v4_2!J152,householdfinance_v4_1!J152)/COUNT(householdfinance_v4_5!J152,householdfinance_v4_4!J152,householdfinance_v4_3!J152,householdfinance_v4_2!J152,householdfinance_v4_1!J152),0),"NA")</f>
        <v>1</v>
      </c>
      <c r="K152">
        <f>IF($D152=1,ROUND(SUM(householdfinance_v4_5!K152,householdfinance_v4_4!K152,householdfinance_v4_3!K152,householdfinance_v4_2!K152,householdfinance_v4_1!K152)/COUNT(householdfinance_v4_5!K152,householdfinance_v4_4!K152,householdfinance_v4_3!K152,householdfinance_v4_2!K152,householdfinance_v4_1!K152),0),"NA")</f>
        <v>1</v>
      </c>
      <c r="L152">
        <f>IF($D152=1,ROUND(SUM(householdfinance_v4_5!L152,householdfinance_v4_4!L152,householdfinance_v4_3!L152,householdfinance_v4_2!L152,householdfinance_v4_1!L152)/COUNT(householdfinance_v4_5!L152,householdfinance_v4_4!L152,householdfinance_v4_3!L152,householdfinance_v4_2!L152,householdfinance_v4_1!L152),0),"NA")</f>
        <v>1</v>
      </c>
      <c r="M152">
        <f>IF($D152=1,ROUND(SUM(householdfinance_v4_5!M152,householdfinance_v4_4!M152,householdfinance_v4_3!M152,householdfinance_v4_2!M152,householdfinance_v4_1!M152)/COUNT(householdfinance_v4_5!M152,householdfinance_v4_4!M152,householdfinance_v4_3!M152,householdfinance_v4_2!M152,householdfinance_v4_1!M152),0),"NA")</f>
        <v>1</v>
      </c>
      <c r="N152">
        <f>IF($D152=1,ROUND(SUM(householdfinance_v4_5!N152,householdfinance_v4_4!N152,householdfinance_v4_3!N152,householdfinance_v4_2!N152,householdfinance_v4_1!N152)/COUNT(householdfinance_v4_5!N152,householdfinance_v4_4!N152,householdfinance_v4_3!N152,householdfinance_v4_2!N152,householdfinance_v4_1!N152),0),"NA")</f>
        <v>1</v>
      </c>
      <c r="O152">
        <v>2.4459302425384521</v>
      </c>
    </row>
    <row r="153" spans="1:15" x14ac:dyDescent="0.25">
      <c r="A153" t="s">
        <v>115</v>
      </c>
      <c r="B153" t="s">
        <v>73</v>
      </c>
      <c r="C153">
        <v>0</v>
      </c>
      <c r="D153">
        <f>ROUND(SUM(householdfinance_v4_5!D153,householdfinance_v4_4!D153,householdfinance_v4_3!D153,householdfinance_v4_2!D153,householdfinance_v4_1!D153)/COUNT(householdfinance_v4_5!D153,householdfinance_v4_4!D153,householdfinance_v4_3!D153,householdfinance_v4_2!D153,householdfinance_v4_1!D153),0)</f>
        <v>1</v>
      </c>
      <c r="E153">
        <f>IF($D153=1,ROUND(SUM(householdfinance_v4_5!E153,householdfinance_v4_4!E153,householdfinance_v4_3!E153,householdfinance_v4_2!E153,householdfinance_v4_1!E153)/COUNT(householdfinance_v4_5!E153,householdfinance_v4_4!E153,householdfinance_v4_3!E153,householdfinance_v4_2!E153,householdfinance_v4_1!E153),0),"NA")</f>
        <v>1</v>
      </c>
      <c r="F153">
        <f>IF($D153=1,ROUND(SUM(householdfinance_v4_5!F153,householdfinance_v4_4!F153,householdfinance_v4_3!F153,householdfinance_v4_2!F153,householdfinance_v4_1!F153)/COUNT(householdfinance_v4_5!F153,householdfinance_v4_4!F153,householdfinance_v4_3!F153,householdfinance_v4_2!F153,householdfinance_v4_1!F153),0),"NA")</f>
        <v>1</v>
      </c>
      <c r="G153">
        <f>IF($D153=1,ROUND(SUM(householdfinance_v4_5!G153,householdfinance_v4_4!G153,householdfinance_v4_3!G153,householdfinance_v4_2!G153,householdfinance_v4_1!G153)/COUNT(householdfinance_v4_5!G153,householdfinance_v4_4!G153,householdfinance_v4_3!G153,householdfinance_v4_2!G153,householdfinance_v4_1!G153),0),"NA")</f>
        <v>1</v>
      </c>
      <c r="H153">
        <f>IF($E153=1,ROUND(SUM(householdfinance_v4_5!H153,householdfinance_v4_4!H153,householdfinance_v4_3!H153,householdfinance_v4_2!H153,householdfinance_v4_1!H153)/COUNT(householdfinance_v4_5!H153,householdfinance_v4_4!H153,householdfinance_v4_3!H153,householdfinance_v4_2!H153,householdfinance_v4_1!H153),0),"NA")</f>
        <v>1</v>
      </c>
      <c r="I153">
        <f>IF($D153=1,ROUND(SUM(householdfinance_v4_5!I153,householdfinance_v4_4!I153,householdfinance_v4_3!I153,householdfinance_v4_2!I153,householdfinance_v4_1!I153)/COUNT(householdfinance_v4_5!I153,householdfinance_v4_4!I153,householdfinance_v4_3!I153,householdfinance_v4_2!I153,householdfinance_v4_1!I153),0),"NA")</f>
        <v>1</v>
      </c>
      <c r="J153">
        <f>IF(AND($E153=1,$F153=1),ROUND(SUM(householdfinance_v4_5!J153,householdfinance_v4_4!J153,householdfinance_v4_3!J153,householdfinance_v4_2!J153,householdfinance_v4_1!J153)/COUNT(householdfinance_v4_5!J153,householdfinance_v4_4!J153,householdfinance_v4_3!J153,householdfinance_v4_2!J153,householdfinance_v4_1!J153),0),"NA")</f>
        <v>1</v>
      </c>
      <c r="K153">
        <f>IF($D153=1,ROUND(SUM(householdfinance_v4_5!K153,householdfinance_v4_4!K153,householdfinance_v4_3!K153,householdfinance_v4_2!K153,householdfinance_v4_1!K153)/COUNT(householdfinance_v4_5!K153,householdfinance_v4_4!K153,householdfinance_v4_3!K153,householdfinance_v4_2!K153,householdfinance_v4_1!K153),0),"NA")</f>
        <v>1</v>
      </c>
      <c r="L153">
        <f>IF($D153=1,ROUND(SUM(householdfinance_v4_5!L153,householdfinance_v4_4!L153,householdfinance_v4_3!L153,householdfinance_v4_2!L153,householdfinance_v4_1!L153)/COUNT(householdfinance_v4_5!L153,householdfinance_v4_4!L153,householdfinance_v4_3!L153,householdfinance_v4_2!L153,householdfinance_v4_1!L153),0),"NA")</f>
        <v>1</v>
      </c>
      <c r="M153">
        <f>IF($D153=1,ROUND(SUM(householdfinance_v4_5!M153,householdfinance_v4_4!M153,householdfinance_v4_3!M153,householdfinance_v4_2!M153,householdfinance_v4_1!M153)/COUNT(householdfinance_v4_5!M153,householdfinance_v4_4!M153,householdfinance_v4_3!M153,householdfinance_v4_2!M153,householdfinance_v4_1!M153),0),"NA")</f>
        <v>1</v>
      </c>
      <c r="N153">
        <f>IF($D153=1,ROUND(SUM(householdfinance_v4_5!N153,householdfinance_v4_4!N153,householdfinance_v4_3!N153,householdfinance_v4_2!N153,householdfinance_v4_1!N153)/COUNT(householdfinance_v4_5!N153,householdfinance_v4_4!N153,householdfinance_v4_3!N153,householdfinance_v4_2!N153,householdfinance_v4_1!N153),0),"NA")</f>
        <v>1</v>
      </c>
      <c r="O153">
        <v>1.8136923313140869</v>
      </c>
    </row>
    <row r="154" spans="1:15" x14ac:dyDescent="0.25">
      <c r="A154" t="s">
        <v>115</v>
      </c>
      <c r="B154" t="s">
        <v>75</v>
      </c>
      <c r="C154">
        <v>0</v>
      </c>
      <c r="D154">
        <f>ROUND(SUM(householdfinance_v4_5!D154,householdfinance_v4_4!D154,householdfinance_v4_3!D154,householdfinance_v4_2!D154,householdfinance_v4_1!D154)/COUNT(householdfinance_v4_5!D154,householdfinance_v4_4!D154,householdfinance_v4_3!D154,householdfinance_v4_2!D154,householdfinance_v4_1!D154),0)</f>
        <v>1</v>
      </c>
      <c r="E154">
        <f>IF($D154=1,ROUND(SUM(householdfinance_v4_5!E154,householdfinance_v4_4!E154,householdfinance_v4_3!E154,householdfinance_v4_2!E154,householdfinance_v4_1!E154)/COUNT(householdfinance_v4_5!E154,householdfinance_v4_4!E154,householdfinance_v4_3!E154,householdfinance_v4_2!E154,householdfinance_v4_1!E154),0),"NA")</f>
        <v>1</v>
      </c>
      <c r="F154">
        <f>IF($D154=1,ROUND(SUM(householdfinance_v4_5!F154,householdfinance_v4_4!F154,householdfinance_v4_3!F154,householdfinance_v4_2!F154,householdfinance_v4_1!F154)/COUNT(householdfinance_v4_5!F154,householdfinance_v4_4!F154,householdfinance_v4_3!F154,householdfinance_v4_2!F154,householdfinance_v4_1!F154),0),"NA")</f>
        <v>1</v>
      </c>
      <c r="G154">
        <f>IF($D154=1,ROUND(SUM(householdfinance_v4_5!G154,householdfinance_v4_4!G154,householdfinance_v4_3!G154,householdfinance_v4_2!G154,householdfinance_v4_1!G154)/COUNT(householdfinance_v4_5!G154,householdfinance_v4_4!G154,householdfinance_v4_3!G154,householdfinance_v4_2!G154,householdfinance_v4_1!G154),0),"NA")</f>
        <v>1</v>
      </c>
      <c r="H154">
        <f>IF($E154=1,ROUND(SUM(householdfinance_v4_5!H154,householdfinance_v4_4!H154,householdfinance_v4_3!H154,householdfinance_v4_2!H154,householdfinance_v4_1!H154)/COUNT(householdfinance_v4_5!H154,householdfinance_v4_4!H154,householdfinance_v4_3!H154,householdfinance_v4_2!H154,householdfinance_v4_1!H154),0),"NA")</f>
        <v>1</v>
      </c>
      <c r="I154">
        <f>IF($D154=1,ROUND(SUM(householdfinance_v4_5!I154,householdfinance_v4_4!I154,householdfinance_v4_3!I154,householdfinance_v4_2!I154,householdfinance_v4_1!I154)/COUNT(householdfinance_v4_5!I154,householdfinance_v4_4!I154,householdfinance_v4_3!I154,householdfinance_v4_2!I154,householdfinance_v4_1!I154),0),"NA")</f>
        <v>1</v>
      </c>
      <c r="J154">
        <f>IF(AND($E154=1,$F154=1),ROUND(SUM(householdfinance_v4_5!J154,householdfinance_v4_4!J154,householdfinance_v4_3!J154,householdfinance_v4_2!J154,householdfinance_v4_1!J154)/COUNT(householdfinance_v4_5!J154,householdfinance_v4_4!J154,householdfinance_v4_3!J154,householdfinance_v4_2!J154,householdfinance_v4_1!J154),0),"NA")</f>
        <v>1</v>
      </c>
      <c r="K154">
        <f>IF($D154=1,ROUND(SUM(householdfinance_v4_5!K154,householdfinance_v4_4!K154,householdfinance_v4_3!K154,householdfinance_v4_2!K154,householdfinance_v4_1!K154)/COUNT(householdfinance_v4_5!K154,householdfinance_v4_4!K154,householdfinance_v4_3!K154,householdfinance_v4_2!K154,householdfinance_v4_1!K154),0),"NA")</f>
        <v>1</v>
      </c>
      <c r="L154">
        <f>IF($D154=1,ROUND(SUM(householdfinance_v4_5!L154,householdfinance_v4_4!L154,householdfinance_v4_3!L154,householdfinance_v4_2!L154,householdfinance_v4_1!L154)/COUNT(householdfinance_v4_5!L154,householdfinance_v4_4!L154,householdfinance_v4_3!L154,householdfinance_v4_2!L154,householdfinance_v4_1!L154),0),"NA")</f>
        <v>1</v>
      </c>
      <c r="M154">
        <f>IF($D154=1,ROUND(SUM(householdfinance_v4_5!M154,householdfinance_v4_4!M154,householdfinance_v4_3!M154,householdfinance_v4_2!M154,householdfinance_v4_1!M154)/COUNT(householdfinance_v4_5!M154,householdfinance_v4_4!M154,householdfinance_v4_3!M154,householdfinance_v4_2!M154,householdfinance_v4_1!M154),0),"NA")</f>
        <v>1</v>
      </c>
      <c r="N154">
        <f>IF($D154=1,ROUND(SUM(householdfinance_v4_5!N154,householdfinance_v4_4!N154,householdfinance_v4_3!N154,householdfinance_v4_2!N154,householdfinance_v4_1!N154)/COUNT(householdfinance_v4_5!N154,householdfinance_v4_4!N154,householdfinance_v4_3!N154,householdfinance_v4_2!N154,householdfinance_v4_1!N154),0),"NA")</f>
        <v>1</v>
      </c>
      <c r="O154">
        <v>1.1627311706542971</v>
      </c>
    </row>
    <row r="155" spans="1:15" x14ac:dyDescent="0.25">
      <c r="A155" t="s">
        <v>115</v>
      </c>
      <c r="B155" t="s">
        <v>77</v>
      </c>
      <c r="C155">
        <v>0</v>
      </c>
      <c r="D155">
        <f>ROUND(SUM(householdfinance_v4_5!D155,householdfinance_v4_4!D155,householdfinance_v4_3!D155,householdfinance_v4_2!D155,householdfinance_v4_1!D155)/COUNT(householdfinance_v4_5!D155,householdfinance_v4_4!D155,householdfinance_v4_3!D155,householdfinance_v4_2!D155,householdfinance_v4_1!D155),0)</f>
        <v>0</v>
      </c>
      <c r="E155" t="str">
        <f>IF($D155=1,ROUND(SUM(householdfinance_v4_5!E155,householdfinance_v4_4!E155,householdfinance_v4_3!E155,householdfinance_v4_2!E155,householdfinance_v4_1!E155)/COUNT(householdfinance_v4_5!E155,householdfinance_v4_4!E155,householdfinance_v4_3!E155,householdfinance_v4_2!E155,householdfinance_v4_1!E155),0),"NA")</f>
        <v>NA</v>
      </c>
      <c r="F155" t="str">
        <f>IF($D155=1,ROUND(SUM(householdfinance_v4_5!F155,householdfinance_v4_4!F155,householdfinance_v4_3!F155,householdfinance_v4_2!F155,householdfinance_v4_1!F155)/COUNT(householdfinance_v4_5!F155,householdfinance_v4_4!F155,householdfinance_v4_3!F155,householdfinance_v4_2!F155,householdfinance_v4_1!F155),0),"NA")</f>
        <v>NA</v>
      </c>
      <c r="G155" t="str">
        <f>IF($D155=1,ROUND(SUM(householdfinance_v4_5!G155,householdfinance_v4_4!G155,householdfinance_v4_3!G155,householdfinance_v4_2!G155,householdfinance_v4_1!G155)/COUNT(householdfinance_v4_5!G155,householdfinance_v4_4!G155,householdfinance_v4_3!G155,householdfinance_v4_2!G155,householdfinance_v4_1!G155),0),"NA")</f>
        <v>NA</v>
      </c>
      <c r="H155" t="str">
        <f>IF($E155=1,ROUND(SUM(householdfinance_v4_5!H155,householdfinance_v4_4!H155,householdfinance_v4_3!H155,householdfinance_v4_2!H155,householdfinance_v4_1!H155)/COUNT(householdfinance_v4_5!H155,householdfinance_v4_4!H155,householdfinance_v4_3!H155,householdfinance_v4_2!H155,householdfinance_v4_1!H155),0),"NA")</f>
        <v>NA</v>
      </c>
      <c r="I155" t="str">
        <f>IF($D155=1,ROUND(SUM(householdfinance_v4_5!I155,householdfinance_v4_4!I155,householdfinance_v4_3!I155,householdfinance_v4_2!I155,householdfinance_v4_1!I155)/COUNT(householdfinance_v4_5!I155,householdfinance_v4_4!I155,householdfinance_v4_3!I155,householdfinance_v4_2!I155,householdfinance_v4_1!I155),0),"NA")</f>
        <v>NA</v>
      </c>
      <c r="J155" t="str">
        <f>IF(AND($E155=1,$F155=1),ROUND(SUM(householdfinance_v4_5!J155,householdfinance_v4_4!J155,householdfinance_v4_3!J155,householdfinance_v4_2!J155,householdfinance_v4_1!J155)/COUNT(householdfinance_v4_5!J155,householdfinance_v4_4!J155,householdfinance_v4_3!J155,householdfinance_v4_2!J155,householdfinance_v4_1!J155),0),"NA")</f>
        <v>NA</v>
      </c>
      <c r="K155" t="str">
        <f>IF($D155=1,ROUND(SUM(householdfinance_v4_5!K155,householdfinance_v4_4!K155,householdfinance_v4_3!K155,householdfinance_v4_2!K155,householdfinance_v4_1!K155)/COUNT(householdfinance_v4_5!K155,householdfinance_v4_4!K155,householdfinance_v4_3!K155,householdfinance_v4_2!K155,householdfinance_v4_1!K155),0),"NA")</f>
        <v>NA</v>
      </c>
      <c r="L155" t="str">
        <f>IF($D155=1,ROUND(SUM(householdfinance_v4_5!L155,householdfinance_v4_4!L155,householdfinance_v4_3!L155,householdfinance_v4_2!L155,householdfinance_v4_1!L155)/COUNT(householdfinance_v4_5!L155,householdfinance_v4_4!L155,householdfinance_v4_3!L155,householdfinance_v4_2!L155,householdfinance_v4_1!L155),0),"NA")</f>
        <v>NA</v>
      </c>
      <c r="M155" t="str">
        <f>IF($D155=1,ROUND(SUM(householdfinance_v4_5!M155,householdfinance_v4_4!M155,householdfinance_v4_3!M155,householdfinance_v4_2!M155,householdfinance_v4_1!M155)/COUNT(householdfinance_v4_5!M155,householdfinance_v4_4!M155,householdfinance_v4_3!M155,householdfinance_v4_2!M155,householdfinance_v4_1!M155),0),"NA")</f>
        <v>NA</v>
      </c>
      <c r="N155" t="str">
        <f>IF($D155=1,ROUND(SUM(householdfinance_v4_5!N155,householdfinance_v4_4!N155,householdfinance_v4_3!N155,householdfinance_v4_2!N155,householdfinance_v4_1!N155)/COUNT(householdfinance_v4_5!N155,householdfinance_v4_4!N155,householdfinance_v4_3!N155,householdfinance_v4_2!N155,householdfinance_v4_1!N155),0),"NA")</f>
        <v>NA</v>
      </c>
      <c r="O155">
        <v>3.8483421802520752</v>
      </c>
    </row>
    <row r="156" spans="1:15" x14ac:dyDescent="0.25">
      <c r="A156" t="s">
        <v>115</v>
      </c>
      <c r="B156" t="s">
        <v>78</v>
      </c>
      <c r="C156">
        <v>0</v>
      </c>
      <c r="D156">
        <f>ROUND(SUM(householdfinance_v4_5!D156,householdfinance_v4_4!D156,householdfinance_v4_3!D156,householdfinance_v4_2!D156,householdfinance_v4_1!D156)/COUNT(householdfinance_v4_5!D156,householdfinance_v4_4!D156,householdfinance_v4_3!D156,householdfinance_v4_2!D156,householdfinance_v4_1!D156),0)</f>
        <v>1</v>
      </c>
      <c r="E156">
        <f>IF($D156=1,ROUND(SUM(householdfinance_v4_5!E156,householdfinance_v4_4!E156,householdfinance_v4_3!E156,householdfinance_v4_2!E156,householdfinance_v4_1!E156)/COUNT(householdfinance_v4_5!E156,householdfinance_v4_4!E156,householdfinance_v4_3!E156,householdfinance_v4_2!E156,householdfinance_v4_1!E156),0),"NA")</f>
        <v>1</v>
      </c>
      <c r="F156">
        <f>IF($D156=1,ROUND(SUM(householdfinance_v4_5!F156,householdfinance_v4_4!F156,householdfinance_v4_3!F156,householdfinance_v4_2!F156,householdfinance_v4_1!F156)/COUNT(householdfinance_v4_5!F156,householdfinance_v4_4!F156,householdfinance_v4_3!F156,householdfinance_v4_2!F156,householdfinance_v4_1!F156),0),"NA")</f>
        <v>1</v>
      </c>
      <c r="G156">
        <f>IF($D156=1,ROUND(SUM(householdfinance_v4_5!G156,householdfinance_v4_4!G156,householdfinance_v4_3!G156,householdfinance_v4_2!G156,householdfinance_v4_1!G156)/COUNT(householdfinance_v4_5!G156,householdfinance_v4_4!G156,householdfinance_v4_3!G156,householdfinance_v4_2!G156,householdfinance_v4_1!G156),0),"NA")</f>
        <v>1</v>
      </c>
      <c r="H156">
        <f>IF($E156=1,ROUND(SUM(householdfinance_v4_5!H156,householdfinance_v4_4!H156,householdfinance_v4_3!H156,householdfinance_v4_2!H156,householdfinance_v4_1!H156)/COUNT(householdfinance_v4_5!H156,householdfinance_v4_4!H156,householdfinance_v4_3!H156,householdfinance_v4_2!H156,householdfinance_v4_1!H156),0),"NA")</f>
        <v>1</v>
      </c>
      <c r="I156">
        <f>IF($D156=1,ROUND(SUM(householdfinance_v4_5!I156,householdfinance_v4_4!I156,householdfinance_v4_3!I156,householdfinance_v4_2!I156,householdfinance_v4_1!I156)/COUNT(householdfinance_v4_5!I156,householdfinance_v4_4!I156,householdfinance_v4_3!I156,householdfinance_v4_2!I156,householdfinance_v4_1!I156),0),"NA")</f>
        <v>1</v>
      </c>
      <c r="J156">
        <f>IF(AND($E156=1,$F156=1),ROUND(SUM(householdfinance_v4_5!J156,householdfinance_v4_4!J156,householdfinance_v4_3!J156,householdfinance_v4_2!J156,householdfinance_v4_1!J156)/COUNT(householdfinance_v4_5!J156,householdfinance_v4_4!J156,householdfinance_v4_3!J156,householdfinance_v4_2!J156,householdfinance_v4_1!J156),0),"NA")</f>
        <v>1</v>
      </c>
      <c r="K156">
        <f>IF($D156=1,ROUND(SUM(householdfinance_v4_5!K156,householdfinance_v4_4!K156,householdfinance_v4_3!K156,householdfinance_v4_2!K156,householdfinance_v4_1!K156)/COUNT(householdfinance_v4_5!K156,householdfinance_v4_4!K156,householdfinance_v4_3!K156,householdfinance_v4_2!K156,householdfinance_v4_1!K156),0),"NA")</f>
        <v>1</v>
      </c>
      <c r="L156">
        <f>IF($D156=1,ROUND(SUM(householdfinance_v4_5!L156,householdfinance_v4_4!L156,householdfinance_v4_3!L156,householdfinance_v4_2!L156,householdfinance_v4_1!L156)/COUNT(householdfinance_v4_5!L156,householdfinance_v4_4!L156,householdfinance_v4_3!L156,householdfinance_v4_2!L156,householdfinance_v4_1!L156),0),"NA")</f>
        <v>1</v>
      </c>
      <c r="M156">
        <f>IF($D156=1,ROUND(SUM(householdfinance_v4_5!M156,householdfinance_v4_4!M156,householdfinance_v4_3!M156,householdfinance_v4_2!M156,householdfinance_v4_1!M156)/COUNT(householdfinance_v4_5!M156,householdfinance_v4_4!M156,householdfinance_v4_3!M156,householdfinance_v4_2!M156,householdfinance_v4_1!M156),0),"NA")</f>
        <v>1</v>
      </c>
      <c r="N156">
        <f>IF($D156=1,ROUND(SUM(householdfinance_v4_5!N156,householdfinance_v4_4!N156,householdfinance_v4_3!N156,householdfinance_v4_2!N156,householdfinance_v4_1!N156)/COUNT(householdfinance_v4_5!N156,householdfinance_v4_4!N156,householdfinance_v4_3!N156,householdfinance_v4_2!N156,householdfinance_v4_1!N156),0),"NA")</f>
        <v>1</v>
      </c>
      <c r="O156">
        <v>1.791242361068726</v>
      </c>
    </row>
    <row r="157" spans="1:15" x14ac:dyDescent="0.25">
      <c r="A157" t="s">
        <v>115</v>
      </c>
      <c r="B157" t="s">
        <v>79</v>
      </c>
      <c r="C157">
        <v>0</v>
      </c>
      <c r="D157">
        <f>ROUND(SUM(householdfinance_v4_5!D157,householdfinance_v4_4!D157,householdfinance_v4_3!D157,householdfinance_v4_2!D157,householdfinance_v4_1!D157)/COUNT(householdfinance_v4_5!D157,householdfinance_v4_4!D157,householdfinance_v4_3!D157,householdfinance_v4_2!D157,householdfinance_v4_1!D157),0)</f>
        <v>1</v>
      </c>
      <c r="E157">
        <f>IF($D157=1,ROUND(SUM(householdfinance_v4_5!E157,householdfinance_v4_4!E157,householdfinance_v4_3!E157,householdfinance_v4_2!E157,householdfinance_v4_1!E157)/COUNT(householdfinance_v4_5!E157,householdfinance_v4_4!E157,householdfinance_v4_3!E157,householdfinance_v4_2!E157,householdfinance_v4_1!E157),0),"NA")</f>
        <v>1</v>
      </c>
      <c r="F157">
        <f>IF($D157=1,ROUND(SUM(householdfinance_v4_5!F157,householdfinance_v4_4!F157,householdfinance_v4_3!F157,householdfinance_v4_2!F157,householdfinance_v4_1!F157)/COUNT(householdfinance_v4_5!F157,householdfinance_v4_4!F157,householdfinance_v4_3!F157,householdfinance_v4_2!F157,householdfinance_v4_1!F157),0),"NA")</f>
        <v>1</v>
      </c>
      <c r="G157">
        <f>IF($D157=1,ROUND(SUM(householdfinance_v4_5!G157,householdfinance_v4_4!G157,householdfinance_v4_3!G157,householdfinance_v4_2!G157,householdfinance_v4_1!G157)/COUNT(householdfinance_v4_5!G157,householdfinance_v4_4!G157,householdfinance_v4_3!G157,householdfinance_v4_2!G157,householdfinance_v4_1!G157),0),"NA")</f>
        <v>1</v>
      </c>
      <c r="H157">
        <f>IF($E157=1,ROUND(SUM(householdfinance_v4_5!H157,householdfinance_v4_4!H157,householdfinance_v4_3!H157,householdfinance_v4_2!H157,householdfinance_v4_1!H157)/COUNT(householdfinance_v4_5!H157,householdfinance_v4_4!H157,householdfinance_v4_3!H157,householdfinance_v4_2!H157,householdfinance_v4_1!H157),0),"NA")</f>
        <v>1</v>
      </c>
      <c r="I157">
        <f>IF($D157=1,ROUND(SUM(householdfinance_v4_5!I157,householdfinance_v4_4!I157,householdfinance_v4_3!I157,householdfinance_v4_2!I157,householdfinance_v4_1!I157)/COUNT(householdfinance_v4_5!I157,householdfinance_v4_4!I157,householdfinance_v4_3!I157,householdfinance_v4_2!I157,householdfinance_v4_1!I157),0),"NA")</f>
        <v>1</v>
      </c>
      <c r="J157">
        <f>IF(AND($E157=1,$F157=1),ROUND(SUM(householdfinance_v4_5!J157,householdfinance_v4_4!J157,householdfinance_v4_3!J157,householdfinance_v4_2!J157,householdfinance_v4_1!J157)/COUNT(householdfinance_v4_5!J157,householdfinance_v4_4!J157,householdfinance_v4_3!J157,householdfinance_v4_2!J157,householdfinance_v4_1!J157),0),"NA")</f>
        <v>1</v>
      </c>
      <c r="K157">
        <f>IF($D157=1,ROUND(SUM(householdfinance_v4_5!K157,householdfinance_v4_4!K157,householdfinance_v4_3!K157,householdfinance_v4_2!K157,householdfinance_v4_1!K157)/COUNT(householdfinance_v4_5!K157,householdfinance_v4_4!K157,householdfinance_v4_3!K157,householdfinance_v4_2!K157,householdfinance_v4_1!K157),0),"NA")</f>
        <v>1</v>
      </c>
      <c r="L157">
        <f>IF($D157=1,ROUND(SUM(householdfinance_v4_5!L157,householdfinance_v4_4!L157,householdfinance_v4_3!L157,householdfinance_v4_2!L157,householdfinance_v4_1!L157)/COUNT(householdfinance_v4_5!L157,householdfinance_v4_4!L157,householdfinance_v4_3!L157,householdfinance_v4_2!L157,householdfinance_v4_1!L157),0),"NA")</f>
        <v>1</v>
      </c>
      <c r="M157">
        <f>IF($D157=1,ROUND(SUM(householdfinance_v4_5!M157,householdfinance_v4_4!M157,householdfinance_v4_3!M157,householdfinance_v4_2!M157,householdfinance_v4_1!M157)/COUNT(householdfinance_v4_5!M157,householdfinance_v4_4!M157,householdfinance_v4_3!M157,householdfinance_v4_2!M157,householdfinance_v4_1!M157),0),"NA")</f>
        <v>1</v>
      </c>
      <c r="N157">
        <f>IF($D157=1,ROUND(SUM(householdfinance_v4_5!N157,householdfinance_v4_4!N157,householdfinance_v4_3!N157,householdfinance_v4_2!N157,householdfinance_v4_1!N157)/COUNT(householdfinance_v4_5!N157,householdfinance_v4_4!N157,householdfinance_v4_3!N157,householdfinance_v4_2!N157,householdfinance_v4_1!N157),0),"NA")</f>
        <v>1</v>
      </c>
      <c r="O157">
        <v>1.1218738555908201</v>
      </c>
    </row>
    <row r="158" spans="1:15" x14ac:dyDescent="0.25">
      <c r="A158" t="s">
        <v>115</v>
      </c>
      <c r="B158" t="s">
        <v>80</v>
      </c>
      <c r="C158">
        <v>0</v>
      </c>
      <c r="D158">
        <f>ROUND(SUM(householdfinance_v4_5!D158,householdfinance_v4_4!D158,householdfinance_v4_3!D158,householdfinance_v4_2!D158,householdfinance_v4_1!D158)/COUNT(householdfinance_v4_5!D158,householdfinance_v4_4!D158,householdfinance_v4_3!D158,householdfinance_v4_2!D158,householdfinance_v4_1!D158),0)</f>
        <v>1</v>
      </c>
      <c r="E158">
        <f>IF($D158=1,ROUND(SUM(householdfinance_v4_5!E158,householdfinance_v4_4!E158,householdfinance_v4_3!E158,householdfinance_v4_2!E158,householdfinance_v4_1!E158)/COUNT(householdfinance_v4_5!E158,householdfinance_v4_4!E158,householdfinance_v4_3!E158,householdfinance_v4_2!E158,householdfinance_v4_1!E158),0),"NA")</f>
        <v>1</v>
      </c>
      <c r="F158">
        <f>IF($D158=1,ROUND(SUM(householdfinance_v4_5!F158,householdfinance_v4_4!F158,householdfinance_v4_3!F158,householdfinance_v4_2!F158,householdfinance_v4_1!F158)/COUNT(householdfinance_v4_5!F158,householdfinance_v4_4!F158,householdfinance_v4_3!F158,householdfinance_v4_2!F158,householdfinance_v4_1!F158),0),"NA")</f>
        <v>1</v>
      </c>
      <c r="G158">
        <f>IF($D158=1,ROUND(SUM(householdfinance_v4_5!G158,householdfinance_v4_4!G158,householdfinance_v4_3!G158,householdfinance_v4_2!G158,householdfinance_v4_1!G158)/COUNT(householdfinance_v4_5!G158,householdfinance_v4_4!G158,householdfinance_v4_3!G158,householdfinance_v4_2!G158,householdfinance_v4_1!G158),0),"NA")</f>
        <v>1</v>
      </c>
      <c r="H158">
        <f>IF($E158=1,ROUND(SUM(householdfinance_v4_5!H158,householdfinance_v4_4!H158,householdfinance_v4_3!H158,householdfinance_v4_2!H158,householdfinance_v4_1!H158)/COUNT(householdfinance_v4_5!H158,householdfinance_v4_4!H158,householdfinance_v4_3!H158,householdfinance_v4_2!H158,householdfinance_v4_1!H158),0),"NA")</f>
        <v>1</v>
      </c>
      <c r="I158">
        <f>IF($D158=1,ROUND(SUM(householdfinance_v4_5!I158,householdfinance_v4_4!I158,householdfinance_v4_3!I158,householdfinance_v4_2!I158,householdfinance_v4_1!I158)/COUNT(householdfinance_v4_5!I158,householdfinance_v4_4!I158,householdfinance_v4_3!I158,householdfinance_v4_2!I158,householdfinance_v4_1!I158),0),"NA")</f>
        <v>1</v>
      </c>
      <c r="J158">
        <f>IF(AND($E158=1,$F158=1),ROUND(SUM(householdfinance_v4_5!J158,householdfinance_v4_4!J158,householdfinance_v4_3!J158,householdfinance_v4_2!J158,householdfinance_v4_1!J158)/COUNT(householdfinance_v4_5!J158,householdfinance_v4_4!J158,householdfinance_v4_3!J158,householdfinance_v4_2!J158,householdfinance_v4_1!J158),0),"NA")</f>
        <v>1</v>
      </c>
      <c r="K158">
        <f>IF($D158=1,ROUND(SUM(householdfinance_v4_5!K158,householdfinance_v4_4!K158,householdfinance_v4_3!K158,householdfinance_v4_2!K158,householdfinance_v4_1!K158)/COUNT(householdfinance_v4_5!K158,householdfinance_v4_4!K158,householdfinance_v4_3!K158,householdfinance_v4_2!K158,householdfinance_v4_1!K158),0),"NA")</f>
        <v>1</v>
      </c>
      <c r="L158">
        <f>IF($D158=1,ROUND(SUM(householdfinance_v4_5!L158,householdfinance_v4_4!L158,householdfinance_v4_3!L158,householdfinance_v4_2!L158,householdfinance_v4_1!L158)/COUNT(householdfinance_v4_5!L158,householdfinance_v4_4!L158,householdfinance_v4_3!L158,householdfinance_v4_2!L158,householdfinance_v4_1!L158),0),"NA")</f>
        <v>1</v>
      </c>
      <c r="M158">
        <f>IF($D158=1,ROUND(SUM(householdfinance_v4_5!M158,householdfinance_v4_4!M158,householdfinance_v4_3!M158,householdfinance_v4_2!M158,householdfinance_v4_1!M158)/COUNT(householdfinance_v4_5!M158,householdfinance_v4_4!M158,householdfinance_v4_3!M158,householdfinance_v4_2!M158,householdfinance_v4_1!M158),0),"NA")</f>
        <v>1</v>
      </c>
      <c r="N158">
        <f>IF($D158=1,ROUND(SUM(householdfinance_v4_5!N158,householdfinance_v4_4!N158,householdfinance_v4_3!N158,householdfinance_v4_2!N158,householdfinance_v4_1!N158)/COUNT(householdfinance_v4_5!N158,householdfinance_v4_4!N158,householdfinance_v4_3!N158,householdfinance_v4_2!N158,householdfinance_v4_1!N158),0),"NA")</f>
        <v>1</v>
      </c>
      <c r="O158">
        <v>1.414684057235718</v>
      </c>
    </row>
    <row r="159" spans="1:15" x14ac:dyDescent="0.25">
      <c r="A159" t="s">
        <v>115</v>
      </c>
      <c r="B159" t="s">
        <v>81</v>
      </c>
      <c r="C159">
        <v>0</v>
      </c>
      <c r="D159">
        <f>ROUND(SUM(householdfinance_v4_5!D159,householdfinance_v4_4!D159,householdfinance_v4_3!D159,householdfinance_v4_2!D159,householdfinance_v4_1!D159)/COUNT(householdfinance_v4_5!D159,householdfinance_v4_4!D159,householdfinance_v4_3!D159,householdfinance_v4_2!D159,householdfinance_v4_1!D159),0)</f>
        <v>1</v>
      </c>
      <c r="E159">
        <f>IF($D159=1,ROUND(SUM(householdfinance_v4_5!E159,householdfinance_v4_4!E159,householdfinance_v4_3!E159,householdfinance_v4_2!E159,householdfinance_v4_1!E159)/COUNT(householdfinance_v4_5!E159,householdfinance_v4_4!E159,householdfinance_v4_3!E159,householdfinance_v4_2!E159,householdfinance_v4_1!E159),0),"NA")</f>
        <v>1</v>
      </c>
      <c r="F159">
        <f>IF($D159=1,ROUND(SUM(householdfinance_v4_5!F159,householdfinance_v4_4!F159,householdfinance_v4_3!F159,householdfinance_v4_2!F159,householdfinance_v4_1!F159)/COUNT(householdfinance_v4_5!F159,householdfinance_v4_4!F159,householdfinance_v4_3!F159,householdfinance_v4_2!F159,householdfinance_v4_1!F159),0),"NA")</f>
        <v>1</v>
      </c>
      <c r="G159">
        <f>IF($D159=1,ROUND(SUM(householdfinance_v4_5!G159,householdfinance_v4_4!G159,householdfinance_v4_3!G159,householdfinance_v4_2!G159,householdfinance_v4_1!G159)/COUNT(householdfinance_v4_5!G159,householdfinance_v4_4!G159,householdfinance_v4_3!G159,householdfinance_v4_2!G159,householdfinance_v4_1!G159),0),"NA")</f>
        <v>1</v>
      </c>
      <c r="H159">
        <f>IF($E159=1,ROUND(SUM(householdfinance_v4_5!H159,householdfinance_v4_4!H159,householdfinance_v4_3!H159,householdfinance_v4_2!H159,householdfinance_v4_1!H159)/COUNT(householdfinance_v4_5!H159,householdfinance_v4_4!H159,householdfinance_v4_3!H159,householdfinance_v4_2!H159,householdfinance_v4_1!H159),0),"NA")</f>
        <v>1</v>
      </c>
      <c r="I159">
        <f>IF($D159=1,ROUND(SUM(householdfinance_v4_5!I159,householdfinance_v4_4!I159,householdfinance_v4_3!I159,householdfinance_v4_2!I159,householdfinance_v4_1!I159)/COUNT(householdfinance_v4_5!I159,householdfinance_v4_4!I159,householdfinance_v4_3!I159,householdfinance_v4_2!I159,householdfinance_v4_1!I159),0),"NA")</f>
        <v>1</v>
      </c>
      <c r="J159">
        <f>IF(AND($E159=1,$F159=1),ROUND(SUM(householdfinance_v4_5!J159,householdfinance_v4_4!J159,householdfinance_v4_3!J159,householdfinance_v4_2!J159,householdfinance_v4_1!J159)/COUNT(householdfinance_v4_5!J159,householdfinance_v4_4!J159,householdfinance_v4_3!J159,householdfinance_v4_2!J159,householdfinance_v4_1!J159),0),"NA")</f>
        <v>1</v>
      </c>
      <c r="K159">
        <f>IF($D159=1,ROUND(SUM(householdfinance_v4_5!K159,householdfinance_v4_4!K159,householdfinance_v4_3!K159,householdfinance_v4_2!K159,householdfinance_v4_1!K159)/COUNT(householdfinance_v4_5!K159,householdfinance_v4_4!K159,householdfinance_v4_3!K159,householdfinance_v4_2!K159,householdfinance_v4_1!K159),0),"NA")</f>
        <v>1</v>
      </c>
      <c r="L159">
        <f>IF($D159=1,ROUND(SUM(householdfinance_v4_5!L159,householdfinance_v4_4!L159,householdfinance_v4_3!L159,householdfinance_v4_2!L159,householdfinance_v4_1!L159)/COUNT(householdfinance_v4_5!L159,householdfinance_v4_4!L159,householdfinance_v4_3!L159,householdfinance_v4_2!L159,householdfinance_v4_1!L159),0),"NA")</f>
        <v>1</v>
      </c>
      <c r="M159">
        <f>IF($D159=1,ROUND(SUM(householdfinance_v4_5!M159,householdfinance_v4_4!M159,householdfinance_v4_3!M159,householdfinance_v4_2!M159,householdfinance_v4_1!M159)/COUNT(householdfinance_v4_5!M159,householdfinance_v4_4!M159,householdfinance_v4_3!M159,householdfinance_v4_2!M159,householdfinance_v4_1!M159),0),"NA")</f>
        <v>1</v>
      </c>
      <c r="N159">
        <f>IF($D159=1,ROUND(SUM(householdfinance_v4_5!N159,householdfinance_v4_4!N159,householdfinance_v4_3!N159,householdfinance_v4_2!N159,householdfinance_v4_1!N159)/COUNT(householdfinance_v4_5!N159,householdfinance_v4_4!N159,householdfinance_v4_3!N159,householdfinance_v4_2!N159,householdfinance_v4_1!N159),0),"NA")</f>
        <v>1</v>
      </c>
      <c r="O159">
        <v>2.139829158782959</v>
      </c>
    </row>
    <row r="160" spans="1:15" x14ac:dyDescent="0.25">
      <c r="A160" t="s">
        <v>115</v>
      </c>
      <c r="B160" t="s">
        <v>82</v>
      </c>
      <c r="C160">
        <v>0</v>
      </c>
      <c r="D160">
        <f>ROUND(SUM(householdfinance_v4_5!D160,householdfinance_v4_4!D160,householdfinance_v4_3!D160,householdfinance_v4_2!D160,householdfinance_v4_1!D160)/COUNT(householdfinance_v4_5!D160,householdfinance_v4_4!D160,householdfinance_v4_3!D160,householdfinance_v4_2!D160,householdfinance_v4_1!D160),0)</f>
        <v>1</v>
      </c>
      <c r="E160">
        <f>IF($D160=1,ROUND(SUM(householdfinance_v4_5!E160,householdfinance_v4_4!E160,householdfinance_v4_3!E160,householdfinance_v4_2!E160,householdfinance_v4_1!E160)/COUNT(householdfinance_v4_5!E160,householdfinance_v4_4!E160,householdfinance_v4_3!E160,householdfinance_v4_2!E160,householdfinance_v4_1!E160),0),"NA")</f>
        <v>1</v>
      </c>
      <c r="F160">
        <f>IF($D160=1,ROUND(SUM(householdfinance_v4_5!F160,householdfinance_v4_4!F160,householdfinance_v4_3!F160,householdfinance_v4_2!F160,householdfinance_v4_1!F160)/COUNT(householdfinance_v4_5!F160,householdfinance_v4_4!F160,householdfinance_v4_3!F160,householdfinance_v4_2!F160,householdfinance_v4_1!F160),0),"NA")</f>
        <v>1</v>
      </c>
      <c r="G160">
        <f>IF($D160=1,ROUND(SUM(householdfinance_v4_5!G160,householdfinance_v4_4!G160,householdfinance_v4_3!G160,householdfinance_v4_2!G160,householdfinance_v4_1!G160)/COUNT(householdfinance_v4_5!G160,householdfinance_v4_4!G160,householdfinance_v4_3!G160,householdfinance_v4_2!G160,householdfinance_v4_1!G160),0),"NA")</f>
        <v>1</v>
      </c>
      <c r="H160">
        <f>IF($E160=1,ROUND(SUM(householdfinance_v4_5!H160,householdfinance_v4_4!H160,householdfinance_v4_3!H160,householdfinance_v4_2!H160,householdfinance_v4_1!H160)/COUNT(householdfinance_v4_5!H160,householdfinance_v4_4!H160,householdfinance_v4_3!H160,householdfinance_v4_2!H160,householdfinance_v4_1!H160),0),"NA")</f>
        <v>1</v>
      </c>
      <c r="I160">
        <f>IF($D160=1,ROUND(SUM(householdfinance_v4_5!I160,householdfinance_v4_4!I160,householdfinance_v4_3!I160,householdfinance_v4_2!I160,householdfinance_v4_1!I160)/COUNT(householdfinance_v4_5!I160,householdfinance_v4_4!I160,householdfinance_v4_3!I160,householdfinance_v4_2!I160,householdfinance_v4_1!I160),0),"NA")</f>
        <v>1</v>
      </c>
      <c r="J160">
        <f>IF(AND($E160=1,$F160=1),ROUND(SUM(householdfinance_v4_5!J160,householdfinance_v4_4!J160,householdfinance_v4_3!J160,householdfinance_v4_2!J160,householdfinance_v4_1!J160)/COUNT(householdfinance_v4_5!J160,householdfinance_v4_4!J160,householdfinance_v4_3!J160,householdfinance_v4_2!J160,householdfinance_v4_1!J160),0),"NA")</f>
        <v>1</v>
      </c>
      <c r="K160">
        <f>IF($D160=1,ROUND(SUM(householdfinance_v4_5!K160,householdfinance_v4_4!K160,householdfinance_v4_3!K160,householdfinance_v4_2!K160,householdfinance_v4_1!K160)/COUNT(householdfinance_v4_5!K160,householdfinance_v4_4!K160,householdfinance_v4_3!K160,householdfinance_v4_2!K160,householdfinance_v4_1!K160),0),"NA")</f>
        <v>1</v>
      </c>
      <c r="L160">
        <f>IF($D160=1,ROUND(SUM(householdfinance_v4_5!L160,householdfinance_v4_4!L160,householdfinance_v4_3!L160,householdfinance_v4_2!L160,householdfinance_v4_1!L160)/COUNT(householdfinance_v4_5!L160,householdfinance_v4_4!L160,householdfinance_v4_3!L160,householdfinance_v4_2!L160,householdfinance_v4_1!L160),0),"NA")</f>
        <v>1</v>
      </c>
      <c r="M160">
        <f>IF($D160=1,ROUND(SUM(householdfinance_v4_5!M160,householdfinance_v4_4!M160,householdfinance_v4_3!M160,householdfinance_v4_2!M160,householdfinance_v4_1!M160)/COUNT(householdfinance_v4_5!M160,householdfinance_v4_4!M160,householdfinance_v4_3!M160,householdfinance_v4_2!M160,householdfinance_v4_1!M160),0),"NA")</f>
        <v>1</v>
      </c>
      <c r="N160">
        <f>IF($D160=1,ROUND(SUM(householdfinance_v4_5!N160,householdfinance_v4_4!N160,householdfinance_v4_3!N160,householdfinance_v4_2!N160,householdfinance_v4_1!N160)/COUNT(householdfinance_v4_5!N160,householdfinance_v4_4!N160,householdfinance_v4_3!N160,householdfinance_v4_2!N160,householdfinance_v4_1!N160),0),"NA")</f>
        <v>1</v>
      </c>
      <c r="O160">
        <v>1.290860176086426</v>
      </c>
    </row>
    <row r="161" spans="1:15" x14ac:dyDescent="0.25">
      <c r="A161" t="s">
        <v>115</v>
      </c>
      <c r="B161" t="s">
        <v>83</v>
      </c>
      <c r="C161">
        <v>0</v>
      </c>
      <c r="D161">
        <f>ROUND(SUM(householdfinance_v4_5!D161,householdfinance_v4_4!D161,householdfinance_v4_3!D161,householdfinance_v4_2!D161,householdfinance_v4_1!D161)/COUNT(householdfinance_v4_5!D161,householdfinance_v4_4!D161,householdfinance_v4_3!D161,householdfinance_v4_2!D161,householdfinance_v4_1!D161),0)</f>
        <v>1</v>
      </c>
      <c r="E161">
        <f>IF($D161=1,ROUND(SUM(householdfinance_v4_5!E161,householdfinance_v4_4!E161,householdfinance_v4_3!E161,householdfinance_v4_2!E161,householdfinance_v4_1!E161)/COUNT(householdfinance_v4_5!E161,householdfinance_v4_4!E161,householdfinance_v4_3!E161,householdfinance_v4_2!E161,householdfinance_v4_1!E161),0),"NA")</f>
        <v>1</v>
      </c>
      <c r="F161">
        <f>IF($D161=1,ROUND(SUM(householdfinance_v4_5!F161,householdfinance_v4_4!F161,householdfinance_v4_3!F161,householdfinance_v4_2!F161,householdfinance_v4_1!F161)/COUNT(householdfinance_v4_5!F161,householdfinance_v4_4!F161,householdfinance_v4_3!F161,householdfinance_v4_2!F161,householdfinance_v4_1!F161),0),"NA")</f>
        <v>1</v>
      </c>
      <c r="G161">
        <f>IF($D161=1,ROUND(SUM(householdfinance_v4_5!G161,householdfinance_v4_4!G161,householdfinance_v4_3!G161,householdfinance_v4_2!G161,householdfinance_v4_1!G161)/COUNT(householdfinance_v4_5!G161,householdfinance_v4_4!G161,householdfinance_v4_3!G161,householdfinance_v4_2!G161,householdfinance_v4_1!G161),0),"NA")</f>
        <v>1</v>
      </c>
      <c r="H161">
        <f>IF($E161=1,ROUND(SUM(householdfinance_v4_5!H161,householdfinance_v4_4!H161,householdfinance_v4_3!H161,householdfinance_v4_2!H161,householdfinance_v4_1!H161)/COUNT(householdfinance_v4_5!H161,householdfinance_v4_4!H161,householdfinance_v4_3!H161,householdfinance_v4_2!H161,householdfinance_v4_1!H161),0),"NA")</f>
        <v>1</v>
      </c>
      <c r="I161">
        <f>IF($D161=1,ROUND(SUM(householdfinance_v4_5!I161,householdfinance_v4_4!I161,householdfinance_v4_3!I161,householdfinance_v4_2!I161,householdfinance_v4_1!I161)/COUNT(householdfinance_v4_5!I161,householdfinance_v4_4!I161,householdfinance_v4_3!I161,householdfinance_v4_2!I161,householdfinance_v4_1!I161),0),"NA")</f>
        <v>1</v>
      </c>
      <c r="J161">
        <f>IF(AND($E161=1,$F161=1),ROUND(SUM(householdfinance_v4_5!J161,householdfinance_v4_4!J161,householdfinance_v4_3!J161,householdfinance_v4_2!J161,householdfinance_v4_1!J161)/COUNT(householdfinance_v4_5!J161,householdfinance_v4_4!J161,householdfinance_v4_3!J161,householdfinance_v4_2!J161,householdfinance_v4_1!J161),0),"NA")</f>
        <v>1</v>
      </c>
      <c r="K161">
        <f>IF($D161=1,ROUND(SUM(householdfinance_v4_5!K161,householdfinance_v4_4!K161,householdfinance_v4_3!K161,householdfinance_v4_2!K161,householdfinance_v4_1!K161)/COUNT(householdfinance_v4_5!K161,householdfinance_v4_4!K161,householdfinance_v4_3!K161,householdfinance_v4_2!K161,householdfinance_v4_1!K161),0),"NA")</f>
        <v>1</v>
      </c>
      <c r="L161">
        <f>IF($D161=1,ROUND(SUM(householdfinance_v4_5!L161,householdfinance_v4_4!L161,householdfinance_v4_3!L161,householdfinance_v4_2!L161,householdfinance_v4_1!L161)/COUNT(householdfinance_v4_5!L161,householdfinance_v4_4!L161,householdfinance_v4_3!L161,householdfinance_v4_2!L161,householdfinance_v4_1!L161),0),"NA")</f>
        <v>1</v>
      </c>
      <c r="M161">
        <f>IF($D161=1,ROUND(SUM(householdfinance_v4_5!M161,householdfinance_v4_4!M161,householdfinance_v4_3!M161,householdfinance_v4_2!M161,householdfinance_v4_1!M161)/COUNT(householdfinance_v4_5!M161,householdfinance_v4_4!M161,householdfinance_v4_3!M161,householdfinance_v4_2!M161,householdfinance_v4_1!M161),0),"NA")</f>
        <v>1</v>
      </c>
      <c r="N161">
        <f>IF($D161=1,ROUND(SUM(householdfinance_v4_5!N161,householdfinance_v4_4!N161,householdfinance_v4_3!N161,householdfinance_v4_2!N161,householdfinance_v4_1!N161)/COUNT(householdfinance_v4_5!N161,householdfinance_v4_4!N161,householdfinance_v4_3!N161,householdfinance_v4_2!N161,householdfinance_v4_1!N161),0),"NA")</f>
        <v>1</v>
      </c>
      <c r="O161">
        <v>1.0995421409606929</v>
      </c>
    </row>
    <row r="162" spans="1:15" x14ac:dyDescent="0.25">
      <c r="A162" t="s">
        <v>115</v>
      </c>
      <c r="B162" t="s">
        <v>85</v>
      </c>
      <c r="C162">
        <v>0</v>
      </c>
      <c r="D162">
        <f>ROUND(SUM(householdfinance_v4_5!D162,householdfinance_v4_4!D162,householdfinance_v4_3!D162,householdfinance_v4_2!D162,householdfinance_v4_1!D162)/COUNT(householdfinance_v4_5!D162,householdfinance_v4_4!D162,householdfinance_v4_3!D162,householdfinance_v4_2!D162,householdfinance_v4_1!D162),0)</f>
        <v>1</v>
      </c>
      <c r="E162">
        <f>IF($D162=1,ROUND(SUM(householdfinance_v4_5!E162,householdfinance_v4_4!E162,householdfinance_v4_3!E162,householdfinance_v4_2!E162,householdfinance_v4_1!E162)/COUNT(householdfinance_v4_5!E162,householdfinance_v4_4!E162,householdfinance_v4_3!E162,householdfinance_v4_2!E162,householdfinance_v4_1!E162),0),"NA")</f>
        <v>1</v>
      </c>
      <c r="F162">
        <f>IF($D162=1,ROUND(SUM(householdfinance_v4_5!F162,householdfinance_v4_4!F162,householdfinance_v4_3!F162,householdfinance_v4_2!F162,householdfinance_v4_1!F162)/COUNT(householdfinance_v4_5!F162,householdfinance_v4_4!F162,householdfinance_v4_3!F162,householdfinance_v4_2!F162,householdfinance_v4_1!F162),0),"NA")</f>
        <v>1</v>
      </c>
      <c r="G162">
        <f>IF($D162=1,ROUND(SUM(householdfinance_v4_5!G162,householdfinance_v4_4!G162,householdfinance_v4_3!G162,householdfinance_v4_2!G162,householdfinance_v4_1!G162)/COUNT(householdfinance_v4_5!G162,householdfinance_v4_4!G162,householdfinance_v4_3!G162,householdfinance_v4_2!G162,householdfinance_v4_1!G162),0),"NA")</f>
        <v>1</v>
      </c>
      <c r="H162">
        <f>IF($E162=1,ROUND(SUM(householdfinance_v4_5!H162,householdfinance_v4_4!H162,householdfinance_v4_3!H162,householdfinance_v4_2!H162,householdfinance_v4_1!H162)/COUNT(householdfinance_v4_5!H162,householdfinance_v4_4!H162,householdfinance_v4_3!H162,householdfinance_v4_2!H162,householdfinance_v4_1!H162),0),"NA")</f>
        <v>1</v>
      </c>
      <c r="I162">
        <f>IF($D162=1,ROUND(SUM(householdfinance_v4_5!I162,householdfinance_v4_4!I162,householdfinance_v4_3!I162,householdfinance_v4_2!I162,householdfinance_v4_1!I162)/COUNT(householdfinance_v4_5!I162,householdfinance_v4_4!I162,householdfinance_v4_3!I162,householdfinance_v4_2!I162,householdfinance_v4_1!I162),0),"NA")</f>
        <v>1</v>
      </c>
      <c r="J162">
        <f>IF(AND($E162=1,$F162=1),ROUND(SUM(householdfinance_v4_5!J162,householdfinance_v4_4!J162,householdfinance_v4_3!J162,householdfinance_v4_2!J162,householdfinance_v4_1!J162)/COUNT(householdfinance_v4_5!J162,householdfinance_v4_4!J162,householdfinance_v4_3!J162,householdfinance_v4_2!J162,householdfinance_v4_1!J162),0),"NA")</f>
        <v>1</v>
      </c>
      <c r="K162">
        <f>IF($D162=1,ROUND(SUM(householdfinance_v4_5!K162,householdfinance_v4_4!K162,householdfinance_v4_3!K162,householdfinance_v4_2!K162,householdfinance_v4_1!K162)/COUNT(householdfinance_v4_5!K162,householdfinance_v4_4!K162,householdfinance_v4_3!K162,householdfinance_v4_2!K162,householdfinance_v4_1!K162),0),"NA")</f>
        <v>1</v>
      </c>
      <c r="L162">
        <f>IF($D162=1,ROUND(SUM(householdfinance_v4_5!L162,householdfinance_v4_4!L162,householdfinance_v4_3!L162,householdfinance_v4_2!L162,householdfinance_v4_1!L162)/COUNT(householdfinance_v4_5!L162,householdfinance_v4_4!L162,householdfinance_v4_3!L162,householdfinance_v4_2!L162,householdfinance_v4_1!L162),0),"NA")</f>
        <v>1</v>
      </c>
      <c r="M162">
        <f>IF($D162=1,ROUND(SUM(householdfinance_v4_5!M162,householdfinance_v4_4!M162,householdfinance_v4_3!M162,householdfinance_v4_2!M162,householdfinance_v4_1!M162)/COUNT(householdfinance_v4_5!M162,householdfinance_v4_4!M162,householdfinance_v4_3!M162,householdfinance_v4_2!M162,householdfinance_v4_1!M162),0),"NA")</f>
        <v>1</v>
      </c>
      <c r="N162">
        <f>IF($D162=1,ROUND(SUM(householdfinance_v4_5!N162,householdfinance_v4_4!N162,householdfinance_v4_3!N162,householdfinance_v4_2!N162,householdfinance_v4_1!N162)/COUNT(householdfinance_v4_5!N162,householdfinance_v4_4!N162,householdfinance_v4_3!N162,householdfinance_v4_2!N162,householdfinance_v4_1!N162),0),"NA")</f>
        <v>1</v>
      </c>
      <c r="O162">
        <v>1.248853921890259</v>
      </c>
    </row>
    <row r="163" spans="1:15" x14ac:dyDescent="0.25">
      <c r="A163" t="s">
        <v>115</v>
      </c>
      <c r="B163" t="s">
        <v>98</v>
      </c>
      <c r="C163">
        <v>0</v>
      </c>
      <c r="D163">
        <f>ROUND(SUM(householdfinance_v4_5!D163,householdfinance_v4_4!D163,householdfinance_v4_3!D163,householdfinance_v4_2!D163,householdfinance_v4_1!D163)/COUNT(householdfinance_v4_5!D163,householdfinance_v4_4!D163,householdfinance_v4_3!D163,householdfinance_v4_2!D163,householdfinance_v4_1!D163),0)</f>
        <v>1</v>
      </c>
      <c r="E163">
        <f>IF($D163=1,ROUND(SUM(householdfinance_v4_5!E163,householdfinance_v4_4!E163,householdfinance_v4_3!E163,householdfinance_v4_2!E163,householdfinance_v4_1!E163)/COUNT(householdfinance_v4_5!E163,householdfinance_v4_4!E163,householdfinance_v4_3!E163,householdfinance_v4_2!E163,householdfinance_v4_1!E163),0),"NA")</f>
        <v>1</v>
      </c>
      <c r="F163">
        <f>IF($D163=1,ROUND(SUM(householdfinance_v4_5!F163,householdfinance_v4_4!F163,householdfinance_v4_3!F163,householdfinance_v4_2!F163,householdfinance_v4_1!F163)/COUNT(householdfinance_v4_5!F163,householdfinance_v4_4!F163,householdfinance_v4_3!F163,householdfinance_v4_2!F163,householdfinance_v4_1!F163),0),"NA")</f>
        <v>1</v>
      </c>
      <c r="G163">
        <f>IF($D163=1,ROUND(SUM(householdfinance_v4_5!G163,householdfinance_v4_4!G163,householdfinance_v4_3!G163,householdfinance_v4_2!G163,householdfinance_v4_1!G163)/COUNT(householdfinance_v4_5!G163,householdfinance_v4_4!G163,householdfinance_v4_3!G163,householdfinance_v4_2!G163,householdfinance_v4_1!G163),0),"NA")</f>
        <v>1</v>
      </c>
      <c r="H163">
        <f>IF($E163=1,ROUND(SUM(householdfinance_v4_5!H163,householdfinance_v4_4!H163,householdfinance_v4_3!H163,householdfinance_v4_2!H163,householdfinance_v4_1!H163)/COUNT(householdfinance_v4_5!H163,householdfinance_v4_4!H163,householdfinance_v4_3!H163,householdfinance_v4_2!H163,householdfinance_v4_1!H163),0),"NA")</f>
        <v>1</v>
      </c>
      <c r="I163">
        <f>IF($D163=1,ROUND(SUM(householdfinance_v4_5!I163,householdfinance_v4_4!I163,householdfinance_v4_3!I163,householdfinance_v4_2!I163,householdfinance_v4_1!I163)/COUNT(householdfinance_v4_5!I163,householdfinance_v4_4!I163,householdfinance_v4_3!I163,householdfinance_v4_2!I163,householdfinance_v4_1!I163),0),"NA")</f>
        <v>1</v>
      </c>
      <c r="J163">
        <f>IF(AND($E163=1,$F163=1),ROUND(SUM(householdfinance_v4_5!J163,householdfinance_v4_4!J163,householdfinance_v4_3!J163,householdfinance_v4_2!J163,householdfinance_v4_1!J163)/COUNT(householdfinance_v4_5!J163,householdfinance_v4_4!J163,householdfinance_v4_3!J163,householdfinance_v4_2!J163,householdfinance_v4_1!J163),0),"NA")</f>
        <v>1</v>
      </c>
      <c r="K163">
        <f>IF($D163=1,ROUND(SUM(householdfinance_v4_5!K163,householdfinance_v4_4!K163,householdfinance_v4_3!K163,householdfinance_v4_2!K163,householdfinance_v4_1!K163)/COUNT(householdfinance_v4_5!K163,householdfinance_v4_4!K163,householdfinance_v4_3!K163,householdfinance_v4_2!K163,householdfinance_v4_1!K163),0),"NA")</f>
        <v>1</v>
      </c>
      <c r="L163">
        <f>IF($D163=1,ROUND(SUM(householdfinance_v4_5!L163,householdfinance_v4_4!L163,householdfinance_v4_3!L163,householdfinance_v4_2!L163,householdfinance_v4_1!L163)/COUNT(householdfinance_v4_5!L163,householdfinance_v4_4!L163,householdfinance_v4_3!L163,householdfinance_v4_2!L163,householdfinance_v4_1!L163),0),"NA")</f>
        <v>1</v>
      </c>
      <c r="M163">
        <f>IF($D163=1,ROUND(SUM(householdfinance_v4_5!M163,householdfinance_v4_4!M163,householdfinance_v4_3!M163,householdfinance_v4_2!M163,householdfinance_v4_1!M163)/COUNT(householdfinance_v4_5!M163,householdfinance_v4_4!M163,householdfinance_v4_3!M163,householdfinance_v4_2!M163,householdfinance_v4_1!M163),0),"NA")</f>
        <v>1</v>
      </c>
      <c r="N163">
        <f>IF($D163=1,ROUND(SUM(householdfinance_v4_5!N163,householdfinance_v4_4!N163,householdfinance_v4_3!N163,householdfinance_v4_2!N163,householdfinance_v4_1!N163)/COUNT(householdfinance_v4_5!N163,householdfinance_v4_4!N163,householdfinance_v4_3!N163,householdfinance_v4_2!N163,householdfinance_v4_1!N163),0),"NA")</f>
        <v>1</v>
      </c>
      <c r="O163">
        <v>1.2172946929931641</v>
      </c>
    </row>
    <row r="164" spans="1:15" x14ac:dyDescent="0.25">
      <c r="A164" t="s">
        <v>115</v>
      </c>
      <c r="B164" t="s">
        <v>99</v>
      </c>
      <c r="C164">
        <v>0</v>
      </c>
      <c r="D164">
        <f>ROUND(SUM(householdfinance_v4_5!D164,householdfinance_v4_4!D164,householdfinance_v4_3!D164,householdfinance_v4_2!D164,householdfinance_v4_1!D164)/COUNT(householdfinance_v4_5!D164,householdfinance_v4_4!D164,householdfinance_v4_3!D164,householdfinance_v4_2!D164,householdfinance_v4_1!D164),0)</f>
        <v>1</v>
      </c>
      <c r="E164">
        <f>IF($D164=1,ROUND(SUM(householdfinance_v4_5!E164,householdfinance_v4_4!E164,householdfinance_v4_3!E164,householdfinance_v4_2!E164,householdfinance_v4_1!E164)/COUNT(householdfinance_v4_5!E164,householdfinance_v4_4!E164,householdfinance_v4_3!E164,householdfinance_v4_2!E164,householdfinance_v4_1!E164),0),"NA")</f>
        <v>1</v>
      </c>
      <c r="F164">
        <f>IF($D164=1,ROUND(SUM(householdfinance_v4_5!F164,householdfinance_v4_4!F164,householdfinance_v4_3!F164,householdfinance_v4_2!F164,householdfinance_v4_1!F164)/COUNT(householdfinance_v4_5!F164,householdfinance_v4_4!F164,householdfinance_v4_3!F164,householdfinance_v4_2!F164,householdfinance_v4_1!F164),0),"NA")</f>
        <v>1</v>
      </c>
      <c r="G164">
        <f>IF($D164=1,ROUND(SUM(householdfinance_v4_5!G164,householdfinance_v4_4!G164,householdfinance_v4_3!G164,householdfinance_v4_2!G164,householdfinance_v4_1!G164)/COUNT(householdfinance_v4_5!G164,householdfinance_v4_4!G164,householdfinance_v4_3!G164,householdfinance_v4_2!G164,householdfinance_v4_1!G164),0),"NA")</f>
        <v>1</v>
      </c>
      <c r="H164">
        <f>IF($E164=1,ROUND(SUM(householdfinance_v4_5!H164,householdfinance_v4_4!H164,householdfinance_v4_3!H164,householdfinance_v4_2!H164,householdfinance_v4_1!H164)/COUNT(householdfinance_v4_5!H164,householdfinance_v4_4!H164,householdfinance_v4_3!H164,householdfinance_v4_2!H164,householdfinance_v4_1!H164),0),"NA")</f>
        <v>1</v>
      </c>
      <c r="I164">
        <f>IF($D164=1,ROUND(SUM(householdfinance_v4_5!I164,householdfinance_v4_4!I164,householdfinance_v4_3!I164,householdfinance_v4_2!I164,householdfinance_v4_1!I164)/COUNT(householdfinance_v4_5!I164,householdfinance_v4_4!I164,householdfinance_v4_3!I164,householdfinance_v4_2!I164,householdfinance_v4_1!I164),0),"NA")</f>
        <v>1</v>
      </c>
      <c r="J164">
        <f>IF(AND($E164=1,$F164=1),ROUND(SUM(householdfinance_v4_5!J164,householdfinance_v4_4!J164,householdfinance_v4_3!J164,householdfinance_v4_2!J164,householdfinance_v4_1!J164)/COUNT(householdfinance_v4_5!J164,householdfinance_v4_4!J164,householdfinance_v4_3!J164,householdfinance_v4_2!J164,householdfinance_v4_1!J164),0),"NA")</f>
        <v>1</v>
      </c>
      <c r="K164">
        <f>IF($D164=1,ROUND(SUM(householdfinance_v4_5!K164,householdfinance_v4_4!K164,householdfinance_v4_3!K164,householdfinance_v4_2!K164,householdfinance_v4_1!K164)/COUNT(householdfinance_v4_5!K164,householdfinance_v4_4!K164,householdfinance_v4_3!K164,householdfinance_v4_2!K164,householdfinance_v4_1!K164),0),"NA")</f>
        <v>1</v>
      </c>
      <c r="L164">
        <f>IF($D164=1,ROUND(SUM(householdfinance_v4_5!L164,householdfinance_v4_4!L164,householdfinance_v4_3!L164,householdfinance_v4_2!L164,householdfinance_v4_1!L164)/COUNT(householdfinance_v4_5!L164,householdfinance_v4_4!L164,householdfinance_v4_3!L164,householdfinance_v4_2!L164,householdfinance_v4_1!L164),0),"NA")</f>
        <v>1</v>
      </c>
      <c r="M164">
        <f>IF($D164=1,ROUND(SUM(householdfinance_v4_5!M164,householdfinance_v4_4!M164,householdfinance_v4_3!M164,householdfinance_v4_2!M164,householdfinance_v4_1!M164)/COUNT(householdfinance_v4_5!M164,householdfinance_v4_4!M164,householdfinance_v4_3!M164,householdfinance_v4_2!M164,householdfinance_v4_1!M164),0),"NA")</f>
        <v>1</v>
      </c>
      <c r="N164">
        <f>IF($D164=1,ROUND(SUM(householdfinance_v4_5!N164,householdfinance_v4_4!N164,householdfinance_v4_3!N164,householdfinance_v4_2!N164,householdfinance_v4_1!N164)/COUNT(householdfinance_v4_5!N164,householdfinance_v4_4!N164,householdfinance_v4_3!N164,householdfinance_v4_2!N164,householdfinance_v4_1!N164),0),"NA")</f>
        <v>1</v>
      </c>
      <c r="O164">
        <v>2.31428074836731</v>
      </c>
    </row>
    <row r="165" spans="1:15" x14ac:dyDescent="0.25">
      <c r="A165" t="s">
        <v>115</v>
      </c>
      <c r="B165" t="s">
        <v>100</v>
      </c>
      <c r="C165">
        <v>0</v>
      </c>
      <c r="D165">
        <f>ROUND(SUM(householdfinance_v4_5!D165,householdfinance_v4_4!D165,householdfinance_v4_3!D165,householdfinance_v4_2!D165,householdfinance_v4_1!D165)/COUNT(householdfinance_v4_5!D165,householdfinance_v4_4!D165,householdfinance_v4_3!D165,householdfinance_v4_2!D165,householdfinance_v4_1!D165),0)</f>
        <v>1</v>
      </c>
      <c r="E165">
        <f>IF($D165=1,ROUND(SUM(householdfinance_v4_5!E165,householdfinance_v4_4!E165,householdfinance_v4_3!E165,householdfinance_v4_2!E165,householdfinance_v4_1!E165)/COUNT(householdfinance_v4_5!E165,householdfinance_v4_4!E165,householdfinance_v4_3!E165,householdfinance_v4_2!E165,householdfinance_v4_1!E165),0),"NA")</f>
        <v>1</v>
      </c>
      <c r="F165">
        <f>IF($D165=1,ROUND(SUM(householdfinance_v4_5!F165,householdfinance_v4_4!F165,householdfinance_v4_3!F165,householdfinance_v4_2!F165,householdfinance_v4_1!F165)/COUNT(householdfinance_v4_5!F165,householdfinance_v4_4!F165,householdfinance_v4_3!F165,householdfinance_v4_2!F165,householdfinance_v4_1!F165),0),"NA")</f>
        <v>1</v>
      </c>
      <c r="G165">
        <f>IF($D165=1,ROUND(SUM(householdfinance_v4_5!G165,householdfinance_v4_4!G165,householdfinance_v4_3!G165,householdfinance_v4_2!G165,householdfinance_v4_1!G165)/COUNT(householdfinance_v4_5!G165,householdfinance_v4_4!G165,householdfinance_v4_3!G165,householdfinance_v4_2!G165,householdfinance_v4_1!G165),0),"NA")</f>
        <v>0</v>
      </c>
      <c r="H165">
        <f>IF($E165=1,ROUND(SUM(householdfinance_v4_5!H165,householdfinance_v4_4!H165,householdfinance_v4_3!H165,householdfinance_v4_2!H165,householdfinance_v4_1!H165)/COUNT(householdfinance_v4_5!H165,householdfinance_v4_4!H165,householdfinance_v4_3!H165,householdfinance_v4_2!H165,householdfinance_v4_1!H165),0),"NA")</f>
        <v>1</v>
      </c>
      <c r="I165">
        <f>IF($D165=1,ROUND(SUM(householdfinance_v4_5!I165,householdfinance_v4_4!I165,householdfinance_v4_3!I165,householdfinance_v4_2!I165,householdfinance_v4_1!I165)/COUNT(householdfinance_v4_5!I165,householdfinance_v4_4!I165,householdfinance_v4_3!I165,householdfinance_v4_2!I165,householdfinance_v4_1!I165),0),"NA")</f>
        <v>1</v>
      </c>
      <c r="J165">
        <f>IF(AND($E165=1,$F165=1),ROUND(SUM(householdfinance_v4_5!J165,householdfinance_v4_4!J165,householdfinance_v4_3!J165,householdfinance_v4_2!J165,householdfinance_v4_1!J165)/COUNT(householdfinance_v4_5!J165,householdfinance_v4_4!J165,householdfinance_v4_3!J165,householdfinance_v4_2!J165,householdfinance_v4_1!J165),0),"NA")</f>
        <v>1</v>
      </c>
      <c r="K165">
        <f>IF($D165=1,ROUND(SUM(householdfinance_v4_5!K165,householdfinance_v4_4!K165,householdfinance_v4_3!K165,householdfinance_v4_2!K165,householdfinance_v4_1!K165)/COUNT(householdfinance_v4_5!K165,householdfinance_v4_4!K165,householdfinance_v4_3!K165,householdfinance_v4_2!K165,householdfinance_v4_1!K165),0),"NA")</f>
        <v>1</v>
      </c>
      <c r="L165">
        <f>IF($D165=1,ROUND(SUM(householdfinance_v4_5!L165,householdfinance_v4_4!L165,householdfinance_v4_3!L165,householdfinance_v4_2!L165,householdfinance_v4_1!L165)/COUNT(householdfinance_v4_5!L165,householdfinance_v4_4!L165,householdfinance_v4_3!L165,householdfinance_v4_2!L165,householdfinance_v4_1!L165),0),"NA")</f>
        <v>1</v>
      </c>
      <c r="M165">
        <f>IF($D165=1,ROUND(SUM(householdfinance_v4_5!M165,householdfinance_v4_4!M165,householdfinance_v4_3!M165,householdfinance_v4_2!M165,householdfinance_v4_1!M165)/COUNT(householdfinance_v4_5!M165,householdfinance_v4_4!M165,householdfinance_v4_3!M165,householdfinance_v4_2!M165,householdfinance_v4_1!M165),0),"NA")</f>
        <v>1</v>
      </c>
      <c r="N165">
        <f>IF($D165=1,ROUND(SUM(householdfinance_v4_5!N165,householdfinance_v4_4!N165,householdfinance_v4_3!N165,householdfinance_v4_2!N165,householdfinance_v4_1!N165)/COUNT(householdfinance_v4_5!N165,householdfinance_v4_4!N165,householdfinance_v4_3!N165,householdfinance_v4_2!N165,householdfinance_v4_1!N165),0),"NA")</f>
        <v>1</v>
      </c>
      <c r="O165">
        <v>2.228011846542358</v>
      </c>
    </row>
    <row r="166" spans="1:15" x14ac:dyDescent="0.25">
      <c r="A166" t="s">
        <v>115</v>
      </c>
      <c r="B166" t="s">
        <v>101</v>
      </c>
      <c r="C166">
        <v>0</v>
      </c>
      <c r="D166">
        <f>ROUND(SUM(householdfinance_v4_5!D166,householdfinance_v4_4!D166,householdfinance_v4_3!D166,householdfinance_v4_2!D166,householdfinance_v4_1!D166)/COUNT(householdfinance_v4_5!D166,householdfinance_v4_4!D166,householdfinance_v4_3!D166,householdfinance_v4_2!D166,householdfinance_v4_1!D166),0)</f>
        <v>1</v>
      </c>
      <c r="E166">
        <f>IF($D166=1,ROUND(SUM(householdfinance_v4_5!E166,householdfinance_v4_4!E166,householdfinance_v4_3!E166,householdfinance_v4_2!E166,householdfinance_v4_1!E166)/COUNT(householdfinance_v4_5!E166,householdfinance_v4_4!E166,householdfinance_v4_3!E166,householdfinance_v4_2!E166,householdfinance_v4_1!E166),0),"NA")</f>
        <v>1</v>
      </c>
      <c r="F166">
        <f>IF($D166=1,ROUND(SUM(householdfinance_v4_5!F166,householdfinance_v4_4!F166,householdfinance_v4_3!F166,householdfinance_v4_2!F166,householdfinance_v4_1!F166)/COUNT(householdfinance_v4_5!F166,householdfinance_v4_4!F166,householdfinance_v4_3!F166,householdfinance_v4_2!F166,householdfinance_v4_1!F166),0),"NA")</f>
        <v>1</v>
      </c>
      <c r="G166">
        <f>IF($D166=1,ROUND(SUM(householdfinance_v4_5!G166,householdfinance_v4_4!G166,householdfinance_v4_3!G166,householdfinance_v4_2!G166,householdfinance_v4_1!G166)/COUNT(householdfinance_v4_5!G166,householdfinance_v4_4!G166,householdfinance_v4_3!G166,householdfinance_v4_2!G166,householdfinance_v4_1!G166),0),"NA")</f>
        <v>1</v>
      </c>
      <c r="H166">
        <f>IF($E166=1,ROUND(SUM(householdfinance_v4_5!H166,householdfinance_v4_4!H166,householdfinance_v4_3!H166,householdfinance_v4_2!H166,householdfinance_v4_1!H166)/COUNT(householdfinance_v4_5!H166,householdfinance_v4_4!H166,householdfinance_v4_3!H166,householdfinance_v4_2!H166,householdfinance_v4_1!H166),0),"NA")</f>
        <v>1</v>
      </c>
      <c r="I166">
        <f>IF($D166=1,ROUND(SUM(householdfinance_v4_5!I166,householdfinance_v4_4!I166,householdfinance_v4_3!I166,householdfinance_v4_2!I166,householdfinance_v4_1!I166)/COUNT(householdfinance_v4_5!I166,householdfinance_v4_4!I166,householdfinance_v4_3!I166,householdfinance_v4_2!I166,householdfinance_v4_1!I166),0),"NA")</f>
        <v>1</v>
      </c>
      <c r="J166">
        <f>IF(AND($E166=1,$F166=1),ROUND(SUM(householdfinance_v4_5!J166,householdfinance_v4_4!J166,householdfinance_v4_3!J166,householdfinance_v4_2!J166,householdfinance_v4_1!J166)/COUNT(householdfinance_v4_5!J166,householdfinance_v4_4!J166,householdfinance_v4_3!J166,householdfinance_v4_2!J166,householdfinance_v4_1!J166),0),"NA")</f>
        <v>1</v>
      </c>
      <c r="K166">
        <f>IF($D166=1,ROUND(SUM(householdfinance_v4_5!K166,householdfinance_v4_4!K166,householdfinance_v4_3!K166,householdfinance_v4_2!K166,householdfinance_v4_1!K166)/COUNT(householdfinance_v4_5!K166,householdfinance_v4_4!K166,householdfinance_v4_3!K166,householdfinance_v4_2!K166,householdfinance_v4_1!K166),0),"NA")</f>
        <v>1</v>
      </c>
      <c r="L166">
        <f>IF($D166=1,ROUND(SUM(householdfinance_v4_5!L166,householdfinance_v4_4!L166,householdfinance_v4_3!L166,householdfinance_v4_2!L166,householdfinance_v4_1!L166)/COUNT(householdfinance_v4_5!L166,householdfinance_v4_4!L166,householdfinance_v4_3!L166,householdfinance_v4_2!L166,householdfinance_v4_1!L166),0),"NA")</f>
        <v>1</v>
      </c>
      <c r="M166">
        <f>IF($D166=1,ROUND(SUM(householdfinance_v4_5!M166,householdfinance_v4_4!M166,householdfinance_v4_3!M166,householdfinance_v4_2!M166,householdfinance_v4_1!M166)/COUNT(householdfinance_v4_5!M166,householdfinance_v4_4!M166,householdfinance_v4_3!M166,householdfinance_v4_2!M166,householdfinance_v4_1!M166),0),"NA")</f>
        <v>1</v>
      </c>
      <c r="N166">
        <f>IF($D166=1,ROUND(SUM(householdfinance_v4_5!N166,householdfinance_v4_4!N166,householdfinance_v4_3!N166,householdfinance_v4_2!N166,householdfinance_v4_1!N166)/COUNT(householdfinance_v4_5!N166,householdfinance_v4_4!N166,householdfinance_v4_3!N166,householdfinance_v4_2!N166,householdfinance_v4_1!N166),0),"NA")</f>
        <v>1</v>
      </c>
      <c r="O166">
        <v>1.2842142581939699</v>
      </c>
    </row>
    <row r="167" spans="1:15" x14ac:dyDescent="0.25">
      <c r="A167" t="s">
        <v>115</v>
      </c>
      <c r="B167" t="s">
        <v>102</v>
      </c>
      <c r="C167">
        <v>0</v>
      </c>
      <c r="D167">
        <f>ROUND(SUM(householdfinance_v4_5!D167,householdfinance_v4_4!D167,householdfinance_v4_3!D167,householdfinance_v4_2!D167,householdfinance_v4_1!D167)/COUNT(householdfinance_v4_5!D167,householdfinance_v4_4!D167,householdfinance_v4_3!D167,householdfinance_v4_2!D167,householdfinance_v4_1!D167),0)</f>
        <v>1</v>
      </c>
      <c r="E167">
        <f>IF($D167=1,ROUND(SUM(householdfinance_v4_5!E167,householdfinance_v4_4!E167,householdfinance_v4_3!E167,householdfinance_v4_2!E167,householdfinance_v4_1!E167)/COUNT(householdfinance_v4_5!E167,householdfinance_v4_4!E167,householdfinance_v4_3!E167,householdfinance_v4_2!E167,householdfinance_v4_1!E167),0),"NA")</f>
        <v>1</v>
      </c>
      <c r="F167">
        <f>IF($D167=1,ROUND(SUM(householdfinance_v4_5!F167,householdfinance_v4_4!F167,householdfinance_v4_3!F167,householdfinance_v4_2!F167,householdfinance_v4_1!F167)/COUNT(householdfinance_v4_5!F167,householdfinance_v4_4!F167,householdfinance_v4_3!F167,householdfinance_v4_2!F167,householdfinance_v4_1!F167),0),"NA")</f>
        <v>1</v>
      </c>
      <c r="G167">
        <f>IF($D167=1,ROUND(SUM(householdfinance_v4_5!G167,householdfinance_v4_4!G167,householdfinance_v4_3!G167,householdfinance_v4_2!G167,householdfinance_v4_1!G167)/COUNT(householdfinance_v4_5!G167,householdfinance_v4_4!G167,householdfinance_v4_3!G167,householdfinance_v4_2!G167,householdfinance_v4_1!G167),0),"NA")</f>
        <v>1</v>
      </c>
      <c r="H167">
        <f>IF($E167=1,ROUND(SUM(householdfinance_v4_5!H167,householdfinance_v4_4!H167,householdfinance_v4_3!H167,householdfinance_v4_2!H167,householdfinance_v4_1!H167)/COUNT(householdfinance_v4_5!H167,householdfinance_v4_4!H167,householdfinance_v4_3!H167,householdfinance_v4_2!H167,householdfinance_v4_1!H167),0),"NA")</f>
        <v>1</v>
      </c>
      <c r="I167">
        <f>IF($D167=1,ROUND(SUM(householdfinance_v4_5!I167,householdfinance_v4_4!I167,householdfinance_v4_3!I167,householdfinance_v4_2!I167,householdfinance_v4_1!I167)/COUNT(householdfinance_v4_5!I167,householdfinance_v4_4!I167,householdfinance_v4_3!I167,householdfinance_v4_2!I167,householdfinance_v4_1!I167),0),"NA")</f>
        <v>1</v>
      </c>
      <c r="J167">
        <f>IF(AND($E167=1,$F167=1),ROUND(SUM(householdfinance_v4_5!J167,householdfinance_v4_4!J167,householdfinance_v4_3!J167,householdfinance_v4_2!J167,householdfinance_v4_1!J167)/COUNT(householdfinance_v4_5!J167,householdfinance_v4_4!J167,householdfinance_v4_3!J167,householdfinance_v4_2!J167,householdfinance_v4_1!J167),0),"NA")</f>
        <v>1</v>
      </c>
      <c r="K167">
        <f>IF($D167=1,ROUND(SUM(householdfinance_v4_5!K167,householdfinance_v4_4!K167,householdfinance_v4_3!K167,householdfinance_v4_2!K167,householdfinance_v4_1!K167)/COUNT(householdfinance_v4_5!K167,householdfinance_v4_4!K167,householdfinance_v4_3!K167,householdfinance_v4_2!K167,householdfinance_v4_1!K167),0),"NA")</f>
        <v>1</v>
      </c>
      <c r="L167">
        <f>IF($D167=1,ROUND(SUM(householdfinance_v4_5!L167,householdfinance_v4_4!L167,householdfinance_v4_3!L167,householdfinance_v4_2!L167,householdfinance_v4_1!L167)/COUNT(householdfinance_v4_5!L167,householdfinance_v4_4!L167,householdfinance_v4_3!L167,householdfinance_v4_2!L167,householdfinance_v4_1!L167),0),"NA")</f>
        <v>1</v>
      </c>
      <c r="M167">
        <f>IF($D167=1,ROUND(SUM(householdfinance_v4_5!M167,householdfinance_v4_4!M167,householdfinance_v4_3!M167,householdfinance_v4_2!M167,householdfinance_v4_1!M167)/COUNT(householdfinance_v4_5!M167,householdfinance_v4_4!M167,householdfinance_v4_3!M167,householdfinance_v4_2!M167,householdfinance_v4_1!M167),0),"NA")</f>
        <v>1</v>
      </c>
      <c r="N167">
        <f>IF($D167=1,ROUND(SUM(householdfinance_v4_5!N167,householdfinance_v4_4!N167,householdfinance_v4_3!N167,householdfinance_v4_2!N167,householdfinance_v4_1!N167)/COUNT(householdfinance_v4_5!N167,householdfinance_v4_4!N167,householdfinance_v4_3!N167,householdfinance_v4_2!N167,householdfinance_v4_1!N167),0),"NA")</f>
        <v>1</v>
      </c>
      <c r="O167">
        <v>2.0504498481750488</v>
      </c>
    </row>
    <row r="168" spans="1:15" x14ac:dyDescent="0.25">
      <c r="A168" t="s">
        <v>115</v>
      </c>
      <c r="B168" t="s">
        <v>104</v>
      </c>
      <c r="C168">
        <v>0</v>
      </c>
      <c r="D168">
        <f>ROUND(SUM(householdfinance_v4_5!D168,householdfinance_v4_4!D168,householdfinance_v4_3!D168,householdfinance_v4_2!D168,householdfinance_v4_1!D168)/COUNT(householdfinance_v4_5!D168,householdfinance_v4_4!D168,householdfinance_v4_3!D168,householdfinance_v4_2!D168,householdfinance_v4_1!D168),0)</f>
        <v>1</v>
      </c>
      <c r="E168">
        <f>IF($D168=1,ROUND(SUM(householdfinance_v4_5!E168,householdfinance_v4_4!E168,householdfinance_v4_3!E168,householdfinance_v4_2!E168,householdfinance_v4_1!E168)/COUNT(householdfinance_v4_5!E168,householdfinance_v4_4!E168,householdfinance_v4_3!E168,householdfinance_v4_2!E168,householdfinance_v4_1!E168),0),"NA")</f>
        <v>1</v>
      </c>
      <c r="F168">
        <f>IF($D168=1,ROUND(SUM(householdfinance_v4_5!F168,householdfinance_v4_4!F168,householdfinance_v4_3!F168,householdfinance_v4_2!F168,householdfinance_v4_1!F168)/COUNT(householdfinance_v4_5!F168,householdfinance_v4_4!F168,householdfinance_v4_3!F168,householdfinance_v4_2!F168,householdfinance_v4_1!F168),0),"NA")</f>
        <v>1</v>
      </c>
      <c r="G168">
        <f>IF($D168=1,ROUND(SUM(householdfinance_v4_5!G168,householdfinance_v4_4!G168,householdfinance_v4_3!G168,householdfinance_v4_2!G168,householdfinance_v4_1!G168)/COUNT(householdfinance_v4_5!G168,householdfinance_v4_4!G168,householdfinance_v4_3!G168,householdfinance_v4_2!G168,householdfinance_v4_1!G168),0),"NA")</f>
        <v>1</v>
      </c>
      <c r="H168">
        <f>IF($E168=1,ROUND(SUM(householdfinance_v4_5!H168,householdfinance_v4_4!H168,householdfinance_v4_3!H168,householdfinance_v4_2!H168,householdfinance_v4_1!H168)/COUNT(householdfinance_v4_5!H168,householdfinance_v4_4!H168,householdfinance_v4_3!H168,householdfinance_v4_2!H168,householdfinance_v4_1!H168),0),"NA")</f>
        <v>1</v>
      </c>
      <c r="I168">
        <f>IF($D168=1,ROUND(SUM(householdfinance_v4_5!I168,householdfinance_v4_4!I168,householdfinance_v4_3!I168,householdfinance_v4_2!I168,householdfinance_v4_1!I168)/COUNT(householdfinance_v4_5!I168,householdfinance_v4_4!I168,householdfinance_v4_3!I168,householdfinance_v4_2!I168,householdfinance_v4_1!I168),0),"NA")</f>
        <v>1</v>
      </c>
      <c r="J168">
        <f>IF(AND($E168=1,$F168=1),ROUND(SUM(householdfinance_v4_5!J168,householdfinance_v4_4!J168,householdfinance_v4_3!J168,householdfinance_v4_2!J168,householdfinance_v4_1!J168)/COUNT(householdfinance_v4_5!J168,householdfinance_v4_4!J168,householdfinance_v4_3!J168,householdfinance_v4_2!J168,householdfinance_v4_1!J168),0),"NA")</f>
        <v>1</v>
      </c>
      <c r="K168">
        <f>IF($D168=1,ROUND(SUM(householdfinance_v4_5!K168,householdfinance_v4_4!K168,householdfinance_v4_3!K168,householdfinance_v4_2!K168,householdfinance_v4_1!K168)/COUNT(householdfinance_v4_5!K168,householdfinance_v4_4!K168,householdfinance_v4_3!K168,householdfinance_v4_2!K168,householdfinance_v4_1!K168),0),"NA")</f>
        <v>1</v>
      </c>
      <c r="L168">
        <f>IF($D168=1,ROUND(SUM(householdfinance_v4_5!L168,householdfinance_v4_4!L168,householdfinance_v4_3!L168,householdfinance_v4_2!L168,householdfinance_v4_1!L168)/COUNT(householdfinance_v4_5!L168,householdfinance_v4_4!L168,householdfinance_v4_3!L168,householdfinance_v4_2!L168,householdfinance_v4_1!L168),0),"NA")</f>
        <v>1</v>
      </c>
      <c r="M168">
        <f>IF($D168=1,ROUND(SUM(householdfinance_v4_5!M168,householdfinance_v4_4!M168,householdfinance_v4_3!M168,householdfinance_v4_2!M168,householdfinance_v4_1!M168)/COUNT(householdfinance_v4_5!M168,householdfinance_v4_4!M168,householdfinance_v4_3!M168,householdfinance_v4_2!M168,householdfinance_v4_1!M168),0),"NA")</f>
        <v>1</v>
      </c>
      <c r="N168">
        <f>IF($D168=1,ROUND(SUM(householdfinance_v4_5!N168,householdfinance_v4_4!N168,householdfinance_v4_3!N168,householdfinance_v4_2!N168,householdfinance_v4_1!N168)/COUNT(householdfinance_v4_5!N168,householdfinance_v4_4!N168,householdfinance_v4_3!N168,householdfinance_v4_2!N168,householdfinance_v4_1!N168),0),"NA")</f>
        <v>1</v>
      </c>
      <c r="O168">
        <v>2.1929864883422852</v>
      </c>
    </row>
    <row r="169" spans="1:15" x14ac:dyDescent="0.25">
      <c r="A169" t="s">
        <v>115</v>
      </c>
      <c r="B169" t="s">
        <v>105</v>
      </c>
      <c r="C169">
        <v>0</v>
      </c>
      <c r="D169">
        <f>ROUND(SUM(householdfinance_v4_5!D169,householdfinance_v4_4!D169,householdfinance_v4_3!D169,householdfinance_v4_2!D169,householdfinance_v4_1!D169)/COUNT(householdfinance_v4_5!D169,householdfinance_v4_4!D169,householdfinance_v4_3!D169,householdfinance_v4_2!D169,householdfinance_v4_1!D169),0)</f>
        <v>1</v>
      </c>
      <c r="E169">
        <f>IF($D169=1,ROUND(SUM(householdfinance_v4_5!E169,householdfinance_v4_4!E169,householdfinance_v4_3!E169,householdfinance_v4_2!E169,householdfinance_v4_1!E169)/COUNT(householdfinance_v4_5!E169,householdfinance_v4_4!E169,householdfinance_v4_3!E169,householdfinance_v4_2!E169,householdfinance_v4_1!E169),0),"NA")</f>
        <v>1</v>
      </c>
      <c r="F169">
        <f>IF($D169=1,ROUND(SUM(householdfinance_v4_5!F169,householdfinance_v4_4!F169,householdfinance_v4_3!F169,householdfinance_v4_2!F169,householdfinance_v4_1!F169)/COUNT(householdfinance_v4_5!F169,householdfinance_v4_4!F169,householdfinance_v4_3!F169,householdfinance_v4_2!F169,householdfinance_v4_1!F169),0),"NA")</f>
        <v>1</v>
      </c>
      <c r="G169">
        <f>IF($D169=1,ROUND(SUM(householdfinance_v4_5!G169,householdfinance_v4_4!G169,householdfinance_v4_3!G169,householdfinance_v4_2!G169,householdfinance_v4_1!G169)/COUNT(householdfinance_v4_5!G169,householdfinance_v4_4!G169,householdfinance_v4_3!G169,householdfinance_v4_2!G169,householdfinance_v4_1!G169),0),"NA")</f>
        <v>1</v>
      </c>
      <c r="H169">
        <f>IF($E169=1,ROUND(SUM(householdfinance_v4_5!H169,householdfinance_v4_4!H169,householdfinance_v4_3!H169,householdfinance_v4_2!H169,householdfinance_v4_1!H169)/COUNT(householdfinance_v4_5!H169,householdfinance_v4_4!H169,householdfinance_v4_3!H169,householdfinance_v4_2!H169,householdfinance_v4_1!H169),0),"NA")</f>
        <v>1</v>
      </c>
      <c r="I169">
        <f>IF($D169=1,ROUND(SUM(householdfinance_v4_5!I169,householdfinance_v4_4!I169,householdfinance_v4_3!I169,householdfinance_v4_2!I169,householdfinance_v4_1!I169)/COUNT(householdfinance_v4_5!I169,householdfinance_v4_4!I169,householdfinance_v4_3!I169,householdfinance_v4_2!I169,householdfinance_v4_1!I169),0),"NA")</f>
        <v>1</v>
      </c>
      <c r="J169">
        <f>IF(AND($E169=1,$F169=1),ROUND(SUM(householdfinance_v4_5!J169,householdfinance_v4_4!J169,householdfinance_v4_3!J169,householdfinance_v4_2!J169,householdfinance_v4_1!J169)/COUNT(householdfinance_v4_5!J169,householdfinance_v4_4!J169,householdfinance_v4_3!J169,householdfinance_v4_2!J169,householdfinance_v4_1!J169),0),"NA")</f>
        <v>1</v>
      </c>
      <c r="K169">
        <f>IF($D169=1,ROUND(SUM(householdfinance_v4_5!K169,householdfinance_v4_4!K169,householdfinance_v4_3!K169,householdfinance_v4_2!K169,householdfinance_v4_1!K169)/COUNT(householdfinance_v4_5!K169,householdfinance_v4_4!K169,householdfinance_v4_3!K169,householdfinance_v4_2!K169,householdfinance_v4_1!K169),0),"NA")</f>
        <v>1</v>
      </c>
      <c r="L169">
        <f>IF($D169=1,ROUND(SUM(householdfinance_v4_5!L169,householdfinance_v4_4!L169,householdfinance_v4_3!L169,householdfinance_v4_2!L169,householdfinance_v4_1!L169)/COUNT(householdfinance_v4_5!L169,householdfinance_v4_4!L169,householdfinance_v4_3!L169,householdfinance_v4_2!L169,householdfinance_v4_1!L169),0),"NA")</f>
        <v>1</v>
      </c>
      <c r="M169">
        <f>IF($D169=1,ROUND(SUM(householdfinance_v4_5!M169,householdfinance_v4_4!M169,householdfinance_v4_3!M169,householdfinance_v4_2!M169,householdfinance_v4_1!M169)/COUNT(householdfinance_v4_5!M169,householdfinance_v4_4!M169,householdfinance_v4_3!M169,householdfinance_v4_2!M169,householdfinance_v4_1!M169),0),"NA")</f>
        <v>1</v>
      </c>
      <c r="N169">
        <f>IF($D169=1,ROUND(SUM(householdfinance_v4_5!N169,householdfinance_v4_4!N169,householdfinance_v4_3!N169,householdfinance_v4_2!N169,householdfinance_v4_1!N169)/COUNT(householdfinance_v4_5!N169,householdfinance_v4_4!N169,householdfinance_v4_3!N169,householdfinance_v4_2!N169,householdfinance_v4_1!N169),0),"NA")</f>
        <v>1</v>
      </c>
      <c r="O169">
        <v>1.1988682746887209</v>
      </c>
    </row>
    <row r="170" spans="1:15" x14ac:dyDescent="0.25">
      <c r="A170" t="s">
        <v>115</v>
      </c>
      <c r="B170" t="s">
        <v>106</v>
      </c>
      <c r="C170">
        <v>0</v>
      </c>
      <c r="D170">
        <f>ROUND(SUM(householdfinance_v4_5!D170,householdfinance_v4_4!D170,householdfinance_v4_3!D170,householdfinance_v4_2!D170,householdfinance_v4_1!D170)/COUNT(householdfinance_v4_5!D170,householdfinance_v4_4!D170,householdfinance_v4_3!D170,householdfinance_v4_2!D170,householdfinance_v4_1!D170),0)</f>
        <v>1</v>
      </c>
      <c r="E170">
        <f>IF($D170=1,ROUND(SUM(householdfinance_v4_5!E170,householdfinance_v4_4!E170,householdfinance_v4_3!E170,householdfinance_v4_2!E170,householdfinance_v4_1!E170)/COUNT(householdfinance_v4_5!E170,householdfinance_v4_4!E170,householdfinance_v4_3!E170,householdfinance_v4_2!E170,householdfinance_v4_1!E170),0),"NA")</f>
        <v>1</v>
      </c>
      <c r="F170">
        <f>IF($D170=1,ROUND(SUM(householdfinance_v4_5!F170,householdfinance_v4_4!F170,householdfinance_v4_3!F170,householdfinance_v4_2!F170,householdfinance_v4_1!F170)/COUNT(householdfinance_v4_5!F170,householdfinance_v4_4!F170,householdfinance_v4_3!F170,householdfinance_v4_2!F170,householdfinance_v4_1!F170),0),"NA")</f>
        <v>1</v>
      </c>
      <c r="G170">
        <f>IF($D170=1,ROUND(SUM(householdfinance_v4_5!G170,householdfinance_v4_4!G170,householdfinance_v4_3!G170,householdfinance_v4_2!G170,householdfinance_v4_1!G170)/COUNT(householdfinance_v4_5!G170,householdfinance_v4_4!G170,householdfinance_v4_3!G170,householdfinance_v4_2!G170,householdfinance_v4_1!G170),0),"NA")</f>
        <v>1</v>
      </c>
      <c r="H170">
        <f>IF($E170=1,ROUND(SUM(householdfinance_v4_5!H170,householdfinance_v4_4!H170,householdfinance_v4_3!H170,householdfinance_v4_2!H170,householdfinance_v4_1!H170)/COUNT(householdfinance_v4_5!H170,householdfinance_v4_4!H170,householdfinance_v4_3!H170,householdfinance_v4_2!H170,householdfinance_v4_1!H170),0),"NA")</f>
        <v>1</v>
      </c>
      <c r="I170">
        <f>IF($D170=1,ROUND(SUM(householdfinance_v4_5!I170,householdfinance_v4_4!I170,householdfinance_v4_3!I170,householdfinance_v4_2!I170,householdfinance_v4_1!I170)/COUNT(householdfinance_v4_5!I170,householdfinance_v4_4!I170,householdfinance_v4_3!I170,householdfinance_v4_2!I170,householdfinance_v4_1!I170),0),"NA")</f>
        <v>1</v>
      </c>
      <c r="J170">
        <f>IF(AND($E170=1,$F170=1),ROUND(SUM(householdfinance_v4_5!J170,householdfinance_v4_4!J170,householdfinance_v4_3!J170,householdfinance_v4_2!J170,householdfinance_v4_1!J170)/COUNT(householdfinance_v4_5!J170,householdfinance_v4_4!J170,householdfinance_v4_3!J170,householdfinance_v4_2!J170,householdfinance_v4_1!J170),0),"NA")</f>
        <v>0</v>
      </c>
      <c r="K170">
        <f>IF($D170=1,ROUND(SUM(householdfinance_v4_5!K170,householdfinance_v4_4!K170,householdfinance_v4_3!K170,householdfinance_v4_2!K170,householdfinance_v4_1!K170)/COUNT(householdfinance_v4_5!K170,householdfinance_v4_4!K170,householdfinance_v4_3!K170,householdfinance_v4_2!K170,householdfinance_v4_1!K170),0),"NA")</f>
        <v>1</v>
      </c>
      <c r="L170">
        <f>IF($D170=1,ROUND(SUM(householdfinance_v4_5!L170,householdfinance_v4_4!L170,householdfinance_v4_3!L170,householdfinance_v4_2!L170,householdfinance_v4_1!L170)/COUNT(householdfinance_v4_5!L170,householdfinance_v4_4!L170,householdfinance_v4_3!L170,householdfinance_v4_2!L170,householdfinance_v4_1!L170),0),"NA")</f>
        <v>1</v>
      </c>
      <c r="M170">
        <f>IF($D170=1,ROUND(SUM(householdfinance_v4_5!M170,householdfinance_v4_4!M170,householdfinance_v4_3!M170,householdfinance_v4_2!M170,householdfinance_v4_1!M170)/COUNT(householdfinance_v4_5!M170,householdfinance_v4_4!M170,householdfinance_v4_3!M170,householdfinance_v4_2!M170,householdfinance_v4_1!M170),0),"NA")</f>
        <v>1</v>
      </c>
      <c r="N170">
        <f>IF($D170=1,ROUND(SUM(householdfinance_v4_5!N170,householdfinance_v4_4!N170,householdfinance_v4_3!N170,householdfinance_v4_2!N170,householdfinance_v4_1!N170)/COUNT(householdfinance_v4_5!N170,householdfinance_v4_4!N170,householdfinance_v4_3!N170,householdfinance_v4_2!N170,householdfinance_v4_1!N170),0),"NA")</f>
        <v>1</v>
      </c>
      <c r="O170">
        <v>1.7218344211578369</v>
      </c>
    </row>
    <row r="171" spans="1:15" x14ac:dyDescent="0.25">
      <c r="A171" t="s">
        <v>115</v>
      </c>
      <c r="B171" t="s">
        <v>107</v>
      </c>
      <c r="C171">
        <v>0</v>
      </c>
      <c r="D171">
        <f>ROUND(SUM(householdfinance_v4_5!D171,householdfinance_v4_4!D171,householdfinance_v4_3!D171,householdfinance_v4_2!D171,householdfinance_v4_1!D171)/COUNT(householdfinance_v4_5!D171,householdfinance_v4_4!D171,householdfinance_v4_3!D171,householdfinance_v4_2!D171,householdfinance_v4_1!D171),0)</f>
        <v>1</v>
      </c>
      <c r="E171">
        <f>IF($D171=1,ROUND(SUM(householdfinance_v4_5!E171,householdfinance_v4_4!E171,householdfinance_v4_3!E171,householdfinance_v4_2!E171,householdfinance_v4_1!E171)/COUNT(householdfinance_v4_5!E171,householdfinance_v4_4!E171,householdfinance_v4_3!E171,householdfinance_v4_2!E171,householdfinance_v4_1!E171),0),"NA")</f>
        <v>1</v>
      </c>
      <c r="F171">
        <f>IF($D171=1,ROUND(SUM(householdfinance_v4_5!F171,householdfinance_v4_4!F171,householdfinance_v4_3!F171,householdfinance_v4_2!F171,householdfinance_v4_1!F171)/COUNT(householdfinance_v4_5!F171,householdfinance_v4_4!F171,householdfinance_v4_3!F171,householdfinance_v4_2!F171,householdfinance_v4_1!F171),0),"NA")</f>
        <v>1</v>
      </c>
      <c r="G171">
        <f>IF($D171=1,ROUND(SUM(householdfinance_v4_5!G171,householdfinance_v4_4!G171,householdfinance_v4_3!G171,householdfinance_v4_2!G171,householdfinance_v4_1!G171)/COUNT(householdfinance_v4_5!G171,householdfinance_v4_4!G171,householdfinance_v4_3!G171,householdfinance_v4_2!G171,householdfinance_v4_1!G171),0),"NA")</f>
        <v>1</v>
      </c>
      <c r="H171">
        <f>IF($E171=1,ROUND(SUM(householdfinance_v4_5!H171,householdfinance_v4_4!H171,householdfinance_v4_3!H171,householdfinance_v4_2!H171,householdfinance_v4_1!H171)/COUNT(householdfinance_v4_5!H171,householdfinance_v4_4!H171,householdfinance_v4_3!H171,householdfinance_v4_2!H171,householdfinance_v4_1!H171),0),"NA")</f>
        <v>1</v>
      </c>
      <c r="I171">
        <f>IF($D171=1,ROUND(SUM(householdfinance_v4_5!I171,householdfinance_v4_4!I171,householdfinance_v4_3!I171,householdfinance_v4_2!I171,householdfinance_v4_1!I171)/COUNT(householdfinance_v4_5!I171,householdfinance_v4_4!I171,householdfinance_v4_3!I171,householdfinance_v4_2!I171,householdfinance_v4_1!I171),0),"NA")</f>
        <v>1</v>
      </c>
      <c r="J171">
        <f>IF(AND($E171=1,$F171=1),ROUND(SUM(householdfinance_v4_5!J171,householdfinance_v4_4!J171,householdfinance_v4_3!J171,householdfinance_v4_2!J171,householdfinance_v4_1!J171)/COUNT(householdfinance_v4_5!J171,householdfinance_v4_4!J171,householdfinance_v4_3!J171,householdfinance_v4_2!J171,householdfinance_v4_1!J171),0),"NA")</f>
        <v>1</v>
      </c>
      <c r="K171">
        <f>IF($D171=1,ROUND(SUM(householdfinance_v4_5!K171,householdfinance_v4_4!K171,householdfinance_v4_3!K171,householdfinance_v4_2!K171,householdfinance_v4_1!K171)/COUNT(householdfinance_v4_5!K171,householdfinance_v4_4!K171,householdfinance_v4_3!K171,householdfinance_v4_2!K171,householdfinance_v4_1!K171),0),"NA")</f>
        <v>1</v>
      </c>
      <c r="L171">
        <f>IF($D171=1,ROUND(SUM(householdfinance_v4_5!L171,householdfinance_v4_4!L171,householdfinance_v4_3!L171,householdfinance_v4_2!L171,householdfinance_v4_1!L171)/COUNT(householdfinance_v4_5!L171,householdfinance_v4_4!L171,householdfinance_v4_3!L171,householdfinance_v4_2!L171,householdfinance_v4_1!L171),0),"NA")</f>
        <v>1</v>
      </c>
      <c r="M171">
        <f>IF($D171=1,ROUND(SUM(householdfinance_v4_5!M171,householdfinance_v4_4!M171,householdfinance_v4_3!M171,householdfinance_v4_2!M171,householdfinance_v4_1!M171)/COUNT(householdfinance_v4_5!M171,householdfinance_v4_4!M171,householdfinance_v4_3!M171,householdfinance_v4_2!M171,householdfinance_v4_1!M171),0),"NA")</f>
        <v>1</v>
      </c>
      <c r="N171">
        <f>IF($D171=1,ROUND(SUM(householdfinance_v4_5!N171,householdfinance_v4_4!N171,householdfinance_v4_3!N171,householdfinance_v4_2!N171,householdfinance_v4_1!N171)/COUNT(householdfinance_v4_5!N171,householdfinance_v4_4!N171,householdfinance_v4_3!N171,householdfinance_v4_2!N171,householdfinance_v4_1!N171),0),"NA")</f>
        <v>1</v>
      </c>
      <c r="O171">
        <v>1.774966716766357</v>
      </c>
    </row>
    <row r="172" spans="1:15" x14ac:dyDescent="0.25">
      <c r="A172" t="s">
        <v>115</v>
      </c>
      <c r="B172" t="s">
        <v>108</v>
      </c>
      <c r="C172">
        <v>0</v>
      </c>
      <c r="D172">
        <f>ROUND(SUM(householdfinance_v4_5!D172,householdfinance_v4_4!D172,householdfinance_v4_3!D172,householdfinance_v4_2!D172,householdfinance_v4_1!D172)/COUNT(householdfinance_v4_5!D172,householdfinance_v4_4!D172,householdfinance_v4_3!D172,householdfinance_v4_2!D172,householdfinance_v4_1!D172),0)</f>
        <v>1</v>
      </c>
      <c r="E172">
        <f>IF($D172=1,ROUND(SUM(householdfinance_v4_5!E172,householdfinance_v4_4!E172,householdfinance_v4_3!E172,householdfinance_v4_2!E172,householdfinance_v4_1!E172)/COUNT(householdfinance_v4_5!E172,householdfinance_v4_4!E172,householdfinance_v4_3!E172,householdfinance_v4_2!E172,householdfinance_v4_1!E172),0),"NA")</f>
        <v>1</v>
      </c>
      <c r="F172">
        <f>IF($D172=1,ROUND(SUM(householdfinance_v4_5!F172,householdfinance_v4_4!F172,householdfinance_v4_3!F172,householdfinance_v4_2!F172,householdfinance_v4_1!F172)/COUNT(householdfinance_v4_5!F172,householdfinance_v4_4!F172,householdfinance_v4_3!F172,householdfinance_v4_2!F172,householdfinance_v4_1!F172),0),"NA")</f>
        <v>1</v>
      </c>
      <c r="G172">
        <f>IF($D172=1,ROUND(SUM(householdfinance_v4_5!G172,householdfinance_v4_4!G172,householdfinance_v4_3!G172,householdfinance_v4_2!G172,householdfinance_v4_1!G172)/COUNT(householdfinance_v4_5!G172,householdfinance_v4_4!G172,householdfinance_v4_3!G172,householdfinance_v4_2!G172,householdfinance_v4_1!G172),0),"NA")</f>
        <v>1</v>
      </c>
      <c r="H172">
        <f>IF($E172=1,ROUND(SUM(householdfinance_v4_5!H172,householdfinance_v4_4!H172,householdfinance_v4_3!H172,householdfinance_v4_2!H172,householdfinance_v4_1!H172)/COUNT(householdfinance_v4_5!H172,householdfinance_v4_4!H172,householdfinance_v4_3!H172,householdfinance_v4_2!H172,householdfinance_v4_1!H172),0),"NA")</f>
        <v>1</v>
      </c>
      <c r="I172">
        <f>IF($D172=1,ROUND(SUM(householdfinance_v4_5!I172,householdfinance_v4_4!I172,householdfinance_v4_3!I172,householdfinance_v4_2!I172,householdfinance_v4_1!I172)/COUNT(householdfinance_v4_5!I172,householdfinance_v4_4!I172,householdfinance_v4_3!I172,householdfinance_v4_2!I172,householdfinance_v4_1!I172),0),"NA")</f>
        <v>1</v>
      </c>
      <c r="J172">
        <f>IF(AND($E172=1,$F172=1),ROUND(SUM(householdfinance_v4_5!J172,householdfinance_v4_4!J172,householdfinance_v4_3!J172,householdfinance_v4_2!J172,householdfinance_v4_1!J172)/COUNT(householdfinance_v4_5!J172,householdfinance_v4_4!J172,householdfinance_v4_3!J172,householdfinance_v4_2!J172,householdfinance_v4_1!J172),0),"NA")</f>
        <v>1</v>
      </c>
      <c r="K172">
        <f>IF($D172=1,ROUND(SUM(householdfinance_v4_5!K172,householdfinance_v4_4!K172,householdfinance_v4_3!K172,householdfinance_v4_2!K172,householdfinance_v4_1!K172)/COUNT(householdfinance_v4_5!K172,householdfinance_v4_4!K172,householdfinance_v4_3!K172,householdfinance_v4_2!K172,householdfinance_v4_1!K172),0),"NA")</f>
        <v>1</v>
      </c>
      <c r="L172">
        <f>IF($D172=1,ROUND(SUM(householdfinance_v4_5!L172,householdfinance_v4_4!L172,householdfinance_v4_3!L172,householdfinance_v4_2!L172,householdfinance_v4_1!L172)/COUNT(householdfinance_v4_5!L172,householdfinance_v4_4!L172,householdfinance_v4_3!L172,householdfinance_v4_2!L172,householdfinance_v4_1!L172),0),"NA")</f>
        <v>1</v>
      </c>
      <c r="M172">
        <f>IF($D172=1,ROUND(SUM(householdfinance_v4_5!M172,householdfinance_v4_4!M172,householdfinance_v4_3!M172,householdfinance_v4_2!M172,householdfinance_v4_1!M172)/COUNT(householdfinance_v4_5!M172,householdfinance_v4_4!M172,householdfinance_v4_3!M172,householdfinance_v4_2!M172,householdfinance_v4_1!M172),0),"NA")</f>
        <v>1</v>
      </c>
      <c r="N172">
        <f>IF($D172=1,ROUND(SUM(householdfinance_v4_5!N172,householdfinance_v4_4!N172,householdfinance_v4_3!N172,householdfinance_v4_2!N172,householdfinance_v4_1!N172)/COUNT(householdfinance_v4_5!N172,householdfinance_v4_4!N172,householdfinance_v4_3!N172,householdfinance_v4_2!N172,householdfinance_v4_1!N172),0),"NA")</f>
        <v>1</v>
      </c>
      <c r="O172">
        <v>1.4675025939941411</v>
      </c>
    </row>
    <row r="173" spans="1:15" x14ac:dyDescent="0.25">
      <c r="A173" t="s">
        <v>115</v>
      </c>
      <c r="B173" t="s">
        <v>109</v>
      </c>
      <c r="C173">
        <v>0</v>
      </c>
      <c r="D173">
        <f>ROUND(SUM(householdfinance_v4_5!D173,householdfinance_v4_4!D173,householdfinance_v4_3!D173,householdfinance_v4_2!D173,householdfinance_v4_1!D173)/COUNT(householdfinance_v4_5!D173,householdfinance_v4_4!D173,householdfinance_v4_3!D173,householdfinance_v4_2!D173,householdfinance_v4_1!D173),0)</f>
        <v>1</v>
      </c>
      <c r="E173">
        <f>IF($D173=1,ROUND(SUM(householdfinance_v4_5!E173,householdfinance_v4_4!E173,householdfinance_v4_3!E173,householdfinance_v4_2!E173,householdfinance_v4_1!E173)/COUNT(householdfinance_v4_5!E173,householdfinance_v4_4!E173,householdfinance_v4_3!E173,householdfinance_v4_2!E173,householdfinance_v4_1!E173),0),"NA")</f>
        <v>1</v>
      </c>
      <c r="F173">
        <f>IF($D173=1,ROUND(SUM(householdfinance_v4_5!F173,householdfinance_v4_4!F173,householdfinance_v4_3!F173,householdfinance_v4_2!F173,householdfinance_v4_1!F173)/COUNT(householdfinance_v4_5!F173,householdfinance_v4_4!F173,householdfinance_v4_3!F173,householdfinance_v4_2!F173,householdfinance_v4_1!F173),0),"NA")</f>
        <v>1</v>
      </c>
      <c r="G173">
        <f>IF($D173=1,ROUND(SUM(householdfinance_v4_5!G173,householdfinance_v4_4!G173,householdfinance_v4_3!G173,householdfinance_v4_2!G173,householdfinance_v4_1!G173)/COUNT(householdfinance_v4_5!G173,householdfinance_v4_4!G173,householdfinance_v4_3!G173,householdfinance_v4_2!G173,householdfinance_v4_1!G173),0),"NA")</f>
        <v>1</v>
      </c>
      <c r="H173">
        <f>IF($E173=1,ROUND(SUM(householdfinance_v4_5!H173,householdfinance_v4_4!H173,householdfinance_v4_3!H173,householdfinance_v4_2!H173,householdfinance_v4_1!H173)/COUNT(householdfinance_v4_5!H173,householdfinance_v4_4!H173,householdfinance_v4_3!H173,householdfinance_v4_2!H173,householdfinance_v4_1!H173),0),"NA")</f>
        <v>1</v>
      </c>
      <c r="I173">
        <f>IF($D173=1,ROUND(SUM(householdfinance_v4_5!I173,householdfinance_v4_4!I173,householdfinance_v4_3!I173,householdfinance_v4_2!I173,householdfinance_v4_1!I173)/COUNT(householdfinance_v4_5!I173,householdfinance_v4_4!I173,householdfinance_v4_3!I173,householdfinance_v4_2!I173,householdfinance_v4_1!I173),0),"NA")</f>
        <v>1</v>
      </c>
      <c r="J173">
        <f>IF(AND($E173=1,$F173=1),ROUND(SUM(householdfinance_v4_5!J173,householdfinance_v4_4!J173,householdfinance_v4_3!J173,householdfinance_v4_2!J173,householdfinance_v4_1!J173)/COUNT(householdfinance_v4_5!J173,householdfinance_v4_4!J173,householdfinance_v4_3!J173,householdfinance_v4_2!J173,householdfinance_v4_1!J173),0),"NA")</f>
        <v>1</v>
      </c>
      <c r="K173">
        <f>IF($D173=1,ROUND(SUM(householdfinance_v4_5!K173,householdfinance_v4_4!K173,householdfinance_v4_3!K173,householdfinance_v4_2!K173,householdfinance_v4_1!K173)/COUNT(householdfinance_v4_5!K173,householdfinance_v4_4!K173,householdfinance_v4_3!K173,householdfinance_v4_2!K173,householdfinance_v4_1!K173),0),"NA")</f>
        <v>1</v>
      </c>
      <c r="L173">
        <f>IF($D173=1,ROUND(SUM(householdfinance_v4_5!L173,householdfinance_v4_4!L173,householdfinance_v4_3!L173,householdfinance_v4_2!L173,householdfinance_v4_1!L173)/COUNT(householdfinance_v4_5!L173,householdfinance_v4_4!L173,householdfinance_v4_3!L173,householdfinance_v4_2!L173,householdfinance_v4_1!L173),0),"NA")</f>
        <v>1</v>
      </c>
      <c r="M173">
        <f>IF($D173=1,ROUND(SUM(householdfinance_v4_5!M173,householdfinance_v4_4!M173,householdfinance_v4_3!M173,householdfinance_v4_2!M173,householdfinance_v4_1!M173)/COUNT(householdfinance_v4_5!M173,householdfinance_v4_4!M173,householdfinance_v4_3!M173,householdfinance_v4_2!M173,householdfinance_v4_1!M173),0),"NA")</f>
        <v>1</v>
      </c>
      <c r="N173">
        <f>IF($D173=1,ROUND(SUM(householdfinance_v4_5!N173,householdfinance_v4_4!N173,householdfinance_v4_3!N173,householdfinance_v4_2!N173,householdfinance_v4_1!N173)/COUNT(householdfinance_v4_5!N173,householdfinance_v4_4!N173,householdfinance_v4_3!N173,householdfinance_v4_2!N173,householdfinance_v4_1!N173),0),"NA")</f>
        <v>1</v>
      </c>
      <c r="O173">
        <v>1.543884754180908</v>
      </c>
    </row>
    <row r="174" spans="1:15" x14ac:dyDescent="0.25">
      <c r="A174" t="s">
        <v>115</v>
      </c>
      <c r="B174" t="s">
        <v>110</v>
      </c>
      <c r="C174">
        <v>0</v>
      </c>
      <c r="D174">
        <f>ROUND(SUM(householdfinance_v4_5!D174,householdfinance_v4_4!D174,householdfinance_v4_3!D174,householdfinance_v4_2!D174,householdfinance_v4_1!D174)/COUNT(householdfinance_v4_5!D174,householdfinance_v4_4!D174,householdfinance_v4_3!D174,householdfinance_v4_2!D174,householdfinance_v4_1!D174),0)</f>
        <v>1</v>
      </c>
      <c r="E174">
        <f>IF($D174=1,ROUND(SUM(householdfinance_v4_5!E174,householdfinance_v4_4!E174,householdfinance_v4_3!E174,householdfinance_v4_2!E174,householdfinance_v4_1!E174)/COUNT(householdfinance_v4_5!E174,householdfinance_v4_4!E174,householdfinance_v4_3!E174,householdfinance_v4_2!E174,householdfinance_v4_1!E174),0),"NA")</f>
        <v>1</v>
      </c>
      <c r="F174">
        <f>IF($D174=1,ROUND(SUM(householdfinance_v4_5!F174,householdfinance_v4_4!F174,householdfinance_v4_3!F174,householdfinance_v4_2!F174,householdfinance_v4_1!F174)/COUNT(householdfinance_v4_5!F174,householdfinance_v4_4!F174,householdfinance_v4_3!F174,householdfinance_v4_2!F174,householdfinance_v4_1!F174),0),"NA")</f>
        <v>1</v>
      </c>
      <c r="G174">
        <f>IF($D174=1,ROUND(SUM(householdfinance_v4_5!G174,householdfinance_v4_4!G174,householdfinance_v4_3!G174,householdfinance_v4_2!G174,householdfinance_v4_1!G174)/COUNT(householdfinance_v4_5!G174,householdfinance_v4_4!G174,householdfinance_v4_3!G174,householdfinance_v4_2!G174,householdfinance_v4_1!G174),0),"NA")</f>
        <v>1</v>
      </c>
      <c r="H174">
        <f>IF($E174=1,ROUND(SUM(householdfinance_v4_5!H174,householdfinance_v4_4!H174,householdfinance_v4_3!H174,householdfinance_v4_2!H174,householdfinance_v4_1!H174)/COUNT(householdfinance_v4_5!H174,householdfinance_v4_4!H174,householdfinance_v4_3!H174,householdfinance_v4_2!H174,householdfinance_v4_1!H174),0),"NA")</f>
        <v>1</v>
      </c>
      <c r="I174">
        <f>IF($D174=1,ROUND(SUM(householdfinance_v4_5!I174,householdfinance_v4_4!I174,householdfinance_v4_3!I174,householdfinance_v4_2!I174,householdfinance_v4_1!I174)/COUNT(householdfinance_v4_5!I174,householdfinance_v4_4!I174,householdfinance_v4_3!I174,householdfinance_v4_2!I174,householdfinance_v4_1!I174),0),"NA")</f>
        <v>1</v>
      </c>
      <c r="J174">
        <f>IF(AND($E174=1,$F174=1),ROUND(SUM(householdfinance_v4_5!J174,householdfinance_v4_4!J174,householdfinance_v4_3!J174,householdfinance_v4_2!J174,householdfinance_v4_1!J174)/COUNT(householdfinance_v4_5!J174,householdfinance_v4_4!J174,householdfinance_v4_3!J174,householdfinance_v4_2!J174,householdfinance_v4_1!J174),0),"NA")</f>
        <v>1</v>
      </c>
      <c r="K174">
        <f>IF($D174=1,ROUND(SUM(householdfinance_v4_5!K174,householdfinance_v4_4!K174,householdfinance_v4_3!K174,householdfinance_v4_2!K174,householdfinance_v4_1!K174)/COUNT(householdfinance_v4_5!K174,householdfinance_v4_4!K174,householdfinance_v4_3!K174,householdfinance_v4_2!K174,householdfinance_v4_1!K174),0),"NA")</f>
        <v>1</v>
      </c>
      <c r="L174">
        <f>IF($D174=1,ROUND(SUM(householdfinance_v4_5!L174,householdfinance_v4_4!L174,householdfinance_v4_3!L174,householdfinance_v4_2!L174,householdfinance_v4_1!L174)/COUNT(householdfinance_v4_5!L174,householdfinance_v4_4!L174,householdfinance_v4_3!L174,householdfinance_v4_2!L174,householdfinance_v4_1!L174),0),"NA")</f>
        <v>1</v>
      </c>
      <c r="M174">
        <f>IF($D174=1,ROUND(SUM(householdfinance_v4_5!M174,householdfinance_v4_4!M174,householdfinance_v4_3!M174,householdfinance_v4_2!M174,householdfinance_v4_1!M174)/COUNT(householdfinance_v4_5!M174,householdfinance_v4_4!M174,householdfinance_v4_3!M174,householdfinance_v4_2!M174,householdfinance_v4_1!M174),0),"NA")</f>
        <v>1</v>
      </c>
      <c r="N174">
        <f>IF($D174=1,ROUND(SUM(householdfinance_v4_5!N174,householdfinance_v4_4!N174,householdfinance_v4_3!N174,householdfinance_v4_2!N174,householdfinance_v4_1!N174)/COUNT(householdfinance_v4_5!N174,householdfinance_v4_4!N174,householdfinance_v4_3!N174,householdfinance_v4_2!N174,householdfinance_v4_1!N174),0),"NA")</f>
        <v>1</v>
      </c>
      <c r="O174">
        <v>1.082064628601074</v>
      </c>
    </row>
    <row r="175" spans="1:15" x14ac:dyDescent="0.25">
      <c r="A175" t="s">
        <v>115</v>
      </c>
      <c r="B175" t="s">
        <v>112</v>
      </c>
      <c r="C175">
        <v>0</v>
      </c>
      <c r="D175">
        <f>ROUND(SUM(householdfinance_v4_5!D175,householdfinance_v4_4!D175,householdfinance_v4_3!D175,householdfinance_v4_2!D175,householdfinance_v4_1!D175)/COUNT(householdfinance_v4_5!D175,householdfinance_v4_4!D175,householdfinance_v4_3!D175,householdfinance_v4_2!D175,householdfinance_v4_1!D175),0)</f>
        <v>1</v>
      </c>
      <c r="E175">
        <f>IF($D175=1,ROUND(SUM(householdfinance_v4_5!E175,householdfinance_v4_4!E175,householdfinance_v4_3!E175,householdfinance_v4_2!E175,householdfinance_v4_1!E175)/COUNT(householdfinance_v4_5!E175,householdfinance_v4_4!E175,householdfinance_v4_3!E175,householdfinance_v4_2!E175,householdfinance_v4_1!E175),0),"NA")</f>
        <v>1</v>
      </c>
      <c r="F175">
        <f>IF($D175=1,ROUND(SUM(householdfinance_v4_5!F175,householdfinance_v4_4!F175,householdfinance_v4_3!F175,householdfinance_v4_2!F175,householdfinance_v4_1!F175)/COUNT(householdfinance_v4_5!F175,householdfinance_v4_4!F175,householdfinance_v4_3!F175,householdfinance_v4_2!F175,householdfinance_v4_1!F175),0),"NA")</f>
        <v>1</v>
      </c>
      <c r="G175">
        <f>IF($D175=1,ROUND(SUM(householdfinance_v4_5!G175,householdfinance_v4_4!G175,householdfinance_v4_3!G175,householdfinance_v4_2!G175,householdfinance_v4_1!G175)/COUNT(householdfinance_v4_5!G175,householdfinance_v4_4!G175,householdfinance_v4_3!G175,householdfinance_v4_2!G175,householdfinance_v4_1!G175),0),"NA")</f>
        <v>1</v>
      </c>
      <c r="H175">
        <f>IF($E175=1,ROUND(SUM(householdfinance_v4_5!H175,householdfinance_v4_4!H175,householdfinance_v4_3!H175,householdfinance_v4_2!H175,householdfinance_v4_1!H175)/COUNT(householdfinance_v4_5!H175,householdfinance_v4_4!H175,householdfinance_v4_3!H175,householdfinance_v4_2!H175,householdfinance_v4_1!H175),0),"NA")</f>
        <v>1</v>
      </c>
      <c r="I175">
        <f>IF($D175=1,ROUND(SUM(householdfinance_v4_5!I175,householdfinance_v4_4!I175,householdfinance_v4_3!I175,householdfinance_v4_2!I175,householdfinance_v4_1!I175)/COUNT(householdfinance_v4_5!I175,householdfinance_v4_4!I175,householdfinance_v4_3!I175,householdfinance_v4_2!I175,householdfinance_v4_1!I175),0),"NA")</f>
        <v>1</v>
      </c>
      <c r="J175">
        <f>IF(AND($E175=1,$F175=1),ROUND(SUM(householdfinance_v4_5!J175,householdfinance_v4_4!J175,householdfinance_v4_3!J175,householdfinance_v4_2!J175,householdfinance_v4_1!J175)/COUNT(householdfinance_v4_5!J175,householdfinance_v4_4!J175,householdfinance_v4_3!J175,householdfinance_v4_2!J175,householdfinance_v4_1!J175),0),"NA")</f>
        <v>1</v>
      </c>
      <c r="K175">
        <f>IF($D175=1,ROUND(SUM(householdfinance_v4_5!K175,householdfinance_v4_4!K175,householdfinance_v4_3!K175,householdfinance_v4_2!K175,householdfinance_v4_1!K175)/COUNT(householdfinance_v4_5!K175,householdfinance_v4_4!K175,householdfinance_v4_3!K175,householdfinance_v4_2!K175,householdfinance_v4_1!K175),0),"NA")</f>
        <v>1</v>
      </c>
      <c r="L175">
        <f>IF($D175=1,ROUND(SUM(householdfinance_v4_5!L175,householdfinance_v4_4!L175,householdfinance_v4_3!L175,householdfinance_v4_2!L175,householdfinance_v4_1!L175)/COUNT(householdfinance_v4_5!L175,householdfinance_v4_4!L175,householdfinance_v4_3!L175,householdfinance_v4_2!L175,householdfinance_v4_1!L175),0),"NA")</f>
        <v>1</v>
      </c>
      <c r="M175">
        <f>IF($D175=1,ROUND(SUM(householdfinance_v4_5!M175,householdfinance_v4_4!M175,householdfinance_v4_3!M175,householdfinance_v4_2!M175,householdfinance_v4_1!M175)/COUNT(householdfinance_v4_5!M175,householdfinance_v4_4!M175,householdfinance_v4_3!M175,householdfinance_v4_2!M175,householdfinance_v4_1!M175),0),"NA")</f>
        <v>1</v>
      </c>
      <c r="N175">
        <f>IF($D175=1,ROUND(SUM(householdfinance_v4_5!N175,householdfinance_v4_4!N175,householdfinance_v4_3!N175,householdfinance_v4_2!N175,householdfinance_v4_1!N175)/COUNT(householdfinance_v4_5!N175,householdfinance_v4_4!N175,householdfinance_v4_3!N175,householdfinance_v4_2!N175,householdfinance_v4_1!N175),0),"NA")</f>
        <v>1</v>
      </c>
      <c r="O175">
        <v>1.1943726539611821</v>
      </c>
    </row>
    <row r="176" spans="1:15" x14ac:dyDescent="0.25">
      <c r="A176" t="s">
        <v>115</v>
      </c>
      <c r="B176" t="s">
        <v>113</v>
      </c>
      <c r="C176">
        <v>0</v>
      </c>
      <c r="D176">
        <f>ROUND(SUM(householdfinance_v4_5!D176,householdfinance_v4_4!D176,householdfinance_v4_3!D176,householdfinance_v4_2!D176,householdfinance_v4_1!D176)/COUNT(householdfinance_v4_5!D176,householdfinance_v4_4!D176,householdfinance_v4_3!D176,householdfinance_v4_2!D176,householdfinance_v4_1!D176),0)</f>
        <v>1</v>
      </c>
      <c r="E176">
        <f>IF($D176=1,ROUND(SUM(householdfinance_v4_5!E176,householdfinance_v4_4!E176,householdfinance_v4_3!E176,householdfinance_v4_2!E176,householdfinance_v4_1!E176)/COUNT(householdfinance_v4_5!E176,householdfinance_v4_4!E176,householdfinance_v4_3!E176,householdfinance_v4_2!E176,householdfinance_v4_1!E176),0),"NA")</f>
        <v>1</v>
      </c>
      <c r="F176">
        <f>IF($D176=1,ROUND(SUM(householdfinance_v4_5!F176,householdfinance_v4_4!F176,householdfinance_v4_3!F176,householdfinance_v4_2!F176,householdfinance_v4_1!F176)/COUNT(householdfinance_v4_5!F176,householdfinance_v4_4!F176,householdfinance_v4_3!F176,householdfinance_v4_2!F176,householdfinance_v4_1!F176),0),"NA")</f>
        <v>1</v>
      </c>
      <c r="G176">
        <f>IF($D176=1,ROUND(SUM(householdfinance_v4_5!G176,householdfinance_v4_4!G176,householdfinance_v4_3!G176,householdfinance_v4_2!G176,householdfinance_v4_1!G176)/COUNT(householdfinance_v4_5!G176,householdfinance_v4_4!G176,householdfinance_v4_3!G176,householdfinance_v4_2!G176,householdfinance_v4_1!G176),0),"NA")</f>
        <v>1</v>
      </c>
      <c r="H176">
        <f>IF($E176=1,ROUND(SUM(householdfinance_v4_5!H176,householdfinance_v4_4!H176,householdfinance_v4_3!H176,householdfinance_v4_2!H176,householdfinance_v4_1!H176)/COUNT(householdfinance_v4_5!H176,householdfinance_v4_4!H176,householdfinance_v4_3!H176,householdfinance_v4_2!H176,householdfinance_v4_1!H176),0),"NA")</f>
        <v>1</v>
      </c>
      <c r="I176">
        <f>IF($D176=1,ROUND(SUM(householdfinance_v4_5!I176,householdfinance_v4_4!I176,householdfinance_v4_3!I176,householdfinance_v4_2!I176,householdfinance_v4_1!I176)/COUNT(householdfinance_v4_5!I176,householdfinance_v4_4!I176,householdfinance_v4_3!I176,householdfinance_v4_2!I176,householdfinance_v4_1!I176),0),"NA")</f>
        <v>1</v>
      </c>
      <c r="J176">
        <f>IF(AND($E176=1,$F176=1),ROUND(SUM(householdfinance_v4_5!J176,householdfinance_v4_4!J176,householdfinance_v4_3!J176,householdfinance_v4_2!J176,householdfinance_v4_1!J176)/COUNT(householdfinance_v4_5!J176,householdfinance_v4_4!J176,householdfinance_v4_3!J176,householdfinance_v4_2!J176,householdfinance_v4_1!J176),0),"NA")</f>
        <v>1</v>
      </c>
      <c r="K176">
        <f>IF($D176=1,ROUND(SUM(householdfinance_v4_5!K176,householdfinance_v4_4!K176,householdfinance_v4_3!K176,householdfinance_v4_2!K176,householdfinance_v4_1!K176)/COUNT(householdfinance_v4_5!K176,householdfinance_v4_4!K176,householdfinance_v4_3!K176,householdfinance_v4_2!K176,householdfinance_v4_1!K176),0),"NA")</f>
        <v>1</v>
      </c>
      <c r="L176">
        <f>IF($D176=1,ROUND(SUM(householdfinance_v4_5!L176,householdfinance_v4_4!L176,householdfinance_v4_3!L176,householdfinance_v4_2!L176,householdfinance_v4_1!L176)/COUNT(householdfinance_v4_5!L176,householdfinance_v4_4!L176,householdfinance_v4_3!L176,householdfinance_v4_2!L176,householdfinance_v4_1!L176),0),"NA")</f>
        <v>1</v>
      </c>
      <c r="M176">
        <f>IF($D176=1,ROUND(SUM(householdfinance_v4_5!M176,householdfinance_v4_4!M176,householdfinance_v4_3!M176,householdfinance_v4_2!M176,householdfinance_v4_1!M176)/COUNT(householdfinance_v4_5!M176,householdfinance_v4_4!M176,householdfinance_v4_3!M176,householdfinance_v4_2!M176,householdfinance_v4_1!M176),0),"NA")</f>
        <v>1</v>
      </c>
      <c r="N176">
        <f>IF($D176=1,ROUND(SUM(householdfinance_v4_5!N176,householdfinance_v4_4!N176,householdfinance_v4_3!N176,householdfinance_v4_2!N176,householdfinance_v4_1!N176)/COUNT(householdfinance_v4_5!N176,householdfinance_v4_4!N176,householdfinance_v4_3!N176,householdfinance_v4_2!N176,householdfinance_v4_1!N176),0),"NA")</f>
        <v>1</v>
      </c>
      <c r="O176">
        <v>1.132730960845947</v>
      </c>
    </row>
    <row r="177" spans="1:15" x14ac:dyDescent="0.25">
      <c r="A177" t="s">
        <v>115</v>
      </c>
      <c r="B177" t="s">
        <v>132</v>
      </c>
      <c r="C177">
        <v>0</v>
      </c>
      <c r="D177">
        <f>ROUND(SUM(householdfinance_v4_5!D177,householdfinance_v4_4!D177,householdfinance_v4_3!D177,householdfinance_v4_2!D177,householdfinance_v4_1!D177)/COUNT(householdfinance_v4_5!D177,householdfinance_v4_4!D177,householdfinance_v4_3!D177,householdfinance_v4_2!D177,householdfinance_v4_1!D177),0)</f>
        <v>1</v>
      </c>
      <c r="E177">
        <f>IF($D177=1,ROUND(SUM(householdfinance_v4_5!E177,householdfinance_v4_4!E177,householdfinance_v4_3!E177,householdfinance_v4_2!E177,householdfinance_v4_1!E177)/COUNT(householdfinance_v4_5!E177,householdfinance_v4_4!E177,householdfinance_v4_3!E177,householdfinance_v4_2!E177,householdfinance_v4_1!E177),0),"NA")</f>
        <v>1</v>
      </c>
      <c r="F177">
        <f>IF($D177=1,ROUND(SUM(householdfinance_v4_5!F177,householdfinance_v4_4!F177,householdfinance_v4_3!F177,householdfinance_v4_2!F177,householdfinance_v4_1!F177)/COUNT(householdfinance_v4_5!F177,householdfinance_v4_4!F177,householdfinance_v4_3!F177,householdfinance_v4_2!F177,householdfinance_v4_1!F177),0),"NA")</f>
        <v>1</v>
      </c>
      <c r="G177">
        <f>IF($D177=1,ROUND(SUM(householdfinance_v4_5!G177,householdfinance_v4_4!G177,householdfinance_v4_3!G177,householdfinance_v4_2!G177,householdfinance_v4_1!G177)/COUNT(householdfinance_v4_5!G177,householdfinance_v4_4!G177,householdfinance_v4_3!G177,householdfinance_v4_2!G177,householdfinance_v4_1!G177),0),"NA")</f>
        <v>1</v>
      </c>
      <c r="H177">
        <f>IF($E177=1,ROUND(SUM(householdfinance_v4_5!H177,householdfinance_v4_4!H177,householdfinance_v4_3!H177,householdfinance_v4_2!H177,householdfinance_v4_1!H177)/COUNT(householdfinance_v4_5!H177,householdfinance_v4_4!H177,householdfinance_v4_3!H177,householdfinance_v4_2!H177,householdfinance_v4_1!H177),0),"NA")</f>
        <v>1</v>
      </c>
      <c r="I177">
        <f>IF($D177=1,ROUND(SUM(householdfinance_v4_5!I177,householdfinance_v4_4!I177,householdfinance_v4_3!I177,householdfinance_v4_2!I177,householdfinance_v4_1!I177)/COUNT(householdfinance_v4_5!I177,householdfinance_v4_4!I177,householdfinance_v4_3!I177,householdfinance_v4_2!I177,householdfinance_v4_1!I177),0),"NA")</f>
        <v>1</v>
      </c>
      <c r="J177">
        <f>IF(AND($E177=1,$F177=1),ROUND(SUM(householdfinance_v4_5!J177,householdfinance_v4_4!J177,householdfinance_v4_3!J177,householdfinance_v4_2!J177,householdfinance_v4_1!J177)/COUNT(householdfinance_v4_5!J177,householdfinance_v4_4!J177,householdfinance_v4_3!J177,householdfinance_v4_2!J177,householdfinance_v4_1!J177),0),"NA")</f>
        <v>1</v>
      </c>
      <c r="K177">
        <f>IF($D177=1,ROUND(SUM(householdfinance_v4_5!K177,householdfinance_v4_4!K177,householdfinance_v4_3!K177,householdfinance_v4_2!K177,householdfinance_v4_1!K177)/COUNT(householdfinance_v4_5!K177,householdfinance_v4_4!K177,householdfinance_v4_3!K177,householdfinance_v4_2!K177,householdfinance_v4_1!K177),0),"NA")</f>
        <v>1</v>
      </c>
      <c r="L177">
        <f>IF($D177=1,ROUND(SUM(householdfinance_v4_5!L177,householdfinance_v4_4!L177,householdfinance_v4_3!L177,householdfinance_v4_2!L177,householdfinance_v4_1!L177)/COUNT(householdfinance_v4_5!L177,householdfinance_v4_4!L177,householdfinance_v4_3!L177,householdfinance_v4_2!L177,householdfinance_v4_1!L177),0),"NA")</f>
        <v>1</v>
      </c>
      <c r="M177">
        <f>IF($D177=1,ROUND(SUM(householdfinance_v4_5!M177,householdfinance_v4_4!M177,householdfinance_v4_3!M177,householdfinance_v4_2!M177,householdfinance_v4_1!M177)/COUNT(householdfinance_v4_5!M177,householdfinance_v4_4!M177,householdfinance_v4_3!M177,householdfinance_v4_2!M177,householdfinance_v4_1!M177),0),"NA")</f>
        <v>1</v>
      </c>
      <c r="N177">
        <f>IF($D177=1,ROUND(SUM(householdfinance_v4_5!N177,householdfinance_v4_4!N177,householdfinance_v4_3!N177,householdfinance_v4_2!N177,householdfinance_v4_1!N177)/COUNT(householdfinance_v4_5!N177,householdfinance_v4_4!N177,householdfinance_v4_3!N177,householdfinance_v4_2!N177,householdfinance_v4_1!N177),0),"NA")</f>
        <v>1</v>
      </c>
      <c r="O177">
        <v>1.8973667621612551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householdfinance_v4_1</vt:lpstr>
      <vt:lpstr>householdfinance_v4_2</vt:lpstr>
      <vt:lpstr>householdfinance_v4_3</vt:lpstr>
      <vt:lpstr>householdfinance_v4_4</vt:lpstr>
      <vt:lpstr>householdfinance_v4_5</vt:lpstr>
      <vt:lpstr>Compiled Votes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2025-07-22T06:33:40Z</dcterms:created>
  <dcterms:modified xsi:type="dcterms:W3CDTF">2025-07-22T06:43:32Z</dcterms:modified>
</cp:coreProperties>
</file>