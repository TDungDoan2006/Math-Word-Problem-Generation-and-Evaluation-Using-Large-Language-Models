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Amin\A-Star-AI-for-education\AStar Internship - Question\Data\Evaluated_questions\GPT4.1\All\recreation\"/>
    </mc:Choice>
  </mc:AlternateContent>
  <xr:revisionPtr revIDLastSave="0" documentId="13_ncr:1_{A7FEF5DB-C090-4874-9DEA-A427BBD72621}" xr6:coauthVersionLast="47" xr6:coauthVersionMax="47" xr10:uidLastSave="{00000000-0000-0000-0000-000000000000}"/>
  <bookViews>
    <workbookView xWindow="-108" yWindow="-108" windowWidth="23256" windowHeight="12456" firstSheet="2" activeTab="5" xr2:uid="{00000000-000D-0000-FFFF-FFFF00000000}"/>
  </bookViews>
  <sheets>
    <sheet name="recreation_v2_common_1" sheetId="1" r:id="rId1"/>
    <sheet name="recreation_v2_common_2" sheetId="2" r:id="rId2"/>
    <sheet name="recreation_v2_common_3" sheetId="3" r:id="rId3"/>
    <sheet name="recreation_v2_common_4" sheetId="4" r:id="rId4"/>
    <sheet name="recreation_v2_common_5" sheetId="5" r:id="rId5"/>
    <sheet name="Compiled Votes"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7" l="1"/>
  <c r="F4" i="7"/>
  <c r="F5" i="7"/>
  <c r="F6" i="7"/>
  <c r="F7" i="7"/>
  <c r="F8" i="7"/>
  <c r="F9" i="7"/>
  <c r="F10" i="7"/>
  <c r="F11" i="7"/>
  <c r="J11" i="7" s="1"/>
  <c r="F12" i="7"/>
  <c r="F13" i="7"/>
  <c r="F14" i="7"/>
  <c r="J14" i="7" s="1"/>
  <c r="F15" i="7"/>
  <c r="F16" i="7"/>
  <c r="F17" i="7"/>
  <c r="F18" i="7"/>
  <c r="F19" i="7"/>
  <c r="F20" i="7"/>
  <c r="F21" i="7"/>
  <c r="F22" i="7"/>
  <c r="F23" i="7"/>
  <c r="J23" i="7" s="1"/>
  <c r="F24" i="7"/>
  <c r="J24" i="7" s="1"/>
  <c r="F25" i="7"/>
  <c r="F26" i="7"/>
  <c r="J26" i="7" s="1"/>
  <c r="F27" i="7"/>
  <c r="F28" i="7"/>
  <c r="F29" i="7"/>
  <c r="F30" i="7"/>
  <c r="F31" i="7"/>
  <c r="F32" i="7"/>
  <c r="F33" i="7"/>
  <c r="F34" i="7"/>
  <c r="J34" i="7" s="1"/>
  <c r="F35" i="7"/>
  <c r="F36" i="7"/>
  <c r="J36" i="7" s="1"/>
  <c r="F37" i="7"/>
  <c r="F38" i="7"/>
  <c r="J38" i="7" s="1"/>
  <c r="F39" i="7"/>
  <c r="F40" i="7"/>
  <c r="F41" i="7"/>
  <c r="F42" i="7"/>
  <c r="F43" i="7"/>
  <c r="F44" i="7"/>
  <c r="F45" i="7"/>
  <c r="F46" i="7"/>
  <c r="J46" i="7" s="1"/>
  <c r="F47" i="7"/>
  <c r="F48" i="7"/>
  <c r="F49" i="7"/>
  <c r="F50" i="7"/>
  <c r="J50" i="7" s="1"/>
  <c r="F51" i="7"/>
  <c r="F52" i="7"/>
  <c r="F53" i="7"/>
  <c r="F54" i="7"/>
  <c r="F55" i="7"/>
  <c r="F56" i="7"/>
  <c r="F57" i="7"/>
  <c r="F58" i="7"/>
  <c r="F59" i="7"/>
  <c r="F60" i="7"/>
  <c r="F61" i="7"/>
  <c r="F62" i="7"/>
  <c r="J62" i="7" s="1"/>
  <c r="F63" i="7"/>
  <c r="F64" i="7"/>
  <c r="F65" i="7"/>
  <c r="F66" i="7"/>
  <c r="F67" i="7"/>
  <c r="J67" i="7" s="1"/>
  <c r="F68" i="7"/>
  <c r="F69" i="7"/>
  <c r="F70" i="7"/>
  <c r="F71" i="7"/>
  <c r="F72" i="7"/>
  <c r="J72" i="7" s="1"/>
  <c r="F73" i="7"/>
  <c r="F74" i="7"/>
  <c r="F75" i="7"/>
  <c r="F76" i="7"/>
  <c r="F77" i="7"/>
  <c r="F78" i="7"/>
  <c r="F79" i="7"/>
  <c r="F80" i="7"/>
  <c r="F81" i="7"/>
  <c r="F82" i="7"/>
  <c r="F83" i="7"/>
  <c r="J83" i="7" s="1"/>
  <c r="F84" i="7"/>
  <c r="J84" i="7" s="1"/>
  <c r="F85" i="7"/>
  <c r="F86" i="7"/>
  <c r="F87" i="7"/>
  <c r="F88" i="7"/>
  <c r="F89" i="7"/>
  <c r="F90" i="7"/>
  <c r="F91" i="7"/>
  <c r="J91" i="7" s="1"/>
  <c r="F92" i="7"/>
  <c r="J92" i="7" s="1"/>
  <c r="F93" i="7"/>
  <c r="F94" i="7"/>
  <c r="F95" i="7"/>
  <c r="F96" i="7"/>
  <c r="F97" i="7"/>
  <c r="J97" i="7" s="1"/>
  <c r="F98" i="7"/>
  <c r="J98" i="7" s="1"/>
  <c r="F99" i="7"/>
  <c r="F100" i="7"/>
  <c r="F101" i="7"/>
  <c r="F2" i="7"/>
  <c r="D3" i="7"/>
  <c r="E3" i="7" s="1"/>
  <c r="H3" i="7" s="1"/>
  <c r="I3" i="7"/>
  <c r="J3" i="7"/>
  <c r="K3" i="7"/>
  <c r="L3" i="7"/>
  <c r="M3" i="7"/>
  <c r="N3" i="7"/>
  <c r="D4" i="7"/>
  <c r="K4" i="7"/>
  <c r="D5" i="7"/>
  <c r="E5" i="7"/>
  <c r="K5" i="7"/>
  <c r="L5" i="7"/>
  <c r="M5" i="7"/>
  <c r="N5" i="7"/>
  <c r="D6" i="7"/>
  <c r="L6" i="7" s="1"/>
  <c r="E6" i="7"/>
  <c r="D7" i="7"/>
  <c r="E7" i="7"/>
  <c r="G7" i="7"/>
  <c r="M7" i="7"/>
  <c r="N7" i="7"/>
  <c r="D8" i="7"/>
  <c r="N8" i="7" s="1"/>
  <c r="E8" i="7"/>
  <c r="D9" i="7"/>
  <c r="E9" i="7"/>
  <c r="G9" i="7"/>
  <c r="H9" i="7"/>
  <c r="I9" i="7"/>
  <c r="D10" i="7"/>
  <c r="I10" i="7" s="1"/>
  <c r="E10" i="7"/>
  <c r="H10" i="7" s="1"/>
  <c r="D11" i="7"/>
  <c r="L11" i="7" s="1"/>
  <c r="E11" i="7"/>
  <c r="G11" i="7"/>
  <c r="H11" i="7"/>
  <c r="I11" i="7"/>
  <c r="K11" i="7"/>
  <c r="D12" i="7"/>
  <c r="E12" i="7"/>
  <c r="G12" i="7"/>
  <c r="H12" i="7"/>
  <c r="I12" i="7"/>
  <c r="J12" i="7"/>
  <c r="K12" i="7"/>
  <c r="L12" i="7"/>
  <c r="M12" i="7"/>
  <c r="N12" i="7"/>
  <c r="D13" i="7"/>
  <c r="N13" i="7" s="1"/>
  <c r="G13" i="7"/>
  <c r="I13" i="7"/>
  <c r="K13" i="7"/>
  <c r="L13" i="7"/>
  <c r="M13" i="7"/>
  <c r="D14" i="7"/>
  <c r="E14" i="7"/>
  <c r="G14" i="7"/>
  <c r="H14" i="7"/>
  <c r="I14" i="7"/>
  <c r="K14" i="7"/>
  <c r="L14" i="7"/>
  <c r="M14" i="7"/>
  <c r="N14" i="7"/>
  <c r="D15" i="7"/>
  <c r="E15" i="7" s="1"/>
  <c r="H15" i="7" s="1"/>
  <c r="I15" i="7"/>
  <c r="J15" i="7"/>
  <c r="K15" i="7"/>
  <c r="L15" i="7"/>
  <c r="M15" i="7"/>
  <c r="N15" i="7"/>
  <c r="D16" i="7"/>
  <c r="K16" i="7"/>
  <c r="L16" i="7"/>
  <c r="M16" i="7"/>
  <c r="N16" i="7"/>
  <c r="D17" i="7"/>
  <c r="K17" i="7" s="1"/>
  <c r="D18" i="7"/>
  <c r="E18" i="7"/>
  <c r="K18" i="7"/>
  <c r="L18" i="7"/>
  <c r="M18" i="7"/>
  <c r="D19" i="7"/>
  <c r="E19" i="7"/>
  <c r="G19" i="7"/>
  <c r="L19" i="7"/>
  <c r="M19" i="7"/>
  <c r="N19" i="7"/>
  <c r="D20" i="7"/>
  <c r="M20" i="7" s="1"/>
  <c r="E20" i="7"/>
  <c r="G20" i="7"/>
  <c r="D21" i="7"/>
  <c r="E21" i="7"/>
  <c r="G21" i="7"/>
  <c r="H21" i="7"/>
  <c r="I21" i="7"/>
  <c r="N21" i="7"/>
  <c r="D22" i="7"/>
  <c r="E22" i="7"/>
  <c r="H22" i="7" s="1"/>
  <c r="D23" i="7"/>
  <c r="E23" i="7"/>
  <c r="G23" i="7"/>
  <c r="H23" i="7"/>
  <c r="I23" i="7"/>
  <c r="D24" i="7"/>
  <c r="E24" i="7"/>
  <c r="G24" i="7"/>
  <c r="H24" i="7"/>
  <c r="I24" i="7"/>
  <c r="K24" i="7"/>
  <c r="L24" i="7"/>
  <c r="M24" i="7"/>
  <c r="N24" i="7"/>
  <c r="D25" i="7"/>
  <c r="N25" i="7" s="1"/>
  <c r="G25" i="7"/>
  <c r="I25" i="7"/>
  <c r="K25" i="7"/>
  <c r="L25" i="7"/>
  <c r="M25" i="7"/>
  <c r="D26" i="7"/>
  <c r="E26" i="7"/>
  <c r="G26" i="7"/>
  <c r="H26" i="7"/>
  <c r="I26" i="7"/>
  <c r="K26" i="7"/>
  <c r="L26" i="7"/>
  <c r="M26" i="7"/>
  <c r="N26" i="7"/>
  <c r="D27" i="7"/>
  <c r="E27" i="7" s="1"/>
  <c r="J27" i="7" s="1"/>
  <c r="H27" i="7"/>
  <c r="I27" i="7"/>
  <c r="K27" i="7"/>
  <c r="L27" i="7"/>
  <c r="M27" i="7"/>
  <c r="N27" i="7"/>
  <c r="D28" i="7"/>
  <c r="I28" i="7"/>
  <c r="K28" i="7"/>
  <c r="L28" i="7"/>
  <c r="M28" i="7"/>
  <c r="D29" i="7"/>
  <c r="E29" i="7"/>
  <c r="H29" i="7" s="1"/>
  <c r="J29" i="7"/>
  <c r="K29" i="7"/>
  <c r="L29" i="7"/>
  <c r="M29" i="7"/>
  <c r="N29" i="7"/>
  <c r="D30" i="7"/>
  <c r="N30" i="7" s="1"/>
  <c r="E30" i="7"/>
  <c r="D31" i="7"/>
  <c r="E31" i="7"/>
  <c r="G31" i="7"/>
  <c r="L31" i="7"/>
  <c r="M31" i="7"/>
  <c r="N31" i="7"/>
  <c r="D32" i="7"/>
  <c r="D33" i="7"/>
  <c r="E33" i="7"/>
  <c r="G33" i="7"/>
  <c r="H33" i="7"/>
  <c r="I33" i="7"/>
  <c r="D34" i="7"/>
  <c r="E34" i="7"/>
  <c r="G34" i="7"/>
  <c r="H34" i="7"/>
  <c r="I34" i="7"/>
  <c r="D35" i="7"/>
  <c r="E35" i="7"/>
  <c r="H35" i="7" s="1"/>
  <c r="G35" i="7"/>
  <c r="D36" i="7"/>
  <c r="E36" i="7"/>
  <c r="G36" i="7"/>
  <c r="H36" i="7"/>
  <c r="I36" i="7"/>
  <c r="K36" i="7"/>
  <c r="L36" i="7"/>
  <c r="M36" i="7"/>
  <c r="N36" i="7"/>
  <c r="D37" i="7"/>
  <c r="N37" i="7" s="1"/>
  <c r="G37" i="7"/>
  <c r="I37" i="7"/>
  <c r="K37" i="7"/>
  <c r="L37" i="7"/>
  <c r="M37" i="7"/>
  <c r="D38" i="7"/>
  <c r="E38" i="7"/>
  <c r="G38" i="7"/>
  <c r="H38" i="7"/>
  <c r="I38" i="7"/>
  <c r="K38" i="7"/>
  <c r="L38" i="7"/>
  <c r="M38" i="7"/>
  <c r="N38" i="7"/>
  <c r="D39" i="7"/>
  <c r="G39" i="7" s="1"/>
  <c r="E39" i="7"/>
  <c r="H39" i="7"/>
  <c r="I39" i="7"/>
  <c r="J39" i="7"/>
  <c r="K39" i="7"/>
  <c r="L39" i="7"/>
  <c r="M39" i="7"/>
  <c r="N39" i="7"/>
  <c r="D40" i="7"/>
  <c r="L40" i="7" s="1"/>
  <c r="I40" i="7"/>
  <c r="D41" i="7"/>
  <c r="E41" i="7"/>
  <c r="H41" i="7" s="1"/>
  <c r="J41" i="7"/>
  <c r="K41" i="7"/>
  <c r="L41" i="7"/>
  <c r="M41" i="7"/>
  <c r="D42" i="7"/>
  <c r="E42" i="7"/>
  <c r="K42" i="7"/>
  <c r="L42" i="7"/>
  <c r="M42" i="7"/>
  <c r="N42" i="7"/>
  <c r="D43" i="7"/>
  <c r="E43" i="7"/>
  <c r="G43" i="7"/>
  <c r="D44" i="7"/>
  <c r="E44" i="7"/>
  <c r="G44" i="7"/>
  <c r="H44" i="7"/>
  <c r="M44" i="7"/>
  <c r="N44" i="7"/>
  <c r="D45" i="7"/>
  <c r="G45" i="7" s="1"/>
  <c r="E45" i="7"/>
  <c r="J45" i="7" s="1"/>
  <c r="D46" i="7"/>
  <c r="E46" i="7"/>
  <c r="G46" i="7"/>
  <c r="H46" i="7"/>
  <c r="I46" i="7"/>
  <c r="D47" i="7"/>
  <c r="E47" i="7" s="1"/>
  <c r="I47" i="7"/>
  <c r="K47" i="7"/>
  <c r="D48" i="7"/>
  <c r="E48" i="7"/>
  <c r="H48" i="7" s="1"/>
  <c r="G48" i="7"/>
  <c r="I48" i="7"/>
  <c r="K48" i="7"/>
  <c r="L48" i="7"/>
  <c r="M48" i="7"/>
  <c r="N48" i="7"/>
  <c r="D49" i="7"/>
  <c r="N49" i="7" s="1"/>
  <c r="G49" i="7"/>
  <c r="I49" i="7"/>
  <c r="K49" i="7"/>
  <c r="L49" i="7"/>
  <c r="M49" i="7"/>
  <c r="D50" i="7"/>
  <c r="E50" i="7"/>
  <c r="G50" i="7"/>
  <c r="H50" i="7"/>
  <c r="I50" i="7"/>
  <c r="K50" i="7"/>
  <c r="L50" i="7"/>
  <c r="M50" i="7"/>
  <c r="N50" i="7"/>
  <c r="D51" i="7"/>
  <c r="G51" i="7" s="1"/>
  <c r="E51" i="7"/>
  <c r="H51" i="7"/>
  <c r="I51" i="7"/>
  <c r="J51" i="7"/>
  <c r="K51" i="7"/>
  <c r="L51" i="7"/>
  <c r="M51" i="7"/>
  <c r="N51" i="7"/>
  <c r="D52" i="7"/>
  <c r="E52" i="7" s="1"/>
  <c r="H52" i="7" s="1"/>
  <c r="G52" i="7"/>
  <c r="I52" i="7"/>
  <c r="J52" i="7"/>
  <c r="K52" i="7"/>
  <c r="L52" i="7"/>
  <c r="M52" i="7"/>
  <c r="N52" i="7"/>
  <c r="D53" i="7"/>
  <c r="M53" i="7" s="1"/>
  <c r="E53" i="7"/>
  <c r="H53" i="7" s="1"/>
  <c r="D54" i="7"/>
  <c r="G54" i="7" s="1"/>
  <c r="E54" i="7"/>
  <c r="I54" i="7"/>
  <c r="K54" i="7"/>
  <c r="D55" i="7"/>
  <c r="E55" i="7"/>
  <c r="H55" i="7" s="1"/>
  <c r="G55" i="7"/>
  <c r="J55" i="7"/>
  <c r="L55" i="7"/>
  <c r="M55" i="7"/>
  <c r="N55" i="7"/>
  <c r="D56" i="7"/>
  <c r="D57" i="7"/>
  <c r="E57" i="7"/>
  <c r="G57" i="7"/>
  <c r="H57" i="7"/>
  <c r="D58" i="7"/>
  <c r="E58" i="7"/>
  <c r="G58" i="7"/>
  <c r="H58" i="7"/>
  <c r="I58" i="7"/>
  <c r="J58" i="7"/>
  <c r="M58" i="7"/>
  <c r="D59" i="7"/>
  <c r="N59" i="7" s="1"/>
  <c r="D60" i="7"/>
  <c r="E60" i="7"/>
  <c r="H60" i="7" s="1"/>
  <c r="G60" i="7"/>
  <c r="I60" i="7"/>
  <c r="K60" i="7"/>
  <c r="L60" i="7"/>
  <c r="M60" i="7"/>
  <c r="N60" i="7"/>
  <c r="D61" i="7"/>
  <c r="G61" i="7"/>
  <c r="I61" i="7"/>
  <c r="D62" i="7"/>
  <c r="E62" i="7"/>
  <c r="G62" i="7"/>
  <c r="H62" i="7"/>
  <c r="I62" i="7"/>
  <c r="K62" i="7"/>
  <c r="L62" i="7"/>
  <c r="M62" i="7"/>
  <c r="N62" i="7"/>
  <c r="D63" i="7"/>
  <c r="G63" i="7" s="1"/>
  <c r="E63" i="7"/>
  <c r="H63" i="7"/>
  <c r="I63" i="7"/>
  <c r="J63" i="7"/>
  <c r="K63" i="7"/>
  <c r="L63" i="7"/>
  <c r="M63" i="7"/>
  <c r="N63" i="7"/>
  <c r="D64" i="7"/>
  <c r="E64" i="7" s="1"/>
  <c r="H64" i="7" s="1"/>
  <c r="I64" i="7"/>
  <c r="J64" i="7"/>
  <c r="K64" i="7"/>
  <c r="L64" i="7"/>
  <c r="M64" i="7"/>
  <c r="N64" i="7"/>
  <c r="D65" i="7"/>
  <c r="E65" i="7"/>
  <c r="H65" i="7" s="1"/>
  <c r="D66" i="7"/>
  <c r="G66" i="7" s="1"/>
  <c r="E66" i="7"/>
  <c r="I66" i="7"/>
  <c r="K66" i="7"/>
  <c r="D67" i="7"/>
  <c r="K67" i="7" s="1"/>
  <c r="E67" i="7"/>
  <c r="H67" i="7" s="1"/>
  <c r="G67" i="7"/>
  <c r="I67" i="7"/>
  <c r="L67" i="7"/>
  <c r="M67" i="7"/>
  <c r="N67" i="7"/>
  <c r="D68" i="7"/>
  <c r="G68" i="7" s="1"/>
  <c r="E68" i="7"/>
  <c r="H68" i="7"/>
  <c r="J68" i="7"/>
  <c r="K68" i="7"/>
  <c r="M68" i="7"/>
  <c r="N68" i="7"/>
  <c r="D69" i="7"/>
  <c r="M69" i="7" s="1"/>
  <c r="E69" i="7"/>
  <c r="D70" i="7"/>
  <c r="L70" i="7" s="1"/>
  <c r="E70" i="7"/>
  <c r="G70" i="7"/>
  <c r="H70" i="7"/>
  <c r="I70" i="7"/>
  <c r="D71" i="7"/>
  <c r="L71" i="7" s="1"/>
  <c r="E71" i="7"/>
  <c r="G71" i="7"/>
  <c r="H71" i="7"/>
  <c r="I71" i="7"/>
  <c r="J71" i="7"/>
  <c r="K71" i="7"/>
  <c r="M71" i="7"/>
  <c r="N71" i="7"/>
  <c r="D72" i="7"/>
  <c r="E72" i="7"/>
  <c r="G72" i="7"/>
  <c r="H72" i="7"/>
  <c r="I72" i="7"/>
  <c r="K72" i="7"/>
  <c r="L72" i="7"/>
  <c r="M72" i="7"/>
  <c r="N72" i="7"/>
  <c r="D73" i="7"/>
  <c r="G73" i="7"/>
  <c r="I73" i="7"/>
  <c r="K73" i="7"/>
  <c r="L73" i="7"/>
  <c r="M73" i="7"/>
  <c r="D74" i="7"/>
  <c r="G74" i="7" s="1"/>
  <c r="E74" i="7"/>
  <c r="H74" i="7" s="1"/>
  <c r="D75" i="7"/>
  <c r="G75" i="7" s="1"/>
  <c r="E75" i="7"/>
  <c r="J75" i="7" s="1"/>
  <c r="H75" i="7"/>
  <c r="D76" i="7"/>
  <c r="K76" i="7" s="1"/>
  <c r="E76" i="7"/>
  <c r="H76" i="7" s="1"/>
  <c r="G76" i="7"/>
  <c r="I76" i="7"/>
  <c r="J76" i="7"/>
  <c r="D77" i="7"/>
  <c r="I77" i="7" s="1"/>
  <c r="E77" i="7"/>
  <c r="G77" i="7"/>
  <c r="H77" i="7"/>
  <c r="J77" i="7"/>
  <c r="K77" i="7"/>
  <c r="L77" i="7"/>
  <c r="D78" i="7"/>
  <c r="E78" i="7" s="1"/>
  <c r="G78" i="7"/>
  <c r="I78" i="7"/>
  <c r="K78" i="7"/>
  <c r="L78" i="7"/>
  <c r="M78" i="7"/>
  <c r="N78" i="7"/>
  <c r="D79" i="7"/>
  <c r="K79" i="7" s="1"/>
  <c r="E79" i="7"/>
  <c r="H79" i="7"/>
  <c r="I79" i="7"/>
  <c r="J79" i="7"/>
  <c r="L79" i="7"/>
  <c r="M79" i="7"/>
  <c r="N79" i="7"/>
  <c r="D80" i="7"/>
  <c r="L80" i="7" s="1"/>
  <c r="E80" i="7"/>
  <c r="D81" i="7"/>
  <c r="M81" i="7" s="1"/>
  <c r="E81" i="7"/>
  <c r="H81" i="7" s="1"/>
  <c r="G81" i="7"/>
  <c r="D82" i="7"/>
  <c r="N82" i="7" s="1"/>
  <c r="E82" i="7"/>
  <c r="J82" i="7" s="1"/>
  <c r="G82" i="7"/>
  <c r="H82" i="7"/>
  <c r="I82" i="7"/>
  <c r="D83" i="7"/>
  <c r="L83" i="7" s="1"/>
  <c r="E83" i="7"/>
  <c r="G83" i="7"/>
  <c r="H83" i="7"/>
  <c r="I83" i="7"/>
  <c r="K83" i="7"/>
  <c r="D84" i="7"/>
  <c r="E84" i="7"/>
  <c r="G84" i="7"/>
  <c r="H84" i="7"/>
  <c r="I84" i="7"/>
  <c r="K84" i="7"/>
  <c r="L84" i="7"/>
  <c r="M84" i="7"/>
  <c r="N84" i="7"/>
  <c r="D85" i="7"/>
  <c r="E85" i="7" s="1"/>
  <c r="G85" i="7"/>
  <c r="H85" i="7"/>
  <c r="I85" i="7"/>
  <c r="J85" i="7"/>
  <c r="K85" i="7"/>
  <c r="L85" i="7"/>
  <c r="M85" i="7"/>
  <c r="N85" i="7"/>
  <c r="D86" i="7"/>
  <c r="E86" i="7" s="1"/>
  <c r="I86" i="7"/>
  <c r="K86" i="7"/>
  <c r="L86" i="7"/>
  <c r="M86" i="7"/>
  <c r="N86" i="7"/>
  <c r="D87" i="7"/>
  <c r="G87" i="7" s="1"/>
  <c r="D88" i="7"/>
  <c r="G88" i="7" s="1"/>
  <c r="E88" i="7"/>
  <c r="H88" i="7" s="1"/>
  <c r="D89" i="7"/>
  <c r="I89" i="7" s="1"/>
  <c r="E89" i="7"/>
  <c r="J89" i="7" s="1"/>
  <c r="G89" i="7"/>
  <c r="H89" i="7"/>
  <c r="D90" i="7"/>
  <c r="L90" i="7" s="1"/>
  <c r="E90" i="7"/>
  <c r="G90" i="7"/>
  <c r="H90" i="7"/>
  <c r="I90" i="7"/>
  <c r="K90" i="7"/>
  <c r="D91" i="7"/>
  <c r="K91" i="7" s="1"/>
  <c r="E91" i="7"/>
  <c r="G91" i="7"/>
  <c r="H91" i="7"/>
  <c r="I91" i="7"/>
  <c r="L91" i="7"/>
  <c r="M91" i="7"/>
  <c r="N91" i="7"/>
  <c r="D92" i="7"/>
  <c r="L92" i="7" s="1"/>
  <c r="E92" i="7"/>
  <c r="G92" i="7"/>
  <c r="H92" i="7"/>
  <c r="I92" i="7"/>
  <c r="K92" i="7"/>
  <c r="M92" i="7"/>
  <c r="N92" i="7"/>
  <c r="D93" i="7"/>
  <c r="M93" i="7" s="1"/>
  <c r="D94" i="7"/>
  <c r="N94" i="7" s="1"/>
  <c r="E94" i="7"/>
  <c r="H94" i="7" s="1"/>
  <c r="D95" i="7"/>
  <c r="I95" i="7" s="1"/>
  <c r="E95" i="7"/>
  <c r="J95" i="7" s="1"/>
  <c r="G95" i="7"/>
  <c r="H95" i="7"/>
  <c r="D96" i="7"/>
  <c r="E96" i="7"/>
  <c r="G96" i="7"/>
  <c r="H96" i="7"/>
  <c r="I96" i="7"/>
  <c r="K96" i="7"/>
  <c r="L96" i="7"/>
  <c r="M96" i="7"/>
  <c r="N96" i="7"/>
  <c r="D97" i="7"/>
  <c r="E97" i="7" s="1"/>
  <c r="G97" i="7"/>
  <c r="H97" i="7"/>
  <c r="I97" i="7"/>
  <c r="K97" i="7"/>
  <c r="D98" i="7"/>
  <c r="E98" i="7"/>
  <c r="G98" i="7"/>
  <c r="H98" i="7"/>
  <c r="I98" i="7"/>
  <c r="K98" i="7"/>
  <c r="L98" i="7"/>
  <c r="M98" i="7"/>
  <c r="N98" i="7"/>
  <c r="D99" i="7"/>
  <c r="G99" i="7" s="1"/>
  <c r="I99" i="7"/>
  <c r="K99" i="7"/>
  <c r="L99" i="7"/>
  <c r="M99" i="7"/>
  <c r="N99" i="7"/>
  <c r="D100" i="7"/>
  <c r="G100" i="7" s="1"/>
  <c r="E100" i="7"/>
  <c r="H100" i="7" s="1"/>
  <c r="I100" i="7"/>
  <c r="J100" i="7"/>
  <c r="K100" i="7"/>
  <c r="L100" i="7"/>
  <c r="M100" i="7"/>
  <c r="N100" i="7"/>
  <c r="D101" i="7"/>
  <c r="I101" i="7" s="1"/>
  <c r="E101" i="7"/>
  <c r="H101" i="7" s="1"/>
  <c r="N2" i="7"/>
  <c r="M2" i="7"/>
  <c r="L2" i="7"/>
  <c r="K2" i="7"/>
  <c r="I2" i="7"/>
  <c r="G2" i="7"/>
  <c r="J2" i="7"/>
  <c r="H2" i="7"/>
  <c r="E2" i="7"/>
  <c r="D2" i="7"/>
  <c r="J8" i="7" l="1"/>
  <c r="J80" i="7"/>
  <c r="J70" i="7"/>
  <c r="J96" i="7"/>
  <c r="H86" i="7"/>
  <c r="J86" i="7"/>
  <c r="J47" i="7"/>
  <c r="H47" i="7"/>
  <c r="J78" i="7"/>
  <c r="H78" i="7"/>
  <c r="I32" i="7"/>
  <c r="K32" i="7"/>
  <c r="L32" i="7"/>
  <c r="J69" i="7"/>
  <c r="G65" i="7"/>
  <c r="I65" i="7"/>
  <c r="K22" i="7"/>
  <c r="L22" i="7"/>
  <c r="M22" i="7"/>
  <c r="N22" i="7"/>
  <c r="N93" i="7"/>
  <c r="I43" i="7"/>
  <c r="K43" i="7"/>
  <c r="L35" i="7"/>
  <c r="M35" i="7"/>
  <c r="N35" i="7"/>
  <c r="N61" i="7"/>
  <c r="E61" i="7"/>
  <c r="J33" i="7"/>
  <c r="H18" i="7"/>
  <c r="J18" i="7"/>
  <c r="M101" i="7"/>
  <c r="M94" i="7"/>
  <c r="N88" i="7"/>
  <c r="M74" i="7"/>
  <c r="N65" i="7"/>
  <c r="G18" i="7"/>
  <c r="I18" i="7"/>
  <c r="N95" i="7"/>
  <c r="M88" i="7"/>
  <c r="K87" i="7"/>
  <c r="N81" i="7"/>
  <c r="L74" i="7"/>
  <c r="K46" i="7"/>
  <c r="L46" i="7"/>
  <c r="M46" i="7"/>
  <c r="N46" i="7"/>
  <c r="H31" i="7"/>
  <c r="J31" i="7"/>
  <c r="E28" i="7"/>
  <c r="G28" i="7"/>
  <c r="L23" i="7"/>
  <c r="M23" i="7"/>
  <c r="N23" i="7"/>
  <c r="N17" i="7"/>
  <c r="J9" i="7"/>
  <c r="K101" i="7"/>
  <c r="K94" i="7"/>
  <c r="I93" i="7"/>
  <c r="N89" i="7"/>
  <c r="M75" i="7"/>
  <c r="K74" i="7"/>
  <c r="L53" i="7"/>
  <c r="N45" i="7"/>
  <c r="J44" i="7"/>
  <c r="N40" i="7"/>
  <c r="M32" i="7"/>
  <c r="I31" i="7"/>
  <c r="K31" i="7"/>
  <c r="J22" i="7"/>
  <c r="J21" i="7"/>
  <c r="M17" i="7"/>
  <c r="E16" i="7"/>
  <c r="G16" i="7"/>
  <c r="I16" i="7"/>
  <c r="J10" i="7"/>
  <c r="K9" i="7"/>
  <c r="L9" i="7"/>
  <c r="M9" i="7"/>
  <c r="N9" i="7"/>
  <c r="I7" i="7"/>
  <c r="K7" i="7"/>
  <c r="L7" i="7"/>
  <c r="H5" i="7"/>
  <c r="J5" i="7"/>
  <c r="J101" i="7"/>
  <c r="E99" i="7"/>
  <c r="L95" i="7"/>
  <c r="J94" i="7"/>
  <c r="M89" i="7"/>
  <c r="K88" i="7"/>
  <c r="I87" i="7"/>
  <c r="G86" i="7"/>
  <c r="M82" i="7"/>
  <c r="K81" i="7"/>
  <c r="I80" i="7"/>
  <c r="G79" i="7"/>
  <c r="N76" i="7"/>
  <c r="L75" i="7"/>
  <c r="J74" i="7"/>
  <c r="K69" i="7"/>
  <c r="K65" i="7"/>
  <c r="G64" i="7"/>
  <c r="M61" i="7"/>
  <c r="K58" i="7"/>
  <c r="L58" i="7"/>
  <c r="N58" i="7"/>
  <c r="I55" i="7"/>
  <c r="K55" i="7"/>
  <c r="K53" i="7"/>
  <c r="G47" i="7"/>
  <c r="I45" i="7"/>
  <c r="I44" i="7"/>
  <c r="K44" i="7"/>
  <c r="L44" i="7"/>
  <c r="M40" i="7"/>
  <c r="K35" i="7"/>
  <c r="I22" i="7"/>
  <c r="K21" i="7"/>
  <c r="L21" i="7"/>
  <c r="M21" i="7"/>
  <c r="L17" i="7"/>
  <c r="N6" i="7"/>
  <c r="G5" i="7"/>
  <c r="I5" i="7"/>
  <c r="I56" i="7"/>
  <c r="L56" i="7"/>
  <c r="K10" i="7"/>
  <c r="L10" i="7"/>
  <c r="M10" i="7"/>
  <c r="N10" i="7"/>
  <c r="G30" i="7"/>
  <c r="I30" i="7"/>
  <c r="N87" i="7"/>
  <c r="J57" i="7"/>
  <c r="E4" i="7"/>
  <c r="G4" i="7"/>
  <c r="I4" i="7"/>
  <c r="L93" i="7"/>
  <c r="K57" i="7"/>
  <c r="M57" i="7"/>
  <c r="J90" i="7"/>
  <c r="L87" i="7"/>
  <c r="M80" i="7"/>
  <c r="K33" i="7"/>
  <c r="L33" i="7"/>
  <c r="M33" i="7"/>
  <c r="L101" i="7"/>
  <c r="N69" i="7"/>
  <c r="M65" i="7"/>
  <c r="G41" i="7"/>
  <c r="I41" i="7"/>
  <c r="N32" i="7"/>
  <c r="H7" i="7"/>
  <c r="J7" i="7"/>
  <c r="L88" i="7"/>
  <c r="L89" i="7"/>
  <c r="N83" i="7"/>
  <c r="M76" i="7"/>
  <c r="K75" i="7"/>
  <c r="I74" i="7"/>
  <c r="M70" i="7"/>
  <c r="J60" i="7"/>
  <c r="N57" i="7"/>
  <c r="N54" i="7"/>
  <c r="H45" i="7"/>
  <c r="N43" i="7"/>
  <c r="H42" i="7"/>
  <c r="J42" i="7"/>
  <c r="J35" i="7"/>
  <c r="G32" i="7"/>
  <c r="M30" i="7"/>
  <c r="N20" i="7"/>
  <c r="H19" i="7"/>
  <c r="J19" i="7"/>
  <c r="H8" i="7"/>
  <c r="M6" i="7"/>
  <c r="N4" i="7"/>
  <c r="L59" i="7"/>
  <c r="M59" i="7"/>
  <c r="H6" i="7"/>
  <c r="J6" i="7"/>
  <c r="G53" i="7"/>
  <c r="I53" i="7"/>
  <c r="H30" i="7"/>
  <c r="J30" i="7"/>
  <c r="I8" i="7"/>
  <c r="K8" i="7"/>
  <c r="L8" i="7"/>
  <c r="M8" i="7"/>
  <c r="E40" i="7"/>
  <c r="G40" i="7"/>
  <c r="J20" i="7"/>
  <c r="H54" i="7"/>
  <c r="J54" i="7"/>
  <c r="N74" i="7"/>
  <c r="K93" i="7"/>
  <c r="K80" i="7"/>
  <c r="M56" i="7"/>
  <c r="M95" i="7"/>
  <c r="L69" i="7"/>
  <c r="I59" i="7"/>
  <c r="N97" i="7"/>
  <c r="L82" i="7"/>
  <c r="J81" i="7"/>
  <c r="H80" i="7"/>
  <c r="N66" i="7"/>
  <c r="J65" i="7"/>
  <c r="L61" i="7"/>
  <c r="G59" i="7"/>
  <c r="G56" i="7"/>
  <c r="J53" i="7"/>
  <c r="J48" i="7"/>
  <c r="G101" i="7"/>
  <c r="M97" i="7"/>
  <c r="M90" i="7"/>
  <c r="K89" i="7"/>
  <c r="I88" i="7"/>
  <c r="M83" i="7"/>
  <c r="K82" i="7"/>
  <c r="I81" i="7"/>
  <c r="G80" i="7"/>
  <c r="N77" i="7"/>
  <c r="L76" i="7"/>
  <c r="H69" i="7"/>
  <c r="M66" i="7"/>
  <c r="K61" i="7"/>
  <c r="L57" i="7"/>
  <c r="M54" i="7"/>
  <c r="M43" i="7"/>
  <c r="G42" i="7"/>
  <c r="I42" i="7"/>
  <c r="K40" i="7"/>
  <c r="I35" i="7"/>
  <c r="K34" i="7"/>
  <c r="L34" i="7"/>
  <c r="M34" i="7"/>
  <c r="N34" i="7"/>
  <c r="L30" i="7"/>
  <c r="G29" i="7"/>
  <c r="I29" i="7"/>
  <c r="G22" i="7"/>
  <c r="I19" i="7"/>
  <c r="K19" i="7"/>
  <c r="G10" i="7"/>
  <c r="G8" i="7"/>
  <c r="M4" i="7"/>
  <c r="G17" i="7"/>
  <c r="I17" i="7"/>
  <c r="K45" i="7"/>
  <c r="L45" i="7"/>
  <c r="M45" i="7"/>
  <c r="G6" i="7"/>
  <c r="I6" i="7"/>
  <c r="K6" i="7"/>
  <c r="H43" i="7"/>
  <c r="J43" i="7"/>
  <c r="H66" i="7"/>
  <c r="J66" i="7"/>
  <c r="I20" i="7"/>
  <c r="K20" i="7"/>
  <c r="L20" i="7"/>
  <c r="N101" i="7"/>
  <c r="M87" i="7"/>
  <c r="N80" i="7"/>
  <c r="K70" i="7"/>
  <c r="N70" i="7"/>
  <c r="K59" i="7"/>
  <c r="N56" i="7"/>
  <c r="N53" i="7"/>
  <c r="L94" i="7"/>
  <c r="N75" i="7"/>
  <c r="L81" i="7"/>
  <c r="L65" i="7"/>
  <c r="K56" i="7"/>
  <c r="K95" i="7"/>
  <c r="I94" i="7"/>
  <c r="G93" i="7"/>
  <c r="N90" i="7"/>
  <c r="J88" i="7"/>
  <c r="I69" i="7"/>
  <c r="L97" i="7"/>
  <c r="G94" i="7"/>
  <c r="E93" i="7"/>
  <c r="E87" i="7"/>
  <c r="M77" i="7"/>
  <c r="I75" i="7"/>
  <c r="N73" i="7"/>
  <c r="E73" i="7"/>
  <c r="G69" i="7"/>
  <c r="I68" i="7"/>
  <c r="L68" i="7"/>
  <c r="L66" i="7"/>
  <c r="E59" i="7"/>
  <c r="I57" i="7"/>
  <c r="E56" i="7"/>
  <c r="L54" i="7"/>
  <c r="L47" i="7"/>
  <c r="M47" i="7"/>
  <c r="N47" i="7"/>
  <c r="L43" i="7"/>
  <c r="N41" i="7"/>
  <c r="N33" i="7"/>
  <c r="E32" i="7"/>
  <c r="K30" i="7"/>
  <c r="N28" i="7"/>
  <c r="K23" i="7"/>
  <c r="H20" i="7"/>
  <c r="N18" i="7"/>
  <c r="E17" i="7"/>
  <c r="L4" i="7"/>
  <c r="E49" i="7"/>
  <c r="E37" i="7"/>
  <c r="G27" i="7"/>
  <c r="E25" i="7"/>
  <c r="G15" i="7"/>
  <c r="E13" i="7"/>
  <c r="G3" i="7"/>
  <c r="N11" i="7"/>
  <c r="M11" i="7"/>
  <c r="H4" i="7" l="1"/>
  <c r="J4" i="7"/>
  <c r="H16" i="7"/>
  <c r="J16" i="7"/>
  <c r="H40" i="7"/>
  <c r="J40" i="7"/>
  <c r="H87" i="7"/>
  <c r="J87" i="7"/>
  <c r="J56" i="7"/>
  <c r="H56" i="7"/>
  <c r="H93" i="7"/>
  <c r="J93" i="7"/>
  <c r="J32" i="7"/>
  <c r="H32" i="7"/>
  <c r="J61" i="7"/>
  <c r="H61" i="7"/>
  <c r="J73" i="7"/>
  <c r="H73" i="7"/>
  <c r="J49" i="7"/>
  <c r="H49" i="7"/>
  <c r="H99" i="7"/>
  <c r="J99" i="7"/>
  <c r="J59" i="7"/>
  <c r="H59" i="7"/>
  <c r="H25" i="7"/>
  <c r="J25" i="7"/>
  <c r="H28" i="7"/>
  <c r="J28" i="7"/>
  <c r="H37" i="7"/>
  <c r="J37" i="7"/>
  <c r="H17" i="7"/>
  <c r="J17" i="7"/>
  <c r="H13" i="7"/>
  <c r="J13" i="7"/>
</calcChain>
</file>

<file path=xl/sharedStrings.xml><?xml version="1.0" encoding="utf-8"?>
<sst xmlns="http://schemas.openxmlformats.org/spreadsheetml/2006/main" count="1381" uniqueCount="203">
  <si>
    <t>Evaluator</t>
  </si>
  <si>
    <t>Question</t>
  </si>
  <si>
    <t>status</t>
  </si>
  <si>
    <t>answerability</t>
  </si>
  <si>
    <t>primary_kc_alignment</t>
  </si>
  <si>
    <t>secondary_kc_alignment</t>
  </si>
  <si>
    <t>topic_alignment</t>
  </si>
  <si>
    <t>grade_alignment</t>
  </si>
  <si>
    <t>real_world_feasibility</t>
  </si>
  <si>
    <t>synergy</t>
  </si>
  <si>
    <t>clarity</t>
  </si>
  <si>
    <t>conciseness_and_relevance</t>
  </si>
  <si>
    <t>language_quality</t>
  </si>
  <si>
    <t>content_appropriateness</t>
  </si>
  <si>
    <t>explanation</t>
  </si>
  <si>
    <t>response_time</t>
  </si>
  <si>
    <t>Question 1</t>
  </si>
  <si>
    <t>Question 2</t>
  </si>
  <si>
    <t>real_world_feasibility: The scenario presents a situation where Alvin intends to 'divide his time equally among as many songs as possible' but then instead spends 2/3 of his entire practice time on the first song, which contradicts the equal division stated earlier. In practical terms, if he is dividing time equally, he cannot then spend a disproportionate amount (2/3) on the first song; this creates an unrealistic or confusing expectation about what is really happening during the practice session.</t>
  </si>
  <si>
    <t>Question 3</t>
  </si>
  <si>
    <t>Question 4</t>
  </si>
  <si>
    <t>Question 5</t>
  </si>
  <si>
    <t>Question 6</t>
  </si>
  <si>
    <t>Question 7</t>
  </si>
  <si>
    <t>Question 8</t>
  </si>
  <si>
    <t>Question 9</t>
  </si>
  <si>
    <t>Question 10</t>
  </si>
  <si>
    <t>Question 11</t>
  </si>
  <si>
    <t>Primary Knowledge Component Alignment: While the problem does require subtraction of mixed numbers in part (b), finding out how much further Sarah needs to cycle, the first question (adding the two mixed numbers) is the more central and necessary step. The primary operation the student must perform is addition of mixed numbers (question a), while the subtraction is a dependent and simpler follow-up using the combined distance. Therefore, addition is far more central, and making subtraction the primary KC is not justified by the structure of the questions.</t>
  </si>
  <si>
    <t>Question 12</t>
  </si>
  <si>
    <t>Question 13</t>
  </si>
  <si>
    <t>Question 14</t>
  </si>
  <si>
    <t>Secondary KC Alignment (0): The problem requires division (70 divided by 250) then multiplying by 100, which is more about division and percentage rather than multiplication of whole numbers as a standalone operation. Synergy (0): The multiplication knowledge (as a secondary KC) is not needed in tandem with the concept of expressing part of a whole as a percentage in a way that deepens or connects the two concepts; the main operation is division for finding the fraction, then multiplication by 100 is standard in percentage calculation but doesn't elevate multiplication to a significant secondary component role.</t>
  </si>
  <si>
    <t>Question 15</t>
  </si>
  <si>
    <t>Primary KC Alignment: The intended primary knowledge component is 'multiplying decimals (up to 3 decimal places) by 10, 100, 1000 and their multiples.' However, in this problem, the multiplication required is 3.275 × 20, where 20 is not a multiple of 10, 100 or 1000. Instead, the multiplication is a whole number with a decimal by a number that is not a power of ten or their multiples, so this does not fully align with the specified KC.</t>
  </si>
  <si>
    <t>Question 16</t>
  </si>
  <si>
    <t>Question 17</t>
  </si>
  <si>
    <t>Question 18</t>
  </si>
  <si>
    <t>Secondary Knowledge Component: The secondary KC is subtracting fractions, but the actual process involves finding a fraction of a whole number (fraction of bookmarks) and then a whole number subtraction, not a pure fraction-fraction subtraction. Topic Alignment: 'Making bookmarks' is a craft or practical activity, but it is not strictly a recreation from the listed examples (sports, games, music, etc.). Thus, the intended topic alignment is not fully satisfied.</t>
  </si>
  <si>
    <t>Question 19</t>
  </si>
  <si>
    <t>Question 20</t>
  </si>
  <si>
    <t>Question 21</t>
  </si>
  <si>
    <t>Question 22</t>
  </si>
  <si>
    <t>Question 23</t>
  </si>
  <si>
    <t>Primary KC alignment: The first question (a) requires subtracting 6.43 from 7.85, which fits 'subtracting decimals up to 2 decimal places.' However, the third round score is 7.802 (3 d.p.), but the subtraction isn't needed with that, so the problem doesn't require harder KC for subtraction in Q(a), thus borderline. However, the inclusion of a 3 d.p. decimal in the scores may confuse students not expected to handle subtraction with more than 2 d.p. even if not strictly required for Q(a).Grade alignment: Comparing and ordering decimals up to 3 decimal places is slightly above the expected Primary 4 knowledge based on the Singapore syllabus, which covers mostly up to 2 decimal places at this level. The presence of a 3 decimal-place value for arranging (Q(b)) would be more suitable for Primary 5. Hence, grade alignment is not fully met.</t>
  </si>
  <si>
    <t>Question 24</t>
  </si>
  <si>
    <t>Question 25</t>
  </si>
  <si>
    <t>Question 26</t>
  </si>
  <si>
    <t>Question 27</t>
  </si>
  <si>
    <t>Question 28</t>
  </si>
  <si>
    <t>Question 29</t>
  </si>
  <si>
    <t>answerability: The stem states Elaine spent a total of 1 hour, but the sum of the given fractions (5/6 + 1/4 = 11/12) is less than 1 hour, which is a contradiction. synergy: The answer to part (a) is not strictly needed to answer part (b); they can be solved independently. conciseness_and_relevance: The statement 'She spent a total of 1 hour doing these activities.' is not necessary and introduces conflicting information.</t>
  </si>
  <si>
    <t>Question 30</t>
  </si>
  <si>
    <t>Question 31</t>
  </si>
  <si>
    <t>Question 32</t>
  </si>
  <si>
    <t>Question 33</t>
  </si>
  <si>
    <t>Question 34</t>
  </si>
  <si>
    <t>Question 35</t>
  </si>
  <si>
    <t>Question 36</t>
  </si>
  <si>
    <t>Question 37</t>
  </si>
  <si>
    <t>Question 38</t>
  </si>
  <si>
    <t>Question 39</t>
  </si>
  <si>
    <t>Question 40</t>
  </si>
  <si>
    <t>Question 41</t>
  </si>
  <si>
    <t>Question 42</t>
  </si>
  <si>
    <t>Question 43</t>
  </si>
  <si>
    <t>Question 44</t>
  </si>
  <si>
    <t>Question 45</t>
  </si>
  <si>
    <t>Question 46</t>
  </si>
  <si>
    <t>Primary KC Alignment: The intended primary KC specifies multiplying decimals (up to 3 decimal places) by 10, 100, 1000 and their multiples. However, the main computation required in (a) is multiplying 0.125 by 100, and while this is a multiple of 10, 100, 1000, the prime pedagogical focus of problems designed for this KC should usually highlight the place-value shift (i.e., 0.125 × 100 = 12.5 because you shift the decimal two places), not just general multiplication of decimals by other numbers. Here the context is more naturally about multiplying by a whole number, and doesn't really draw attention to place value shifts as the focus. Therefore, it's judged as not fully aligned.</t>
  </si>
  <si>
    <t>Question 47</t>
  </si>
  <si>
    <t>Question 48</t>
  </si>
  <si>
    <t>Question 49</t>
  </si>
  <si>
    <t>Question 50</t>
  </si>
  <si>
    <t>Question 51</t>
  </si>
  <si>
    <t>Question 52</t>
  </si>
  <si>
    <t>Question 53</t>
  </si>
  <si>
    <t>Question 54</t>
  </si>
  <si>
    <t>real_world_feasibility: The number of times each song is played in one week is arbitrarily represented as 2^n, without a logical connection to the actual context (the specified routine of each friend listening to two full rounds daily is never used in the calculation or explanation, making the scenario unrealistic and mathematically disconnected from the context). | conciseness_and_relevance: The mention of "each friend wants to listen to the playlist through 2 full rounds each day" is never factored into the questions, making this information irrelevant to the solution and the focus on indices.</t>
  </si>
  <si>
    <t>Question 55</t>
  </si>
  <si>
    <t>F: The problem uses non-integer scoring (e.g., 8.75, 9.60) in bowling, where in real bowling, scores are always whole numbers, making such decimals not plausible in the context of actual bowling.</t>
  </si>
  <si>
    <t>Question 56</t>
  </si>
  <si>
    <t>Question 57</t>
  </si>
  <si>
    <t>Question 58</t>
  </si>
  <si>
    <t>Question 59</t>
  </si>
  <si>
    <t>Primary KC Alignment: The problem requires finding what fraction of the set Alicia has after giving away stickers, but the needed calculation is actually multiplication (finding 1/4 of 7/12 and subtracting this from 7/12), not subtraction of two unrelated fractions as intended. It requires understanding fractions of fractions, which includes multiplication before subtracting. Synergy: The primary and secondary KCs are not in ideal synergy; the main mathematical demand is multiplying fractions (fraction of a set), not just simple subtraction, even though simplification is required at the end.</t>
  </si>
  <si>
    <t>Question 60</t>
  </si>
  <si>
    <t>Question 61</t>
  </si>
  <si>
    <t>Question 62</t>
  </si>
  <si>
    <t>Question 63</t>
  </si>
  <si>
    <t>Grade Alignment: The numbers involved (78.35 and 56.45) lead to a total of 134.8, or 134.80, which as a fraction is 13480/100. Simplifying large decimal values as fractions (not just tenths or hundredths, but in this magnitude) is not typical of Primary 4, where fraction simplification generally covers more basic values (e.g., below 1 as in 0.25 or 0.75), and whole numbers with simple fractional parts. This may exceed the arithmetic complexity and simplification expectations for the stated grade. Real World Feasibility: Bowling scores are always integers in real life; there is no possibility of scoring 78.35 points in a game of bowling. The context is thus not realistic.</t>
  </si>
  <si>
    <t>Question 64</t>
  </si>
  <si>
    <t>Question 65</t>
  </si>
  <si>
    <t>Real-world feasibility (0): In real-world audio engineering and human perception, volume in decibels does not increase as a simple exponential function of track number, nor can volume for one song be 'half as loud' simply by halving the decibel value or using a direct arithmetic operation on decibels, as decibels are already a logarithmic measure of loudness. The scenario described does not reflect actual practice in music or sound engineering.</t>
  </si>
  <si>
    <t>Question 66</t>
  </si>
  <si>
    <t>Secondary KC alignment (0): The problem does not require any conversion between larger and smaller decimal units; both quantities are given in litres, and the division is straightforward. Synergy (0): Since there is no unit conversion or connection between sub-tasks, the primary and secondary knowledge components are not used in tandem.</t>
  </si>
  <si>
    <t>Question 67</t>
  </si>
  <si>
    <t>Question 68</t>
  </si>
  <si>
    <t>Question 69</t>
  </si>
  <si>
    <t>Question 70</t>
  </si>
  <si>
    <t>Question 71</t>
  </si>
  <si>
    <t>Question 72</t>
  </si>
  <si>
    <t>Question 73</t>
  </si>
  <si>
    <t>Question 74</t>
  </si>
  <si>
    <t>Question 75</t>
  </si>
  <si>
    <t>Question 76</t>
  </si>
  <si>
    <t>Question 77</t>
  </si>
  <si>
    <t>Question 78</t>
  </si>
  <si>
    <t>Question 79</t>
  </si>
  <si>
    <t>Question 80</t>
  </si>
  <si>
    <t>Secondary KC (subtracting fractions) is not required since both parts (a) and (b) only require adding fractions and forming a ratio, not subtracting. For synergy, while the two parts are about the same context, the answer from part (a) is not needed for part (b); the two parts can be solved independently and do not use each other's results.</t>
  </si>
  <si>
    <t>Question 81</t>
  </si>
  <si>
    <t>Question 82</t>
  </si>
  <si>
    <t>Question 83</t>
  </si>
  <si>
    <t>Question 84</t>
  </si>
  <si>
    <t>Question 85</t>
  </si>
  <si>
    <t>Question 86</t>
  </si>
  <si>
    <t>Question 87</t>
  </si>
  <si>
    <t>Question 88</t>
  </si>
  <si>
    <t>Question 89</t>
  </si>
  <si>
    <t>Question 90</t>
  </si>
  <si>
    <t>Question 91</t>
  </si>
  <si>
    <t>Question 92</t>
  </si>
  <si>
    <t>Question 93</t>
  </si>
  <si>
    <t>Question 94</t>
  </si>
  <si>
    <t>Question 95</t>
  </si>
  <si>
    <t>Question 96</t>
  </si>
  <si>
    <t>Question 97</t>
  </si>
  <si>
    <t>Question 98</t>
  </si>
  <si>
    <t>Primary KC: The problem does NOT require multiplying a scalar and a matrix as part (a) is matrix-matrix multiplication (A * B), and part (b) is scalar-matrix multiplication (doubling every entry after part (a)); however, the primary KC is chosen as scalar multiplication which only appears as a calculation step and not as the main challenge—the core requirement is matrix multiplication for part (a) (which is secondary KC here, not primary). The main difficulty and focus is matrix-matrix multiplication.</t>
  </si>
  <si>
    <t>Question 99</t>
  </si>
  <si>
    <t>Question 100</t>
  </si>
  <si>
    <t>answerability: The problem is ambiguous: it states 56 students participated in singing, 38 in dancing, and 'a certain number participated only in both,' which is illogical; it is unclear how many participated in both, and 'only in both' is not a correct grouping for this context. primary_kc_alignment: The solution requires clarifying participation numbers first, not just comparing given numbers for a ratio. The information is conflicting, and primary KC's focus (finding ratio of clear totals) cannot be executed. secondary_kc_alignment: Subtraction cannot be straightforwardly used because the information on overlap is unclear or contradictory. synergy: Since the primary and secondary KCs cannot be exercised due to the flawed premise, synergy is not present. clarity: The statement 'a certain number participated only in both' is unclear and confusing. conciseness_and_relevance: The information given is conflicting and leads to ambiguity rather than solving the problem using the numbers provided.</t>
  </si>
  <si>
    <t>Primary KC (subtracting mixed numbers) is not central to solving part (a), which is addition of mixed numbers. Although part (b) requires subtraction, it is secondary and uses the result from part (a), making addition (secondary KC) the primary skill in the problem.</t>
  </si>
  <si>
    <t>primary_kc_alignment: The primary knowledge component is expressing a part of a whole as a percentage. In this problem, only part (b) requires calculating percentage, and it is a straightforward application rather than emphasizing percentage representation as the main focus of the problem. The main calculation required is addition in part (a), making addition appear as the main knowledge component. synergy: The two questions are sequential, but calculating the percentage in (b) uses the answer from (a) as a whole, not integrating both components in a truly synergistic way. The percentage part does not add complexity depending on the addition process, so there is no strong synergy.</t>
  </si>
  <si>
    <t>Secondary KC: The question only requires division (70 divided by 250) and then expressing as a percentage (by multiplying by 100), which is technically part of the percentage KC. It does not involve explicit multiplication of whole numbers as a second step for problem-solving outside the percentage context, so the secondary KC targeted (whole number multiplication) is not fully required as an independent step.[FORMULA]: The two KCs do not interact as distinct steps. Multiplication by 100 is universally part of converting fractions to percentages, rather than a conceptual multiplication step with whole numbers needed for another reason.</t>
  </si>
  <si>
    <t>Primary KC Alignment: The problem only requires multiplying a decimal (3.275) by a whole number (20). It does not specifically require multiplying decimals by 10, 100, 1000, or their multiples, as stated in the intended Primary Knowledge Component. The multiplication here does not align with the intended KC focus.</t>
  </si>
  <si>
    <t>topic_alignment: The problem context is about making bookmarks with ribbon, which is more aligned with crafts or everyday activities, and does not directly fit under 'Recreation' as defined by sports, games, music, movie, dancing, painting, fishing, and other such recreational activities.</t>
  </si>
  <si>
    <t>Primary KC Alignment: Part (a) asks for subtraction of decimals, but the third round score (7.802) has three decimal places, while the intended KC is subtraction up to 2 decimal places. The word problem thus requires knowledge of subtracting decimals beyond 2 decimal places if the students attempt to compare or incorporate the third round. Grade Alignment: Primary 4 syllabus typically restricts students to operations with decimals up to 2 decimal places. The inclusion of 7.802 in part (b) is slightly above the intended grade level.</t>
  </si>
  <si>
    <t>answerability: The problem gives the total time Elaine spent as 1 hour, but separately states painting and piano as 5/6 and 1/4 hours, whose sum (5/6 + 1/4 = 10/12 + 3/12 = 13/12 = 1 1/12 hrs) exceeds 1 hour contradicting the 'total of 1 hour' statement. The information is conflicting and not answerable.primary_kc_alignment: The intended primary KC is subtracting unlike fractions, but only part (b) needs subtraction (5/6 - 1/4), and since the given numbers for time sum to more than 1, the subtraction does not match a plausible context. The faulty data means this KC is not aligned as intended.synergy: There is no required use of the answer from (a) in (b); each can be done independently. Also, the contradiction in time data hinders meaningful synergy between the problems.conciseness_and_relevance: The statement 'She spent a total of 1 hour doing these activities.' is unnecessary and conflicts with the sum of the provided times, creating confusion and irrelevance in the data.</t>
  </si>
  <si>
    <t>G: Although the scenario models a standard math situation of inverse proportion, in reality the time taken by a group to learn choreography rarely decreases perfectly inversely with group size. Coordination, teaching limits, and diminishing returns often mean that doubling the group does not halve the learning time. However, for math problem contexts, this is commonly accepted, but it is not truly realistic.</t>
  </si>
  <si>
    <t>Primary KC misalignment: The expected KC is multiplying decimals by 10, 100, 1000, and their multiples. The calculation here is 0.125 × 100. While this does involve a decimal and multiplication by 100, 0.125 is not an integer, and the intent of the KC for this level is typically for students to multiply a whole number or simple decimal (e.g., 0.4 × 100), not a number with three decimal places unless specified as such in the intended curriculum. If the curriculum explicitly includes this (three decimal places × multiples of 10), then this would align; otherwise, the typical scope may be exceeded.</t>
  </si>
  <si>
    <t>answerability: The problem does not provide enough contextual information to justify why the number of plays for each song can be represented by $2^n$ in a week—there is no connection to the real playlist context and detailed calculation (the statement is arbitrary and disconnected from the beginning scenario). Without knowing how the $2^n$ arises from the described routine (2 full rounds/day, 3 songs, 7 days), students cannot logically fill in real-world numbers to check or understand the logic. real_world_feasibility: The number of plays per song following $2^n$ "where $n &gt; 1$" does not directly connect to the described scenario (2 full rounds per day, 3 songs, 7 days). This makes the story's setup and mathematical setup inconsistent with typical patterns of playlist play counts and does not reflect a realistic recreational activity. conciseness_and_relevance: The opening narration about playing a playlist does not directly lead to how $2^n$ is an appropriate model for song plays; thus, there is extraneous confusion and lack of explicit connection to the calculations needed.</t>
  </si>
  <si>
    <t>real_world_feasibility: The scenario is mathematically valid but lacks real-world plausibility. Decibel levels in actual audio engineering are not set according to $V = 2^n$ per song, nor is halving a decibel value equivalent to halving the perceived loudness; decibels work on a logarithmic scale, not a linear one. Therefore, the context is unrealistic when applied to music playback.</t>
  </si>
  <si>
    <t>Secondary KC alignment: The problem does not require conversion to a smaller unit (e.g., from litres to millilitres); all calculations are done using litres in decimal form. Synergy: Only the primary KC is needed to solve the word problem. The secondary KC is not required, so they are not used together.</t>
  </si>
  <si>
    <t>Synergy (0): The two questions are not truly synergistic. The subtraction in part (b) (remaining children) could have built on the number of rows or the result of the division, but it only takes the total number of children at the concert and subtracts 253, not considering how seating is affected. There's no explicit connection where the result of part (a) is needed for part (b): the second part could be answered from the original total alone.</t>
  </si>
  <si>
    <t>primary_kc_alignment: The main question (a) only requires addition of fractions, which is not about ratios at all. Only the secondary question (b) asks about ratios, but the main problem does not truly require understanding or manipulation beyond representing the ratio between two given fractions (simple, and can be seen as one-off, not as the central problem-solving step).secondary_kc_alignment: There is no requirement to subtract fractions anywhere in the problem. Both questions use either addition or forming a ratio, so intended secondary KC is not needed at all.synergy: The two parts are independent. Part (b) (the ratio question) does not use the result of part (a), and no step in (a) is needed for (b). The knowledge components are not used in tandem.</t>
  </si>
  <si>
    <t>G. The use of negative indices in the actual scoring formula is unrealistic for a sports tournament; real tournaments would not use negative exponents in score calculation. Instead, penalty laps usually add time or deduct points directly, not as a power in a mathematical formula. The rest of the problem is well-aligned and clearly posed.</t>
  </si>
  <si>
    <t>answerability: The wording 'a certain number of students participated only in both' is logically contradictory and unclear; 'only in both' does not make sense. It is unclear how to interpret the participants—do the 56/38 include overlaps? This makes the problem unsolvable as stated. primary_kc_alignment: Due to the ambiguity, the required ratio cannot reliably be formed—it's not possible to find the ratio from the given data. secondary_kc_alignment: Subtraction may not even be possible with such unclear participant distributions. real_world_feasibility: 'Only in both' is a non-standard and unrealistic categorization in this context; it muddles how students participated. synergy: Since the problem cannot be solved reasonably, you cannot use the KC in tandem. clarity: The phrase 'only in both' is self-contradictory and highly confusing. conciseness_and_relevance: The information about 'only in both' is misleading and creates unnecessary complexity, while not being useful for the genuine solution.</t>
  </si>
  <si>
    <t>Primary KC Alignment (0): The main operation required first is addition of mixed numbers to find the total distance cycled before and after the break. To answer part (b), subtraction of mixed numbers is used, but it is secondary since the student must first add in (a). The question more centrally assesses addition of mixed numbers (secondary KC) rather than subtraction (primary KC), so it does not fully satisfy the intended hierarchy.</t>
  </si>
  <si>
    <t>The primary knowledge component is percentage, with the focus on 'expressing a part of a whole as a percentage.' In this problem, students are asked to find the percentage of swimming participants out of the total, which appears to match. However, the application does not fully align with the Singapore syllabus's expectation for Primary 5, which typically requires a deeper or less scaffolded engagement with percentages—such as finding percentage given a part and a whole, solving for unknowns or interpreting practical situations. Here, the first part gives away the total, and the second part is a direct calculation. Furthermore, the knowledge component used for answering (b) is somewhat basic and doesn't require significant understanding of percentages beyond plugging numbers into a formula, which can be addressed as a calculation routine. Therefore, partial alignment, but not full as intended.</t>
  </si>
  <si>
    <t>Secondary KC: The calculation to find percentage is (70/250)*100, which involves division and multiplication with 100, but 'multiplying whole numbers' as a secondary KC is not specifically required or highlighted in this problem, as P5 students already commonly multiply by 100 as part of percentage concept. Synergy: The multiplication skill (secondary KC) does not add a layer of complexity independently or in tandem—the entire calculation is integral to finding the percentage. If there were a step where students must multiply numbers first before plugging the result into a percentage calculation, synergy would be stronger.</t>
  </si>
  <si>
    <t>Primary KC Alignment: The intended primary knowledge component is multiplying decimals (up to 3 decimal places) by 10, 100, 1000, and their multiples. The problem instead requires multiplying 3.275 by 20, which is NOT a multiplication by 10, 100, 1000, or multiples thereof, but rather a general multiplication of a decimal by a whole number. This does not precisely match the letter of the intended knowledge component.</t>
  </si>
  <si>
    <t>Secondary Knowledge Component: In (b), the solution requires finding how many bookmarks Lina gave away by multiplying a fraction by a whole number (fraction of a quantity), and then subtracting that from the total. The explicit act of subtracting fractions (e.g., 6 - 4/5) does not appear; instead, the fractional value is subtracted as a whole number quantity. Therefore, the secondary KC is not directly needed. Topic Alignment: The intended topic is 'Recreation such as sports, games, exercises, music, movie, dancing, painting, fishing and other recreation activities.' Making bookmarks with ribbon, while a craft, does not explicitly match these specified recreational activities.</t>
  </si>
  <si>
    <t>Primary KC alignment: The subtraction in part (a) involves 7.85 - 6.43, which both have up to 2 decimal places and is good, but in part (b), students also need to compare 7.802, which has 3 decimal places, which exceeds the intended primary K.C. of comparing up to 2 decimal places only. Grade alignment: Comparing and ordering decimals to 3 decimal places is not typically required at Primary 4 according to the Singapore syllabus. Synergy: The two parts (a) and (b) are independent; the answer from (a) is not needed to solve (b), so there is no synergy between questions.</t>
  </si>
  <si>
    <t>answerability: The sum of the times is 5/6 + 1/4, which is more than 1 hour (5/6 + 1/4 = 10/12 + 3/12 = 13/12 &gt; 1), but the problem states Elaine spent a total of 1 hour, creating a conflict and making it unanswerable. primary_kc_alignment: Although subtraction of unlike fractions is intended for (b), the problem's focus is clouded because the sum (a) involves addition, and (b) requires subtraction, but the conflicting information about the total time makes it invalid. synergy: Parts (a) and (b) are not connected as the result of (a) is not used in (b), and no meaningful tandem use of both KCs is required. conciseness_and_relevance: The statement 'She spent a total of 1 hour doing these activities' is false based on the numbers given and introduces confusion, making the information not relevant or consistent.</t>
  </si>
  <si>
    <t>Primary KC Alignment: The intended primary knowledge component is multiplying decimals (up to 3 decimal places) by 10, 100, 1000, and their multiples. The question requires multiplying 0.125 (a decimal to 3 places) by 100, but 100 is not a multiple of 10, 100, or 1000 in the sense referred to by the Singapore math curriculum (which typically refers to problems like 0.125 × 10, 0.125 × 100, 0.125 × 1000). The multiplication required is 0.125 × 100, which fits if 100 is considered an allowed case, but the phrasing of the knowledge component usually focuses on multiplying whole numbers or by factors of 10, 100, or 1000, not multiplication by arbitrary 2- or 3-digit numbers (like 37, 999, etc.). If strictness is applied and only multiplying decimals by 10, 100, or 1000 (not arbitrary multiples) is covered, this problem does not align.Grade Alignment: Singapore Primary 5 curriculum on decimals typically includes multiplying decimals by 10, 100, or 1000—not by arbitrary numbers or multiples (such as 100 laps). If the curriculum intended only for direct multiplication by factors of 10/100/1000 (not all multiples), then the word problem is slightly beyond Primary 5 expectations as written.</t>
  </si>
  <si>
    <t>answerability: (a) The problem does not provide enough realistic information to establish how $2^n$ relates to the described daily rounds—there's a disconnect between the description of '2 full rounds each day' and the expression $2^n$ for the week, with no explanation mapping one concept to the other. real_world_feasibility: The relationship between listening practice (2 rounds a day for each friend) and 'number of times played per week is $2^n$' is artificial and not how playlists or rounds are actually counted in a real-world scenario.conciseness_and_relevance: The description of 'each friend wants to listen to the playlist through 2 full rounds each day' is made irrelevant by the fact that the question only asks about each song being played $2^n$ times for the week, but doesn't connect the daily rounds or number of friends to the calculation. That information is unused/unnecessary for solving the problem.</t>
  </si>
  <si>
    <t>7. Real-world feasibility: In standard bowling, points are not scored in decimal values such as 8.75 or 9.60, and total scores like 17.00 or 21.50 are not possible. Bowling scores are always whole numbers, so the context is unrealistic.</t>
  </si>
  <si>
    <t>Primary KC Alignment: The primary named KC is 'subtracting two related fractions within one whole,' but the actual process required here is multiplying the fraction collected by another fraction (Alicia gives away 1/4 of what she has), not subtracting two related fractions within one whole—the question is about fractional part remaining after removing a fraction OF a fraction, which is multiplication and then subtraction from the original, not subtraction between fractions directly as stated by the KC. Synergy: The subtraction and simplification are not directly working in tandem per the intended KC structure—solving the problem primarily involves multiplication and then possibly subtraction from the whole, but not the interplay the prompt intends between related fractions within one whole.</t>
  </si>
  <si>
    <t>Secondary Knowledge Component (Decimals | Conversion to smaller units) is not required here because all given units are already in litres and no conversion between units is necessary. Synergy is not present because only the Primary Knowledge Component (finding number of units given rate and total amount) is used to solve the problem; the Secondary Knowledge Component is not needed.</t>
  </si>
  <si>
    <t>Primary KC Alignment: The primary knowledge component is 'ratios involving fractions', but the order of the questions means the student must first add fractions (not part of the given secondary KC) and then find a ratio (part (b)). While a ratio of fractions is present, the problem emphasizes basic ratio calculation more, not deep representation/concept of ratios with fractions as the central challenge. Furthermore, the addition of fractions (in (a)) does not lead directly into the ratio in (b) — the two parts can be treated independently.</t>
  </si>
  <si>
    <t>g: The use of a score calculated as $S = 3^a [FORMULA] 3^{-b}$ in a real swimming tournament is highly unrealistic. Typically, sports scoring systems do not involve exponentiation of lap counts, nor especially negative exponents and such mathematical formulas for participant scores; thus, it lacks real-world plausibility.</t>
  </si>
  <si>
    <t>Primary KC alignment = 0: The intended primary knowledge component is 'product of a scalar quantity and a matrix.' However, the main operation central to part (a) is matrix multiplication (matrix by matrix, not scalar by matrix). The scalar multiplication comes only in part (b) as a secondary step, after the critical step of matrix multiplication. Thus, the primary KC engaged here is matrix-by-matrix multiplication.</t>
  </si>
  <si>
    <t>answerability: The problem gives conflicting and potentially ambiguous information. It says 56 participated in singing, 38 in dancing, then refers to 'a certain number who participated only in both', which is nonsensical because a person cannot participate only in both; 'only in' both is self-contradictory. Moreover, the statement 'there are 20 more students who sang than those who danced' conflicts with the given counts.primary_kc_alignment: The main question asks for a ratio, but since the numbers are contradictory or ill-defined, students can’t reach a valid ratio.secondary_kc_alignment: Subtraction isn’t properly or necessarily required since the information is inconsistent and the operation is ill-defined due to ambiguous grouping.real_world_feasibility: The scenario described isn’t possible—no one can participate 'only in both'. The counts conflict, so the situation couldn't happen in reality.synergy: There’s no true synergy between the subtraction and ratio because the necessary information isn’t logically connected or clear.clarity: The phrasing is ambiguous and illogical, especially 'participated only in both'.conciseness_and_relevance: The question introduces an unnecessary and confusing phrase ('only in both') that detracts from the main point and confuses the scenario.language_quality: Use of the phrase 'participated only in both' is grammatically and logically incorrect.</t>
  </si>
  <si>
    <t>Primary KC alignment is rated 0 because the main calculation in (a) is adding mixed numbers (adding fractions), and in (b) the student needs to subtract a mixed number from another mixed number (8 1/2 - the total found in (a)). While subtraction of mixed numbers is used in (b), the main and first operation in the problem is addition of mixed numbers, which would be considered the primary KC, not subtraction.</t>
  </si>
  <si>
    <t>Secondary Knowledge Component (Multiplying whole numbers) is not explicitly needed because finding the percentage involves dividing 70 by 250 and multiplying by 100, but the multiplication involved (by 100) is not the focus and does not add meaningful complexity as secondary KC here.[FORMULA]: The secondary KC does not work in tandem with the primary; only expressing as percentage is needed, and multiplication step is routine within percentage calculation, not as a genuine separate skill required.</t>
  </si>
  <si>
    <t>Primary KC: The problem requires multiplying a decimal (3.275) by a whole number (20), which is standard multiplication, but the Primary KC specifies 'multiplying decimals (up to 3 decimal places) by 10, 100, 1000 and their multiples.' Here, 20 is not a power of ten or its straightforward multiple used in such contexts.[FORMULA]: The primary and secondary KCs do not work strictly in tandem; while rounding (secondary) is only used after a regular decimal x whole number multiplication (not the intended Primary KC), so both are not needed together to generate the answer for any single part.</t>
  </si>
  <si>
    <t>Secondary KC alignment: The intended secondary knowledge component is 'subtracting fractions', but part (b) requires subtracting a whole number from a whole number, not fractions.Topic alignment: Making bookmarks is not directly aligned with 'recreation' as defined by activities like sports, games, music, dancing, painting, fishing, and other similar activities.</t>
  </si>
  <si>
    <t>primary_kc_alignment: The subtraction between $7.85$ (2 d.p.) and $6.43$ (2 d.p.) matches the primary KC, but the inclusion of $7.802$ (3 d.p.) in the data causes the problem to contain numbers outside of the intended difficulty, as Primary 4 focuses on up to 2 decimal places only. grade_alignment: The third round score ($7.802$) requires handling decimals to 3 decimal places, which is beyond the intended Primary 4 level for both subtraction and comparison.</t>
  </si>
  <si>
    <t>G: It is highly unrealistic for a game of badminton to last [FORMULA] (2[FORMULA]) hours and for a group to complete exactly [FORMULA] (2[FORMULA]) games. In typical real-world recreation, games have standard durations (commonly under 1 hour). People do not count games in halves quite this way, nor does a single game last so long. This makes the scenario implausible as described.</t>
  </si>
  <si>
    <t>answerability: (a) asks for the sum of the times, but the next sentence already contradicts this by declaring the total as '1 hour,' which is not the sum of 5/6 + 1/4 (which equals 13/12). The facts in the problem are inconsistent. primary_kc_alignment: The subtraction of 5/6 - 1/4 is never explicitly required for the answer to (a), and for (b), the main KC is subtraction, but because the premise is inconsistent, its application is meaningless. synergy: Since the explicit total given (1 hour) contradicts the operation needed for (a), the questions do not build coherently on one another; (a) cannot logically feed into (b) due to contradiction. real_world_feasibility: The premise includes spending 5/6 hour on one activity and 1/4 hour on another in one afternoon, but claims the sum is 1 hour, which is not true or realistic; it makes the scenario impossible.</t>
  </si>
  <si>
    <t>The two parts (a) and (b) are not directly interconnected: part (b) does not require the answer from part (a) but is solved independently using the information about the last day only. For full synergy, ideally, information or results from (a) would be needed in (b).</t>
  </si>
  <si>
    <t>Primary KC rating is 0: The stated Primary KC is multiplying decimals (up to 3 decimal places) by 10, 100, 1000 and their multiples, but the problem actually requires multiplying a decimal (0.125) by 100, which does fit (since 100 is a multiple of 10). However, the expectation at Primary 5 is that this multiplication would involve recognizing the decimal movement, but the context feels more like general multiplication of decimals, not specifically the place-value movement emphasis (e.g., multiplying by 10, 100, 1000 as shifts). It's a borderline case but does not strongly focus on the skill of moving decimal places. The multiplication is straight computation of 0.125 × 100, not an application where understanding base-10 scaling is crucial.</t>
  </si>
  <si>
    <t>Real-world feasibility: The scenario assigns the number of times each song is played in a week to $2^n$, where $n$ is arbitrary and detached from the described process (playlist of 3 songs repeated 2 times per day per friend). Instead of connecting the daily activities to the value of $n$, the problem introduces $2^n$ as the weekly play count per song, which does not clearly follow from the described context. In reality, the number of times a song is played in a week would be calculated based on the number of friends, playlist repetitions, days, and songs, not set by an unrelated exponent. Thus, the scenario is not realistic.</t>
  </si>
  <si>
    <t>synergy: To solve the final question (how many more points Sarah needs), it is enough to subtract 17.00 from 21.50. The information about 8.75 and 9.60 and their sum matching 17.00 does not need to be used for subsequent calculations, and thus the primary and secondary KCs are not used in tandem to solve, nor is there an explicit multi-step synergy.</t>
  </si>
  <si>
    <t>Primary Knowledge Component: The operation required involves finding 'fraction of stickers left' after giving a fraction of collected stickers away, which is solved by multiplying 7/12 × (1 - 1/4), or 7/12 × 3/4, not through a simple subtraction of two related fractions with denominators not exceeding 12. The structure does not align with 'subtracting two related fractions within one whole.' Grade Alignment: The solution requires multiplying two fractions, but Primary 3 Singapore syllabus usually restricts to operations of addition/subtraction of related fractions with like/unlike denominators, not multiplication of two proper fractions. Synergy: The operation for the fraction left after giving away is only solved through multiplying and then simplifying, not using both intended KCs (subtraction and simplification) in tandem as per the criteria.</t>
  </si>
  <si>
    <t>G: In real-world bowling, scores are whole numbers (integers) and not decimals with two decimal places (e.g., 78 or 156, but not 78.35). Using scores like 78.35 and 56.45 is not realistic or plausible for an actual bowling event.</t>
  </si>
  <si>
    <t>Real-world feasibility: In real life, the loudness in decibels does not scale directly as an exponential function in the form V = 2^n (since decibels are a logarithmic measure, not linear or simple exponential). Setting a rule for volume this way is mathematically interesting, but not realistic regarding how actual audio volumes operate and how playlist volumes would be adjusted.</t>
  </si>
  <si>
    <t>Secondary KC (Conversion to smaller units) is not required, as the entire word problem is solved using litres without converting to a smaller unit (e.g., millilitres). Synergy is rated 0 because only the primary KC is needed for solving the problem; the secondary KC is not engaged at all.</t>
  </si>
  <si>
    <t>Primary KC misalignment: The subtraction component intended is 'subtracting two related fractions within one whole'. In this problem, subtracting the total painting time (which can exceed 1 hour) from the workshop duration (1 hour) may not result in a situation where the fractions are always 'related within one whole.' Here, $[FORMULA] + [FORMULA] = [FORMULA]$, so subtraction works here ($1 - [FORMULA]$), but this is borderline because the main effort is first doing addition, then subtracting from 1. The focus feels more on adding fractions than specifically using fraction subtraction as the main or hardest step. The word problem does not require subtracting two related fractions; instead, it is subtracting a sum of two fractions from a whole. The most complex step is the addition (finding common denominators), not the subtraction. Therefore, the primary KC is not aligned.</t>
  </si>
  <si>
    <t>Primary KC alignment: The central focus of part (a) is adding fractions, not forming or representing ratios (the intended primary KC), and only part (b) touches on ratios. The main process required is working with fractions, with ratios being secondary. Secondary KC alignment: The problem does not require subtracting fractions at any point; both required operations are addition (for the total) and forming a ratio (for part (b)). Synergy: The two parts are somewhat independent. The outcome of (a) is not used for (b) and the skills are not employed in tandem. Each part is solved separately; there is no chaining or synergy between required KCs.</t>
  </si>
  <si>
    <t>Primary KC Alignment: The intended primary KC is 'product of a scalar quantity and a matrix' (scalar multiplication), but part (a) of the problem requires the multiplication of two matrices (A x B), which is a different KC and generally considered more conceptually difficult than scalar multiplication, especially as it involves understanding matrix dimensions and entries. Scalar multiplication appears only in part (b), and even there, it is ancillary to the major work required in part (a). This makes matrix multiplication (secondary KC) the key skill needed to progress and solve the main part of the question, which means the primary KC is not correctly positioned.</t>
  </si>
  <si>
    <t>answerability: The problem is illogical – it states 56 students sang and 38 danced, but says there are 20 more who sang than danced, which does not match 56 - 38 = 18, not 20. The language 'students who participated only in both' is also confusing or possibly incorrect, which adds ambiguity. primary_kc_alignment: The question asks for a ratio, but due to conflicting information (see answerability) and unclear definition of groups, it's not possible to align to the intended KC. secondary_kc_alignment: Subtraction is involved, but the data inconsistencies (see above) mean the calculation cannot proceed correctly. synergy: Due to conflicting information and undefined group sizes, the Ratio and Subtraction cannot be used synergistically. clarity: The phrase 'students participated only in both' is nonsensical; more students sang than danced numbers don't support the given difference; overall, the wording is confusing. conciseness_and_relevance: There is mention of 'students participated only in both' but the count or its meaning is not clear or used in the answer, so it's irrelevant/ambiguous.</t>
  </si>
  <si>
    <t>Primary Knowledge Component Alignment: The main calculation in the first part requires addition of mixed numbers (secondary KC: addition of fractions/mixed numbers), while the second part requires subtraction of mixed numbers (primary KC). The problem order makes addition the initial and primary required knowledge, thus misaligning with the intended primary knowledge component of subtraction of mixed numbers.</t>
  </si>
  <si>
    <t>Secondary Knowledge Component: The problem requires division and multiplication by 100 when finding the percentage (e.g., 70 / 250 * 100), but the explicit requirement for using multiplication as a standalone knowledge component (beyond scaling by 100 in conversion) is minimal. Division is the main operation apart from representing as a percentage, so it does not fully satisfy the intent of a multiplication knowledge component for its own sake. Synergy: The requirement to multiply whole numbers is not distinctly needed for the solution, as multiplication is only applied as part of converting a fraction to a percentage; it is not interactively paired with the primary knowledge component in a way that both are jointly necessary.</t>
  </si>
  <si>
    <t>Primary KC alignment: The multiplication required in the question is '3.275 × 20'. The intended Primary Knowledge Component is multiplying decimals (up to 3 decimal places) by 10, 100, 1000 and their multiples. However, multiplying by 20 is not within the specified KC, which restricts to 10, 100, 1000 and their multiples (i.e., 10×, 100×, 1000× etc.), while 20 is not a direct multiple of 10, 100, or 1000 according to Singapore syllabus; usually such items require multiplying by numbers like 10, 20, 40, 100 etc. For Primary 5 in Singapore math, the KC intended here focuses on clean multiples of 10, 100, or 1000. If strict adherence is required, multiplying by 20 may be considered marginal and not strictly matching the intent of multiplying by 10, 100, 1000 and their multiples (interpreted as numbers like 30, 40, 50, 100, 200 etc. but the curriculum usually assesses multiplying by 10/100/1000 and shifting decimal places, not just general two-digit numbers). If we take 'multiples' to include 20, then it could be 1; but strict curriculum interpretation would mark it as 0.</t>
  </si>
  <si>
    <t>E.5: The context 'making bookmarks out of ribbon' does not fit under the intended topic of 'Recreation such as sports, games, exercises, music, movie, dancing, painting, fishing and other recreation activities.' It is more related to a crafts or practical context rather than recreation or sports.</t>
  </si>
  <si>
    <t>Primary KC (subtracting decimals, up to 2 decimal places): The first and second numbers have 2 decimal places, so part (a) aligns. However, the third score (7.802) has 3 decimal places, which is not required for subtraction in part (a). Part (a) meets Primary KC, but including 7.802 in the data could mislead students to unnecessarily consider more decimal places for subtraction at this grade.Grade Alignment: The word problem includes a score of 7.802 (3 decimal places), but Primary 4 generally expects comparison of decimals up to 2 decimal places, not 3. This could make (b) slightly above the intended difficulty for Primary 4.</t>
  </si>
  <si>
    <t>A. Answerability: The sum $[FORMULA] + [FORMULA] = [FORMULA] + [FORMULA] = [FORMULA]$ hours $&gt; 1$ hour. Thus, the totals do not match the problem statement 'She spent a total of 1 hour doing these activities.' This is conflicting information, making the problem technically not answerable as stated. C. Conciseness_and_relevance: The statement that 'she spent a total of 1 hour' is not needed to answer either question and contradicts the numbers given, introducing irrelevant and confusing information.</t>
  </si>
  <si>
    <t>G: While the concept of work inversely proportional to the number of dancers is mathematically valid, in real-world group choreography, increasing the number of dancers rarely decreases total practice time in precise inverse proportion, due to the complexity of coordination and group dynamics. Thus, the scenario is not fully plausible as stated.</t>
  </si>
  <si>
    <t>Synergy=0: The two parts (a) and (b) are only loosely related; the answer from (a) is not required to solve (b), nor is there a necessary transfer of information from the first to the second. Part (b) only needs the daily painting hours, not the total from (a).</t>
  </si>
  <si>
    <t>Primary KC alignment = 0: The intended KC is multiplication of decimals by 10, 100, 1000 and their multiples, but the problem requires multiplying 0.125 by 100 (which fits), HOWEVER, students may directly multiply using place value or standard multiplication and there is no explicit focus or prompt on multiplying by 10/100/1000 or their multiples, as the computational structure (0.125 × 100) may be interpreted as direct repeated addition or scaling. If the intention is to specifically address multiplying by 10/100/1000 in a form that reinforces positional understanding (e.g., moving the decimal point, not just via standard multiplication), then this item is too open-ended without an explicit scaffold or context to ensure that objective.</t>
  </si>
  <si>
    <t>real_world_feasibility: The scenario gives an abstract mathematical representation ($2^n$) for the number of times a song is played per week that is not actually derived from the described actions of the friends (e.g., how '2 full rounds each per day' adds up to $2^n$ with $n &gt; 1$ is unclear and unrealistic). The link between the physical scenario and the mathematical expression is contrived and not plausible as a real-world occurrence. conciseness_and_relevance: The story context about friends listening to playlists and the specific phrase 'each friend wants to listen... each day' is not necessary to determine the number of times a song is played per week given that a formula $2^n$ is arbitrarily stated (with no connection shown to the story details), making the preamble irrelevant to the solution.</t>
  </si>
  <si>
    <t>Primary KC Alignment (0): The problem's intended KC is subtraction of two related fractions (within one whole, denominators &lt;=12), but the actual operation Alicia must perform is to find a fraction of a fraction ($[FORMULA]$ of $[FORMULA]$), then subtract that from $[FORMULA]$. The main operation is multiplication of fractions, not subtraction directly between two related fractions. Synergy (0): The secondary KC (simplifying) does come up after the main fraction calculation, but since the required operations are multiplication and then subtraction, the two KCs do not synergize in the way intended (subtracting two related fractions and then simplifying the result).</t>
  </si>
  <si>
    <t>G: In realistic bowling scoring, scores are always whole numbers, not decimal values such as 78.35 or 56.45. Thus, using decimal points in the context of bowling is implausible.</t>
  </si>
  <si>
    <t>G: The scenario describes volume changes in decibel values according to an exponential function, but in real-world acoustics, doubling or halving perceived loudness does not simply correspond to halving or doubling the decibel value mathematically (due to the logarithmic nature of decibel scale). Thus, it's not plausible that the instructor would use this rule to adjust music volume in a real-world setting; the narrative does not reflect natural behavior or correct physical modeling.</t>
  </si>
  <si>
    <t>Secondary KC Alignment: The problem does not require the student to convert between larger and smaller units in decimals (e.g. litres to millilitres); both numbers are presented in litres. Synergy: Only the primary knowledge component is truly necessary; the secondary knowledge component is not utilized, so there is no tandem use.</t>
  </si>
  <si>
    <t>Synergy is rated 0: The two sub-questions do not require the answer to (a) to solve (b). For (b), students simply subtract 253 from the original 2,448, without needing to use the number of rows calculated in (a). Thus, the questions are not meaningfully connected as required for this criterion.</t>
  </si>
  <si>
    <t>Primary KC Alignment (0): The first part only requires addition of fractions, and the ratio in part (b) only requires straightforward ratio building from fractions ($2/5 : 1/4$). The essential operation is not representing or interpreting ratios involving fractions conceptually; it's mechanical calculation. Secondary KC Alignment (0): There is no requirement for subtraction of fractions as stated; only addition and forming a ratio are needed. Synergy (0): Part (b) does not depend on the answer to part (a); the computations are independent and do not build upon each other as stipulated by the criteria.</t>
  </si>
  <si>
    <t>The secondary knowledge component specified is 'comparing and ordering fractions.' However, in part (b), the comparison and ordering are performed on whole numbers (the number of pieces Jane and Emily obtained), not fractions. Thus, the problem does not require students to compare or order actual fractions, but rather whole numbers resulting from a division operation.</t>
  </si>
  <si>
    <t>answerability: The phrase 'a certain number of students participated only in both' is illogical—students cannot participate only in both events. There is ambiguity regarding whether the numbers 56 and 38 include overlap or not, which makes the problem unsolvable as written. primary_kc_alignment: The given information contains an unnecessary fact about overlap and the numbers are not clearly defined for finding the ratio; also, the question about ratio is redundant given the numbers if interpreted literally. secondary_kc_alignment: Subtraction is not needed as the question is especially about ratio and the information is contradictory or redundant, so secondary KC is not effectively elicited. synergy: Since the steps required to solve the problem are unclear and the information is either irrelevant or ambiguous, the knowledge components can't work in tandem as required. clarity: The ambiguous phrasing of 'only in both' and unclear inclusion/exclusion of sets causes confusion. conciseness_and_relevance: The overlap information is both unclear and irrelevant if ratio is simply between 38 and 56, making some of the numbers unnecessary.</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</si>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</sst>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charset val="163"/>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1"/>
  <sheetViews>
    <sheetView workbookViewId="0">
      <selection activeCell="A2" sqref="A2:A101"/>
    </sheetView>
  </sheetViews>
  <sheetFormatPr defaultRowHeight="13.8"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202</v>
      </c>
      <c r="B2" t="s">
        <v>16</v>
      </c>
      <c r="C2">
        <v>0</v>
      </c>
      <c r="D2">
        <v>1</v>
      </c>
      <c r="E2">
        <v>1</v>
      </c>
      <c r="F2">
        <v>1</v>
      </c>
      <c r="G2">
        <v>1</v>
      </c>
      <c r="H2">
        <v>1</v>
      </c>
      <c r="I2">
        <v>1</v>
      </c>
      <c r="J2">
        <v>1</v>
      </c>
      <c r="K2">
        <v>1</v>
      </c>
      <c r="L2">
        <v>1</v>
      </c>
      <c r="M2">
        <v>1</v>
      </c>
      <c r="N2">
        <v>1</v>
      </c>
      <c r="P2">
        <v>2.1706738471984859</v>
      </c>
    </row>
    <row r="3" spans="1:16" x14ac:dyDescent="0.25">
      <c r="A3" t="s">
        <v>202</v>
      </c>
      <c r="B3" t="s">
        <v>17</v>
      </c>
      <c r="C3">
        <v>0</v>
      </c>
      <c r="D3">
        <v>1</v>
      </c>
      <c r="E3">
        <v>1</v>
      </c>
      <c r="F3">
        <v>1</v>
      </c>
      <c r="G3">
        <v>1</v>
      </c>
      <c r="H3">
        <v>1</v>
      </c>
      <c r="I3">
        <v>0</v>
      </c>
      <c r="J3">
        <v>1</v>
      </c>
      <c r="K3">
        <v>1</v>
      </c>
      <c r="L3">
        <v>1</v>
      </c>
      <c r="M3">
        <v>1</v>
      </c>
      <c r="N3">
        <v>1</v>
      </c>
      <c r="O3" t="s">
        <v>18</v>
      </c>
      <c r="P3">
        <v>2.6211509704589839</v>
      </c>
    </row>
    <row r="4" spans="1:16" x14ac:dyDescent="0.25">
      <c r="A4" t="s">
        <v>202</v>
      </c>
      <c r="B4" t="s">
        <v>19</v>
      </c>
      <c r="C4">
        <v>0</v>
      </c>
      <c r="D4">
        <v>1</v>
      </c>
      <c r="E4">
        <v>1</v>
      </c>
      <c r="F4">
        <v>1</v>
      </c>
      <c r="G4">
        <v>1</v>
      </c>
      <c r="H4">
        <v>1</v>
      </c>
      <c r="I4">
        <v>1</v>
      </c>
      <c r="J4">
        <v>1</v>
      </c>
      <c r="K4">
        <v>1</v>
      </c>
      <c r="L4">
        <v>1</v>
      </c>
      <c r="M4">
        <v>1</v>
      </c>
      <c r="N4">
        <v>1</v>
      </c>
      <c r="P4">
        <v>1.3482804298400879</v>
      </c>
    </row>
    <row r="5" spans="1:16" x14ac:dyDescent="0.25">
      <c r="A5" t="s">
        <v>202</v>
      </c>
      <c r="B5" t="s">
        <v>20</v>
      </c>
      <c r="C5">
        <v>0</v>
      </c>
      <c r="D5">
        <v>1</v>
      </c>
      <c r="E5">
        <v>1</v>
      </c>
      <c r="F5">
        <v>1</v>
      </c>
      <c r="G5">
        <v>1</v>
      </c>
      <c r="H5">
        <v>1</v>
      </c>
      <c r="I5">
        <v>1</v>
      </c>
      <c r="J5">
        <v>1</v>
      </c>
      <c r="K5">
        <v>1</v>
      </c>
      <c r="L5">
        <v>1</v>
      </c>
      <c r="M5">
        <v>1</v>
      </c>
      <c r="N5">
        <v>1</v>
      </c>
      <c r="P5">
        <v>1.99256420135498</v>
      </c>
    </row>
    <row r="6" spans="1:16" x14ac:dyDescent="0.25">
      <c r="A6" t="s">
        <v>202</v>
      </c>
      <c r="B6" t="s">
        <v>21</v>
      </c>
      <c r="C6">
        <v>0</v>
      </c>
      <c r="D6">
        <v>1</v>
      </c>
      <c r="E6">
        <v>1</v>
      </c>
      <c r="F6">
        <v>1</v>
      </c>
      <c r="G6">
        <v>1</v>
      </c>
      <c r="H6">
        <v>1</v>
      </c>
      <c r="I6">
        <v>1</v>
      </c>
      <c r="J6">
        <v>1</v>
      </c>
      <c r="K6">
        <v>1</v>
      </c>
      <c r="L6">
        <v>1</v>
      </c>
      <c r="M6">
        <v>1</v>
      </c>
      <c r="N6">
        <v>1</v>
      </c>
      <c r="P6">
        <v>1.4973304271698</v>
      </c>
    </row>
    <row r="7" spans="1:16" x14ac:dyDescent="0.25">
      <c r="A7" t="s">
        <v>202</v>
      </c>
      <c r="B7" t="s">
        <v>22</v>
      </c>
      <c r="C7">
        <v>0</v>
      </c>
      <c r="D7">
        <v>1</v>
      </c>
      <c r="E7">
        <v>1</v>
      </c>
      <c r="F7">
        <v>1</v>
      </c>
      <c r="G7">
        <v>1</v>
      </c>
      <c r="H7">
        <v>1</v>
      </c>
      <c r="I7">
        <v>1</v>
      </c>
      <c r="J7">
        <v>1</v>
      </c>
      <c r="K7">
        <v>1</v>
      </c>
      <c r="L7">
        <v>1</v>
      </c>
      <c r="M7">
        <v>1</v>
      </c>
      <c r="N7">
        <v>1</v>
      </c>
      <c r="P7">
        <v>1.5839996337890621</v>
      </c>
    </row>
    <row r="8" spans="1:16" x14ac:dyDescent="0.25">
      <c r="A8" t="s">
        <v>202</v>
      </c>
      <c r="B8" t="s">
        <v>23</v>
      </c>
      <c r="C8">
        <v>0</v>
      </c>
      <c r="D8">
        <v>1</v>
      </c>
      <c r="E8">
        <v>1</v>
      </c>
      <c r="F8">
        <v>1</v>
      </c>
      <c r="G8">
        <v>1</v>
      </c>
      <c r="H8">
        <v>1</v>
      </c>
      <c r="I8">
        <v>1</v>
      </c>
      <c r="J8">
        <v>1</v>
      </c>
      <c r="K8">
        <v>1</v>
      </c>
      <c r="L8">
        <v>1</v>
      </c>
      <c r="M8">
        <v>1</v>
      </c>
      <c r="N8">
        <v>1</v>
      </c>
      <c r="P8">
        <v>1.916633129119873</v>
      </c>
    </row>
    <row r="9" spans="1:16" x14ac:dyDescent="0.25">
      <c r="A9" t="s">
        <v>202</v>
      </c>
      <c r="B9" t="s">
        <v>24</v>
      </c>
      <c r="C9">
        <v>0</v>
      </c>
      <c r="D9">
        <v>1</v>
      </c>
      <c r="E9">
        <v>1</v>
      </c>
      <c r="F9">
        <v>1</v>
      </c>
      <c r="G9">
        <v>1</v>
      </c>
      <c r="H9">
        <v>1</v>
      </c>
      <c r="I9">
        <v>1</v>
      </c>
      <c r="J9">
        <v>1</v>
      </c>
      <c r="K9">
        <v>1</v>
      </c>
      <c r="L9">
        <v>1</v>
      </c>
      <c r="M9">
        <v>1</v>
      </c>
      <c r="N9">
        <v>1</v>
      </c>
      <c r="P9">
        <v>1.574225187301636</v>
      </c>
    </row>
    <row r="10" spans="1:16" x14ac:dyDescent="0.25">
      <c r="A10" t="s">
        <v>202</v>
      </c>
      <c r="B10" t="s">
        <v>25</v>
      </c>
      <c r="C10">
        <v>0</v>
      </c>
      <c r="D10">
        <v>1</v>
      </c>
      <c r="E10">
        <v>1</v>
      </c>
      <c r="F10">
        <v>1</v>
      </c>
      <c r="G10">
        <v>1</v>
      </c>
      <c r="H10">
        <v>1</v>
      </c>
      <c r="I10">
        <v>1</v>
      </c>
      <c r="J10">
        <v>1</v>
      </c>
      <c r="K10">
        <v>1</v>
      </c>
      <c r="L10">
        <v>1</v>
      </c>
      <c r="M10">
        <v>1</v>
      </c>
      <c r="N10">
        <v>1</v>
      </c>
      <c r="P10">
        <v>1.3755021095275879</v>
      </c>
    </row>
    <row r="11" spans="1:16" x14ac:dyDescent="0.25">
      <c r="A11" t="s">
        <v>202</v>
      </c>
      <c r="B11" t="s">
        <v>26</v>
      </c>
      <c r="C11">
        <v>0</v>
      </c>
      <c r="D11">
        <v>1</v>
      </c>
      <c r="E11">
        <v>1</v>
      </c>
      <c r="F11">
        <v>1</v>
      </c>
      <c r="G11">
        <v>1</v>
      </c>
      <c r="H11">
        <v>1</v>
      </c>
      <c r="I11">
        <v>1</v>
      </c>
      <c r="J11">
        <v>1</v>
      </c>
      <c r="K11">
        <v>1</v>
      </c>
      <c r="L11">
        <v>1</v>
      </c>
      <c r="M11">
        <v>1</v>
      </c>
      <c r="N11">
        <v>1</v>
      </c>
      <c r="P11">
        <v>2.3105530738830571</v>
      </c>
    </row>
    <row r="12" spans="1:16" x14ac:dyDescent="0.25">
      <c r="A12" t="s">
        <v>202</v>
      </c>
      <c r="B12" t="s">
        <v>27</v>
      </c>
      <c r="C12">
        <v>0</v>
      </c>
      <c r="D12">
        <v>1</v>
      </c>
      <c r="E12">
        <v>0</v>
      </c>
      <c r="F12">
        <v>1</v>
      </c>
      <c r="G12">
        <v>1</v>
      </c>
      <c r="H12">
        <v>1</v>
      </c>
      <c r="I12">
        <v>1</v>
      </c>
      <c r="J12">
        <v>1</v>
      </c>
      <c r="K12">
        <v>1</v>
      </c>
      <c r="L12">
        <v>1</v>
      </c>
      <c r="M12">
        <v>1</v>
      </c>
      <c r="N12">
        <v>1</v>
      </c>
      <c r="O12" t="s">
        <v>28</v>
      </c>
      <c r="P12">
        <v>3.7945702075958252</v>
      </c>
    </row>
    <row r="13" spans="1:16" x14ac:dyDescent="0.25">
      <c r="A13" t="s">
        <v>202</v>
      </c>
      <c r="B13" t="s">
        <v>29</v>
      </c>
      <c r="C13">
        <v>0</v>
      </c>
      <c r="D13">
        <v>1</v>
      </c>
      <c r="E13">
        <v>1</v>
      </c>
      <c r="F13">
        <v>1</v>
      </c>
      <c r="G13">
        <v>1</v>
      </c>
      <c r="H13">
        <v>1</v>
      </c>
      <c r="I13">
        <v>1</v>
      </c>
      <c r="J13">
        <v>1</v>
      </c>
      <c r="K13">
        <v>1</v>
      </c>
      <c r="L13">
        <v>1</v>
      </c>
      <c r="M13">
        <v>1</v>
      </c>
      <c r="N13">
        <v>1</v>
      </c>
      <c r="P13">
        <v>2.125536441802979</v>
      </c>
    </row>
    <row r="14" spans="1:16" x14ac:dyDescent="0.25">
      <c r="A14" t="s">
        <v>202</v>
      </c>
      <c r="B14" t="s">
        <v>30</v>
      </c>
      <c r="C14">
        <v>0</v>
      </c>
      <c r="D14">
        <v>1</v>
      </c>
      <c r="E14">
        <v>1</v>
      </c>
      <c r="F14">
        <v>1</v>
      </c>
      <c r="G14">
        <v>1</v>
      </c>
      <c r="H14">
        <v>1</v>
      </c>
      <c r="I14">
        <v>1</v>
      </c>
      <c r="J14">
        <v>1</v>
      </c>
      <c r="K14">
        <v>1</v>
      </c>
      <c r="L14">
        <v>1</v>
      </c>
      <c r="M14">
        <v>1</v>
      </c>
      <c r="N14">
        <v>1</v>
      </c>
      <c r="P14">
        <v>1.41136622428894</v>
      </c>
    </row>
    <row r="15" spans="1:16" x14ac:dyDescent="0.25">
      <c r="A15" t="s">
        <v>202</v>
      </c>
      <c r="B15" t="s">
        <v>31</v>
      </c>
      <c r="C15">
        <v>0</v>
      </c>
      <c r="D15">
        <v>1</v>
      </c>
      <c r="E15">
        <v>1</v>
      </c>
      <c r="F15">
        <v>0</v>
      </c>
      <c r="G15">
        <v>1</v>
      </c>
      <c r="H15">
        <v>1</v>
      </c>
      <c r="I15">
        <v>1</v>
      </c>
      <c r="J15">
        <v>0</v>
      </c>
      <c r="K15">
        <v>1</v>
      </c>
      <c r="L15">
        <v>1</v>
      </c>
      <c r="M15">
        <v>1</v>
      </c>
      <c r="N15">
        <v>1</v>
      </c>
      <c r="O15" t="s">
        <v>32</v>
      </c>
      <c r="P15">
        <v>2.738052129745483</v>
      </c>
    </row>
    <row r="16" spans="1:16" x14ac:dyDescent="0.25">
      <c r="A16" t="s">
        <v>202</v>
      </c>
      <c r="B16" t="s">
        <v>33</v>
      </c>
      <c r="C16">
        <v>0</v>
      </c>
      <c r="D16">
        <v>1</v>
      </c>
      <c r="E16">
        <v>0</v>
      </c>
      <c r="F16">
        <v>1</v>
      </c>
      <c r="G16">
        <v>1</v>
      </c>
      <c r="H16">
        <v>1</v>
      </c>
      <c r="I16">
        <v>1</v>
      </c>
      <c r="J16">
        <v>1</v>
      </c>
      <c r="K16">
        <v>1</v>
      </c>
      <c r="L16">
        <v>1</v>
      </c>
      <c r="M16">
        <v>1</v>
      </c>
      <c r="N16">
        <v>1</v>
      </c>
      <c r="O16" t="s">
        <v>34</v>
      </c>
      <c r="P16">
        <v>2.9748859405517578</v>
      </c>
    </row>
    <row r="17" spans="1:16" x14ac:dyDescent="0.25">
      <c r="A17" t="s">
        <v>202</v>
      </c>
      <c r="B17" t="s">
        <v>35</v>
      </c>
      <c r="C17">
        <v>0</v>
      </c>
      <c r="D17">
        <v>1</v>
      </c>
      <c r="E17">
        <v>1</v>
      </c>
      <c r="F17">
        <v>1</v>
      </c>
      <c r="G17">
        <v>1</v>
      </c>
      <c r="H17">
        <v>1</v>
      </c>
      <c r="I17">
        <v>1</v>
      </c>
      <c r="J17">
        <v>1</v>
      </c>
      <c r="K17">
        <v>1</v>
      </c>
      <c r="L17">
        <v>1</v>
      </c>
      <c r="M17">
        <v>1</v>
      </c>
      <c r="N17">
        <v>1</v>
      </c>
      <c r="P17">
        <v>1.3289551734924321</v>
      </c>
    </row>
    <row r="18" spans="1:16" x14ac:dyDescent="0.25">
      <c r="A18" t="s">
        <v>202</v>
      </c>
      <c r="B18" t="s">
        <v>36</v>
      </c>
      <c r="C18">
        <v>0</v>
      </c>
      <c r="D18">
        <v>1</v>
      </c>
      <c r="E18">
        <v>1</v>
      </c>
      <c r="F18">
        <v>1</v>
      </c>
      <c r="G18">
        <v>1</v>
      </c>
      <c r="H18">
        <v>1</v>
      </c>
      <c r="I18">
        <v>1</v>
      </c>
      <c r="J18">
        <v>1</v>
      </c>
      <c r="K18">
        <v>1</v>
      </c>
      <c r="L18">
        <v>1</v>
      </c>
      <c r="M18">
        <v>1</v>
      </c>
      <c r="N18">
        <v>1</v>
      </c>
      <c r="P18">
        <v>1.5157854557037349</v>
      </c>
    </row>
    <row r="19" spans="1:16" x14ac:dyDescent="0.25">
      <c r="A19" t="s">
        <v>202</v>
      </c>
      <c r="B19" t="s">
        <v>37</v>
      </c>
      <c r="C19">
        <v>0</v>
      </c>
      <c r="D19">
        <v>1</v>
      </c>
      <c r="E19">
        <v>1</v>
      </c>
      <c r="F19">
        <v>0</v>
      </c>
      <c r="G19">
        <v>0</v>
      </c>
      <c r="H19">
        <v>1</v>
      </c>
      <c r="I19">
        <v>1</v>
      </c>
      <c r="J19">
        <v>1</v>
      </c>
      <c r="K19">
        <v>1</v>
      </c>
      <c r="L19">
        <v>1</v>
      </c>
      <c r="M19">
        <v>1</v>
      </c>
      <c r="N19">
        <v>1</v>
      </c>
      <c r="O19" t="s">
        <v>38</v>
      </c>
      <c r="P19">
        <v>2.6697041988372798</v>
      </c>
    </row>
    <row r="20" spans="1:16" x14ac:dyDescent="0.25">
      <c r="A20" t="s">
        <v>202</v>
      </c>
      <c r="B20" t="s">
        <v>39</v>
      </c>
      <c r="C20">
        <v>0</v>
      </c>
      <c r="D20">
        <v>1</v>
      </c>
      <c r="E20">
        <v>1</v>
      </c>
      <c r="F20">
        <v>1</v>
      </c>
      <c r="G20">
        <v>1</v>
      </c>
      <c r="H20">
        <v>1</v>
      </c>
      <c r="I20">
        <v>1</v>
      </c>
      <c r="J20">
        <v>1</v>
      </c>
      <c r="K20">
        <v>1</v>
      </c>
      <c r="L20">
        <v>1</v>
      </c>
      <c r="M20">
        <v>1</v>
      </c>
      <c r="N20">
        <v>1</v>
      </c>
      <c r="P20">
        <v>3.5297620296478271</v>
      </c>
    </row>
    <row r="21" spans="1:16" x14ac:dyDescent="0.25">
      <c r="A21" t="s">
        <v>202</v>
      </c>
      <c r="B21" t="s">
        <v>40</v>
      </c>
      <c r="C21">
        <v>0</v>
      </c>
      <c r="D21">
        <v>1</v>
      </c>
      <c r="E21">
        <v>1</v>
      </c>
      <c r="F21">
        <v>1</v>
      </c>
      <c r="G21">
        <v>1</v>
      </c>
      <c r="H21">
        <v>1</v>
      </c>
      <c r="I21">
        <v>1</v>
      </c>
      <c r="J21">
        <v>1</v>
      </c>
      <c r="K21">
        <v>1</v>
      </c>
      <c r="L21">
        <v>1</v>
      </c>
      <c r="M21">
        <v>1</v>
      </c>
      <c r="N21">
        <v>1</v>
      </c>
      <c r="P21">
        <v>1.9920475482940669</v>
      </c>
    </row>
    <row r="22" spans="1:16" x14ac:dyDescent="0.25">
      <c r="A22" t="s">
        <v>202</v>
      </c>
      <c r="B22" t="s">
        <v>41</v>
      </c>
      <c r="C22">
        <v>0</v>
      </c>
      <c r="D22">
        <v>1</v>
      </c>
      <c r="E22">
        <v>1</v>
      </c>
      <c r="F22">
        <v>1</v>
      </c>
      <c r="G22">
        <v>1</v>
      </c>
      <c r="H22">
        <v>1</v>
      </c>
      <c r="I22">
        <v>1</v>
      </c>
      <c r="J22">
        <v>1</v>
      </c>
      <c r="K22">
        <v>1</v>
      </c>
      <c r="L22">
        <v>1</v>
      </c>
      <c r="M22">
        <v>1</v>
      </c>
      <c r="N22">
        <v>1</v>
      </c>
      <c r="P22">
        <v>1.448310852050781</v>
      </c>
    </row>
    <row r="23" spans="1:16" x14ac:dyDescent="0.25">
      <c r="A23" t="s">
        <v>202</v>
      </c>
      <c r="B23" t="s">
        <v>42</v>
      </c>
      <c r="C23">
        <v>0</v>
      </c>
      <c r="D23">
        <v>1</v>
      </c>
      <c r="E23">
        <v>1</v>
      </c>
      <c r="F23">
        <v>1</v>
      </c>
      <c r="G23">
        <v>1</v>
      </c>
      <c r="H23">
        <v>1</v>
      </c>
      <c r="I23">
        <v>1</v>
      </c>
      <c r="J23">
        <v>1</v>
      </c>
      <c r="K23">
        <v>1</v>
      </c>
      <c r="L23">
        <v>1</v>
      </c>
      <c r="M23">
        <v>1</v>
      </c>
      <c r="N23">
        <v>1</v>
      </c>
      <c r="P23">
        <v>1.9525518417358401</v>
      </c>
    </row>
    <row r="24" spans="1:16" x14ac:dyDescent="0.25">
      <c r="A24" t="s">
        <v>202</v>
      </c>
      <c r="B24" t="s">
        <v>43</v>
      </c>
      <c r="C24">
        <v>0</v>
      </c>
      <c r="D24">
        <v>1</v>
      </c>
      <c r="E24">
        <v>0</v>
      </c>
      <c r="F24">
        <v>1</v>
      </c>
      <c r="G24">
        <v>1</v>
      </c>
      <c r="H24">
        <v>0</v>
      </c>
      <c r="I24">
        <v>1</v>
      </c>
      <c r="J24">
        <v>1</v>
      </c>
      <c r="K24">
        <v>1</v>
      </c>
      <c r="L24">
        <v>1</v>
      </c>
      <c r="M24">
        <v>1</v>
      </c>
      <c r="N24">
        <v>1</v>
      </c>
      <c r="O24" t="s">
        <v>44</v>
      </c>
      <c r="P24">
        <v>5.9807455539703369</v>
      </c>
    </row>
    <row r="25" spans="1:16" x14ac:dyDescent="0.25">
      <c r="A25" t="s">
        <v>202</v>
      </c>
      <c r="B25" t="s">
        <v>45</v>
      </c>
      <c r="C25">
        <v>0</v>
      </c>
      <c r="D25">
        <v>1</v>
      </c>
      <c r="E25">
        <v>1</v>
      </c>
      <c r="F25">
        <v>1</v>
      </c>
      <c r="G25">
        <v>1</v>
      </c>
      <c r="H25">
        <v>1</v>
      </c>
      <c r="I25">
        <v>1</v>
      </c>
      <c r="J25">
        <v>1</v>
      </c>
      <c r="K25">
        <v>1</v>
      </c>
      <c r="L25">
        <v>1</v>
      </c>
      <c r="M25">
        <v>1</v>
      </c>
      <c r="N25">
        <v>1</v>
      </c>
      <c r="P25">
        <v>2.759723424911499</v>
      </c>
    </row>
    <row r="26" spans="1:16" x14ac:dyDescent="0.25">
      <c r="A26" t="s">
        <v>202</v>
      </c>
      <c r="B26" t="s">
        <v>46</v>
      </c>
      <c r="C26">
        <v>0</v>
      </c>
      <c r="D26">
        <v>1</v>
      </c>
      <c r="E26">
        <v>1</v>
      </c>
      <c r="F26">
        <v>1</v>
      </c>
      <c r="G26">
        <v>1</v>
      </c>
      <c r="H26">
        <v>1</v>
      </c>
      <c r="I26">
        <v>1</v>
      </c>
      <c r="J26">
        <v>1</v>
      </c>
      <c r="K26">
        <v>1</v>
      </c>
      <c r="L26">
        <v>1</v>
      </c>
      <c r="M26">
        <v>1</v>
      </c>
      <c r="N26">
        <v>1</v>
      </c>
      <c r="P26">
        <v>1.6122152805328369</v>
      </c>
    </row>
    <row r="27" spans="1:16" x14ac:dyDescent="0.25">
      <c r="A27" t="s">
        <v>202</v>
      </c>
      <c r="B27" t="s">
        <v>47</v>
      </c>
      <c r="C27">
        <v>0</v>
      </c>
      <c r="D27">
        <v>1</v>
      </c>
      <c r="E27">
        <v>1</v>
      </c>
      <c r="F27">
        <v>1</v>
      </c>
      <c r="G27">
        <v>1</v>
      </c>
      <c r="H27">
        <v>1</v>
      </c>
      <c r="I27">
        <v>1</v>
      </c>
      <c r="J27">
        <v>1</v>
      </c>
      <c r="K27">
        <v>1</v>
      </c>
      <c r="L27">
        <v>1</v>
      </c>
      <c r="M27">
        <v>1</v>
      </c>
      <c r="N27">
        <v>1</v>
      </c>
      <c r="P27">
        <v>1.7007899284362791</v>
      </c>
    </row>
    <row r="28" spans="1:16" x14ac:dyDescent="0.25">
      <c r="A28" t="s">
        <v>202</v>
      </c>
      <c r="B28" t="s">
        <v>48</v>
      </c>
      <c r="C28">
        <v>0</v>
      </c>
      <c r="D28">
        <v>1</v>
      </c>
      <c r="E28">
        <v>1</v>
      </c>
      <c r="F28">
        <v>1</v>
      </c>
      <c r="G28">
        <v>1</v>
      </c>
      <c r="H28">
        <v>1</v>
      </c>
      <c r="I28">
        <v>1</v>
      </c>
      <c r="J28">
        <v>1</v>
      </c>
      <c r="K28">
        <v>1</v>
      </c>
      <c r="L28">
        <v>1</v>
      </c>
      <c r="M28">
        <v>1</v>
      </c>
      <c r="N28">
        <v>1</v>
      </c>
      <c r="P28">
        <v>1.9631679058074949</v>
      </c>
    </row>
    <row r="29" spans="1:16" x14ac:dyDescent="0.25">
      <c r="A29" t="s">
        <v>202</v>
      </c>
      <c r="B29" t="s">
        <v>49</v>
      </c>
      <c r="C29">
        <v>0</v>
      </c>
      <c r="D29">
        <v>1</v>
      </c>
      <c r="E29">
        <v>1</v>
      </c>
      <c r="F29">
        <v>1</v>
      </c>
      <c r="G29">
        <v>1</v>
      </c>
      <c r="H29">
        <v>1</v>
      </c>
      <c r="I29">
        <v>1</v>
      </c>
      <c r="J29">
        <v>1</v>
      </c>
      <c r="K29">
        <v>1</v>
      </c>
      <c r="L29">
        <v>1</v>
      </c>
      <c r="M29">
        <v>1</v>
      </c>
      <c r="N29">
        <v>1</v>
      </c>
      <c r="P29">
        <v>1.327589750289917</v>
      </c>
    </row>
    <row r="30" spans="1:16" x14ac:dyDescent="0.25">
      <c r="A30" t="s">
        <v>202</v>
      </c>
      <c r="B30" t="s">
        <v>50</v>
      </c>
      <c r="C30">
        <v>0</v>
      </c>
      <c r="D30">
        <v>0</v>
      </c>
      <c r="E30">
        <v>1</v>
      </c>
      <c r="F30">
        <v>1</v>
      </c>
      <c r="G30">
        <v>1</v>
      </c>
      <c r="H30">
        <v>1</v>
      </c>
      <c r="I30">
        <v>1</v>
      </c>
      <c r="J30">
        <v>0</v>
      </c>
      <c r="K30">
        <v>1</v>
      </c>
      <c r="L30">
        <v>0</v>
      </c>
      <c r="M30">
        <v>1</v>
      </c>
      <c r="N30">
        <v>1</v>
      </c>
      <c r="O30" t="s">
        <v>51</v>
      </c>
      <c r="P30">
        <v>2.5442523956298828</v>
      </c>
    </row>
    <row r="31" spans="1:16" x14ac:dyDescent="0.25">
      <c r="A31" t="s">
        <v>202</v>
      </c>
      <c r="B31" t="s">
        <v>52</v>
      </c>
      <c r="C31">
        <v>0</v>
      </c>
      <c r="D31">
        <v>1</v>
      </c>
      <c r="E31">
        <v>1</v>
      </c>
      <c r="F31">
        <v>1</v>
      </c>
      <c r="G31">
        <v>1</v>
      </c>
      <c r="H31">
        <v>1</v>
      </c>
      <c r="I31">
        <v>1</v>
      </c>
      <c r="J31">
        <v>1</v>
      </c>
      <c r="K31">
        <v>1</v>
      </c>
      <c r="L31">
        <v>1</v>
      </c>
      <c r="M31">
        <v>1</v>
      </c>
      <c r="N31">
        <v>1</v>
      </c>
      <c r="P31">
        <v>1.3472352027893071</v>
      </c>
    </row>
    <row r="32" spans="1:16" x14ac:dyDescent="0.25">
      <c r="A32" t="s">
        <v>202</v>
      </c>
      <c r="B32" t="s">
        <v>53</v>
      </c>
      <c r="C32">
        <v>0</v>
      </c>
      <c r="D32">
        <v>1</v>
      </c>
      <c r="E32">
        <v>1</v>
      </c>
      <c r="F32">
        <v>1</v>
      </c>
      <c r="G32">
        <v>1</v>
      </c>
      <c r="H32">
        <v>1</v>
      </c>
      <c r="I32">
        <v>1</v>
      </c>
      <c r="J32">
        <v>1</v>
      </c>
      <c r="K32">
        <v>1</v>
      </c>
      <c r="L32">
        <v>1</v>
      </c>
      <c r="M32">
        <v>1</v>
      </c>
      <c r="N32">
        <v>1</v>
      </c>
      <c r="P32">
        <v>1.445627689361572</v>
      </c>
    </row>
    <row r="33" spans="1:16" x14ac:dyDescent="0.25">
      <c r="A33" t="s">
        <v>202</v>
      </c>
      <c r="B33" t="s">
        <v>54</v>
      </c>
      <c r="C33">
        <v>0</v>
      </c>
      <c r="D33">
        <v>1</v>
      </c>
      <c r="E33">
        <v>1</v>
      </c>
      <c r="F33">
        <v>1</v>
      </c>
      <c r="G33">
        <v>1</v>
      </c>
      <c r="H33">
        <v>1</v>
      </c>
      <c r="I33">
        <v>1</v>
      </c>
      <c r="J33">
        <v>1</v>
      </c>
      <c r="K33">
        <v>1</v>
      </c>
      <c r="L33">
        <v>1</v>
      </c>
      <c r="M33">
        <v>1</v>
      </c>
      <c r="N33">
        <v>1</v>
      </c>
      <c r="P33">
        <v>1.6236658096313481</v>
      </c>
    </row>
    <row r="34" spans="1:16" x14ac:dyDescent="0.25">
      <c r="A34" t="s">
        <v>202</v>
      </c>
      <c r="B34" t="s">
        <v>55</v>
      </c>
      <c r="C34">
        <v>0</v>
      </c>
      <c r="D34">
        <v>1</v>
      </c>
      <c r="E34">
        <v>1</v>
      </c>
      <c r="F34">
        <v>1</v>
      </c>
      <c r="G34">
        <v>1</v>
      </c>
      <c r="H34">
        <v>1</v>
      </c>
      <c r="I34">
        <v>1</v>
      </c>
      <c r="J34">
        <v>1</v>
      </c>
      <c r="K34">
        <v>1</v>
      </c>
      <c r="L34">
        <v>1</v>
      </c>
      <c r="M34">
        <v>1</v>
      </c>
      <c r="N34">
        <v>1</v>
      </c>
      <c r="P34">
        <v>1.43030834197998</v>
      </c>
    </row>
    <row r="35" spans="1:16" x14ac:dyDescent="0.25">
      <c r="A35" t="s">
        <v>202</v>
      </c>
      <c r="B35" t="s">
        <v>56</v>
      </c>
      <c r="C35">
        <v>0</v>
      </c>
      <c r="D35">
        <v>1</v>
      </c>
      <c r="E35">
        <v>1</v>
      </c>
      <c r="F35">
        <v>1</v>
      </c>
      <c r="G35">
        <v>1</v>
      </c>
      <c r="H35">
        <v>1</v>
      </c>
      <c r="I35">
        <v>1</v>
      </c>
      <c r="J35">
        <v>1</v>
      </c>
      <c r="K35">
        <v>1</v>
      </c>
      <c r="L35">
        <v>1</v>
      </c>
      <c r="M35">
        <v>1</v>
      </c>
      <c r="N35">
        <v>1</v>
      </c>
      <c r="P35">
        <v>1.286591529846191</v>
      </c>
    </row>
    <row r="36" spans="1:16" x14ac:dyDescent="0.25">
      <c r="A36" t="s">
        <v>202</v>
      </c>
      <c r="B36" t="s">
        <v>57</v>
      </c>
      <c r="C36">
        <v>0</v>
      </c>
      <c r="D36">
        <v>1</v>
      </c>
      <c r="E36">
        <v>1</v>
      </c>
      <c r="F36">
        <v>1</v>
      </c>
      <c r="G36">
        <v>1</v>
      </c>
      <c r="H36">
        <v>1</v>
      </c>
      <c r="I36">
        <v>1</v>
      </c>
      <c r="J36">
        <v>1</v>
      </c>
      <c r="K36">
        <v>1</v>
      </c>
      <c r="L36">
        <v>1</v>
      </c>
      <c r="M36">
        <v>1</v>
      </c>
      <c r="N36">
        <v>1</v>
      </c>
      <c r="P36">
        <v>2.1296873092651372</v>
      </c>
    </row>
    <row r="37" spans="1:16" x14ac:dyDescent="0.25">
      <c r="A37" t="s">
        <v>202</v>
      </c>
      <c r="B37" t="s">
        <v>58</v>
      </c>
      <c r="C37">
        <v>0</v>
      </c>
      <c r="D37">
        <v>1</v>
      </c>
      <c r="E37">
        <v>1</v>
      </c>
      <c r="F37">
        <v>1</v>
      </c>
      <c r="G37">
        <v>1</v>
      </c>
      <c r="H37">
        <v>1</v>
      </c>
      <c r="I37">
        <v>1</v>
      </c>
      <c r="J37">
        <v>1</v>
      </c>
      <c r="K37">
        <v>1</v>
      </c>
      <c r="L37">
        <v>1</v>
      </c>
      <c r="M37">
        <v>1</v>
      </c>
      <c r="N37">
        <v>1</v>
      </c>
      <c r="P37">
        <v>1.237298965454102</v>
      </c>
    </row>
    <row r="38" spans="1:16" x14ac:dyDescent="0.25">
      <c r="A38" t="s">
        <v>202</v>
      </c>
      <c r="B38" t="s">
        <v>59</v>
      </c>
      <c r="C38">
        <v>0</v>
      </c>
      <c r="D38">
        <v>1</v>
      </c>
      <c r="E38">
        <v>1</v>
      </c>
      <c r="F38">
        <v>1</v>
      </c>
      <c r="G38">
        <v>1</v>
      </c>
      <c r="H38">
        <v>1</v>
      </c>
      <c r="I38">
        <v>1</v>
      </c>
      <c r="J38">
        <v>1</v>
      </c>
      <c r="K38">
        <v>1</v>
      </c>
      <c r="L38">
        <v>1</v>
      </c>
      <c r="M38">
        <v>1</v>
      </c>
      <c r="N38">
        <v>1</v>
      </c>
      <c r="P38">
        <v>3.0167956352233891</v>
      </c>
    </row>
    <row r="39" spans="1:16" x14ac:dyDescent="0.25">
      <c r="A39" t="s">
        <v>202</v>
      </c>
      <c r="B39" t="s">
        <v>60</v>
      </c>
      <c r="C39">
        <v>0</v>
      </c>
      <c r="D39">
        <v>1</v>
      </c>
      <c r="E39">
        <v>1</v>
      </c>
      <c r="F39">
        <v>1</v>
      </c>
      <c r="G39">
        <v>1</v>
      </c>
      <c r="H39">
        <v>1</v>
      </c>
      <c r="I39">
        <v>1</v>
      </c>
      <c r="J39">
        <v>1</v>
      </c>
      <c r="K39">
        <v>1</v>
      </c>
      <c r="L39">
        <v>1</v>
      </c>
      <c r="M39">
        <v>1</v>
      </c>
      <c r="N39">
        <v>1</v>
      </c>
      <c r="P39">
        <v>1.4570186138153081</v>
      </c>
    </row>
    <row r="40" spans="1:16" x14ac:dyDescent="0.25">
      <c r="A40" t="s">
        <v>202</v>
      </c>
      <c r="B40" t="s">
        <v>61</v>
      </c>
      <c r="C40">
        <v>0</v>
      </c>
      <c r="D40">
        <v>1</v>
      </c>
      <c r="E40">
        <v>1</v>
      </c>
      <c r="F40">
        <v>1</v>
      </c>
      <c r="G40">
        <v>1</v>
      </c>
      <c r="H40">
        <v>1</v>
      </c>
      <c r="I40">
        <v>1</v>
      </c>
      <c r="J40">
        <v>1</v>
      </c>
      <c r="K40">
        <v>1</v>
      </c>
      <c r="L40">
        <v>1</v>
      </c>
      <c r="M40">
        <v>1</v>
      </c>
      <c r="N40">
        <v>1</v>
      </c>
      <c r="P40">
        <v>1.3227734565734861</v>
      </c>
    </row>
    <row r="41" spans="1:16" x14ac:dyDescent="0.25">
      <c r="A41" t="s">
        <v>202</v>
      </c>
      <c r="B41" t="s">
        <v>62</v>
      </c>
      <c r="C41">
        <v>0</v>
      </c>
      <c r="D41">
        <v>1</v>
      </c>
      <c r="E41">
        <v>1</v>
      </c>
      <c r="F41">
        <v>1</v>
      </c>
      <c r="G41">
        <v>1</v>
      </c>
      <c r="H41">
        <v>1</v>
      </c>
      <c r="I41">
        <v>1</v>
      </c>
      <c r="J41">
        <v>1</v>
      </c>
      <c r="K41">
        <v>1</v>
      </c>
      <c r="L41">
        <v>1</v>
      </c>
      <c r="M41">
        <v>1</v>
      </c>
      <c r="N41">
        <v>1</v>
      </c>
      <c r="P41">
        <v>1.8905549049377439</v>
      </c>
    </row>
    <row r="42" spans="1:16" x14ac:dyDescent="0.25">
      <c r="A42" t="s">
        <v>202</v>
      </c>
      <c r="B42" t="s">
        <v>63</v>
      </c>
      <c r="C42">
        <v>0</v>
      </c>
      <c r="D42">
        <v>1</v>
      </c>
      <c r="E42">
        <v>1</v>
      </c>
      <c r="F42">
        <v>1</v>
      </c>
      <c r="G42">
        <v>1</v>
      </c>
      <c r="H42">
        <v>1</v>
      </c>
      <c r="I42">
        <v>1</v>
      </c>
      <c r="J42">
        <v>1</v>
      </c>
      <c r="K42">
        <v>1</v>
      </c>
      <c r="L42">
        <v>1</v>
      </c>
      <c r="M42">
        <v>1</v>
      </c>
      <c r="N42">
        <v>1</v>
      </c>
      <c r="P42">
        <v>1.4934732913970949</v>
      </c>
    </row>
    <row r="43" spans="1:16" x14ac:dyDescent="0.25">
      <c r="A43" t="s">
        <v>202</v>
      </c>
      <c r="B43" t="s">
        <v>64</v>
      </c>
      <c r="C43">
        <v>0</v>
      </c>
      <c r="D43">
        <v>1</v>
      </c>
      <c r="E43">
        <v>1</v>
      </c>
      <c r="F43">
        <v>1</v>
      </c>
      <c r="G43">
        <v>1</v>
      </c>
      <c r="H43">
        <v>1</v>
      </c>
      <c r="I43">
        <v>1</v>
      </c>
      <c r="J43">
        <v>1</v>
      </c>
      <c r="K43">
        <v>1</v>
      </c>
      <c r="L43">
        <v>1</v>
      </c>
      <c r="M43">
        <v>1</v>
      </c>
      <c r="N43">
        <v>1</v>
      </c>
      <c r="P43">
        <v>1.354717969894409</v>
      </c>
    </row>
    <row r="44" spans="1:16" x14ac:dyDescent="0.25">
      <c r="A44" t="s">
        <v>202</v>
      </c>
      <c r="B44" t="s">
        <v>65</v>
      </c>
      <c r="C44">
        <v>0</v>
      </c>
      <c r="D44">
        <v>1</v>
      </c>
      <c r="E44">
        <v>1</v>
      </c>
      <c r="F44">
        <v>1</v>
      </c>
      <c r="G44">
        <v>1</v>
      </c>
      <c r="H44">
        <v>1</v>
      </c>
      <c r="I44">
        <v>1</v>
      </c>
      <c r="J44">
        <v>1</v>
      </c>
      <c r="K44">
        <v>1</v>
      </c>
      <c r="L44">
        <v>1</v>
      </c>
      <c r="M44">
        <v>1</v>
      </c>
      <c r="N44">
        <v>1</v>
      </c>
      <c r="P44">
        <v>1.3628461360931401</v>
      </c>
    </row>
    <row r="45" spans="1:16" x14ac:dyDescent="0.25">
      <c r="A45" t="s">
        <v>202</v>
      </c>
      <c r="B45" t="s">
        <v>66</v>
      </c>
      <c r="C45">
        <v>0</v>
      </c>
      <c r="D45">
        <v>1</v>
      </c>
      <c r="E45">
        <v>1</v>
      </c>
      <c r="F45">
        <v>1</v>
      </c>
      <c r="G45">
        <v>1</v>
      </c>
      <c r="H45">
        <v>1</v>
      </c>
      <c r="I45">
        <v>1</v>
      </c>
      <c r="J45">
        <v>1</v>
      </c>
      <c r="K45">
        <v>1</v>
      </c>
      <c r="L45">
        <v>1</v>
      </c>
      <c r="M45">
        <v>1</v>
      </c>
      <c r="N45">
        <v>1</v>
      </c>
      <c r="P45">
        <v>1.7945044040679929</v>
      </c>
    </row>
    <row r="46" spans="1:16" x14ac:dyDescent="0.25">
      <c r="A46" t="s">
        <v>202</v>
      </c>
      <c r="B46" t="s">
        <v>67</v>
      </c>
      <c r="C46">
        <v>0</v>
      </c>
      <c r="D46">
        <v>1</v>
      </c>
      <c r="E46">
        <v>1</v>
      </c>
      <c r="F46">
        <v>1</v>
      </c>
      <c r="G46">
        <v>1</v>
      </c>
      <c r="H46">
        <v>1</v>
      </c>
      <c r="I46">
        <v>1</v>
      </c>
      <c r="J46">
        <v>1</v>
      </c>
      <c r="K46">
        <v>1</v>
      </c>
      <c r="L46">
        <v>1</v>
      </c>
      <c r="M46">
        <v>1</v>
      </c>
      <c r="N46">
        <v>1</v>
      </c>
      <c r="P46">
        <v>1.655641555786133</v>
      </c>
    </row>
    <row r="47" spans="1:16" x14ac:dyDescent="0.25">
      <c r="A47" t="s">
        <v>202</v>
      </c>
      <c r="B47" t="s">
        <v>68</v>
      </c>
      <c r="C47">
        <v>0</v>
      </c>
      <c r="D47">
        <v>1</v>
      </c>
      <c r="E47">
        <v>0</v>
      </c>
      <c r="F47">
        <v>1</v>
      </c>
      <c r="G47">
        <v>1</v>
      </c>
      <c r="H47">
        <v>1</v>
      </c>
      <c r="I47">
        <v>1</v>
      </c>
      <c r="J47">
        <v>1</v>
      </c>
      <c r="K47">
        <v>1</v>
      </c>
      <c r="L47">
        <v>1</v>
      </c>
      <c r="M47">
        <v>1</v>
      </c>
      <c r="N47">
        <v>1</v>
      </c>
      <c r="O47" t="s">
        <v>69</v>
      </c>
      <c r="P47">
        <v>3.655553817749023</v>
      </c>
    </row>
    <row r="48" spans="1:16" x14ac:dyDescent="0.25">
      <c r="A48" t="s">
        <v>202</v>
      </c>
      <c r="B48" t="s">
        <v>70</v>
      </c>
      <c r="C48">
        <v>0</v>
      </c>
      <c r="D48">
        <v>1</v>
      </c>
      <c r="E48">
        <v>1</v>
      </c>
      <c r="F48">
        <v>1</v>
      </c>
      <c r="G48">
        <v>1</v>
      </c>
      <c r="H48">
        <v>1</v>
      </c>
      <c r="I48">
        <v>1</v>
      </c>
      <c r="J48">
        <v>1</v>
      </c>
      <c r="K48">
        <v>1</v>
      </c>
      <c r="L48">
        <v>1</v>
      </c>
      <c r="M48">
        <v>1</v>
      </c>
      <c r="N48">
        <v>1</v>
      </c>
      <c r="P48">
        <v>2.1854455471038818</v>
      </c>
    </row>
    <row r="49" spans="1:16" x14ac:dyDescent="0.25">
      <c r="A49" t="s">
        <v>202</v>
      </c>
      <c r="B49" t="s">
        <v>71</v>
      </c>
      <c r="C49">
        <v>0</v>
      </c>
      <c r="D49">
        <v>1</v>
      </c>
      <c r="E49">
        <v>1</v>
      </c>
      <c r="F49">
        <v>1</v>
      </c>
      <c r="G49">
        <v>1</v>
      </c>
      <c r="H49">
        <v>1</v>
      </c>
      <c r="I49">
        <v>1</v>
      </c>
      <c r="J49">
        <v>1</v>
      </c>
      <c r="K49">
        <v>1</v>
      </c>
      <c r="L49">
        <v>1</v>
      </c>
      <c r="M49">
        <v>1</v>
      </c>
      <c r="N49">
        <v>1</v>
      </c>
      <c r="P49">
        <v>1.624114990234375</v>
      </c>
    </row>
    <row r="50" spans="1:16" x14ac:dyDescent="0.25">
      <c r="A50" t="s">
        <v>202</v>
      </c>
      <c r="B50" t="s">
        <v>72</v>
      </c>
      <c r="C50">
        <v>0</v>
      </c>
      <c r="D50">
        <v>1</v>
      </c>
      <c r="E50">
        <v>1</v>
      </c>
      <c r="F50">
        <v>1</v>
      </c>
      <c r="G50">
        <v>1</v>
      </c>
      <c r="H50">
        <v>1</v>
      </c>
      <c r="I50">
        <v>1</v>
      </c>
      <c r="J50">
        <v>1</v>
      </c>
      <c r="K50">
        <v>1</v>
      </c>
      <c r="L50">
        <v>1</v>
      </c>
      <c r="M50">
        <v>1</v>
      </c>
      <c r="N50">
        <v>1</v>
      </c>
      <c r="P50">
        <v>2.8084042072296138</v>
      </c>
    </row>
    <row r="51" spans="1:16" x14ac:dyDescent="0.25">
      <c r="A51" t="s">
        <v>202</v>
      </c>
      <c r="B51" t="s">
        <v>73</v>
      </c>
      <c r="C51">
        <v>0</v>
      </c>
      <c r="D51">
        <v>1</v>
      </c>
      <c r="E51">
        <v>1</v>
      </c>
      <c r="F51">
        <v>1</v>
      </c>
      <c r="G51">
        <v>1</v>
      </c>
      <c r="H51">
        <v>1</v>
      </c>
      <c r="I51">
        <v>1</v>
      </c>
      <c r="J51">
        <v>1</v>
      </c>
      <c r="K51">
        <v>1</v>
      </c>
      <c r="L51">
        <v>1</v>
      </c>
      <c r="M51">
        <v>1</v>
      </c>
      <c r="N51">
        <v>1</v>
      </c>
      <c r="P51">
        <v>1.815400123596191</v>
      </c>
    </row>
    <row r="52" spans="1:16" x14ac:dyDescent="0.25">
      <c r="A52" t="s">
        <v>202</v>
      </c>
      <c r="B52" t="s">
        <v>74</v>
      </c>
      <c r="C52">
        <v>0</v>
      </c>
      <c r="D52">
        <v>1</v>
      </c>
      <c r="E52">
        <v>1</v>
      </c>
      <c r="F52">
        <v>1</v>
      </c>
      <c r="G52">
        <v>1</v>
      </c>
      <c r="H52">
        <v>1</v>
      </c>
      <c r="I52">
        <v>1</v>
      </c>
      <c r="J52">
        <v>1</v>
      </c>
      <c r="K52">
        <v>1</v>
      </c>
      <c r="L52">
        <v>1</v>
      </c>
      <c r="M52">
        <v>1</v>
      </c>
      <c r="N52">
        <v>1</v>
      </c>
      <c r="P52">
        <v>1.3119421005249019</v>
      </c>
    </row>
    <row r="53" spans="1:16" x14ac:dyDescent="0.25">
      <c r="A53" t="s">
        <v>202</v>
      </c>
      <c r="B53" t="s">
        <v>75</v>
      </c>
      <c r="C53">
        <v>0</v>
      </c>
      <c r="D53">
        <v>1</v>
      </c>
      <c r="E53">
        <v>1</v>
      </c>
      <c r="F53">
        <v>1</v>
      </c>
      <c r="G53">
        <v>1</v>
      </c>
      <c r="H53">
        <v>1</v>
      </c>
      <c r="I53">
        <v>1</v>
      </c>
      <c r="J53">
        <v>1</v>
      </c>
      <c r="K53">
        <v>1</v>
      </c>
      <c r="L53">
        <v>1</v>
      </c>
      <c r="M53">
        <v>1</v>
      </c>
      <c r="N53">
        <v>1</v>
      </c>
      <c r="P53">
        <v>1.80150294303894</v>
      </c>
    </row>
    <row r="54" spans="1:16" x14ac:dyDescent="0.25">
      <c r="A54" t="s">
        <v>202</v>
      </c>
      <c r="B54" t="s">
        <v>76</v>
      </c>
      <c r="C54">
        <v>0</v>
      </c>
      <c r="D54">
        <v>1</v>
      </c>
      <c r="E54">
        <v>1</v>
      </c>
      <c r="F54">
        <v>1</v>
      </c>
      <c r="G54">
        <v>1</v>
      </c>
      <c r="H54">
        <v>1</v>
      </c>
      <c r="I54">
        <v>1</v>
      </c>
      <c r="J54">
        <v>1</v>
      </c>
      <c r="K54">
        <v>1</v>
      </c>
      <c r="L54">
        <v>1</v>
      </c>
      <c r="M54">
        <v>1</v>
      </c>
      <c r="N54">
        <v>1</v>
      </c>
      <c r="P54">
        <v>1.2760283946990969</v>
      </c>
    </row>
    <row r="55" spans="1:16" x14ac:dyDescent="0.25">
      <c r="A55" t="s">
        <v>202</v>
      </c>
      <c r="B55" t="s">
        <v>77</v>
      </c>
      <c r="C55">
        <v>0</v>
      </c>
      <c r="D55">
        <v>1</v>
      </c>
      <c r="E55">
        <v>1</v>
      </c>
      <c r="F55">
        <v>1</v>
      </c>
      <c r="G55">
        <v>1</v>
      </c>
      <c r="H55">
        <v>1</v>
      </c>
      <c r="I55">
        <v>0</v>
      </c>
      <c r="J55">
        <v>1</v>
      </c>
      <c r="K55">
        <v>1</v>
      </c>
      <c r="L55">
        <v>0</v>
      </c>
      <c r="M55">
        <v>1</v>
      </c>
      <c r="N55">
        <v>1</v>
      </c>
      <c r="O55" t="s">
        <v>78</v>
      </c>
      <c r="P55">
        <v>2.5354714393615718</v>
      </c>
    </row>
    <row r="56" spans="1:16" x14ac:dyDescent="0.25">
      <c r="A56" t="s">
        <v>202</v>
      </c>
      <c r="B56" t="s">
        <v>79</v>
      </c>
      <c r="C56">
        <v>0</v>
      </c>
      <c r="D56">
        <v>1</v>
      </c>
      <c r="E56">
        <v>1</v>
      </c>
      <c r="F56">
        <v>1</v>
      </c>
      <c r="G56">
        <v>1</v>
      </c>
      <c r="H56">
        <v>1</v>
      </c>
      <c r="I56">
        <v>0</v>
      </c>
      <c r="J56">
        <v>1</v>
      </c>
      <c r="K56">
        <v>1</v>
      </c>
      <c r="L56">
        <v>1</v>
      </c>
      <c r="M56">
        <v>1</v>
      </c>
      <c r="N56">
        <v>1</v>
      </c>
      <c r="O56" t="s">
        <v>80</v>
      </c>
      <c r="P56">
        <v>1.895055294036865</v>
      </c>
    </row>
    <row r="57" spans="1:16" x14ac:dyDescent="0.25">
      <c r="A57" t="s">
        <v>202</v>
      </c>
      <c r="B57" t="s">
        <v>81</v>
      </c>
      <c r="C57">
        <v>0</v>
      </c>
      <c r="D57">
        <v>1</v>
      </c>
      <c r="E57">
        <v>1</v>
      </c>
      <c r="F57">
        <v>1</v>
      </c>
      <c r="G57">
        <v>1</v>
      </c>
      <c r="H57">
        <v>1</v>
      </c>
      <c r="I57">
        <v>1</v>
      </c>
      <c r="J57">
        <v>1</v>
      </c>
      <c r="K57">
        <v>1</v>
      </c>
      <c r="L57">
        <v>1</v>
      </c>
      <c r="M57">
        <v>1</v>
      </c>
      <c r="N57">
        <v>1</v>
      </c>
      <c r="P57">
        <v>1.639870882034302</v>
      </c>
    </row>
    <row r="58" spans="1:16" x14ac:dyDescent="0.25">
      <c r="A58" t="s">
        <v>202</v>
      </c>
      <c r="B58" t="s">
        <v>82</v>
      </c>
      <c r="C58">
        <v>0</v>
      </c>
      <c r="D58">
        <v>1</v>
      </c>
      <c r="E58">
        <v>1</v>
      </c>
      <c r="F58">
        <v>1</v>
      </c>
      <c r="G58">
        <v>1</v>
      </c>
      <c r="H58">
        <v>1</v>
      </c>
      <c r="I58">
        <v>1</v>
      </c>
      <c r="J58">
        <v>1</v>
      </c>
      <c r="K58">
        <v>1</v>
      </c>
      <c r="L58">
        <v>1</v>
      </c>
      <c r="M58">
        <v>1</v>
      </c>
      <c r="N58">
        <v>1</v>
      </c>
      <c r="P58">
        <v>1.502420902252197</v>
      </c>
    </row>
    <row r="59" spans="1:16" x14ac:dyDescent="0.25">
      <c r="A59" t="s">
        <v>202</v>
      </c>
      <c r="B59" t="s">
        <v>83</v>
      </c>
      <c r="C59">
        <v>0</v>
      </c>
      <c r="D59">
        <v>1</v>
      </c>
      <c r="E59">
        <v>1</v>
      </c>
      <c r="F59">
        <v>1</v>
      </c>
      <c r="G59">
        <v>1</v>
      </c>
      <c r="H59">
        <v>1</v>
      </c>
      <c r="I59">
        <v>1</v>
      </c>
      <c r="J59">
        <v>1</v>
      </c>
      <c r="K59">
        <v>1</v>
      </c>
      <c r="L59">
        <v>1</v>
      </c>
      <c r="M59">
        <v>1</v>
      </c>
      <c r="N59">
        <v>1</v>
      </c>
      <c r="P59">
        <v>1.380845785140991</v>
      </c>
    </row>
    <row r="60" spans="1:16" x14ac:dyDescent="0.25">
      <c r="A60" t="s">
        <v>202</v>
      </c>
      <c r="B60" t="s">
        <v>84</v>
      </c>
      <c r="C60">
        <v>0</v>
      </c>
      <c r="D60">
        <v>1</v>
      </c>
      <c r="E60">
        <v>0</v>
      </c>
      <c r="F60">
        <v>1</v>
      </c>
      <c r="G60">
        <v>1</v>
      </c>
      <c r="H60">
        <v>1</v>
      </c>
      <c r="I60">
        <v>1</v>
      </c>
      <c r="J60">
        <v>0</v>
      </c>
      <c r="K60">
        <v>1</v>
      </c>
      <c r="L60">
        <v>1</v>
      </c>
      <c r="M60">
        <v>1</v>
      </c>
      <c r="N60">
        <v>1</v>
      </c>
      <c r="O60" t="s">
        <v>85</v>
      </c>
      <c r="P60">
        <v>3.4792628288269039</v>
      </c>
    </row>
    <row r="61" spans="1:16" x14ac:dyDescent="0.25">
      <c r="A61" t="s">
        <v>202</v>
      </c>
      <c r="B61" t="s">
        <v>86</v>
      </c>
      <c r="C61">
        <v>0</v>
      </c>
      <c r="D61">
        <v>1</v>
      </c>
      <c r="E61">
        <v>1</v>
      </c>
      <c r="F61">
        <v>1</v>
      </c>
      <c r="G61">
        <v>1</v>
      </c>
      <c r="H61">
        <v>1</v>
      </c>
      <c r="I61">
        <v>1</v>
      </c>
      <c r="J61">
        <v>1</v>
      </c>
      <c r="K61">
        <v>1</v>
      </c>
      <c r="L61">
        <v>1</v>
      </c>
      <c r="M61">
        <v>1</v>
      </c>
      <c r="N61">
        <v>1</v>
      </c>
      <c r="P61">
        <v>1.3007409572601321</v>
      </c>
    </row>
    <row r="62" spans="1:16" x14ac:dyDescent="0.25">
      <c r="A62" t="s">
        <v>202</v>
      </c>
      <c r="B62" t="s">
        <v>87</v>
      </c>
      <c r="C62">
        <v>0</v>
      </c>
      <c r="D62">
        <v>1</v>
      </c>
      <c r="E62">
        <v>1</v>
      </c>
      <c r="F62">
        <v>1</v>
      </c>
      <c r="G62">
        <v>1</v>
      </c>
      <c r="H62">
        <v>1</v>
      </c>
      <c r="I62">
        <v>1</v>
      </c>
      <c r="J62">
        <v>1</v>
      </c>
      <c r="K62">
        <v>1</v>
      </c>
      <c r="L62">
        <v>1</v>
      </c>
      <c r="M62">
        <v>1</v>
      </c>
      <c r="N62">
        <v>1</v>
      </c>
      <c r="P62">
        <v>1.5608305931091311</v>
      </c>
    </row>
    <row r="63" spans="1:16" x14ac:dyDescent="0.25">
      <c r="A63" t="s">
        <v>202</v>
      </c>
      <c r="B63" t="s">
        <v>88</v>
      </c>
      <c r="C63">
        <v>0</v>
      </c>
      <c r="D63">
        <v>1</v>
      </c>
      <c r="E63">
        <v>1</v>
      </c>
      <c r="F63">
        <v>1</v>
      </c>
      <c r="G63">
        <v>1</v>
      </c>
      <c r="H63">
        <v>1</v>
      </c>
      <c r="I63">
        <v>1</v>
      </c>
      <c r="J63">
        <v>1</v>
      </c>
      <c r="K63">
        <v>1</v>
      </c>
      <c r="L63">
        <v>1</v>
      </c>
      <c r="M63">
        <v>1</v>
      </c>
      <c r="N63">
        <v>1</v>
      </c>
      <c r="P63">
        <v>1.557188749313354</v>
      </c>
    </row>
    <row r="64" spans="1:16" x14ac:dyDescent="0.25">
      <c r="A64" t="s">
        <v>202</v>
      </c>
      <c r="B64" t="s">
        <v>89</v>
      </c>
      <c r="C64">
        <v>0</v>
      </c>
      <c r="D64">
        <v>1</v>
      </c>
      <c r="E64">
        <v>1</v>
      </c>
      <c r="F64">
        <v>1</v>
      </c>
      <c r="G64">
        <v>1</v>
      </c>
      <c r="H64">
        <v>0</v>
      </c>
      <c r="I64">
        <v>0</v>
      </c>
      <c r="J64">
        <v>1</v>
      </c>
      <c r="K64">
        <v>1</v>
      </c>
      <c r="L64">
        <v>1</v>
      </c>
      <c r="M64">
        <v>1</v>
      </c>
      <c r="N64">
        <v>1</v>
      </c>
      <c r="O64" t="s">
        <v>90</v>
      </c>
      <c r="P64">
        <v>6.2496933937072754</v>
      </c>
    </row>
    <row r="65" spans="1:16" x14ac:dyDescent="0.25">
      <c r="A65" t="s">
        <v>202</v>
      </c>
      <c r="B65" t="s">
        <v>91</v>
      </c>
      <c r="C65">
        <v>0</v>
      </c>
      <c r="D65">
        <v>1</v>
      </c>
      <c r="E65">
        <v>1</v>
      </c>
      <c r="F65">
        <v>1</v>
      </c>
      <c r="G65">
        <v>1</v>
      </c>
      <c r="H65">
        <v>1</v>
      </c>
      <c r="I65">
        <v>1</v>
      </c>
      <c r="J65">
        <v>1</v>
      </c>
      <c r="K65">
        <v>1</v>
      </c>
      <c r="L65">
        <v>1</v>
      </c>
      <c r="M65">
        <v>1</v>
      </c>
      <c r="N65">
        <v>1</v>
      </c>
      <c r="P65">
        <v>1.6918847560882571</v>
      </c>
    </row>
    <row r="66" spans="1:16" x14ac:dyDescent="0.25">
      <c r="A66" t="s">
        <v>202</v>
      </c>
      <c r="B66" t="s">
        <v>92</v>
      </c>
      <c r="C66">
        <v>0</v>
      </c>
      <c r="D66">
        <v>1</v>
      </c>
      <c r="E66">
        <v>1</v>
      </c>
      <c r="F66">
        <v>1</v>
      </c>
      <c r="G66">
        <v>1</v>
      </c>
      <c r="H66">
        <v>1</v>
      </c>
      <c r="I66">
        <v>0</v>
      </c>
      <c r="J66">
        <v>1</v>
      </c>
      <c r="K66">
        <v>1</v>
      </c>
      <c r="L66">
        <v>1</v>
      </c>
      <c r="M66">
        <v>1</v>
      </c>
      <c r="N66">
        <v>1</v>
      </c>
      <c r="O66" t="s">
        <v>93</v>
      </c>
      <c r="P66">
        <v>2.7967574596405029</v>
      </c>
    </row>
    <row r="67" spans="1:16" x14ac:dyDescent="0.25">
      <c r="A67" t="s">
        <v>202</v>
      </c>
      <c r="B67" t="s">
        <v>94</v>
      </c>
      <c r="C67">
        <v>0</v>
      </c>
      <c r="D67">
        <v>1</v>
      </c>
      <c r="E67">
        <v>1</v>
      </c>
      <c r="F67">
        <v>0</v>
      </c>
      <c r="G67">
        <v>1</v>
      </c>
      <c r="H67">
        <v>1</v>
      </c>
      <c r="I67">
        <v>1</v>
      </c>
      <c r="J67">
        <v>0</v>
      </c>
      <c r="K67">
        <v>1</v>
      </c>
      <c r="L67">
        <v>1</v>
      </c>
      <c r="M67">
        <v>1</v>
      </c>
      <c r="N67">
        <v>1</v>
      </c>
      <c r="O67" t="s">
        <v>95</v>
      </c>
      <c r="P67">
        <v>1.9493691921234131</v>
      </c>
    </row>
    <row r="68" spans="1:16" x14ac:dyDescent="0.25">
      <c r="A68" t="s">
        <v>202</v>
      </c>
      <c r="B68" t="s">
        <v>96</v>
      </c>
      <c r="C68">
        <v>0</v>
      </c>
      <c r="D68">
        <v>1</v>
      </c>
      <c r="E68">
        <v>1</v>
      </c>
      <c r="F68">
        <v>1</v>
      </c>
      <c r="G68">
        <v>1</v>
      </c>
      <c r="H68">
        <v>1</v>
      </c>
      <c r="I68">
        <v>1</v>
      </c>
      <c r="J68">
        <v>1</v>
      </c>
      <c r="K68">
        <v>1</v>
      </c>
      <c r="L68">
        <v>1</v>
      </c>
      <c r="M68">
        <v>1</v>
      </c>
      <c r="N68">
        <v>1</v>
      </c>
      <c r="P68">
        <v>1.362370491027832</v>
      </c>
    </row>
    <row r="69" spans="1:16" x14ac:dyDescent="0.25">
      <c r="A69" t="s">
        <v>202</v>
      </c>
      <c r="B69" t="s">
        <v>97</v>
      </c>
      <c r="C69">
        <v>0</v>
      </c>
      <c r="D69">
        <v>1</v>
      </c>
      <c r="E69">
        <v>1</v>
      </c>
      <c r="F69">
        <v>1</v>
      </c>
      <c r="G69">
        <v>1</v>
      </c>
      <c r="H69">
        <v>1</v>
      </c>
      <c r="I69">
        <v>1</v>
      </c>
      <c r="J69">
        <v>1</v>
      </c>
      <c r="K69">
        <v>1</v>
      </c>
      <c r="L69">
        <v>1</v>
      </c>
      <c r="M69">
        <v>1</v>
      </c>
      <c r="N69">
        <v>1</v>
      </c>
      <c r="P69">
        <v>1.320590019226074</v>
      </c>
    </row>
    <row r="70" spans="1:16" x14ac:dyDescent="0.25">
      <c r="A70" t="s">
        <v>202</v>
      </c>
      <c r="B70" t="s">
        <v>98</v>
      </c>
      <c r="C70">
        <v>0</v>
      </c>
      <c r="D70">
        <v>1</v>
      </c>
      <c r="E70">
        <v>1</v>
      </c>
      <c r="F70">
        <v>1</v>
      </c>
      <c r="G70">
        <v>1</v>
      </c>
      <c r="H70">
        <v>1</v>
      </c>
      <c r="I70">
        <v>1</v>
      </c>
      <c r="J70">
        <v>1</v>
      </c>
      <c r="K70">
        <v>1</v>
      </c>
      <c r="L70">
        <v>1</v>
      </c>
      <c r="M70">
        <v>1</v>
      </c>
      <c r="N70">
        <v>1</v>
      </c>
      <c r="P70">
        <v>1.4133510589599609</v>
      </c>
    </row>
    <row r="71" spans="1:16" x14ac:dyDescent="0.25">
      <c r="A71" t="s">
        <v>202</v>
      </c>
      <c r="B71" t="s">
        <v>99</v>
      </c>
      <c r="C71">
        <v>0</v>
      </c>
      <c r="D71">
        <v>1</v>
      </c>
      <c r="E71">
        <v>1</v>
      </c>
      <c r="F71">
        <v>1</v>
      </c>
      <c r="G71">
        <v>1</v>
      </c>
      <c r="H71">
        <v>1</v>
      </c>
      <c r="I71">
        <v>1</v>
      </c>
      <c r="J71">
        <v>1</v>
      </c>
      <c r="K71">
        <v>1</v>
      </c>
      <c r="L71">
        <v>1</v>
      </c>
      <c r="M71">
        <v>1</v>
      </c>
      <c r="N71">
        <v>1</v>
      </c>
      <c r="P71">
        <v>1.6631486415863039</v>
      </c>
    </row>
    <row r="72" spans="1:16" x14ac:dyDescent="0.25">
      <c r="A72" t="s">
        <v>202</v>
      </c>
      <c r="B72" t="s">
        <v>100</v>
      </c>
      <c r="C72">
        <v>0</v>
      </c>
      <c r="D72">
        <v>1</v>
      </c>
      <c r="E72">
        <v>1</v>
      </c>
      <c r="F72">
        <v>1</v>
      </c>
      <c r="G72">
        <v>1</v>
      </c>
      <c r="H72">
        <v>1</v>
      </c>
      <c r="I72">
        <v>1</v>
      </c>
      <c r="J72">
        <v>1</v>
      </c>
      <c r="K72">
        <v>1</v>
      </c>
      <c r="L72">
        <v>1</v>
      </c>
      <c r="M72">
        <v>1</v>
      </c>
      <c r="N72">
        <v>1</v>
      </c>
      <c r="P72">
        <v>3.2820804119110112</v>
      </c>
    </row>
    <row r="73" spans="1:16" x14ac:dyDescent="0.25">
      <c r="A73" t="s">
        <v>202</v>
      </c>
      <c r="B73" t="s">
        <v>101</v>
      </c>
      <c r="C73">
        <v>0</v>
      </c>
      <c r="D73">
        <v>1</v>
      </c>
      <c r="E73">
        <v>1</v>
      </c>
      <c r="F73">
        <v>1</v>
      </c>
      <c r="G73">
        <v>1</v>
      </c>
      <c r="H73">
        <v>1</v>
      </c>
      <c r="I73">
        <v>1</v>
      </c>
      <c r="J73">
        <v>1</v>
      </c>
      <c r="K73">
        <v>1</v>
      </c>
      <c r="L73">
        <v>1</v>
      </c>
      <c r="M73">
        <v>1</v>
      </c>
      <c r="N73">
        <v>1</v>
      </c>
      <c r="P73">
        <v>1.6384308338165281</v>
      </c>
    </row>
    <row r="74" spans="1:16" x14ac:dyDescent="0.25">
      <c r="A74" t="s">
        <v>202</v>
      </c>
      <c r="B74" t="s">
        <v>102</v>
      </c>
      <c r="C74">
        <v>0</v>
      </c>
      <c r="D74">
        <v>1</v>
      </c>
      <c r="E74">
        <v>1</v>
      </c>
      <c r="F74">
        <v>1</v>
      </c>
      <c r="G74">
        <v>1</v>
      </c>
      <c r="H74">
        <v>1</v>
      </c>
      <c r="I74">
        <v>1</v>
      </c>
      <c r="J74">
        <v>1</v>
      </c>
      <c r="K74">
        <v>1</v>
      </c>
      <c r="L74">
        <v>1</v>
      </c>
      <c r="M74">
        <v>1</v>
      </c>
      <c r="N74">
        <v>1</v>
      </c>
      <c r="P74">
        <v>1.4174304008483889</v>
      </c>
    </row>
    <row r="75" spans="1:16" x14ac:dyDescent="0.25">
      <c r="A75" t="s">
        <v>202</v>
      </c>
      <c r="B75" t="s">
        <v>103</v>
      </c>
      <c r="C75">
        <v>0</v>
      </c>
      <c r="D75">
        <v>1</v>
      </c>
      <c r="E75">
        <v>1</v>
      </c>
      <c r="F75">
        <v>1</v>
      </c>
      <c r="G75">
        <v>1</v>
      </c>
      <c r="H75">
        <v>1</v>
      </c>
      <c r="I75">
        <v>1</v>
      </c>
      <c r="J75">
        <v>1</v>
      </c>
      <c r="K75">
        <v>1</v>
      </c>
      <c r="L75">
        <v>1</v>
      </c>
      <c r="M75">
        <v>1</v>
      </c>
      <c r="N75">
        <v>1</v>
      </c>
      <c r="P75">
        <v>1.9762141704559331</v>
      </c>
    </row>
    <row r="76" spans="1:16" x14ac:dyDescent="0.25">
      <c r="A76" t="s">
        <v>202</v>
      </c>
      <c r="B76" t="s">
        <v>104</v>
      </c>
      <c r="C76">
        <v>0</v>
      </c>
      <c r="D76">
        <v>1</v>
      </c>
      <c r="E76">
        <v>1</v>
      </c>
      <c r="F76">
        <v>1</v>
      </c>
      <c r="G76">
        <v>1</v>
      </c>
      <c r="H76">
        <v>1</v>
      </c>
      <c r="I76">
        <v>1</v>
      </c>
      <c r="J76">
        <v>1</v>
      </c>
      <c r="K76">
        <v>1</v>
      </c>
      <c r="L76">
        <v>1</v>
      </c>
      <c r="M76">
        <v>1</v>
      </c>
      <c r="N76">
        <v>1</v>
      </c>
      <c r="P76">
        <v>1.587580680847168</v>
      </c>
    </row>
    <row r="77" spans="1:16" x14ac:dyDescent="0.25">
      <c r="A77" t="s">
        <v>202</v>
      </c>
      <c r="B77" t="s">
        <v>105</v>
      </c>
      <c r="C77">
        <v>0</v>
      </c>
      <c r="D77">
        <v>1</v>
      </c>
      <c r="E77">
        <v>1</v>
      </c>
      <c r="F77">
        <v>1</v>
      </c>
      <c r="G77">
        <v>1</v>
      </c>
      <c r="H77">
        <v>1</v>
      </c>
      <c r="I77">
        <v>1</v>
      </c>
      <c r="J77">
        <v>1</v>
      </c>
      <c r="K77">
        <v>1</v>
      </c>
      <c r="L77">
        <v>1</v>
      </c>
      <c r="M77">
        <v>1</v>
      </c>
      <c r="N77">
        <v>1</v>
      </c>
      <c r="P77">
        <v>1.4621074199676509</v>
      </c>
    </row>
    <row r="78" spans="1:16" x14ac:dyDescent="0.25">
      <c r="A78" t="s">
        <v>202</v>
      </c>
      <c r="B78" t="s">
        <v>106</v>
      </c>
      <c r="C78">
        <v>0</v>
      </c>
      <c r="D78">
        <v>1</v>
      </c>
      <c r="E78">
        <v>1</v>
      </c>
      <c r="F78">
        <v>1</v>
      </c>
      <c r="G78">
        <v>1</v>
      </c>
      <c r="H78">
        <v>1</v>
      </c>
      <c r="I78">
        <v>1</v>
      </c>
      <c r="J78">
        <v>1</v>
      </c>
      <c r="K78">
        <v>1</v>
      </c>
      <c r="L78">
        <v>1</v>
      </c>
      <c r="M78">
        <v>1</v>
      </c>
      <c r="N78">
        <v>1</v>
      </c>
      <c r="P78">
        <v>1.4380490779876709</v>
      </c>
    </row>
    <row r="79" spans="1:16" x14ac:dyDescent="0.25">
      <c r="A79" t="s">
        <v>202</v>
      </c>
      <c r="B79" t="s">
        <v>107</v>
      </c>
      <c r="C79">
        <v>0</v>
      </c>
      <c r="D79">
        <v>1</v>
      </c>
      <c r="E79">
        <v>1</v>
      </c>
      <c r="F79">
        <v>1</v>
      </c>
      <c r="G79">
        <v>1</v>
      </c>
      <c r="H79">
        <v>1</v>
      </c>
      <c r="I79">
        <v>1</v>
      </c>
      <c r="J79">
        <v>1</v>
      </c>
      <c r="K79">
        <v>1</v>
      </c>
      <c r="L79">
        <v>1</v>
      </c>
      <c r="M79">
        <v>1</v>
      </c>
      <c r="N79">
        <v>1</v>
      </c>
      <c r="P79">
        <v>1.4952907562255859</v>
      </c>
    </row>
    <row r="80" spans="1:16" x14ac:dyDescent="0.25">
      <c r="A80" t="s">
        <v>202</v>
      </c>
      <c r="B80" t="s">
        <v>108</v>
      </c>
      <c r="C80">
        <v>0</v>
      </c>
      <c r="D80">
        <v>1</v>
      </c>
      <c r="E80">
        <v>1</v>
      </c>
      <c r="F80">
        <v>1</v>
      </c>
      <c r="G80">
        <v>1</v>
      </c>
      <c r="H80">
        <v>1</v>
      </c>
      <c r="I80">
        <v>1</v>
      </c>
      <c r="J80">
        <v>1</v>
      </c>
      <c r="K80">
        <v>1</v>
      </c>
      <c r="L80">
        <v>1</v>
      </c>
      <c r="M80">
        <v>1</v>
      </c>
      <c r="N80">
        <v>1</v>
      </c>
      <c r="P80">
        <v>1.6615254878997801</v>
      </c>
    </row>
    <row r="81" spans="1:16" x14ac:dyDescent="0.25">
      <c r="A81" t="s">
        <v>202</v>
      </c>
      <c r="B81" t="s">
        <v>109</v>
      </c>
      <c r="C81">
        <v>0</v>
      </c>
      <c r="D81">
        <v>1</v>
      </c>
      <c r="E81">
        <v>1</v>
      </c>
      <c r="F81">
        <v>0</v>
      </c>
      <c r="G81">
        <v>1</v>
      </c>
      <c r="H81">
        <v>1</v>
      </c>
      <c r="I81">
        <v>1</v>
      </c>
      <c r="J81">
        <v>0</v>
      </c>
      <c r="K81">
        <v>1</v>
      </c>
      <c r="L81">
        <v>1</v>
      </c>
      <c r="M81">
        <v>1</v>
      </c>
      <c r="N81">
        <v>1</v>
      </c>
      <c r="O81" t="s">
        <v>110</v>
      </c>
      <c r="P81">
        <v>3.342621803283691</v>
      </c>
    </row>
    <row r="82" spans="1:16" x14ac:dyDescent="0.25">
      <c r="A82" t="s">
        <v>202</v>
      </c>
      <c r="B82" t="s">
        <v>111</v>
      </c>
      <c r="C82">
        <v>0</v>
      </c>
      <c r="D82">
        <v>1</v>
      </c>
      <c r="E82">
        <v>1</v>
      </c>
      <c r="F82">
        <v>1</v>
      </c>
      <c r="G82">
        <v>1</v>
      </c>
      <c r="H82">
        <v>1</v>
      </c>
      <c r="I82">
        <v>1</v>
      </c>
      <c r="J82">
        <v>1</v>
      </c>
      <c r="K82">
        <v>1</v>
      </c>
      <c r="L82">
        <v>1</v>
      </c>
      <c r="M82">
        <v>1</v>
      </c>
      <c r="N82">
        <v>1</v>
      </c>
      <c r="P82">
        <v>1.5374841690063481</v>
      </c>
    </row>
    <row r="83" spans="1:16" x14ac:dyDescent="0.25">
      <c r="A83" t="s">
        <v>202</v>
      </c>
      <c r="B83" t="s">
        <v>112</v>
      </c>
      <c r="C83">
        <v>0</v>
      </c>
      <c r="D83">
        <v>1</v>
      </c>
      <c r="E83">
        <v>1</v>
      </c>
      <c r="F83">
        <v>1</v>
      </c>
      <c r="G83">
        <v>1</v>
      </c>
      <c r="H83">
        <v>1</v>
      </c>
      <c r="I83">
        <v>1</v>
      </c>
      <c r="J83">
        <v>1</v>
      </c>
      <c r="K83">
        <v>1</v>
      </c>
      <c r="L83">
        <v>1</v>
      </c>
      <c r="M83">
        <v>1</v>
      </c>
      <c r="N83">
        <v>1</v>
      </c>
      <c r="P83">
        <v>1.414985656738281</v>
      </c>
    </row>
    <row r="84" spans="1:16" x14ac:dyDescent="0.25">
      <c r="A84" t="s">
        <v>202</v>
      </c>
      <c r="B84" t="s">
        <v>113</v>
      </c>
      <c r="C84">
        <v>0</v>
      </c>
      <c r="D84">
        <v>1</v>
      </c>
      <c r="E84">
        <v>1</v>
      </c>
      <c r="F84">
        <v>1</v>
      </c>
      <c r="G84">
        <v>1</v>
      </c>
      <c r="H84">
        <v>1</v>
      </c>
      <c r="I84">
        <v>1</v>
      </c>
      <c r="J84">
        <v>1</v>
      </c>
      <c r="K84">
        <v>1</v>
      </c>
      <c r="L84">
        <v>1</v>
      </c>
      <c r="M84">
        <v>1</v>
      </c>
      <c r="N84">
        <v>1</v>
      </c>
      <c r="P84">
        <v>1.3971540927886961</v>
      </c>
    </row>
    <row r="85" spans="1:16" x14ac:dyDescent="0.25">
      <c r="A85" t="s">
        <v>202</v>
      </c>
      <c r="B85" t="s">
        <v>114</v>
      </c>
      <c r="C85">
        <v>0</v>
      </c>
      <c r="D85">
        <v>1</v>
      </c>
      <c r="E85">
        <v>1</v>
      </c>
      <c r="F85">
        <v>1</v>
      </c>
      <c r="G85">
        <v>1</v>
      </c>
      <c r="H85">
        <v>1</v>
      </c>
      <c r="I85">
        <v>1</v>
      </c>
      <c r="J85">
        <v>1</v>
      </c>
      <c r="K85">
        <v>1</v>
      </c>
      <c r="L85">
        <v>1</v>
      </c>
      <c r="M85">
        <v>1</v>
      </c>
      <c r="N85">
        <v>1</v>
      </c>
      <c r="P85">
        <v>1.5567798614501951</v>
      </c>
    </row>
    <row r="86" spans="1:16" x14ac:dyDescent="0.25">
      <c r="A86" t="s">
        <v>202</v>
      </c>
      <c r="B86" t="s">
        <v>115</v>
      </c>
      <c r="C86">
        <v>0</v>
      </c>
      <c r="D86">
        <v>1</v>
      </c>
      <c r="E86">
        <v>1</v>
      </c>
      <c r="F86">
        <v>1</v>
      </c>
      <c r="G86">
        <v>1</v>
      </c>
      <c r="H86">
        <v>1</v>
      </c>
      <c r="I86">
        <v>1</v>
      </c>
      <c r="J86">
        <v>1</v>
      </c>
      <c r="K86">
        <v>1</v>
      </c>
      <c r="L86">
        <v>1</v>
      </c>
      <c r="M86">
        <v>1</v>
      </c>
      <c r="N86">
        <v>1</v>
      </c>
      <c r="P86">
        <v>1.526137590408325</v>
      </c>
    </row>
    <row r="87" spans="1:16" x14ac:dyDescent="0.25">
      <c r="A87" t="s">
        <v>202</v>
      </c>
      <c r="B87" t="s">
        <v>116</v>
      </c>
      <c r="C87">
        <v>0</v>
      </c>
      <c r="D87">
        <v>1</v>
      </c>
      <c r="E87">
        <v>1</v>
      </c>
      <c r="F87">
        <v>1</v>
      </c>
      <c r="G87">
        <v>1</v>
      </c>
      <c r="H87">
        <v>1</v>
      </c>
      <c r="I87">
        <v>1</v>
      </c>
      <c r="J87">
        <v>1</v>
      </c>
      <c r="K87">
        <v>1</v>
      </c>
      <c r="L87">
        <v>1</v>
      </c>
      <c r="M87">
        <v>1</v>
      </c>
      <c r="N87">
        <v>1</v>
      </c>
      <c r="P87">
        <v>1.6243255138397219</v>
      </c>
    </row>
    <row r="88" spans="1:16" x14ac:dyDescent="0.25">
      <c r="A88" t="s">
        <v>202</v>
      </c>
      <c r="B88" t="s">
        <v>117</v>
      </c>
      <c r="C88">
        <v>0</v>
      </c>
      <c r="D88">
        <v>1</v>
      </c>
      <c r="E88">
        <v>1</v>
      </c>
      <c r="F88">
        <v>1</v>
      </c>
      <c r="G88">
        <v>1</v>
      </c>
      <c r="H88">
        <v>1</v>
      </c>
      <c r="I88">
        <v>1</v>
      </c>
      <c r="J88">
        <v>1</v>
      </c>
      <c r="K88">
        <v>1</v>
      </c>
      <c r="L88">
        <v>1</v>
      </c>
      <c r="M88">
        <v>1</v>
      </c>
      <c r="N88">
        <v>1</v>
      </c>
      <c r="P88">
        <v>1.5870857238769529</v>
      </c>
    </row>
    <row r="89" spans="1:16" x14ac:dyDescent="0.25">
      <c r="A89" t="s">
        <v>202</v>
      </c>
      <c r="B89" t="s">
        <v>118</v>
      </c>
      <c r="C89">
        <v>0</v>
      </c>
      <c r="D89">
        <v>1</v>
      </c>
      <c r="E89">
        <v>1</v>
      </c>
      <c r="F89">
        <v>1</v>
      </c>
      <c r="G89">
        <v>1</v>
      </c>
      <c r="H89">
        <v>1</v>
      </c>
      <c r="I89">
        <v>1</v>
      </c>
      <c r="J89">
        <v>1</v>
      </c>
      <c r="K89">
        <v>1</v>
      </c>
      <c r="L89">
        <v>1</v>
      </c>
      <c r="M89">
        <v>1</v>
      </c>
      <c r="N89">
        <v>1</v>
      </c>
      <c r="P89">
        <v>2.718297958374023</v>
      </c>
    </row>
    <row r="90" spans="1:16" x14ac:dyDescent="0.25">
      <c r="A90" t="s">
        <v>202</v>
      </c>
      <c r="B90" t="s">
        <v>119</v>
      </c>
      <c r="C90">
        <v>0</v>
      </c>
      <c r="D90">
        <v>1</v>
      </c>
      <c r="E90">
        <v>1</v>
      </c>
      <c r="F90">
        <v>1</v>
      </c>
      <c r="G90">
        <v>1</v>
      </c>
      <c r="H90">
        <v>1</v>
      </c>
      <c r="I90">
        <v>1</v>
      </c>
      <c r="J90">
        <v>1</v>
      </c>
      <c r="K90">
        <v>1</v>
      </c>
      <c r="L90">
        <v>1</v>
      </c>
      <c r="M90">
        <v>1</v>
      </c>
      <c r="N90">
        <v>1</v>
      </c>
      <c r="P90">
        <v>1.5058896541595459</v>
      </c>
    </row>
    <row r="91" spans="1:16" x14ac:dyDescent="0.25">
      <c r="A91" t="s">
        <v>202</v>
      </c>
      <c r="B91" t="s">
        <v>120</v>
      </c>
      <c r="C91">
        <v>0</v>
      </c>
      <c r="D91">
        <v>1</v>
      </c>
      <c r="E91">
        <v>1</v>
      </c>
      <c r="F91">
        <v>1</v>
      </c>
      <c r="G91">
        <v>1</v>
      </c>
      <c r="H91">
        <v>1</v>
      </c>
      <c r="I91">
        <v>1</v>
      </c>
      <c r="J91">
        <v>1</v>
      </c>
      <c r="K91">
        <v>1</v>
      </c>
      <c r="L91">
        <v>1</v>
      </c>
      <c r="M91">
        <v>1</v>
      </c>
      <c r="N91">
        <v>1</v>
      </c>
      <c r="P91">
        <v>1.6400279998779299</v>
      </c>
    </row>
    <row r="92" spans="1:16" x14ac:dyDescent="0.25">
      <c r="A92" t="s">
        <v>202</v>
      </c>
      <c r="B92" t="s">
        <v>121</v>
      </c>
      <c r="C92">
        <v>0</v>
      </c>
      <c r="D92">
        <v>1</v>
      </c>
      <c r="E92">
        <v>1</v>
      </c>
      <c r="F92">
        <v>1</v>
      </c>
      <c r="G92">
        <v>1</v>
      </c>
      <c r="H92">
        <v>1</v>
      </c>
      <c r="I92">
        <v>1</v>
      </c>
      <c r="J92">
        <v>1</v>
      </c>
      <c r="K92">
        <v>1</v>
      </c>
      <c r="L92">
        <v>1</v>
      </c>
      <c r="M92">
        <v>1</v>
      </c>
      <c r="N92">
        <v>1</v>
      </c>
      <c r="P92">
        <v>1.4112687110900879</v>
      </c>
    </row>
    <row r="93" spans="1:16" x14ac:dyDescent="0.25">
      <c r="A93" t="s">
        <v>202</v>
      </c>
      <c r="B93" t="s">
        <v>122</v>
      </c>
      <c r="C93">
        <v>0</v>
      </c>
      <c r="D93">
        <v>1</v>
      </c>
      <c r="E93">
        <v>1</v>
      </c>
      <c r="F93">
        <v>1</v>
      </c>
      <c r="G93">
        <v>1</v>
      </c>
      <c r="H93">
        <v>1</v>
      </c>
      <c r="I93">
        <v>1</v>
      </c>
      <c r="J93">
        <v>1</v>
      </c>
      <c r="K93">
        <v>1</v>
      </c>
      <c r="L93">
        <v>1</v>
      </c>
      <c r="M93">
        <v>1</v>
      </c>
      <c r="N93">
        <v>1</v>
      </c>
      <c r="P93">
        <v>1.3247063159942629</v>
      </c>
    </row>
    <row r="94" spans="1:16" x14ac:dyDescent="0.25">
      <c r="A94" t="s">
        <v>202</v>
      </c>
      <c r="B94" t="s">
        <v>123</v>
      </c>
      <c r="C94">
        <v>0</v>
      </c>
      <c r="D94">
        <v>1</v>
      </c>
      <c r="E94">
        <v>1</v>
      </c>
      <c r="F94">
        <v>1</v>
      </c>
      <c r="G94">
        <v>1</v>
      </c>
      <c r="H94">
        <v>1</v>
      </c>
      <c r="I94">
        <v>1</v>
      </c>
      <c r="J94">
        <v>1</v>
      </c>
      <c r="K94">
        <v>1</v>
      </c>
      <c r="L94">
        <v>1</v>
      </c>
      <c r="M94">
        <v>1</v>
      </c>
      <c r="N94">
        <v>1</v>
      </c>
      <c r="P94">
        <v>1.439132452011108</v>
      </c>
    </row>
    <row r="95" spans="1:16" x14ac:dyDescent="0.25">
      <c r="A95" t="s">
        <v>202</v>
      </c>
      <c r="B95" t="s">
        <v>124</v>
      </c>
      <c r="C95">
        <v>0</v>
      </c>
      <c r="D95">
        <v>1</v>
      </c>
      <c r="E95">
        <v>1</v>
      </c>
      <c r="F95">
        <v>1</v>
      </c>
      <c r="G95">
        <v>1</v>
      </c>
      <c r="H95">
        <v>1</v>
      </c>
      <c r="I95">
        <v>1</v>
      </c>
      <c r="J95">
        <v>1</v>
      </c>
      <c r="K95">
        <v>1</v>
      </c>
      <c r="L95">
        <v>1</v>
      </c>
      <c r="M95">
        <v>1</v>
      </c>
      <c r="N95">
        <v>1</v>
      </c>
      <c r="P95">
        <v>1.560322046279907</v>
      </c>
    </row>
    <row r="96" spans="1:16" x14ac:dyDescent="0.25">
      <c r="A96" t="s">
        <v>202</v>
      </c>
      <c r="B96" t="s">
        <v>125</v>
      </c>
      <c r="C96">
        <v>0</v>
      </c>
      <c r="D96">
        <v>1</v>
      </c>
      <c r="E96">
        <v>1</v>
      </c>
      <c r="F96">
        <v>1</v>
      </c>
      <c r="G96">
        <v>1</v>
      </c>
      <c r="H96">
        <v>1</v>
      </c>
      <c r="I96">
        <v>1</v>
      </c>
      <c r="J96">
        <v>1</v>
      </c>
      <c r="K96">
        <v>1</v>
      </c>
      <c r="L96">
        <v>1</v>
      </c>
      <c r="M96">
        <v>1</v>
      </c>
      <c r="N96">
        <v>1</v>
      </c>
      <c r="P96">
        <v>1.479774475097656</v>
      </c>
    </row>
    <row r="97" spans="1:16" x14ac:dyDescent="0.25">
      <c r="A97" t="s">
        <v>202</v>
      </c>
      <c r="B97" t="s">
        <v>126</v>
      </c>
      <c r="C97">
        <v>0</v>
      </c>
      <c r="D97">
        <v>1</v>
      </c>
      <c r="E97">
        <v>1</v>
      </c>
      <c r="F97">
        <v>1</v>
      </c>
      <c r="G97">
        <v>1</v>
      </c>
      <c r="H97">
        <v>1</v>
      </c>
      <c r="I97">
        <v>1</v>
      </c>
      <c r="J97">
        <v>1</v>
      </c>
      <c r="K97">
        <v>1</v>
      </c>
      <c r="L97">
        <v>1</v>
      </c>
      <c r="M97">
        <v>1</v>
      </c>
      <c r="N97">
        <v>1</v>
      </c>
      <c r="P97">
        <v>1.3927211761474609</v>
      </c>
    </row>
    <row r="98" spans="1:16" x14ac:dyDescent="0.25">
      <c r="A98" t="s">
        <v>202</v>
      </c>
      <c r="B98" t="s">
        <v>127</v>
      </c>
      <c r="C98">
        <v>0</v>
      </c>
      <c r="D98">
        <v>1</v>
      </c>
      <c r="E98">
        <v>1</v>
      </c>
      <c r="F98">
        <v>1</v>
      </c>
      <c r="G98">
        <v>1</v>
      </c>
      <c r="H98">
        <v>1</v>
      </c>
      <c r="I98">
        <v>1</v>
      </c>
      <c r="J98">
        <v>1</v>
      </c>
      <c r="K98">
        <v>1</v>
      </c>
      <c r="L98">
        <v>1</v>
      </c>
      <c r="M98">
        <v>1</v>
      </c>
      <c r="N98">
        <v>1</v>
      </c>
      <c r="P98">
        <v>1.4324791431427</v>
      </c>
    </row>
    <row r="99" spans="1:16" x14ac:dyDescent="0.25">
      <c r="A99" t="s">
        <v>202</v>
      </c>
      <c r="B99" t="s">
        <v>128</v>
      </c>
      <c r="C99">
        <v>0</v>
      </c>
      <c r="D99">
        <v>1</v>
      </c>
      <c r="E99">
        <v>0</v>
      </c>
      <c r="F99">
        <v>1</v>
      </c>
      <c r="G99">
        <v>1</v>
      </c>
      <c r="H99">
        <v>1</v>
      </c>
      <c r="I99">
        <v>1</v>
      </c>
      <c r="J99">
        <v>1</v>
      </c>
      <c r="K99">
        <v>1</v>
      </c>
      <c r="L99">
        <v>1</v>
      </c>
      <c r="M99">
        <v>1</v>
      </c>
      <c r="N99">
        <v>1</v>
      </c>
      <c r="O99" t="s">
        <v>129</v>
      </c>
      <c r="P99">
        <v>2.9555854797363281</v>
      </c>
    </row>
    <row r="100" spans="1:16" x14ac:dyDescent="0.25">
      <c r="A100" t="s">
        <v>202</v>
      </c>
      <c r="B100" t="s">
        <v>130</v>
      </c>
      <c r="C100">
        <v>0</v>
      </c>
      <c r="D100">
        <v>1</v>
      </c>
      <c r="E100">
        <v>1</v>
      </c>
      <c r="F100">
        <v>1</v>
      </c>
      <c r="G100">
        <v>1</v>
      </c>
      <c r="H100">
        <v>1</v>
      </c>
      <c r="I100">
        <v>1</v>
      </c>
      <c r="J100">
        <v>1</v>
      </c>
      <c r="K100">
        <v>1</v>
      </c>
      <c r="L100">
        <v>1</v>
      </c>
      <c r="M100">
        <v>1</v>
      </c>
      <c r="N100">
        <v>1</v>
      </c>
      <c r="P100">
        <v>1.427013635635376</v>
      </c>
    </row>
    <row r="101" spans="1:16" x14ac:dyDescent="0.25">
      <c r="A101" t="s">
        <v>202</v>
      </c>
      <c r="B101" t="s">
        <v>131</v>
      </c>
      <c r="C101">
        <v>0</v>
      </c>
      <c r="D101">
        <v>0</v>
      </c>
      <c r="E101">
        <v>0</v>
      </c>
      <c r="F101">
        <v>0</v>
      </c>
      <c r="G101">
        <v>1</v>
      </c>
      <c r="H101">
        <v>1</v>
      </c>
      <c r="I101">
        <v>1</v>
      </c>
      <c r="J101">
        <v>0</v>
      </c>
      <c r="K101">
        <v>0</v>
      </c>
      <c r="L101">
        <v>0</v>
      </c>
      <c r="M101">
        <v>1</v>
      </c>
      <c r="N101">
        <v>1</v>
      </c>
      <c r="O101" t="s">
        <v>132</v>
      </c>
      <c r="P101">
        <v>4.01143479347229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1"/>
  <sheetViews>
    <sheetView workbookViewId="0">
      <selection activeCell="A2" sqref="A2:A101"/>
    </sheetView>
  </sheetViews>
  <sheetFormatPr defaultRowHeight="13.8"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202</v>
      </c>
      <c r="B2" t="s">
        <v>16</v>
      </c>
      <c r="C2">
        <v>0</v>
      </c>
      <c r="D2">
        <v>1</v>
      </c>
      <c r="E2">
        <v>1</v>
      </c>
      <c r="F2">
        <v>1</v>
      </c>
      <c r="G2">
        <v>1</v>
      </c>
      <c r="H2">
        <v>1</v>
      </c>
      <c r="I2">
        <v>1</v>
      </c>
      <c r="J2">
        <v>1</v>
      </c>
      <c r="K2">
        <v>1</v>
      </c>
      <c r="L2">
        <v>1</v>
      </c>
      <c r="M2">
        <v>1</v>
      </c>
      <c r="N2">
        <v>1</v>
      </c>
      <c r="P2">
        <v>1.5273787975311279</v>
      </c>
    </row>
    <row r="3" spans="1:16" x14ac:dyDescent="0.25">
      <c r="A3" t="s">
        <v>202</v>
      </c>
      <c r="B3" t="s">
        <v>17</v>
      </c>
      <c r="C3">
        <v>0</v>
      </c>
      <c r="D3">
        <v>1</v>
      </c>
      <c r="E3">
        <v>1</v>
      </c>
      <c r="F3">
        <v>1</v>
      </c>
      <c r="G3">
        <v>1</v>
      </c>
      <c r="H3">
        <v>1</v>
      </c>
      <c r="I3">
        <v>1</v>
      </c>
      <c r="J3">
        <v>1</v>
      </c>
      <c r="K3">
        <v>1</v>
      </c>
      <c r="L3">
        <v>1</v>
      </c>
      <c r="M3">
        <v>1</v>
      </c>
      <c r="N3">
        <v>1</v>
      </c>
      <c r="P3">
        <v>1.4075608253478999</v>
      </c>
    </row>
    <row r="4" spans="1:16" x14ac:dyDescent="0.25">
      <c r="A4" t="s">
        <v>202</v>
      </c>
      <c r="B4" t="s">
        <v>19</v>
      </c>
      <c r="C4">
        <v>0</v>
      </c>
      <c r="D4">
        <v>1</v>
      </c>
      <c r="E4">
        <v>1</v>
      </c>
      <c r="F4">
        <v>1</v>
      </c>
      <c r="G4">
        <v>1</v>
      </c>
      <c r="H4">
        <v>1</v>
      </c>
      <c r="I4">
        <v>1</v>
      </c>
      <c r="J4">
        <v>1</v>
      </c>
      <c r="K4">
        <v>1</v>
      </c>
      <c r="L4">
        <v>1</v>
      </c>
      <c r="M4">
        <v>1</v>
      </c>
      <c r="N4">
        <v>1</v>
      </c>
      <c r="P4">
        <v>1.3210968971252439</v>
      </c>
    </row>
    <row r="5" spans="1:16" x14ac:dyDescent="0.25">
      <c r="A5" t="s">
        <v>202</v>
      </c>
      <c r="B5" t="s">
        <v>20</v>
      </c>
      <c r="C5">
        <v>0</v>
      </c>
      <c r="D5">
        <v>1</v>
      </c>
      <c r="E5">
        <v>1</v>
      </c>
      <c r="F5">
        <v>1</v>
      </c>
      <c r="G5">
        <v>1</v>
      </c>
      <c r="H5">
        <v>1</v>
      </c>
      <c r="I5">
        <v>1</v>
      </c>
      <c r="J5">
        <v>1</v>
      </c>
      <c r="K5">
        <v>1</v>
      </c>
      <c r="L5">
        <v>1</v>
      </c>
      <c r="M5">
        <v>1</v>
      </c>
      <c r="N5">
        <v>1</v>
      </c>
      <c r="P5">
        <v>1.5837023258209231</v>
      </c>
    </row>
    <row r="6" spans="1:16" x14ac:dyDescent="0.25">
      <c r="A6" t="s">
        <v>202</v>
      </c>
      <c r="B6" t="s">
        <v>21</v>
      </c>
      <c r="C6">
        <v>0</v>
      </c>
      <c r="D6">
        <v>1</v>
      </c>
      <c r="E6">
        <v>1</v>
      </c>
      <c r="F6">
        <v>1</v>
      </c>
      <c r="G6">
        <v>1</v>
      </c>
      <c r="H6">
        <v>1</v>
      </c>
      <c r="I6">
        <v>1</v>
      </c>
      <c r="J6">
        <v>1</v>
      </c>
      <c r="K6">
        <v>1</v>
      </c>
      <c r="L6">
        <v>1</v>
      </c>
      <c r="M6">
        <v>1</v>
      </c>
      <c r="N6">
        <v>1</v>
      </c>
      <c r="P6">
        <v>4.0828680992126456</v>
      </c>
    </row>
    <row r="7" spans="1:16" x14ac:dyDescent="0.25">
      <c r="A7" t="s">
        <v>202</v>
      </c>
      <c r="B7" t="s">
        <v>22</v>
      </c>
      <c r="C7">
        <v>0</v>
      </c>
      <c r="D7">
        <v>1</v>
      </c>
      <c r="E7">
        <v>1</v>
      </c>
      <c r="F7">
        <v>1</v>
      </c>
      <c r="G7">
        <v>1</v>
      </c>
      <c r="H7">
        <v>1</v>
      </c>
      <c r="I7">
        <v>1</v>
      </c>
      <c r="J7">
        <v>1</v>
      </c>
      <c r="K7">
        <v>1</v>
      </c>
      <c r="L7">
        <v>1</v>
      </c>
      <c r="M7">
        <v>1</v>
      </c>
      <c r="N7">
        <v>1</v>
      </c>
      <c r="P7">
        <v>1.8642516136169429</v>
      </c>
    </row>
    <row r="8" spans="1:16" x14ac:dyDescent="0.25">
      <c r="A8" t="s">
        <v>202</v>
      </c>
      <c r="B8" t="s">
        <v>23</v>
      </c>
      <c r="C8">
        <v>0</v>
      </c>
      <c r="D8">
        <v>1</v>
      </c>
      <c r="E8">
        <v>1</v>
      </c>
      <c r="F8">
        <v>1</v>
      </c>
      <c r="G8">
        <v>1</v>
      </c>
      <c r="H8">
        <v>1</v>
      </c>
      <c r="I8">
        <v>1</v>
      </c>
      <c r="J8">
        <v>1</v>
      </c>
      <c r="K8">
        <v>1</v>
      </c>
      <c r="L8">
        <v>1</v>
      </c>
      <c r="M8">
        <v>1</v>
      </c>
      <c r="N8">
        <v>1</v>
      </c>
      <c r="P8">
        <v>2.1124007701873779</v>
      </c>
    </row>
    <row r="9" spans="1:16" x14ac:dyDescent="0.25">
      <c r="A9" t="s">
        <v>202</v>
      </c>
      <c r="B9" t="s">
        <v>24</v>
      </c>
      <c r="C9">
        <v>0</v>
      </c>
      <c r="D9">
        <v>1</v>
      </c>
      <c r="E9">
        <v>1</v>
      </c>
      <c r="F9">
        <v>1</v>
      </c>
      <c r="G9">
        <v>1</v>
      </c>
      <c r="H9">
        <v>1</v>
      </c>
      <c r="I9">
        <v>1</v>
      </c>
      <c r="J9">
        <v>1</v>
      </c>
      <c r="K9">
        <v>1</v>
      </c>
      <c r="L9">
        <v>1</v>
      </c>
      <c r="M9">
        <v>1</v>
      </c>
      <c r="N9">
        <v>1</v>
      </c>
      <c r="P9">
        <v>1.528655529022217</v>
      </c>
    </row>
    <row r="10" spans="1:16" x14ac:dyDescent="0.25">
      <c r="A10" t="s">
        <v>202</v>
      </c>
      <c r="B10" t="s">
        <v>25</v>
      </c>
      <c r="C10">
        <v>0</v>
      </c>
      <c r="D10">
        <v>1</v>
      </c>
      <c r="E10">
        <v>1</v>
      </c>
      <c r="F10">
        <v>1</v>
      </c>
      <c r="G10">
        <v>1</v>
      </c>
      <c r="H10">
        <v>1</v>
      </c>
      <c r="I10">
        <v>1</v>
      </c>
      <c r="J10">
        <v>1</v>
      </c>
      <c r="K10">
        <v>1</v>
      </c>
      <c r="L10">
        <v>1</v>
      </c>
      <c r="M10">
        <v>1</v>
      </c>
      <c r="N10">
        <v>1</v>
      </c>
      <c r="P10">
        <v>1.345336437225342</v>
      </c>
    </row>
    <row r="11" spans="1:16" x14ac:dyDescent="0.25">
      <c r="A11" t="s">
        <v>202</v>
      </c>
      <c r="B11" t="s">
        <v>26</v>
      </c>
      <c r="C11">
        <v>0</v>
      </c>
      <c r="D11">
        <v>1</v>
      </c>
      <c r="E11">
        <v>1</v>
      </c>
      <c r="F11">
        <v>1</v>
      </c>
      <c r="G11">
        <v>1</v>
      </c>
      <c r="H11">
        <v>1</v>
      </c>
      <c r="I11">
        <v>1</v>
      </c>
      <c r="J11">
        <v>1</v>
      </c>
      <c r="K11">
        <v>1</v>
      </c>
      <c r="L11">
        <v>1</v>
      </c>
      <c r="M11">
        <v>1</v>
      </c>
      <c r="N11">
        <v>1</v>
      </c>
      <c r="P11">
        <v>1.42566967010498</v>
      </c>
    </row>
    <row r="12" spans="1:16" x14ac:dyDescent="0.25">
      <c r="A12" t="s">
        <v>202</v>
      </c>
      <c r="B12" t="s">
        <v>27</v>
      </c>
      <c r="C12">
        <v>0</v>
      </c>
      <c r="D12">
        <v>1</v>
      </c>
      <c r="E12">
        <v>0</v>
      </c>
      <c r="F12">
        <v>1</v>
      </c>
      <c r="G12">
        <v>1</v>
      </c>
      <c r="H12">
        <v>1</v>
      </c>
      <c r="I12">
        <v>1</v>
      </c>
      <c r="J12">
        <v>1</v>
      </c>
      <c r="K12">
        <v>1</v>
      </c>
      <c r="L12">
        <v>1</v>
      </c>
      <c r="M12">
        <v>1</v>
      </c>
      <c r="N12">
        <v>1</v>
      </c>
      <c r="O12" t="s">
        <v>133</v>
      </c>
      <c r="P12">
        <v>2.6095788478851318</v>
      </c>
    </row>
    <row r="13" spans="1:16" x14ac:dyDescent="0.25">
      <c r="A13" t="s">
        <v>202</v>
      </c>
      <c r="B13" t="s">
        <v>29</v>
      </c>
      <c r="C13">
        <v>0</v>
      </c>
      <c r="D13">
        <v>1</v>
      </c>
      <c r="E13">
        <v>1</v>
      </c>
      <c r="F13">
        <v>1</v>
      </c>
      <c r="G13">
        <v>1</v>
      </c>
      <c r="H13">
        <v>1</v>
      </c>
      <c r="I13">
        <v>1</v>
      </c>
      <c r="J13">
        <v>1</v>
      </c>
      <c r="K13">
        <v>1</v>
      </c>
      <c r="L13">
        <v>1</v>
      </c>
      <c r="M13">
        <v>1</v>
      </c>
      <c r="N13">
        <v>1</v>
      </c>
      <c r="P13">
        <v>1.673741817474365</v>
      </c>
    </row>
    <row r="14" spans="1:16" x14ac:dyDescent="0.25">
      <c r="A14" t="s">
        <v>202</v>
      </c>
      <c r="B14" t="s">
        <v>30</v>
      </c>
      <c r="C14">
        <v>0</v>
      </c>
      <c r="D14">
        <v>1</v>
      </c>
      <c r="E14">
        <v>0</v>
      </c>
      <c r="F14">
        <v>1</v>
      </c>
      <c r="G14">
        <v>1</v>
      </c>
      <c r="H14">
        <v>1</v>
      </c>
      <c r="I14">
        <v>1</v>
      </c>
      <c r="J14">
        <v>0</v>
      </c>
      <c r="K14">
        <v>1</v>
      </c>
      <c r="L14">
        <v>1</v>
      </c>
      <c r="M14">
        <v>1</v>
      </c>
      <c r="N14">
        <v>1</v>
      </c>
      <c r="O14" t="s">
        <v>134</v>
      </c>
      <c r="P14">
        <v>4.3861274719238281</v>
      </c>
    </row>
    <row r="15" spans="1:16" x14ac:dyDescent="0.25">
      <c r="A15" t="s">
        <v>202</v>
      </c>
      <c r="B15" t="s">
        <v>31</v>
      </c>
      <c r="C15">
        <v>0</v>
      </c>
      <c r="D15">
        <v>1</v>
      </c>
      <c r="E15">
        <v>1</v>
      </c>
      <c r="F15">
        <v>0</v>
      </c>
      <c r="G15">
        <v>1</v>
      </c>
      <c r="H15">
        <v>1</v>
      </c>
      <c r="I15">
        <v>1</v>
      </c>
      <c r="J15">
        <v>0</v>
      </c>
      <c r="K15">
        <v>1</v>
      </c>
      <c r="L15">
        <v>1</v>
      </c>
      <c r="M15">
        <v>1</v>
      </c>
      <c r="N15">
        <v>1</v>
      </c>
      <c r="O15" t="s">
        <v>135</v>
      </c>
      <c r="P15">
        <v>4.2382125854492188</v>
      </c>
    </row>
    <row r="16" spans="1:16" x14ac:dyDescent="0.25">
      <c r="A16" t="s">
        <v>202</v>
      </c>
      <c r="B16" t="s">
        <v>33</v>
      </c>
      <c r="C16">
        <v>0</v>
      </c>
      <c r="D16">
        <v>1</v>
      </c>
      <c r="E16">
        <v>0</v>
      </c>
      <c r="F16">
        <v>1</v>
      </c>
      <c r="G16">
        <v>1</v>
      </c>
      <c r="H16">
        <v>1</v>
      </c>
      <c r="I16">
        <v>1</v>
      </c>
      <c r="J16">
        <v>1</v>
      </c>
      <c r="K16">
        <v>1</v>
      </c>
      <c r="L16">
        <v>1</v>
      </c>
      <c r="M16">
        <v>1</v>
      </c>
      <c r="N16">
        <v>1</v>
      </c>
      <c r="O16" t="s">
        <v>136</v>
      </c>
      <c r="P16">
        <v>1.9724752902984619</v>
      </c>
    </row>
    <row r="17" spans="1:16" x14ac:dyDescent="0.25">
      <c r="A17" t="s">
        <v>202</v>
      </c>
      <c r="B17" t="s">
        <v>35</v>
      </c>
      <c r="C17">
        <v>0</v>
      </c>
      <c r="D17">
        <v>1</v>
      </c>
      <c r="E17">
        <v>1</v>
      </c>
      <c r="F17">
        <v>1</v>
      </c>
      <c r="G17">
        <v>1</v>
      </c>
      <c r="H17">
        <v>1</v>
      </c>
      <c r="I17">
        <v>1</v>
      </c>
      <c r="J17">
        <v>1</v>
      </c>
      <c r="K17">
        <v>1</v>
      </c>
      <c r="L17">
        <v>1</v>
      </c>
      <c r="M17">
        <v>1</v>
      </c>
      <c r="N17">
        <v>1</v>
      </c>
      <c r="P17">
        <v>1.255410432815552</v>
      </c>
    </row>
    <row r="18" spans="1:16" x14ac:dyDescent="0.25">
      <c r="A18" t="s">
        <v>202</v>
      </c>
      <c r="B18" t="s">
        <v>36</v>
      </c>
      <c r="C18">
        <v>0</v>
      </c>
      <c r="D18">
        <v>1</v>
      </c>
      <c r="E18">
        <v>1</v>
      </c>
      <c r="F18">
        <v>1</v>
      </c>
      <c r="G18">
        <v>1</v>
      </c>
      <c r="H18">
        <v>1</v>
      </c>
      <c r="I18">
        <v>1</v>
      </c>
      <c r="J18">
        <v>1</v>
      </c>
      <c r="K18">
        <v>1</v>
      </c>
      <c r="L18">
        <v>1</v>
      </c>
      <c r="M18">
        <v>1</v>
      </c>
      <c r="N18">
        <v>1</v>
      </c>
      <c r="P18">
        <v>3.113533735275269</v>
      </c>
    </row>
    <row r="19" spans="1:16" x14ac:dyDescent="0.25">
      <c r="A19" t="s">
        <v>202</v>
      </c>
      <c r="B19" t="s">
        <v>37</v>
      </c>
      <c r="C19">
        <v>0</v>
      </c>
      <c r="D19">
        <v>1</v>
      </c>
      <c r="E19">
        <v>1</v>
      </c>
      <c r="F19">
        <v>1</v>
      </c>
      <c r="G19">
        <v>0</v>
      </c>
      <c r="H19">
        <v>1</v>
      </c>
      <c r="I19">
        <v>1</v>
      </c>
      <c r="J19">
        <v>1</v>
      </c>
      <c r="K19">
        <v>1</v>
      </c>
      <c r="L19">
        <v>1</v>
      </c>
      <c r="M19">
        <v>1</v>
      </c>
      <c r="N19">
        <v>1</v>
      </c>
      <c r="O19" t="s">
        <v>137</v>
      </c>
      <c r="P19">
        <v>2.21983790397644</v>
      </c>
    </row>
    <row r="20" spans="1:16" x14ac:dyDescent="0.25">
      <c r="A20" t="s">
        <v>202</v>
      </c>
      <c r="B20" t="s">
        <v>39</v>
      </c>
      <c r="C20">
        <v>0</v>
      </c>
      <c r="D20">
        <v>1</v>
      </c>
      <c r="E20">
        <v>1</v>
      </c>
      <c r="F20">
        <v>1</v>
      </c>
      <c r="G20">
        <v>1</v>
      </c>
      <c r="H20">
        <v>1</v>
      </c>
      <c r="I20">
        <v>1</v>
      </c>
      <c r="J20">
        <v>1</v>
      </c>
      <c r="K20">
        <v>1</v>
      </c>
      <c r="L20">
        <v>1</v>
      </c>
      <c r="M20">
        <v>1</v>
      </c>
      <c r="N20">
        <v>1</v>
      </c>
      <c r="P20">
        <v>3.0761115550994869</v>
      </c>
    </row>
    <row r="21" spans="1:16" x14ac:dyDescent="0.25">
      <c r="A21" t="s">
        <v>202</v>
      </c>
      <c r="B21" t="s">
        <v>40</v>
      </c>
      <c r="C21">
        <v>0</v>
      </c>
      <c r="D21">
        <v>1</v>
      </c>
      <c r="E21">
        <v>1</v>
      </c>
      <c r="F21">
        <v>1</v>
      </c>
      <c r="G21">
        <v>1</v>
      </c>
      <c r="H21">
        <v>1</v>
      </c>
      <c r="I21">
        <v>1</v>
      </c>
      <c r="J21">
        <v>1</v>
      </c>
      <c r="K21">
        <v>1</v>
      </c>
      <c r="L21">
        <v>1</v>
      </c>
      <c r="M21">
        <v>1</v>
      </c>
      <c r="N21">
        <v>1</v>
      </c>
      <c r="P21">
        <v>1.4663224220275879</v>
      </c>
    </row>
    <row r="22" spans="1:16" x14ac:dyDescent="0.25">
      <c r="A22" t="s">
        <v>202</v>
      </c>
      <c r="B22" t="s">
        <v>41</v>
      </c>
      <c r="C22">
        <v>0</v>
      </c>
      <c r="D22">
        <v>1</v>
      </c>
      <c r="E22">
        <v>1</v>
      </c>
      <c r="F22">
        <v>1</v>
      </c>
      <c r="G22">
        <v>1</v>
      </c>
      <c r="H22">
        <v>1</v>
      </c>
      <c r="I22">
        <v>1</v>
      </c>
      <c r="J22">
        <v>1</v>
      </c>
      <c r="K22">
        <v>1</v>
      </c>
      <c r="L22">
        <v>1</v>
      </c>
      <c r="M22">
        <v>1</v>
      </c>
      <c r="N22">
        <v>1</v>
      </c>
      <c r="P22">
        <v>2.0367453098297119</v>
      </c>
    </row>
    <row r="23" spans="1:16" x14ac:dyDescent="0.25">
      <c r="A23" t="s">
        <v>202</v>
      </c>
      <c r="B23" t="s">
        <v>42</v>
      </c>
      <c r="C23">
        <v>0</v>
      </c>
      <c r="D23">
        <v>1</v>
      </c>
      <c r="E23">
        <v>1</v>
      </c>
      <c r="F23">
        <v>1</v>
      </c>
      <c r="G23">
        <v>1</v>
      </c>
      <c r="H23">
        <v>1</v>
      </c>
      <c r="I23">
        <v>1</v>
      </c>
      <c r="J23">
        <v>1</v>
      </c>
      <c r="K23">
        <v>1</v>
      </c>
      <c r="L23">
        <v>1</v>
      </c>
      <c r="M23">
        <v>1</v>
      </c>
      <c r="N23">
        <v>1</v>
      </c>
      <c r="P23">
        <v>1.411807060241699</v>
      </c>
    </row>
    <row r="24" spans="1:16" x14ac:dyDescent="0.25">
      <c r="A24" t="s">
        <v>202</v>
      </c>
      <c r="B24" t="s">
        <v>43</v>
      </c>
      <c r="C24">
        <v>0</v>
      </c>
      <c r="D24">
        <v>1</v>
      </c>
      <c r="E24">
        <v>0</v>
      </c>
      <c r="F24">
        <v>1</v>
      </c>
      <c r="G24">
        <v>1</v>
      </c>
      <c r="H24">
        <v>0</v>
      </c>
      <c r="I24">
        <v>1</v>
      </c>
      <c r="J24">
        <v>1</v>
      </c>
      <c r="K24">
        <v>1</v>
      </c>
      <c r="L24">
        <v>1</v>
      </c>
      <c r="M24">
        <v>1</v>
      </c>
      <c r="N24">
        <v>1</v>
      </c>
      <c r="O24" t="s">
        <v>138</v>
      </c>
      <c r="P24">
        <v>2.86016845703125</v>
      </c>
    </row>
    <row r="25" spans="1:16" x14ac:dyDescent="0.25">
      <c r="A25" t="s">
        <v>202</v>
      </c>
      <c r="B25" t="s">
        <v>45</v>
      </c>
      <c r="C25">
        <v>0</v>
      </c>
      <c r="D25">
        <v>1</v>
      </c>
      <c r="E25">
        <v>1</v>
      </c>
      <c r="F25">
        <v>1</v>
      </c>
      <c r="G25">
        <v>1</v>
      </c>
      <c r="H25">
        <v>1</v>
      </c>
      <c r="I25">
        <v>1</v>
      </c>
      <c r="J25">
        <v>1</v>
      </c>
      <c r="K25">
        <v>1</v>
      </c>
      <c r="L25">
        <v>1</v>
      </c>
      <c r="M25">
        <v>1</v>
      </c>
      <c r="N25">
        <v>1</v>
      </c>
      <c r="P25">
        <v>1.563287019729614</v>
      </c>
    </row>
    <row r="26" spans="1:16" x14ac:dyDescent="0.25">
      <c r="A26" t="s">
        <v>202</v>
      </c>
      <c r="B26" t="s">
        <v>46</v>
      </c>
      <c r="C26">
        <v>0</v>
      </c>
      <c r="D26">
        <v>1</v>
      </c>
      <c r="E26">
        <v>1</v>
      </c>
      <c r="F26">
        <v>1</v>
      </c>
      <c r="G26">
        <v>1</v>
      </c>
      <c r="H26">
        <v>1</v>
      </c>
      <c r="I26">
        <v>1</v>
      </c>
      <c r="J26">
        <v>1</v>
      </c>
      <c r="K26">
        <v>1</v>
      </c>
      <c r="L26">
        <v>1</v>
      </c>
      <c r="M26">
        <v>1</v>
      </c>
      <c r="N26">
        <v>1</v>
      </c>
      <c r="P26">
        <v>1.4376094341278081</v>
      </c>
    </row>
    <row r="27" spans="1:16" x14ac:dyDescent="0.25">
      <c r="A27" t="s">
        <v>202</v>
      </c>
      <c r="B27" t="s">
        <v>47</v>
      </c>
      <c r="C27">
        <v>0</v>
      </c>
      <c r="D27">
        <v>1</v>
      </c>
      <c r="E27">
        <v>1</v>
      </c>
      <c r="F27">
        <v>1</v>
      </c>
      <c r="G27">
        <v>1</v>
      </c>
      <c r="H27">
        <v>1</v>
      </c>
      <c r="I27">
        <v>1</v>
      </c>
      <c r="J27">
        <v>1</v>
      </c>
      <c r="K27">
        <v>1</v>
      </c>
      <c r="L27">
        <v>1</v>
      </c>
      <c r="M27">
        <v>1</v>
      </c>
      <c r="N27">
        <v>1</v>
      </c>
      <c r="P27">
        <v>1.265705347061157</v>
      </c>
    </row>
    <row r="28" spans="1:16" x14ac:dyDescent="0.25">
      <c r="A28" t="s">
        <v>202</v>
      </c>
      <c r="B28" t="s">
        <v>48</v>
      </c>
      <c r="C28">
        <v>0</v>
      </c>
      <c r="D28">
        <v>1</v>
      </c>
      <c r="E28">
        <v>1</v>
      </c>
      <c r="F28">
        <v>1</v>
      </c>
      <c r="G28">
        <v>1</v>
      </c>
      <c r="H28">
        <v>1</v>
      </c>
      <c r="I28">
        <v>1</v>
      </c>
      <c r="J28">
        <v>1</v>
      </c>
      <c r="K28">
        <v>1</v>
      </c>
      <c r="L28">
        <v>1</v>
      </c>
      <c r="M28">
        <v>1</v>
      </c>
      <c r="N28">
        <v>1</v>
      </c>
      <c r="P28">
        <v>1.762101888656616</v>
      </c>
    </row>
    <row r="29" spans="1:16" x14ac:dyDescent="0.25">
      <c r="A29" t="s">
        <v>202</v>
      </c>
      <c r="B29" t="s">
        <v>49</v>
      </c>
      <c r="C29">
        <v>0</v>
      </c>
      <c r="D29">
        <v>1</v>
      </c>
      <c r="E29">
        <v>1</v>
      </c>
      <c r="F29">
        <v>1</v>
      </c>
      <c r="G29">
        <v>1</v>
      </c>
      <c r="H29">
        <v>1</v>
      </c>
      <c r="I29">
        <v>1</v>
      </c>
      <c r="J29">
        <v>1</v>
      </c>
      <c r="K29">
        <v>1</v>
      </c>
      <c r="L29">
        <v>1</v>
      </c>
      <c r="M29">
        <v>1</v>
      </c>
      <c r="N29">
        <v>1</v>
      </c>
      <c r="P29">
        <v>1.4680335521698</v>
      </c>
    </row>
    <row r="30" spans="1:16" x14ac:dyDescent="0.25">
      <c r="A30" t="s">
        <v>202</v>
      </c>
      <c r="B30" t="s">
        <v>50</v>
      </c>
      <c r="C30">
        <v>0</v>
      </c>
      <c r="D30">
        <v>0</v>
      </c>
      <c r="E30">
        <v>0</v>
      </c>
      <c r="F30">
        <v>1</v>
      </c>
      <c r="G30">
        <v>1</v>
      </c>
      <c r="H30">
        <v>1</v>
      </c>
      <c r="I30">
        <v>1</v>
      </c>
      <c r="J30">
        <v>0</v>
      </c>
      <c r="K30">
        <v>1</v>
      </c>
      <c r="L30">
        <v>0</v>
      </c>
      <c r="M30">
        <v>1</v>
      </c>
      <c r="N30">
        <v>1</v>
      </c>
      <c r="O30" t="s">
        <v>139</v>
      </c>
      <c r="P30">
        <v>4.628467321395874</v>
      </c>
    </row>
    <row r="31" spans="1:16" x14ac:dyDescent="0.25">
      <c r="A31" t="s">
        <v>202</v>
      </c>
      <c r="B31" t="s">
        <v>52</v>
      </c>
      <c r="C31">
        <v>0</v>
      </c>
      <c r="D31">
        <v>1</v>
      </c>
      <c r="E31">
        <v>1</v>
      </c>
      <c r="F31">
        <v>1</v>
      </c>
      <c r="G31">
        <v>1</v>
      </c>
      <c r="H31">
        <v>1</v>
      </c>
      <c r="I31">
        <v>1</v>
      </c>
      <c r="J31">
        <v>1</v>
      </c>
      <c r="K31">
        <v>1</v>
      </c>
      <c r="L31">
        <v>1</v>
      </c>
      <c r="M31">
        <v>1</v>
      </c>
      <c r="N31">
        <v>1</v>
      </c>
      <c r="P31">
        <v>1.5381019115448</v>
      </c>
    </row>
    <row r="32" spans="1:16" x14ac:dyDescent="0.25">
      <c r="A32" t="s">
        <v>202</v>
      </c>
      <c r="B32" t="s">
        <v>53</v>
      </c>
      <c r="C32">
        <v>0</v>
      </c>
      <c r="D32">
        <v>1</v>
      </c>
      <c r="E32">
        <v>1</v>
      </c>
      <c r="F32">
        <v>1</v>
      </c>
      <c r="G32">
        <v>1</v>
      </c>
      <c r="H32">
        <v>1</v>
      </c>
      <c r="I32">
        <v>1</v>
      </c>
      <c r="J32">
        <v>1</v>
      </c>
      <c r="K32">
        <v>1</v>
      </c>
      <c r="L32">
        <v>1</v>
      </c>
      <c r="M32">
        <v>1</v>
      </c>
      <c r="N32">
        <v>1</v>
      </c>
      <c r="P32">
        <v>1.5017464160919189</v>
      </c>
    </row>
    <row r="33" spans="1:16" x14ac:dyDescent="0.25">
      <c r="A33" t="s">
        <v>202</v>
      </c>
      <c r="B33" t="s">
        <v>54</v>
      </c>
      <c r="C33">
        <v>0</v>
      </c>
      <c r="D33">
        <v>1</v>
      </c>
      <c r="E33">
        <v>1</v>
      </c>
      <c r="F33">
        <v>1</v>
      </c>
      <c r="G33">
        <v>1</v>
      </c>
      <c r="H33">
        <v>1</v>
      </c>
      <c r="I33">
        <v>0</v>
      </c>
      <c r="J33">
        <v>1</v>
      </c>
      <c r="K33">
        <v>1</v>
      </c>
      <c r="L33">
        <v>1</v>
      </c>
      <c r="M33">
        <v>1</v>
      </c>
      <c r="N33">
        <v>1</v>
      </c>
      <c r="O33" t="s">
        <v>140</v>
      </c>
      <c r="P33">
        <v>3.0662050247192378</v>
      </c>
    </row>
    <row r="34" spans="1:16" x14ac:dyDescent="0.25">
      <c r="A34" t="s">
        <v>202</v>
      </c>
      <c r="B34" t="s">
        <v>55</v>
      </c>
      <c r="C34">
        <v>0</v>
      </c>
      <c r="D34">
        <v>1</v>
      </c>
      <c r="E34">
        <v>1</v>
      </c>
      <c r="F34">
        <v>1</v>
      </c>
      <c r="G34">
        <v>1</v>
      </c>
      <c r="H34">
        <v>1</v>
      </c>
      <c r="I34">
        <v>1</v>
      </c>
      <c r="J34">
        <v>1</v>
      </c>
      <c r="K34">
        <v>1</v>
      </c>
      <c r="L34">
        <v>1</v>
      </c>
      <c r="M34">
        <v>1</v>
      </c>
      <c r="N34">
        <v>1</v>
      </c>
      <c r="P34">
        <v>2.1734476089477539</v>
      </c>
    </row>
    <row r="35" spans="1:16" x14ac:dyDescent="0.25">
      <c r="A35" t="s">
        <v>202</v>
      </c>
      <c r="B35" t="s">
        <v>56</v>
      </c>
      <c r="C35">
        <v>0</v>
      </c>
      <c r="D35">
        <v>1</v>
      </c>
      <c r="E35">
        <v>1</v>
      </c>
      <c r="F35">
        <v>1</v>
      </c>
      <c r="G35">
        <v>1</v>
      </c>
      <c r="H35">
        <v>1</v>
      </c>
      <c r="I35">
        <v>1</v>
      </c>
      <c r="J35">
        <v>1</v>
      </c>
      <c r="K35">
        <v>1</v>
      </c>
      <c r="L35">
        <v>1</v>
      </c>
      <c r="M35">
        <v>1</v>
      </c>
      <c r="N35">
        <v>1</v>
      </c>
      <c r="P35">
        <v>1.385322570800781</v>
      </c>
    </row>
    <row r="36" spans="1:16" x14ac:dyDescent="0.25">
      <c r="A36" t="s">
        <v>202</v>
      </c>
      <c r="B36" t="s">
        <v>57</v>
      </c>
      <c r="C36">
        <v>0</v>
      </c>
      <c r="D36">
        <v>1</v>
      </c>
      <c r="E36">
        <v>1</v>
      </c>
      <c r="F36">
        <v>1</v>
      </c>
      <c r="G36">
        <v>1</v>
      </c>
      <c r="H36">
        <v>1</v>
      </c>
      <c r="I36">
        <v>1</v>
      </c>
      <c r="J36">
        <v>1</v>
      </c>
      <c r="K36">
        <v>1</v>
      </c>
      <c r="L36">
        <v>1</v>
      </c>
      <c r="M36">
        <v>1</v>
      </c>
      <c r="N36">
        <v>1</v>
      </c>
      <c r="P36">
        <v>1.4514508247375491</v>
      </c>
    </row>
    <row r="37" spans="1:16" x14ac:dyDescent="0.25">
      <c r="A37" t="s">
        <v>202</v>
      </c>
      <c r="B37" t="s">
        <v>58</v>
      </c>
      <c r="C37">
        <v>0</v>
      </c>
      <c r="D37">
        <v>1</v>
      </c>
      <c r="E37">
        <v>1</v>
      </c>
      <c r="F37">
        <v>1</v>
      </c>
      <c r="G37">
        <v>1</v>
      </c>
      <c r="H37">
        <v>1</v>
      </c>
      <c r="I37">
        <v>1</v>
      </c>
      <c r="J37">
        <v>1</v>
      </c>
      <c r="K37">
        <v>1</v>
      </c>
      <c r="L37">
        <v>1</v>
      </c>
      <c r="M37">
        <v>1</v>
      </c>
      <c r="N37">
        <v>1</v>
      </c>
      <c r="P37">
        <v>1.462798118591309</v>
      </c>
    </row>
    <row r="38" spans="1:16" x14ac:dyDescent="0.25">
      <c r="A38" t="s">
        <v>202</v>
      </c>
      <c r="B38" t="s">
        <v>59</v>
      </c>
      <c r="C38">
        <v>0</v>
      </c>
      <c r="D38">
        <v>1</v>
      </c>
      <c r="E38">
        <v>1</v>
      </c>
      <c r="F38">
        <v>1</v>
      </c>
      <c r="G38">
        <v>1</v>
      </c>
      <c r="H38">
        <v>1</v>
      </c>
      <c r="I38">
        <v>1</v>
      </c>
      <c r="J38">
        <v>1</v>
      </c>
      <c r="K38">
        <v>1</v>
      </c>
      <c r="L38">
        <v>1</v>
      </c>
      <c r="M38">
        <v>1</v>
      </c>
      <c r="N38">
        <v>1</v>
      </c>
      <c r="P38">
        <v>3.63173508644104</v>
      </c>
    </row>
    <row r="39" spans="1:16" x14ac:dyDescent="0.25">
      <c r="A39" t="s">
        <v>202</v>
      </c>
      <c r="B39" t="s">
        <v>60</v>
      </c>
      <c r="C39">
        <v>0</v>
      </c>
      <c r="D39">
        <v>1</v>
      </c>
      <c r="E39">
        <v>1</v>
      </c>
      <c r="F39">
        <v>1</v>
      </c>
      <c r="G39">
        <v>1</v>
      </c>
      <c r="H39">
        <v>1</v>
      </c>
      <c r="I39">
        <v>1</v>
      </c>
      <c r="J39">
        <v>1</v>
      </c>
      <c r="K39">
        <v>1</v>
      </c>
      <c r="L39">
        <v>1</v>
      </c>
      <c r="M39">
        <v>1</v>
      </c>
      <c r="N39">
        <v>1</v>
      </c>
      <c r="P39">
        <v>1.3179254531860349</v>
      </c>
    </row>
    <row r="40" spans="1:16" x14ac:dyDescent="0.25">
      <c r="A40" t="s">
        <v>202</v>
      </c>
      <c r="B40" t="s">
        <v>61</v>
      </c>
      <c r="C40">
        <v>0</v>
      </c>
      <c r="D40">
        <v>1</v>
      </c>
      <c r="E40">
        <v>1</v>
      </c>
      <c r="F40">
        <v>1</v>
      </c>
      <c r="G40">
        <v>1</v>
      </c>
      <c r="H40">
        <v>1</v>
      </c>
      <c r="I40">
        <v>1</v>
      </c>
      <c r="J40">
        <v>1</v>
      </c>
      <c r="K40">
        <v>1</v>
      </c>
      <c r="L40">
        <v>1</v>
      </c>
      <c r="M40">
        <v>1</v>
      </c>
      <c r="N40">
        <v>1</v>
      </c>
      <c r="P40">
        <v>1.4182882308959961</v>
      </c>
    </row>
    <row r="41" spans="1:16" x14ac:dyDescent="0.25">
      <c r="A41" t="s">
        <v>202</v>
      </c>
      <c r="B41" t="s">
        <v>62</v>
      </c>
      <c r="C41">
        <v>0</v>
      </c>
      <c r="D41">
        <v>1</v>
      </c>
      <c r="E41">
        <v>1</v>
      </c>
      <c r="F41">
        <v>1</v>
      </c>
      <c r="G41">
        <v>1</v>
      </c>
      <c r="H41">
        <v>1</v>
      </c>
      <c r="I41">
        <v>1</v>
      </c>
      <c r="J41">
        <v>1</v>
      </c>
      <c r="K41">
        <v>1</v>
      </c>
      <c r="L41">
        <v>1</v>
      </c>
      <c r="M41">
        <v>1</v>
      </c>
      <c r="N41">
        <v>1</v>
      </c>
      <c r="P41">
        <v>2.7862083911895752</v>
      </c>
    </row>
    <row r="42" spans="1:16" x14ac:dyDescent="0.25">
      <c r="A42" t="s">
        <v>202</v>
      </c>
      <c r="B42" t="s">
        <v>63</v>
      </c>
      <c r="C42">
        <v>0</v>
      </c>
      <c r="D42">
        <v>1</v>
      </c>
      <c r="E42">
        <v>1</v>
      </c>
      <c r="F42">
        <v>1</v>
      </c>
      <c r="G42">
        <v>1</v>
      </c>
      <c r="H42">
        <v>1</v>
      </c>
      <c r="I42">
        <v>1</v>
      </c>
      <c r="J42">
        <v>1</v>
      </c>
      <c r="K42">
        <v>1</v>
      </c>
      <c r="L42">
        <v>1</v>
      </c>
      <c r="M42">
        <v>1</v>
      </c>
      <c r="N42">
        <v>1</v>
      </c>
      <c r="P42">
        <v>1.9740796089172361</v>
      </c>
    </row>
    <row r="43" spans="1:16" x14ac:dyDescent="0.25">
      <c r="A43" t="s">
        <v>202</v>
      </c>
      <c r="B43" t="s">
        <v>64</v>
      </c>
      <c r="C43">
        <v>0</v>
      </c>
      <c r="D43">
        <v>1</v>
      </c>
      <c r="E43">
        <v>1</v>
      </c>
      <c r="F43">
        <v>1</v>
      </c>
      <c r="G43">
        <v>1</v>
      </c>
      <c r="H43">
        <v>1</v>
      </c>
      <c r="I43">
        <v>1</v>
      </c>
      <c r="J43">
        <v>1</v>
      </c>
      <c r="K43">
        <v>1</v>
      </c>
      <c r="L43">
        <v>1</v>
      </c>
      <c r="M43">
        <v>1</v>
      </c>
      <c r="N43">
        <v>1</v>
      </c>
      <c r="P43">
        <v>1.3558952808380129</v>
      </c>
    </row>
    <row r="44" spans="1:16" x14ac:dyDescent="0.25">
      <c r="A44" t="s">
        <v>202</v>
      </c>
      <c r="B44" t="s">
        <v>65</v>
      </c>
      <c r="C44">
        <v>0</v>
      </c>
      <c r="D44">
        <v>1</v>
      </c>
      <c r="E44">
        <v>1</v>
      </c>
      <c r="F44">
        <v>1</v>
      </c>
      <c r="G44">
        <v>1</v>
      </c>
      <c r="H44">
        <v>1</v>
      </c>
      <c r="I44">
        <v>1</v>
      </c>
      <c r="J44">
        <v>1</v>
      </c>
      <c r="K44">
        <v>1</v>
      </c>
      <c r="L44">
        <v>1</v>
      </c>
      <c r="M44">
        <v>1</v>
      </c>
      <c r="N44">
        <v>1</v>
      </c>
      <c r="P44">
        <v>1.7372069358825679</v>
      </c>
    </row>
    <row r="45" spans="1:16" x14ac:dyDescent="0.25">
      <c r="A45" t="s">
        <v>202</v>
      </c>
      <c r="B45" t="s">
        <v>66</v>
      </c>
      <c r="C45">
        <v>0</v>
      </c>
      <c r="D45">
        <v>1</v>
      </c>
      <c r="E45">
        <v>1</v>
      </c>
      <c r="F45">
        <v>1</v>
      </c>
      <c r="G45">
        <v>1</v>
      </c>
      <c r="H45">
        <v>1</v>
      </c>
      <c r="I45">
        <v>1</v>
      </c>
      <c r="J45">
        <v>1</v>
      </c>
      <c r="K45">
        <v>1</v>
      </c>
      <c r="L45">
        <v>1</v>
      </c>
      <c r="M45">
        <v>1</v>
      </c>
      <c r="N45">
        <v>1</v>
      </c>
      <c r="P45">
        <v>2.0199422836303711</v>
      </c>
    </row>
    <row r="46" spans="1:16" x14ac:dyDescent="0.25">
      <c r="A46" t="s">
        <v>202</v>
      </c>
      <c r="B46" t="s">
        <v>67</v>
      </c>
      <c r="C46">
        <v>0</v>
      </c>
      <c r="D46">
        <v>1</v>
      </c>
      <c r="E46">
        <v>1</v>
      </c>
      <c r="F46">
        <v>1</v>
      </c>
      <c r="G46">
        <v>1</v>
      </c>
      <c r="H46">
        <v>1</v>
      </c>
      <c r="I46">
        <v>1</v>
      </c>
      <c r="J46">
        <v>1</v>
      </c>
      <c r="K46">
        <v>1</v>
      </c>
      <c r="L46">
        <v>1</v>
      </c>
      <c r="M46">
        <v>1</v>
      </c>
      <c r="N46">
        <v>1</v>
      </c>
      <c r="P46">
        <v>1.7423248291015621</v>
      </c>
    </row>
    <row r="47" spans="1:16" x14ac:dyDescent="0.25">
      <c r="A47" t="s">
        <v>202</v>
      </c>
      <c r="B47" t="s">
        <v>68</v>
      </c>
      <c r="C47">
        <v>0</v>
      </c>
      <c r="D47">
        <v>1</v>
      </c>
      <c r="E47">
        <v>0</v>
      </c>
      <c r="F47">
        <v>1</v>
      </c>
      <c r="G47">
        <v>1</v>
      </c>
      <c r="H47">
        <v>1</v>
      </c>
      <c r="I47">
        <v>1</v>
      </c>
      <c r="J47">
        <v>1</v>
      </c>
      <c r="K47">
        <v>1</v>
      </c>
      <c r="L47">
        <v>1</v>
      </c>
      <c r="M47">
        <v>1</v>
      </c>
      <c r="N47">
        <v>1</v>
      </c>
      <c r="O47" t="s">
        <v>141</v>
      </c>
      <c r="P47">
        <v>2.9277536869049068</v>
      </c>
    </row>
    <row r="48" spans="1:16" x14ac:dyDescent="0.25">
      <c r="A48" t="s">
        <v>202</v>
      </c>
      <c r="B48" t="s">
        <v>70</v>
      </c>
      <c r="C48">
        <v>0</v>
      </c>
      <c r="D48">
        <v>1</v>
      </c>
      <c r="E48">
        <v>1</v>
      </c>
      <c r="F48">
        <v>1</v>
      </c>
      <c r="G48">
        <v>1</v>
      </c>
      <c r="H48">
        <v>1</v>
      </c>
      <c r="I48">
        <v>1</v>
      </c>
      <c r="J48">
        <v>1</v>
      </c>
      <c r="K48">
        <v>1</v>
      </c>
      <c r="L48">
        <v>1</v>
      </c>
      <c r="M48">
        <v>1</v>
      </c>
      <c r="N48">
        <v>1</v>
      </c>
      <c r="P48">
        <v>1.8833804130554199</v>
      </c>
    </row>
    <row r="49" spans="1:16" x14ac:dyDescent="0.25">
      <c r="A49" t="s">
        <v>202</v>
      </c>
      <c r="B49" t="s">
        <v>71</v>
      </c>
      <c r="C49">
        <v>0</v>
      </c>
      <c r="D49">
        <v>1</v>
      </c>
      <c r="E49">
        <v>1</v>
      </c>
      <c r="F49">
        <v>1</v>
      </c>
      <c r="G49">
        <v>1</v>
      </c>
      <c r="H49">
        <v>1</v>
      </c>
      <c r="I49">
        <v>1</v>
      </c>
      <c r="J49">
        <v>1</v>
      </c>
      <c r="K49">
        <v>1</v>
      </c>
      <c r="L49">
        <v>1</v>
      </c>
      <c r="M49">
        <v>1</v>
      </c>
      <c r="N49">
        <v>1</v>
      </c>
      <c r="P49">
        <v>1.778140068054199</v>
      </c>
    </row>
    <row r="50" spans="1:16" x14ac:dyDescent="0.25">
      <c r="A50" t="s">
        <v>202</v>
      </c>
      <c r="B50" t="s">
        <v>72</v>
      </c>
      <c r="C50">
        <v>0</v>
      </c>
      <c r="D50">
        <v>1</v>
      </c>
      <c r="E50">
        <v>1</v>
      </c>
      <c r="F50">
        <v>1</v>
      </c>
      <c r="G50">
        <v>1</v>
      </c>
      <c r="H50">
        <v>1</v>
      </c>
      <c r="I50">
        <v>1</v>
      </c>
      <c r="J50">
        <v>1</v>
      </c>
      <c r="K50">
        <v>1</v>
      </c>
      <c r="L50">
        <v>1</v>
      </c>
      <c r="M50">
        <v>1</v>
      </c>
      <c r="N50">
        <v>1</v>
      </c>
      <c r="P50">
        <v>1.2921566963195801</v>
      </c>
    </row>
    <row r="51" spans="1:16" x14ac:dyDescent="0.25">
      <c r="A51" t="s">
        <v>202</v>
      </c>
      <c r="B51" t="s">
        <v>73</v>
      </c>
      <c r="C51">
        <v>0</v>
      </c>
      <c r="D51">
        <v>1</v>
      </c>
      <c r="E51">
        <v>1</v>
      </c>
      <c r="F51">
        <v>1</v>
      </c>
      <c r="G51">
        <v>1</v>
      </c>
      <c r="H51">
        <v>1</v>
      </c>
      <c r="I51">
        <v>1</v>
      </c>
      <c r="J51">
        <v>1</v>
      </c>
      <c r="K51">
        <v>1</v>
      </c>
      <c r="L51">
        <v>1</v>
      </c>
      <c r="M51">
        <v>1</v>
      </c>
      <c r="N51">
        <v>1</v>
      </c>
      <c r="P51">
        <v>1.647634029388428</v>
      </c>
    </row>
    <row r="52" spans="1:16" x14ac:dyDescent="0.25">
      <c r="A52" t="s">
        <v>202</v>
      </c>
      <c r="B52" t="s">
        <v>74</v>
      </c>
      <c r="C52">
        <v>0</v>
      </c>
      <c r="D52">
        <v>1</v>
      </c>
      <c r="E52">
        <v>1</v>
      </c>
      <c r="F52">
        <v>1</v>
      </c>
      <c r="G52">
        <v>1</v>
      </c>
      <c r="H52">
        <v>1</v>
      </c>
      <c r="I52">
        <v>1</v>
      </c>
      <c r="J52">
        <v>1</v>
      </c>
      <c r="K52">
        <v>1</v>
      </c>
      <c r="L52">
        <v>1</v>
      </c>
      <c r="M52">
        <v>1</v>
      </c>
      <c r="N52">
        <v>1</v>
      </c>
      <c r="P52">
        <v>1.5094301700592041</v>
      </c>
    </row>
    <row r="53" spans="1:16" x14ac:dyDescent="0.25">
      <c r="A53" t="s">
        <v>202</v>
      </c>
      <c r="B53" t="s">
        <v>75</v>
      </c>
      <c r="C53">
        <v>0</v>
      </c>
      <c r="D53">
        <v>1</v>
      </c>
      <c r="E53">
        <v>1</v>
      </c>
      <c r="F53">
        <v>1</v>
      </c>
      <c r="G53">
        <v>1</v>
      </c>
      <c r="H53">
        <v>1</v>
      </c>
      <c r="I53">
        <v>1</v>
      </c>
      <c r="J53">
        <v>1</v>
      </c>
      <c r="K53">
        <v>1</v>
      </c>
      <c r="L53">
        <v>1</v>
      </c>
      <c r="M53">
        <v>1</v>
      </c>
      <c r="N53">
        <v>1</v>
      </c>
      <c r="P53">
        <v>1.8791735172271731</v>
      </c>
    </row>
    <row r="54" spans="1:16" x14ac:dyDescent="0.25">
      <c r="A54" t="s">
        <v>202</v>
      </c>
      <c r="B54" t="s">
        <v>76</v>
      </c>
      <c r="C54">
        <v>0</v>
      </c>
      <c r="D54">
        <v>1</v>
      </c>
      <c r="E54">
        <v>1</v>
      </c>
      <c r="F54">
        <v>1</v>
      </c>
      <c r="G54">
        <v>1</v>
      </c>
      <c r="H54">
        <v>1</v>
      </c>
      <c r="I54">
        <v>1</v>
      </c>
      <c r="J54">
        <v>1</v>
      </c>
      <c r="K54">
        <v>1</v>
      </c>
      <c r="L54">
        <v>1</v>
      </c>
      <c r="M54">
        <v>1</v>
      </c>
      <c r="N54">
        <v>1</v>
      </c>
      <c r="P54">
        <v>1.480679988861084</v>
      </c>
    </row>
    <row r="55" spans="1:16" x14ac:dyDescent="0.25">
      <c r="A55" t="s">
        <v>202</v>
      </c>
      <c r="B55" t="s">
        <v>77</v>
      </c>
      <c r="C55">
        <v>0</v>
      </c>
      <c r="D55">
        <v>0</v>
      </c>
      <c r="E55">
        <v>1</v>
      </c>
      <c r="F55">
        <v>1</v>
      </c>
      <c r="G55">
        <v>1</v>
      </c>
      <c r="H55">
        <v>1</v>
      </c>
      <c r="I55">
        <v>0</v>
      </c>
      <c r="J55">
        <v>1</v>
      </c>
      <c r="K55">
        <v>1</v>
      </c>
      <c r="L55">
        <v>0</v>
      </c>
      <c r="M55">
        <v>1</v>
      </c>
      <c r="N55">
        <v>1</v>
      </c>
      <c r="O55" t="s">
        <v>142</v>
      </c>
      <c r="P55">
        <v>4.2180655002593994</v>
      </c>
    </row>
    <row r="56" spans="1:16" x14ac:dyDescent="0.25">
      <c r="A56" t="s">
        <v>202</v>
      </c>
      <c r="B56" t="s">
        <v>79</v>
      </c>
      <c r="C56">
        <v>0</v>
      </c>
      <c r="D56">
        <v>1</v>
      </c>
      <c r="E56">
        <v>1</v>
      </c>
      <c r="F56">
        <v>1</v>
      </c>
      <c r="G56">
        <v>1</v>
      </c>
      <c r="H56">
        <v>1</v>
      </c>
      <c r="I56">
        <v>1</v>
      </c>
      <c r="J56">
        <v>1</v>
      </c>
      <c r="K56">
        <v>1</v>
      </c>
      <c r="L56">
        <v>1</v>
      </c>
      <c r="M56">
        <v>1</v>
      </c>
      <c r="N56">
        <v>1</v>
      </c>
      <c r="P56">
        <v>1.397132396697998</v>
      </c>
    </row>
    <row r="57" spans="1:16" x14ac:dyDescent="0.25">
      <c r="A57" t="s">
        <v>202</v>
      </c>
      <c r="B57" t="s">
        <v>81</v>
      </c>
      <c r="C57">
        <v>0</v>
      </c>
      <c r="D57">
        <v>1</v>
      </c>
      <c r="E57">
        <v>1</v>
      </c>
      <c r="F57">
        <v>1</v>
      </c>
      <c r="G57">
        <v>1</v>
      </c>
      <c r="H57">
        <v>1</v>
      </c>
      <c r="I57">
        <v>1</v>
      </c>
      <c r="J57">
        <v>1</v>
      </c>
      <c r="K57">
        <v>1</v>
      </c>
      <c r="L57">
        <v>1</v>
      </c>
      <c r="M57">
        <v>1</v>
      </c>
      <c r="N57">
        <v>1</v>
      </c>
      <c r="P57">
        <v>2.176827192306519</v>
      </c>
    </row>
    <row r="58" spans="1:16" x14ac:dyDescent="0.25">
      <c r="A58" t="s">
        <v>202</v>
      </c>
      <c r="B58" t="s">
        <v>82</v>
      </c>
      <c r="C58">
        <v>0</v>
      </c>
      <c r="D58">
        <v>1</v>
      </c>
      <c r="E58">
        <v>1</v>
      </c>
      <c r="F58">
        <v>1</v>
      </c>
      <c r="G58">
        <v>1</v>
      </c>
      <c r="H58">
        <v>1</v>
      </c>
      <c r="I58">
        <v>1</v>
      </c>
      <c r="J58">
        <v>1</v>
      </c>
      <c r="K58">
        <v>1</v>
      </c>
      <c r="L58">
        <v>1</v>
      </c>
      <c r="M58">
        <v>1</v>
      </c>
      <c r="N58">
        <v>1</v>
      </c>
      <c r="P58">
        <v>1.568871736526489</v>
      </c>
    </row>
    <row r="59" spans="1:16" x14ac:dyDescent="0.25">
      <c r="A59" t="s">
        <v>202</v>
      </c>
      <c r="B59" t="s">
        <v>83</v>
      </c>
      <c r="C59">
        <v>0</v>
      </c>
      <c r="D59">
        <v>1</v>
      </c>
      <c r="E59">
        <v>1</v>
      </c>
      <c r="F59">
        <v>1</v>
      </c>
      <c r="G59">
        <v>1</v>
      </c>
      <c r="H59">
        <v>1</v>
      </c>
      <c r="I59">
        <v>1</v>
      </c>
      <c r="J59">
        <v>1</v>
      </c>
      <c r="K59">
        <v>1</v>
      </c>
      <c r="L59">
        <v>1</v>
      </c>
      <c r="M59">
        <v>1</v>
      </c>
      <c r="N59">
        <v>1</v>
      </c>
      <c r="P59">
        <v>1.2316939830780029</v>
      </c>
    </row>
    <row r="60" spans="1:16" x14ac:dyDescent="0.25">
      <c r="A60" t="s">
        <v>202</v>
      </c>
      <c r="B60" t="s">
        <v>84</v>
      </c>
      <c r="C60">
        <v>0</v>
      </c>
      <c r="D60">
        <v>1</v>
      </c>
      <c r="E60">
        <v>1</v>
      </c>
      <c r="F60">
        <v>1</v>
      </c>
      <c r="G60">
        <v>1</v>
      </c>
      <c r="H60">
        <v>1</v>
      </c>
      <c r="I60">
        <v>1</v>
      </c>
      <c r="J60">
        <v>1</v>
      </c>
      <c r="K60">
        <v>1</v>
      </c>
      <c r="L60">
        <v>1</v>
      </c>
      <c r="M60">
        <v>1</v>
      </c>
      <c r="N60">
        <v>1</v>
      </c>
      <c r="P60">
        <v>1.8513197898864751</v>
      </c>
    </row>
    <row r="61" spans="1:16" x14ac:dyDescent="0.25">
      <c r="A61" t="s">
        <v>202</v>
      </c>
      <c r="B61" t="s">
        <v>86</v>
      </c>
      <c r="C61">
        <v>0</v>
      </c>
      <c r="D61">
        <v>1</v>
      </c>
      <c r="E61">
        <v>1</v>
      </c>
      <c r="F61">
        <v>1</v>
      </c>
      <c r="G61">
        <v>1</v>
      </c>
      <c r="H61">
        <v>1</v>
      </c>
      <c r="I61">
        <v>1</v>
      </c>
      <c r="J61">
        <v>1</v>
      </c>
      <c r="K61">
        <v>1</v>
      </c>
      <c r="L61">
        <v>1</v>
      </c>
      <c r="M61">
        <v>1</v>
      </c>
      <c r="N61">
        <v>1</v>
      </c>
      <c r="P61">
        <v>1.3993415832519529</v>
      </c>
    </row>
    <row r="62" spans="1:16" x14ac:dyDescent="0.25">
      <c r="A62" t="s">
        <v>202</v>
      </c>
      <c r="B62" t="s">
        <v>87</v>
      </c>
      <c r="C62">
        <v>0</v>
      </c>
      <c r="D62">
        <v>1</v>
      </c>
      <c r="E62">
        <v>1</v>
      </c>
      <c r="F62">
        <v>1</v>
      </c>
      <c r="G62">
        <v>1</v>
      </c>
      <c r="H62">
        <v>1</v>
      </c>
      <c r="I62">
        <v>1</v>
      </c>
      <c r="J62">
        <v>1</v>
      </c>
      <c r="K62">
        <v>1</v>
      </c>
      <c r="L62">
        <v>1</v>
      </c>
      <c r="M62">
        <v>1</v>
      </c>
      <c r="N62">
        <v>1</v>
      </c>
      <c r="P62">
        <v>1.602369546890259</v>
      </c>
    </row>
    <row r="63" spans="1:16" x14ac:dyDescent="0.25">
      <c r="A63" t="s">
        <v>202</v>
      </c>
      <c r="B63" t="s">
        <v>88</v>
      </c>
      <c r="C63">
        <v>0</v>
      </c>
      <c r="D63">
        <v>1</v>
      </c>
      <c r="E63">
        <v>1</v>
      </c>
      <c r="F63">
        <v>1</v>
      </c>
      <c r="G63">
        <v>1</v>
      </c>
      <c r="H63">
        <v>1</v>
      </c>
      <c r="I63">
        <v>1</v>
      </c>
      <c r="J63">
        <v>1</v>
      </c>
      <c r="K63">
        <v>1</v>
      </c>
      <c r="L63">
        <v>1</v>
      </c>
      <c r="M63">
        <v>1</v>
      </c>
      <c r="N63">
        <v>1</v>
      </c>
      <c r="P63">
        <v>1.380736112594604</v>
      </c>
    </row>
    <row r="64" spans="1:16" x14ac:dyDescent="0.25">
      <c r="A64" t="s">
        <v>202</v>
      </c>
      <c r="B64" t="s">
        <v>89</v>
      </c>
      <c r="C64">
        <v>0</v>
      </c>
      <c r="D64">
        <v>1</v>
      </c>
      <c r="E64">
        <v>1</v>
      </c>
      <c r="F64">
        <v>1</v>
      </c>
      <c r="G64">
        <v>1</v>
      </c>
      <c r="H64">
        <v>1</v>
      </c>
      <c r="I64">
        <v>1</v>
      </c>
      <c r="J64">
        <v>1</v>
      </c>
      <c r="K64">
        <v>1</v>
      </c>
      <c r="L64">
        <v>1</v>
      </c>
      <c r="M64">
        <v>1</v>
      </c>
      <c r="N64">
        <v>1</v>
      </c>
      <c r="P64">
        <v>1.38752293586731</v>
      </c>
    </row>
    <row r="65" spans="1:16" x14ac:dyDescent="0.25">
      <c r="A65" t="s">
        <v>202</v>
      </c>
      <c r="B65" t="s">
        <v>91</v>
      </c>
      <c r="C65">
        <v>0</v>
      </c>
      <c r="D65">
        <v>1</v>
      </c>
      <c r="E65">
        <v>1</v>
      </c>
      <c r="F65">
        <v>1</v>
      </c>
      <c r="G65">
        <v>1</v>
      </c>
      <c r="H65">
        <v>1</v>
      </c>
      <c r="I65">
        <v>1</v>
      </c>
      <c r="J65">
        <v>1</v>
      </c>
      <c r="K65">
        <v>1</v>
      </c>
      <c r="L65">
        <v>1</v>
      </c>
      <c r="M65">
        <v>1</v>
      </c>
      <c r="N65">
        <v>1</v>
      </c>
      <c r="P65">
        <v>1.7773580551147461</v>
      </c>
    </row>
    <row r="66" spans="1:16" x14ac:dyDescent="0.25">
      <c r="A66" t="s">
        <v>202</v>
      </c>
      <c r="B66" t="s">
        <v>92</v>
      </c>
      <c r="C66">
        <v>0</v>
      </c>
      <c r="D66">
        <v>1</v>
      </c>
      <c r="E66">
        <v>1</v>
      </c>
      <c r="F66">
        <v>1</v>
      </c>
      <c r="G66">
        <v>1</v>
      </c>
      <c r="H66">
        <v>1</v>
      </c>
      <c r="I66">
        <v>0</v>
      </c>
      <c r="J66">
        <v>1</v>
      </c>
      <c r="K66">
        <v>1</v>
      </c>
      <c r="L66">
        <v>1</v>
      </c>
      <c r="M66">
        <v>1</v>
      </c>
      <c r="N66">
        <v>1</v>
      </c>
      <c r="O66" t="s">
        <v>143</v>
      </c>
      <c r="P66">
        <v>2.4050958156585689</v>
      </c>
    </row>
    <row r="67" spans="1:16" x14ac:dyDescent="0.25">
      <c r="A67" t="s">
        <v>202</v>
      </c>
      <c r="B67" t="s">
        <v>94</v>
      </c>
      <c r="C67">
        <v>0</v>
      </c>
      <c r="D67">
        <v>1</v>
      </c>
      <c r="E67">
        <v>1</v>
      </c>
      <c r="F67">
        <v>0</v>
      </c>
      <c r="G67">
        <v>1</v>
      </c>
      <c r="H67">
        <v>1</v>
      </c>
      <c r="I67">
        <v>1</v>
      </c>
      <c r="J67">
        <v>0</v>
      </c>
      <c r="K67">
        <v>1</v>
      </c>
      <c r="L67">
        <v>1</v>
      </c>
      <c r="M67">
        <v>1</v>
      </c>
      <c r="N67">
        <v>1</v>
      </c>
      <c r="O67" t="s">
        <v>144</v>
      </c>
      <c r="P67">
        <v>2.6640241146087651</v>
      </c>
    </row>
    <row r="68" spans="1:16" x14ac:dyDescent="0.25">
      <c r="A68" t="s">
        <v>202</v>
      </c>
      <c r="B68" t="s">
        <v>96</v>
      </c>
      <c r="C68">
        <v>0</v>
      </c>
      <c r="D68">
        <v>1</v>
      </c>
      <c r="E68">
        <v>1</v>
      </c>
      <c r="F68">
        <v>1</v>
      </c>
      <c r="G68">
        <v>1</v>
      </c>
      <c r="H68">
        <v>1</v>
      </c>
      <c r="I68">
        <v>1</v>
      </c>
      <c r="J68">
        <v>1</v>
      </c>
      <c r="K68">
        <v>1</v>
      </c>
      <c r="L68">
        <v>1</v>
      </c>
      <c r="M68">
        <v>1</v>
      </c>
      <c r="N68">
        <v>1</v>
      </c>
      <c r="P68">
        <v>2.166810274124146</v>
      </c>
    </row>
    <row r="69" spans="1:16" x14ac:dyDescent="0.25">
      <c r="A69" t="s">
        <v>202</v>
      </c>
      <c r="B69" t="s">
        <v>97</v>
      </c>
      <c r="C69">
        <v>0</v>
      </c>
      <c r="D69">
        <v>1</v>
      </c>
      <c r="E69">
        <v>1</v>
      </c>
      <c r="F69">
        <v>1</v>
      </c>
      <c r="G69">
        <v>1</v>
      </c>
      <c r="H69">
        <v>1</v>
      </c>
      <c r="I69">
        <v>1</v>
      </c>
      <c r="J69">
        <v>1</v>
      </c>
      <c r="K69">
        <v>1</v>
      </c>
      <c r="L69">
        <v>1</v>
      </c>
      <c r="M69">
        <v>1</v>
      </c>
      <c r="N69">
        <v>1</v>
      </c>
      <c r="P69">
        <v>1.797626733779907</v>
      </c>
    </row>
    <row r="70" spans="1:16" x14ac:dyDescent="0.25">
      <c r="A70" t="s">
        <v>202</v>
      </c>
      <c r="B70" t="s">
        <v>98</v>
      </c>
      <c r="C70">
        <v>0</v>
      </c>
      <c r="D70">
        <v>1</v>
      </c>
      <c r="E70">
        <v>1</v>
      </c>
      <c r="F70">
        <v>1</v>
      </c>
      <c r="G70">
        <v>1</v>
      </c>
      <c r="H70">
        <v>1</v>
      </c>
      <c r="I70">
        <v>1</v>
      </c>
      <c r="J70">
        <v>1</v>
      </c>
      <c r="K70">
        <v>1</v>
      </c>
      <c r="L70">
        <v>1</v>
      </c>
      <c r="M70">
        <v>1</v>
      </c>
      <c r="N70">
        <v>1</v>
      </c>
      <c r="P70">
        <v>1.2980608940124509</v>
      </c>
    </row>
    <row r="71" spans="1:16" x14ac:dyDescent="0.25">
      <c r="A71" t="s">
        <v>202</v>
      </c>
      <c r="B71" t="s">
        <v>99</v>
      </c>
      <c r="C71">
        <v>0</v>
      </c>
      <c r="D71">
        <v>1</v>
      </c>
      <c r="E71">
        <v>1</v>
      </c>
      <c r="F71">
        <v>1</v>
      </c>
      <c r="G71">
        <v>1</v>
      </c>
      <c r="H71">
        <v>1</v>
      </c>
      <c r="I71">
        <v>1</v>
      </c>
      <c r="J71">
        <v>1</v>
      </c>
      <c r="K71">
        <v>1</v>
      </c>
      <c r="L71">
        <v>1</v>
      </c>
      <c r="M71">
        <v>1</v>
      </c>
      <c r="N71">
        <v>1</v>
      </c>
      <c r="P71">
        <v>2.101537942886353</v>
      </c>
    </row>
    <row r="72" spans="1:16" x14ac:dyDescent="0.25">
      <c r="A72" t="s">
        <v>202</v>
      </c>
      <c r="B72" t="s">
        <v>100</v>
      </c>
      <c r="C72">
        <v>0</v>
      </c>
      <c r="D72">
        <v>1</v>
      </c>
      <c r="E72">
        <v>1</v>
      </c>
      <c r="F72">
        <v>1</v>
      </c>
      <c r="G72">
        <v>1</v>
      </c>
      <c r="H72">
        <v>1</v>
      </c>
      <c r="I72">
        <v>1</v>
      </c>
      <c r="J72">
        <v>1</v>
      </c>
      <c r="K72">
        <v>1</v>
      </c>
      <c r="L72">
        <v>1</v>
      </c>
      <c r="M72">
        <v>1</v>
      </c>
      <c r="N72">
        <v>1</v>
      </c>
      <c r="P72">
        <v>1.2821781635284419</v>
      </c>
    </row>
    <row r="73" spans="1:16" x14ac:dyDescent="0.25">
      <c r="A73" t="s">
        <v>202</v>
      </c>
      <c r="B73" t="s">
        <v>101</v>
      </c>
      <c r="C73">
        <v>0</v>
      </c>
      <c r="D73">
        <v>1</v>
      </c>
      <c r="E73">
        <v>1</v>
      </c>
      <c r="F73">
        <v>1</v>
      </c>
      <c r="G73">
        <v>1</v>
      </c>
      <c r="H73">
        <v>1</v>
      </c>
      <c r="I73">
        <v>1</v>
      </c>
      <c r="J73">
        <v>1</v>
      </c>
      <c r="K73">
        <v>1</v>
      </c>
      <c r="L73">
        <v>1</v>
      </c>
      <c r="M73">
        <v>1</v>
      </c>
      <c r="N73">
        <v>1</v>
      </c>
      <c r="P73">
        <v>2.40981125831604</v>
      </c>
    </row>
    <row r="74" spans="1:16" x14ac:dyDescent="0.25">
      <c r="A74" t="s">
        <v>202</v>
      </c>
      <c r="B74" t="s">
        <v>102</v>
      </c>
      <c r="C74">
        <v>0</v>
      </c>
      <c r="D74">
        <v>1</v>
      </c>
      <c r="E74">
        <v>1</v>
      </c>
      <c r="F74">
        <v>1</v>
      </c>
      <c r="G74">
        <v>1</v>
      </c>
      <c r="H74">
        <v>1</v>
      </c>
      <c r="I74">
        <v>1</v>
      </c>
      <c r="J74">
        <v>1</v>
      </c>
      <c r="K74">
        <v>1</v>
      </c>
      <c r="L74">
        <v>1</v>
      </c>
      <c r="M74">
        <v>1</v>
      </c>
      <c r="N74">
        <v>1</v>
      </c>
      <c r="P74">
        <v>2.5197591781616211</v>
      </c>
    </row>
    <row r="75" spans="1:16" x14ac:dyDescent="0.25">
      <c r="A75" t="s">
        <v>202</v>
      </c>
      <c r="B75" t="s">
        <v>103</v>
      </c>
      <c r="C75">
        <v>0</v>
      </c>
      <c r="D75">
        <v>1</v>
      </c>
      <c r="E75">
        <v>1</v>
      </c>
      <c r="F75">
        <v>1</v>
      </c>
      <c r="G75">
        <v>1</v>
      </c>
      <c r="H75">
        <v>1</v>
      </c>
      <c r="I75">
        <v>1</v>
      </c>
      <c r="J75">
        <v>1</v>
      </c>
      <c r="K75">
        <v>1</v>
      </c>
      <c r="L75">
        <v>1</v>
      </c>
      <c r="M75">
        <v>1</v>
      </c>
      <c r="N75">
        <v>1</v>
      </c>
      <c r="P75">
        <v>1.460853099822998</v>
      </c>
    </row>
    <row r="76" spans="1:16" x14ac:dyDescent="0.25">
      <c r="A76" t="s">
        <v>202</v>
      </c>
      <c r="B76" t="s">
        <v>104</v>
      </c>
      <c r="C76">
        <v>0</v>
      </c>
      <c r="D76">
        <v>1</v>
      </c>
      <c r="E76">
        <v>1</v>
      </c>
      <c r="F76">
        <v>1</v>
      </c>
      <c r="G76">
        <v>1</v>
      </c>
      <c r="H76">
        <v>1</v>
      </c>
      <c r="I76">
        <v>1</v>
      </c>
      <c r="J76">
        <v>1</v>
      </c>
      <c r="K76">
        <v>1</v>
      </c>
      <c r="L76">
        <v>1</v>
      </c>
      <c r="M76">
        <v>1</v>
      </c>
      <c r="N76">
        <v>1</v>
      </c>
      <c r="P76">
        <v>1.9633350372314451</v>
      </c>
    </row>
    <row r="77" spans="1:16" x14ac:dyDescent="0.25">
      <c r="A77" t="s">
        <v>202</v>
      </c>
      <c r="B77" t="s">
        <v>105</v>
      </c>
      <c r="C77">
        <v>0</v>
      </c>
      <c r="D77">
        <v>1</v>
      </c>
      <c r="E77">
        <v>1</v>
      </c>
      <c r="F77">
        <v>1</v>
      </c>
      <c r="G77">
        <v>1</v>
      </c>
      <c r="H77">
        <v>1</v>
      </c>
      <c r="I77">
        <v>1</v>
      </c>
      <c r="J77">
        <v>1</v>
      </c>
      <c r="K77">
        <v>1</v>
      </c>
      <c r="L77">
        <v>1</v>
      </c>
      <c r="M77">
        <v>1</v>
      </c>
      <c r="N77">
        <v>1</v>
      </c>
      <c r="P77">
        <v>1.4798569679260249</v>
      </c>
    </row>
    <row r="78" spans="1:16" x14ac:dyDescent="0.25">
      <c r="A78" t="s">
        <v>202</v>
      </c>
      <c r="B78" t="s">
        <v>106</v>
      </c>
      <c r="C78">
        <v>0</v>
      </c>
      <c r="D78">
        <v>1</v>
      </c>
      <c r="E78">
        <v>1</v>
      </c>
      <c r="F78">
        <v>1</v>
      </c>
      <c r="G78">
        <v>1</v>
      </c>
      <c r="H78">
        <v>1</v>
      </c>
      <c r="I78">
        <v>1</v>
      </c>
      <c r="J78">
        <v>1</v>
      </c>
      <c r="K78">
        <v>1</v>
      </c>
      <c r="L78">
        <v>1</v>
      </c>
      <c r="M78">
        <v>1</v>
      </c>
      <c r="N78">
        <v>1</v>
      </c>
      <c r="P78">
        <v>2.1735997200012211</v>
      </c>
    </row>
    <row r="79" spans="1:16" x14ac:dyDescent="0.25">
      <c r="A79" t="s">
        <v>202</v>
      </c>
      <c r="B79" t="s">
        <v>107</v>
      </c>
      <c r="C79">
        <v>0</v>
      </c>
      <c r="D79">
        <v>1</v>
      </c>
      <c r="E79">
        <v>1</v>
      </c>
      <c r="F79">
        <v>1</v>
      </c>
      <c r="G79">
        <v>1</v>
      </c>
      <c r="H79">
        <v>1</v>
      </c>
      <c r="I79">
        <v>1</v>
      </c>
      <c r="J79">
        <v>1</v>
      </c>
      <c r="K79">
        <v>1</v>
      </c>
      <c r="L79">
        <v>1</v>
      </c>
      <c r="M79">
        <v>1</v>
      </c>
      <c r="N79">
        <v>1</v>
      </c>
      <c r="P79">
        <v>1.644859790802002</v>
      </c>
    </row>
    <row r="80" spans="1:16" x14ac:dyDescent="0.25">
      <c r="A80" t="s">
        <v>202</v>
      </c>
      <c r="B80" t="s">
        <v>108</v>
      </c>
      <c r="C80">
        <v>0</v>
      </c>
      <c r="D80">
        <v>1</v>
      </c>
      <c r="E80">
        <v>1</v>
      </c>
      <c r="F80">
        <v>1</v>
      </c>
      <c r="G80">
        <v>1</v>
      </c>
      <c r="H80">
        <v>1</v>
      </c>
      <c r="I80">
        <v>1</v>
      </c>
      <c r="J80">
        <v>0</v>
      </c>
      <c r="K80">
        <v>1</v>
      </c>
      <c r="L80">
        <v>1</v>
      </c>
      <c r="M80">
        <v>1</v>
      </c>
      <c r="N80">
        <v>1</v>
      </c>
      <c r="O80" t="s">
        <v>145</v>
      </c>
      <c r="P80">
        <v>3.000319242477417</v>
      </c>
    </row>
    <row r="81" spans="1:16" x14ac:dyDescent="0.25">
      <c r="A81" t="s">
        <v>202</v>
      </c>
      <c r="B81" t="s">
        <v>109</v>
      </c>
      <c r="C81">
        <v>0</v>
      </c>
      <c r="D81">
        <v>1</v>
      </c>
      <c r="E81">
        <v>0</v>
      </c>
      <c r="F81">
        <v>0</v>
      </c>
      <c r="G81">
        <v>1</v>
      </c>
      <c r="H81">
        <v>1</v>
      </c>
      <c r="I81">
        <v>1</v>
      </c>
      <c r="J81">
        <v>0</v>
      </c>
      <c r="K81">
        <v>1</v>
      </c>
      <c r="L81">
        <v>1</v>
      </c>
      <c r="M81">
        <v>1</v>
      </c>
      <c r="N81">
        <v>1</v>
      </c>
      <c r="O81" t="s">
        <v>146</v>
      </c>
      <c r="P81">
        <v>3.227441549301147</v>
      </c>
    </row>
    <row r="82" spans="1:16" x14ac:dyDescent="0.25">
      <c r="A82" t="s">
        <v>202</v>
      </c>
      <c r="B82" t="s">
        <v>111</v>
      </c>
      <c r="C82">
        <v>0</v>
      </c>
      <c r="D82">
        <v>1</v>
      </c>
      <c r="E82">
        <v>1</v>
      </c>
      <c r="F82">
        <v>1</v>
      </c>
      <c r="G82">
        <v>1</v>
      </c>
      <c r="H82">
        <v>1</v>
      </c>
      <c r="I82">
        <v>1</v>
      </c>
      <c r="J82">
        <v>1</v>
      </c>
      <c r="K82">
        <v>1</v>
      </c>
      <c r="L82">
        <v>1</v>
      </c>
      <c r="M82">
        <v>1</v>
      </c>
      <c r="N82">
        <v>1</v>
      </c>
      <c r="P82">
        <v>1.501139163970947</v>
      </c>
    </row>
    <row r="83" spans="1:16" x14ac:dyDescent="0.25">
      <c r="A83" t="s">
        <v>202</v>
      </c>
      <c r="B83" t="s">
        <v>112</v>
      </c>
      <c r="C83">
        <v>0</v>
      </c>
      <c r="D83">
        <v>1</v>
      </c>
      <c r="E83">
        <v>1</v>
      </c>
      <c r="F83">
        <v>1</v>
      </c>
      <c r="G83">
        <v>1</v>
      </c>
      <c r="H83">
        <v>1</v>
      </c>
      <c r="I83">
        <v>0</v>
      </c>
      <c r="J83">
        <v>1</v>
      </c>
      <c r="K83">
        <v>1</v>
      </c>
      <c r="L83">
        <v>1</v>
      </c>
      <c r="M83">
        <v>1</v>
      </c>
      <c r="N83">
        <v>1</v>
      </c>
      <c r="O83" t="s">
        <v>147</v>
      </c>
      <c r="P83">
        <v>2.356154203414917</v>
      </c>
    </row>
    <row r="84" spans="1:16" x14ac:dyDescent="0.25">
      <c r="A84" t="s">
        <v>202</v>
      </c>
      <c r="B84" t="s">
        <v>113</v>
      </c>
      <c r="C84">
        <v>0</v>
      </c>
      <c r="D84">
        <v>1</v>
      </c>
      <c r="E84">
        <v>1</v>
      </c>
      <c r="F84">
        <v>1</v>
      </c>
      <c r="G84">
        <v>1</v>
      </c>
      <c r="H84">
        <v>1</v>
      </c>
      <c r="I84">
        <v>1</v>
      </c>
      <c r="J84">
        <v>1</v>
      </c>
      <c r="K84">
        <v>1</v>
      </c>
      <c r="L84">
        <v>1</v>
      </c>
      <c r="M84">
        <v>1</v>
      </c>
      <c r="N84">
        <v>1</v>
      </c>
      <c r="P84">
        <v>2.219799280166626</v>
      </c>
    </row>
    <row r="85" spans="1:16" x14ac:dyDescent="0.25">
      <c r="A85" t="s">
        <v>202</v>
      </c>
      <c r="B85" t="s">
        <v>114</v>
      </c>
      <c r="C85">
        <v>0</v>
      </c>
      <c r="D85">
        <v>1</v>
      </c>
      <c r="E85">
        <v>1</v>
      </c>
      <c r="F85">
        <v>1</v>
      </c>
      <c r="G85">
        <v>1</v>
      </c>
      <c r="H85">
        <v>1</v>
      </c>
      <c r="I85">
        <v>1</v>
      </c>
      <c r="J85">
        <v>1</v>
      </c>
      <c r="K85">
        <v>1</v>
      </c>
      <c r="L85">
        <v>1</v>
      </c>
      <c r="M85">
        <v>1</v>
      </c>
      <c r="N85">
        <v>1</v>
      </c>
      <c r="P85">
        <v>1.292938709259033</v>
      </c>
    </row>
    <row r="86" spans="1:16" x14ac:dyDescent="0.25">
      <c r="A86" t="s">
        <v>202</v>
      </c>
      <c r="B86" t="s">
        <v>115</v>
      </c>
      <c r="C86">
        <v>0</v>
      </c>
      <c r="D86">
        <v>1</v>
      </c>
      <c r="E86">
        <v>1</v>
      </c>
      <c r="F86">
        <v>1</v>
      </c>
      <c r="G86">
        <v>1</v>
      </c>
      <c r="H86">
        <v>1</v>
      </c>
      <c r="I86">
        <v>1</v>
      </c>
      <c r="J86">
        <v>1</v>
      </c>
      <c r="K86">
        <v>1</v>
      </c>
      <c r="L86">
        <v>1</v>
      </c>
      <c r="M86">
        <v>1</v>
      </c>
      <c r="N86">
        <v>1</v>
      </c>
      <c r="P86">
        <v>1.681164503097534</v>
      </c>
    </row>
    <row r="87" spans="1:16" x14ac:dyDescent="0.25">
      <c r="A87" t="s">
        <v>202</v>
      </c>
      <c r="B87" t="s">
        <v>116</v>
      </c>
      <c r="C87">
        <v>0</v>
      </c>
      <c r="D87">
        <v>1</v>
      </c>
      <c r="E87">
        <v>1</v>
      </c>
      <c r="F87">
        <v>1</v>
      </c>
      <c r="G87">
        <v>1</v>
      </c>
      <c r="H87">
        <v>1</v>
      </c>
      <c r="I87">
        <v>1</v>
      </c>
      <c r="J87">
        <v>1</v>
      </c>
      <c r="K87">
        <v>1</v>
      </c>
      <c r="L87">
        <v>1</v>
      </c>
      <c r="M87">
        <v>1</v>
      </c>
      <c r="N87">
        <v>1</v>
      </c>
      <c r="P87">
        <v>1.2832784652709961</v>
      </c>
    </row>
    <row r="88" spans="1:16" x14ac:dyDescent="0.25">
      <c r="A88" t="s">
        <v>202</v>
      </c>
      <c r="B88" t="s">
        <v>117</v>
      </c>
      <c r="C88">
        <v>0</v>
      </c>
      <c r="D88">
        <v>1</v>
      </c>
      <c r="E88">
        <v>1</v>
      </c>
      <c r="F88">
        <v>1</v>
      </c>
      <c r="G88">
        <v>1</v>
      </c>
      <c r="H88">
        <v>1</v>
      </c>
      <c r="I88">
        <v>1</v>
      </c>
      <c r="J88">
        <v>1</v>
      </c>
      <c r="K88">
        <v>1</v>
      </c>
      <c r="L88">
        <v>1</v>
      </c>
      <c r="M88">
        <v>1</v>
      </c>
      <c r="N88">
        <v>1</v>
      </c>
      <c r="P88">
        <v>1.6796631813049321</v>
      </c>
    </row>
    <row r="89" spans="1:16" x14ac:dyDescent="0.25">
      <c r="A89" t="s">
        <v>202</v>
      </c>
      <c r="B89" t="s">
        <v>118</v>
      </c>
      <c r="C89">
        <v>0</v>
      </c>
      <c r="D89">
        <v>1</v>
      </c>
      <c r="E89">
        <v>1</v>
      </c>
      <c r="F89">
        <v>1</v>
      </c>
      <c r="G89">
        <v>1</v>
      </c>
      <c r="H89">
        <v>1</v>
      </c>
      <c r="I89">
        <v>1</v>
      </c>
      <c r="J89">
        <v>1</v>
      </c>
      <c r="K89">
        <v>1</v>
      </c>
      <c r="L89">
        <v>1</v>
      </c>
      <c r="M89">
        <v>1</v>
      </c>
      <c r="N89">
        <v>1</v>
      </c>
      <c r="P89">
        <v>2.1054060459136958</v>
      </c>
    </row>
    <row r="90" spans="1:16" x14ac:dyDescent="0.25">
      <c r="A90" t="s">
        <v>202</v>
      </c>
      <c r="B90" t="s">
        <v>119</v>
      </c>
      <c r="C90">
        <v>0</v>
      </c>
      <c r="D90">
        <v>1</v>
      </c>
      <c r="E90">
        <v>1</v>
      </c>
      <c r="F90">
        <v>1</v>
      </c>
      <c r="G90">
        <v>1</v>
      </c>
      <c r="H90">
        <v>1</v>
      </c>
      <c r="I90">
        <v>1</v>
      </c>
      <c r="J90">
        <v>1</v>
      </c>
      <c r="K90">
        <v>1</v>
      </c>
      <c r="L90">
        <v>1</v>
      </c>
      <c r="M90">
        <v>1</v>
      </c>
      <c r="N90">
        <v>1</v>
      </c>
      <c r="P90">
        <v>1.387213468551636</v>
      </c>
    </row>
    <row r="91" spans="1:16" x14ac:dyDescent="0.25">
      <c r="A91" t="s">
        <v>202</v>
      </c>
      <c r="B91" t="s">
        <v>120</v>
      </c>
      <c r="C91">
        <v>0</v>
      </c>
      <c r="D91">
        <v>1</v>
      </c>
      <c r="E91">
        <v>1</v>
      </c>
      <c r="F91">
        <v>1</v>
      </c>
      <c r="G91">
        <v>1</v>
      </c>
      <c r="H91">
        <v>1</v>
      </c>
      <c r="I91">
        <v>1</v>
      </c>
      <c r="J91">
        <v>1</v>
      </c>
      <c r="K91">
        <v>1</v>
      </c>
      <c r="L91">
        <v>1</v>
      </c>
      <c r="M91">
        <v>1</v>
      </c>
      <c r="N91">
        <v>1</v>
      </c>
      <c r="P91">
        <v>1.427056550979614</v>
      </c>
    </row>
    <row r="92" spans="1:16" x14ac:dyDescent="0.25">
      <c r="A92" t="s">
        <v>202</v>
      </c>
      <c r="B92" t="s">
        <v>121</v>
      </c>
      <c r="C92">
        <v>0</v>
      </c>
      <c r="D92">
        <v>1</v>
      </c>
      <c r="E92">
        <v>1</v>
      </c>
      <c r="F92">
        <v>1</v>
      </c>
      <c r="G92">
        <v>1</v>
      </c>
      <c r="H92">
        <v>1</v>
      </c>
      <c r="I92">
        <v>1</v>
      </c>
      <c r="J92">
        <v>1</v>
      </c>
      <c r="K92">
        <v>1</v>
      </c>
      <c r="L92">
        <v>1</v>
      </c>
      <c r="M92">
        <v>1</v>
      </c>
      <c r="N92">
        <v>1</v>
      </c>
      <c r="P92">
        <v>1.527519702911377</v>
      </c>
    </row>
    <row r="93" spans="1:16" x14ac:dyDescent="0.25">
      <c r="A93" t="s">
        <v>202</v>
      </c>
      <c r="B93" t="s">
        <v>122</v>
      </c>
      <c r="C93">
        <v>0</v>
      </c>
      <c r="D93">
        <v>1</v>
      </c>
      <c r="E93">
        <v>1</v>
      </c>
      <c r="F93">
        <v>1</v>
      </c>
      <c r="G93">
        <v>1</v>
      </c>
      <c r="H93">
        <v>1</v>
      </c>
      <c r="I93">
        <v>1</v>
      </c>
      <c r="J93">
        <v>1</v>
      </c>
      <c r="K93">
        <v>1</v>
      </c>
      <c r="L93">
        <v>1</v>
      </c>
      <c r="M93">
        <v>1</v>
      </c>
      <c r="N93">
        <v>1</v>
      </c>
      <c r="P93">
        <v>1.803222179412842</v>
      </c>
    </row>
    <row r="94" spans="1:16" x14ac:dyDescent="0.25">
      <c r="A94" t="s">
        <v>202</v>
      </c>
      <c r="B94" t="s">
        <v>123</v>
      </c>
      <c r="C94">
        <v>0</v>
      </c>
      <c r="D94">
        <v>1</v>
      </c>
      <c r="E94">
        <v>1</v>
      </c>
      <c r="F94">
        <v>1</v>
      </c>
      <c r="G94">
        <v>1</v>
      </c>
      <c r="H94">
        <v>1</v>
      </c>
      <c r="I94">
        <v>1</v>
      </c>
      <c r="J94">
        <v>1</v>
      </c>
      <c r="K94">
        <v>1</v>
      </c>
      <c r="L94">
        <v>1</v>
      </c>
      <c r="M94">
        <v>1</v>
      </c>
      <c r="N94">
        <v>1</v>
      </c>
      <c r="P94">
        <v>1.3719913959503169</v>
      </c>
    </row>
    <row r="95" spans="1:16" x14ac:dyDescent="0.25">
      <c r="A95" t="s">
        <v>202</v>
      </c>
      <c r="B95" t="s">
        <v>124</v>
      </c>
      <c r="C95">
        <v>0</v>
      </c>
      <c r="D95">
        <v>1</v>
      </c>
      <c r="E95">
        <v>1</v>
      </c>
      <c r="F95">
        <v>1</v>
      </c>
      <c r="G95">
        <v>1</v>
      </c>
      <c r="H95">
        <v>1</v>
      </c>
      <c r="I95">
        <v>1</v>
      </c>
      <c r="J95">
        <v>1</v>
      </c>
      <c r="K95">
        <v>1</v>
      </c>
      <c r="L95">
        <v>1</v>
      </c>
      <c r="M95">
        <v>1</v>
      </c>
      <c r="N95">
        <v>1</v>
      </c>
      <c r="P95">
        <v>1.6521091461181641</v>
      </c>
    </row>
    <row r="96" spans="1:16" x14ac:dyDescent="0.25">
      <c r="A96" t="s">
        <v>202</v>
      </c>
      <c r="B96" t="s">
        <v>125</v>
      </c>
      <c r="C96">
        <v>0</v>
      </c>
      <c r="D96">
        <v>1</v>
      </c>
      <c r="E96">
        <v>1</v>
      </c>
      <c r="F96">
        <v>1</v>
      </c>
      <c r="G96">
        <v>1</v>
      </c>
      <c r="H96">
        <v>1</v>
      </c>
      <c r="I96">
        <v>1</v>
      </c>
      <c r="J96">
        <v>1</v>
      </c>
      <c r="K96">
        <v>1</v>
      </c>
      <c r="L96">
        <v>1</v>
      </c>
      <c r="M96">
        <v>1</v>
      </c>
      <c r="N96">
        <v>1</v>
      </c>
      <c r="P96">
        <v>1.5149023532867429</v>
      </c>
    </row>
    <row r="97" spans="1:16" x14ac:dyDescent="0.25">
      <c r="A97" t="s">
        <v>202</v>
      </c>
      <c r="B97" t="s">
        <v>126</v>
      </c>
      <c r="C97">
        <v>0</v>
      </c>
      <c r="D97">
        <v>1</v>
      </c>
      <c r="E97">
        <v>1</v>
      </c>
      <c r="F97">
        <v>1</v>
      </c>
      <c r="G97">
        <v>1</v>
      </c>
      <c r="H97">
        <v>1</v>
      </c>
      <c r="I97">
        <v>1</v>
      </c>
      <c r="J97">
        <v>1</v>
      </c>
      <c r="K97">
        <v>1</v>
      </c>
      <c r="L97">
        <v>1</v>
      </c>
      <c r="M97">
        <v>1</v>
      </c>
      <c r="N97">
        <v>1</v>
      </c>
      <c r="P97">
        <v>1.519659280776978</v>
      </c>
    </row>
    <row r="98" spans="1:16" x14ac:dyDescent="0.25">
      <c r="A98" t="s">
        <v>202</v>
      </c>
      <c r="B98" t="s">
        <v>127</v>
      </c>
      <c r="C98">
        <v>0</v>
      </c>
      <c r="D98">
        <v>1</v>
      </c>
      <c r="E98">
        <v>1</v>
      </c>
      <c r="F98">
        <v>1</v>
      </c>
      <c r="G98">
        <v>1</v>
      </c>
      <c r="H98">
        <v>1</v>
      </c>
      <c r="I98">
        <v>1</v>
      </c>
      <c r="J98">
        <v>1</v>
      </c>
      <c r="K98">
        <v>1</v>
      </c>
      <c r="L98">
        <v>1</v>
      </c>
      <c r="M98">
        <v>1</v>
      </c>
      <c r="N98">
        <v>1</v>
      </c>
      <c r="P98">
        <v>1.3309648036956789</v>
      </c>
    </row>
    <row r="99" spans="1:16" x14ac:dyDescent="0.25">
      <c r="A99" t="s">
        <v>202</v>
      </c>
      <c r="B99" t="s">
        <v>128</v>
      </c>
      <c r="C99">
        <v>0</v>
      </c>
      <c r="D99">
        <v>1</v>
      </c>
      <c r="E99">
        <v>1</v>
      </c>
      <c r="F99">
        <v>1</v>
      </c>
      <c r="G99">
        <v>1</v>
      </c>
      <c r="H99">
        <v>1</v>
      </c>
      <c r="I99">
        <v>1</v>
      </c>
      <c r="J99">
        <v>1</v>
      </c>
      <c r="K99">
        <v>1</v>
      </c>
      <c r="L99">
        <v>1</v>
      </c>
      <c r="M99">
        <v>1</v>
      </c>
      <c r="N99">
        <v>1</v>
      </c>
      <c r="P99">
        <v>1.635713577270508</v>
      </c>
    </row>
    <row r="100" spans="1:16" x14ac:dyDescent="0.25">
      <c r="A100" t="s">
        <v>202</v>
      </c>
      <c r="B100" t="s">
        <v>130</v>
      </c>
      <c r="C100">
        <v>0</v>
      </c>
      <c r="D100">
        <v>1</v>
      </c>
      <c r="E100">
        <v>1</v>
      </c>
      <c r="F100">
        <v>1</v>
      </c>
      <c r="G100">
        <v>1</v>
      </c>
      <c r="H100">
        <v>1</v>
      </c>
      <c r="I100">
        <v>1</v>
      </c>
      <c r="J100">
        <v>1</v>
      </c>
      <c r="K100">
        <v>1</v>
      </c>
      <c r="L100">
        <v>1</v>
      </c>
      <c r="M100">
        <v>1</v>
      </c>
      <c r="N100">
        <v>1</v>
      </c>
      <c r="P100">
        <v>1.3136589527130129</v>
      </c>
    </row>
    <row r="101" spans="1:16" x14ac:dyDescent="0.25">
      <c r="A101" t="s">
        <v>202</v>
      </c>
      <c r="B101" t="s">
        <v>131</v>
      </c>
      <c r="C101">
        <v>0</v>
      </c>
      <c r="D101">
        <v>0</v>
      </c>
      <c r="E101">
        <v>0</v>
      </c>
      <c r="F101">
        <v>0</v>
      </c>
      <c r="G101">
        <v>1</v>
      </c>
      <c r="H101">
        <v>1</v>
      </c>
      <c r="I101">
        <v>0</v>
      </c>
      <c r="J101">
        <v>0</v>
      </c>
      <c r="K101">
        <v>0</v>
      </c>
      <c r="L101">
        <v>0</v>
      </c>
      <c r="M101">
        <v>1</v>
      </c>
      <c r="N101">
        <v>1</v>
      </c>
      <c r="O101" t="s">
        <v>148</v>
      </c>
      <c r="P101">
        <v>3.8233144283294682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01"/>
  <sheetViews>
    <sheetView workbookViewId="0">
      <selection activeCell="A2" sqref="A2:A101"/>
    </sheetView>
  </sheetViews>
  <sheetFormatPr defaultRowHeight="13.8"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202</v>
      </c>
      <c r="B2" t="s">
        <v>16</v>
      </c>
      <c r="C2">
        <v>0</v>
      </c>
      <c r="D2">
        <v>1</v>
      </c>
      <c r="E2">
        <v>1</v>
      </c>
      <c r="F2">
        <v>1</v>
      </c>
      <c r="G2">
        <v>1</v>
      </c>
      <c r="H2">
        <v>1</v>
      </c>
      <c r="I2">
        <v>1</v>
      </c>
      <c r="J2">
        <v>1</v>
      </c>
      <c r="K2">
        <v>1</v>
      </c>
      <c r="L2">
        <v>1</v>
      </c>
      <c r="M2">
        <v>1</v>
      </c>
      <c r="N2">
        <v>1</v>
      </c>
      <c r="P2">
        <v>1.3903565406799321</v>
      </c>
    </row>
    <row r="3" spans="1:16" x14ac:dyDescent="0.25">
      <c r="A3" t="s">
        <v>202</v>
      </c>
      <c r="B3" t="s">
        <v>17</v>
      </c>
      <c r="C3">
        <v>0</v>
      </c>
      <c r="D3">
        <v>1</v>
      </c>
      <c r="E3">
        <v>1</v>
      </c>
      <c r="F3">
        <v>1</v>
      </c>
      <c r="G3">
        <v>1</v>
      </c>
      <c r="H3">
        <v>1</v>
      </c>
      <c r="I3">
        <v>1</v>
      </c>
      <c r="J3">
        <v>1</v>
      </c>
      <c r="K3">
        <v>1</v>
      </c>
      <c r="L3">
        <v>1</v>
      </c>
      <c r="M3">
        <v>1</v>
      </c>
      <c r="N3">
        <v>1</v>
      </c>
      <c r="P3">
        <v>1.662305593490601</v>
      </c>
    </row>
    <row r="4" spans="1:16" x14ac:dyDescent="0.25">
      <c r="A4" t="s">
        <v>202</v>
      </c>
      <c r="B4" t="s">
        <v>19</v>
      </c>
      <c r="C4">
        <v>0</v>
      </c>
      <c r="D4">
        <v>1</v>
      </c>
      <c r="E4">
        <v>1</v>
      </c>
      <c r="F4">
        <v>1</v>
      </c>
      <c r="G4">
        <v>1</v>
      </c>
      <c r="H4">
        <v>1</v>
      </c>
      <c r="I4">
        <v>1</v>
      </c>
      <c r="J4">
        <v>1</v>
      </c>
      <c r="K4">
        <v>1</v>
      </c>
      <c r="L4">
        <v>1</v>
      </c>
      <c r="M4">
        <v>1</v>
      </c>
      <c r="N4">
        <v>1</v>
      </c>
      <c r="P4">
        <v>1.915601253509521</v>
      </c>
    </row>
    <row r="5" spans="1:16" x14ac:dyDescent="0.25">
      <c r="A5" t="s">
        <v>202</v>
      </c>
      <c r="B5" t="s">
        <v>20</v>
      </c>
      <c r="C5">
        <v>0</v>
      </c>
      <c r="D5">
        <v>1</v>
      </c>
      <c r="E5">
        <v>1</v>
      </c>
      <c r="F5">
        <v>1</v>
      </c>
      <c r="G5">
        <v>1</v>
      </c>
      <c r="H5">
        <v>1</v>
      </c>
      <c r="I5">
        <v>1</v>
      </c>
      <c r="J5">
        <v>1</v>
      </c>
      <c r="K5">
        <v>1</v>
      </c>
      <c r="L5">
        <v>1</v>
      </c>
      <c r="M5">
        <v>1</v>
      </c>
      <c r="N5">
        <v>1</v>
      </c>
      <c r="P5">
        <v>1.9153974056243901</v>
      </c>
    </row>
    <row r="6" spans="1:16" x14ac:dyDescent="0.25">
      <c r="A6" t="s">
        <v>202</v>
      </c>
      <c r="B6" t="s">
        <v>21</v>
      </c>
      <c r="C6">
        <v>0</v>
      </c>
      <c r="D6">
        <v>1</v>
      </c>
      <c r="E6">
        <v>1</v>
      </c>
      <c r="F6">
        <v>1</v>
      </c>
      <c r="G6">
        <v>1</v>
      </c>
      <c r="H6">
        <v>1</v>
      </c>
      <c r="I6">
        <v>1</v>
      </c>
      <c r="J6">
        <v>1</v>
      </c>
      <c r="K6">
        <v>1</v>
      </c>
      <c r="L6">
        <v>1</v>
      </c>
      <c r="M6">
        <v>1</v>
      </c>
      <c r="N6">
        <v>1</v>
      </c>
      <c r="P6">
        <v>2.667878389358521</v>
      </c>
    </row>
    <row r="7" spans="1:16" x14ac:dyDescent="0.25">
      <c r="A7" t="s">
        <v>202</v>
      </c>
      <c r="B7" t="s">
        <v>22</v>
      </c>
      <c r="C7">
        <v>0</v>
      </c>
      <c r="D7">
        <v>1</v>
      </c>
      <c r="E7">
        <v>1</v>
      </c>
      <c r="F7">
        <v>1</v>
      </c>
      <c r="G7">
        <v>1</v>
      </c>
      <c r="H7">
        <v>1</v>
      </c>
      <c r="I7">
        <v>1</v>
      </c>
      <c r="J7">
        <v>1</v>
      </c>
      <c r="K7">
        <v>1</v>
      </c>
      <c r="L7">
        <v>1</v>
      </c>
      <c r="M7">
        <v>1</v>
      </c>
      <c r="N7">
        <v>1</v>
      </c>
      <c r="P7">
        <v>1.2577600479125981</v>
      </c>
    </row>
    <row r="8" spans="1:16" x14ac:dyDescent="0.25">
      <c r="A8" t="s">
        <v>202</v>
      </c>
      <c r="B8" t="s">
        <v>23</v>
      </c>
      <c r="C8">
        <v>0</v>
      </c>
      <c r="D8">
        <v>1</v>
      </c>
      <c r="E8">
        <v>1</v>
      </c>
      <c r="F8">
        <v>1</v>
      </c>
      <c r="G8">
        <v>1</v>
      </c>
      <c r="H8">
        <v>1</v>
      </c>
      <c r="I8">
        <v>1</v>
      </c>
      <c r="J8">
        <v>1</v>
      </c>
      <c r="K8">
        <v>1</v>
      </c>
      <c r="L8">
        <v>1</v>
      </c>
      <c r="M8">
        <v>1</v>
      </c>
      <c r="N8">
        <v>1</v>
      </c>
      <c r="P8">
        <v>1.454383373260498</v>
      </c>
    </row>
    <row r="9" spans="1:16" x14ac:dyDescent="0.25">
      <c r="A9" t="s">
        <v>202</v>
      </c>
      <c r="B9" t="s">
        <v>24</v>
      </c>
      <c r="C9">
        <v>0</v>
      </c>
      <c r="D9">
        <v>1</v>
      </c>
      <c r="E9">
        <v>1</v>
      </c>
      <c r="F9">
        <v>1</v>
      </c>
      <c r="G9">
        <v>1</v>
      </c>
      <c r="H9">
        <v>1</v>
      </c>
      <c r="I9">
        <v>1</v>
      </c>
      <c r="J9">
        <v>1</v>
      </c>
      <c r="K9">
        <v>1</v>
      </c>
      <c r="L9">
        <v>1</v>
      </c>
      <c r="M9">
        <v>1</v>
      </c>
      <c r="N9">
        <v>1</v>
      </c>
      <c r="P9">
        <v>2.1317558288574219</v>
      </c>
    </row>
    <row r="10" spans="1:16" x14ac:dyDescent="0.25">
      <c r="A10" t="s">
        <v>202</v>
      </c>
      <c r="B10" t="s">
        <v>25</v>
      </c>
      <c r="C10">
        <v>0</v>
      </c>
      <c r="D10">
        <v>1</v>
      </c>
      <c r="E10">
        <v>1</v>
      </c>
      <c r="F10">
        <v>1</v>
      </c>
      <c r="G10">
        <v>1</v>
      </c>
      <c r="H10">
        <v>1</v>
      </c>
      <c r="I10">
        <v>1</v>
      </c>
      <c r="J10">
        <v>1</v>
      </c>
      <c r="K10">
        <v>1</v>
      </c>
      <c r="L10">
        <v>1</v>
      </c>
      <c r="M10">
        <v>1</v>
      </c>
      <c r="N10">
        <v>1</v>
      </c>
      <c r="P10">
        <v>1.52564001083374</v>
      </c>
    </row>
    <row r="11" spans="1:16" x14ac:dyDescent="0.25">
      <c r="A11" t="s">
        <v>202</v>
      </c>
      <c r="B11" t="s">
        <v>26</v>
      </c>
      <c r="C11">
        <v>0</v>
      </c>
      <c r="D11">
        <v>1</v>
      </c>
      <c r="E11">
        <v>1</v>
      </c>
      <c r="F11">
        <v>1</v>
      </c>
      <c r="G11">
        <v>1</v>
      </c>
      <c r="H11">
        <v>1</v>
      </c>
      <c r="I11">
        <v>1</v>
      </c>
      <c r="J11">
        <v>1</v>
      </c>
      <c r="K11">
        <v>1</v>
      </c>
      <c r="L11">
        <v>1</v>
      </c>
      <c r="M11">
        <v>1</v>
      </c>
      <c r="N11">
        <v>1</v>
      </c>
      <c r="P11">
        <v>1.7444934844970701</v>
      </c>
    </row>
    <row r="12" spans="1:16" x14ac:dyDescent="0.25">
      <c r="A12" t="s">
        <v>202</v>
      </c>
      <c r="B12" t="s">
        <v>27</v>
      </c>
      <c r="C12">
        <v>0</v>
      </c>
      <c r="D12">
        <v>1</v>
      </c>
      <c r="E12">
        <v>0</v>
      </c>
      <c r="F12">
        <v>1</v>
      </c>
      <c r="G12">
        <v>1</v>
      </c>
      <c r="H12">
        <v>1</v>
      </c>
      <c r="I12">
        <v>1</v>
      </c>
      <c r="J12">
        <v>1</v>
      </c>
      <c r="K12">
        <v>1</v>
      </c>
      <c r="L12">
        <v>1</v>
      </c>
      <c r="M12">
        <v>1</v>
      </c>
      <c r="N12">
        <v>1</v>
      </c>
      <c r="O12" t="s">
        <v>149</v>
      </c>
      <c r="P12">
        <v>2.6786718368530269</v>
      </c>
    </row>
    <row r="13" spans="1:16" x14ac:dyDescent="0.25">
      <c r="A13" t="s">
        <v>202</v>
      </c>
      <c r="B13" t="s">
        <v>29</v>
      </c>
      <c r="C13">
        <v>0</v>
      </c>
      <c r="D13">
        <v>1</v>
      </c>
      <c r="E13">
        <v>1</v>
      </c>
      <c r="F13">
        <v>1</v>
      </c>
      <c r="G13">
        <v>1</v>
      </c>
      <c r="H13">
        <v>1</v>
      </c>
      <c r="I13">
        <v>1</v>
      </c>
      <c r="J13">
        <v>1</v>
      </c>
      <c r="K13">
        <v>1</v>
      </c>
      <c r="L13">
        <v>1</v>
      </c>
      <c r="M13">
        <v>1</v>
      </c>
      <c r="N13">
        <v>1</v>
      </c>
      <c r="P13">
        <v>1.5335812568664551</v>
      </c>
    </row>
    <row r="14" spans="1:16" x14ac:dyDescent="0.25">
      <c r="A14" t="s">
        <v>202</v>
      </c>
      <c r="B14" t="s">
        <v>30</v>
      </c>
      <c r="C14">
        <v>0</v>
      </c>
      <c r="D14">
        <v>1</v>
      </c>
      <c r="E14">
        <v>0</v>
      </c>
      <c r="F14">
        <v>1</v>
      </c>
      <c r="G14">
        <v>1</v>
      </c>
      <c r="H14">
        <v>1</v>
      </c>
      <c r="I14">
        <v>1</v>
      </c>
      <c r="J14">
        <v>1</v>
      </c>
      <c r="K14">
        <v>1</v>
      </c>
      <c r="L14">
        <v>1</v>
      </c>
      <c r="M14">
        <v>1</v>
      </c>
      <c r="N14">
        <v>1</v>
      </c>
      <c r="O14" t="s">
        <v>150</v>
      </c>
      <c r="P14">
        <v>3.4027881622314449</v>
      </c>
    </row>
    <row r="15" spans="1:16" x14ac:dyDescent="0.25">
      <c r="A15" t="s">
        <v>202</v>
      </c>
      <c r="B15" t="s">
        <v>31</v>
      </c>
      <c r="C15">
        <v>0</v>
      </c>
      <c r="D15">
        <v>1</v>
      </c>
      <c r="E15">
        <v>1</v>
      </c>
      <c r="F15">
        <v>0</v>
      </c>
      <c r="G15">
        <v>1</v>
      </c>
      <c r="H15">
        <v>1</v>
      </c>
      <c r="I15">
        <v>1</v>
      </c>
      <c r="J15">
        <v>0</v>
      </c>
      <c r="K15">
        <v>1</v>
      </c>
      <c r="L15">
        <v>1</v>
      </c>
      <c r="M15">
        <v>1</v>
      </c>
      <c r="N15">
        <v>1</v>
      </c>
      <c r="O15" t="s">
        <v>151</v>
      </c>
      <c r="P15">
        <v>2.7624058723449711</v>
      </c>
    </row>
    <row r="16" spans="1:16" x14ac:dyDescent="0.25">
      <c r="A16" t="s">
        <v>202</v>
      </c>
      <c r="B16" t="s">
        <v>33</v>
      </c>
      <c r="C16">
        <v>0</v>
      </c>
      <c r="D16">
        <v>1</v>
      </c>
      <c r="E16">
        <v>0</v>
      </c>
      <c r="F16">
        <v>1</v>
      </c>
      <c r="G16">
        <v>1</v>
      </c>
      <c r="H16">
        <v>1</v>
      </c>
      <c r="I16">
        <v>1</v>
      </c>
      <c r="J16">
        <v>1</v>
      </c>
      <c r="K16">
        <v>1</v>
      </c>
      <c r="L16">
        <v>1</v>
      </c>
      <c r="M16">
        <v>1</v>
      </c>
      <c r="N16">
        <v>1</v>
      </c>
      <c r="O16" t="s">
        <v>152</v>
      </c>
      <c r="P16">
        <v>2.4263031482696529</v>
      </c>
    </row>
    <row r="17" spans="1:16" x14ac:dyDescent="0.25">
      <c r="A17" t="s">
        <v>202</v>
      </c>
      <c r="B17" t="s">
        <v>35</v>
      </c>
      <c r="C17">
        <v>0</v>
      </c>
      <c r="D17">
        <v>1</v>
      </c>
      <c r="E17">
        <v>1</v>
      </c>
      <c r="F17">
        <v>1</v>
      </c>
      <c r="G17">
        <v>1</v>
      </c>
      <c r="H17">
        <v>1</v>
      </c>
      <c r="I17">
        <v>1</v>
      </c>
      <c r="J17">
        <v>1</v>
      </c>
      <c r="K17">
        <v>1</v>
      </c>
      <c r="L17">
        <v>1</v>
      </c>
      <c r="M17">
        <v>1</v>
      </c>
      <c r="N17">
        <v>1</v>
      </c>
      <c r="P17">
        <v>1.329412698745728</v>
      </c>
    </row>
    <row r="18" spans="1:16" x14ac:dyDescent="0.25">
      <c r="A18" t="s">
        <v>202</v>
      </c>
      <c r="B18" t="s">
        <v>36</v>
      </c>
      <c r="C18">
        <v>0</v>
      </c>
      <c r="D18">
        <v>1</v>
      </c>
      <c r="E18">
        <v>1</v>
      </c>
      <c r="F18">
        <v>1</v>
      </c>
      <c r="G18">
        <v>1</v>
      </c>
      <c r="H18">
        <v>1</v>
      </c>
      <c r="I18">
        <v>1</v>
      </c>
      <c r="J18">
        <v>1</v>
      </c>
      <c r="K18">
        <v>1</v>
      </c>
      <c r="L18">
        <v>1</v>
      </c>
      <c r="M18">
        <v>1</v>
      </c>
      <c r="N18">
        <v>1</v>
      </c>
      <c r="P18">
        <v>1.52265453338623</v>
      </c>
    </row>
    <row r="19" spans="1:16" x14ac:dyDescent="0.25">
      <c r="A19" t="s">
        <v>202</v>
      </c>
      <c r="B19" t="s">
        <v>37</v>
      </c>
      <c r="C19">
        <v>0</v>
      </c>
      <c r="D19">
        <v>1</v>
      </c>
      <c r="E19">
        <v>1</v>
      </c>
      <c r="F19">
        <v>0</v>
      </c>
      <c r="G19">
        <v>0</v>
      </c>
      <c r="H19">
        <v>1</v>
      </c>
      <c r="I19">
        <v>1</v>
      </c>
      <c r="J19">
        <v>1</v>
      </c>
      <c r="K19">
        <v>1</v>
      </c>
      <c r="L19">
        <v>1</v>
      </c>
      <c r="M19">
        <v>1</v>
      </c>
      <c r="N19">
        <v>1</v>
      </c>
      <c r="O19" t="s">
        <v>153</v>
      </c>
      <c r="P19">
        <v>5.185654878616333</v>
      </c>
    </row>
    <row r="20" spans="1:16" x14ac:dyDescent="0.25">
      <c r="A20" t="s">
        <v>202</v>
      </c>
      <c r="B20" t="s">
        <v>39</v>
      </c>
      <c r="C20">
        <v>0</v>
      </c>
      <c r="D20">
        <v>1</v>
      </c>
      <c r="E20">
        <v>1</v>
      </c>
      <c r="F20">
        <v>1</v>
      </c>
      <c r="G20">
        <v>1</v>
      </c>
      <c r="H20">
        <v>1</v>
      </c>
      <c r="I20">
        <v>1</v>
      </c>
      <c r="J20">
        <v>1</v>
      </c>
      <c r="K20">
        <v>1</v>
      </c>
      <c r="L20">
        <v>1</v>
      </c>
      <c r="M20">
        <v>1</v>
      </c>
      <c r="N20">
        <v>1</v>
      </c>
      <c r="P20">
        <v>1.3287339210510249</v>
      </c>
    </row>
    <row r="21" spans="1:16" x14ac:dyDescent="0.25">
      <c r="A21" t="s">
        <v>202</v>
      </c>
      <c r="B21" t="s">
        <v>40</v>
      </c>
      <c r="C21">
        <v>0</v>
      </c>
      <c r="D21">
        <v>1</v>
      </c>
      <c r="E21">
        <v>1</v>
      </c>
      <c r="F21">
        <v>1</v>
      </c>
      <c r="G21">
        <v>1</v>
      </c>
      <c r="H21">
        <v>1</v>
      </c>
      <c r="I21">
        <v>1</v>
      </c>
      <c r="J21">
        <v>1</v>
      </c>
      <c r="K21">
        <v>1</v>
      </c>
      <c r="L21">
        <v>1</v>
      </c>
      <c r="M21">
        <v>1</v>
      </c>
      <c r="N21">
        <v>1</v>
      </c>
      <c r="P21">
        <v>1.2949991226196289</v>
      </c>
    </row>
    <row r="22" spans="1:16" x14ac:dyDescent="0.25">
      <c r="A22" t="s">
        <v>202</v>
      </c>
      <c r="B22" t="s">
        <v>41</v>
      </c>
      <c r="C22">
        <v>0</v>
      </c>
      <c r="D22">
        <v>1</v>
      </c>
      <c r="E22">
        <v>1</v>
      </c>
      <c r="F22">
        <v>1</v>
      </c>
      <c r="G22">
        <v>1</v>
      </c>
      <c r="H22">
        <v>1</v>
      </c>
      <c r="I22">
        <v>1</v>
      </c>
      <c r="J22">
        <v>1</v>
      </c>
      <c r="K22">
        <v>1</v>
      </c>
      <c r="L22">
        <v>1</v>
      </c>
      <c r="M22">
        <v>1</v>
      </c>
      <c r="N22">
        <v>1</v>
      </c>
      <c r="P22">
        <v>1.406502962112427</v>
      </c>
    </row>
    <row r="23" spans="1:16" x14ac:dyDescent="0.25">
      <c r="A23" t="s">
        <v>202</v>
      </c>
      <c r="B23" t="s">
        <v>42</v>
      </c>
      <c r="C23">
        <v>0</v>
      </c>
      <c r="D23">
        <v>1</v>
      </c>
      <c r="E23">
        <v>1</v>
      </c>
      <c r="F23">
        <v>1</v>
      </c>
      <c r="G23">
        <v>1</v>
      </c>
      <c r="H23">
        <v>1</v>
      </c>
      <c r="I23">
        <v>1</v>
      </c>
      <c r="J23">
        <v>1</v>
      </c>
      <c r="K23">
        <v>1</v>
      </c>
      <c r="L23">
        <v>1</v>
      </c>
      <c r="M23">
        <v>1</v>
      </c>
      <c r="N23">
        <v>1</v>
      </c>
      <c r="P23">
        <v>1.9687952995300291</v>
      </c>
    </row>
    <row r="24" spans="1:16" x14ac:dyDescent="0.25">
      <c r="A24" t="s">
        <v>202</v>
      </c>
      <c r="B24" t="s">
        <v>43</v>
      </c>
      <c r="C24">
        <v>0</v>
      </c>
      <c r="D24">
        <v>1</v>
      </c>
      <c r="E24">
        <v>0</v>
      </c>
      <c r="F24">
        <v>1</v>
      </c>
      <c r="G24">
        <v>1</v>
      </c>
      <c r="H24">
        <v>0</v>
      </c>
      <c r="I24">
        <v>1</v>
      </c>
      <c r="J24">
        <v>0</v>
      </c>
      <c r="K24">
        <v>1</v>
      </c>
      <c r="L24">
        <v>1</v>
      </c>
      <c r="M24">
        <v>1</v>
      </c>
      <c r="N24">
        <v>1</v>
      </c>
      <c r="O24" t="s">
        <v>154</v>
      </c>
      <c r="P24">
        <v>4.6911036968231201</v>
      </c>
    </row>
    <row r="25" spans="1:16" x14ac:dyDescent="0.25">
      <c r="A25" t="s">
        <v>202</v>
      </c>
      <c r="B25" t="s">
        <v>45</v>
      </c>
      <c r="C25">
        <v>0</v>
      </c>
      <c r="D25">
        <v>1</v>
      </c>
      <c r="E25">
        <v>1</v>
      </c>
      <c r="F25">
        <v>1</v>
      </c>
      <c r="G25">
        <v>1</v>
      </c>
      <c r="H25">
        <v>1</v>
      </c>
      <c r="I25">
        <v>1</v>
      </c>
      <c r="J25">
        <v>1</v>
      </c>
      <c r="K25">
        <v>1</v>
      </c>
      <c r="L25">
        <v>1</v>
      </c>
      <c r="M25">
        <v>1</v>
      </c>
      <c r="N25">
        <v>1</v>
      </c>
      <c r="P25">
        <v>1.262004137039185</v>
      </c>
    </row>
    <row r="26" spans="1:16" x14ac:dyDescent="0.25">
      <c r="A26" t="s">
        <v>202</v>
      </c>
      <c r="B26" t="s">
        <v>46</v>
      </c>
      <c r="C26">
        <v>0</v>
      </c>
      <c r="D26">
        <v>1</v>
      </c>
      <c r="E26">
        <v>1</v>
      </c>
      <c r="F26">
        <v>1</v>
      </c>
      <c r="G26">
        <v>1</v>
      </c>
      <c r="H26">
        <v>1</v>
      </c>
      <c r="I26">
        <v>1</v>
      </c>
      <c r="J26">
        <v>1</v>
      </c>
      <c r="K26">
        <v>1</v>
      </c>
      <c r="L26">
        <v>1</v>
      </c>
      <c r="M26">
        <v>1</v>
      </c>
      <c r="N26">
        <v>1</v>
      </c>
      <c r="P26">
        <v>1.3513936996459961</v>
      </c>
    </row>
    <row r="27" spans="1:16" x14ac:dyDescent="0.25">
      <c r="A27" t="s">
        <v>202</v>
      </c>
      <c r="B27" t="s">
        <v>47</v>
      </c>
      <c r="C27">
        <v>0</v>
      </c>
      <c r="D27">
        <v>1</v>
      </c>
      <c r="E27">
        <v>1</v>
      </c>
      <c r="F27">
        <v>1</v>
      </c>
      <c r="G27">
        <v>1</v>
      </c>
      <c r="H27">
        <v>1</v>
      </c>
      <c r="I27">
        <v>1</v>
      </c>
      <c r="J27">
        <v>1</v>
      </c>
      <c r="K27">
        <v>1</v>
      </c>
      <c r="L27">
        <v>1</v>
      </c>
      <c r="M27">
        <v>1</v>
      </c>
      <c r="N27">
        <v>1</v>
      </c>
      <c r="P27">
        <v>2.3128714561462398</v>
      </c>
    </row>
    <row r="28" spans="1:16" x14ac:dyDescent="0.25">
      <c r="A28" t="s">
        <v>202</v>
      </c>
      <c r="B28" t="s">
        <v>48</v>
      </c>
      <c r="C28">
        <v>0</v>
      </c>
      <c r="D28">
        <v>1</v>
      </c>
      <c r="E28">
        <v>1</v>
      </c>
      <c r="F28">
        <v>1</v>
      </c>
      <c r="G28">
        <v>1</v>
      </c>
      <c r="H28">
        <v>1</v>
      </c>
      <c r="I28">
        <v>1</v>
      </c>
      <c r="J28">
        <v>1</v>
      </c>
      <c r="K28">
        <v>1</v>
      </c>
      <c r="L28">
        <v>1</v>
      </c>
      <c r="M28">
        <v>1</v>
      </c>
      <c r="N28">
        <v>1</v>
      </c>
      <c r="P28">
        <v>2.0715374946594238</v>
      </c>
    </row>
    <row r="29" spans="1:16" x14ac:dyDescent="0.25">
      <c r="A29" t="s">
        <v>202</v>
      </c>
      <c r="B29" t="s">
        <v>49</v>
      </c>
      <c r="C29">
        <v>0</v>
      </c>
      <c r="D29">
        <v>1</v>
      </c>
      <c r="E29">
        <v>1</v>
      </c>
      <c r="F29">
        <v>1</v>
      </c>
      <c r="G29">
        <v>1</v>
      </c>
      <c r="H29">
        <v>1</v>
      </c>
      <c r="I29">
        <v>1</v>
      </c>
      <c r="J29">
        <v>1</v>
      </c>
      <c r="K29">
        <v>1</v>
      </c>
      <c r="L29">
        <v>1</v>
      </c>
      <c r="M29">
        <v>1</v>
      </c>
      <c r="N29">
        <v>1</v>
      </c>
      <c r="P29">
        <v>1.4633748531341551</v>
      </c>
    </row>
    <row r="30" spans="1:16" x14ac:dyDescent="0.25">
      <c r="A30" t="s">
        <v>202</v>
      </c>
      <c r="B30" t="s">
        <v>50</v>
      </c>
      <c r="C30">
        <v>0</v>
      </c>
      <c r="D30">
        <v>0</v>
      </c>
      <c r="E30">
        <v>0</v>
      </c>
      <c r="F30">
        <v>1</v>
      </c>
      <c r="G30">
        <v>1</v>
      </c>
      <c r="H30">
        <v>1</v>
      </c>
      <c r="I30">
        <v>1</v>
      </c>
      <c r="J30">
        <v>0</v>
      </c>
      <c r="K30">
        <v>1</v>
      </c>
      <c r="L30">
        <v>0</v>
      </c>
      <c r="M30">
        <v>1</v>
      </c>
      <c r="N30">
        <v>1</v>
      </c>
      <c r="O30" t="s">
        <v>155</v>
      </c>
      <c r="P30">
        <v>4.3817698955535889</v>
      </c>
    </row>
    <row r="31" spans="1:16" x14ac:dyDescent="0.25">
      <c r="A31" t="s">
        <v>202</v>
      </c>
      <c r="B31" t="s">
        <v>52</v>
      </c>
      <c r="C31">
        <v>0</v>
      </c>
      <c r="D31">
        <v>1</v>
      </c>
      <c r="E31">
        <v>1</v>
      </c>
      <c r="F31">
        <v>1</v>
      </c>
      <c r="G31">
        <v>1</v>
      </c>
      <c r="H31">
        <v>1</v>
      </c>
      <c r="I31">
        <v>1</v>
      </c>
      <c r="J31">
        <v>1</v>
      </c>
      <c r="K31">
        <v>1</v>
      </c>
      <c r="L31">
        <v>1</v>
      </c>
      <c r="M31">
        <v>1</v>
      </c>
      <c r="N31">
        <v>1</v>
      </c>
      <c r="P31">
        <v>1.7191009521484379</v>
      </c>
    </row>
    <row r="32" spans="1:16" x14ac:dyDescent="0.25">
      <c r="A32" t="s">
        <v>202</v>
      </c>
      <c r="B32" t="s">
        <v>53</v>
      </c>
      <c r="C32">
        <v>0</v>
      </c>
      <c r="D32">
        <v>1</v>
      </c>
      <c r="E32">
        <v>1</v>
      </c>
      <c r="F32">
        <v>1</v>
      </c>
      <c r="G32">
        <v>1</v>
      </c>
      <c r="H32">
        <v>1</v>
      </c>
      <c r="I32">
        <v>1</v>
      </c>
      <c r="J32">
        <v>1</v>
      </c>
      <c r="K32">
        <v>1</v>
      </c>
      <c r="L32">
        <v>1</v>
      </c>
      <c r="M32">
        <v>1</v>
      </c>
      <c r="N32">
        <v>1</v>
      </c>
      <c r="P32">
        <v>1.5144195556640621</v>
      </c>
    </row>
    <row r="33" spans="1:16" x14ac:dyDescent="0.25">
      <c r="A33" t="s">
        <v>202</v>
      </c>
      <c r="B33" t="s">
        <v>54</v>
      </c>
      <c r="C33">
        <v>0</v>
      </c>
      <c r="D33">
        <v>1</v>
      </c>
      <c r="E33">
        <v>1</v>
      </c>
      <c r="F33">
        <v>1</v>
      </c>
      <c r="G33">
        <v>1</v>
      </c>
      <c r="H33">
        <v>1</v>
      </c>
      <c r="I33">
        <v>1</v>
      </c>
      <c r="J33">
        <v>1</v>
      </c>
      <c r="K33">
        <v>1</v>
      </c>
      <c r="L33">
        <v>1</v>
      </c>
      <c r="M33">
        <v>1</v>
      </c>
      <c r="N33">
        <v>1</v>
      </c>
      <c r="P33">
        <v>1.5091593265533449</v>
      </c>
    </row>
    <row r="34" spans="1:16" x14ac:dyDescent="0.25">
      <c r="A34" t="s">
        <v>202</v>
      </c>
      <c r="B34" t="s">
        <v>55</v>
      </c>
      <c r="C34">
        <v>0</v>
      </c>
      <c r="D34">
        <v>1</v>
      </c>
      <c r="E34">
        <v>1</v>
      </c>
      <c r="F34">
        <v>1</v>
      </c>
      <c r="G34">
        <v>1</v>
      </c>
      <c r="H34">
        <v>1</v>
      </c>
      <c r="I34">
        <v>1</v>
      </c>
      <c r="J34">
        <v>1</v>
      </c>
      <c r="K34">
        <v>1</v>
      </c>
      <c r="L34">
        <v>1</v>
      </c>
      <c r="M34">
        <v>1</v>
      </c>
      <c r="N34">
        <v>1</v>
      </c>
      <c r="P34">
        <v>2.0616333484649658</v>
      </c>
    </row>
    <row r="35" spans="1:16" x14ac:dyDescent="0.25">
      <c r="A35" t="s">
        <v>202</v>
      </c>
      <c r="B35" t="s">
        <v>56</v>
      </c>
      <c r="C35">
        <v>0</v>
      </c>
      <c r="D35">
        <v>1</v>
      </c>
      <c r="E35">
        <v>1</v>
      </c>
      <c r="F35">
        <v>1</v>
      </c>
      <c r="G35">
        <v>1</v>
      </c>
      <c r="H35">
        <v>1</v>
      </c>
      <c r="I35">
        <v>1</v>
      </c>
      <c r="J35">
        <v>1</v>
      </c>
      <c r="K35">
        <v>1</v>
      </c>
      <c r="L35">
        <v>1</v>
      </c>
      <c r="M35">
        <v>1</v>
      </c>
      <c r="N35">
        <v>1</v>
      </c>
      <c r="P35">
        <v>2.1403295993804932</v>
      </c>
    </row>
    <row r="36" spans="1:16" x14ac:dyDescent="0.25">
      <c r="A36" t="s">
        <v>202</v>
      </c>
      <c r="B36" t="s">
        <v>57</v>
      </c>
      <c r="C36">
        <v>0</v>
      </c>
      <c r="D36">
        <v>1</v>
      </c>
      <c r="E36">
        <v>1</v>
      </c>
      <c r="F36">
        <v>1</v>
      </c>
      <c r="G36">
        <v>1</v>
      </c>
      <c r="H36">
        <v>1</v>
      </c>
      <c r="I36">
        <v>1</v>
      </c>
      <c r="J36">
        <v>1</v>
      </c>
      <c r="K36">
        <v>1</v>
      </c>
      <c r="L36">
        <v>1</v>
      </c>
      <c r="M36">
        <v>1</v>
      </c>
      <c r="N36">
        <v>1</v>
      </c>
      <c r="P36">
        <v>1.268434524536133</v>
      </c>
    </row>
    <row r="37" spans="1:16" x14ac:dyDescent="0.25">
      <c r="A37" t="s">
        <v>202</v>
      </c>
      <c r="B37" t="s">
        <v>58</v>
      </c>
      <c r="C37">
        <v>0</v>
      </c>
      <c r="D37">
        <v>1</v>
      </c>
      <c r="E37">
        <v>1</v>
      </c>
      <c r="F37">
        <v>1</v>
      </c>
      <c r="G37">
        <v>1</v>
      </c>
      <c r="H37">
        <v>1</v>
      </c>
      <c r="I37">
        <v>1</v>
      </c>
      <c r="J37">
        <v>1</v>
      </c>
      <c r="K37">
        <v>1</v>
      </c>
      <c r="L37">
        <v>1</v>
      </c>
      <c r="M37">
        <v>1</v>
      </c>
      <c r="N37">
        <v>1</v>
      </c>
      <c r="P37">
        <v>1.356905937194824</v>
      </c>
    </row>
    <row r="38" spans="1:16" x14ac:dyDescent="0.25">
      <c r="A38" t="s">
        <v>202</v>
      </c>
      <c r="B38" t="s">
        <v>59</v>
      </c>
      <c r="C38">
        <v>0</v>
      </c>
      <c r="D38">
        <v>1</v>
      </c>
      <c r="E38">
        <v>1</v>
      </c>
      <c r="F38">
        <v>1</v>
      </c>
      <c r="G38">
        <v>1</v>
      </c>
      <c r="H38">
        <v>1</v>
      </c>
      <c r="I38">
        <v>1</v>
      </c>
      <c r="J38">
        <v>1</v>
      </c>
      <c r="K38">
        <v>1</v>
      </c>
      <c r="L38">
        <v>1</v>
      </c>
      <c r="M38">
        <v>1</v>
      </c>
      <c r="N38">
        <v>1</v>
      </c>
      <c r="P38">
        <v>1.337923049926758</v>
      </c>
    </row>
    <row r="39" spans="1:16" x14ac:dyDescent="0.25">
      <c r="A39" t="s">
        <v>202</v>
      </c>
      <c r="B39" t="s">
        <v>60</v>
      </c>
      <c r="C39">
        <v>0</v>
      </c>
      <c r="D39">
        <v>1</v>
      </c>
      <c r="E39">
        <v>1</v>
      </c>
      <c r="F39">
        <v>1</v>
      </c>
      <c r="G39">
        <v>1</v>
      </c>
      <c r="H39">
        <v>1</v>
      </c>
      <c r="I39">
        <v>1</v>
      </c>
      <c r="J39">
        <v>1</v>
      </c>
      <c r="K39">
        <v>1</v>
      </c>
      <c r="L39">
        <v>1</v>
      </c>
      <c r="M39">
        <v>1</v>
      </c>
      <c r="N39">
        <v>1</v>
      </c>
      <c r="P39">
        <v>1.571565628051758</v>
      </c>
    </row>
    <row r="40" spans="1:16" x14ac:dyDescent="0.25">
      <c r="A40" t="s">
        <v>202</v>
      </c>
      <c r="B40" t="s">
        <v>61</v>
      </c>
      <c r="C40">
        <v>0</v>
      </c>
      <c r="D40">
        <v>1</v>
      </c>
      <c r="E40">
        <v>1</v>
      </c>
      <c r="F40">
        <v>1</v>
      </c>
      <c r="G40">
        <v>1</v>
      </c>
      <c r="H40">
        <v>1</v>
      </c>
      <c r="I40">
        <v>1</v>
      </c>
      <c r="J40">
        <v>1</v>
      </c>
      <c r="K40">
        <v>1</v>
      </c>
      <c r="L40">
        <v>1</v>
      </c>
      <c r="M40">
        <v>1</v>
      </c>
      <c r="N40">
        <v>1</v>
      </c>
      <c r="P40">
        <v>1.5883607864379881</v>
      </c>
    </row>
    <row r="41" spans="1:16" x14ac:dyDescent="0.25">
      <c r="A41" t="s">
        <v>202</v>
      </c>
      <c r="B41" t="s">
        <v>62</v>
      </c>
      <c r="C41">
        <v>0</v>
      </c>
      <c r="D41">
        <v>1</v>
      </c>
      <c r="E41">
        <v>1</v>
      </c>
      <c r="F41">
        <v>1</v>
      </c>
      <c r="G41">
        <v>1</v>
      </c>
      <c r="H41">
        <v>1</v>
      </c>
      <c r="I41">
        <v>1</v>
      </c>
      <c r="J41">
        <v>1</v>
      </c>
      <c r="K41">
        <v>1</v>
      </c>
      <c r="L41">
        <v>1</v>
      </c>
      <c r="M41">
        <v>1</v>
      </c>
      <c r="N41">
        <v>1</v>
      </c>
      <c r="P41">
        <v>1.7773289680480959</v>
      </c>
    </row>
    <row r="42" spans="1:16" x14ac:dyDescent="0.25">
      <c r="A42" t="s">
        <v>202</v>
      </c>
      <c r="B42" t="s">
        <v>63</v>
      </c>
      <c r="C42">
        <v>0</v>
      </c>
      <c r="D42">
        <v>1</v>
      </c>
      <c r="E42">
        <v>1</v>
      </c>
      <c r="F42">
        <v>1</v>
      </c>
      <c r="G42">
        <v>1</v>
      </c>
      <c r="H42">
        <v>1</v>
      </c>
      <c r="I42">
        <v>1</v>
      </c>
      <c r="J42">
        <v>1</v>
      </c>
      <c r="K42">
        <v>1</v>
      </c>
      <c r="L42">
        <v>1</v>
      </c>
      <c r="M42">
        <v>1</v>
      </c>
      <c r="N42">
        <v>1</v>
      </c>
      <c r="P42">
        <v>2.2744853496551509</v>
      </c>
    </row>
    <row r="43" spans="1:16" x14ac:dyDescent="0.25">
      <c r="A43" t="s">
        <v>202</v>
      </c>
      <c r="B43" t="s">
        <v>64</v>
      </c>
      <c r="C43">
        <v>0</v>
      </c>
      <c r="D43">
        <v>1</v>
      </c>
      <c r="E43">
        <v>1</v>
      </c>
      <c r="F43">
        <v>1</v>
      </c>
      <c r="G43">
        <v>1</v>
      </c>
      <c r="H43">
        <v>1</v>
      </c>
      <c r="I43">
        <v>1</v>
      </c>
      <c r="J43">
        <v>1</v>
      </c>
      <c r="K43">
        <v>1</v>
      </c>
      <c r="L43">
        <v>1</v>
      </c>
      <c r="M43">
        <v>1</v>
      </c>
      <c r="N43">
        <v>1</v>
      </c>
      <c r="P43">
        <v>1.74491810798645</v>
      </c>
    </row>
    <row r="44" spans="1:16" x14ac:dyDescent="0.25">
      <c r="A44" t="s">
        <v>202</v>
      </c>
      <c r="B44" t="s">
        <v>65</v>
      </c>
      <c r="C44">
        <v>0</v>
      </c>
      <c r="D44">
        <v>1</v>
      </c>
      <c r="E44">
        <v>1</v>
      </c>
      <c r="F44">
        <v>1</v>
      </c>
      <c r="G44">
        <v>1</v>
      </c>
      <c r="H44">
        <v>1</v>
      </c>
      <c r="I44">
        <v>1</v>
      </c>
      <c r="J44">
        <v>1</v>
      </c>
      <c r="K44">
        <v>1</v>
      </c>
      <c r="L44">
        <v>1</v>
      </c>
      <c r="M44">
        <v>1</v>
      </c>
      <c r="N44">
        <v>1</v>
      </c>
      <c r="P44">
        <v>1.473735094070435</v>
      </c>
    </row>
    <row r="45" spans="1:16" x14ac:dyDescent="0.25">
      <c r="A45" t="s">
        <v>202</v>
      </c>
      <c r="B45" t="s">
        <v>66</v>
      </c>
      <c r="C45">
        <v>0</v>
      </c>
      <c r="D45">
        <v>1</v>
      </c>
      <c r="E45">
        <v>1</v>
      </c>
      <c r="F45">
        <v>1</v>
      </c>
      <c r="G45">
        <v>1</v>
      </c>
      <c r="H45">
        <v>1</v>
      </c>
      <c r="I45">
        <v>1</v>
      </c>
      <c r="J45">
        <v>1</v>
      </c>
      <c r="K45">
        <v>1</v>
      </c>
      <c r="L45">
        <v>1</v>
      </c>
      <c r="M45">
        <v>1</v>
      </c>
      <c r="N45">
        <v>1</v>
      </c>
      <c r="P45">
        <v>1.648138284683228</v>
      </c>
    </row>
    <row r="46" spans="1:16" x14ac:dyDescent="0.25">
      <c r="A46" t="s">
        <v>202</v>
      </c>
      <c r="B46" t="s">
        <v>67</v>
      </c>
      <c r="C46">
        <v>0</v>
      </c>
      <c r="D46">
        <v>1</v>
      </c>
      <c r="E46">
        <v>1</v>
      </c>
      <c r="F46">
        <v>1</v>
      </c>
      <c r="G46">
        <v>1</v>
      </c>
      <c r="H46">
        <v>1</v>
      </c>
      <c r="I46">
        <v>1</v>
      </c>
      <c r="J46">
        <v>1</v>
      </c>
      <c r="K46">
        <v>1</v>
      </c>
      <c r="L46">
        <v>1</v>
      </c>
      <c r="M46">
        <v>1</v>
      </c>
      <c r="N46">
        <v>1</v>
      </c>
      <c r="P46">
        <v>1.3169763088226321</v>
      </c>
    </row>
    <row r="47" spans="1:16" x14ac:dyDescent="0.25">
      <c r="A47" t="s">
        <v>202</v>
      </c>
      <c r="B47" t="s">
        <v>68</v>
      </c>
      <c r="C47">
        <v>0</v>
      </c>
      <c r="D47">
        <v>1</v>
      </c>
      <c r="E47">
        <v>0</v>
      </c>
      <c r="F47">
        <v>1</v>
      </c>
      <c r="G47">
        <v>1</v>
      </c>
      <c r="H47">
        <v>0</v>
      </c>
      <c r="I47">
        <v>1</v>
      </c>
      <c r="J47">
        <v>1</v>
      </c>
      <c r="K47">
        <v>1</v>
      </c>
      <c r="L47">
        <v>1</v>
      </c>
      <c r="M47">
        <v>1</v>
      </c>
      <c r="N47">
        <v>1</v>
      </c>
      <c r="O47" t="s">
        <v>156</v>
      </c>
      <c r="P47">
        <v>4.4979166984558114</v>
      </c>
    </row>
    <row r="48" spans="1:16" x14ac:dyDescent="0.25">
      <c r="A48" t="s">
        <v>202</v>
      </c>
      <c r="B48" t="s">
        <v>70</v>
      </c>
      <c r="C48">
        <v>0</v>
      </c>
      <c r="D48">
        <v>1</v>
      </c>
      <c r="E48">
        <v>1</v>
      </c>
      <c r="F48">
        <v>1</v>
      </c>
      <c r="G48">
        <v>1</v>
      </c>
      <c r="H48">
        <v>1</v>
      </c>
      <c r="I48">
        <v>1</v>
      </c>
      <c r="J48">
        <v>1</v>
      </c>
      <c r="K48">
        <v>1</v>
      </c>
      <c r="L48">
        <v>1</v>
      </c>
      <c r="M48">
        <v>1</v>
      </c>
      <c r="N48">
        <v>1</v>
      </c>
      <c r="P48">
        <v>1.6207621097564699</v>
      </c>
    </row>
    <row r="49" spans="1:16" x14ac:dyDescent="0.25">
      <c r="A49" t="s">
        <v>202</v>
      </c>
      <c r="B49" t="s">
        <v>71</v>
      </c>
      <c r="C49">
        <v>0</v>
      </c>
      <c r="D49">
        <v>1</v>
      </c>
      <c r="E49">
        <v>1</v>
      </c>
      <c r="F49">
        <v>1</v>
      </c>
      <c r="G49">
        <v>1</v>
      </c>
      <c r="H49">
        <v>1</v>
      </c>
      <c r="I49">
        <v>1</v>
      </c>
      <c r="J49">
        <v>1</v>
      </c>
      <c r="K49">
        <v>1</v>
      </c>
      <c r="L49">
        <v>1</v>
      </c>
      <c r="M49">
        <v>1</v>
      </c>
      <c r="N49">
        <v>1</v>
      </c>
      <c r="P49">
        <v>1.9473004341125491</v>
      </c>
    </row>
    <row r="50" spans="1:16" x14ac:dyDescent="0.25">
      <c r="A50" t="s">
        <v>202</v>
      </c>
      <c r="B50" t="s">
        <v>72</v>
      </c>
      <c r="C50">
        <v>0</v>
      </c>
      <c r="D50">
        <v>1</v>
      </c>
      <c r="E50">
        <v>1</v>
      </c>
      <c r="F50">
        <v>1</v>
      </c>
      <c r="G50">
        <v>1</v>
      </c>
      <c r="H50">
        <v>1</v>
      </c>
      <c r="I50">
        <v>1</v>
      </c>
      <c r="J50">
        <v>1</v>
      </c>
      <c r="K50">
        <v>1</v>
      </c>
      <c r="L50">
        <v>1</v>
      </c>
      <c r="M50">
        <v>1</v>
      </c>
      <c r="N50">
        <v>1</v>
      </c>
      <c r="P50">
        <v>1.528334856033325</v>
      </c>
    </row>
    <row r="51" spans="1:16" x14ac:dyDescent="0.25">
      <c r="A51" t="s">
        <v>202</v>
      </c>
      <c r="B51" t="s">
        <v>73</v>
      </c>
      <c r="C51">
        <v>0</v>
      </c>
      <c r="D51">
        <v>1</v>
      </c>
      <c r="E51">
        <v>1</v>
      </c>
      <c r="F51">
        <v>1</v>
      </c>
      <c r="G51">
        <v>1</v>
      </c>
      <c r="H51">
        <v>1</v>
      </c>
      <c r="I51">
        <v>1</v>
      </c>
      <c r="J51">
        <v>1</v>
      </c>
      <c r="K51">
        <v>1</v>
      </c>
      <c r="L51">
        <v>1</v>
      </c>
      <c r="M51">
        <v>1</v>
      </c>
      <c r="N51">
        <v>1</v>
      </c>
      <c r="P51">
        <v>1.5619721412658689</v>
      </c>
    </row>
    <row r="52" spans="1:16" x14ac:dyDescent="0.25">
      <c r="A52" t="s">
        <v>202</v>
      </c>
      <c r="B52" t="s">
        <v>74</v>
      </c>
      <c r="C52">
        <v>0</v>
      </c>
      <c r="D52">
        <v>1</v>
      </c>
      <c r="E52">
        <v>1</v>
      </c>
      <c r="F52">
        <v>1</v>
      </c>
      <c r="G52">
        <v>1</v>
      </c>
      <c r="H52">
        <v>1</v>
      </c>
      <c r="I52">
        <v>1</v>
      </c>
      <c r="J52">
        <v>1</v>
      </c>
      <c r="K52">
        <v>1</v>
      </c>
      <c r="L52">
        <v>1</v>
      </c>
      <c r="M52">
        <v>1</v>
      </c>
      <c r="N52">
        <v>1</v>
      </c>
      <c r="P52">
        <v>2.001144170761108</v>
      </c>
    </row>
    <row r="53" spans="1:16" x14ac:dyDescent="0.25">
      <c r="A53" t="s">
        <v>202</v>
      </c>
      <c r="B53" t="s">
        <v>75</v>
      </c>
      <c r="C53">
        <v>0</v>
      </c>
      <c r="D53">
        <v>1</v>
      </c>
      <c r="E53">
        <v>1</v>
      </c>
      <c r="F53">
        <v>1</v>
      </c>
      <c r="G53">
        <v>1</v>
      </c>
      <c r="H53">
        <v>1</v>
      </c>
      <c r="I53">
        <v>1</v>
      </c>
      <c r="J53">
        <v>1</v>
      </c>
      <c r="K53">
        <v>1</v>
      </c>
      <c r="L53">
        <v>1</v>
      </c>
      <c r="M53">
        <v>1</v>
      </c>
      <c r="N53">
        <v>1</v>
      </c>
      <c r="P53">
        <v>1.520549535751343</v>
      </c>
    </row>
    <row r="54" spans="1:16" x14ac:dyDescent="0.25">
      <c r="A54" t="s">
        <v>202</v>
      </c>
      <c r="B54" t="s">
        <v>76</v>
      </c>
      <c r="C54">
        <v>0</v>
      </c>
      <c r="D54">
        <v>1</v>
      </c>
      <c r="E54">
        <v>1</v>
      </c>
      <c r="F54">
        <v>1</v>
      </c>
      <c r="G54">
        <v>1</v>
      </c>
      <c r="H54">
        <v>1</v>
      </c>
      <c r="I54">
        <v>1</v>
      </c>
      <c r="J54">
        <v>1</v>
      </c>
      <c r="K54">
        <v>1</v>
      </c>
      <c r="L54">
        <v>1</v>
      </c>
      <c r="M54">
        <v>1</v>
      </c>
      <c r="N54">
        <v>1</v>
      </c>
      <c r="P54">
        <v>1.558855295181274</v>
      </c>
    </row>
    <row r="55" spans="1:16" x14ac:dyDescent="0.25">
      <c r="A55" t="s">
        <v>202</v>
      </c>
      <c r="B55" t="s">
        <v>77</v>
      </c>
      <c r="C55">
        <v>0</v>
      </c>
      <c r="D55">
        <v>0</v>
      </c>
      <c r="E55">
        <v>1</v>
      </c>
      <c r="F55">
        <v>1</v>
      </c>
      <c r="G55">
        <v>1</v>
      </c>
      <c r="H55">
        <v>1</v>
      </c>
      <c r="I55">
        <v>0</v>
      </c>
      <c r="J55">
        <v>1</v>
      </c>
      <c r="K55">
        <v>1</v>
      </c>
      <c r="L55">
        <v>0</v>
      </c>
      <c r="M55">
        <v>1</v>
      </c>
      <c r="N55">
        <v>1</v>
      </c>
      <c r="O55" t="s">
        <v>157</v>
      </c>
      <c r="P55">
        <v>4.5513384342193604</v>
      </c>
    </row>
    <row r="56" spans="1:16" x14ac:dyDescent="0.25">
      <c r="A56" t="s">
        <v>202</v>
      </c>
      <c r="B56" t="s">
        <v>79</v>
      </c>
      <c r="C56">
        <v>0</v>
      </c>
      <c r="D56">
        <v>1</v>
      </c>
      <c r="E56">
        <v>1</v>
      </c>
      <c r="F56">
        <v>1</v>
      </c>
      <c r="G56">
        <v>1</v>
      </c>
      <c r="H56">
        <v>1</v>
      </c>
      <c r="I56">
        <v>0</v>
      </c>
      <c r="J56">
        <v>1</v>
      </c>
      <c r="K56">
        <v>1</v>
      </c>
      <c r="L56">
        <v>1</v>
      </c>
      <c r="M56">
        <v>1</v>
      </c>
      <c r="N56">
        <v>1</v>
      </c>
      <c r="O56" t="s">
        <v>158</v>
      </c>
      <c r="P56">
        <v>2.5406520366668701</v>
      </c>
    </row>
    <row r="57" spans="1:16" x14ac:dyDescent="0.25">
      <c r="A57" t="s">
        <v>202</v>
      </c>
      <c r="B57" t="s">
        <v>81</v>
      </c>
      <c r="C57">
        <v>0</v>
      </c>
      <c r="D57">
        <v>1</v>
      </c>
      <c r="E57">
        <v>1</v>
      </c>
      <c r="F57">
        <v>1</v>
      </c>
      <c r="G57">
        <v>1</v>
      </c>
      <c r="H57">
        <v>1</v>
      </c>
      <c r="I57">
        <v>1</v>
      </c>
      <c r="J57">
        <v>1</v>
      </c>
      <c r="K57">
        <v>1</v>
      </c>
      <c r="L57">
        <v>1</v>
      </c>
      <c r="M57">
        <v>1</v>
      </c>
      <c r="N57">
        <v>1</v>
      </c>
      <c r="P57">
        <v>1.5290646553039551</v>
      </c>
    </row>
    <row r="58" spans="1:16" x14ac:dyDescent="0.25">
      <c r="A58" t="s">
        <v>202</v>
      </c>
      <c r="B58" t="s">
        <v>82</v>
      </c>
      <c r="C58">
        <v>0</v>
      </c>
      <c r="D58">
        <v>1</v>
      </c>
      <c r="E58">
        <v>1</v>
      </c>
      <c r="F58">
        <v>1</v>
      </c>
      <c r="G58">
        <v>1</v>
      </c>
      <c r="H58">
        <v>1</v>
      </c>
      <c r="I58">
        <v>1</v>
      </c>
      <c r="J58">
        <v>1</v>
      </c>
      <c r="K58">
        <v>1</v>
      </c>
      <c r="L58">
        <v>1</v>
      </c>
      <c r="M58">
        <v>1</v>
      </c>
      <c r="N58">
        <v>1</v>
      </c>
      <c r="P58">
        <v>1.5350222587585449</v>
      </c>
    </row>
    <row r="59" spans="1:16" x14ac:dyDescent="0.25">
      <c r="A59" t="s">
        <v>202</v>
      </c>
      <c r="B59" t="s">
        <v>83</v>
      </c>
      <c r="C59">
        <v>0</v>
      </c>
      <c r="D59">
        <v>1</v>
      </c>
      <c r="E59">
        <v>1</v>
      </c>
      <c r="F59">
        <v>1</v>
      </c>
      <c r="G59">
        <v>1</v>
      </c>
      <c r="H59">
        <v>1</v>
      </c>
      <c r="I59">
        <v>1</v>
      </c>
      <c r="J59">
        <v>1</v>
      </c>
      <c r="K59">
        <v>1</v>
      </c>
      <c r="L59">
        <v>1</v>
      </c>
      <c r="M59">
        <v>1</v>
      </c>
      <c r="N59">
        <v>1</v>
      </c>
      <c r="P59">
        <v>1.343849897384644</v>
      </c>
    </row>
    <row r="60" spans="1:16" x14ac:dyDescent="0.25">
      <c r="A60" t="s">
        <v>202</v>
      </c>
      <c r="B60" t="s">
        <v>84</v>
      </c>
      <c r="C60">
        <v>0</v>
      </c>
      <c r="D60">
        <v>1</v>
      </c>
      <c r="E60">
        <v>0</v>
      </c>
      <c r="F60">
        <v>1</v>
      </c>
      <c r="G60">
        <v>1</v>
      </c>
      <c r="H60">
        <v>1</v>
      </c>
      <c r="I60">
        <v>1</v>
      </c>
      <c r="J60">
        <v>0</v>
      </c>
      <c r="K60">
        <v>1</v>
      </c>
      <c r="L60">
        <v>1</v>
      </c>
      <c r="M60">
        <v>1</v>
      </c>
      <c r="N60">
        <v>1</v>
      </c>
      <c r="O60" t="s">
        <v>159</v>
      </c>
      <c r="P60">
        <v>3.4644343852996831</v>
      </c>
    </row>
    <row r="61" spans="1:16" x14ac:dyDescent="0.25">
      <c r="A61" t="s">
        <v>202</v>
      </c>
      <c r="B61" t="s">
        <v>86</v>
      </c>
      <c r="C61">
        <v>0</v>
      </c>
      <c r="D61">
        <v>1</v>
      </c>
      <c r="E61">
        <v>1</v>
      </c>
      <c r="F61">
        <v>1</v>
      </c>
      <c r="G61">
        <v>1</v>
      </c>
      <c r="H61">
        <v>1</v>
      </c>
      <c r="I61">
        <v>1</v>
      </c>
      <c r="J61">
        <v>1</v>
      </c>
      <c r="K61">
        <v>1</v>
      </c>
      <c r="L61">
        <v>1</v>
      </c>
      <c r="M61">
        <v>1</v>
      </c>
      <c r="N61">
        <v>1</v>
      </c>
      <c r="P61">
        <v>1.400526285171509</v>
      </c>
    </row>
    <row r="62" spans="1:16" x14ac:dyDescent="0.25">
      <c r="A62" t="s">
        <v>202</v>
      </c>
      <c r="B62" t="s">
        <v>87</v>
      </c>
      <c r="C62">
        <v>0</v>
      </c>
      <c r="D62">
        <v>1</v>
      </c>
      <c r="E62">
        <v>1</v>
      </c>
      <c r="F62">
        <v>1</v>
      </c>
      <c r="G62">
        <v>1</v>
      </c>
      <c r="H62">
        <v>1</v>
      </c>
      <c r="I62">
        <v>1</v>
      </c>
      <c r="J62">
        <v>1</v>
      </c>
      <c r="K62">
        <v>1</v>
      </c>
      <c r="L62">
        <v>1</v>
      </c>
      <c r="M62">
        <v>1</v>
      </c>
      <c r="N62">
        <v>1</v>
      </c>
      <c r="P62">
        <v>1.9695272445678711</v>
      </c>
    </row>
    <row r="63" spans="1:16" x14ac:dyDescent="0.25">
      <c r="A63" t="s">
        <v>202</v>
      </c>
      <c r="B63" t="s">
        <v>88</v>
      </c>
      <c r="C63">
        <v>0</v>
      </c>
      <c r="D63">
        <v>1</v>
      </c>
      <c r="E63">
        <v>1</v>
      </c>
      <c r="F63">
        <v>1</v>
      </c>
      <c r="G63">
        <v>1</v>
      </c>
      <c r="H63">
        <v>1</v>
      </c>
      <c r="I63">
        <v>1</v>
      </c>
      <c r="J63">
        <v>1</v>
      </c>
      <c r="K63">
        <v>1</v>
      </c>
      <c r="L63">
        <v>1</v>
      </c>
      <c r="M63">
        <v>1</v>
      </c>
      <c r="N63">
        <v>1</v>
      </c>
      <c r="P63">
        <v>1.697435140609741</v>
      </c>
    </row>
    <row r="64" spans="1:16" x14ac:dyDescent="0.25">
      <c r="A64" t="s">
        <v>202</v>
      </c>
      <c r="B64" t="s">
        <v>89</v>
      </c>
      <c r="C64">
        <v>0</v>
      </c>
      <c r="D64">
        <v>1</v>
      </c>
      <c r="E64">
        <v>1</v>
      </c>
      <c r="F64">
        <v>1</v>
      </c>
      <c r="G64">
        <v>1</v>
      </c>
      <c r="H64">
        <v>1</v>
      </c>
      <c r="I64">
        <v>1</v>
      </c>
      <c r="J64">
        <v>1</v>
      </c>
      <c r="K64">
        <v>1</v>
      </c>
      <c r="L64">
        <v>1</v>
      </c>
      <c r="M64">
        <v>1</v>
      </c>
      <c r="N64">
        <v>1</v>
      </c>
      <c r="P64">
        <v>2.0525622367858891</v>
      </c>
    </row>
    <row r="65" spans="1:16" x14ac:dyDescent="0.25">
      <c r="A65" t="s">
        <v>202</v>
      </c>
      <c r="B65" t="s">
        <v>91</v>
      </c>
      <c r="C65">
        <v>0</v>
      </c>
      <c r="D65">
        <v>1</v>
      </c>
      <c r="E65">
        <v>1</v>
      </c>
      <c r="F65">
        <v>1</v>
      </c>
      <c r="G65">
        <v>1</v>
      </c>
      <c r="H65">
        <v>1</v>
      </c>
      <c r="I65">
        <v>1</v>
      </c>
      <c r="J65">
        <v>1</v>
      </c>
      <c r="K65">
        <v>1</v>
      </c>
      <c r="L65">
        <v>1</v>
      </c>
      <c r="M65">
        <v>1</v>
      </c>
      <c r="N65">
        <v>1</v>
      </c>
      <c r="P65">
        <v>3.9496045112609859</v>
      </c>
    </row>
    <row r="66" spans="1:16" x14ac:dyDescent="0.25">
      <c r="A66" t="s">
        <v>202</v>
      </c>
      <c r="B66" t="s">
        <v>92</v>
      </c>
      <c r="C66">
        <v>0</v>
      </c>
      <c r="D66">
        <v>1</v>
      </c>
      <c r="E66">
        <v>1</v>
      </c>
      <c r="F66">
        <v>1</v>
      </c>
      <c r="G66">
        <v>1</v>
      </c>
      <c r="H66">
        <v>1</v>
      </c>
      <c r="I66">
        <v>1</v>
      </c>
      <c r="J66">
        <v>1</v>
      </c>
      <c r="K66">
        <v>1</v>
      </c>
      <c r="L66">
        <v>1</v>
      </c>
      <c r="M66">
        <v>1</v>
      </c>
      <c r="N66">
        <v>1</v>
      </c>
      <c r="P66">
        <v>1.452866792678833</v>
      </c>
    </row>
    <row r="67" spans="1:16" x14ac:dyDescent="0.25">
      <c r="A67" t="s">
        <v>202</v>
      </c>
      <c r="B67" t="s">
        <v>94</v>
      </c>
      <c r="C67">
        <v>0</v>
      </c>
      <c r="D67">
        <v>1</v>
      </c>
      <c r="E67">
        <v>1</v>
      </c>
      <c r="F67">
        <v>0</v>
      </c>
      <c r="G67">
        <v>1</v>
      </c>
      <c r="H67">
        <v>1</v>
      </c>
      <c r="I67">
        <v>1</v>
      </c>
      <c r="J67">
        <v>0</v>
      </c>
      <c r="K67">
        <v>1</v>
      </c>
      <c r="L67">
        <v>1</v>
      </c>
      <c r="M67">
        <v>1</v>
      </c>
      <c r="N67">
        <v>1</v>
      </c>
      <c r="O67" t="s">
        <v>160</v>
      </c>
      <c r="P67">
        <v>2.5759294033050542</v>
      </c>
    </row>
    <row r="68" spans="1:16" x14ac:dyDescent="0.25">
      <c r="A68" t="s">
        <v>202</v>
      </c>
      <c r="B68" t="s">
        <v>96</v>
      </c>
      <c r="C68">
        <v>0</v>
      </c>
      <c r="D68">
        <v>1</v>
      </c>
      <c r="E68">
        <v>1</v>
      </c>
      <c r="F68">
        <v>1</v>
      </c>
      <c r="G68">
        <v>1</v>
      </c>
      <c r="H68">
        <v>1</v>
      </c>
      <c r="I68">
        <v>1</v>
      </c>
      <c r="J68">
        <v>1</v>
      </c>
      <c r="K68">
        <v>1</v>
      </c>
      <c r="L68">
        <v>1</v>
      </c>
      <c r="M68">
        <v>1</v>
      </c>
      <c r="N68">
        <v>1</v>
      </c>
      <c r="P68">
        <v>1.6753189563751221</v>
      </c>
    </row>
    <row r="69" spans="1:16" x14ac:dyDescent="0.25">
      <c r="A69" t="s">
        <v>202</v>
      </c>
      <c r="B69" t="s">
        <v>97</v>
      </c>
      <c r="C69">
        <v>0</v>
      </c>
      <c r="D69">
        <v>1</v>
      </c>
      <c r="E69">
        <v>1</v>
      </c>
      <c r="F69">
        <v>1</v>
      </c>
      <c r="G69">
        <v>1</v>
      </c>
      <c r="H69">
        <v>1</v>
      </c>
      <c r="I69">
        <v>1</v>
      </c>
      <c r="J69">
        <v>1</v>
      </c>
      <c r="K69">
        <v>1</v>
      </c>
      <c r="L69">
        <v>1</v>
      </c>
      <c r="M69">
        <v>1</v>
      </c>
      <c r="N69">
        <v>1</v>
      </c>
      <c r="P69">
        <v>1.997076272964478</v>
      </c>
    </row>
    <row r="70" spans="1:16" x14ac:dyDescent="0.25">
      <c r="A70" t="s">
        <v>202</v>
      </c>
      <c r="B70" t="s">
        <v>98</v>
      </c>
      <c r="C70">
        <v>0</v>
      </c>
      <c r="D70">
        <v>1</v>
      </c>
      <c r="E70">
        <v>1</v>
      </c>
      <c r="F70">
        <v>1</v>
      </c>
      <c r="G70">
        <v>1</v>
      </c>
      <c r="H70">
        <v>1</v>
      </c>
      <c r="I70">
        <v>1</v>
      </c>
      <c r="J70">
        <v>1</v>
      </c>
      <c r="K70">
        <v>1</v>
      </c>
      <c r="L70">
        <v>1</v>
      </c>
      <c r="M70">
        <v>1</v>
      </c>
      <c r="N70">
        <v>1</v>
      </c>
      <c r="P70">
        <v>1.996176481246948</v>
      </c>
    </row>
    <row r="71" spans="1:16" x14ac:dyDescent="0.25">
      <c r="A71" t="s">
        <v>202</v>
      </c>
      <c r="B71" t="s">
        <v>99</v>
      </c>
      <c r="C71">
        <v>0</v>
      </c>
      <c r="D71">
        <v>1</v>
      </c>
      <c r="E71">
        <v>1</v>
      </c>
      <c r="F71">
        <v>1</v>
      </c>
      <c r="G71">
        <v>1</v>
      </c>
      <c r="H71">
        <v>1</v>
      </c>
      <c r="I71">
        <v>1</v>
      </c>
      <c r="J71">
        <v>1</v>
      </c>
      <c r="K71">
        <v>1</v>
      </c>
      <c r="L71">
        <v>1</v>
      </c>
      <c r="M71">
        <v>1</v>
      </c>
      <c r="N71">
        <v>1</v>
      </c>
      <c r="P71">
        <v>1.7240076065063481</v>
      </c>
    </row>
    <row r="72" spans="1:16" x14ac:dyDescent="0.25">
      <c r="A72" t="s">
        <v>202</v>
      </c>
      <c r="B72" t="s">
        <v>100</v>
      </c>
      <c r="C72">
        <v>0</v>
      </c>
      <c r="D72">
        <v>1</v>
      </c>
      <c r="E72">
        <v>1</v>
      </c>
      <c r="F72">
        <v>1</v>
      </c>
      <c r="G72">
        <v>1</v>
      </c>
      <c r="H72">
        <v>1</v>
      </c>
      <c r="I72">
        <v>1</v>
      </c>
      <c r="J72">
        <v>1</v>
      </c>
      <c r="K72">
        <v>1</v>
      </c>
      <c r="L72">
        <v>1</v>
      </c>
      <c r="M72">
        <v>1</v>
      </c>
      <c r="N72">
        <v>1</v>
      </c>
      <c r="P72">
        <v>1.8441145420074461</v>
      </c>
    </row>
    <row r="73" spans="1:16" x14ac:dyDescent="0.25">
      <c r="A73" t="s">
        <v>202</v>
      </c>
      <c r="B73" t="s">
        <v>101</v>
      </c>
      <c r="C73">
        <v>0</v>
      </c>
      <c r="D73">
        <v>1</v>
      </c>
      <c r="E73">
        <v>1</v>
      </c>
      <c r="F73">
        <v>1</v>
      </c>
      <c r="G73">
        <v>1</v>
      </c>
      <c r="H73">
        <v>1</v>
      </c>
      <c r="I73">
        <v>1</v>
      </c>
      <c r="J73">
        <v>1</v>
      </c>
      <c r="K73">
        <v>1</v>
      </c>
      <c r="L73">
        <v>1</v>
      </c>
      <c r="M73">
        <v>1</v>
      </c>
      <c r="N73">
        <v>1</v>
      </c>
      <c r="P73">
        <v>2.1573221683502202</v>
      </c>
    </row>
    <row r="74" spans="1:16" x14ac:dyDescent="0.25">
      <c r="A74" t="s">
        <v>202</v>
      </c>
      <c r="B74" t="s">
        <v>102</v>
      </c>
      <c r="C74">
        <v>0</v>
      </c>
      <c r="D74">
        <v>1</v>
      </c>
      <c r="E74">
        <v>1</v>
      </c>
      <c r="F74">
        <v>1</v>
      </c>
      <c r="G74">
        <v>1</v>
      </c>
      <c r="H74">
        <v>1</v>
      </c>
      <c r="I74">
        <v>1</v>
      </c>
      <c r="J74">
        <v>1</v>
      </c>
      <c r="K74">
        <v>1</v>
      </c>
      <c r="L74">
        <v>1</v>
      </c>
      <c r="M74">
        <v>1</v>
      </c>
      <c r="N74">
        <v>1</v>
      </c>
      <c r="P74">
        <v>1.4565660953521731</v>
      </c>
    </row>
    <row r="75" spans="1:16" x14ac:dyDescent="0.25">
      <c r="A75" t="s">
        <v>202</v>
      </c>
      <c r="B75" t="s">
        <v>103</v>
      </c>
      <c r="C75">
        <v>0</v>
      </c>
      <c r="D75">
        <v>1</v>
      </c>
      <c r="E75">
        <v>1</v>
      </c>
      <c r="F75">
        <v>1</v>
      </c>
      <c r="G75">
        <v>1</v>
      </c>
      <c r="H75">
        <v>1</v>
      </c>
      <c r="I75">
        <v>1</v>
      </c>
      <c r="J75">
        <v>1</v>
      </c>
      <c r="K75">
        <v>1</v>
      </c>
      <c r="L75">
        <v>1</v>
      </c>
      <c r="M75">
        <v>1</v>
      </c>
      <c r="N75">
        <v>1</v>
      </c>
      <c r="P75">
        <v>1.8044977188110349</v>
      </c>
    </row>
    <row r="76" spans="1:16" x14ac:dyDescent="0.25">
      <c r="A76" t="s">
        <v>202</v>
      </c>
      <c r="B76" t="s">
        <v>104</v>
      </c>
      <c r="C76">
        <v>0</v>
      </c>
      <c r="D76">
        <v>1</v>
      </c>
      <c r="E76">
        <v>1</v>
      </c>
      <c r="F76">
        <v>1</v>
      </c>
      <c r="G76">
        <v>1</v>
      </c>
      <c r="H76">
        <v>1</v>
      </c>
      <c r="I76">
        <v>1</v>
      </c>
      <c r="J76">
        <v>1</v>
      </c>
      <c r="K76">
        <v>1</v>
      </c>
      <c r="L76">
        <v>1</v>
      </c>
      <c r="M76">
        <v>1</v>
      </c>
      <c r="N76">
        <v>1</v>
      </c>
      <c r="P76">
        <v>3.2720596790313721</v>
      </c>
    </row>
    <row r="77" spans="1:16" x14ac:dyDescent="0.25">
      <c r="A77" t="s">
        <v>202</v>
      </c>
      <c r="B77" t="s">
        <v>105</v>
      </c>
      <c r="C77">
        <v>0</v>
      </c>
      <c r="D77">
        <v>1</v>
      </c>
      <c r="E77">
        <v>1</v>
      </c>
      <c r="F77">
        <v>1</v>
      </c>
      <c r="G77">
        <v>1</v>
      </c>
      <c r="H77">
        <v>1</v>
      </c>
      <c r="I77">
        <v>1</v>
      </c>
      <c r="J77">
        <v>1</v>
      </c>
      <c r="K77">
        <v>1</v>
      </c>
      <c r="L77">
        <v>1</v>
      </c>
      <c r="M77">
        <v>1</v>
      </c>
      <c r="N77">
        <v>1</v>
      </c>
      <c r="P77">
        <v>2.0547201633453369</v>
      </c>
    </row>
    <row r="78" spans="1:16" x14ac:dyDescent="0.25">
      <c r="A78" t="s">
        <v>202</v>
      </c>
      <c r="B78" t="s">
        <v>106</v>
      </c>
      <c r="C78">
        <v>0</v>
      </c>
      <c r="D78">
        <v>1</v>
      </c>
      <c r="E78">
        <v>1</v>
      </c>
      <c r="F78">
        <v>1</v>
      </c>
      <c r="G78">
        <v>1</v>
      </c>
      <c r="H78">
        <v>1</v>
      </c>
      <c r="I78">
        <v>1</v>
      </c>
      <c r="J78">
        <v>1</v>
      </c>
      <c r="K78">
        <v>1</v>
      </c>
      <c r="L78">
        <v>1</v>
      </c>
      <c r="M78">
        <v>1</v>
      </c>
      <c r="N78">
        <v>1</v>
      </c>
      <c r="P78">
        <v>1.328835010528564</v>
      </c>
    </row>
    <row r="79" spans="1:16" x14ac:dyDescent="0.25">
      <c r="A79" t="s">
        <v>202</v>
      </c>
      <c r="B79" t="s">
        <v>107</v>
      </c>
      <c r="C79">
        <v>0</v>
      </c>
      <c r="D79">
        <v>1</v>
      </c>
      <c r="E79">
        <v>1</v>
      </c>
      <c r="F79">
        <v>1</v>
      </c>
      <c r="G79">
        <v>1</v>
      </c>
      <c r="H79">
        <v>1</v>
      </c>
      <c r="I79">
        <v>1</v>
      </c>
      <c r="J79">
        <v>1</v>
      </c>
      <c r="K79">
        <v>1</v>
      </c>
      <c r="L79">
        <v>1</v>
      </c>
      <c r="M79">
        <v>1</v>
      </c>
      <c r="N79">
        <v>1</v>
      </c>
      <c r="P79">
        <v>1.450961112976074</v>
      </c>
    </row>
    <row r="80" spans="1:16" x14ac:dyDescent="0.25">
      <c r="A80" t="s">
        <v>202</v>
      </c>
      <c r="B80" t="s">
        <v>108</v>
      </c>
      <c r="C80">
        <v>0</v>
      </c>
      <c r="D80">
        <v>1</v>
      </c>
      <c r="E80">
        <v>1</v>
      </c>
      <c r="F80">
        <v>1</v>
      </c>
      <c r="G80">
        <v>1</v>
      </c>
      <c r="H80">
        <v>1</v>
      </c>
      <c r="I80">
        <v>1</v>
      </c>
      <c r="J80">
        <v>1</v>
      </c>
      <c r="K80">
        <v>1</v>
      </c>
      <c r="L80">
        <v>1</v>
      </c>
      <c r="M80">
        <v>1</v>
      </c>
      <c r="N80">
        <v>1</v>
      </c>
      <c r="P80">
        <v>2.065728902816772</v>
      </c>
    </row>
    <row r="81" spans="1:16" x14ac:dyDescent="0.25">
      <c r="A81" t="s">
        <v>202</v>
      </c>
      <c r="B81" t="s">
        <v>109</v>
      </c>
      <c r="C81">
        <v>0</v>
      </c>
      <c r="D81">
        <v>1</v>
      </c>
      <c r="E81">
        <v>0</v>
      </c>
      <c r="F81">
        <v>1</v>
      </c>
      <c r="G81">
        <v>1</v>
      </c>
      <c r="H81">
        <v>1</v>
      </c>
      <c r="I81">
        <v>1</v>
      </c>
      <c r="J81">
        <v>1</v>
      </c>
      <c r="K81">
        <v>1</v>
      </c>
      <c r="L81">
        <v>1</v>
      </c>
      <c r="M81">
        <v>1</v>
      </c>
      <c r="N81">
        <v>1</v>
      </c>
      <c r="O81" t="s">
        <v>161</v>
      </c>
      <c r="P81">
        <v>3.7659251689910889</v>
      </c>
    </row>
    <row r="82" spans="1:16" x14ac:dyDescent="0.25">
      <c r="A82" t="s">
        <v>202</v>
      </c>
      <c r="B82" t="s">
        <v>111</v>
      </c>
      <c r="C82">
        <v>0</v>
      </c>
      <c r="D82">
        <v>1</v>
      </c>
      <c r="E82">
        <v>1</v>
      </c>
      <c r="F82">
        <v>1</v>
      </c>
      <c r="G82">
        <v>1</v>
      </c>
      <c r="H82">
        <v>1</v>
      </c>
      <c r="I82">
        <v>1</v>
      </c>
      <c r="J82">
        <v>1</v>
      </c>
      <c r="K82">
        <v>1</v>
      </c>
      <c r="L82">
        <v>1</v>
      </c>
      <c r="M82">
        <v>1</v>
      </c>
      <c r="N82">
        <v>1</v>
      </c>
      <c r="P82">
        <v>1.345658540725708</v>
      </c>
    </row>
    <row r="83" spans="1:16" x14ac:dyDescent="0.25">
      <c r="A83" t="s">
        <v>202</v>
      </c>
      <c r="B83" t="s">
        <v>112</v>
      </c>
      <c r="C83">
        <v>0</v>
      </c>
      <c r="D83">
        <v>1</v>
      </c>
      <c r="E83">
        <v>1</v>
      </c>
      <c r="F83">
        <v>1</v>
      </c>
      <c r="G83">
        <v>1</v>
      </c>
      <c r="H83">
        <v>1</v>
      </c>
      <c r="I83">
        <v>0</v>
      </c>
      <c r="J83">
        <v>1</v>
      </c>
      <c r="K83">
        <v>1</v>
      </c>
      <c r="L83">
        <v>1</v>
      </c>
      <c r="M83">
        <v>1</v>
      </c>
      <c r="N83">
        <v>1</v>
      </c>
      <c r="O83" t="s">
        <v>162</v>
      </c>
      <c r="P83">
        <v>2.135492086410522</v>
      </c>
    </row>
    <row r="84" spans="1:16" x14ac:dyDescent="0.25">
      <c r="A84" t="s">
        <v>202</v>
      </c>
      <c r="B84" t="s">
        <v>113</v>
      </c>
      <c r="C84">
        <v>0</v>
      </c>
      <c r="D84">
        <v>1</v>
      </c>
      <c r="E84">
        <v>1</v>
      </c>
      <c r="F84">
        <v>1</v>
      </c>
      <c r="G84">
        <v>1</v>
      </c>
      <c r="H84">
        <v>1</v>
      </c>
      <c r="I84">
        <v>1</v>
      </c>
      <c r="J84">
        <v>1</v>
      </c>
      <c r="K84">
        <v>1</v>
      </c>
      <c r="L84">
        <v>1</v>
      </c>
      <c r="M84">
        <v>1</v>
      </c>
      <c r="N84">
        <v>1</v>
      </c>
      <c r="P84">
        <v>1.458574771881104</v>
      </c>
    </row>
    <row r="85" spans="1:16" x14ac:dyDescent="0.25">
      <c r="A85" t="s">
        <v>202</v>
      </c>
      <c r="B85" t="s">
        <v>114</v>
      </c>
      <c r="C85">
        <v>0</v>
      </c>
      <c r="D85">
        <v>1</v>
      </c>
      <c r="E85">
        <v>1</v>
      </c>
      <c r="F85">
        <v>1</v>
      </c>
      <c r="G85">
        <v>1</v>
      </c>
      <c r="H85">
        <v>1</v>
      </c>
      <c r="I85">
        <v>1</v>
      </c>
      <c r="J85">
        <v>1</v>
      </c>
      <c r="K85">
        <v>1</v>
      </c>
      <c r="L85">
        <v>1</v>
      </c>
      <c r="M85">
        <v>1</v>
      </c>
      <c r="N85">
        <v>1</v>
      </c>
      <c r="P85">
        <v>1.720533609390259</v>
      </c>
    </row>
    <row r="86" spans="1:16" x14ac:dyDescent="0.25">
      <c r="A86" t="s">
        <v>202</v>
      </c>
      <c r="B86" t="s">
        <v>115</v>
      </c>
      <c r="C86">
        <v>0</v>
      </c>
      <c r="D86">
        <v>1</v>
      </c>
      <c r="E86">
        <v>1</v>
      </c>
      <c r="F86">
        <v>1</v>
      </c>
      <c r="G86">
        <v>1</v>
      </c>
      <c r="H86">
        <v>1</v>
      </c>
      <c r="I86">
        <v>1</v>
      </c>
      <c r="J86">
        <v>1</v>
      </c>
      <c r="K86">
        <v>1</v>
      </c>
      <c r="L86">
        <v>1</v>
      </c>
      <c r="M86">
        <v>1</v>
      </c>
      <c r="N86">
        <v>1</v>
      </c>
      <c r="P86">
        <v>1.647917509078979</v>
      </c>
    </row>
    <row r="87" spans="1:16" x14ac:dyDescent="0.25">
      <c r="A87" t="s">
        <v>202</v>
      </c>
      <c r="B87" t="s">
        <v>116</v>
      </c>
      <c r="C87">
        <v>0</v>
      </c>
      <c r="D87">
        <v>1</v>
      </c>
      <c r="E87">
        <v>1</v>
      </c>
      <c r="F87">
        <v>1</v>
      </c>
      <c r="G87">
        <v>1</v>
      </c>
      <c r="H87">
        <v>1</v>
      </c>
      <c r="I87">
        <v>1</v>
      </c>
      <c r="J87">
        <v>1</v>
      </c>
      <c r="K87">
        <v>1</v>
      </c>
      <c r="L87">
        <v>1</v>
      </c>
      <c r="M87">
        <v>1</v>
      </c>
      <c r="N87">
        <v>1</v>
      </c>
      <c r="P87">
        <v>1.524589538574219</v>
      </c>
    </row>
    <row r="88" spans="1:16" x14ac:dyDescent="0.25">
      <c r="A88" t="s">
        <v>202</v>
      </c>
      <c r="B88" t="s">
        <v>117</v>
      </c>
      <c r="C88">
        <v>0</v>
      </c>
      <c r="D88">
        <v>1</v>
      </c>
      <c r="E88">
        <v>1</v>
      </c>
      <c r="F88">
        <v>1</v>
      </c>
      <c r="G88">
        <v>1</v>
      </c>
      <c r="H88">
        <v>1</v>
      </c>
      <c r="I88">
        <v>1</v>
      </c>
      <c r="J88">
        <v>1</v>
      </c>
      <c r="K88">
        <v>1</v>
      </c>
      <c r="L88">
        <v>1</v>
      </c>
      <c r="M88">
        <v>1</v>
      </c>
      <c r="N88">
        <v>1</v>
      </c>
      <c r="P88">
        <v>1.4423215389251709</v>
      </c>
    </row>
    <row r="89" spans="1:16" x14ac:dyDescent="0.25">
      <c r="A89" t="s">
        <v>202</v>
      </c>
      <c r="B89" t="s">
        <v>118</v>
      </c>
      <c r="C89">
        <v>0</v>
      </c>
      <c r="D89">
        <v>1</v>
      </c>
      <c r="E89">
        <v>1</v>
      </c>
      <c r="F89">
        <v>1</v>
      </c>
      <c r="G89">
        <v>1</v>
      </c>
      <c r="H89">
        <v>1</v>
      </c>
      <c r="I89">
        <v>1</v>
      </c>
      <c r="J89">
        <v>1</v>
      </c>
      <c r="K89">
        <v>1</v>
      </c>
      <c r="L89">
        <v>1</v>
      </c>
      <c r="M89">
        <v>1</v>
      </c>
      <c r="N89">
        <v>1</v>
      </c>
      <c r="P89">
        <v>1.5270042419433589</v>
      </c>
    </row>
    <row r="90" spans="1:16" x14ac:dyDescent="0.25">
      <c r="A90" t="s">
        <v>202</v>
      </c>
      <c r="B90" t="s">
        <v>119</v>
      </c>
      <c r="C90">
        <v>0</v>
      </c>
      <c r="D90">
        <v>1</v>
      </c>
      <c r="E90">
        <v>1</v>
      </c>
      <c r="F90">
        <v>1</v>
      </c>
      <c r="G90">
        <v>1</v>
      </c>
      <c r="H90">
        <v>1</v>
      </c>
      <c r="I90">
        <v>1</v>
      </c>
      <c r="J90">
        <v>1</v>
      </c>
      <c r="K90">
        <v>1</v>
      </c>
      <c r="L90">
        <v>1</v>
      </c>
      <c r="M90">
        <v>1</v>
      </c>
      <c r="N90">
        <v>1</v>
      </c>
      <c r="P90">
        <v>2.6822502613067631</v>
      </c>
    </row>
    <row r="91" spans="1:16" x14ac:dyDescent="0.25">
      <c r="A91" t="s">
        <v>202</v>
      </c>
      <c r="B91" t="s">
        <v>120</v>
      </c>
      <c r="C91">
        <v>0</v>
      </c>
      <c r="D91">
        <v>1</v>
      </c>
      <c r="E91">
        <v>1</v>
      </c>
      <c r="F91">
        <v>1</v>
      </c>
      <c r="G91">
        <v>1</v>
      </c>
      <c r="H91">
        <v>1</v>
      </c>
      <c r="I91">
        <v>1</v>
      </c>
      <c r="J91">
        <v>1</v>
      </c>
      <c r="K91">
        <v>1</v>
      </c>
      <c r="L91">
        <v>1</v>
      </c>
      <c r="M91">
        <v>1</v>
      </c>
      <c r="N91">
        <v>1</v>
      </c>
      <c r="P91">
        <v>1.5572173595428469</v>
      </c>
    </row>
    <row r="92" spans="1:16" x14ac:dyDescent="0.25">
      <c r="A92" t="s">
        <v>202</v>
      </c>
      <c r="B92" t="s">
        <v>121</v>
      </c>
      <c r="C92">
        <v>0</v>
      </c>
      <c r="D92">
        <v>1</v>
      </c>
      <c r="E92">
        <v>1</v>
      </c>
      <c r="F92">
        <v>1</v>
      </c>
      <c r="G92">
        <v>1</v>
      </c>
      <c r="H92">
        <v>1</v>
      </c>
      <c r="I92">
        <v>1</v>
      </c>
      <c r="J92">
        <v>1</v>
      </c>
      <c r="K92">
        <v>1</v>
      </c>
      <c r="L92">
        <v>1</v>
      </c>
      <c r="M92">
        <v>1</v>
      </c>
      <c r="N92">
        <v>1</v>
      </c>
      <c r="P92">
        <v>1.415789127349854</v>
      </c>
    </row>
    <row r="93" spans="1:16" x14ac:dyDescent="0.25">
      <c r="A93" t="s">
        <v>202</v>
      </c>
      <c r="B93" t="s">
        <v>122</v>
      </c>
      <c r="C93">
        <v>0</v>
      </c>
      <c r="D93">
        <v>1</v>
      </c>
      <c r="E93">
        <v>1</v>
      </c>
      <c r="F93">
        <v>1</v>
      </c>
      <c r="G93">
        <v>1</v>
      </c>
      <c r="H93">
        <v>1</v>
      </c>
      <c r="I93">
        <v>1</v>
      </c>
      <c r="J93">
        <v>1</v>
      </c>
      <c r="K93">
        <v>1</v>
      </c>
      <c r="L93">
        <v>1</v>
      </c>
      <c r="M93">
        <v>1</v>
      </c>
      <c r="N93">
        <v>1</v>
      </c>
      <c r="P93">
        <v>2.453107595443726</v>
      </c>
    </row>
    <row r="94" spans="1:16" x14ac:dyDescent="0.25">
      <c r="A94" t="s">
        <v>202</v>
      </c>
      <c r="B94" t="s">
        <v>123</v>
      </c>
      <c r="C94">
        <v>0</v>
      </c>
      <c r="D94">
        <v>1</v>
      </c>
      <c r="E94">
        <v>1</v>
      </c>
      <c r="F94">
        <v>1</v>
      </c>
      <c r="G94">
        <v>1</v>
      </c>
      <c r="H94">
        <v>1</v>
      </c>
      <c r="I94">
        <v>1</v>
      </c>
      <c r="J94">
        <v>1</v>
      </c>
      <c r="K94">
        <v>1</v>
      </c>
      <c r="L94">
        <v>1</v>
      </c>
      <c r="M94">
        <v>1</v>
      </c>
      <c r="N94">
        <v>1</v>
      </c>
      <c r="P94">
        <v>1.628481388092041</v>
      </c>
    </row>
    <row r="95" spans="1:16" x14ac:dyDescent="0.25">
      <c r="A95" t="s">
        <v>202</v>
      </c>
      <c r="B95" t="s">
        <v>124</v>
      </c>
      <c r="C95">
        <v>0</v>
      </c>
      <c r="D95">
        <v>1</v>
      </c>
      <c r="E95">
        <v>1</v>
      </c>
      <c r="F95">
        <v>1</v>
      </c>
      <c r="G95">
        <v>1</v>
      </c>
      <c r="H95">
        <v>1</v>
      </c>
      <c r="I95">
        <v>1</v>
      </c>
      <c r="J95">
        <v>1</v>
      </c>
      <c r="K95">
        <v>1</v>
      </c>
      <c r="L95">
        <v>1</v>
      </c>
      <c r="M95">
        <v>1</v>
      </c>
      <c r="N95">
        <v>1</v>
      </c>
      <c r="P95">
        <v>2.2708597183227539</v>
      </c>
    </row>
    <row r="96" spans="1:16" x14ac:dyDescent="0.25">
      <c r="A96" t="s">
        <v>202</v>
      </c>
      <c r="B96" t="s">
        <v>125</v>
      </c>
      <c r="C96">
        <v>0</v>
      </c>
      <c r="D96">
        <v>1</v>
      </c>
      <c r="E96">
        <v>1</v>
      </c>
      <c r="F96">
        <v>1</v>
      </c>
      <c r="G96">
        <v>1</v>
      </c>
      <c r="H96">
        <v>1</v>
      </c>
      <c r="I96">
        <v>1</v>
      </c>
      <c r="J96">
        <v>1</v>
      </c>
      <c r="K96">
        <v>1</v>
      </c>
      <c r="L96">
        <v>1</v>
      </c>
      <c r="M96">
        <v>1</v>
      </c>
      <c r="N96">
        <v>1</v>
      </c>
      <c r="P96">
        <v>1.9306073188781741</v>
      </c>
    </row>
    <row r="97" spans="1:16" x14ac:dyDescent="0.25">
      <c r="A97" t="s">
        <v>202</v>
      </c>
      <c r="B97" t="s">
        <v>126</v>
      </c>
      <c r="C97">
        <v>0</v>
      </c>
      <c r="D97">
        <v>1</v>
      </c>
      <c r="E97">
        <v>1</v>
      </c>
      <c r="F97">
        <v>1</v>
      </c>
      <c r="G97">
        <v>1</v>
      </c>
      <c r="H97">
        <v>1</v>
      </c>
      <c r="I97">
        <v>1</v>
      </c>
      <c r="J97">
        <v>1</v>
      </c>
      <c r="K97">
        <v>1</v>
      </c>
      <c r="L97">
        <v>1</v>
      </c>
      <c r="M97">
        <v>1</v>
      </c>
      <c r="N97">
        <v>1</v>
      </c>
      <c r="P97">
        <v>1.332252025604248</v>
      </c>
    </row>
    <row r="98" spans="1:16" x14ac:dyDescent="0.25">
      <c r="A98" t="s">
        <v>202</v>
      </c>
      <c r="B98" t="s">
        <v>127</v>
      </c>
      <c r="C98">
        <v>0</v>
      </c>
      <c r="D98">
        <v>1</v>
      </c>
      <c r="E98">
        <v>1</v>
      </c>
      <c r="F98">
        <v>1</v>
      </c>
      <c r="G98">
        <v>1</v>
      </c>
      <c r="H98">
        <v>1</v>
      </c>
      <c r="I98">
        <v>1</v>
      </c>
      <c r="J98">
        <v>1</v>
      </c>
      <c r="K98">
        <v>1</v>
      </c>
      <c r="L98">
        <v>1</v>
      </c>
      <c r="M98">
        <v>1</v>
      </c>
      <c r="N98">
        <v>1</v>
      </c>
      <c r="P98">
        <v>1.8382489681243901</v>
      </c>
    </row>
    <row r="99" spans="1:16" x14ac:dyDescent="0.25">
      <c r="A99" t="s">
        <v>202</v>
      </c>
      <c r="B99" t="s">
        <v>128</v>
      </c>
      <c r="C99">
        <v>0</v>
      </c>
      <c r="D99">
        <v>1</v>
      </c>
      <c r="E99">
        <v>0</v>
      </c>
      <c r="F99">
        <v>1</v>
      </c>
      <c r="G99">
        <v>1</v>
      </c>
      <c r="H99">
        <v>1</v>
      </c>
      <c r="I99">
        <v>1</v>
      </c>
      <c r="J99">
        <v>1</v>
      </c>
      <c r="K99">
        <v>1</v>
      </c>
      <c r="L99">
        <v>1</v>
      </c>
      <c r="M99">
        <v>1</v>
      </c>
      <c r="N99">
        <v>1</v>
      </c>
      <c r="O99" t="s">
        <v>163</v>
      </c>
      <c r="P99">
        <v>2.7897167205810551</v>
      </c>
    </row>
    <row r="100" spans="1:16" x14ac:dyDescent="0.25">
      <c r="A100" t="s">
        <v>202</v>
      </c>
      <c r="B100" t="s">
        <v>130</v>
      </c>
      <c r="C100">
        <v>0</v>
      </c>
      <c r="D100">
        <v>1</v>
      </c>
      <c r="E100">
        <v>1</v>
      </c>
      <c r="F100">
        <v>1</v>
      </c>
      <c r="G100">
        <v>1</v>
      </c>
      <c r="H100">
        <v>1</v>
      </c>
      <c r="I100">
        <v>1</v>
      </c>
      <c r="J100">
        <v>1</v>
      </c>
      <c r="K100">
        <v>1</v>
      </c>
      <c r="L100">
        <v>1</v>
      </c>
      <c r="M100">
        <v>1</v>
      </c>
      <c r="N100">
        <v>1</v>
      </c>
      <c r="P100">
        <v>1.412916898727417</v>
      </c>
    </row>
    <row r="101" spans="1:16" x14ac:dyDescent="0.25">
      <c r="A101" t="s">
        <v>202</v>
      </c>
      <c r="B101" t="s">
        <v>131</v>
      </c>
      <c r="C101">
        <v>0</v>
      </c>
      <c r="D101">
        <v>0</v>
      </c>
      <c r="E101">
        <v>0</v>
      </c>
      <c r="F101">
        <v>0</v>
      </c>
      <c r="G101">
        <v>1</v>
      </c>
      <c r="H101">
        <v>1</v>
      </c>
      <c r="I101">
        <v>0</v>
      </c>
      <c r="J101">
        <v>0</v>
      </c>
      <c r="K101">
        <v>0</v>
      </c>
      <c r="L101">
        <v>0</v>
      </c>
      <c r="M101">
        <v>0</v>
      </c>
      <c r="N101">
        <v>1</v>
      </c>
      <c r="O101" t="s">
        <v>164</v>
      </c>
      <c r="P101">
        <v>4.7201714515686044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01"/>
  <sheetViews>
    <sheetView workbookViewId="0">
      <selection activeCell="A2" sqref="A2:A101"/>
    </sheetView>
  </sheetViews>
  <sheetFormatPr defaultRowHeight="13.8"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202</v>
      </c>
      <c r="B2" t="s">
        <v>16</v>
      </c>
      <c r="C2">
        <v>0</v>
      </c>
      <c r="D2">
        <v>1</v>
      </c>
      <c r="E2">
        <v>1</v>
      </c>
      <c r="F2">
        <v>1</v>
      </c>
      <c r="G2">
        <v>1</v>
      </c>
      <c r="H2">
        <v>1</v>
      </c>
      <c r="I2">
        <v>1</v>
      </c>
      <c r="J2">
        <v>1</v>
      </c>
      <c r="K2">
        <v>1</v>
      </c>
      <c r="L2">
        <v>1</v>
      </c>
      <c r="M2">
        <v>1</v>
      </c>
      <c r="N2">
        <v>1</v>
      </c>
      <c r="P2">
        <v>2.614249467849731</v>
      </c>
    </row>
    <row r="3" spans="1:16" x14ac:dyDescent="0.25">
      <c r="A3" t="s">
        <v>202</v>
      </c>
      <c r="B3" t="s">
        <v>17</v>
      </c>
      <c r="C3">
        <v>0</v>
      </c>
      <c r="D3">
        <v>1</v>
      </c>
      <c r="E3">
        <v>1</v>
      </c>
      <c r="F3">
        <v>1</v>
      </c>
      <c r="G3">
        <v>1</v>
      </c>
      <c r="H3">
        <v>1</v>
      </c>
      <c r="I3">
        <v>1</v>
      </c>
      <c r="J3">
        <v>1</v>
      </c>
      <c r="K3">
        <v>1</v>
      </c>
      <c r="L3">
        <v>1</v>
      </c>
      <c r="M3">
        <v>1</v>
      </c>
      <c r="N3">
        <v>1</v>
      </c>
      <c r="P3">
        <v>2.0073766708374019</v>
      </c>
    </row>
    <row r="4" spans="1:16" x14ac:dyDescent="0.25">
      <c r="A4" t="s">
        <v>202</v>
      </c>
      <c r="B4" t="s">
        <v>19</v>
      </c>
      <c r="C4">
        <v>0</v>
      </c>
      <c r="D4">
        <v>1</v>
      </c>
      <c r="E4">
        <v>1</v>
      </c>
      <c r="F4">
        <v>1</v>
      </c>
      <c r="G4">
        <v>1</v>
      </c>
      <c r="H4">
        <v>1</v>
      </c>
      <c r="I4">
        <v>1</v>
      </c>
      <c r="J4">
        <v>1</v>
      </c>
      <c r="K4">
        <v>1</v>
      </c>
      <c r="L4">
        <v>1</v>
      </c>
      <c r="M4">
        <v>1</v>
      </c>
      <c r="N4">
        <v>1</v>
      </c>
      <c r="P4">
        <v>1.847268342971802</v>
      </c>
    </row>
    <row r="5" spans="1:16" x14ac:dyDescent="0.25">
      <c r="A5" t="s">
        <v>202</v>
      </c>
      <c r="B5" t="s">
        <v>20</v>
      </c>
      <c r="C5">
        <v>0</v>
      </c>
      <c r="D5">
        <v>1</v>
      </c>
      <c r="E5">
        <v>1</v>
      </c>
      <c r="F5">
        <v>1</v>
      </c>
      <c r="G5">
        <v>1</v>
      </c>
      <c r="H5">
        <v>1</v>
      </c>
      <c r="I5">
        <v>1</v>
      </c>
      <c r="J5">
        <v>1</v>
      </c>
      <c r="K5">
        <v>1</v>
      </c>
      <c r="L5">
        <v>1</v>
      </c>
      <c r="M5">
        <v>1</v>
      </c>
      <c r="N5">
        <v>1</v>
      </c>
      <c r="P5">
        <v>1.4543776512146001</v>
      </c>
    </row>
    <row r="6" spans="1:16" x14ac:dyDescent="0.25">
      <c r="A6" t="s">
        <v>202</v>
      </c>
      <c r="B6" t="s">
        <v>21</v>
      </c>
      <c r="C6">
        <v>0</v>
      </c>
      <c r="D6">
        <v>1</v>
      </c>
      <c r="E6">
        <v>1</v>
      </c>
      <c r="F6">
        <v>1</v>
      </c>
      <c r="G6">
        <v>1</v>
      </c>
      <c r="H6">
        <v>1</v>
      </c>
      <c r="I6">
        <v>1</v>
      </c>
      <c r="J6">
        <v>1</v>
      </c>
      <c r="K6">
        <v>1</v>
      </c>
      <c r="L6">
        <v>1</v>
      </c>
      <c r="M6">
        <v>1</v>
      </c>
      <c r="N6">
        <v>1</v>
      </c>
      <c r="P6">
        <v>2.3461074829101558</v>
      </c>
    </row>
    <row r="7" spans="1:16" x14ac:dyDescent="0.25">
      <c r="A7" t="s">
        <v>202</v>
      </c>
      <c r="B7" t="s">
        <v>22</v>
      </c>
      <c r="C7">
        <v>0</v>
      </c>
      <c r="D7">
        <v>1</v>
      </c>
      <c r="E7">
        <v>1</v>
      </c>
      <c r="F7">
        <v>1</v>
      </c>
      <c r="G7">
        <v>1</v>
      </c>
      <c r="H7">
        <v>1</v>
      </c>
      <c r="I7">
        <v>1</v>
      </c>
      <c r="J7">
        <v>1</v>
      </c>
      <c r="K7">
        <v>1</v>
      </c>
      <c r="L7">
        <v>1</v>
      </c>
      <c r="M7">
        <v>1</v>
      </c>
      <c r="N7">
        <v>1</v>
      </c>
      <c r="P7">
        <v>1.6648738384246831</v>
      </c>
    </row>
    <row r="8" spans="1:16" x14ac:dyDescent="0.25">
      <c r="A8" t="s">
        <v>202</v>
      </c>
      <c r="B8" t="s">
        <v>23</v>
      </c>
      <c r="C8">
        <v>0</v>
      </c>
      <c r="D8">
        <v>1</v>
      </c>
      <c r="E8">
        <v>1</v>
      </c>
      <c r="F8">
        <v>1</v>
      </c>
      <c r="G8">
        <v>1</v>
      </c>
      <c r="H8">
        <v>1</v>
      </c>
      <c r="I8">
        <v>1</v>
      </c>
      <c r="J8">
        <v>1</v>
      </c>
      <c r="K8">
        <v>1</v>
      </c>
      <c r="L8">
        <v>1</v>
      </c>
      <c r="M8">
        <v>1</v>
      </c>
      <c r="N8">
        <v>1</v>
      </c>
      <c r="P8">
        <v>1.6408262252807619</v>
      </c>
    </row>
    <row r="9" spans="1:16" x14ac:dyDescent="0.25">
      <c r="A9" t="s">
        <v>202</v>
      </c>
      <c r="B9" t="s">
        <v>24</v>
      </c>
      <c r="C9">
        <v>0</v>
      </c>
      <c r="D9">
        <v>1</v>
      </c>
      <c r="E9">
        <v>1</v>
      </c>
      <c r="F9">
        <v>1</v>
      </c>
      <c r="G9">
        <v>1</v>
      </c>
      <c r="H9">
        <v>1</v>
      </c>
      <c r="I9">
        <v>1</v>
      </c>
      <c r="J9">
        <v>1</v>
      </c>
      <c r="K9">
        <v>1</v>
      </c>
      <c r="L9">
        <v>1</v>
      </c>
      <c r="M9">
        <v>1</v>
      </c>
      <c r="N9">
        <v>1</v>
      </c>
      <c r="P9">
        <v>1.4178624153137209</v>
      </c>
    </row>
    <row r="10" spans="1:16" x14ac:dyDescent="0.25">
      <c r="A10" t="s">
        <v>202</v>
      </c>
      <c r="B10" t="s">
        <v>25</v>
      </c>
      <c r="C10">
        <v>0</v>
      </c>
      <c r="D10">
        <v>1</v>
      </c>
      <c r="E10">
        <v>1</v>
      </c>
      <c r="F10">
        <v>1</v>
      </c>
      <c r="G10">
        <v>1</v>
      </c>
      <c r="H10">
        <v>1</v>
      </c>
      <c r="I10">
        <v>1</v>
      </c>
      <c r="J10">
        <v>1</v>
      </c>
      <c r="K10">
        <v>1</v>
      </c>
      <c r="L10">
        <v>1</v>
      </c>
      <c r="M10">
        <v>1</v>
      </c>
      <c r="N10">
        <v>1</v>
      </c>
      <c r="P10">
        <v>2.173601388931274</v>
      </c>
    </row>
    <row r="11" spans="1:16" x14ac:dyDescent="0.25">
      <c r="A11" t="s">
        <v>202</v>
      </c>
      <c r="B11" t="s">
        <v>26</v>
      </c>
      <c r="C11">
        <v>0</v>
      </c>
      <c r="D11">
        <v>1</v>
      </c>
      <c r="E11">
        <v>1</v>
      </c>
      <c r="F11">
        <v>1</v>
      </c>
      <c r="G11">
        <v>1</v>
      </c>
      <c r="H11">
        <v>1</v>
      </c>
      <c r="I11">
        <v>1</v>
      </c>
      <c r="J11">
        <v>1</v>
      </c>
      <c r="K11">
        <v>1</v>
      </c>
      <c r="L11">
        <v>1</v>
      </c>
      <c r="M11">
        <v>1</v>
      </c>
      <c r="N11">
        <v>1</v>
      </c>
      <c r="P11">
        <v>2.1429028511047359</v>
      </c>
    </row>
    <row r="12" spans="1:16" x14ac:dyDescent="0.25">
      <c r="A12" t="s">
        <v>202</v>
      </c>
      <c r="B12" t="s">
        <v>27</v>
      </c>
      <c r="C12">
        <v>0</v>
      </c>
      <c r="D12">
        <v>1</v>
      </c>
      <c r="E12">
        <v>0</v>
      </c>
      <c r="F12">
        <v>1</v>
      </c>
      <c r="G12">
        <v>1</v>
      </c>
      <c r="H12">
        <v>1</v>
      </c>
      <c r="I12">
        <v>1</v>
      </c>
      <c r="J12">
        <v>1</v>
      </c>
      <c r="K12">
        <v>1</v>
      </c>
      <c r="L12">
        <v>1</v>
      </c>
      <c r="M12">
        <v>1</v>
      </c>
      <c r="N12">
        <v>1</v>
      </c>
      <c r="O12" t="s">
        <v>165</v>
      </c>
      <c r="P12">
        <v>2.9791347980499272</v>
      </c>
    </row>
    <row r="13" spans="1:16" x14ac:dyDescent="0.25">
      <c r="A13" t="s">
        <v>202</v>
      </c>
      <c r="B13" t="s">
        <v>29</v>
      </c>
      <c r="C13">
        <v>0</v>
      </c>
      <c r="D13">
        <v>1</v>
      </c>
      <c r="E13">
        <v>1</v>
      </c>
      <c r="F13">
        <v>1</v>
      </c>
      <c r="G13">
        <v>1</v>
      </c>
      <c r="H13">
        <v>1</v>
      </c>
      <c r="I13">
        <v>1</v>
      </c>
      <c r="J13">
        <v>1</v>
      </c>
      <c r="K13">
        <v>1</v>
      </c>
      <c r="L13">
        <v>1</v>
      </c>
      <c r="M13">
        <v>1</v>
      </c>
      <c r="N13">
        <v>1</v>
      </c>
      <c r="P13">
        <v>1.7622289657592769</v>
      </c>
    </row>
    <row r="14" spans="1:16" x14ac:dyDescent="0.25">
      <c r="A14" t="s">
        <v>202</v>
      </c>
      <c r="B14" t="s">
        <v>30</v>
      </c>
      <c r="C14">
        <v>0</v>
      </c>
      <c r="D14">
        <v>1</v>
      </c>
      <c r="E14">
        <v>1</v>
      </c>
      <c r="F14">
        <v>1</v>
      </c>
      <c r="G14">
        <v>1</v>
      </c>
      <c r="H14">
        <v>1</v>
      </c>
      <c r="I14">
        <v>1</v>
      </c>
      <c r="J14">
        <v>1</v>
      </c>
      <c r="K14">
        <v>1</v>
      </c>
      <c r="L14">
        <v>1</v>
      </c>
      <c r="M14">
        <v>1</v>
      </c>
      <c r="N14">
        <v>1</v>
      </c>
      <c r="P14">
        <v>1.5345890522003169</v>
      </c>
    </row>
    <row r="15" spans="1:16" x14ac:dyDescent="0.25">
      <c r="A15" t="s">
        <v>202</v>
      </c>
      <c r="B15" t="s">
        <v>31</v>
      </c>
      <c r="C15">
        <v>0</v>
      </c>
      <c r="D15">
        <v>1</v>
      </c>
      <c r="E15">
        <v>1</v>
      </c>
      <c r="F15">
        <v>0</v>
      </c>
      <c r="G15">
        <v>1</v>
      </c>
      <c r="H15">
        <v>1</v>
      </c>
      <c r="I15">
        <v>1</v>
      </c>
      <c r="J15">
        <v>0</v>
      </c>
      <c r="K15">
        <v>1</v>
      </c>
      <c r="L15">
        <v>1</v>
      </c>
      <c r="M15">
        <v>1</v>
      </c>
      <c r="N15">
        <v>1</v>
      </c>
      <c r="O15" t="s">
        <v>166</v>
      </c>
      <c r="P15">
        <v>2.7643158435821529</v>
      </c>
    </row>
    <row r="16" spans="1:16" x14ac:dyDescent="0.25">
      <c r="A16" t="s">
        <v>202</v>
      </c>
      <c r="B16" t="s">
        <v>33</v>
      </c>
      <c r="C16">
        <v>0</v>
      </c>
      <c r="D16">
        <v>1</v>
      </c>
      <c r="E16">
        <v>0</v>
      </c>
      <c r="F16">
        <v>1</v>
      </c>
      <c r="G16">
        <v>1</v>
      </c>
      <c r="H16">
        <v>1</v>
      </c>
      <c r="I16">
        <v>1</v>
      </c>
      <c r="J16">
        <v>0</v>
      </c>
      <c r="K16">
        <v>1</v>
      </c>
      <c r="L16">
        <v>1</v>
      </c>
      <c r="M16">
        <v>1</v>
      </c>
      <c r="N16">
        <v>1</v>
      </c>
      <c r="O16" t="s">
        <v>167</v>
      </c>
      <c r="P16">
        <v>2.904593706130981</v>
      </c>
    </row>
    <row r="17" spans="1:16" x14ac:dyDescent="0.25">
      <c r="A17" t="s">
        <v>202</v>
      </c>
      <c r="B17" t="s">
        <v>35</v>
      </c>
      <c r="C17">
        <v>0</v>
      </c>
      <c r="D17">
        <v>1</v>
      </c>
      <c r="E17">
        <v>1</v>
      </c>
      <c r="F17">
        <v>1</v>
      </c>
      <c r="G17">
        <v>1</v>
      </c>
      <c r="H17">
        <v>1</v>
      </c>
      <c r="I17">
        <v>1</v>
      </c>
      <c r="J17">
        <v>1</v>
      </c>
      <c r="K17">
        <v>1</v>
      </c>
      <c r="L17">
        <v>1</v>
      </c>
      <c r="M17">
        <v>1</v>
      </c>
      <c r="N17">
        <v>1</v>
      </c>
      <c r="P17">
        <v>1.5538396835327151</v>
      </c>
    </row>
    <row r="18" spans="1:16" x14ac:dyDescent="0.25">
      <c r="A18" t="s">
        <v>202</v>
      </c>
      <c r="B18" t="s">
        <v>36</v>
      </c>
      <c r="C18">
        <v>0</v>
      </c>
      <c r="D18">
        <v>1</v>
      </c>
      <c r="E18">
        <v>1</v>
      </c>
      <c r="F18">
        <v>1</v>
      </c>
      <c r="G18">
        <v>1</v>
      </c>
      <c r="H18">
        <v>1</v>
      </c>
      <c r="I18">
        <v>1</v>
      </c>
      <c r="J18">
        <v>1</v>
      </c>
      <c r="K18">
        <v>1</v>
      </c>
      <c r="L18">
        <v>1</v>
      </c>
      <c r="M18">
        <v>1</v>
      </c>
      <c r="N18">
        <v>1</v>
      </c>
      <c r="P18">
        <v>1.8102824687957759</v>
      </c>
    </row>
    <row r="19" spans="1:16" x14ac:dyDescent="0.25">
      <c r="A19" t="s">
        <v>202</v>
      </c>
      <c r="B19" t="s">
        <v>37</v>
      </c>
      <c r="C19">
        <v>0</v>
      </c>
      <c r="D19">
        <v>1</v>
      </c>
      <c r="E19">
        <v>1</v>
      </c>
      <c r="F19">
        <v>0</v>
      </c>
      <c r="G19">
        <v>0</v>
      </c>
      <c r="H19">
        <v>1</v>
      </c>
      <c r="I19">
        <v>1</v>
      </c>
      <c r="J19">
        <v>1</v>
      </c>
      <c r="K19">
        <v>1</v>
      </c>
      <c r="L19">
        <v>1</v>
      </c>
      <c r="M19">
        <v>1</v>
      </c>
      <c r="N19">
        <v>1</v>
      </c>
      <c r="O19" t="s">
        <v>168</v>
      </c>
      <c r="P19">
        <v>3.381298303604126</v>
      </c>
    </row>
    <row r="20" spans="1:16" x14ac:dyDescent="0.25">
      <c r="A20" t="s">
        <v>202</v>
      </c>
      <c r="B20" t="s">
        <v>39</v>
      </c>
      <c r="C20">
        <v>0</v>
      </c>
      <c r="D20">
        <v>1</v>
      </c>
      <c r="E20">
        <v>1</v>
      </c>
      <c r="F20">
        <v>1</v>
      </c>
      <c r="G20">
        <v>1</v>
      </c>
      <c r="H20">
        <v>1</v>
      </c>
      <c r="I20">
        <v>1</v>
      </c>
      <c r="J20">
        <v>1</v>
      </c>
      <c r="K20">
        <v>1</v>
      </c>
      <c r="L20">
        <v>1</v>
      </c>
      <c r="M20">
        <v>1</v>
      </c>
      <c r="N20">
        <v>1</v>
      </c>
      <c r="P20">
        <v>2.1634693145751949</v>
      </c>
    </row>
    <row r="21" spans="1:16" x14ac:dyDescent="0.25">
      <c r="A21" t="s">
        <v>202</v>
      </c>
      <c r="B21" t="s">
        <v>40</v>
      </c>
      <c r="C21">
        <v>0</v>
      </c>
      <c r="D21">
        <v>1</v>
      </c>
      <c r="E21">
        <v>1</v>
      </c>
      <c r="F21">
        <v>1</v>
      </c>
      <c r="G21">
        <v>1</v>
      </c>
      <c r="H21">
        <v>1</v>
      </c>
      <c r="I21">
        <v>1</v>
      </c>
      <c r="J21">
        <v>1</v>
      </c>
      <c r="K21">
        <v>1</v>
      </c>
      <c r="L21">
        <v>1</v>
      </c>
      <c r="M21">
        <v>1</v>
      </c>
      <c r="N21">
        <v>1</v>
      </c>
      <c r="P21">
        <v>1.9569945335388179</v>
      </c>
    </row>
    <row r="22" spans="1:16" x14ac:dyDescent="0.25">
      <c r="A22" t="s">
        <v>202</v>
      </c>
      <c r="B22" t="s">
        <v>41</v>
      </c>
      <c r="C22">
        <v>0</v>
      </c>
      <c r="D22">
        <v>1</v>
      </c>
      <c r="E22">
        <v>1</v>
      </c>
      <c r="F22">
        <v>1</v>
      </c>
      <c r="G22">
        <v>1</v>
      </c>
      <c r="H22">
        <v>1</v>
      </c>
      <c r="I22">
        <v>1</v>
      </c>
      <c r="J22">
        <v>1</v>
      </c>
      <c r="K22">
        <v>1</v>
      </c>
      <c r="L22">
        <v>1</v>
      </c>
      <c r="M22">
        <v>1</v>
      </c>
      <c r="N22">
        <v>1</v>
      </c>
      <c r="P22">
        <v>1.9358701705932619</v>
      </c>
    </row>
    <row r="23" spans="1:16" x14ac:dyDescent="0.25">
      <c r="A23" t="s">
        <v>202</v>
      </c>
      <c r="B23" t="s">
        <v>42</v>
      </c>
      <c r="C23">
        <v>0</v>
      </c>
      <c r="D23">
        <v>1</v>
      </c>
      <c r="E23">
        <v>1</v>
      </c>
      <c r="F23">
        <v>1</v>
      </c>
      <c r="G23">
        <v>1</v>
      </c>
      <c r="H23">
        <v>1</v>
      </c>
      <c r="I23">
        <v>1</v>
      </c>
      <c r="J23">
        <v>1</v>
      </c>
      <c r="K23">
        <v>1</v>
      </c>
      <c r="L23">
        <v>1</v>
      </c>
      <c r="M23">
        <v>1</v>
      </c>
      <c r="N23">
        <v>1</v>
      </c>
      <c r="P23">
        <v>2.7851333618164058</v>
      </c>
    </row>
    <row r="24" spans="1:16" x14ac:dyDescent="0.25">
      <c r="A24" t="s">
        <v>202</v>
      </c>
      <c r="B24" t="s">
        <v>43</v>
      </c>
      <c r="C24">
        <v>0</v>
      </c>
      <c r="D24">
        <v>1</v>
      </c>
      <c r="E24">
        <v>0</v>
      </c>
      <c r="F24">
        <v>1</v>
      </c>
      <c r="G24">
        <v>1</v>
      </c>
      <c r="H24">
        <v>0</v>
      </c>
      <c r="I24">
        <v>1</v>
      </c>
      <c r="J24">
        <v>1</v>
      </c>
      <c r="K24">
        <v>1</v>
      </c>
      <c r="L24">
        <v>1</v>
      </c>
      <c r="M24">
        <v>1</v>
      </c>
      <c r="N24">
        <v>1</v>
      </c>
      <c r="O24" t="s">
        <v>169</v>
      </c>
      <c r="P24">
        <v>3.4251739978790279</v>
      </c>
    </row>
    <row r="25" spans="1:16" x14ac:dyDescent="0.25">
      <c r="A25" t="s">
        <v>202</v>
      </c>
      <c r="B25" t="s">
        <v>45</v>
      </c>
      <c r="C25">
        <v>0</v>
      </c>
      <c r="D25">
        <v>1</v>
      </c>
      <c r="E25">
        <v>1</v>
      </c>
      <c r="F25">
        <v>1</v>
      </c>
      <c r="G25">
        <v>1</v>
      </c>
      <c r="H25">
        <v>1</v>
      </c>
      <c r="I25">
        <v>1</v>
      </c>
      <c r="J25">
        <v>1</v>
      </c>
      <c r="K25">
        <v>1</v>
      </c>
      <c r="L25">
        <v>1</v>
      </c>
      <c r="M25">
        <v>1</v>
      </c>
      <c r="N25">
        <v>1</v>
      </c>
      <c r="P25">
        <v>1.620048046112061</v>
      </c>
    </row>
    <row r="26" spans="1:16" x14ac:dyDescent="0.25">
      <c r="A26" t="s">
        <v>202</v>
      </c>
      <c r="B26" t="s">
        <v>46</v>
      </c>
      <c r="C26">
        <v>0</v>
      </c>
      <c r="D26">
        <v>1</v>
      </c>
      <c r="E26">
        <v>1</v>
      </c>
      <c r="F26">
        <v>1</v>
      </c>
      <c r="G26">
        <v>1</v>
      </c>
      <c r="H26">
        <v>1</v>
      </c>
      <c r="I26">
        <v>1</v>
      </c>
      <c r="J26">
        <v>1</v>
      </c>
      <c r="K26">
        <v>1</v>
      </c>
      <c r="L26">
        <v>1</v>
      </c>
      <c r="M26">
        <v>1</v>
      </c>
      <c r="N26">
        <v>1</v>
      </c>
      <c r="P26">
        <v>1.4135756492614751</v>
      </c>
    </row>
    <row r="27" spans="1:16" x14ac:dyDescent="0.25">
      <c r="A27" t="s">
        <v>202</v>
      </c>
      <c r="B27" t="s">
        <v>47</v>
      </c>
      <c r="C27">
        <v>0</v>
      </c>
      <c r="D27">
        <v>1</v>
      </c>
      <c r="E27">
        <v>1</v>
      </c>
      <c r="F27">
        <v>1</v>
      </c>
      <c r="G27">
        <v>1</v>
      </c>
      <c r="H27">
        <v>1</v>
      </c>
      <c r="I27">
        <v>1</v>
      </c>
      <c r="J27">
        <v>1</v>
      </c>
      <c r="K27">
        <v>1</v>
      </c>
      <c r="L27">
        <v>1</v>
      </c>
      <c r="M27">
        <v>1</v>
      </c>
      <c r="N27">
        <v>1</v>
      </c>
      <c r="P27">
        <v>1.8719897270202639</v>
      </c>
    </row>
    <row r="28" spans="1:16" x14ac:dyDescent="0.25">
      <c r="A28" t="s">
        <v>202</v>
      </c>
      <c r="B28" t="s">
        <v>48</v>
      </c>
      <c r="C28">
        <v>0</v>
      </c>
      <c r="D28">
        <v>1</v>
      </c>
      <c r="E28">
        <v>1</v>
      </c>
      <c r="F28">
        <v>1</v>
      </c>
      <c r="G28">
        <v>1</v>
      </c>
      <c r="H28">
        <v>1</v>
      </c>
      <c r="I28">
        <v>0</v>
      </c>
      <c r="J28">
        <v>1</v>
      </c>
      <c r="K28">
        <v>1</v>
      </c>
      <c r="L28">
        <v>1</v>
      </c>
      <c r="M28">
        <v>1</v>
      </c>
      <c r="N28">
        <v>1</v>
      </c>
      <c r="O28" t="s">
        <v>170</v>
      </c>
      <c r="P28">
        <v>2.9788248538970952</v>
      </c>
    </row>
    <row r="29" spans="1:16" x14ac:dyDescent="0.25">
      <c r="A29" t="s">
        <v>202</v>
      </c>
      <c r="B29" t="s">
        <v>49</v>
      </c>
      <c r="C29">
        <v>0</v>
      </c>
      <c r="D29">
        <v>1</v>
      </c>
      <c r="E29">
        <v>1</v>
      </c>
      <c r="F29">
        <v>1</v>
      </c>
      <c r="G29">
        <v>1</v>
      </c>
      <c r="H29">
        <v>1</v>
      </c>
      <c r="I29">
        <v>1</v>
      </c>
      <c r="J29">
        <v>1</v>
      </c>
      <c r="K29">
        <v>1</v>
      </c>
      <c r="L29">
        <v>1</v>
      </c>
      <c r="M29">
        <v>1</v>
      </c>
      <c r="N29">
        <v>1</v>
      </c>
      <c r="P29">
        <v>1.8336248397827151</v>
      </c>
    </row>
    <row r="30" spans="1:16" x14ac:dyDescent="0.25">
      <c r="A30" t="s">
        <v>202</v>
      </c>
      <c r="B30" t="s">
        <v>50</v>
      </c>
      <c r="C30">
        <v>0</v>
      </c>
      <c r="D30">
        <v>0</v>
      </c>
      <c r="E30">
        <v>0</v>
      </c>
      <c r="F30">
        <v>1</v>
      </c>
      <c r="G30">
        <v>1</v>
      </c>
      <c r="H30">
        <v>1</v>
      </c>
      <c r="I30">
        <v>0</v>
      </c>
      <c r="J30">
        <v>0</v>
      </c>
      <c r="K30">
        <v>1</v>
      </c>
      <c r="L30">
        <v>1</v>
      </c>
      <c r="M30">
        <v>1</v>
      </c>
      <c r="N30">
        <v>1</v>
      </c>
      <c r="O30" t="s">
        <v>171</v>
      </c>
      <c r="P30">
        <v>5.5380611419677734</v>
      </c>
    </row>
    <row r="31" spans="1:16" x14ac:dyDescent="0.25">
      <c r="A31" t="s">
        <v>202</v>
      </c>
      <c r="B31" t="s">
        <v>52</v>
      </c>
      <c r="C31">
        <v>0</v>
      </c>
      <c r="D31">
        <v>1</v>
      </c>
      <c r="E31">
        <v>1</v>
      </c>
      <c r="F31">
        <v>1</v>
      </c>
      <c r="G31">
        <v>1</v>
      </c>
      <c r="H31">
        <v>1</v>
      </c>
      <c r="I31">
        <v>1</v>
      </c>
      <c r="J31">
        <v>1</v>
      </c>
      <c r="K31">
        <v>1</v>
      </c>
      <c r="L31">
        <v>1</v>
      </c>
      <c r="M31">
        <v>1</v>
      </c>
      <c r="N31">
        <v>1</v>
      </c>
      <c r="P31">
        <v>1.367556095123291</v>
      </c>
    </row>
    <row r="32" spans="1:16" x14ac:dyDescent="0.25">
      <c r="A32" t="s">
        <v>202</v>
      </c>
      <c r="B32" t="s">
        <v>53</v>
      </c>
      <c r="C32">
        <v>0</v>
      </c>
      <c r="D32">
        <v>1</v>
      </c>
      <c r="E32">
        <v>1</v>
      </c>
      <c r="F32">
        <v>1</v>
      </c>
      <c r="G32">
        <v>1</v>
      </c>
      <c r="H32">
        <v>1</v>
      </c>
      <c r="I32">
        <v>1</v>
      </c>
      <c r="J32">
        <v>1</v>
      </c>
      <c r="K32">
        <v>1</v>
      </c>
      <c r="L32">
        <v>1</v>
      </c>
      <c r="M32">
        <v>1</v>
      </c>
      <c r="N32">
        <v>1</v>
      </c>
      <c r="P32">
        <v>1.3986461162567141</v>
      </c>
    </row>
    <row r="33" spans="1:16" x14ac:dyDescent="0.25">
      <c r="A33" t="s">
        <v>202</v>
      </c>
      <c r="B33" t="s">
        <v>54</v>
      </c>
      <c r="C33">
        <v>0</v>
      </c>
      <c r="D33">
        <v>1</v>
      </c>
      <c r="E33">
        <v>1</v>
      </c>
      <c r="F33">
        <v>1</v>
      </c>
      <c r="G33">
        <v>1</v>
      </c>
      <c r="H33">
        <v>1</v>
      </c>
      <c r="I33">
        <v>1</v>
      </c>
      <c r="J33">
        <v>1</v>
      </c>
      <c r="K33">
        <v>1</v>
      </c>
      <c r="L33">
        <v>1</v>
      </c>
      <c r="M33">
        <v>1</v>
      </c>
      <c r="N33">
        <v>1</v>
      </c>
      <c r="P33">
        <v>1.4445075988769529</v>
      </c>
    </row>
    <row r="34" spans="1:16" x14ac:dyDescent="0.25">
      <c r="A34" t="s">
        <v>202</v>
      </c>
      <c r="B34" t="s">
        <v>55</v>
      </c>
      <c r="C34">
        <v>0</v>
      </c>
      <c r="D34">
        <v>1</v>
      </c>
      <c r="E34">
        <v>1</v>
      </c>
      <c r="F34">
        <v>1</v>
      </c>
      <c r="G34">
        <v>1</v>
      </c>
      <c r="H34">
        <v>1</v>
      </c>
      <c r="I34">
        <v>1</v>
      </c>
      <c r="J34">
        <v>1</v>
      </c>
      <c r="K34">
        <v>1</v>
      </c>
      <c r="L34">
        <v>1</v>
      </c>
      <c r="M34">
        <v>1</v>
      </c>
      <c r="N34">
        <v>1</v>
      </c>
      <c r="P34">
        <v>1.943414449691772</v>
      </c>
    </row>
    <row r="35" spans="1:16" x14ac:dyDescent="0.25">
      <c r="A35" t="s">
        <v>202</v>
      </c>
      <c r="B35" t="s">
        <v>56</v>
      </c>
      <c r="C35">
        <v>0</v>
      </c>
      <c r="D35">
        <v>1</v>
      </c>
      <c r="E35">
        <v>1</v>
      </c>
      <c r="F35">
        <v>1</v>
      </c>
      <c r="G35">
        <v>1</v>
      </c>
      <c r="H35">
        <v>1</v>
      </c>
      <c r="I35">
        <v>1</v>
      </c>
      <c r="J35">
        <v>1</v>
      </c>
      <c r="K35">
        <v>1</v>
      </c>
      <c r="L35">
        <v>1</v>
      </c>
      <c r="M35">
        <v>1</v>
      </c>
      <c r="N35">
        <v>1</v>
      </c>
      <c r="P35">
        <v>1.437568664550781</v>
      </c>
    </row>
    <row r="36" spans="1:16" x14ac:dyDescent="0.25">
      <c r="A36" t="s">
        <v>202</v>
      </c>
      <c r="B36" t="s">
        <v>57</v>
      </c>
      <c r="C36">
        <v>0</v>
      </c>
      <c r="D36">
        <v>1</v>
      </c>
      <c r="E36">
        <v>1</v>
      </c>
      <c r="F36">
        <v>1</v>
      </c>
      <c r="G36">
        <v>1</v>
      </c>
      <c r="H36">
        <v>1</v>
      </c>
      <c r="I36">
        <v>1</v>
      </c>
      <c r="J36">
        <v>1</v>
      </c>
      <c r="K36">
        <v>1</v>
      </c>
      <c r="L36">
        <v>1</v>
      </c>
      <c r="M36">
        <v>1</v>
      </c>
      <c r="N36">
        <v>1</v>
      </c>
      <c r="P36">
        <v>1.5380859375</v>
      </c>
    </row>
    <row r="37" spans="1:16" x14ac:dyDescent="0.25">
      <c r="A37" t="s">
        <v>202</v>
      </c>
      <c r="B37" t="s">
        <v>58</v>
      </c>
      <c r="C37">
        <v>0</v>
      </c>
      <c r="D37">
        <v>1</v>
      </c>
      <c r="E37">
        <v>1</v>
      </c>
      <c r="F37">
        <v>1</v>
      </c>
      <c r="G37">
        <v>1</v>
      </c>
      <c r="H37">
        <v>1</v>
      </c>
      <c r="I37">
        <v>1</v>
      </c>
      <c r="J37">
        <v>1</v>
      </c>
      <c r="K37">
        <v>1</v>
      </c>
      <c r="L37">
        <v>1</v>
      </c>
      <c r="M37">
        <v>1</v>
      </c>
      <c r="N37">
        <v>1</v>
      </c>
      <c r="P37">
        <v>1.651494026184082</v>
      </c>
    </row>
    <row r="38" spans="1:16" x14ac:dyDescent="0.25">
      <c r="A38" t="s">
        <v>202</v>
      </c>
      <c r="B38" t="s">
        <v>59</v>
      </c>
      <c r="C38">
        <v>0</v>
      </c>
      <c r="D38">
        <v>1</v>
      </c>
      <c r="E38">
        <v>1</v>
      </c>
      <c r="F38">
        <v>1</v>
      </c>
      <c r="G38">
        <v>1</v>
      </c>
      <c r="H38">
        <v>1</v>
      </c>
      <c r="I38">
        <v>1</v>
      </c>
      <c r="J38">
        <v>1</v>
      </c>
      <c r="K38">
        <v>1</v>
      </c>
      <c r="L38">
        <v>1</v>
      </c>
      <c r="M38">
        <v>1</v>
      </c>
      <c r="N38">
        <v>1</v>
      </c>
      <c r="P38">
        <v>1.852578401565552</v>
      </c>
    </row>
    <row r="39" spans="1:16" x14ac:dyDescent="0.25">
      <c r="A39" t="s">
        <v>202</v>
      </c>
      <c r="B39" t="s">
        <v>60</v>
      </c>
      <c r="C39">
        <v>0</v>
      </c>
      <c r="D39">
        <v>1</v>
      </c>
      <c r="E39">
        <v>1</v>
      </c>
      <c r="F39">
        <v>1</v>
      </c>
      <c r="G39">
        <v>1</v>
      </c>
      <c r="H39">
        <v>1</v>
      </c>
      <c r="I39">
        <v>1</v>
      </c>
      <c r="J39">
        <v>0</v>
      </c>
      <c r="K39">
        <v>1</v>
      </c>
      <c r="L39">
        <v>1</v>
      </c>
      <c r="M39">
        <v>1</v>
      </c>
      <c r="N39">
        <v>1</v>
      </c>
      <c r="O39" t="s">
        <v>172</v>
      </c>
      <c r="P39">
        <v>2.7792918682098389</v>
      </c>
    </row>
    <row r="40" spans="1:16" x14ac:dyDescent="0.25">
      <c r="A40" t="s">
        <v>202</v>
      </c>
      <c r="B40" t="s">
        <v>61</v>
      </c>
      <c r="C40">
        <v>0</v>
      </c>
      <c r="D40">
        <v>1</v>
      </c>
      <c r="E40">
        <v>1</v>
      </c>
      <c r="F40">
        <v>1</v>
      </c>
      <c r="G40">
        <v>1</v>
      </c>
      <c r="H40">
        <v>1</v>
      </c>
      <c r="I40">
        <v>1</v>
      </c>
      <c r="J40">
        <v>1</v>
      </c>
      <c r="K40">
        <v>1</v>
      </c>
      <c r="L40">
        <v>1</v>
      </c>
      <c r="M40">
        <v>1</v>
      </c>
      <c r="N40">
        <v>1</v>
      </c>
      <c r="P40">
        <v>1.4226875305175779</v>
      </c>
    </row>
    <row r="41" spans="1:16" x14ac:dyDescent="0.25">
      <c r="A41" t="s">
        <v>202</v>
      </c>
      <c r="B41" t="s">
        <v>62</v>
      </c>
      <c r="C41">
        <v>0</v>
      </c>
      <c r="D41">
        <v>1</v>
      </c>
      <c r="E41">
        <v>1</v>
      </c>
      <c r="F41">
        <v>1</v>
      </c>
      <c r="G41">
        <v>1</v>
      </c>
      <c r="H41">
        <v>1</v>
      </c>
      <c r="I41">
        <v>1</v>
      </c>
      <c r="J41">
        <v>1</v>
      </c>
      <c r="K41">
        <v>1</v>
      </c>
      <c r="L41">
        <v>1</v>
      </c>
      <c r="M41">
        <v>1</v>
      </c>
      <c r="N41">
        <v>1</v>
      </c>
      <c r="P41">
        <v>1.63310694694519</v>
      </c>
    </row>
    <row r="42" spans="1:16" x14ac:dyDescent="0.25">
      <c r="A42" t="s">
        <v>202</v>
      </c>
      <c r="B42" t="s">
        <v>63</v>
      </c>
      <c r="C42">
        <v>0</v>
      </c>
      <c r="D42">
        <v>1</v>
      </c>
      <c r="E42">
        <v>1</v>
      </c>
      <c r="F42">
        <v>1</v>
      </c>
      <c r="G42">
        <v>1</v>
      </c>
      <c r="H42">
        <v>1</v>
      </c>
      <c r="I42">
        <v>1</v>
      </c>
      <c r="J42">
        <v>1</v>
      </c>
      <c r="K42">
        <v>1</v>
      </c>
      <c r="L42">
        <v>1</v>
      </c>
      <c r="M42">
        <v>1</v>
      </c>
      <c r="N42">
        <v>1</v>
      </c>
      <c r="P42">
        <v>1.4354016780853269</v>
      </c>
    </row>
    <row r="43" spans="1:16" x14ac:dyDescent="0.25">
      <c r="A43" t="s">
        <v>202</v>
      </c>
      <c r="B43" t="s">
        <v>64</v>
      </c>
      <c r="C43">
        <v>0</v>
      </c>
      <c r="D43">
        <v>1</v>
      </c>
      <c r="E43">
        <v>1</v>
      </c>
      <c r="F43">
        <v>1</v>
      </c>
      <c r="G43">
        <v>1</v>
      </c>
      <c r="H43">
        <v>1</v>
      </c>
      <c r="I43">
        <v>1</v>
      </c>
      <c r="J43">
        <v>1</v>
      </c>
      <c r="K43">
        <v>1</v>
      </c>
      <c r="L43">
        <v>1</v>
      </c>
      <c r="M43">
        <v>1</v>
      </c>
      <c r="N43">
        <v>1</v>
      </c>
      <c r="P43">
        <v>1.633664131164551</v>
      </c>
    </row>
    <row r="44" spans="1:16" x14ac:dyDescent="0.25">
      <c r="A44" t="s">
        <v>202</v>
      </c>
      <c r="B44" t="s">
        <v>65</v>
      </c>
      <c r="C44">
        <v>0</v>
      </c>
      <c r="D44">
        <v>1</v>
      </c>
      <c r="E44">
        <v>1</v>
      </c>
      <c r="F44">
        <v>1</v>
      </c>
      <c r="G44">
        <v>1</v>
      </c>
      <c r="H44">
        <v>1</v>
      </c>
      <c r="I44">
        <v>1</v>
      </c>
      <c r="J44">
        <v>1</v>
      </c>
      <c r="K44">
        <v>1</v>
      </c>
      <c r="L44">
        <v>1</v>
      </c>
      <c r="M44">
        <v>1</v>
      </c>
      <c r="N44">
        <v>1</v>
      </c>
      <c r="P44">
        <v>1.5640401840209961</v>
      </c>
    </row>
    <row r="45" spans="1:16" x14ac:dyDescent="0.25">
      <c r="A45" t="s">
        <v>202</v>
      </c>
      <c r="B45" t="s">
        <v>66</v>
      </c>
      <c r="C45">
        <v>0</v>
      </c>
      <c r="D45">
        <v>1</v>
      </c>
      <c r="E45">
        <v>1</v>
      </c>
      <c r="F45">
        <v>1</v>
      </c>
      <c r="G45">
        <v>1</v>
      </c>
      <c r="H45">
        <v>1</v>
      </c>
      <c r="I45">
        <v>1</v>
      </c>
      <c r="J45">
        <v>1</v>
      </c>
      <c r="K45">
        <v>1</v>
      </c>
      <c r="L45">
        <v>1</v>
      </c>
      <c r="M45">
        <v>1</v>
      </c>
      <c r="N45">
        <v>1</v>
      </c>
      <c r="P45">
        <v>2.3315963745117192</v>
      </c>
    </row>
    <row r="46" spans="1:16" x14ac:dyDescent="0.25">
      <c r="A46" t="s">
        <v>202</v>
      </c>
      <c r="B46" t="s">
        <v>67</v>
      </c>
      <c r="C46">
        <v>0</v>
      </c>
      <c r="D46">
        <v>1</v>
      </c>
      <c r="E46">
        <v>1</v>
      </c>
      <c r="F46">
        <v>1</v>
      </c>
      <c r="G46">
        <v>1</v>
      </c>
      <c r="H46">
        <v>1</v>
      </c>
      <c r="I46">
        <v>1</v>
      </c>
      <c r="J46">
        <v>1</v>
      </c>
      <c r="K46">
        <v>1</v>
      </c>
      <c r="L46">
        <v>1</v>
      </c>
      <c r="M46">
        <v>1</v>
      </c>
      <c r="N46">
        <v>1</v>
      </c>
      <c r="P46">
        <v>1.3535439968109131</v>
      </c>
    </row>
    <row r="47" spans="1:16" x14ac:dyDescent="0.25">
      <c r="A47" t="s">
        <v>202</v>
      </c>
      <c r="B47" t="s">
        <v>68</v>
      </c>
      <c r="C47">
        <v>0</v>
      </c>
      <c r="D47">
        <v>1</v>
      </c>
      <c r="E47">
        <v>0</v>
      </c>
      <c r="F47">
        <v>1</v>
      </c>
      <c r="G47">
        <v>1</v>
      </c>
      <c r="H47">
        <v>1</v>
      </c>
      <c r="I47">
        <v>1</v>
      </c>
      <c r="J47">
        <v>1</v>
      </c>
      <c r="K47">
        <v>1</v>
      </c>
      <c r="L47">
        <v>1</v>
      </c>
      <c r="M47">
        <v>1</v>
      </c>
      <c r="N47">
        <v>1</v>
      </c>
      <c r="O47" t="s">
        <v>173</v>
      </c>
      <c r="P47">
        <v>3.6769800186157231</v>
      </c>
    </row>
    <row r="48" spans="1:16" x14ac:dyDescent="0.25">
      <c r="A48" t="s">
        <v>202</v>
      </c>
      <c r="B48" t="s">
        <v>70</v>
      </c>
      <c r="C48">
        <v>0</v>
      </c>
      <c r="D48">
        <v>1</v>
      </c>
      <c r="E48">
        <v>1</v>
      </c>
      <c r="F48">
        <v>1</v>
      </c>
      <c r="G48">
        <v>1</v>
      </c>
      <c r="H48">
        <v>1</v>
      </c>
      <c r="I48">
        <v>1</v>
      </c>
      <c r="J48">
        <v>1</v>
      </c>
      <c r="K48">
        <v>1</v>
      </c>
      <c r="L48">
        <v>1</v>
      </c>
      <c r="M48">
        <v>1</v>
      </c>
      <c r="N48">
        <v>1</v>
      </c>
      <c r="P48">
        <v>2.2521224021911621</v>
      </c>
    </row>
    <row r="49" spans="1:16" x14ac:dyDescent="0.25">
      <c r="A49" t="s">
        <v>202</v>
      </c>
      <c r="B49" t="s">
        <v>71</v>
      </c>
      <c r="C49">
        <v>0</v>
      </c>
      <c r="D49">
        <v>1</v>
      </c>
      <c r="E49">
        <v>1</v>
      </c>
      <c r="F49">
        <v>1</v>
      </c>
      <c r="G49">
        <v>1</v>
      </c>
      <c r="H49">
        <v>1</v>
      </c>
      <c r="I49">
        <v>1</v>
      </c>
      <c r="J49">
        <v>1</v>
      </c>
      <c r="K49">
        <v>1</v>
      </c>
      <c r="L49">
        <v>1</v>
      </c>
      <c r="M49">
        <v>1</v>
      </c>
      <c r="N49">
        <v>1</v>
      </c>
      <c r="P49">
        <v>1.7430160045623779</v>
      </c>
    </row>
    <row r="50" spans="1:16" x14ac:dyDescent="0.25">
      <c r="A50" t="s">
        <v>202</v>
      </c>
      <c r="B50" t="s">
        <v>72</v>
      </c>
      <c r="C50">
        <v>0</v>
      </c>
      <c r="D50">
        <v>1</v>
      </c>
      <c r="E50">
        <v>1</v>
      </c>
      <c r="F50">
        <v>1</v>
      </c>
      <c r="G50">
        <v>1</v>
      </c>
      <c r="H50">
        <v>1</v>
      </c>
      <c r="I50">
        <v>1</v>
      </c>
      <c r="J50">
        <v>1</v>
      </c>
      <c r="K50">
        <v>1</v>
      </c>
      <c r="L50">
        <v>1</v>
      </c>
      <c r="M50">
        <v>1</v>
      </c>
      <c r="N50">
        <v>1</v>
      </c>
      <c r="P50">
        <v>1.4504082202911379</v>
      </c>
    </row>
    <row r="51" spans="1:16" x14ac:dyDescent="0.25">
      <c r="A51" t="s">
        <v>202</v>
      </c>
      <c r="B51" t="s">
        <v>73</v>
      </c>
      <c r="C51">
        <v>0</v>
      </c>
      <c r="D51">
        <v>1</v>
      </c>
      <c r="E51">
        <v>1</v>
      </c>
      <c r="F51">
        <v>1</v>
      </c>
      <c r="G51">
        <v>1</v>
      </c>
      <c r="H51">
        <v>1</v>
      </c>
      <c r="I51">
        <v>1</v>
      </c>
      <c r="J51">
        <v>1</v>
      </c>
      <c r="K51">
        <v>1</v>
      </c>
      <c r="L51">
        <v>1</v>
      </c>
      <c r="M51">
        <v>1</v>
      </c>
      <c r="N51">
        <v>1</v>
      </c>
      <c r="P51">
        <v>1.3167557716369629</v>
      </c>
    </row>
    <row r="52" spans="1:16" x14ac:dyDescent="0.25">
      <c r="A52" t="s">
        <v>202</v>
      </c>
      <c r="B52" t="s">
        <v>74</v>
      </c>
      <c r="C52">
        <v>0</v>
      </c>
      <c r="D52">
        <v>1</v>
      </c>
      <c r="E52">
        <v>1</v>
      </c>
      <c r="F52">
        <v>1</v>
      </c>
      <c r="G52">
        <v>1</v>
      </c>
      <c r="H52">
        <v>1</v>
      </c>
      <c r="I52">
        <v>1</v>
      </c>
      <c r="J52">
        <v>1</v>
      </c>
      <c r="K52">
        <v>1</v>
      </c>
      <c r="L52">
        <v>1</v>
      </c>
      <c r="M52">
        <v>1</v>
      </c>
      <c r="N52">
        <v>1</v>
      </c>
      <c r="P52">
        <v>1.4342689514160161</v>
      </c>
    </row>
    <row r="53" spans="1:16" x14ac:dyDescent="0.25">
      <c r="A53" t="s">
        <v>202</v>
      </c>
      <c r="B53" t="s">
        <v>75</v>
      </c>
      <c r="C53">
        <v>0</v>
      </c>
      <c r="D53">
        <v>1</v>
      </c>
      <c r="E53">
        <v>1</v>
      </c>
      <c r="F53">
        <v>1</v>
      </c>
      <c r="G53">
        <v>1</v>
      </c>
      <c r="H53">
        <v>1</v>
      </c>
      <c r="I53">
        <v>1</v>
      </c>
      <c r="J53">
        <v>1</v>
      </c>
      <c r="K53">
        <v>1</v>
      </c>
      <c r="L53">
        <v>1</v>
      </c>
      <c r="M53">
        <v>1</v>
      </c>
      <c r="N53">
        <v>1</v>
      </c>
      <c r="P53">
        <v>2.8705153465271001</v>
      </c>
    </row>
    <row r="54" spans="1:16" x14ac:dyDescent="0.25">
      <c r="A54" t="s">
        <v>202</v>
      </c>
      <c r="B54" t="s">
        <v>76</v>
      </c>
      <c r="C54">
        <v>0</v>
      </c>
      <c r="D54">
        <v>1</v>
      </c>
      <c r="E54">
        <v>1</v>
      </c>
      <c r="F54">
        <v>1</v>
      </c>
      <c r="G54">
        <v>1</v>
      </c>
      <c r="H54">
        <v>1</v>
      </c>
      <c r="I54">
        <v>1</v>
      </c>
      <c r="J54">
        <v>1</v>
      </c>
      <c r="K54">
        <v>1</v>
      </c>
      <c r="L54">
        <v>1</v>
      </c>
      <c r="M54">
        <v>1</v>
      </c>
      <c r="N54">
        <v>1</v>
      </c>
      <c r="P54">
        <v>3.8215126991271968</v>
      </c>
    </row>
    <row r="55" spans="1:16" x14ac:dyDescent="0.25">
      <c r="A55" t="s">
        <v>202</v>
      </c>
      <c r="B55" t="s">
        <v>77</v>
      </c>
      <c r="C55">
        <v>0</v>
      </c>
      <c r="D55">
        <v>1</v>
      </c>
      <c r="E55">
        <v>1</v>
      </c>
      <c r="F55">
        <v>1</v>
      </c>
      <c r="G55">
        <v>1</v>
      </c>
      <c r="H55">
        <v>1</v>
      </c>
      <c r="I55">
        <v>0</v>
      </c>
      <c r="J55">
        <v>1</v>
      </c>
      <c r="K55">
        <v>1</v>
      </c>
      <c r="L55">
        <v>1</v>
      </c>
      <c r="M55">
        <v>1</v>
      </c>
      <c r="N55">
        <v>1</v>
      </c>
      <c r="O55" t="s">
        <v>174</v>
      </c>
      <c r="P55">
        <v>3.8872003555297852</v>
      </c>
    </row>
    <row r="56" spans="1:16" x14ac:dyDescent="0.25">
      <c r="A56" t="s">
        <v>202</v>
      </c>
      <c r="B56" t="s">
        <v>79</v>
      </c>
      <c r="C56">
        <v>0</v>
      </c>
      <c r="D56">
        <v>1</v>
      </c>
      <c r="E56">
        <v>1</v>
      </c>
      <c r="F56">
        <v>1</v>
      </c>
      <c r="G56">
        <v>1</v>
      </c>
      <c r="H56">
        <v>1</v>
      </c>
      <c r="I56">
        <v>1</v>
      </c>
      <c r="J56">
        <v>0</v>
      </c>
      <c r="K56">
        <v>1</v>
      </c>
      <c r="L56">
        <v>1</v>
      </c>
      <c r="M56">
        <v>1</v>
      </c>
      <c r="N56">
        <v>1</v>
      </c>
      <c r="O56" t="s">
        <v>175</v>
      </c>
      <c r="P56">
        <v>2.6622245311737061</v>
      </c>
    </row>
    <row r="57" spans="1:16" x14ac:dyDescent="0.25">
      <c r="A57" t="s">
        <v>202</v>
      </c>
      <c r="B57" t="s">
        <v>81</v>
      </c>
      <c r="C57">
        <v>0</v>
      </c>
      <c r="D57">
        <v>1</v>
      </c>
      <c r="E57">
        <v>1</v>
      </c>
      <c r="F57">
        <v>1</v>
      </c>
      <c r="G57">
        <v>1</v>
      </c>
      <c r="H57">
        <v>1</v>
      </c>
      <c r="I57">
        <v>1</v>
      </c>
      <c r="J57">
        <v>1</v>
      </c>
      <c r="K57">
        <v>1</v>
      </c>
      <c r="L57">
        <v>1</v>
      </c>
      <c r="M57">
        <v>1</v>
      </c>
      <c r="N57">
        <v>1</v>
      </c>
      <c r="P57">
        <v>1.431016206741333</v>
      </c>
    </row>
    <row r="58" spans="1:16" x14ac:dyDescent="0.25">
      <c r="A58" t="s">
        <v>202</v>
      </c>
      <c r="B58" t="s">
        <v>82</v>
      </c>
      <c r="C58">
        <v>0</v>
      </c>
      <c r="D58">
        <v>1</v>
      </c>
      <c r="E58">
        <v>1</v>
      </c>
      <c r="F58">
        <v>1</v>
      </c>
      <c r="G58">
        <v>1</v>
      </c>
      <c r="H58">
        <v>1</v>
      </c>
      <c r="I58">
        <v>1</v>
      </c>
      <c r="J58">
        <v>1</v>
      </c>
      <c r="K58">
        <v>1</v>
      </c>
      <c r="L58">
        <v>1</v>
      </c>
      <c r="M58">
        <v>1</v>
      </c>
      <c r="N58">
        <v>1</v>
      </c>
      <c r="P58">
        <v>1.338823795318604</v>
      </c>
    </row>
    <row r="59" spans="1:16" x14ac:dyDescent="0.25">
      <c r="A59" t="s">
        <v>202</v>
      </c>
      <c r="B59" t="s">
        <v>83</v>
      </c>
      <c r="C59">
        <v>0</v>
      </c>
      <c r="D59">
        <v>1</v>
      </c>
      <c r="E59">
        <v>1</v>
      </c>
      <c r="F59">
        <v>1</v>
      </c>
      <c r="G59">
        <v>1</v>
      </c>
      <c r="H59">
        <v>1</v>
      </c>
      <c r="I59">
        <v>1</v>
      </c>
      <c r="J59">
        <v>1</v>
      </c>
      <c r="K59">
        <v>1</v>
      </c>
      <c r="L59">
        <v>1</v>
      </c>
      <c r="M59">
        <v>1</v>
      </c>
      <c r="N59">
        <v>1</v>
      </c>
      <c r="P59">
        <v>1.425676822662354</v>
      </c>
    </row>
    <row r="60" spans="1:16" x14ac:dyDescent="0.25">
      <c r="A60" t="s">
        <v>202</v>
      </c>
      <c r="B60" t="s">
        <v>84</v>
      </c>
      <c r="C60">
        <v>0</v>
      </c>
      <c r="D60">
        <v>1</v>
      </c>
      <c r="E60">
        <v>0</v>
      </c>
      <c r="F60">
        <v>1</v>
      </c>
      <c r="G60">
        <v>1</v>
      </c>
      <c r="H60">
        <v>0</v>
      </c>
      <c r="I60">
        <v>1</v>
      </c>
      <c r="J60">
        <v>0</v>
      </c>
      <c r="K60">
        <v>1</v>
      </c>
      <c r="L60">
        <v>1</v>
      </c>
      <c r="M60">
        <v>1</v>
      </c>
      <c r="N60">
        <v>1</v>
      </c>
      <c r="O60" t="s">
        <v>176</v>
      </c>
      <c r="P60">
        <v>3.694886207580566</v>
      </c>
    </row>
    <row r="61" spans="1:16" x14ac:dyDescent="0.25">
      <c r="A61" t="s">
        <v>202</v>
      </c>
      <c r="B61" t="s">
        <v>86</v>
      </c>
      <c r="C61">
        <v>0</v>
      </c>
      <c r="D61">
        <v>1</v>
      </c>
      <c r="E61">
        <v>1</v>
      </c>
      <c r="F61">
        <v>1</v>
      </c>
      <c r="G61">
        <v>1</v>
      </c>
      <c r="H61">
        <v>1</v>
      </c>
      <c r="I61">
        <v>1</v>
      </c>
      <c r="J61">
        <v>1</v>
      </c>
      <c r="K61">
        <v>1</v>
      </c>
      <c r="L61">
        <v>1</v>
      </c>
      <c r="M61">
        <v>1</v>
      </c>
      <c r="N61">
        <v>1</v>
      </c>
      <c r="P61">
        <v>1.2489569187164311</v>
      </c>
    </row>
    <row r="62" spans="1:16" x14ac:dyDescent="0.25">
      <c r="A62" t="s">
        <v>202</v>
      </c>
      <c r="B62" t="s">
        <v>87</v>
      </c>
      <c r="C62">
        <v>0</v>
      </c>
      <c r="D62">
        <v>1</v>
      </c>
      <c r="E62">
        <v>1</v>
      </c>
      <c r="F62">
        <v>1</v>
      </c>
      <c r="G62">
        <v>1</v>
      </c>
      <c r="H62">
        <v>1</v>
      </c>
      <c r="I62">
        <v>1</v>
      </c>
      <c r="J62">
        <v>1</v>
      </c>
      <c r="K62">
        <v>1</v>
      </c>
      <c r="L62">
        <v>1</v>
      </c>
      <c r="M62">
        <v>1</v>
      </c>
      <c r="N62">
        <v>1</v>
      </c>
      <c r="P62">
        <v>1.460906505584717</v>
      </c>
    </row>
    <row r="63" spans="1:16" x14ac:dyDescent="0.25">
      <c r="A63" t="s">
        <v>202</v>
      </c>
      <c r="B63" t="s">
        <v>88</v>
      </c>
      <c r="C63">
        <v>0</v>
      </c>
      <c r="D63">
        <v>1</v>
      </c>
      <c r="E63">
        <v>1</v>
      </c>
      <c r="F63">
        <v>1</v>
      </c>
      <c r="G63">
        <v>1</v>
      </c>
      <c r="H63">
        <v>1</v>
      </c>
      <c r="I63">
        <v>1</v>
      </c>
      <c r="J63">
        <v>1</v>
      </c>
      <c r="K63">
        <v>1</v>
      </c>
      <c r="L63">
        <v>1</v>
      </c>
      <c r="M63">
        <v>1</v>
      </c>
      <c r="N63">
        <v>1</v>
      </c>
      <c r="P63">
        <v>1.902177095413208</v>
      </c>
    </row>
    <row r="64" spans="1:16" x14ac:dyDescent="0.25">
      <c r="A64" t="s">
        <v>202</v>
      </c>
      <c r="B64" t="s">
        <v>89</v>
      </c>
      <c r="C64">
        <v>0</v>
      </c>
      <c r="D64">
        <v>1</v>
      </c>
      <c r="E64">
        <v>1</v>
      </c>
      <c r="F64">
        <v>1</v>
      </c>
      <c r="G64">
        <v>1</v>
      </c>
      <c r="H64">
        <v>1</v>
      </c>
      <c r="I64">
        <v>0</v>
      </c>
      <c r="J64">
        <v>1</v>
      </c>
      <c r="K64">
        <v>1</v>
      </c>
      <c r="L64">
        <v>1</v>
      </c>
      <c r="M64">
        <v>1</v>
      </c>
      <c r="N64">
        <v>1</v>
      </c>
      <c r="O64" t="s">
        <v>177</v>
      </c>
      <c r="P64">
        <v>2.2608993053436279</v>
      </c>
    </row>
    <row r="65" spans="1:16" x14ac:dyDescent="0.25">
      <c r="A65" t="s">
        <v>202</v>
      </c>
      <c r="B65" t="s">
        <v>91</v>
      </c>
      <c r="C65">
        <v>0</v>
      </c>
      <c r="D65">
        <v>1</v>
      </c>
      <c r="E65">
        <v>1</v>
      </c>
      <c r="F65">
        <v>1</v>
      </c>
      <c r="G65">
        <v>1</v>
      </c>
      <c r="H65">
        <v>1</v>
      </c>
      <c r="I65">
        <v>1</v>
      </c>
      <c r="J65">
        <v>1</v>
      </c>
      <c r="K65">
        <v>1</v>
      </c>
      <c r="L65">
        <v>1</v>
      </c>
      <c r="M65">
        <v>1</v>
      </c>
      <c r="N65">
        <v>1</v>
      </c>
      <c r="P65">
        <v>1.534653425216675</v>
      </c>
    </row>
    <row r="66" spans="1:16" x14ac:dyDescent="0.25">
      <c r="A66" t="s">
        <v>202</v>
      </c>
      <c r="B66" t="s">
        <v>92</v>
      </c>
      <c r="C66">
        <v>0</v>
      </c>
      <c r="D66">
        <v>1</v>
      </c>
      <c r="E66">
        <v>1</v>
      </c>
      <c r="F66">
        <v>1</v>
      </c>
      <c r="G66">
        <v>1</v>
      </c>
      <c r="H66">
        <v>1</v>
      </c>
      <c r="I66">
        <v>0</v>
      </c>
      <c r="J66">
        <v>1</v>
      </c>
      <c r="K66">
        <v>1</v>
      </c>
      <c r="L66">
        <v>1</v>
      </c>
      <c r="M66">
        <v>1</v>
      </c>
      <c r="N66">
        <v>1</v>
      </c>
      <c r="O66" t="s">
        <v>178</v>
      </c>
      <c r="P66">
        <v>3.1932375431060791</v>
      </c>
    </row>
    <row r="67" spans="1:16" x14ac:dyDescent="0.25">
      <c r="A67" t="s">
        <v>202</v>
      </c>
      <c r="B67" t="s">
        <v>94</v>
      </c>
      <c r="C67">
        <v>0</v>
      </c>
      <c r="D67">
        <v>1</v>
      </c>
      <c r="E67">
        <v>1</v>
      </c>
      <c r="F67">
        <v>0</v>
      </c>
      <c r="G67">
        <v>1</v>
      </c>
      <c r="H67">
        <v>1</v>
      </c>
      <c r="I67">
        <v>1</v>
      </c>
      <c r="J67">
        <v>0</v>
      </c>
      <c r="K67">
        <v>1</v>
      </c>
      <c r="L67">
        <v>1</v>
      </c>
      <c r="M67">
        <v>1</v>
      </c>
      <c r="N67">
        <v>1</v>
      </c>
      <c r="O67" t="s">
        <v>179</v>
      </c>
      <c r="P67">
        <v>3.0789599418640141</v>
      </c>
    </row>
    <row r="68" spans="1:16" x14ac:dyDescent="0.25">
      <c r="A68" t="s">
        <v>202</v>
      </c>
      <c r="B68" t="s">
        <v>96</v>
      </c>
      <c r="C68">
        <v>0</v>
      </c>
      <c r="D68">
        <v>1</v>
      </c>
      <c r="E68">
        <v>1</v>
      </c>
      <c r="F68">
        <v>1</v>
      </c>
      <c r="G68">
        <v>1</v>
      </c>
      <c r="H68">
        <v>1</v>
      </c>
      <c r="I68">
        <v>1</v>
      </c>
      <c r="J68">
        <v>1</v>
      </c>
      <c r="K68">
        <v>1</v>
      </c>
      <c r="L68">
        <v>1</v>
      </c>
      <c r="M68">
        <v>1</v>
      </c>
      <c r="N68">
        <v>1</v>
      </c>
      <c r="P68">
        <v>2.1408827304840088</v>
      </c>
    </row>
    <row r="69" spans="1:16" x14ac:dyDescent="0.25">
      <c r="A69" t="s">
        <v>202</v>
      </c>
      <c r="B69" t="s">
        <v>97</v>
      </c>
      <c r="C69">
        <v>0</v>
      </c>
      <c r="D69">
        <v>1</v>
      </c>
      <c r="E69">
        <v>1</v>
      </c>
      <c r="F69">
        <v>1</v>
      </c>
      <c r="G69">
        <v>1</v>
      </c>
      <c r="H69">
        <v>1</v>
      </c>
      <c r="I69">
        <v>1</v>
      </c>
      <c r="J69">
        <v>1</v>
      </c>
      <c r="K69">
        <v>1</v>
      </c>
      <c r="L69">
        <v>1</v>
      </c>
      <c r="M69">
        <v>1</v>
      </c>
      <c r="N69">
        <v>1</v>
      </c>
      <c r="P69">
        <v>2.1540741920471191</v>
      </c>
    </row>
    <row r="70" spans="1:16" x14ac:dyDescent="0.25">
      <c r="A70" t="s">
        <v>202</v>
      </c>
      <c r="B70" t="s">
        <v>98</v>
      </c>
      <c r="C70">
        <v>0</v>
      </c>
      <c r="D70">
        <v>1</v>
      </c>
      <c r="E70">
        <v>1</v>
      </c>
      <c r="F70">
        <v>1</v>
      </c>
      <c r="G70">
        <v>1</v>
      </c>
      <c r="H70">
        <v>1</v>
      </c>
      <c r="I70">
        <v>1</v>
      </c>
      <c r="J70">
        <v>1</v>
      </c>
      <c r="K70">
        <v>1</v>
      </c>
      <c r="L70">
        <v>1</v>
      </c>
      <c r="M70">
        <v>1</v>
      </c>
      <c r="N70">
        <v>1</v>
      </c>
      <c r="P70">
        <v>1.5588004589080811</v>
      </c>
    </row>
    <row r="71" spans="1:16" x14ac:dyDescent="0.25">
      <c r="A71" t="s">
        <v>202</v>
      </c>
      <c r="B71" t="s">
        <v>99</v>
      </c>
      <c r="C71">
        <v>0</v>
      </c>
      <c r="D71">
        <v>1</v>
      </c>
      <c r="E71">
        <v>1</v>
      </c>
      <c r="F71">
        <v>1</v>
      </c>
      <c r="G71">
        <v>1</v>
      </c>
      <c r="H71">
        <v>1</v>
      </c>
      <c r="I71">
        <v>1</v>
      </c>
      <c r="J71">
        <v>1</v>
      </c>
      <c r="K71">
        <v>1</v>
      </c>
      <c r="L71">
        <v>1</v>
      </c>
      <c r="M71">
        <v>1</v>
      </c>
      <c r="N71">
        <v>1</v>
      </c>
      <c r="P71">
        <v>1.5173506736755371</v>
      </c>
    </row>
    <row r="72" spans="1:16" x14ac:dyDescent="0.25">
      <c r="A72" t="s">
        <v>202</v>
      </c>
      <c r="B72" t="s">
        <v>100</v>
      </c>
      <c r="C72">
        <v>0</v>
      </c>
      <c r="D72">
        <v>1</v>
      </c>
      <c r="E72">
        <v>1</v>
      </c>
      <c r="F72">
        <v>1</v>
      </c>
      <c r="G72">
        <v>1</v>
      </c>
      <c r="H72">
        <v>1</v>
      </c>
      <c r="I72">
        <v>1</v>
      </c>
      <c r="J72">
        <v>1</v>
      </c>
      <c r="K72">
        <v>1</v>
      </c>
      <c r="L72">
        <v>1</v>
      </c>
      <c r="M72">
        <v>1</v>
      </c>
      <c r="N72">
        <v>1</v>
      </c>
      <c r="P72">
        <v>1.945312976837158</v>
      </c>
    </row>
    <row r="73" spans="1:16" x14ac:dyDescent="0.25">
      <c r="A73" t="s">
        <v>202</v>
      </c>
      <c r="B73" t="s">
        <v>101</v>
      </c>
      <c r="C73">
        <v>0</v>
      </c>
      <c r="D73">
        <v>1</v>
      </c>
      <c r="E73">
        <v>1</v>
      </c>
      <c r="F73">
        <v>1</v>
      </c>
      <c r="G73">
        <v>1</v>
      </c>
      <c r="H73">
        <v>1</v>
      </c>
      <c r="I73">
        <v>1</v>
      </c>
      <c r="J73">
        <v>1</v>
      </c>
      <c r="K73">
        <v>1</v>
      </c>
      <c r="L73">
        <v>1</v>
      </c>
      <c r="M73">
        <v>1</v>
      </c>
      <c r="N73">
        <v>1</v>
      </c>
      <c r="P73">
        <v>1.7431163787841799</v>
      </c>
    </row>
    <row r="74" spans="1:16" x14ac:dyDescent="0.25">
      <c r="A74" t="s">
        <v>202</v>
      </c>
      <c r="B74" t="s">
        <v>102</v>
      </c>
      <c r="C74">
        <v>0</v>
      </c>
      <c r="D74">
        <v>1</v>
      </c>
      <c r="E74">
        <v>0</v>
      </c>
      <c r="F74">
        <v>1</v>
      </c>
      <c r="G74">
        <v>1</v>
      </c>
      <c r="H74">
        <v>1</v>
      </c>
      <c r="I74">
        <v>1</v>
      </c>
      <c r="J74">
        <v>1</v>
      </c>
      <c r="K74">
        <v>1</v>
      </c>
      <c r="L74">
        <v>1</v>
      </c>
      <c r="M74">
        <v>1</v>
      </c>
      <c r="N74">
        <v>1</v>
      </c>
      <c r="O74" t="s">
        <v>180</v>
      </c>
      <c r="P74">
        <v>4.1380846500396729</v>
      </c>
    </row>
    <row r="75" spans="1:16" x14ac:dyDescent="0.25">
      <c r="A75" t="s">
        <v>202</v>
      </c>
      <c r="B75" t="s">
        <v>103</v>
      </c>
      <c r="C75">
        <v>0</v>
      </c>
      <c r="D75">
        <v>1</v>
      </c>
      <c r="E75">
        <v>1</v>
      </c>
      <c r="F75">
        <v>1</v>
      </c>
      <c r="G75">
        <v>1</v>
      </c>
      <c r="H75">
        <v>1</v>
      </c>
      <c r="I75">
        <v>1</v>
      </c>
      <c r="J75">
        <v>1</v>
      </c>
      <c r="K75">
        <v>1</v>
      </c>
      <c r="L75">
        <v>1</v>
      </c>
      <c r="M75">
        <v>1</v>
      </c>
      <c r="N75">
        <v>1</v>
      </c>
      <c r="P75">
        <v>1.4111776351928711</v>
      </c>
    </row>
    <row r="76" spans="1:16" x14ac:dyDescent="0.25">
      <c r="A76" t="s">
        <v>202</v>
      </c>
      <c r="B76" t="s">
        <v>104</v>
      </c>
      <c r="C76">
        <v>0</v>
      </c>
      <c r="D76">
        <v>1</v>
      </c>
      <c r="E76">
        <v>1</v>
      </c>
      <c r="F76">
        <v>1</v>
      </c>
      <c r="G76">
        <v>1</v>
      </c>
      <c r="H76">
        <v>1</v>
      </c>
      <c r="I76">
        <v>1</v>
      </c>
      <c r="J76">
        <v>1</v>
      </c>
      <c r="K76">
        <v>1</v>
      </c>
      <c r="L76">
        <v>1</v>
      </c>
      <c r="M76">
        <v>1</v>
      </c>
      <c r="N76">
        <v>1</v>
      </c>
      <c r="P76">
        <v>1.734214305877686</v>
      </c>
    </row>
    <row r="77" spans="1:16" x14ac:dyDescent="0.25">
      <c r="A77" t="s">
        <v>202</v>
      </c>
      <c r="B77" t="s">
        <v>105</v>
      </c>
      <c r="C77">
        <v>0</v>
      </c>
      <c r="D77">
        <v>1</v>
      </c>
      <c r="E77">
        <v>1</v>
      </c>
      <c r="F77">
        <v>1</v>
      </c>
      <c r="G77">
        <v>1</v>
      </c>
      <c r="H77">
        <v>1</v>
      </c>
      <c r="I77">
        <v>1</v>
      </c>
      <c r="J77">
        <v>1</v>
      </c>
      <c r="K77">
        <v>1</v>
      </c>
      <c r="L77">
        <v>1</v>
      </c>
      <c r="M77">
        <v>1</v>
      </c>
      <c r="N77">
        <v>1</v>
      </c>
      <c r="P77">
        <v>1.547170877456665</v>
      </c>
    </row>
    <row r="78" spans="1:16" x14ac:dyDescent="0.25">
      <c r="A78" t="s">
        <v>202</v>
      </c>
      <c r="B78" t="s">
        <v>106</v>
      </c>
      <c r="C78">
        <v>0</v>
      </c>
      <c r="D78">
        <v>1</v>
      </c>
      <c r="E78">
        <v>1</v>
      </c>
      <c r="F78">
        <v>1</v>
      </c>
      <c r="G78">
        <v>1</v>
      </c>
      <c r="H78">
        <v>1</v>
      </c>
      <c r="I78">
        <v>1</v>
      </c>
      <c r="J78">
        <v>1</v>
      </c>
      <c r="K78">
        <v>1</v>
      </c>
      <c r="L78">
        <v>1</v>
      </c>
      <c r="M78">
        <v>1</v>
      </c>
      <c r="N78">
        <v>1</v>
      </c>
      <c r="P78">
        <v>1.349367618560791</v>
      </c>
    </row>
    <row r="79" spans="1:16" x14ac:dyDescent="0.25">
      <c r="A79" t="s">
        <v>202</v>
      </c>
      <c r="B79" t="s">
        <v>107</v>
      </c>
      <c r="C79">
        <v>0</v>
      </c>
      <c r="D79">
        <v>1</v>
      </c>
      <c r="E79">
        <v>1</v>
      </c>
      <c r="F79">
        <v>1</v>
      </c>
      <c r="G79">
        <v>1</v>
      </c>
      <c r="H79">
        <v>1</v>
      </c>
      <c r="I79">
        <v>1</v>
      </c>
      <c r="J79">
        <v>1</v>
      </c>
      <c r="K79">
        <v>1</v>
      </c>
      <c r="L79">
        <v>1</v>
      </c>
      <c r="M79">
        <v>1</v>
      </c>
      <c r="N79">
        <v>1</v>
      </c>
      <c r="P79">
        <v>2.2225468158721919</v>
      </c>
    </row>
    <row r="80" spans="1:16" x14ac:dyDescent="0.25">
      <c r="A80" t="s">
        <v>202</v>
      </c>
      <c r="B80" t="s">
        <v>108</v>
      </c>
      <c r="C80">
        <v>0</v>
      </c>
      <c r="D80">
        <v>1</v>
      </c>
      <c r="E80">
        <v>1</v>
      </c>
      <c r="F80">
        <v>1</v>
      </c>
      <c r="G80">
        <v>1</v>
      </c>
      <c r="H80">
        <v>1</v>
      </c>
      <c r="I80">
        <v>1</v>
      </c>
      <c r="J80">
        <v>1</v>
      </c>
      <c r="K80">
        <v>1</v>
      </c>
      <c r="L80">
        <v>1</v>
      </c>
      <c r="M80">
        <v>1</v>
      </c>
      <c r="N80">
        <v>1</v>
      </c>
      <c r="P80">
        <v>1.4406290054321289</v>
      </c>
    </row>
    <row r="81" spans="1:16" x14ac:dyDescent="0.25">
      <c r="A81" t="s">
        <v>202</v>
      </c>
      <c r="B81" t="s">
        <v>109</v>
      </c>
      <c r="C81">
        <v>0</v>
      </c>
      <c r="D81">
        <v>1</v>
      </c>
      <c r="E81">
        <v>0</v>
      </c>
      <c r="F81">
        <v>0</v>
      </c>
      <c r="G81">
        <v>1</v>
      </c>
      <c r="H81">
        <v>1</v>
      </c>
      <c r="I81">
        <v>1</v>
      </c>
      <c r="J81">
        <v>0</v>
      </c>
      <c r="K81">
        <v>1</v>
      </c>
      <c r="L81">
        <v>1</v>
      </c>
      <c r="M81">
        <v>1</v>
      </c>
      <c r="N81">
        <v>1</v>
      </c>
      <c r="O81" t="s">
        <v>181</v>
      </c>
      <c r="P81">
        <v>4.0985920429229736</v>
      </c>
    </row>
    <row r="82" spans="1:16" x14ac:dyDescent="0.25">
      <c r="A82" t="s">
        <v>202</v>
      </c>
      <c r="B82" t="s">
        <v>111</v>
      </c>
      <c r="C82">
        <v>0</v>
      </c>
      <c r="D82">
        <v>1</v>
      </c>
      <c r="E82">
        <v>1</v>
      </c>
      <c r="F82">
        <v>1</v>
      </c>
      <c r="G82">
        <v>1</v>
      </c>
      <c r="H82">
        <v>1</v>
      </c>
      <c r="I82">
        <v>1</v>
      </c>
      <c r="J82">
        <v>1</v>
      </c>
      <c r="K82">
        <v>1</v>
      </c>
      <c r="L82">
        <v>1</v>
      </c>
      <c r="M82">
        <v>1</v>
      </c>
      <c r="N82">
        <v>1</v>
      </c>
      <c r="P82">
        <v>1.6442785263061519</v>
      </c>
    </row>
    <row r="83" spans="1:16" x14ac:dyDescent="0.25">
      <c r="A83" t="s">
        <v>202</v>
      </c>
      <c r="B83" t="s">
        <v>112</v>
      </c>
      <c r="C83">
        <v>0</v>
      </c>
      <c r="D83">
        <v>1</v>
      </c>
      <c r="E83">
        <v>1</v>
      </c>
      <c r="F83">
        <v>1</v>
      </c>
      <c r="G83">
        <v>1</v>
      </c>
      <c r="H83">
        <v>1</v>
      </c>
      <c r="I83">
        <v>1</v>
      </c>
      <c r="J83">
        <v>1</v>
      </c>
      <c r="K83">
        <v>1</v>
      </c>
      <c r="L83">
        <v>1</v>
      </c>
      <c r="M83">
        <v>1</v>
      </c>
      <c r="N83">
        <v>1</v>
      </c>
      <c r="P83">
        <v>1.7319657802581789</v>
      </c>
    </row>
    <row r="84" spans="1:16" x14ac:dyDescent="0.25">
      <c r="A84" t="s">
        <v>202</v>
      </c>
      <c r="B84" t="s">
        <v>113</v>
      </c>
      <c r="C84">
        <v>0</v>
      </c>
      <c r="D84">
        <v>1</v>
      </c>
      <c r="E84">
        <v>1</v>
      </c>
      <c r="F84">
        <v>1</v>
      </c>
      <c r="G84">
        <v>1</v>
      </c>
      <c r="H84">
        <v>1</v>
      </c>
      <c r="I84">
        <v>1</v>
      </c>
      <c r="J84">
        <v>1</v>
      </c>
      <c r="K84">
        <v>1</v>
      </c>
      <c r="L84">
        <v>1</v>
      </c>
      <c r="M84">
        <v>1</v>
      </c>
      <c r="N84">
        <v>1</v>
      </c>
      <c r="P84">
        <v>1.8421528339385991</v>
      </c>
    </row>
    <row r="85" spans="1:16" x14ac:dyDescent="0.25">
      <c r="A85" t="s">
        <v>202</v>
      </c>
      <c r="B85" t="s">
        <v>114</v>
      </c>
      <c r="C85">
        <v>0</v>
      </c>
      <c r="D85">
        <v>1</v>
      </c>
      <c r="E85">
        <v>1</v>
      </c>
      <c r="F85">
        <v>1</v>
      </c>
      <c r="G85">
        <v>1</v>
      </c>
      <c r="H85">
        <v>1</v>
      </c>
      <c r="I85">
        <v>1</v>
      </c>
      <c r="J85">
        <v>1</v>
      </c>
      <c r="K85">
        <v>1</v>
      </c>
      <c r="L85">
        <v>1</v>
      </c>
      <c r="M85">
        <v>1</v>
      </c>
      <c r="N85">
        <v>1</v>
      </c>
      <c r="P85">
        <v>1.954575300216675</v>
      </c>
    </row>
    <row r="86" spans="1:16" x14ac:dyDescent="0.25">
      <c r="A86" t="s">
        <v>202</v>
      </c>
      <c r="B86" t="s">
        <v>115</v>
      </c>
      <c r="C86">
        <v>0</v>
      </c>
      <c r="D86">
        <v>1</v>
      </c>
      <c r="E86">
        <v>1</v>
      </c>
      <c r="F86">
        <v>1</v>
      </c>
      <c r="G86">
        <v>1</v>
      </c>
      <c r="H86">
        <v>1</v>
      </c>
      <c r="I86">
        <v>1</v>
      </c>
      <c r="J86">
        <v>1</v>
      </c>
      <c r="K86">
        <v>1</v>
      </c>
      <c r="L86">
        <v>1</v>
      </c>
      <c r="M86">
        <v>1</v>
      </c>
      <c r="N86">
        <v>1</v>
      </c>
      <c r="P86">
        <v>1.846063375473022</v>
      </c>
    </row>
    <row r="87" spans="1:16" x14ac:dyDescent="0.25">
      <c r="A87" t="s">
        <v>202</v>
      </c>
      <c r="B87" t="s">
        <v>116</v>
      </c>
      <c r="C87">
        <v>0</v>
      </c>
      <c r="D87">
        <v>1</v>
      </c>
      <c r="E87">
        <v>1</v>
      </c>
      <c r="F87">
        <v>1</v>
      </c>
      <c r="G87">
        <v>1</v>
      </c>
      <c r="H87">
        <v>1</v>
      </c>
      <c r="I87">
        <v>1</v>
      </c>
      <c r="J87">
        <v>1</v>
      </c>
      <c r="K87">
        <v>1</v>
      </c>
      <c r="L87">
        <v>1</v>
      </c>
      <c r="M87">
        <v>1</v>
      </c>
      <c r="N87">
        <v>1</v>
      </c>
      <c r="P87">
        <v>2.5786077976226811</v>
      </c>
    </row>
    <row r="88" spans="1:16" x14ac:dyDescent="0.25">
      <c r="A88" t="s">
        <v>202</v>
      </c>
      <c r="B88" t="s">
        <v>117</v>
      </c>
      <c r="C88">
        <v>0</v>
      </c>
      <c r="D88">
        <v>1</v>
      </c>
      <c r="E88">
        <v>1</v>
      </c>
      <c r="F88">
        <v>1</v>
      </c>
      <c r="G88">
        <v>1</v>
      </c>
      <c r="H88">
        <v>1</v>
      </c>
      <c r="I88">
        <v>1</v>
      </c>
      <c r="J88">
        <v>1</v>
      </c>
      <c r="K88">
        <v>1</v>
      </c>
      <c r="L88">
        <v>1</v>
      </c>
      <c r="M88">
        <v>1</v>
      </c>
      <c r="N88">
        <v>1</v>
      </c>
      <c r="P88">
        <v>1.6154625415802</v>
      </c>
    </row>
    <row r="89" spans="1:16" x14ac:dyDescent="0.25">
      <c r="A89" t="s">
        <v>202</v>
      </c>
      <c r="B89" t="s">
        <v>118</v>
      </c>
      <c r="C89">
        <v>0</v>
      </c>
      <c r="D89">
        <v>1</v>
      </c>
      <c r="E89">
        <v>1</v>
      </c>
      <c r="F89">
        <v>1</v>
      </c>
      <c r="G89">
        <v>1</v>
      </c>
      <c r="H89">
        <v>1</v>
      </c>
      <c r="I89">
        <v>1</v>
      </c>
      <c r="J89">
        <v>1</v>
      </c>
      <c r="K89">
        <v>1</v>
      </c>
      <c r="L89">
        <v>1</v>
      </c>
      <c r="M89">
        <v>1</v>
      </c>
      <c r="N89">
        <v>1</v>
      </c>
      <c r="P89">
        <v>2.3724913597106929</v>
      </c>
    </row>
    <row r="90" spans="1:16" x14ac:dyDescent="0.25">
      <c r="A90" t="s">
        <v>202</v>
      </c>
      <c r="B90" t="s">
        <v>119</v>
      </c>
      <c r="C90">
        <v>0</v>
      </c>
      <c r="D90">
        <v>1</v>
      </c>
      <c r="E90">
        <v>1</v>
      </c>
      <c r="F90">
        <v>1</v>
      </c>
      <c r="G90">
        <v>1</v>
      </c>
      <c r="H90">
        <v>1</v>
      </c>
      <c r="I90">
        <v>1</v>
      </c>
      <c r="J90">
        <v>1</v>
      </c>
      <c r="K90">
        <v>1</v>
      </c>
      <c r="L90">
        <v>1</v>
      </c>
      <c r="M90">
        <v>1</v>
      </c>
      <c r="N90">
        <v>1</v>
      </c>
      <c r="P90">
        <v>1.328978300094604</v>
      </c>
    </row>
    <row r="91" spans="1:16" x14ac:dyDescent="0.25">
      <c r="A91" t="s">
        <v>202</v>
      </c>
      <c r="B91" t="s">
        <v>120</v>
      </c>
      <c r="C91">
        <v>0</v>
      </c>
      <c r="D91">
        <v>1</v>
      </c>
      <c r="E91">
        <v>1</v>
      </c>
      <c r="F91">
        <v>1</v>
      </c>
      <c r="G91">
        <v>1</v>
      </c>
      <c r="H91">
        <v>1</v>
      </c>
      <c r="I91">
        <v>1</v>
      </c>
      <c r="J91">
        <v>1</v>
      </c>
      <c r="K91">
        <v>1</v>
      </c>
      <c r="L91">
        <v>1</v>
      </c>
      <c r="M91">
        <v>1</v>
      </c>
      <c r="N91">
        <v>1</v>
      </c>
      <c r="P91">
        <v>1.4261512756347661</v>
      </c>
    </row>
    <row r="92" spans="1:16" x14ac:dyDescent="0.25">
      <c r="A92" t="s">
        <v>202</v>
      </c>
      <c r="B92" t="s">
        <v>121</v>
      </c>
      <c r="C92">
        <v>0</v>
      </c>
      <c r="D92">
        <v>1</v>
      </c>
      <c r="E92">
        <v>1</v>
      </c>
      <c r="F92">
        <v>1</v>
      </c>
      <c r="G92">
        <v>1</v>
      </c>
      <c r="H92">
        <v>1</v>
      </c>
      <c r="I92">
        <v>1</v>
      </c>
      <c r="J92">
        <v>1</v>
      </c>
      <c r="K92">
        <v>1</v>
      </c>
      <c r="L92">
        <v>1</v>
      </c>
      <c r="M92">
        <v>1</v>
      </c>
      <c r="N92">
        <v>1</v>
      </c>
      <c r="P92">
        <v>1.864478588104248</v>
      </c>
    </row>
    <row r="93" spans="1:16" x14ac:dyDescent="0.25">
      <c r="A93" t="s">
        <v>202</v>
      </c>
      <c r="B93" t="s">
        <v>122</v>
      </c>
      <c r="C93">
        <v>0</v>
      </c>
      <c r="D93">
        <v>1</v>
      </c>
      <c r="E93">
        <v>1</v>
      </c>
      <c r="F93">
        <v>1</v>
      </c>
      <c r="G93">
        <v>1</v>
      </c>
      <c r="H93">
        <v>1</v>
      </c>
      <c r="I93">
        <v>1</v>
      </c>
      <c r="J93">
        <v>1</v>
      </c>
      <c r="K93">
        <v>1</v>
      </c>
      <c r="L93">
        <v>1</v>
      </c>
      <c r="M93">
        <v>1</v>
      </c>
      <c r="N93">
        <v>1</v>
      </c>
      <c r="P93">
        <v>1.4117915630340581</v>
      </c>
    </row>
    <row r="94" spans="1:16" x14ac:dyDescent="0.25">
      <c r="A94" t="s">
        <v>202</v>
      </c>
      <c r="B94" t="s">
        <v>123</v>
      </c>
      <c r="C94">
        <v>0</v>
      </c>
      <c r="D94">
        <v>1</v>
      </c>
      <c r="E94">
        <v>1</v>
      </c>
      <c r="F94">
        <v>1</v>
      </c>
      <c r="G94">
        <v>1</v>
      </c>
      <c r="H94">
        <v>1</v>
      </c>
      <c r="I94">
        <v>1</v>
      </c>
      <c r="J94">
        <v>1</v>
      </c>
      <c r="K94">
        <v>1</v>
      </c>
      <c r="L94">
        <v>1</v>
      </c>
      <c r="M94">
        <v>1</v>
      </c>
      <c r="N94">
        <v>1</v>
      </c>
      <c r="P94">
        <v>2.0573804378509521</v>
      </c>
    </row>
    <row r="95" spans="1:16" x14ac:dyDescent="0.25">
      <c r="A95" t="s">
        <v>202</v>
      </c>
      <c r="B95" t="s">
        <v>124</v>
      </c>
      <c r="C95">
        <v>0</v>
      </c>
      <c r="D95">
        <v>1</v>
      </c>
      <c r="E95">
        <v>1</v>
      </c>
      <c r="F95">
        <v>1</v>
      </c>
      <c r="G95">
        <v>1</v>
      </c>
      <c r="H95">
        <v>1</v>
      </c>
      <c r="I95">
        <v>1</v>
      </c>
      <c r="J95">
        <v>1</v>
      </c>
      <c r="K95">
        <v>1</v>
      </c>
      <c r="L95">
        <v>1</v>
      </c>
      <c r="M95">
        <v>1</v>
      </c>
      <c r="N95">
        <v>1</v>
      </c>
      <c r="P95">
        <v>1.5419962406158449</v>
      </c>
    </row>
    <row r="96" spans="1:16" x14ac:dyDescent="0.25">
      <c r="A96" t="s">
        <v>202</v>
      </c>
      <c r="B96" t="s">
        <v>125</v>
      </c>
      <c r="C96">
        <v>0</v>
      </c>
      <c r="D96">
        <v>1</v>
      </c>
      <c r="E96">
        <v>1</v>
      </c>
      <c r="F96">
        <v>1</v>
      </c>
      <c r="G96">
        <v>1</v>
      </c>
      <c r="H96">
        <v>1</v>
      </c>
      <c r="I96">
        <v>1</v>
      </c>
      <c r="J96">
        <v>1</v>
      </c>
      <c r="K96">
        <v>1</v>
      </c>
      <c r="L96">
        <v>1</v>
      </c>
      <c r="M96">
        <v>1</v>
      </c>
      <c r="N96">
        <v>1</v>
      </c>
      <c r="P96">
        <v>1.4241206645965581</v>
      </c>
    </row>
    <row r="97" spans="1:16" x14ac:dyDescent="0.25">
      <c r="A97" t="s">
        <v>202</v>
      </c>
      <c r="B97" t="s">
        <v>126</v>
      </c>
      <c r="C97">
        <v>0</v>
      </c>
      <c r="D97">
        <v>1</v>
      </c>
      <c r="E97">
        <v>1</v>
      </c>
      <c r="F97">
        <v>1</v>
      </c>
      <c r="G97">
        <v>1</v>
      </c>
      <c r="H97">
        <v>1</v>
      </c>
      <c r="I97">
        <v>1</v>
      </c>
      <c r="J97">
        <v>1</v>
      </c>
      <c r="K97">
        <v>1</v>
      </c>
      <c r="L97">
        <v>1</v>
      </c>
      <c r="M97">
        <v>1</v>
      </c>
      <c r="N97">
        <v>1</v>
      </c>
      <c r="P97">
        <v>1.8387811183929439</v>
      </c>
    </row>
    <row r="98" spans="1:16" x14ac:dyDescent="0.25">
      <c r="A98" t="s">
        <v>202</v>
      </c>
      <c r="B98" t="s">
        <v>127</v>
      </c>
      <c r="C98">
        <v>0</v>
      </c>
      <c r="D98">
        <v>1</v>
      </c>
      <c r="E98">
        <v>1</v>
      </c>
      <c r="F98">
        <v>1</v>
      </c>
      <c r="G98">
        <v>1</v>
      </c>
      <c r="H98">
        <v>1</v>
      </c>
      <c r="I98">
        <v>1</v>
      </c>
      <c r="J98">
        <v>1</v>
      </c>
      <c r="K98">
        <v>1</v>
      </c>
      <c r="L98">
        <v>1</v>
      </c>
      <c r="M98">
        <v>1</v>
      </c>
      <c r="N98">
        <v>1</v>
      </c>
      <c r="P98">
        <v>1.53330397605896</v>
      </c>
    </row>
    <row r="99" spans="1:16" x14ac:dyDescent="0.25">
      <c r="A99" t="s">
        <v>202</v>
      </c>
      <c r="B99" t="s">
        <v>128</v>
      </c>
      <c r="C99">
        <v>0</v>
      </c>
      <c r="D99">
        <v>1</v>
      </c>
      <c r="E99">
        <v>0</v>
      </c>
      <c r="F99">
        <v>1</v>
      </c>
      <c r="G99">
        <v>1</v>
      </c>
      <c r="H99">
        <v>1</v>
      </c>
      <c r="I99">
        <v>1</v>
      </c>
      <c r="J99">
        <v>1</v>
      </c>
      <c r="K99">
        <v>1</v>
      </c>
      <c r="L99">
        <v>1</v>
      </c>
      <c r="M99">
        <v>1</v>
      </c>
      <c r="N99">
        <v>1</v>
      </c>
      <c r="O99" t="s">
        <v>182</v>
      </c>
      <c r="P99">
        <v>3.0744600296020508</v>
      </c>
    </row>
    <row r="100" spans="1:16" x14ac:dyDescent="0.25">
      <c r="A100" t="s">
        <v>202</v>
      </c>
      <c r="B100" t="s">
        <v>130</v>
      </c>
      <c r="C100">
        <v>0</v>
      </c>
      <c r="D100">
        <v>1</v>
      </c>
      <c r="E100">
        <v>1</v>
      </c>
      <c r="F100">
        <v>1</v>
      </c>
      <c r="G100">
        <v>1</v>
      </c>
      <c r="H100">
        <v>1</v>
      </c>
      <c r="I100">
        <v>1</v>
      </c>
      <c r="J100">
        <v>1</v>
      </c>
      <c r="K100">
        <v>1</v>
      </c>
      <c r="L100">
        <v>1</v>
      </c>
      <c r="M100">
        <v>1</v>
      </c>
      <c r="N100">
        <v>1</v>
      </c>
      <c r="P100">
        <v>1.4617071151733401</v>
      </c>
    </row>
    <row r="101" spans="1:16" x14ac:dyDescent="0.25">
      <c r="A101" t="s">
        <v>202</v>
      </c>
      <c r="B101" t="s">
        <v>131</v>
      </c>
      <c r="C101">
        <v>0</v>
      </c>
      <c r="D101">
        <v>0</v>
      </c>
      <c r="E101">
        <v>0</v>
      </c>
      <c r="F101">
        <v>0</v>
      </c>
      <c r="G101">
        <v>1</v>
      </c>
      <c r="H101">
        <v>1</v>
      </c>
      <c r="I101">
        <v>1</v>
      </c>
      <c r="J101">
        <v>0</v>
      </c>
      <c r="K101">
        <v>0</v>
      </c>
      <c r="L101">
        <v>0</v>
      </c>
      <c r="M101">
        <v>1</v>
      </c>
      <c r="N101">
        <v>1</v>
      </c>
      <c r="O101" t="s">
        <v>183</v>
      </c>
      <c r="P101">
        <v>4.5896098613739014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01"/>
  <sheetViews>
    <sheetView workbookViewId="0">
      <selection activeCell="A2" sqref="A2:A101"/>
    </sheetView>
  </sheetViews>
  <sheetFormatPr defaultRowHeight="13.8"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202</v>
      </c>
      <c r="B2" t="s">
        <v>16</v>
      </c>
      <c r="C2">
        <v>0</v>
      </c>
      <c r="D2">
        <v>1</v>
      </c>
      <c r="E2">
        <v>1</v>
      </c>
      <c r="F2">
        <v>1</v>
      </c>
      <c r="G2">
        <v>1</v>
      </c>
      <c r="H2">
        <v>1</v>
      </c>
      <c r="I2">
        <v>1</v>
      </c>
      <c r="J2">
        <v>1</v>
      </c>
      <c r="K2">
        <v>1</v>
      </c>
      <c r="L2">
        <v>1</v>
      </c>
      <c r="M2">
        <v>1</v>
      </c>
      <c r="N2">
        <v>1</v>
      </c>
      <c r="P2">
        <v>1.5354950428009031</v>
      </c>
    </row>
    <row r="3" spans="1:16" x14ac:dyDescent="0.25">
      <c r="A3" t="s">
        <v>202</v>
      </c>
      <c r="B3" t="s">
        <v>17</v>
      </c>
      <c r="C3">
        <v>0</v>
      </c>
      <c r="D3">
        <v>1</v>
      </c>
      <c r="E3">
        <v>1</v>
      </c>
      <c r="F3">
        <v>1</v>
      </c>
      <c r="G3">
        <v>1</v>
      </c>
      <c r="H3">
        <v>1</v>
      </c>
      <c r="I3">
        <v>1</v>
      </c>
      <c r="J3">
        <v>1</v>
      </c>
      <c r="K3">
        <v>1</v>
      </c>
      <c r="L3">
        <v>1</v>
      </c>
      <c r="M3">
        <v>1</v>
      </c>
      <c r="N3">
        <v>1</v>
      </c>
      <c r="P3">
        <v>1.4433422088623049</v>
      </c>
    </row>
    <row r="4" spans="1:16" x14ac:dyDescent="0.25">
      <c r="A4" t="s">
        <v>202</v>
      </c>
      <c r="B4" t="s">
        <v>19</v>
      </c>
      <c r="C4">
        <v>0</v>
      </c>
      <c r="D4">
        <v>1</v>
      </c>
      <c r="E4">
        <v>1</v>
      </c>
      <c r="F4">
        <v>1</v>
      </c>
      <c r="G4">
        <v>1</v>
      </c>
      <c r="H4">
        <v>1</v>
      </c>
      <c r="I4">
        <v>1</v>
      </c>
      <c r="J4">
        <v>1</v>
      </c>
      <c r="K4">
        <v>1</v>
      </c>
      <c r="L4">
        <v>1</v>
      </c>
      <c r="M4">
        <v>1</v>
      </c>
      <c r="N4">
        <v>1</v>
      </c>
      <c r="P4">
        <v>1.64307165145874</v>
      </c>
    </row>
    <row r="5" spans="1:16" x14ac:dyDescent="0.25">
      <c r="A5" t="s">
        <v>202</v>
      </c>
      <c r="B5" t="s">
        <v>20</v>
      </c>
      <c r="C5">
        <v>0</v>
      </c>
      <c r="D5">
        <v>1</v>
      </c>
      <c r="E5">
        <v>1</v>
      </c>
      <c r="F5">
        <v>1</v>
      </c>
      <c r="G5">
        <v>1</v>
      </c>
      <c r="H5">
        <v>1</v>
      </c>
      <c r="I5">
        <v>1</v>
      </c>
      <c r="J5">
        <v>1</v>
      </c>
      <c r="K5">
        <v>1</v>
      </c>
      <c r="L5">
        <v>1</v>
      </c>
      <c r="M5">
        <v>1</v>
      </c>
      <c r="N5">
        <v>1</v>
      </c>
      <c r="P5">
        <v>1.6684436798095701</v>
      </c>
    </row>
    <row r="6" spans="1:16" x14ac:dyDescent="0.25">
      <c r="A6" t="s">
        <v>202</v>
      </c>
      <c r="B6" t="s">
        <v>21</v>
      </c>
      <c r="C6">
        <v>0</v>
      </c>
      <c r="D6">
        <v>1</v>
      </c>
      <c r="E6">
        <v>1</v>
      </c>
      <c r="F6">
        <v>1</v>
      </c>
      <c r="G6">
        <v>1</v>
      </c>
      <c r="H6">
        <v>1</v>
      </c>
      <c r="I6">
        <v>1</v>
      </c>
      <c r="J6">
        <v>1</v>
      </c>
      <c r="K6">
        <v>1</v>
      </c>
      <c r="L6">
        <v>1</v>
      </c>
      <c r="M6">
        <v>1</v>
      </c>
      <c r="N6">
        <v>1</v>
      </c>
      <c r="P6">
        <v>2.0273478031158452</v>
      </c>
    </row>
    <row r="7" spans="1:16" x14ac:dyDescent="0.25">
      <c r="A7" t="s">
        <v>202</v>
      </c>
      <c r="B7" t="s">
        <v>22</v>
      </c>
      <c r="C7">
        <v>0</v>
      </c>
      <c r="D7">
        <v>1</v>
      </c>
      <c r="E7">
        <v>1</v>
      </c>
      <c r="F7">
        <v>1</v>
      </c>
      <c r="G7">
        <v>1</v>
      </c>
      <c r="H7">
        <v>1</v>
      </c>
      <c r="I7">
        <v>1</v>
      </c>
      <c r="J7">
        <v>1</v>
      </c>
      <c r="K7">
        <v>1</v>
      </c>
      <c r="L7">
        <v>1</v>
      </c>
      <c r="M7">
        <v>1</v>
      </c>
      <c r="N7">
        <v>1</v>
      </c>
      <c r="P7">
        <v>1.451894283294678</v>
      </c>
    </row>
    <row r="8" spans="1:16" x14ac:dyDescent="0.25">
      <c r="A8" t="s">
        <v>202</v>
      </c>
      <c r="B8" t="s">
        <v>23</v>
      </c>
      <c r="C8">
        <v>0</v>
      </c>
      <c r="D8">
        <v>1</v>
      </c>
      <c r="E8">
        <v>1</v>
      </c>
      <c r="F8">
        <v>1</v>
      </c>
      <c r="G8">
        <v>1</v>
      </c>
      <c r="H8">
        <v>1</v>
      </c>
      <c r="I8">
        <v>1</v>
      </c>
      <c r="J8">
        <v>1</v>
      </c>
      <c r="K8">
        <v>1</v>
      </c>
      <c r="L8">
        <v>1</v>
      </c>
      <c r="M8">
        <v>1</v>
      </c>
      <c r="N8">
        <v>1</v>
      </c>
      <c r="P8">
        <v>2.3503081798553471</v>
      </c>
    </row>
    <row r="9" spans="1:16" x14ac:dyDescent="0.25">
      <c r="A9" t="s">
        <v>202</v>
      </c>
      <c r="B9" t="s">
        <v>24</v>
      </c>
      <c r="C9">
        <v>0</v>
      </c>
      <c r="D9">
        <v>1</v>
      </c>
      <c r="E9">
        <v>1</v>
      </c>
      <c r="F9">
        <v>1</v>
      </c>
      <c r="G9">
        <v>1</v>
      </c>
      <c r="H9">
        <v>1</v>
      </c>
      <c r="I9">
        <v>1</v>
      </c>
      <c r="J9">
        <v>1</v>
      </c>
      <c r="K9">
        <v>1</v>
      </c>
      <c r="L9">
        <v>1</v>
      </c>
      <c r="M9">
        <v>1</v>
      </c>
      <c r="N9">
        <v>1</v>
      </c>
      <c r="P9">
        <v>1.34052038192749</v>
      </c>
    </row>
    <row r="10" spans="1:16" x14ac:dyDescent="0.25">
      <c r="A10" t="s">
        <v>202</v>
      </c>
      <c r="B10" t="s">
        <v>25</v>
      </c>
      <c r="C10">
        <v>0</v>
      </c>
      <c r="D10">
        <v>1</v>
      </c>
      <c r="E10">
        <v>1</v>
      </c>
      <c r="F10">
        <v>1</v>
      </c>
      <c r="G10">
        <v>1</v>
      </c>
      <c r="H10">
        <v>1</v>
      </c>
      <c r="I10">
        <v>1</v>
      </c>
      <c r="J10">
        <v>1</v>
      </c>
      <c r="K10">
        <v>1</v>
      </c>
      <c r="L10">
        <v>1</v>
      </c>
      <c r="M10">
        <v>1</v>
      </c>
      <c r="N10">
        <v>1</v>
      </c>
      <c r="P10">
        <v>2.147740364074707</v>
      </c>
    </row>
    <row r="11" spans="1:16" x14ac:dyDescent="0.25">
      <c r="A11" t="s">
        <v>202</v>
      </c>
      <c r="B11" t="s">
        <v>26</v>
      </c>
      <c r="C11">
        <v>0</v>
      </c>
      <c r="D11">
        <v>1</v>
      </c>
      <c r="E11">
        <v>1</v>
      </c>
      <c r="F11">
        <v>1</v>
      </c>
      <c r="G11">
        <v>1</v>
      </c>
      <c r="H11">
        <v>1</v>
      </c>
      <c r="I11">
        <v>1</v>
      </c>
      <c r="J11">
        <v>1</v>
      </c>
      <c r="K11">
        <v>1</v>
      </c>
      <c r="L11">
        <v>1</v>
      </c>
      <c r="M11">
        <v>1</v>
      </c>
      <c r="N11">
        <v>1</v>
      </c>
      <c r="P11">
        <v>3.0851109027862549</v>
      </c>
    </row>
    <row r="12" spans="1:16" x14ac:dyDescent="0.25">
      <c r="A12" t="s">
        <v>202</v>
      </c>
      <c r="B12" t="s">
        <v>27</v>
      </c>
      <c r="C12">
        <v>0</v>
      </c>
      <c r="D12">
        <v>1</v>
      </c>
      <c r="E12">
        <v>0</v>
      </c>
      <c r="F12">
        <v>1</v>
      </c>
      <c r="G12">
        <v>1</v>
      </c>
      <c r="H12">
        <v>1</v>
      </c>
      <c r="I12">
        <v>1</v>
      </c>
      <c r="J12">
        <v>1</v>
      </c>
      <c r="K12">
        <v>1</v>
      </c>
      <c r="L12">
        <v>1</v>
      </c>
      <c r="M12">
        <v>1</v>
      </c>
      <c r="N12">
        <v>1</v>
      </c>
      <c r="O12" t="s">
        <v>184</v>
      </c>
      <c r="P12">
        <v>2.3609168529510498</v>
      </c>
    </row>
    <row r="13" spans="1:16" x14ac:dyDescent="0.25">
      <c r="A13" t="s">
        <v>202</v>
      </c>
      <c r="B13" t="s">
        <v>29</v>
      </c>
      <c r="C13">
        <v>0</v>
      </c>
      <c r="D13">
        <v>1</v>
      </c>
      <c r="E13">
        <v>1</v>
      </c>
      <c r="F13">
        <v>1</v>
      </c>
      <c r="G13">
        <v>1</v>
      </c>
      <c r="H13">
        <v>1</v>
      </c>
      <c r="I13">
        <v>1</v>
      </c>
      <c r="J13">
        <v>1</v>
      </c>
      <c r="K13">
        <v>1</v>
      </c>
      <c r="L13">
        <v>1</v>
      </c>
      <c r="M13">
        <v>1</v>
      </c>
      <c r="N13">
        <v>1</v>
      </c>
      <c r="P13">
        <v>1.3451828956603999</v>
      </c>
    </row>
    <row r="14" spans="1:16" x14ac:dyDescent="0.25">
      <c r="A14" t="s">
        <v>202</v>
      </c>
      <c r="B14" t="s">
        <v>30</v>
      </c>
      <c r="C14">
        <v>0</v>
      </c>
      <c r="D14">
        <v>1</v>
      </c>
      <c r="E14">
        <v>1</v>
      </c>
      <c r="F14">
        <v>1</v>
      </c>
      <c r="G14">
        <v>1</v>
      </c>
      <c r="H14">
        <v>1</v>
      </c>
      <c r="I14">
        <v>1</v>
      </c>
      <c r="J14">
        <v>1</v>
      </c>
      <c r="K14">
        <v>1</v>
      </c>
      <c r="L14">
        <v>1</v>
      </c>
      <c r="M14">
        <v>1</v>
      </c>
      <c r="N14">
        <v>1</v>
      </c>
      <c r="P14">
        <v>2.0411274433135991</v>
      </c>
    </row>
    <row r="15" spans="1:16" x14ac:dyDescent="0.25">
      <c r="A15" t="s">
        <v>202</v>
      </c>
      <c r="B15" t="s">
        <v>31</v>
      </c>
      <c r="C15">
        <v>0</v>
      </c>
      <c r="D15">
        <v>1</v>
      </c>
      <c r="E15">
        <v>1</v>
      </c>
      <c r="F15">
        <v>0</v>
      </c>
      <c r="G15">
        <v>1</v>
      </c>
      <c r="H15">
        <v>1</v>
      </c>
      <c r="I15">
        <v>1</v>
      </c>
      <c r="J15">
        <v>0</v>
      </c>
      <c r="K15">
        <v>1</v>
      </c>
      <c r="L15">
        <v>1</v>
      </c>
      <c r="M15">
        <v>1</v>
      </c>
      <c r="N15">
        <v>1</v>
      </c>
      <c r="O15" t="s">
        <v>185</v>
      </c>
      <c r="P15">
        <v>2.9808940887451172</v>
      </c>
    </row>
    <row r="16" spans="1:16" x14ac:dyDescent="0.25">
      <c r="A16" t="s">
        <v>202</v>
      </c>
      <c r="B16" t="s">
        <v>33</v>
      </c>
      <c r="C16">
        <v>0</v>
      </c>
      <c r="D16">
        <v>1</v>
      </c>
      <c r="E16">
        <v>0</v>
      </c>
      <c r="F16">
        <v>1</v>
      </c>
      <c r="G16">
        <v>1</v>
      </c>
      <c r="H16">
        <v>1</v>
      </c>
      <c r="I16">
        <v>1</v>
      </c>
      <c r="J16">
        <v>1</v>
      </c>
      <c r="K16">
        <v>1</v>
      </c>
      <c r="L16">
        <v>1</v>
      </c>
      <c r="M16">
        <v>1</v>
      </c>
      <c r="N16">
        <v>1</v>
      </c>
      <c r="O16" t="s">
        <v>186</v>
      </c>
      <c r="P16">
        <v>6.3048510551452637</v>
      </c>
    </row>
    <row r="17" spans="1:16" x14ac:dyDescent="0.25">
      <c r="A17" t="s">
        <v>202</v>
      </c>
      <c r="B17" t="s">
        <v>35</v>
      </c>
      <c r="C17">
        <v>0</v>
      </c>
      <c r="D17">
        <v>1</v>
      </c>
      <c r="E17">
        <v>1</v>
      </c>
      <c r="F17">
        <v>1</v>
      </c>
      <c r="G17">
        <v>1</v>
      </c>
      <c r="H17">
        <v>1</v>
      </c>
      <c r="I17">
        <v>1</v>
      </c>
      <c r="J17">
        <v>1</v>
      </c>
      <c r="K17">
        <v>1</v>
      </c>
      <c r="L17">
        <v>1</v>
      </c>
      <c r="M17">
        <v>1</v>
      </c>
      <c r="N17">
        <v>1</v>
      </c>
      <c r="P17">
        <v>1.8227460384368901</v>
      </c>
    </row>
    <row r="18" spans="1:16" x14ac:dyDescent="0.25">
      <c r="A18" t="s">
        <v>202</v>
      </c>
      <c r="B18" t="s">
        <v>36</v>
      </c>
      <c r="C18">
        <v>0</v>
      </c>
      <c r="D18">
        <v>1</v>
      </c>
      <c r="E18">
        <v>1</v>
      </c>
      <c r="F18">
        <v>1</v>
      </c>
      <c r="G18">
        <v>1</v>
      </c>
      <c r="H18">
        <v>1</v>
      </c>
      <c r="I18">
        <v>1</v>
      </c>
      <c r="J18">
        <v>1</v>
      </c>
      <c r="K18">
        <v>1</v>
      </c>
      <c r="L18">
        <v>1</v>
      </c>
      <c r="M18">
        <v>1</v>
      </c>
      <c r="N18">
        <v>1</v>
      </c>
      <c r="P18">
        <v>2.5585396289825439</v>
      </c>
    </row>
    <row r="19" spans="1:16" x14ac:dyDescent="0.25">
      <c r="A19" t="s">
        <v>202</v>
      </c>
      <c r="B19" t="s">
        <v>37</v>
      </c>
      <c r="C19">
        <v>0</v>
      </c>
      <c r="D19">
        <v>1</v>
      </c>
      <c r="E19">
        <v>1</v>
      </c>
      <c r="F19">
        <v>1</v>
      </c>
      <c r="G19">
        <v>0</v>
      </c>
      <c r="H19">
        <v>1</v>
      </c>
      <c r="I19">
        <v>1</v>
      </c>
      <c r="J19">
        <v>1</v>
      </c>
      <c r="K19">
        <v>1</v>
      </c>
      <c r="L19">
        <v>1</v>
      </c>
      <c r="M19">
        <v>1</v>
      </c>
      <c r="N19">
        <v>1</v>
      </c>
      <c r="O19" t="s">
        <v>187</v>
      </c>
      <c r="P19">
        <v>2.0686697959899898</v>
      </c>
    </row>
    <row r="20" spans="1:16" x14ac:dyDescent="0.25">
      <c r="A20" t="s">
        <v>202</v>
      </c>
      <c r="B20" t="s">
        <v>39</v>
      </c>
      <c r="C20">
        <v>0</v>
      </c>
      <c r="D20">
        <v>1</v>
      </c>
      <c r="E20">
        <v>1</v>
      </c>
      <c r="F20">
        <v>1</v>
      </c>
      <c r="G20">
        <v>1</v>
      </c>
      <c r="H20">
        <v>1</v>
      </c>
      <c r="I20">
        <v>1</v>
      </c>
      <c r="J20">
        <v>1</v>
      </c>
      <c r="K20">
        <v>1</v>
      </c>
      <c r="L20">
        <v>1</v>
      </c>
      <c r="M20">
        <v>1</v>
      </c>
      <c r="N20">
        <v>1</v>
      </c>
      <c r="P20">
        <v>2.555891752243042</v>
      </c>
    </row>
    <row r="21" spans="1:16" x14ac:dyDescent="0.25">
      <c r="A21" t="s">
        <v>202</v>
      </c>
      <c r="B21" t="s">
        <v>40</v>
      </c>
      <c r="C21">
        <v>0</v>
      </c>
      <c r="D21">
        <v>1</v>
      </c>
      <c r="E21">
        <v>1</v>
      </c>
      <c r="F21">
        <v>1</v>
      </c>
      <c r="G21">
        <v>1</v>
      </c>
      <c r="H21">
        <v>1</v>
      </c>
      <c r="I21">
        <v>1</v>
      </c>
      <c r="J21">
        <v>1</v>
      </c>
      <c r="K21">
        <v>1</v>
      </c>
      <c r="L21">
        <v>1</v>
      </c>
      <c r="M21">
        <v>1</v>
      </c>
      <c r="N21">
        <v>1</v>
      </c>
      <c r="P21">
        <v>1.531256437301636</v>
      </c>
    </row>
    <row r="22" spans="1:16" x14ac:dyDescent="0.25">
      <c r="A22" t="s">
        <v>202</v>
      </c>
      <c r="B22" t="s">
        <v>41</v>
      </c>
      <c r="C22">
        <v>0</v>
      </c>
      <c r="D22">
        <v>1</v>
      </c>
      <c r="E22">
        <v>1</v>
      </c>
      <c r="F22">
        <v>1</v>
      </c>
      <c r="G22">
        <v>1</v>
      </c>
      <c r="H22">
        <v>1</v>
      </c>
      <c r="I22">
        <v>1</v>
      </c>
      <c r="J22">
        <v>1</v>
      </c>
      <c r="K22">
        <v>1</v>
      </c>
      <c r="L22">
        <v>1</v>
      </c>
      <c r="M22">
        <v>1</v>
      </c>
      <c r="N22">
        <v>1</v>
      </c>
      <c r="P22">
        <v>1.643160820007324</v>
      </c>
    </row>
    <row r="23" spans="1:16" x14ac:dyDescent="0.25">
      <c r="A23" t="s">
        <v>202</v>
      </c>
      <c r="B23" t="s">
        <v>42</v>
      </c>
      <c r="C23">
        <v>0</v>
      </c>
      <c r="D23">
        <v>1</v>
      </c>
      <c r="E23">
        <v>1</v>
      </c>
      <c r="F23">
        <v>1</v>
      </c>
      <c r="G23">
        <v>1</v>
      </c>
      <c r="H23">
        <v>1</v>
      </c>
      <c r="I23">
        <v>1</v>
      </c>
      <c r="J23">
        <v>1</v>
      </c>
      <c r="K23">
        <v>1</v>
      </c>
      <c r="L23">
        <v>1</v>
      </c>
      <c r="M23">
        <v>1</v>
      </c>
      <c r="N23">
        <v>1</v>
      </c>
      <c r="P23">
        <v>1.4406566619873049</v>
      </c>
    </row>
    <row r="24" spans="1:16" x14ac:dyDescent="0.25">
      <c r="A24" t="s">
        <v>202</v>
      </c>
      <c r="B24" t="s">
        <v>43</v>
      </c>
      <c r="C24">
        <v>0</v>
      </c>
      <c r="D24">
        <v>1</v>
      </c>
      <c r="E24">
        <v>0</v>
      </c>
      <c r="F24">
        <v>1</v>
      </c>
      <c r="G24">
        <v>1</v>
      </c>
      <c r="H24">
        <v>0</v>
      </c>
      <c r="I24">
        <v>1</v>
      </c>
      <c r="J24">
        <v>1</v>
      </c>
      <c r="K24">
        <v>1</v>
      </c>
      <c r="L24">
        <v>1</v>
      </c>
      <c r="M24">
        <v>1</v>
      </c>
      <c r="N24">
        <v>1</v>
      </c>
      <c r="O24" t="s">
        <v>188</v>
      </c>
      <c r="P24">
        <v>3.5868127346038818</v>
      </c>
    </row>
    <row r="25" spans="1:16" x14ac:dyDescent="0.25">
      <c r="A25" t="s">
        <v>202</v>
      </c>
      <c r="B25" t="s">
        <v>45</v>
      </c>
      <c r="C25">
        <v>0</v>
      </c>
      <c r="D25">
        <v>1</v>
      </c>
      <c r="E25">
        <v>1</v>
      </c>
      <c r="F25">
        <v>1</v>
      </c>
      <c r="G25">
        <v>1</v>
      </c>
      <c r="H25">
        <v>1</v>
      </c>
      <c r="I25">
        <v>1</v>
      </c>
      <c r="J25">
        <v>1</v>
      </c>
      <c r="K25">
        <v>1</v>
      </c>
      <c r="L25">
        <v>1</v>
      </c>
      <c r="M25">
        <v>1</v>
      </c>
      <c r="N25">
        <v>1</v>
      </c>
      <c r="P25">
        <v>1.442184209823608</v>
      </c>
    </row>
    <row r="26" spans="1:16" x14ac:dyDescent="0.25">
      <c r="A26" t="s">
        <v>202</v>
      </c>
      <c r="B26" t="s">
        <v>46</v>
      </c>
      <c r="C26">
        <v>0</v>
      </c>
      <c r="D26">
        <v>1</v>
      </c>
      <c r="E26">
        <v>1</v>
      </c>
      <c r="F26">
        <v>1</v>
      </c>
      <c r="G26">
        <v>1</v>
      </c>
      <c r="H26">
        <v>1</v>
      </c>
      <c r="I26">
        <v>1</v>
      </c>
      <c r="J26">
        <v>1</v>
      </c>
      <c r="K26">
        <v>1</v>
      </c>
      <c r="L26">
        <v>1</v>
      </c>
      <c r="M26">
        <v>1</v>
      </c>
      <c r="N26">
        <v>1</v>
      </c>
      <c r="P26">
        <v>1.550669193267822</v>
      </c>
    </row>
    <row r="27" spans="1:16" x14ac:dyDescent="0.25">
      <c r="A27" t="s">
        <v>202</v>
      </c>
      <c r="B27" t="s">
        <v>47</v>
      </c>
      <c r="C27">
        <v>0</v>
      </c>
      <c r="D27">
        <v>1</v>
      </c>
      <c r="E27">
        <v>1</v>
      </c>
      <c r="F27">
        <v>1</v>
      </c>
      <c r="G27">
        <v>1</v>
      </c>
      <c r="H27">
        <v>1</v>
      </c>
      <c r="I27">
        <v>1</v>
      </c>
      <c r="J27">
        <v>1</v>
      </c>
      <c r="K27">
        <v>1</v>
      </c>
      <c r="L27">
        <v>1</v>
      </c>
      <c r="M27">
        <v>1</v>
      </c>
      <c r="N27">
        <v>1</v>
      </c>
      <c r="P27">
        <v>1.642335176467896</v>
      </c>
    </row>
    <row r="28" spans="1:16" x14ac:dyDescent="0.25">
      <c r="A28" t="s">
        <v>202</v>
      </c>
      <c r="B28" t="s">
        <v>48</v>
      </c>
      <c r="C28">
        <v>0</v>
      </c>
      <c r="D28">
        <v>1</v>
      </c>
      <c r="E28">
        <v>1</v>
      </c>
      <c r="F28">
        <v>1</v>
      </c>
      <c r="G28">
        <v>1</v>
      </c>
      <c r="H28">
        <v>1</v>
      </c>
      <c r="I28">
        <v>1</v>
      </c>
      <c r="J28">
        <v>1</v>
      </c>
      <c r="K28">
        <v>1</v>
      </c>
      <c r="L28">
        <v>1</v>
      </c>
      <c r="M28">
        <v>1</v>
      </c>
      <c r="N28">
        <v>1</v>
      </c>
      <c r="P28">
        <v>1.420441627502441</v>
      </c>
    </row>
    <row r="29" spans="1:16" x14ac:dyDescent="0.25">
      <c r="A29" t="s">
        <v>202</v>
      </c>
      <c r="B29" t="s">
        <v>49</v>
      </c>
      <c r="C29">
        <v>0</v>
      </c>
      <c r="D29">
        <v>1</v>
      </c>
      <c r="E29">
        <v>1</v>
      </c>
      <c r="F29">
        <v>1</v>
      </c>
      <c r="G29">
        <v>1</v>
      </c>
      <c r="H29">
        <v>1</v>
      </c>
      <c r="I29">
        <v>1</v>
      </c>
      <c r="J29">
        <v>1</v>
      </c>
      <c r="K29">
        <v>1</v>
      </c>
      <c r="L29">
        <v>1</v>
      </c>
      <c r="M29">
        <v>1</v>
      </c>
      <c r="N29">
        <v>1</v>
      </c>
      <c r="P29">
        <v>1.4557657241821289</v>
      </c>
    </row>
    <row r="30" spans="1:16" x14ac:dyDescent="0.25">
      <c r="A30" t="s">
        <v>202</v>
      </c>
      <c r="B30" t="s">
        <v>50</v>
      </c>
      <c r="C30">
        <v>0</v>
      </c>
      <c r="D30">
        <v>0</v>
      </c>
      <c r="E30">
        <v>1</v>
      </c>
      <c r="F30">
        <v>1</v>
      </c>
      <c r="G30">
        <v>1</v>
      </c>
      <c r="H30">
        <v>1</v>
      </c>
      <c r="I30">
        <v>1</v>
      </c>
      <c r="J30">
        <v>1</v>
      </c>
      <c r="K30">
        <v>1</v>
      </c>
      <c r="L30">
        <v>0</v>
      </c>
      <c r="M30">
        <v>1</v>
      </c>
      <c r="N30">
        <v>1</v>
      </c>
      <c r="O30" t="s">
        <v>189</v>
      </c>
      <c r="P30">
        <v>3.372370719909668</v>
      </c>
    </row>
    <row r="31" spans="1:16" x14ac:dyDescent="0.25">
      <c r="A31" t="s">
        <v>202</v>
      </c>
      <c r="B31" t="s">
        <v>52</v>
      </c>
      <c r="C31">
        <v>0</v>
      </c>
      <c r="D31">
        <v>1</v>
      </c>
      <c r="E31">
        <v>1</v>
      </c>
      <c r="F31">
        <v>1</v>
      </c>
      <c r="G31">
        <v>1</v>
      </c>
      <c r="H31">
        <v>1</v>
      </c>
      <c r="I31">
        <v>1</v>
      </c>
      <c r="J31">
        <v>1</v>
      </c>
      <c r="K31">
        <v>1</v>
      </c>
      <c r="L31">
        <v>1</v>
      </c>
      <c r="M31">
        <v>1</v>
      </c>
      <c r="N31">
        <v>1</v>
      </c>
      <c r="P31">
        <v>2.570320844650269</v>
      </c>
    </row>
    <row r="32" spans="1:16" x14ac:dyDescent="0.25">
      <c r="A32" t="s">
        <v>202</v>
      </c>
      <c r="B32" t="s">
        <v>53</v>
      </c>
      <c r="C32">
        <v>0</v>
      </c>
      <c r="D32">
        <v>1</v>
      </c>
      <c r="E32">
        <v>1</v>
      </c>
      <c r="F32">
        <v>1</v>
      </c>
      <c r="G32">
        <v>1</v>
      </c>
      <c r="H32">
        <v>1</v>
      </c>
      <c r="I32">
        <v>1</v>
      </c>
      <c r="J32">
        <v>1</v>
      </c>
      <c r="K32">
        <v>1</v>
      </c>
      <c r="L32">
        <v>1</v>
      </c>
      <c r="M32">
        <v>1</v>
      </c>
      <c r="N32">
        <v>1</v>
      </c>
      <c r="P32">
        <v>1.3373532295227051</v>
      </c>
    </row>
    <row r="33" spans="1:16" x14ac:dyDescent="0.25">
      <c r="A33" t="s">
        <v>202</v>
      </c>
      <c r="B33" t="s">
        <v>54</v>
      </c>
      <c r="C33">
        <v>0</v>
      </c>
      <c r="D33">
        <v>1</v>
      </c>
      <c r="E33">
        <v>1</v>
      </c>
      <c r="F33">
        <v>1</v>
      </c>
      <c r="G33">
        <v>1</v>
      </c>
      <c r="H33">
        <v>1</v>
      </c>
      <c r="I33">
        <v>0</v>
      </c>
      <c r="J33">
        <v>1</v>
      </c>
      <c r="K33">
        <v>1</v>
      </c>
      <c r="L33">
        <v>1</v>
      </c>
      <c r="M33">
        <v>1</v>
      </c>
      <c r="N33">
        <v>1</v>
      </c>
      <c r="O33" t="s">
        <v>190</v>
      </c>
      <c r="P33">
        <v>3.382463932037354</v>
      </c>
    </row>
    <row r="34" spans="1:16" x14ac:dyDescent="0.25">
      <c r="A34" t="s">
        <v>202</v>
      </c>
      <c r="B34" t="s">
        <v>55</v>
      </c>
      <c r="C34">
        <v>0</v>
      </c>
      <c r="D34">
        <v>1</v>
      </c>
      <c r="E34">
        <v>1</v>
      </c>
      <c r="F34">
        <v>1</v>
      </c>
      <c r="G34">
        <v>1</v>
      </c>
      <c r="H34">
        <v>1</v>
      </c>
      <c r="I34">
        <v>1</v>
      </c>
      <c r="J34">
        <v>1</v>
      </c>
      <c r="K34">
        <v>1</v>
      </c>
      <c r="L34">
        <v>1</v>
      </c>
      <c r="M34">
        <v>1</v>
      </c>
      <c r="N34">
        <v>1</v>
      </c>
      <c r="P34">
        <v>1.6382734775543211</v>
      </c>
    </row>
    <row r="35" spans="1:16" x14ac:dyDescent="0.25">
      <c r="A35" t="s">
        <v>202</v>
      </c>
      <c r="B35" t="s">
        <v>56</v>
      </c>
      <c r="C35">
        <v>0</v>
      </c>
      <c r="D35">
        <v>1</v>
      </c>
      <c r="E35">
        <v>1</v>
      </c>
      <c r="F35">
        <v>1</v>
      </c>
      <c r="G35">
        <v>1</v>
      </c>
      <c r="H35">
        <v>1</v>
      </c>
      <c r="I35">
        <v>1</v>
      </c>
      <c r="J35">
        <v>1</v>
      </c>
      <c r="K35">
        <v>1</v>
      </c>
      <c r="L35">
        <v>1</v>
      </c>
      <c r="M35">
        <v>1</v>
      </c>
      <c r="N35">
        <v>1</v>
      </c>
      <c r="P35">
        <v>1.456604957580566</v>
      </c>
    </row>
    <row r="36" spans="1:16" x14ac:dyDescent="0.25">
      <c r="A36" t="s">
        <v>202</v>
      </c>
      <c r="B36" t="s">
        <v>57</v>
      </c>
      <c r="C36">
        <v>0</v>
      </c>
      <c r="D36">
        <v>1</v>
      </c>
      <c r="E36">
        <v>1</v>
      </c>
      <c r="F36">
        <v>1</v>
      </c>
      <c r="G36">
        <v>1</v>
      </c>
      <c r="H36">
        <v>1</v>
      </c>
      <c r="I36">
        <v>1</v>
      </c>
      <c r="J36">
        <v>1</v>
      </c>
      <c r="K36">
        <v>1</v>
      </c>
      <c r="L36">
        <v>1</v>
      </c>
      <c r="M36">
        <v>1</v>
      </c>
      <c r="N36">
        <v>1</v>
      </c>
      <c r="P36">
        <v>1.9334273338317871</v>
      </c>
    </row>
    <row r="37" spans="1:16" x14ac:dyDescent="0.25">
      <c r="A37" t="s">
        <v>202</v>
      </c>
      <c r="B37" t="s">
        <v>58</v>
      </c>
      <c r="C37">
        <v>0</v>
      </c>
      <c r="D37">
        <v>1</v>
      </c>
      <c r="E37">
        <v>1</v>
      </c>
      <c r="F37">
        <v>1</v>
      </c>
      <c r="G37">
        <v>1</v>
      </c>
      <c r="H37">
        <v>1</v>
      </c>
      <c r="I37">
        <v>1</v>
      </c>
      <c r="J37">
        <v>1</v>
      </c>
      <c r="K37">
        <v>1</v>
      </c>
      <c r="L37">
        <v>1</v>
      </c>
      <c r="M37">
        <v>1</v>
      </c>
      <c r="N37">
        <v>1</v>
      </c>
      <c r="P37">
        <v>1.960075378417969</v>
      </c>
    </row>
    <row r="38" spans="1:16" x14ac:dyDescent="0.25">
      <c r="A38" t="s">
        <v>202</v>
      </c>
      <c r="B38" t="s">
        <v>59</v>
      </c>
      <c r="C38">
        <v>0</v>
      </c>
      <c r="D38">
        <v>1</v>
      </c>
      <c r="E38">
        <v>1</v>
      </c>
      <c r="F38">
        <v>1</v>
      </c>
      <c r="G38">
        <v>1</v>
      </c>
      <c r="H38">
        <v>1</v>
      </c>
      <c r="I38">
        <v>1</v>
      </c>
      <c r="J38">
        <v>1</v>
      </c>
      <c r="K38">
        <v>1</v>
      </c>
      <c r="L38">
        <v>1</v>
      </c>
      <c r="M38">
        <v>1</v>
      </c>
      <c r="N38">
        <v>1</v>
      </c>
      <c r="P38">
        <v>3.5266094207763672</v>
      </c>
    </row>
    <row r="39" spans="1:16" x14ac:dyDescent="0.25">
      <c r="A39" t="s">
        <v>202</v>
      </c>
      <c r="B39" t="s">
        <v>60</v>
      </c>
      <c r="C39">
        <v>0</v>
      </c>
      <c r="D39">
        <v>1</v>
      </c>
      <c r="E39">
        <v>1</v>
      </c>
      <c r="F39">
        <v>1</v>
      </c>
      <c r="G39">
        <v>1</v>
      </c>
      <c r="H39">
        <v>1</v>
      </c>
      <c r="I39">
        <v>1</v>
      </c>
      <c r="J39">
        <v>0</v>
      </c>
      <c r="K39">
        <v>1</v>
      </c>
      <c r="L39">
        <v>1</v>
      </c>
      <c r="M39">
        <v>1</v>
      </c>
      <c r="N39">
        <v>1</v>
      </c>
      <c r="O39" t="s">
        <v>191</v>
      </c>
      <c r="P39">
        <v>4.7793703079223633</v>
      </c>
    </row>
    <row r="40" spans="1:16" x14ac:dyDescent="0.25">
      <c r="A40" t="s">
        <v>202</v>
      </c>
      <c r="B40" t="s">
        <v>61</v>
      </c>
      <c r="C40">
        <v>0</v>
      </c>
      <c r="D40">
        <v>1</v>
      </c>
      <c r="E40">
        <v>1</v>
      </c>
      <c r="F40">
        <v>1</v>
      </c>
      <c r="G40">
        <v>1</v>
      </c>
      <c r="H40">
        <v>1</v>
      </c>
      <c r="I40">
        <v>1</v>
      </c>
      <c r="J40">
        <v>1</v>
      </c>
      <c r="K40">
        <v>1</v>
      </c>
      <c r="L40">
        <v>1</v>
      </c>
      <c r="M40">
        <v>1</v>
      </c>
      <c r="N40">
        <v>1</v>
      </c>
      <c r="P40">
        <v>2.4680416584014888</v>
      </c>
    </row>
    <row r="41" spans="1:16" x14ac:dyDescent="0.25">
      <c r="A41" t="s">
        <v>202</v>
      </c>
      <c r="B41" t="s">
        <v>62</v>
      </c>
      <c r="C41">
        <v>0</v>
      </c>
      <c r="D41">
        <v>1</v>
      </c>
      <c r="E41">
        <v>1</v>
      </c>
      <c r="F41">
        <v>1</v>
      </c>
      <c r="G41">
        <v>1</v>
      </c>
      <c r="H41">
        <v>1</v>
      </c>
      <c r="I41">
        <v>1</v>
      </c>
      <c r="J41">
        <v>1</v>
      </c>
      <c r="K41">
        <v>1</v>
      </c>
      <c r="L41">
        <v>1</v>
      </c>
      <c r="M41">
        <v>1</v>
      </c>
      <c r="N41">
        <v>1</v>
      </c>
      <c r="P41">
        <v>1.647362232208252</v>
      </c>
    </row>
    <row r="42" spans="1:16" x14ac:dyDescent="0.25">
      <c r="A42" t="s">
        <v>202</v>
      </c>
      <c r="B42" t="s">
        <v>63</v>
      </c>
      <c r="C42">
        <v>0</v>
      </c>
      <c r="D42">
        <v>1</v>
      </c>
      <c r="E42">
        <v>1</v>
      </c>
      <c r="F42">
        <v>1</v>
      </c>
      <c r="G42">
        <v>1</v>
      </c>
      <c r="H42">
        <v>1</v>
      </c>
      <c r="I42">
        <v>1</v>
      </c>
      <c r="J42">
        <v>1</v>
      </c>
      <c r="K42">
        <v>1</v>
      </c>
      <c r="L42">
        <v>1</v>
      </c>
      <c r="M42">
        <v>1</v>
      </c>
      <c r="N42">
        <v>1</v>
      </c>
      <c r="P42">
        <v>1.451617956161499</v>
      </c>
    </row>
    <row r="43" spans="1:16" x14ac:dyDescent="0.25">
      <c r="A43" t="s">
        <v>202</v>
      </c>
      <c r="B43" t="s">
        <v>64</v>
      </c>
      <c r="C43">
        <v>0</v>
      </c>
      <c r="D43">
        <v>1</v>
      </c>
      <c r="E43">
        <v>1</v>
      </c>
      <c r="F43">
        <v>1</v>
      </c>
      <c r="G43">
        <v>1</v>
      </c>
      <c r="H43">
        <v>1</v>
      </c>
      <c r="I43">
        <v>1</v>
      </c>
      <c r="J43">
        <v>1</v>
      </c>
      <c r="K43">
        <v>1</v>
      </c>
      <c r="L43">
        <v>1</v>
      </c>
      <c r="M43">
        <v>1</v>
      </c>
      <c r="N43">
        <v>1</v>
      </c>
      <c r="P43">
        <v>2.128355979919434</v>
      </c>
    </row>
    <row r="44" spans="1:16" x14ac:dyDescent="0.25">
      <c r="A44" t="s">
        <v>202</v>
      </c>
      <c r="B44" t="s">
        <v>65</v>
      </c>
      <c r="C44">
        <v>0</v>
      </c>
      <c r="D44">
        <v>1</v>
      </c>
      <c r="E44">
        <v>1</v>
      </c>
      <c r="F44">
        <v>1</v>
      </c>
      <c r="G44">
        <v>1</v>
      </c>
      <c r="H44">
        <v>1</v>
      </c>
      <c r="I44">
        <v>1</v>
      </c>
      <c r="J44">
        <v>1</v>
      </c>
      <c r="K44">
        <v>1</v>
      </c>
      <c r="L44">
        <v>1</v>
      </c>
      <c r="M44">
        <v>1</v>
      </c>
      <c r="N44">
        <v>1</v>
      </c>
      <c r="P44">
        <v>1.943073987960815</v>
      </c>
    </row>
    <row r="45" spans="1:16" x14ac:dyDescent="0.25">
      <c r="A45" t="s">
        <v>202</v>
      </c>
      <c r="B45" t="s">
        <v>66</v>
      </c>
      <c r="C45">
        <v>0</v>
      </c>
      <c r="D45">
        <v>1</v>
      </c>
      <c r="E45">
        <v>1</v>
      </c>
      <c r="F45">
        <v>1</v>
      </c>
      <c r="G45">
        <v>1</v>
      </c>
      <c r="H45">
        <v>1</v>
      </c>
      <c r="I45">
        <v>1</v>
      </c>
      <c r="J45">
        <v>1</v>
      </c>
      <c r="K45">
        <v>1</v>
      </c>
      <c r="L45">
        <v>1</v>
      </c>
      <c r="M45">
        <v>1</v>
      </c>
      <c r="N45">
        <v>1</v>
      </c>
      <c r="P45">
        <v>2.3569867610931401</v>
      </c>
    </row>
    <row r="46" spans="1:16" x14ac:dyDescent="0.25">
      <c r="A46" t="s">
        <v>202</v>
      </c>
      <c r="B46" t="s">
        <v>67</v>
      </c>
      <c r="C46">
        <v>0</v>
      </c>
      <c r="D46">
        <v>1</v>
      </c>
      <c r="E46">
        <v>1</v>
      </c>
      <c r="F46">
        <v>1</v>
      </c>
      <c r="G46">
        <v>1</v>
      </c>
      <c r="H46">
        <v>1</v>
      </c>
      <c r="I46">
        <v>1</v>
      </c>
      <c r="J46">
        <v>1</v>
      </c>
      <c r="K46">
        <v>1</v>
      </c>
      <c r="L46">
        <v>1</v>
      </c>
      <c r="M46">
        <v>1</v>
      </c>
      <c r="N46">
        <v>1</v>
      </c>
      <c r="P46">
        <v>1.7695531845092769</v>
      </c>
    </row>
    <row r="47" spans="1:16" x14ac:dyDescent="0.25">
      <c r="A47" t="s">
        <v>202</v>
      </c>
      <c r="B47" t="s">
        <v>68</v>
      </c>
      <c r="C47">
        <v>0</v>
      </c>
      <c r="D47">
        <v>1</v>
      </c>
      <c r="E47">
        <v>0</v>
      </c>
      <c r="F47">
        <v>1</v>
      </c>
      <c r="G47">
        <v>1</v>
      </c>
      <c r="H47">
        <v>1</v>
      </c>
      <c r="I47">
        <v>1</v>
      </c>
      <c r="J47">
        <v>1</v>
      </c>
      <c r="K47">
        <v>1</v>
      </c>
      <c r="L47">
        <v>1</v>
      </c>
      <c r="M47">
        <v>1</v>
      </c>
      <c r="N47">
        <v>1</v>
      </c>
      <c r="O47" t="s">
        <v>192</v>
      </c>
      <c r="P47">
        <v>3.681073665618896</v>
      </c>
    </row>
    <row r="48" spans="1:16" x14ac:dyDescent="0.25">
      <c r="A48" t="s">
        <v>202</v>
      </c>
      <c r="B48" t="s">
        <v>70</v>
      </c>
      <c r="C48">
        <v>0</v>
      </c>
      <c r="D48">
        <v>1</v>
      </c>
      <c r="E48">
        <v>1</v>
      </c>
      <c r="F48">
        <v>1</v>
      </c>
      <c r="G48">
        <v>1</v>
      </c>
      <c r="H48">
        <v>1</v>
      </c>
      <c r="I48">
        <v>1</v>
      </c>
      <c r="J48">
        <v>1</v>
      </c>
      <c r="K48">
        <v>1</v>
      </c>
      <c r="L48">
        <v>1</v>
      </c>
      <c r="M48">
        <v>1</v>
      </c>
      <c r="N48">
        <v>1</v>
      </c>
      <c r="P48">
        <v>1.338171720504761</v>
      </c>
    </row>
    <row r="49" spans="1:16" x14ac:dyDescent="0.25">
      <c r="A49" t="s">
        <v>202</v>
      </c>
      <c r="B49" t="s">
        <v>71</v>
      </c>
      <c r="C49">
        <v>0</v>
      </c>
      <c r="D49">
        <v>1</v>
      </c>
      <c r="E49">
        <v>1</v>
      </c>
      <c r="F49">
        <v>1</v>
      </c>
      <c r="G49">
        <v>1</v>
      </c>
      <c r="H49">
        <v>1</v>
      </c>
      <c r="I49">
        <v>1</v>
      </c>
      <c r="J49">
        <v>1</v>
      </c>
      <c r="K49">
        <v>1</v>
      </c>
      <c r="L49">
        <v>1</v>
      </c>
      <c r="M49">
        <v>1</v>
      </c>
      <c r="N49">
        <v>1</v>
      </c>
      <c r="P49">
        <v>1.7301290035247801</v>
      </c>
    </row>
    <row r="50" spans="1:16" x14ac:dyDescent="0.25">
      <c r="A50" t="s">
        <v>202</v>
      </c>
      <c r="B50" t="s">
        <v>72</v>
      </c>
      <c r="C50">
        <v>0</v>
      </c>
      <c r="D50">
        <v>1</v>
      </c>
      <c r="E50">
        <v>1</v>
      </c>
      <c r="F50">
        <v>1</v>
      </c>
      <c r="G50">
        <v>1</v>
      </c>
      <c r="H50">
        <v>1</v>
      </c>
      <c r="I50">
        <v>1</v>
      </c>
      <c r="J50">
        <v>1</v>
      </c>
      <c r="K50">
        <v>1</v>
      </c>
      <c r="L50">
        <v>1</v>
      </c>
      <c r="M50">
        <v>1</v>
      </c>
      <c r="N50">
        <v>1</v>
      </c>
      <c r="P50">
        <v>1.637163639068604</v>
      </c>
    </row>
    <row r="51" spans="1:16" x14ac:dyDescent="0.25">
      <c r="A51" t="s">
        <v>202</v>
      </c>
      <c r="B51" t="s">
        <v>73</v>
      </c>
      <c r="C51">
        <v>0</v>
      </c>
      <c r="D51">
        <v>1</v>
      </c>
      <c r="E51">
        <v>1</v>
      </c>
      <c r="F51">
        <v>1</v>
      </c>
      <c r="G51">
        <v>1</v>
      </c>
      <c r="H51">
        <v>1</v>
      </c>
      <c r="I51">
        <v>1</v>
      </c>
      <c r="J51">
        <v>1</v>
      </c>
      <c r="K51">
        <v>1</v>
      </c>
      <c r="L51">
        <v>1</v>
      </c>
      <c r="M51">
        <v>1</v>
      </c>
      <c r="N51">
        <v>1</v>
      </c>
      <c r="P51">
        <v>2.153945684432983</v>
      </c>
    </row>
    <row r="52" spans="1:16" x14ac:dyDescent="0.25">
      <c r="A52" t="s">
        <v>202</v>
      </c>
      <c r="B52" t="s">
        <v>74</v>
      </c>
      <c r="C52">
        <v>0</v>
      </c>
      <c r="D52">
        <v>1</v>
      </c>
      <c r="E52">
        <v>1</v>
      </c>
      <c r="F52">
        <v>1</v>
      </c>
      <c r="G52">
        <v>1</v>
      </c>
      <c r="H52">
        <v>1</v>
      </c>
      <c r="I52">
        <v>1</v>
      </c>
      <c r="J52">
        <v>1</v>
      </c>
      <c r="K52">
        <v>1</v>
      </c>
      <c r="L52">
        <v>1</v>
      </c>
      <c r="M52">
        <v>1</v>
      </c>
      <c r="N52">
        <v>1</v>
      </c>
      <c r="P52">
        <v>2.047845602035522</v>
      </c>
    </row>
    <row r="53" spans="1:16" x14ac:dyDescent="0.25">
      <c r="A53" t="s">
        <v>202</v>
      </c>
      <c r="B53" t="s">
        <v>75</v>
      </c>
      <c r="C53">
        <v>0</v>
      </c>
      <c r="D53">
        <v>1</v>
      </c>
      <c r="E53">
        <v>1</v>
      </c>
      <c r="F53">
        <v>1</v>
      </c>
      <c r="G53">
        <v>1</v>
      </c>
      <c r="H53">
        <v>1</v>
      </c>
      <c r="I53">
        <v>1</v>
      </c>
      <c r="J53">
        <v>1</v>
      </c>
      <c r="K53">
        <v>1</v>
      </c>
      <c r="L53">
        <v>1</v>
      </c>
      <c r="M53">
        <v>1</v>
      </c>
      <c r="N53">
        <v>1</v>
      </c>
      <c r="P53">
        <v>1.3646092414855959</v>
      </c>
    </row>
    <row r="54" spans="1:16" x14ac:dyDescent="0.25">
      <c r="A54" t="s">
        <v>202</v>
      </c>
      <c r="B54" t="s">
        <v>76</v>
      </c>
      <c r="C54">
        <v>0</v>
      </c>
      <c r="D54">
        <v>1</v>
      </c>
      <c r="E54">
        <v>1</v>
      </c>
      <c r="F54">
        <v>1</v>
      </c>
      <c r="G54">
        <v>1</v>
      </c>
      <c r="H54">
        <v>1</v>
      </c>
      <c r="I54">
        <v>1</v>
      </c>
      <c r="J54">
        <v>1</v>
      </c>
      <c r="K54">
        <v>1</v>
      </c>
      <c r="L54">
        <v>1</v>
      </c>
      <c r="M54">
        <v>1</v>
      </c>
      <c r="N54">
        <v>1</v>
      </c>
      <c r="P54">
        <v>1.822752952575684</v>
      </c>
    </row>
    <row r="55" spans="1:16" x14ac:dyDescent="0.25">
      <c r="A55" t="s">
        <v>202</v>
      </c>
      <c r="B55" t="s">
        <v>77</v>
      </c>
      <c r="C55">
        <v>0</v>
      </c>
      <c r="D55">
        <v>1</v>
      </c>
      <c r="E55">
        <v>1</v>
      </c>
      <c r="F55">
        <v>1</v>
      </c>
      <c r="G55">
        <v>1</v>
      </c>
      <c r="H55">
        <v>1</v>
      </c>
      <c r="I55">
        <v>0</v>
      </c>
      <c r="J55">
        <v>1</v>
      </c>
      <c r="K55">
        <v>1</v>
      </c>
      <c r="L55">
        <v>0</v>
      </c>
      <c r="M55">
        <v>1</v>
      </c>
      <c r="N55">
        <v>1</v>
      </c>
      <c r="O55" t="s">
        <v>193</v>
      </c>
      <c r="P55">
        <v>3.9114723205566411</v>
      </c>
    </row>
    <row r="56" spans="1:16" x14ac:dyDescent="0.25">
      <c r="A56" t="s">
        <v>202</v>
      </c>
      <c r="B56" t="s">
        <v>79</v>
      </c>
      <c r="C56">
        <v>0</v>
      </c>
      <c r="D56">
        <v>1</v>
      </c>
      <c r="E56">
        <v>1</v>
      </c>
      <c r="F56">
        <v>1</v>
      </c>
      <c r="G56">
        <v>1</v>
      </c>
      <c r="H56">
        <v>1</v>
      </c>
      <c r="I56">
        <v>1</v>
      </c>
      <c r="J56">
        <v>1</v>
      </c>
      <c r="K56">
        <v>1</v>
      </c>
      <c r="L56">
        <v>1</v>
      </c>
      <c r="M56">
        <v>1</v>
      </c>
      <c r="N56">
        <v>1</v>
      </c>
      <c r="P56">
        <v>1.5955808162689209</v>
      </c>
    </row>
    <row r="57" spans="1:16" x14ac:dyDescent="0.25">
      <c r="A57" t="s">
        <v>202</v>
      </c>
      <c r="B57" t="s">
        <v>81</v>
      </c>
      <c r="C57">
        <v>0</v>
      </c>
      <c r="D57">
        <v>1</v>
      </c>
      <c r="E57">
        <v>1</v>
      </c>
      <c r="F57">
        <v>1</v>
      </c>
      <c r="G57">
        <v>1</v>
      </c>
      <c r="H57">
        <v>1</v>
      </c>
      <c r="I57">
        <v>1</v>
      </c>
      <c r="J57">
        <v>1</v>
      </c>
      <c r="K57">
        <v>1</v>
      </c>
      <c r="L57">
        <v>1</v>
      </c>
      <c r="M57">
        <v>1</v>
      </c>
      <c r="N57">
        <v>1</v>
      </c>
      <c r="P57">
        <v>1.595645666122437</v>
      </c>
    </row>
    <row r="58" spans="1:16" x14ac:dyDescent="0.25">
      <c r="A58" t="s">
        <v>202</v>
      </c>
      <c r="B58" t="s">
        <v>82</v>
      </c>
      <c r="C58">
        <v>0</v>
      </c>
      <c r="D58">
        <v>1</v>
      </c>
      <c r="E58">
        <v>1</v>
      </c>
      <c r="F58">
        <v>1</v>
      </c>
      <c r="G58">
        <v>1</v>
      </c>
      <c r="H58">
        <v>1</v>
      </c>
      <c r="I58">
        <v>1</v>
      </c>
      <c r="J58">
        <v>1</v>
      </c>
      <c r="K58">
        <v>1</v>
      </c>
      <c r="L58">
        <v>1</v>
      </c>
      <c r="M58">
        <v>1</v>
      </c>
      <c r="N58">
        <v>1</v>
      </c>
      <c r="P58">
        <v>1.417935371398926</v>
      </c>
    </row>
    <row r="59" spans="1:16" x14ac:dyDescent="0.25">
      <c r="A59" t="s">
        <v>202</v>
      </c>
      <c r="B59" t="s">
        <v>83</v>
      </c>
      <c r="C59">
        <v>0</v>
      </c>
      <c r="D59">
        <v>1</v>
      </c>
      <c r="E59">
        <v>1</v>
      </c>
      <c r="F59">
        <v>1</v>
      </c>
      <c r="G59">
        <v>1</v>
      </c>
      <c r="H59">
        <v>1</v>
      </c>
      <c r="I59">
        <v>1</v>
      </c>
      <c r="J59">
        <v>1</v>
      </c>
      <c r="K59">
        <v>1</v>
      </c>
      <c r="L59">
        <v>1</v>
      </c>
      <c r="M59">
        <v>1</v>
      </c>
      <c r="N59">
        <v>1</v>
      </c>
      <c r="P59">
        <v>1.458890914916992</v>
      </c>
    </row>
    <row r="60" spans="1:16" x14ac:dyDescent="0.25">
      <c r="A60" t="s">
        <v>202</v>
      </c>
      <c r="B60" t="s">
        <v>84</v>
      </c>
      <c r="C60">
        <v>0</v>
      </c>
      <c r="D60">
        <v>1</v>
      </c>
      <c r="E60">
        <v>0</v>
      </c>
      <c r="F60">
        <v>1</v>
      </c>
      <c r="G60">
        <v>1</v>
      </c>
      <c r="H60">
        <v>1</v>
      </c>
      <c r="I60">
        <v>1</v>
      </c>
      <c r="J60">
        <v>0</v>
      </c>
      <c r="K60">
        <v>1</v>
      </c>
      <c r="L60">
        <v>1</v>
      </c>
      <c r="M60">
        <v>1</v>
      </c>
      <c r="N60">
        <v>1</v>
      </c>
      <c r="O60" t="s">
        <v>194</v>
      </c>
      <c r="P60">
        <v>3.5526163578033452</v>
      </c>
    </row>
    <row r="61" spans="1:16" x14ac:dyDescent="0.25">
      <c r="A61" t="s">
        <v>202</v>
      </c>
      <c r="B61" t="s">
        <v>86</v>
      </c>
      <c r="C61">
        <v>0</v>
      </c>
      <c r="D61">
        <v>1</v>
      </c>
      <c r="E61">
        <v>1</v>
      </c>
      <c r="F61">
        <v>1</v>
      </c>
      <c r="G61">
        <v>1</v>
      </c>
      <c r="H61">
        <v>1</v>
      </c>
      <c r="I61">
        <v>1</v>
      </c>
      <c r="J61">
        <v>1</v>
      </c>
      <c r="K61">
        <v>1</v>
      </c>
      <c r="L61">
        <v>1</v>
      </c>
      <c r="M61">
        <v>1</v>
      </c>
      <c r="N61">
        <v>1</v>
      </c>
      <c r="P61">
        <v>1.7374730110168459</v>
      </c>
    </row>
    <row r="62" spans="1:16" x14ac:dyDescent="0.25">
      <c r="A62" t="s">
        <v>202</v>
      </c>
      <c r="B62" t="s">
        <v>87</v>
      </c>
      <c r="C62">
        <v>0</v>
      </c>
      <c r="D62">
        <v>1</v>
      </c>
      <c r="E62">
        <v>1</v>
      </c>
      <c r="F62">
        <v>1</v>
      </c>
      <c r="G62">
        <v>1</v>
      </c>
      <c r="H62">
        <v>1</v>
      </c>
      <c r="I62">
        <v>1</v>
      </c>
      <c r="J62">
        <v>1</v>
      </c>
      <c r="K62">
        <v>1</v>
      </c>
      <c r="L62">
        <v>1</v>
      </c>
      <c r="M62">
        <v>1</v>
      </c>
      <c r="N62">
        <v>1</v>
      </c>
      <c r="P62">
        <v>1.332762479782104</v>
      </c>
    </row>
    <row r="63" spans="1:16" x14ac:dyDescent="0.25">
      <c r="A63" t="s">
        <v>202</v>
      </c>
      <c r="B63" t="s">
        <v>88</v>
      </c>
      <c r="C63">
        <v>0</v>
      </c>
      <c r="D63">
        <v>1</v>
      </c>
      <c r="E63">
        <v>1</v>
      </c>
      <c r="F63">
        <v>1</v>
      </c>
      <c r="G63">
        <v>1</v>
      </c>
      <c r="H63">
        <v>1</v>
      </c>
      <c r="I63">
        <v>1</v>
      </c>
      <c r="J63">
        <v>1</v>
      </c>
      <c r="K63">
        <v>1</v>
      </c>
      <c r="L63">
        <v>1</v>
      </c>
      <c r="M63">
        <v>1</v>
      </c>
      <c r="N63">
        <v>1</v>
      </c>
      <c r="P63">
        <v>1.363966703414917</v>
      </c>
    </row>
    <row r="64" spans="1:16" x14ac:dyDescent="0.25">
      <c r="A64" t="s">
        <v>202</v>
      </c>
      <c r="B64" t="s">
        <v>89</v>
      </c>
      <c r="C64">
        <v>0</v>
      </c>
      <c r="D64">
        <v>1</v>
      </c>
      <c r="E64">
        <v>1</v>
      </c>
      <c r="F64">
        <v>1</v>
      </c>
      <c r="G64">
        <v>1</v>
      </c>
      <c r="H64">
        <v>1</v>
      </c>
      <c r="I64">
        <v>0</v>
      </c>
      <c r="J64">
        <v>1</v>
      </c>
      <c r="K64">
        <v>1</v>
      </c>
      <c r="L64">
        <v>1</v>
      </c>
      <c r="M64">
        <v>1</v>
      </c>
      <c r="N64">
        <v>1</v>
      </c>
      <c r="O64" t="s">
        <v>195</v>
      </c>
      <c r="P64">
        <v>2.120793342590332</v>
      </c>
    </row>
    <row r="65" spans="1:16" x14ac:dyDescent="0.25">
      <c r="A65" t="s">
        <v>202</v>
      </c>
      <c r="B65" t="s">
        <v>91</v>
      </c>
      <c r="C65">
        <v>0</v>
      </c>
      <c r="D65">
        <v>1</v>
      </c>
      <c r="E65">
        <v>1</v>
      </c>
      <c r="F65">
        <v>1</v>
      </c>
      <c r="G65">
        <v>1</v>
      </c>
      <c r="H65">
        <v>1</v>
      </c>
      <c r="I65">
        <v>1</v>
      </c>
      <c r="J65">
        <v>1</v>
      </c>
      <c r="K65">
        <v>1</v>
      </c>
      <c r="L65">
        <v>1</v>
      </c>
      <c r="M65">
        <v>1</v>
      </c>
      <c r="N65">
        <v>1</v>
      </c>
      <c r="P65">
        <v>1.4413638114929199</v>
      </c>
    </row>
    <row r="66" spans="1:16" x14ac:dyDescent="0.25">
      <c r="A66" t="s">
        <v>202</v>
      </c>
      <c r="B66" t="s">
        <v>92</v>
      </c>
      <c r="C66">
        <v>0</v>
      </c>
      <c r="D66">
        <v>1</v>
      </c>
      <c r="E66">
        <v>1</v>
      </c>
      <c r="F66">
        <v>1</v>
      </c>
      <c r="G66">
        <v>1</v>
      </c>
      <c r="H66">
        <v>1</v>
      </c>
      <c r="I66">
        <v>0</v>
      </c>
      <c r="J66">
        <v>1</v>
      </c>
      <c r="K66">
        <v>1</v>
      </c>
      <c r="L66">
        <v>1</v>
      </c>
      <c r="M66">
        <v>1</v>
      </c>
      <c r="N66">
        <v>1</v>
      </c>
      <c r="O66" t="s">
        <v>196</v>
      </c>
      <c r="P66">
        <v>2.8767390251159668</v>
      </c>
    </row>
    <row r="67" spans="1:16" x14ac:dyDescent="0.25">
      <c r="A67" t="s">
        <v>202</v>
      </c>
      <c r="B67" t="s">
        <v>94</v>
      </c>
      <c r="C67">
        <v>0</v>
      </c>
      <c r="D67">
        <v>1</v>
      </c>
      <c r="E67">
        <v>1</v>
      </c>
      <c r="F67">
        <v>0</v>
      </c>
      <c r="G67">
        <v>1</v>
      </c>
      <c r="H67">
        <v>1</v>
      </c>
      <c r="I67">
        <v>1</v>
      </c>
      <c r="J67">
        <v>0</v>
      </c>
      <c r="K67">
        <v>1</v>
      </c>
      <c r="L67">
        <v>1</v>
      </c>
      <c r="M67">
        <v>1</v>
      </c>
      <c r="N67">
        <v>1</v>
      </c>
      <c r="O67" t="s">
        <v>197</v>
      </c>
      <c r="P67">
        <v>2.9876267910003662</v>
      </c>
    </row>
    <row r="68" spans="1:16" x14ac:dyDescent="0.25">
      <c r="A68" t="s">
        <v>202</v>
      </c>
      <c r="B68" t="s">
        <v>96</v>
      </c>
      <c r="C68">
        <v>0</v>
      </c>
      <c r="D68">
        <v>1</v>
      </c>
      <c r="E68">
        <v>1</v>
      </c>
      <c r="F68">
        <v>1</v>
      </c>
      <c r="G68">
        <v>1</v>
      </c>
      <c r="H68">
        <v>1</v>
      </c>
      <c r="I68">
        <v>1</v>
      </c>
      <c r="J68">
        <v>1</v>
      </c>
      <c r="K68">
        <v>1</v>
      </c>
      <c r="L68">
        <v>1</v>
      </c>
      <c r="M68">
        <v>1</v>
      </c>
      <c r="N68">
        <v>1</v>
      </c>
      <c r="P68">
        <v>1.7174315452575679</v>
      </c>
    </row>
    <row r="69" spans="1:16" x14ac:dyDescent="0.25">
      <c r="A69" t="s">
        <v>202</v>
      </c>
      <c r="B69" t="s">
        <v>97</v>
      </c>
      <c r="C69">
        <v>0</v>
      </c>
      <c r="D69">
        <v>1</v>
      </c>
      <c r="E69">
        <v>1</v>
      </c>
      <c r="F69">
        <v>1</v>
      </c>
      <c r="G69">
        <v>1</v>
      </c>
      <c r="H69">
        <v>1</v>
      </c>
      <c r="I69">
        <v>1</v>
      </c>
      <c r="J69">
        <v>1</v>
      </c>
      <c r="K69">
        <v>1</v>
      </c>
      <c r="L69">
        <v>1</v>
      </c>
      <c r="M69">
        <v>1</v>
      </c>
      <c r="N69">
        <v>1</v>
      </c>
      <c r="P69">
        <v>1.544497489929199</v>
      </c>
    </row>
    <row r="70" spans="1:16" x14ac:dyDescent="0.25">
      <c r="A70" t="s">
        <v>202</v>
      </c>
      <c r="B70" t="s">
        <v>98</v>
      </c>
      <c r="C70">
        <v>0</v>
      </c>
      <c r="D70">
        <v>1</v>
      </c>
      <c r="E70">
        <v>1</v>
      </c>
      <c r="F70">
        <v>1</v>
      </c>
      <c r="G70">
        <v>1</v>
      </c>
      <c r="H70">
        <v>1</v>
      </c>
      <c r="I70">
        <v>1</v>
      </c>
      <c r="J70">
        <v>1</v>
      </c>
      <c r="K70">
        <v>1</v>
      </c>
      <c r="L70">
        <v>1</v>
      </c>
      <c r="M70">
        <v>1</v>
      </c>
      <c r="N70">
        <v>1</v>
      </c>
      <c r="P70">
        <v>1.4391300678253169</v>
      </c>
    </row>
    <row r="71" spans="1:16" x14ac:dyDescent="0.25">
      <c r="A71" t="s">
        <v>202</v>
      </c>
      <c r="B71" t="s">
        <v>99</v>
      </c>
      <c r="C71">
        <v>0</v>
      </c>
      <c r="D71">
        <v>1</v>
      </c>
      <c r="E71">
        <v>1</v>
      </c>
      <c r="F71">
        <v>1</v>
      </c>
      <c r="G71">
        <v>1</v>
      </c>
      <c r="H71">
        <v>1</v>
      </c>
      <c r="I71">
        <v>1</v>
      </c>
      <c r="J71">
        <v>1</v>
      </c>
      <c r="K71">
        <v>1</v>
      </c>
      <c r="L71">
        <v>1</v>
      </c>
      <c r="M71">
        <v>1</v>
      </c>
      <c r="N71">
        <v>1</v>
      </c>
      <c r="P71">
        <v>2.450847864151001</v>
      </c>
    </row>
    <row r="72" spans="1:16" x14ac:dyDescent="0.25">
      <c r="A72" t="s">
        <v>202</v>
      </c>
      <c r="B72" t="s">
        <v>100</v>
      </c>
      <c r="C72">
        <v>0</v>
      </c>
      <c r="D72">
        <v>1</v>
      </c>
      <c r="E72">
        <v>1</v>
      </c>
      <c r="F72">
        <v>1</v>
      </c>
      <c r="G72">
        <v>1</v>
      </c>
      <c r="H72">
        <v>1</v>
      </c>
      <c r="I72">
        <v>1</v>
      </c>
      <c r="J72">
        <v>1</v>
      </c>
      <c r="K72">
        <v>1</v>
      </c>
      <c r="L72">
        <v>1</v>
      </c>
      <c r="M72">
        <v>1</v>
      </c>
      <c r="N72">
        <v>1</v>
      </c>
      <c r="P72">
        <v>1.7492237091064451</v>
      </c>
    </row>
    <row r="73" spans="1:16" x14ac:dyDescent="0.25">
      <c r="A73" t="s">
        <v>202</v>
      </c>
      <c r="B73" t="s">
        <v>101</v>
      </c>
      <c r="C73">
        <v>0</v>
      </c>
      <c r="D73">
        <v>1</v>
      </c>
      <c r="E73">
        <v>1</v>
      </c>
      <c r="F73">
        <v>1</v>
      </c>
      <c r="G73">
        <v>1</v>
      </c>
      <c r="H73">
        <v>1</v>
      </c>
      <c r="I73">
        <v>1</v>
      </c>
      <c r="J73">
        <v>1</v>
      </c>
      <c r="K73">
        <v>1</v>
      </c>
      <c r="L73">
        <v>1</v>
      </c>
      <c r="M73">
        <v>1</v>
      </c>
      <c r="N73">
        <v>1</v>
      </c>
      <c r="P73">
        <v>1.528866291046143</v>
      </c>
    </row>
    <row r="74" spans="1:16" x14ac:dyDescent="0.25">
      <c r="A74" t="s">
        <v>202</v>
      </c>
      <c r="B74" t="s">
        <v>102</v>
      </c>
      <c r="C74">
        <v>0</v>
      </c>
      <c r="D74">
        <v>1</v>
      </c>
      <c r="E74">
        <v>1</v>
      </c>
      <c r="F74">
        <v>1</v>
      </c>
      <c r="G74">
        <v>1</v>
      </c>
      <c r="H74">
        <v>1</v>
      </c>
      <c r="I74">
        <v>1</v>
      </c>
      <c r="J74">
        <v>1</v>
      </c>
      <c r="K74">
        <v>1</v>
      </c>
      <c r="L74">
        <v>1</v>
      </c>
      <c r="M74">
        <v>1</v>
      </c>
      <c r="N74">
        <v>1</v>
      </c>
      <c r="P74">
        <v>1.4307630062103269</v>
      </c>
    </row>
    <row r="75" spans="1:16" x14ac:dyDescent="0.25">
      <c r="A75" t="s">
        <v>202</v>
      </c>
      <c r="B75" t="s">
        <v>103</v>
      </c>
      <c r="C75">
        <v>0</v>
      </c>
      <c r="D75">
        <v>1</v>
      </c>
      <c r="E75">
        <v>1</v>
      </c>
      <c r="F75">
        <v>1</v>
      </c>
      <c r="G75">
        <v>1</v>
      </c>
      <c r="H75">
        <v>1</v>
      </c>
      <c r="I75">
        <v>1</v>
      </c>
      <c r="J75">
        <v>1</v>
      </c>
      <c r="K75">
        <v>1</v>
      </c>
      <c r="L75">
        <v>1</v>
      </c>
      <c r="M75">
        <v>1</v>
      </c>
      <c r="N75">
        <v>1</v>
      </c>
      <c r="P75">
        <v>1.435486316680908</v>
      </c>
    </row>
    <row r="76" spans="1:16" x14ac:dyDescent="0.25">
      <c r="A76" t="s">
        <v>202</v>
      </c>
      <c r="B76" t="s">
        <v>104</v>
      </c>
      <c r="C76">
        <v>0</v>
      </c>
      <c r="D76">
        <v>1</v>
      </c>
      <c r="E76">
        <v>1</v>
      </c>
      <c r="F76">
        <v>1</v>
      </c>
      <c r="G76">
        <v>1</v>
      </c>
      <c r="H76">
        <v>1</v>
      </c>
      <c r="I76">
        <v>1</v>
      </c>
      <c r="J76">
        <v>1</v>
      </c>
      <c r="K76">
        <v>1</v>
      </c>
      <c r="L76">
        <v>1</v>
      </c>
      <c r="M76">
        <v>1</v>
      </c>
      <c r="N76">
        <v>1</v>
      </c>
      <c r="P76">
        <v>1.530771732330322</v>
      </c>
    </row>
    <row r="77" spans="1:16" x14ac:dyDescent="0.25">
      <c r="A77" t="s">
        <v>202</v>
      </c>
      <c r="B77" t="s">
        <v>105</v>
      </c>
      <c r="C77">
        <v>0</v>
      </c>
      <c r="D77">
        <v>1</v>
      </c>
      <c r="E77">
        <v>1</v>
      </c>
      <c r="F77">
        <v>1</v>
      </c>
      <c r="G77">
        <v>1</v>
      </c>
      <c r="H77">
        <v>1</v>
      </c>
      <c r="I77">
        <v>1</v>
      </c>
      <c r="J77">
        <v>1</v>
      </c>
      <c r="K77">
        <v>1</v>
      </c>
      <c r="L77">
        <v>1</v>
      </c>
      <c r="M77">
        <v>1</v>
      </c>
      <c r="N77">
        <v>1</v>
      </c>
      <c r="P77">
        <v>1.443750858306885</v>
      </c>
    </row>
    <row r="78" spans="1:16" x14ac:dyDescent="0.25">
      <c r="A78" t="s">
        <v>202</v>
      </c>
      <c r="B78" t="s">
        <v>106</v>
      </c>
      <c r="C78">
        <v>0</v>
      </c>
      <c r="D78">
        <v>1</v>
      </c>
      <c r="E78">
        <v>1</v>
      </c>
      <c r="F78">
        <v>1</v>
      </c>
      <c r="G78">
        <v>1</v>
      </c>
      <c r="H78">
        <v>1</v>
      </c>
      <c r="I78">
        <v>1</v>
      </c>
      <c r="J78">
        <v>1</v>
      </c>
      <c r="K78">
        <v>1</v>
      </c>
      <c r="L78">
        <v>1</v>
      </c>
      <c r="M78">
        <v>1</v>
      </c>
      <c r="N78">
        <v>1</v>
      </c>
      <c r="P78">
        <v>1.5334069728851321</v>
      </c>
    </row>
    <row r="79" spans="1:16" x14ac:dyDescent="0.25">
      <c r="A79" t="s">
        <v>202</v>
      </c>
      <c r="B79" t="s">
        <v>107</v>
      </c>
      <c r="C79">
        <v>0</v>
      </c>
      <c r="D79">
        <v>1</v>
      </c>
      <c r="E79">
        <v>1</v>
      </c>
      <c r="F79">
        <v>1</v>
      </c>
      <c r="G79">
        <v>1</v>
      </c>
      <c r="H79">
        <v>1</v>
      </c>
      <c r="I79">
        <v>1</v>
      </c>
      <c r="J79">
        <v>1</v>
      </c>
      <c r="K79">
        <v>1</v>
      </c>
      <c r="L79">
        <v>1</v>
      </c>
      <c r="M79">
        <v>1</v>
      </c>
      <c r="N79">
        <v>1</v>
      </c>
      <c r="P79">
        <v>1.7369954586029051</v>
      </c>
    </row>
    <row r="80" spans="1:16" x14ac:dyDescent="0.25">
      <c r="A80" t="s">
        <v>202</v>
      </c>
      <c r="B80" t="s">
        <v>108</v>
      </c>
      <c r="C80">
        <v>0</v>
      </c>
      <c r="D80">
        <v>1</v>
      </c>
      <c r="E80">
        <v>1</v>
      </c>
      <c r="F80">
        <v>1</v>
      </c>
      <c r="G80">
        <v>1</v>
      </c>
      <c r="H80">
        <v>1</v>
      </c>
      <c r="I80">
        <v>1</v>
      </c>
      <c r="J80">
        <v>0</v>
      </c>
      <c r="K80">
        <v>1</v>
      </c>
      <c r="L80">
        <v>1</v>
      </c>
      <c r="M80">
        <v>1</v>
      </c>
      <c r="N80">
        <v>1</v>
      </c>
      <c r="O80" t="s">
        <v>198</v>
      </c>
      <c r="P80">
        <v>2.8829548358917241</v>
      </c>
    </row>
    <row r="81" spans="1:16" x14ac:dyDescent="0.25">
      <c r="A81" t="s">
        <v>202</v>
      </c>
      <c r="B81" t="s">
        <v>109</v>
      </c>
      <c r="C81">
        <v>0</v>
      </c>
      <c r="D81">
        <v>1</v>
      </c>
      <c r="E81">
        <v>0</v>
      </c>
      <c r="F81">
        <v>0</v>
      </c>
      <c r="G81">
        <v>1</v>
      </c>
      <c r="H81">
        <v>1</v>
      </c>
      <c r="I81">
        <v>1</v>
      </c>
      <c r="J81">
        <v>0</v>
      </c>
      <c r="K81">
        <v>1</v>
      </c>
      <c r="L81">
        <v>1</v>
      </c>
      <c r="M81">
        <v>1</v>
      </c>
      <c r="N81">
        <v>1</v>
      </c>
      <c r="O81" t="s">
        <v>199</v>
      </c>
      <c r="P81">
        <v>5.1287996768951416</v>
      </c>
    </row>
    <row r="82" spans="1:16" x14ac:dyDescent="0.25">
      <c r="A82" t="s">
        <v>202</v>
      </c>
      <c r="B82" t="s">
        <v>111</v>
      </c>
      <c r="C82">
        <v>0</v>
      </c>
      <c r="D82">
        <v>1</v>
      </c>
      <c r="E82">
        <v>1</v>
      </c>
      <c r="F82">
        <v>1</v>
      </c>
      <c r="G82">
        <v>1</v>
      </c>
      <c r="H82">
        <v>1</v>
      </c>
      <c r="I82">
        <v>1</v>
      </c>
      <c r="J82">
        <v>1</v>
      </c>
      <c r="K82">
        <v>1</v>
      </c>
      <c r="L82">
        <v>1</v>
      </c>
      <c r="M82">
        <v>1</v>
      </c>
      <c r="N82">
        <v>1</v>
      </c>
      <c r="P82">
        <v>1.4980897903442381</v>
      </c>
    </row>
    <row r="83" spans="1:16" x14ac:dyDescent="0.25">
      <c r="A83" t="s">
        <v>202</v>
      </c>
      <c r="B83" t="s">
        <v>112</v>
      </c>
      <c r="C83">
        <v>0</v>
      </c>
      <c r="D83">
        <v>1</v>
      </c>
      <c r="E83">
        <v>1</v>
      </c>
      <c r="F83">
        <v>1</v>
      </c>
      <c r="G83">
        <v>1</v>
      </c>
      <c r="H83">
        <v>1</v>
      </c>
      <c r="I83">
        <v>1</v>
      </c>
      <c r="J83">
        <v>1</v>
      </c>
      <c r="K83">
        <v>1</v>
      </c>
      <c r="L83">
        <v>1</v>
      </c>
      <c r="M83">
        <v>1</v>
      </c>
      <c r="N83">
        <v>1</v>
      </c>
      <c r="P83">
        <v>1.595423698425293</v>
      </c>
    </row>
    <row r="84" spans="1:16" x14ac:dyDescent="0.25">
      <c r="A84" t="s">
        <v>202</v>
      </c>
      <c r="B84" t="s">
        <v>113</v>
      </c>
      <c r="C84">
        <v>0</v>
      </c>
      <c r="D84">
        <v>1</v>
      </c>
      <c r="E84">
        <v>1</v>
      </c>
      <c r="F84">
        <v>1</v>
      </c>
      <c r="G84">
        <v>1</v>
      </c>
      <c r="H84">
        <v>1</v>
      </c>
      <c r="I84">
        <v>1</v>
      </c>
      <c r="J84">
        <v>1</v>
      </c>
      <c r="K84">
        <v>1</v>
      </c>
      <c r="L84">
        <v>1</v>
      </c>
      <c r="M84">
        <v>1</v>
      </c>
      <c r="N84">
        <v>1</v>
      </c>
      <c r="P84">
        <v>1.3333456516265869</v>
      </c>
    </row>
    <row r="85" spans="1:16" x14ac:dyDescent="0.25">
      <c r="A85" t="s">
        <v>202</v>
      </c>
      <c r="B85" t="s">
        <v>114</v>
      </c>
      <c r="C85">
        <v>0</v>
      </c>
      <c r="D85">
        <v>1</v>
      </c>
      <c r="E85">
        <v>1</v>
      </c>
      <c r="F85">
        <v>1</v>
      </c>
      <c r="G85">
        <v>1</v>
      </c>
      <c r="H85">
        <v>1</v>
      </c>
      <c r="I85">
        <v>1</v>
      </c>
      <c r="J85">
        <v>1</v>
      </c>
      <c r="K85">
        <v>1</v>
      </c>
      <c r="L85">
        <v>1</v>
      </c>
      <c r="M85">
        <v>1</v>
      </c>
      <c r="N85">
        <v>1</v>
      </c>
      <c r="P85">
        <v>2.0479426383972168</v>
      </c>
    </row>
    <row r="86" spans="1:16" x14ac:dyDescent="0.25">
      <c r="A86" t="s">
        <v>202</v>
      </c>
      <c r="B86" t="s">
        <v>115</v>
      </c>
      <c r="C86">
        <v>0</v>
      </c>
      <c r="D86">
        <v>1</v>
      </c>
      <c r="E86">
        <v>1</v>
      </c>
      <c r="F86">
        <v>1</v>
      </c>
      <c r="G86">
        <v>1</v>
      </c>
      <c r="H86">
        <v>1</v>
      </c>
      <c r="I86">
        <v>1</v>
      </c>
      <c r="J86">
        <v>1</v>
      </c>
      <c r="K86">
        <v>1</v>
      </c>
      <c r="L86">
        <v>1</v>
      </c>
      <c r="M86">
        <v>1</v>
      </c>
      <c r="N86">
        <v>1</v>
      </c>
      <c r="P86">
        <v>1.664333581924438</v>
      </c>
    </row>
    <row r="87" spans="1:16" x14ac:dyDescent="0.25">
      <c r="A87" t="s">
        <v>202</v>
      </c>
      <c r="B87" t="s">
        <v>116</v>
      </c>
      <c r="C87">
        <v>0</v>
      </c>
      <c r="D87">
        <v>1</v>
      </c>
      <c r="E87">
        <v>1</v>
      </c>
      <c r="F87">
        <v>1</v>
      </c>
      <c r="G87">
        <v>1</v>
      </c>
      <c r="H87">
        <v>1</v>
      </c>
      <c r="I87">
        <v>1</v>
      </c>
      <c r="J87">
        <v>1</v>
      </c>
      <c r="K87">
        <v>1</v>
      </c>
      <c r="L87">
        <v>1</v>
      </c>
      <c r="M87">
        <v>1</v>
      </c>
      <c r="N87">
        <v>1</v>
      </c>
      <c r="P87">
        <v>1.3089091777801509</v>
      </c>
    </row>
    <row r="88" spans="1:16" x14ac:dyDescent="0.25">
      <c r="A88" t="s">
        <v>202</v>
      </c>
      <c r="B88" t="s">
        <v>117</v>
      </c>
      <c r="C88">
        <v>0</v>
      </c>
      <c r="D88">
        <v>1</v>
      </c>
      <c r="E88">
        <v>1</v>
      </c>
      <c r="F88">
        <v>1</v>
      </c>
      <c r="G88">
        <v>1</v>
      </c>
      <c r="H88">
        <v>1</v>
      </c>
      <c r="I88">
        <v>1</v>
      </c>
      <c r="J88">
        <v>1</v>
      </c>
      <c r="K88">
        <v>1</v>
      </c>
      <c r="L88">
        <v>1</v>
      </c>
      <c r="M88">
        <v>1</v>
      </c>
      <c r="N88">
        <v>1</v>
      </c>
      <c r="P88">
        <v>1.7419126033782959</v>
      </c>
    </row>
    <row r="89" spans="1:16" x14ac:dyDescent="0.25">
      <c r="A89" t="s">
        <v>202</v>
      </c>
      <c r="B89" t="s">
        <v>118</v>
      </c>
      <c r="C89">
        <v>0</v>
      </c>
      <c r="D89">
        <v>1</v>
      </c>
      <c r="E89">
        <v>1</v>
      </c>
      <c r="F89">
        <v>1</v>
      </c>
      <c r="G89">
        <v>1</v>
      </c>
      <c r="H89">
        <v>1</v>
      </c>
      <c r="I89">
        <v>1</v>
      </c>
      <c r="J89">
        <v>1</v>
      </c>
      <c r="K89">
        <v>1</v>
      </c>
      <c r="L89">
        <v>1</v>
      </c>
      <c r="M89">
        <v>1</v>
      </c>
      <c r="N89">
        <v>1</v>
      </c>
      <c r="P89">
        <v>1.5033333301544189</v>
      </c>
    </row>
    <row r="90" spans="1:16" x14ac:dyDescent="0.25">
      <c r="A90" t="s">
        <v>202</v>
      </c>
      <c r="B90" t="s">
        <v>119</v>
      </c>
      <c r="C90">
        <v>0</v>
      </c>
      <c r="D90">
        <v>1</v>
      </c>
      <c r="E90">
        <v>1</v>
      </c>
      <c r="F90">
        <v>1</v>
      </c>
      <c r="G90">
        <v>1</v>
      </c>
      <c r="H90">
        <v>1</v>
      </c>
      <c r="I90">
        <v>1</v>
      </c>
      <c r="J90">
        <v>1</v>
      </c>
      <c r="K90">
        <v>1</v>
      </c>
      <c r="L90">
        <v>1</v>
      </c>
      <c r="M90">
        <v>1</v>
      </c>
      <c r="N90">
        <v>1</v>
      </c>
      <c r="P90">
        <v>1.842819929122925</v>
      </c>
    </row>
    <row r="91" spans="1:16" x14ac:dyDescent="0.25">
      <c r="A91" t="s">
        <v>202</v>
      </c>
      <c r="B91" t="s">
        <v>120</v>
      </c>
      <c r="C91">
        <v>0</v>
      </c>
      <c r="D91">
        <v>1</v>
      </c>
      <c r="E91">
        <v>1</v>
      </c>
      <c r="F91">
        <v>1</v>
      </c>
      <c r="G91">
        <v>1</v>
      </c>
      <c r="H91">
        <v>1</v>
      </c>
      <c r="I91">
        <v>1</v>
      </c>
      <c r="J91">
        <v>1</v>
      </c>
      <c r="K91">
        <v>1</v>
      </c>
      <c r="L91">
        <v>1</v>
      </c>
      <c r="M91">
        <v>1</v>
      </c>
      <c r="N91">
        <v>1</v>
      </c>
      <c r="P91">
        <v>2.1538510322570801</v>
      </c>
    </row>
    <row r="92" spans="1:16" x14ac:dyDescent="0.25">
      <c r="A92" t="s">
        <v>202</v>
      </c>
      <c r="B92" t="s">
        <v>121</v>
      </c>
      <c r="C92">
        <v>0</v>
      </c>
      <c r="D92">
        <v>1</v>
      </c>
      <c r="E92">
        <v>1</v>
      </c>
      <c r="F92">
        <v>1</v>
      </c>
      <c r="G92">
        <v>1</v>
      </c>
      <c r="H92">
        <v>1</v>
      </c>
      <c r="I92">
        <v>1</v>
      </c>
      <c r="J92">
        <v>1</v>
      </c>
      <c r="K92">
        <v>1</v>
      </c>
      <c r="L92">
        <v>1</v>
      </c>
      <c r="M92">
        <v>1</v>
      </c>
      <c r="N92">
        <v>1</v>
      </c>
      <c r="P92">
        <v>1.349204301834106</v>
      </c>
    </row>
    <row r="93" spans="1:16" x14ac:dyDescent="0.25">
      <c r="A93" t="s">
        <v>202</v>
      </c>
      <c r="B93" t="s">
        <v>122</v>
      </c>
      <c r="C93">
        <v>0</v>
      </c>
      <c r="D93">
        <v>1</v>
      </c>
      <c r="E93">
        <v>1</v>
      </c>
      <c r="F93">
        <v>0</v>
      </c>
      <c r="G93">
        <v>1</v>
      </c>
      <c r="H93">
        <v>1</v>
      </c>
      <c r="I93">
        <v>1</v>
      </c>
      <c r="J93">
        <v>1</v>
      </c>
      <c r="K93">
        <v>1</v>
      </c>
      <c r="L93">
        <v>1</v>
      </c>
      <c r="M93">
        <v>1</v>
      </c>
      <c r="N93">
        <v>1</v>
      </c>
      <c r="O93" t="s">
        <v>200</v>
      </c>
      <c r="P93">
        <v>2.8440818786621089</v>
      </c>
    </row>
    <row r="94" spans="1:16" x14ac:dyDescent="0.25">
      <c r="A94" t="s">
        <v>202</v>
      </c>
      <c r="B94" t="s">
        <v>123</v>
      </c>
      <c r="C94">
        <v>0</v>
      </c>
      <c r="D94">
        <v>1</v>
      </c>
      <c r="E94">
        <v>1</v>
      </c>
      <c r="F94">
        <v>1</v>
      </c>
      <c r="G94">
        <v>1</v>
      </c>
      <c r="H94">
        <v>1</v>
      </c>
      <c r="I94">
        <v>1</v>
      </c>
      <c r="J94">
        <v>1</v>
      </c>
      <c r="K94">
        <v>1</v>
      </c>
      <c r="L94">
        <v>1</v>
      </c>
      <c r="M94">
        <v>1</v>
      </c>
      <c r="N94">
        <v>1</v>
      </c>
      <c r="P94">
        <v>2.0057933330535889</v>
      </c>
    </row>
    <row r="95" spans="1:16" x14ac:dyDescent="0.25">
      <c r="A95" t="s">
        <v>202</v>
      </c>
      <c r="B95" t="s">
        <v>124</v>
      </c>
      <c r="C95">
        <v>0</v>
      </c>
      <c r="D95">
        <v>1</v>
      </c>
      <c r="E95">
        <v>1</v>
      </c>
      <c r="F95">
        <v>1</v>
      </c>
      <c r="G95">
        <v>1</v>
      </c>
      <c r="H95">
        <v>1</v>
      </c>
      <c r="I95">
        <v>1</v>
      </c>
      <c r="J95">
        <v>1</v>
      </c>
      <c r="K95">
        <v>1</v>
      </c>
      <c r="L95">
        <v>1</v>
      </c>
      <c r="M95">
        <v>1</v>
      </c>
      <c r="N95">
        <v>1</v>
      </c>
      <c r="P95">
        <v>1.576246023178101</v>
      </c>
    </row>
    <row r="96" spans="1:16" x14ac:dyDescent="0.25">
      <c r="A96" t="s">
        <v>202</v>
      </c>
      <c r="B96" t="s">
        <v>125</v>
      </c>
      <c r="C96">
        <v>0</v>
      </c>
      <c r="D96">
        <v>1</v>
      </c>
      <c r="E96">
        <v>1</v>
      </c>
      <c r="F96">
        <v>1</v>
      </c>
      <c r="G96">
        <v>1</v>
      </c>
      <c r="H96">
        <v>1</v>
      </c>
      <c r="I96">
        <v>1</v>
      </c>
      <c r="J96">
        <v>1</v>
      </c>
      <c r="K96">
        <v>1</v>
      </c>
      <c r="L96">
        <v>1</v>
      </c>
      <c r="M96">
        <v>1</v>
      </c>
      <c r="N96">
        <v>1</v>
      </c>
      <c r="P96">
        <v>1.9588208198547361</v>
      </c>
    </row>
    <row r="97" spans="1:16" x14ac:dyDescent="0.25">
      <c r="A97" t="s">
        <v>202</v>
      </c>
      <c r="B97" t="s">
        <v>126</v>
      </c>
      <c r="C97">
        <v>0</v>
      </c>
      <c r="D97">
        <v>1</v>
      </c>
      <c r="E97">
        <v>1</v>
      </c>
      <c r="F97">
        <v>1</v>
      </c>
      <c r="G97">
        <v>1</v>
      </c>
      <c r="H97">
        <v>1</v>
      </c>
      <c r="I97">
        <v>1</v>
      </c>
      <c r="J97">
        <v>1</v>
      </c>
      <c r="K97">
        <v>1</v>
      </c>
      <c r="L97">
        <v>1</v>
      </c>
      <c r="M97">
        <v>1</v>
      </c>
      <c r="N97">
        <v>1</v>
      </c>
      <c r="P97">
        <v>1.519176244735718</v>
      </c>
    </row>
    <row r="98" spans="1:16" x14ac:dyDescent="0.25">
      <c r="A98" t="s">
        <v>202</v>
      </c>
      <c r="B98" t="s">
        <v>127</v>
      </c>
      <c r="C98">
        <v>0</v>
      </c>
      <c r="D98">
        <v>1</v>
      </c>
      <c r="E98">
        <v>1</v>
      </c>
      <c r="F98">
        <v>1</v>
      </c>
      <c r="G98">
        <v>1</v>
      </c>
      <c r="H98">
        <v>1</v>
      </c>
      <c r="I98">
        <v>1</v>
      </c>
      <c r="J98">
        <v>1</v>
      </c>
      <c r="K98">
        <v>1</v>
      </c>
      <c r="L98">
        <v>1</v>
      </c>
      <c r="M98">
        <v>1</v>
      </c>
      <c r="N98">
        <v>1</v>
      </c>
      <c r="P98">
        <v>3.7005653381347661</v>
      </c>
    </row>
    <row r="99" spans="1:16" x14ac:dyDescent="0.25">
      <c r="A99" t="s">
        <v>202</v>
      </c>
      <c r="B99" t="s">
        <v>128</v>
      </c>
      <c r="C99">
        <v>0</v>
      </c>
      <c r="D99">
        <v>1</v>
      </c>
      <c r="E99">
        <v>1</v>
      </c>
      <c r="F99">
        <v>1</v>
      </c>
      <c r="G99">
        <v>1</v>
      </c>
      <c r="H99">
        <v>1</v>
      </c>
      <c r="I99">
        <v>1</v>
      </c>
      <c r="J99">
        <v>1</v>
      </c>
      <c r="K99">
        <v>1</v>
      </c>
      <c r="L99">
        <v>1</v>
      </c>
      <c r="M99">
        <v>1</v>
      </c>
      <c r="N99">
        <v>1</v>
      </c>
      <c r="P99">
        <v>1.530858516693115</v>
      </c>
    </row>
    <row r="100" spans="1:16" x14ac:dyDescent="0.25">
      <c r="A100" t="s">
        <v>202</v>
      </c>
      <c r="B100" t="s">
        <v>130</v>
      </c>
      <c r="C100">
        <v>0</v>
      </c>
      <c r="D100">
        <v>1</v>
      </c>
      <c r="E100">
        <v>1</v>
      </c>
      <c r="F100">
        <v>1</v>
      </c>
      <c r="G100">
        <v>1</v>
      </c>
      <c r="H100">
        <v>1</v>
      </c>
      <c r="I100">
        <v>1</v>
      </c>
      <c r="J100">
        <v>1</v>
      </c>
      <c r="K100">
        <v>1</v>
      </c>
      <c r="L100">
        <v>1</v>
      </c>
      <c r="M100">
        <v>1</v>
      </c>
      <c r="N100">
        <v>1</v>
      </c>
      <c r="P100">
        <v>1.291282176971436</v>
      </c>
    </row>
    <row r="101" spans="1:16" x14ac:dyDescent="0.25">
      <c r="A101" t="s">
        <v>202</v>
      </c>
      <c r="B101" t="s">
        <v>131</v>
      </c>
      <c r="C101">
        <v>0</v>
      </c>
      <c r="D101">
        <v>0</v>
      </c>
      <c r="E101">
        <v>0</v>
      </c>
      <c r="F101">
        <v>0</v>
      </c>
      <c r="G101">
        <v>1</v>
      </c>
      <c r="H101">
        <v>1</v>
      </c>
      <c r="I101">
        <v>1</v>
      </c>
      <c r="J101">
        <v>0</v>
      </c>
      <c r="K101">
        <v>0</v>
      </c>
      <c r="L101">
        <v>0</v>
      </c>
      <c r="M101">
        <v>1</v>
      </c>
      <c r="N101">
        <v>1</v>
      </c>
      <c r="O101" t="s">
        <v>201</v>
      </c>
      <c r="P101">
        <v>4.6580238342285156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0572D-1552-44EF-ABEF-ED315983EDD1}">
  <dimension ref="A1:O101"/>
  <sheetViews>
    <sheetView tabSelected="1" workbookViewId="0">
      <selection activeCell="G3" sqref="G3"/>
    </sheetView>
  </sheetViews>
  <sheetFormatPr defaultRowHeight="13.8"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15</v>
      </c>
    </row>
    <row r="2" spans="1:15" x14ac:dyDescent="0.25">
      <c r="A2" t="s">
        <v>202</v>
      </c>
      <c r="B2" t="s">
        <v>16</v>
      </c>
      <c r="C2">
        <v>0</v>
      </c>
      <c r="D2">
        <f>ROUND(SUM(recreation_v2_common_5!D2,recreation_v2_common_4!D2,recreation_v2_common_3!D2,recreation_v2_common_2!D2,recreation_v2_common_1!D2)/COUNT(recreation_v2_common_5!D2,recreation_v2_common_4!D2,recreation_v2_common_3!D2,recreation_v2_common_2!D2,recreation_v2_common_1!D2),0)</f>
        <v>1</v>
      </c>
      <c r="E2">
        <f>IF($D2=0,"NA",ROUND(SUM(recreation_v2_common_5!E2,recreation_v2_common_4!E2,recreation_v2_common_3!E2,recreation_v2_common_2!E2,recreation_v2_common_1!E2)/COUNT(recreation_v2_common_5!E2,recreation_v2_common_4!E2,recreation_v2_common_3!E2,recreation_v2_common_2!E2,recreation_v2_common_1!E2),0))</f>
        <v>1</v>
      </c>
      <c r="F2">
        <f>IF($D2=0,"NA",ROUND(SUM(recreation_v2_common_5!F2,recreation_v2_common_4!F2,recreation_v2_common_3!F2,recreation_v2_common_2!F2,recreation_v2_common_1!F2)/COUNT(recreation_v2_common_5!F2,recreation_v2_common_4!F2,recreation_v2_common_3!F2,recreation_v2_common_2!F2,recreation_v2_common_1!F2),0))</f>
        <v>1</v>
      </c>
      <c r="G2">
        <f>IF($D2=0,"NA",ROUND(SUM(recreation_v2_common_5!G2,recreation_v2_common_4!G2,recreation_v2_common_3!G2,recreation_v2_common_2!G2,recreation_v2_common_1!G2)/COUNT(recreation_v2_common_5!G2,recreation_v2_common_4!G2,recreation_v2_common_3!G2,recreation_v2_common_2!G2,recreation_v2_common_1!G2),0))</f>
        <v>1</v>
      </c>
      <c r="H2">
        <f>IF(E2=1, ROUND(SUM(recreation_v2_common_5!H2,recreation_v2_common_4!H2,recreation_v2_common_3!H2,recreation_v2_common_2!H2,recreation_v2_common_1!H2)/COUNT(recreation_v2_common_5!H2,recreation_v2_common_4!H2,recreation_v2_common_3!H2,recreation_v2_common_2!H2,recreation_v2_common_1!H2),0),"NA")</f>
        <v>1</v>
      </c>
      <c r="I2">
        <f>IF($D2=0,"NA",ROUND(SUM(recreation_v2_common_5!I2,recreation_v2_common_4!I2,recreation_v2_common_3!I2,recreation_v2_common_2!I2,recreation_v2_common_1!I2)/COUNT(recreation_v2_common_5!I2,recreation_v2_common_4!I2,recreation_v2_common_3!I2,recreation_v2_common_2!I2,recreation_v2_common_1!I2),0))</f>
        <v>1</v>
      </c>
      <c r="J2">
        <f>IF(AND(E2 = 1, F2 = 1),ROUND(SUM(recreation_v2_common_5!J2,recreation_v2_common_4!J2,recreation_v2_common_3!J2,recreation_v2_common_2!J2,recreation_v2_common_1!J2)/COUNT(recreation_v2_common_5!J2,recreation_v2_common_4!J2,recreation_v2_common_3!J2,recreation_v2_common_2!J2,recreation_v2_common_1!J2),0),"NA")</f>
        <v>1</v>
      </c>
      <c r="K2">
        <f>IF($D2=0,"NA",ROUND(SUM(recreation_v2_common_5!K2,recreation_v2_common_4!K2,recreation_v2_common_3!K2,recreation_v2_common_2!K2,recreation_v2_common_1!K2)/COUNT(recreation_v2_common_5!K2,recreation_v2_common_4!K2,recreation_v2_common_3!K2,recreation_v2_common_2!K2,recreation_v2_common_1!K2),0))</f>
        <v>1</v>
      </c>
      <c r="L2">
        <f>IF($D2=0,"NA",ROUND(SUM(recreation_v2_common_5!L2,recreation_v2_common_4!L2,recreation_v2_common_3!L2,recreation_v2_common_2!L2,recreation_v2_common_1!L2)/COUNT(recreation_v2_common_5!L2,recreation_v2_common_4!L2,recreation_v2_common_3!L2,recreation_v2_common_2!L2,recreation_v2_common_1!L2),0))</f>
        <v>1</v>
      </c>
      <c r="M2">
        <f>IF($D2=0,"NA",ROUND(SUM(recreation_v2_common_5!M2,recreation_v2_common_4!M2,recreation_v2_common_3!M2,recreation_v2_common_2!M2,recreation_v2_common_1!M2)/COUNT(recreation_v2_common_5!M2,recreation_v2_common_4!M2,recreation_v2_common_3!M2,recreation_v2_common_2!M2,recreation_v2_common_1!M2),0))</f>
        <v>1</v>
      </c>
      <c r="N2">
        <f>IF($D2=0,"NA",ROUND(SUM(recreation_v2_common_5!N2,recreation_v2_common_4!N2,recreation_v2_common_3!N2,recreation_v2_common_2!N2,recreation_v2_common_1!N2)/COUNT(recreation_v2_common_5!N2,recreation_v2_common_4!N2,recreation_v2_common_3!N2,recreation_v2_common_2!N2,recreation_v2_common_1!N2),0))</f>
        <v>1</v>
      </c>
      <c r="O2">
        <v>1.5354950428009031</v>
      </c>
    </row>
    <row r="3" spans="1:15" x14ac:dyDescent="0.25">
      <c r="A3" t="s">
        <v>202</v>
      </c>
      <c r="B3" t="s">
        <v>17</v>
      </c>
      <c r="C3">
        <v>0</v>
      </c>
      <c r="D3">
        <f>ROUND(SUM(recreation_v2_common_5!D3,recreation_v2_common_4!D3,recreation_v2_common_3!D3,recreation_v2_common_2!D3,recreation_v2_common_1!D3)/COUNT(recreation_v2_common_5!D3,recreation_v2_common_4!D3,recreation_v2_common_3!D3,recreation_v2_common_2!D3,recreation_v2_common_1!D3),0)</f>
        <v>1</v>
      </c>
      <c r="E3">
        <f>IF($D3=0,"NA",ROUND(SUM(recreation_v2_common_5!E3,recreation_v2_common_4!E3,recreation_v2_common_3!E3,recreation_v2_common_2!E3,recreation_v2_common_1!E3)/COUNT(recreation_v2_common_5!E3,recreation_v2_common_4!E3,recreation_v2_common_3!E3,recreation_v2_common_2!E3,recreation_v2_common_1!E3),0))</f>
        <v>1</v>
      </c>
      <c r="F3">
        <f>IF($D3=0,"NA",ROUND(SUM(recreation_v2_common_5!F3,recreation_v2_common_4!F3,recreation_v2_common_3!F3,recreation_v2_common_2!F3,recreation_v2_common_1!F3)/COUNT(recreation_v2_common_5!F3,recreation_v2_common_4!F3,recreation_v2_common_3!F3,recreation_v2_common_2!F3,recreation_v2_common_1!F3),0))</f>
        <v>1</v>
      </c>
      <c r="G3">
        <f>IF($D3=0,"NA",ROUND(SUM(recreation_v2_common_5!G3,recreation_v2_common_4!G3,recreation_v2_common_3!G3,recreation_v2_common_2!G3,recreation_v2_common_1!G3)/COUNT(recreation_v2_common_5!G3,recreation_v2_common_4!G3,recreation_v2_common_3!G3,recreation_v2_common_2!G3,recreation_v2_common_1!G3),0))</f>
        <v>1</v>
      </c>
      <c r="H3">
        <f>IF(E3=1, ROUND(SUM(recreation_v2_common_5!H3,recreation_v2_common_4!H3,recreation_v2_common_3!H3,recreation_v2_common_2!H3,recreation_v2_common_1!H3)/COUNT(recreation_v2_common_5!H3,recreation_v2_common_4!H3,recreation_v2_common_3!H3,recreation_v2_common_2!H3,recreation_v2_common_1!H3),0),"NA")</f>
        <v>1</v>
      </c>
      <c r="I3">
        <f>IF($D3=0,"NA",ROUND(SUM(recreation_v2_common_5!I3,recreation_v2_common_4!I3,recreation_v2_common_3!I3,recreation_v2_common_2!I3,recreation_v2_common_1!I3)/COUNT(recreation_v2_common_5!I3,recreation_v2_common_4!I3,recreation_v2_common_3!I3,recreation_v2_common_2!I3,recreation_v2_common_1!I3),0))</f>
        <v>1</v>
      </c>
      <c r="J3">
        <f>IF(AND(E3 = 1, F3 = 1),ROUND(SUM(recreation_v2_common_5!J3,recreation_v2_common_4!J3,recreation_v2_common_3!J3,recreation_v2_common_2!J3,recreation_v2_common_1!J3)/COUNT(recreation_v2_common_5!J3,recreation_v2_common_4!J3,recreation_v2_common_3!J3,recreation_v2_common_2!J3,recreation_v2_common_1!J3),0),"NA")</f>
        <v>1</v>
      </c>
      <c r="K3">
        <f>IF($D3=0,"NA",ROUND(SUM(recreation_v2_common_5!K3,recreation_v2_common_4!K3,recreation_v2_common_3!K3,recreation_v2_common_2!K3,recreation_v2_common_1!K3)/COUNT(recreation_v2_common_5!K3,recreation_v2_common_4!K3,recreation_v2_common_3!K3,recreation_v2_common_2!K3,recreation_v2_common_1!K3),0))</f>
        <v>1</v>
      </c>
      <c r="L3">
        <f>IF($D3=0,"NA",ROUND(SUM(recreation_v2_common_5!L3,recreation_v2_common_4!L3,recreation_v2_common_3!L3,recreation_v2_common_2!L3,recreation_v2_common_1!L3)/COUNT(recreation_v2_common_5!L3,recreation_v2_common_4!L3,recreation_v2_common_3!L3,recreation_v2_common_2!L3,recreation_v2_common_1!L3),0))</f>
        <v>1</v>
      </c>
      <c r="M3">
        <f>IF($D3=0,"NA",ROUND(SUM(recreation_v2_common_5!M3,recreation_v2_common_4!M3,recreation_v2_common_3!M3,recreation_v2_common_2!M3,recreation_v2_common_1!M3)/COUNT(recreation_v2_common_5!M3,recreation_v2_common_4!M3,recreation_v2_common_3!M3,recreation_v2_common_2!M3,recreation_v2_common_1!M3),0))</f>
        <v>1</v>
      </c>
      <c r="N3">
        <f>IF($D3=0,"NA",ROUND(SUM(recreation_v2_common_5!N3,recreation_v2_common_4!N3,recreation_v2_common_3!N3,recreation_v2_common_2!N3,recreation_v2_common_1!N3)/COUNT(recreation_v2_common_5!N3,recreation_v2_common_4!N3,recreation_v2_common_3!N3,recreation_v2_common_2!N3,recreation_v2_common_1!N3),0))</f>
        <v>1</v>
      </c>
      <c r="O3">
        <v>1.4433422088623049</v>
      </c>
    </row>
    <row r="4" spans="1:15" x14ac:dyDescent="0.25">
      <c r="A4" t="s">
        <v>202</v>
      </c>
      <c r="B4" t="s">
        <v>19</v>
      </c>
      <c r="C4">
        <v>0</v>
      </c>
      <c r="D4">
        <f>ROUND(SUM(recreation_v2_common_5!D4,recreation_v2_common_4!D4,recreation_v2_common_3!D4,recreation_v2_common_2!D4,recreation_v2_common_1!D4)/COUNT(recreation_v2_common_5!D4,recreation_v2_common_4!D4,recreation_v2_common_3!D4,recreation_v2_common_2!D4,recreation_v2_common_1!D4),0)</f>
        <v>1</v>
      </c>
      <c r="E4">
        <f>IF($D4=0,"NA",ROUND(SUM(recreation_v2_common_5!E4,recreation_v2_common_4!E4,recreation_v2_common_3!E4,recreation_v2_common_2!E4,recreation_v2_common_1!E4)/COUNT(recreation_v2_common_5!E4,recreation_v2_common_4!E4,recreation_v2_common_3!E4,recreation_v2_common_2!E4,recreation_v2_common_1!E4),0))</f>
        <v>1</v>
      </c>
      <c r="F4">
        <f>IF($D4=0,"NA",ROUND(SUM(recreation_v2_common_5!F4,recreation_v2_common_4!F4,recreation_v2_common_3!F4,recreation_v2_common_2!F4,recreation_v2_common_1!F4)/COUNT(recreation_v2_common_5!F4,recreation_v2_common_4!F4,recreation_v2_common_3!F4,recreation_v2_common_2!F4,recreation_v2_common_1!F4),0))</f>
        <v>1</v>
      </c>
      <c r="G4">
        <f>IF($D4=0,"NA",ROUND(SUM(recreation_v2_common_5!G4,recreation_v2_common_4!G4,recreation_v2_common_3!G4,recreation_v2_common_2!G4,recreation_v2_common_1!G4)/COUNT(recreation_v2_common_5!G4,recreation_v2_common_4!G4,recreation_v2_common_3!G4,recreation_v2_common_2!G4,recreation_v2_common_1!G4),0))</f>
        <v>1</v>
      </c>
      <c r="H4">
        <f>IF(E4=1, ROUND(SUM(recreation_v2_common_5!H4,recreation_v2_common_4!H4,recreation_v2_common_3!H4,recreation_v2_common_2!H4,recreation_v2_common_1!H4)/COUNT(recreation_v2_common_5!H4,recreation_v2_common_4!H4,recreation_v2_common_3!H4,recreation_v2_common_2!H4,recreation_v2_common_1!H4),0),"NA")</f>
        <v>1</v>
      </c>
      <c r="I4">
        <f>IF($D4=0,"NA",ROUND(SUM(recreation_v2_common_5!I4,recreation_v2_common_4!I4,recreation_v2_common_3!I4,recreation_v2_common_2!I4,recreation_v2_common_1!I4)/COUNT(recreation_v2_common_5!I4,recreation_v2_common_4!I4,recreation_v2_common_3!I4,recreation_v2_common_2!I4,recreation_v2_common_1!I4),0))</f>
        <v>1</v>
      </c>
      <c r="J4">
        <f>IF(AND(E4 = 1, F4 = 1),ROUND(SUM(recreation_v2_common_5!J4,recreation_v2_common_4!J4,recreation_v2_common_3!J4,recreation_v2_common_2!J4,recreation_v2_common_1!J4)/COUNT(recreation_v2_common_5!J4,recreation_v2_common_4!J4,recreation_v2_common_3!J4,recreation_v2_common_2!J4,recreation_v2_common_1!J4),0),"NA")</f>
        <v>1</v>
      </c>
      <c r="K4">
        <f>IF($D4=0,"NA",ROUND(SUM(recreation_v2_common_5!K4,recreation_v2_common_4!K4,recreation_v2_common_3!K4,recreation_v2_common_2!K4,recreation_v2_common_1!K4)/COUNT(recreation_v2_common_5!K4,recreation_v2_common_4!K4,recreation_v2_common_3!K4,recreation_v2_common_2!K4,recreation_v2_common_1!K4),0))</f>
        <v>1</v>
      </c>
      <c r="L4">
        <f>IF($D4=0,"NA",ROUND(SUM(recreation_v2_common_5!L4,recreation_v2_common_4!L4,recreation_v2_common_3!L4,recreation_v2_common_2!L4,recreation_v2_common_1!L4)/COUNT(recreation_v2_common_5!L4,recreation_v2_common_4!L4,recreation_v2_common_3!L4,recreation_v2_common_2!L4,recreation_v2_common_1!L4),0))</f>
        <v>1</v>
      </c>
      <c r="M4">
        <f>IF($D4=0,"NA",ROUND(SUM(recreation_v2_common_5!M4,recreation_v2_common_4!M4,recreation_v2_common_3!M4,recreation_v2_common_2!M4,recreation_v2_common_1!M4)/COUNT(recreation_v2_common_5!M4,recreation_v2_common_4!M4,recreation_v2_common_3!M4,recreation_v2_common_2!M4,recreation_v2_common_1!M4),0))</f>
        <v>1</v>
      </c>
      <c r="N4">
        <f>IF($D4=0,"NA",ROUND(SUM(recreation_v2_common_5!N4,recreation_v2_common_4!N4,recreation_v2_common_3!N4,recreation_v2_common_2!N4,recreation_v2_common_1!N4)/COUNT(recreation_v2_common_5!N4,recreation_v2_common_4!N4,recreation_v2_common_3!N4,recreation_v2_common_2!N4,recreation_v2_common_1!N4),0))</f>
        <v>1</v>
      </c>
      <c r="O4">
        <v>1.64307165145874</v>
      </c>
    </row>
    <row r="5" spans="1:15" x14ac:dyDescent="0.25">
      <c r="A5" t="s">
        <v>202</v>
      </c>
      <c r="B5" t="s">
        <v>20</v>
      </c>
      <c r="C5">
        <v>0</v>
      </c>
      <c r="D5">
        <f>ROUND(SUM(recreation_v2_common_5!D5,recreation_v2_common_4!D5,recreation_v2_common_3!D5,recreation_v2_common_2!D5,recreation_v2_common_1!D5)/COUNT(recreation_v2_common_5!D5,recreation_v2_common_4!D5,recreation_v2_common_3!D5,recreation_v2_common_2!D5,recreation_v2_common_1!D5),0)</f>
        <v>1</v>
      </c>
      <c r="E5">
        <f>IF($D5=0,"NA",ROUND(SUM(recreation_v2_common_5!E5,recreation_v2_common_4!E5,recreation_v2_common_3!E5,recreation_v2_common_2!E5,recreation_v2_common_1!E5)/COUNT(recreation_v2_common_5!E5,recreation_v2_common_4!E5,recreation_v2_common_3!E5,recreation_v2_common_2!E5,recreation_v2_common_1!E5),0))</f>
        <v>1</v>
      </c>
      <c r="F5">
        <f>IF($D5=0,"NA",ROUND(SUM(recreation_v2_common_5!F5,recreation_v2_common_4!F5,recreation_v2_common_3!F5,recreation_v2_common_2!F5,recreation_v2_common_1!F5)/COUNT(recreation_v2_common_5!F5,recreation_v2_common_4!F5,recreation_v2_common_3!F5,recreation_v2_common_2!F5,recreation_v2_common_1!F5),0))</f>
        <v>1</v>
      </c>
      <c r="G5">
        <f>IF($D5=0,"NA",ROUND(SUM(recreation_v2_common_5!G5,recreation_v2_common_4!G5,recreation_v2_common_3!G5,recreation_v2_common_2!G5,recreation_v2_common_1!G5)/COUNT(recreation_v2_common_5!G5,recreation_v2_common_4!G5,recreation_v2_common_3!G5,recreation_v2_common_2!G5,recreation_v2_common_1!G5),0))</f>
        <v>1</v>
      </c>
      <c r="H5">
        <f>IF(E5=1, ROUND(SUM(recreation_v2_common_5!H5,recreation_v2_common_4!H5,recreation_v2_common_3!H5,recreation_v2_common_2!H5,recreation_v2_common_1!H5)/COUNT(recreation_v2_common_5!H5,recreation_v2_common_4!H5,recreation_v2_common_3!H5,recreation_v2_common_2!H5,recreation_v2_common_1!H5),0),"NA")</f>
        <v>1</v>
      </c>
      <c r="I5">
        <f>IF($D5=0,"NA",ROUND(SUM(recreation_v2_common_5!I5,recreation_v2_common_4!I5,recreation_v2_common_3!I5,recreation_v2_common_2!I5,recreation_v2_common_1!I5)/COUNT(recreation_v2_common_5!I5,recreation_v2_common_4!I5,recreation_v2_common_3!I5,recreation_v2_common_2!I5,recreation_v2_common_1!I5),0))</f>
        <v>1</v>
      </c>
      <c r="J5">
        <f>IF(AND(E5 = 1, F5 = 1),ROUND(SUM(recreation_v2_common_5!J5,recreation_v2_common_4!J5,recreation_v2_common_3!J5,recreation_v2_common_2!J5,recreation_v2_common_1!J5)/COUNT(recreation_v2_common_5!J5,recreation_v2_common_4!J5,recreation_v2_common_3!J5,recreation_v2_common_2!J5,recreation_v2_common_1!J5),0),"NA")</f>
        <v>1</v>
      </c>
      <c r="K5">
        <f>IF($D5=0,"NA",ROUND(SUM(recreation_v2_common_5!K5,recreation_v2_common_4!K5,recreation_v2_common_3!K5,recreation_v2_common_2!K5,recreation_v2_common_1!K5)/COUNT(recreation_v2_common_5!K5,recreation_v2_common_4!K5,recreation_v2_common_3!K5,recreation_v2_common_2!K5,recreation_v2_common_1!K5),0))</f>
        <v>1</v>
      </c>
      <c r="L5">
        <f>IF($D5=0,"NA",ROUND(SUM(recreation_v2_common_5!L5,recreation_v2_common_4!L5,recreation_v2_common_3!L5,recreation_v2_common_2!L5,recreation_v2_common_1!L5)/COUNT(recreation_v2_common_5!L5,recreation_v2_common_4!L5,recreation_v2_common_3!L5,recreation_v2_common_2!L5,recreation_v2_common_1!L5),0))</f>
        <v>1</v>
      </c>
      <c r="M5">
        <f>IF($D5=0,"NA",ROUND(SUM(recreation_v2_common_5!M5,recreation_v2_common_4!M5,recreation_v2_common_3!M5,recreation_v2_common_2!M5,recreation_v2_common_1!M5)/COUNT(recreation_v2_common_5!M5,recreation_v2_common_4!M5,recreation_v2_common_3!M5,recreation_v2_common_2!M5,recreation_v2_common_1!M5),0))</f>
        <v>1</v>
      </c>
      <c r="N5">
        <f>IF($D5=0,"NA",ROUND(SUM(recreation_v2_common_5!N5,recreation_v2_common_4!N5,recreation_v2_common_3!N5,recreation_v2_common_2!N5,recreation_v2_common_1!N5)/COUNT(recreation_v2_common_5!N5,recreation_v2_common_4!N5,recreation_v2_common_3!N5,recreation_v2_common_2!N5,recreation_v2_common_1!N5),0))</f>
        <v>1</v>
      </c>
      <c r="O5">
        <v>1.6684436798095701</v>
      </c>
    </row>
    <row r="6" spans="1:15" x14ac:dyDescent="0.25">
      <c r="A6" t="s">
        <v>202</v>
      </c>
      <c r="B6" t="s">
        <v>21</v>
      </c>
      <c r="C6">
        <v>0</v>
      </c>
      <c r="D6">
        <f>ROUND(SUM(recreation_v2_common_5!D6,recreation_v2_common_4!D6,recreation_v2_common_3!D6,recreation_v2_common_2!D6,recreation_v2_common_1!D6)/COUNT(recreation_v2_common_5!D6,recreation_v2_common_4!D6,recreation_v2_common_3!D6,recreation_v2_common_2!D6,recreation_v2_common_1!D6),0)</f>
        <v>1</v>
      </c>
      <c r="E6">
        <f>IF($D6=0,"NA",ROUND(SUM(recreation_v2_common_5!E6,recreation_v2_common_4!E6,recreation_v2_common_3!E6,recreation_v2_common_2!E6,recreation_v2_common_1!E6)/COUNT(recreation_v2_common_5!E6,recreation_v2_common_4!E6,recreation_v2_common_3!E6,recreation_v2_common_2!E6,recreation_v2_common_1!E6),0))</f>
        <v>1</v>
      </c>
      <c r="F6">
        <f>IF($D6=0,"NA",ROUND(SUM(recreation_v2_common_5!F6,recreation_v2_common_4!F6,recreation_v2_common_3!F6,recreation_v2_common_2!F6,recreation_v2_common_1!F6)/COUNT(recreation_v2_common_5!F6,recreation_v2_common_4!F6,recreation_v2_common_3!F6,recreation_v2_common_2!F6,recreation_v2_common_1!F6),0))</f>
        <v>1</v>
      </c>
      <c r="G6">
        <f>IF($D6=0,"NA",ROUND(SUM(recreation_v2_common_5!G6,recreation_v2_common_4!G6,recreation_v2_common_3!G6,recreation_v2_common_2!G6,recreation_v2_common_1!G6)/COUNT(recreation_v2_common_5!G6,recreation_v2_common_4!G6,recreation_v2_common_3!G6,recreation_v2_common_2!G6,recreation_v2_common_1!G6),0))</f>
        <v>1</v>
      </c>
      <c r="H6">
        <f>IF(E6=1, ROUND(SUM(recreation_v2_common_5!H6,recreation_v2_common_4!H6,recreation_v2_common_3!H6,recreation_v2_common_2!H6,recreation_v2_common_1!H6)/COUNT(recreation_v2_common_5!H6,recreation_v2_common_4!H6,recreation_v2_common_3!H6,recreation_v2_common_2!H6,recreation_v2_common_1!H6),0),"NA")</f>
        <v>1</v>
      </c>
      <c r="I6">
        <f>IF($D6=0,"NA",ROUND(SUM(recreation_v2_common_5!I6,recreation_v2_common_4!I6,recreation_v2_common_3!I6,recreation_v2_common_2!I6,recreation_v2_common_1!I6)/COUNT(recreation_v2_common_5!I6,recreation_v2_common_4!I6,recreation_v2_common_3!I6,recreation_v2_common_2!I6,recreation_v2_common_1!I6),0))</f>
        <v>1</v>
      </c>
      <c r="J6">
        <f>IF(AND(E6 = 1, F6 = 1),ROUND(SUM(recreation_v2_common_5!J6,recreation_v2_common_4!J6,recreation_v2_common_3!J6,recreation_v2_common_2!J6,recreation_v2_common_1!J6)/COUNT(recreation_v2_common_5!J6,recreation_v2_common_4!J6,recreation_v2_common_3!J6,recreation_v2_common_2!J6,recreation_v2_common_1!J6),0),"NA")</f>
        <v>1</v>
      </c>
      <c r="K6">
        <f>IF($D6=0,"NA",ROUND(SUM(recreation_v2_common_5!K6,recreation_v2_common_4!K6,recreation_v2_common_3!K6,recreation_v2_common_2!K6,recreation_v2_common_1!K6)/COUNT(recreation_v2_common_5!K6,recreation_v2_common_4!K6,recreation_v2_common_3!K6,recreation_v2_common_2!K6,recreation_v2_common_1!K6),0))</f>
        <v>1</v>
      </c>
      <c r="L6">
        <f>IF($D6=0,"NA",ROUND(SUM(recreation_v2_common_5!L6,recreation_v2_common_4!L6,recreation_v2_common_3!L6,recreation_v2_common_2!L6,recreation_v2_common_1!L6)/COUNT(recreation_v2_common_5!L6,recreation_v2_common_4!L6,recreation_v2_common_3!L6,recreation_v2_common_2!L6,recreation_v2_common_1!L6),0))</f>
        <v>1</v>
      </c>
      <c r="M6">
        <f>IF($D6=0,"NA",ROUND(SUM(recreation_v2_common_5!M6,recreation_v2_common_4!M6,recreation_v2_common_3!M6,recreation_v2_common_2!M6,recreation_v2_common_1!M6)/COUNT(recreation_v2_common_5!M6,recreation_v2_common_4!M6,recreation_v2_common_3!M6,recreation_v2_common_2!M6,recreation_v2_common_1!M6),0))</f>
        <v>1</v>
      </c>
      <c r="N6">
        <f>IF($D6=0,"NA",ROUND(SUM(recreation_v2_common_5!N6,recreation_v2_common_4!N6,recreation_v2_common_3!N6,recreation_v2_common_2!N6,recreation_v2_common_1!N6)/COUNT(recreation_v2_common_5!N6,recreation_v2_common_4!N6,recreation_v2_common_3!N6,recreation_v2_common_2!N6,recreation_v2_common_1!N6),0))</f>
        <v>1</v>
      </c>
      <c r="O6">
        <v>2.0273478031158452</v>
      </c>
    </row>
    <row r="7" spans="1:15" x14ac:dyDescent="0.25">
      <c r="A7" t="s">
        <v>202</v>
      </c>
      <c r="B7" t="s">
        <v>22</v>
      </c>
      <c r="C7">
        <v>0</v>
      </c>
      <c r="D7">
        <f>ROUND(SUM(recreation_v2_common_5!D7,recreation_v2_common_4!D7,recreation_v2_common_3!D7,recreation_v2_common_2!D7,recreation_v2_common_1!D7)/COUNT(recreation_v2_common_5!D7,recreation_v2_common_4!D7,recreation_v2_common_3!D7,recreation_v2_common_2!D7,recreation_v2_common_1!D7),0)</f>
        <v>1</v>
      </c>
      <c r="E7">
        <f>IF($D7=0,"NA",ROUND(SUM(recreation_v2_common_5!E7,recreation_v2_common_4!E7,recreation_v2_common_3!E7,recreation_v2_common_2!E7,recreation_v2_common_1!E7)/COUNT(recreation_v2_common_5!E7,recreation_v2_common_4!E7,recreation_v2_common_3!E7,recreation_v2_common_2!E7,recreation_v2_common_1!E7),0))</f>
        <v>1</v>
      </c>
      <c r="F7">
        <f>IF($D7=0,"NA",ROUND(SUM(recreation_v2_common_5!F7,recreation_v2_common_4!F7,recreation_v2_common_3!F7,recreation_v2_common_2!F7,recreation_v2_common_1!F7)/COUNT(recreation_v2_common_5!F7,recreation_v2_common_4!F7,recreation_v2_common_3!F7,recreation_v2_common_2!F7,recreation_v2_common_1!F7),0))</f>
        <v>1</v>
      </c>
      <c r="G7">
        <f>IF($D7=0,"NA",ROUND(SUM(recreation_v2_common_5!G7,recreation_v2_common_4!G7,recreation_v2_common_3!G7,recreation_v2_common_2!G7,recreation_v2_common_1!G7)/COUNT(recreation_v2_common_5!G7,recreation_v2_common_4!G7,recreation_v2_common_3!G7,recreation_v2_common_2!G7,recreation_v2_common_1!G7),0))</f>
        <v>1</v>
      </c>
      <c r="H7">
        <f>IF(E7=1, ROUND(SUM(recreation_v2_common_5!H7,recreation_v2_common_4!H7,recreation_v2_common_3!H7,recreation_v2_common_2!H7,recreation_v2_common_1!H7)/COUNT(recreation_v2_common_5!H7,recreation_v2_common_4!H7,recreation_v2_common_3!H7,recreation_v2_common_2!H7,recreation_v2_common_1!H7),0),"NA")</f>
        <v>1</v>
      </c>
      <c r="I7">
        <f>IF($D7=0,"NA",ROUND(SUM(recreation_v2_common_5!I7,recreation_v2_common_4!I7,recreation_v2_common_3!I7,recreation_v2_common_2!I7,recreation_v2_common_1!I7)/COUNT(recreation_v2_common_5!I7,recreation_v2_common_4!I7,recreation_v2_common_3!I7,recreation_v2_common_2!I7,recreation_v2_common_1!I7),0))</f>
        <v>1</v>
      </c>
      <c r="J7">
        <f>IF(AND(E7 = 1, F7 = 1),ROUND(SUM(recreation_v2_common_5!J7,recreation_v2_common_4!J7,recreation_v2_common_3!J7,recreation_v2_common_2!J7,recreation_v2_common_1!J7)/COUNT(recreation_v2_common_5!J7,recreation_v2_common_4!J7,recreation_v2_common_3!J7,recreation_v2_common_2!J7,recreation_v2_common_1!J7),0),"NA")</f>
        <v>1</v>
      </c>
      <c r="K7">
        <f>IF($D7=0,"NA",ROUND(SUM(recreation_v2_common_5!K7,recreation_v2_common_4!K7,recreation_v2_common_3!K7,recreation_v2_common_2!K7,recreation_v2_common_1!K7)/COUNT(recreation_v2_common_5!K7,recreation_v2_common_4!K7,recreation_v2_common_3!K7,recreation_v2_common_2!K7,recreation_v2_common_1!K7),0))</f>
        <v>1</v>
      </c>
      <c r="L7">
        <f>IF($D7=0,"NA",ROUND(SUM(recreation_v2_common_5!L7,recreation_v2_common_4!L7,recreation_v2_common_3!L7,recreation_v2_common_2!L7,recreation_v2_common_1!L7)/COUNT(recreation_v2_common_5!L7,recreation_v2_common_4!L7,recreation_v2_common_3!L7,recreation_v2_common_2!L7,recreation_v2_common_1!L7),0))</f>
        <v>1</v>
      </c>
      <c r="M7">
        <f>IF($D7=0,"NA",ROUND(SUM(recreation_v2_common_5!M7,recreation_v2_common_4!M7,recreation_v2_common_3!M7,recreation_v2_common_2!M7,recreation_v2_common_1!M7)/COUNT(recreation_v2_common_5!M7,recreation_v2_common_4!M7,recreation_v2_common_3!M7,recreation_v2_common_2!M7,recreation_v2_common_1!M7),0))</f>
        <v>1</v>
      </c>
      <c r="N7">
        <f>IF($D7=0,"NA",ROUND(SUM(recreation_v2_common_5!N7,recreation_v2_common_4!N7,recreation_v2_common_3!N7,recreation_v2_common_2!N7,recreation_v2_common_1!N7)/COUNT(recreation_v2_common_5!N7,recreation_v2_common_4!N7,recreation_v2_common_3!N7,recreation_v2_common_2!N7,recreation_v2_common_1!N7),0))</f>
        <v>1</v>
      </c>
      <c r="O7">
        <v>1.451894283294678</v>
      </c>
    </row>
    <row r="8" spans="1:15" x14ac:dyDescent="0.25">
      <c r="A8" t="s">
        <v>202</v>
      </c>
      <c r="B8" t="s">
        <v>23</v>
      </c>
      <c r="C8">
        <v>0</v>
      </c>
      <c r="D8">
        <f>ROUND(SUM(recreation_v2_common_5!D8,recreation_v2_common_4!D8,recreation_v2_common_3!D8,recreation_v2_common_2!D8,recreation_v2_common_1!D8)/COUNT(recreation_v2_common_5!D8,recreation_v2_common_4!D8,recreation_v2_common_3!D8,recreation_v2_common_2!D8,recreation_v2_common_1!D8),0)</f>
        <v>1</v>
      </c>
      <c r="E8">
        <f>IF($D8=0,"NA",ROUND(SUM(recreation_v2_common_5!E8,recreation_v2_common_4!E8,recreation_v2_common_3!E8,recreation_v2_common_2!E8,recreation_v2_common_1!E8)/COUNT(recreation_v2_common_5!E8,recreation_v2_common_4!E8,recreation_v2_common_3!E8,recreation_v2_common_2!E8,recreation_v2_common_1!E8),0))</f>
        <v>1</v>
      </c>
      <c r="F8">
        <f>IF($D8=0,"NA",ROUND(SUM(recreation_v2_common_5!F8,recreation_v2_common_4!F8,recreation_v2_common_3!F8,recreation_v2_common_2!F8,recreation_v2_common_1!F8)/COUNT(recreation_v2_common_5!F8,recreation_v2_common_4!F8,recreation_v2_common_3!F8,recreation_v2_common_2!F8,recreation_v2_common_1!F8),0))</f>
        <v>1</v>
      </c>
      <c r="G8">
        <f>IF($D8=0,"NA",ROUND(SUM(recreation_v2_common_5!G8,recreation_v2_common_4!G8,recreation_v2_common_3!G8,recreation_v2_common_2!G8,recreation_v2_common_1!G8)/COUNT(recreation_v2_common_5!G8,recreation_v2_common_4!G8,recreation_v2_common_3!G8,recreation_v2_common_2!G8,recreation_v2_common_1!G8),0))</f>
        <v>1</v>
      </c>
      <c r="H8">
        <f>IF(E8=1, ROUND(SUM(recreation_v2_common_5!H8,recreation_v2_common_4!H8,recreation_v2_common_3!H8,recreation_v2_common_2!H8,recreation_v2_common_1!H8)/COUNT(recreation_v2_common_5!H8,recreation_v2_common_4!H8,recreation_v2_common_3!H8,recreation_v2_common_2!H8,recreation_v2_common_1!H8),0),"NA")</f>
        <v>1</v>
      </c>
      <c r="I8">
        <f>IF($D8=0,"NA",ROUND(SUM(recreation_v2_common_5!I8,recreation_v2_common_4!I8,recreation_v2_common_3!I8,recreation_v2_common_2!I8,recreation_v2_common_1!I8)/COUNT(recreation_v2_common_5!I8,recreation_v2_common_4!I8,recreation_v2_common_3!I8,recreation_v2_common_2!I8,recreation_v2_common_1!I8),0))</f>
        <v>1</v>
      </c>
      <c r="J8">
        <f>IF(AND(E8 = 1, F8 = 1),ROUND(SUM(recreation_v2_common_5!J8,recreation_v2_common_4!J8,recreation_v2_common_3!J8,recreation_v2_common_2!J8,recreation_v2_common_1!J8)/COUNT(recreation_v2_common_5!J8,recreation_v2_common_4!J8,recreation_v2_common_3!J8,recreation_v2_common_2!J8,recreation_v2_common_1!J8),0),"NA")</f>
        <v>1</v>
      </c>
      <c r="K8">
        <f>IF($D8=0,"NA",ROUND(SUM(recreation_v2_common_5!K8,recreation_v2_common_4!K8,recreation_v2_common_3!K8,recreation_v2_common_2!K8,recreation_v2_common_1!K8)/COUNT(recreation_v2_common_5!K8,recreation_v2_common_4!K8,recreation_v2_common_3!K8,recreation_v2_common_2!K8,recreation_v2_common_1!K8),0))</f>
        <v>1</v>
      </c>
      <c r="L8">
        <f>IF($D8=0,"NA",ROUND(SUM(recreation_v2_common_5!L8,recreation_v2_common_4!L8,recreation_v2_common_3!L8,recreation_v2_common_2!L8,recreation_v2_common_1!L8)/COUNT(recreation_v2_common_5!L8,recreation_v2_common_4!L8,recreation_v2_common_3!L8,recreation_v2_common_2!L8,recreation_v2_common_1!L8),0))</f>
        <v>1</v>
      </c>
      <c r="M8">
        <f>IF($D8=0,"NA",ROUND(SUM(recreation_v2_common_5!M8,recreation_v2_common_4!M8,recreation_v2_common_3!M8,recreation_v2_common_2!M8,recreation_v2_common_1!M8)/COUNT(recreation_v2_common_5!M8,recreation_v2_common_4!M8,recreation_v2_common_3!M8,recreation_v2_common_2!M8,recreation_v2_common_1!M8),0))</f>
        <v>1</v>
      </c>
      <c r="N8">
        <f>IF($D8=0,"NA",ROUND(SUM(recreation_v2_common_5!N8,recreation_v2_common_4!N8,recreation_v2_common_3!N8,recreation_v2_common_2!N8,recreation_v2_common_1!N8)/COUNT(recreation_v2_common_5!N8,recreation_v2_common_4!N8,recreation_v2_common_3!N8,recreation_v2_common_2!N8,recreation_v2_common_1!N8),0))</f>
        <v>1</v>
      </c>
      <c r="O8">
        <v>2.3503081798553471</v>
      </c>
    </row>
    <row r="9" spans="1:15" x14ac:dyDescent="0.25">
      <c r="A9" t="s">
        <v>202</v>
      </c>
      <c r="B9" t="s">
        <v>24</v>
      </c>
      <c r="C9">
        <v>0</v>
      </c>
      <c r="D9">
        <f>ROUND(SUM(recreation_v2_common_5!D9,recreation_v2_common_4!D9,recreation_v2_common_3!D9,recreation_v2_common_2!D9,recreation_v2_common_1!D9)/COUNT(recreation_v2_common_5!D9,recreation_v2_common_4!D9,recreation_v2_common_3!D9,recreation_v2_common_2!D9,recreation_v2_common_1!D9),0)</f>
        <v>1</v>
      </c>
      <c r="E9">
        <f>IF($D9=0,"NA",ROUND(SUM(recreation_v2_common_5!E9,recreation_v2_common_4!E9,recreation_v2_common_3!E9,recreation_v2_common_2!E9,recreation_v2_common_1!E9)/COUNT(recreation_v2_common_5!E9,recreation_v2_common_4!E9,recreation_v2_common_3!E9,recreation_v2_common_2!E9,recreation_v2_common_1!E9),0))</f>
        <v>1</v>
      </c>
      <c r="F9">
        <f>IF($D9=0,"NA",ROUND(SUM(recreation_v2_common_5!F9,recreation_v2_common_4!F9,recreation_v2_common_3!F9,recreation_v2_common_2!F9,recreation_v2_common_1!F9)/COUNT(recreation_v2_common_5!F9,recreation_v2_common_4!F9,recreation_v2_common_3!F9,recreation_v2_common_2!F9,recreation_v2_common_1!F9),0))</f>
        <v>1</v>
      </c>
      <c r="G9">
        <f>IF($D9=0,"NA",ROUND(SUM(recreation_v2_common_5!G9,recreation_v2_common_4!G9,recreation_v2_common_3!G9,recreation_v2_common_2!G9,recreation_v2_common_1!G9)/COUNT(recreation_v2_common_5!G9,recreation_v2_common_4!G9,recreation_v2_common_3!G9,recreation_v2_common_2!G9,recreation_v2_common_1!G9),0))</f>
        <v>1</v>
      </c>
      <c r="H9">
        <f>IF(E9=1, ROUND(SUM(recreation_v2_common_5!H9,recreation_v2_common_4!H9,recreation_v2_common_3!H9,recreation_v2_common_2!H9,recreation_v2_common_1!H9)/COUNT(recreation_v2_common_5!H9,recreation_v2_common_4!H9,recreation_v2_common_3!H9,recreation_v2_common_2!H9,recreation_v2_common_1!H9),0),"NA")</f>
        <v>1</v>
      </c>
      <c r="I9">
        <f>IF($D9=0,"NA",ROUND(SUM(recreation_v2_common_5!I9,recreation_v2_common_4!I9,recreation_v2_common_3!I9,recreation_v2_common_2!I9,recreation_v2_common_1!I9)/COUNT(recreation_v2_common_5!I9,recreation_v2_common_4!I9,recreation_v2_common_3!I9,recreation_v2_common_2!I9,recreation_v2_common_1!I9),0))</f>
        <v>1</v>
      </c>
      <c r="J9">
        <f>IF(AND(E9 = 1, F9 = 1),ROUND(SUM(recreation_v2_common_5!J9,recreation_v2_common_4!J9,recreation_v2_common_3!J9,recreation_v2_common_2!J9,recreation_v2_common_1!J9)/COUNT(recreation_v2_common_5!J9,recreation_v2_common_4!J9,recreation_v2_common_3!J9,recreation_v2_common_2!J9,recreation_v2_common_1!J9),0),"NA")</f>
        <v>1</v>
      </c>
      <c r="K9">
        <f>IF($D9=0,"NA",ROUND(SUM(recreation_v2_common_5!K9,recreation_v2_common_4!K9,recreation_v2_common_3!K9,recreation_v2_common_2!K9,recreation_v2_common_1!K9)/COUNT(recreation_v2_common_5!K9,recreation_v2_common_4!K9,recreation_v2_common_3!K9,recreation_v2_common_2!K9,recreation_v2_common_1!K9),0))</f>
        <v>1</v>
      </c>
      <c r="L9">
        <f>IF($D9=0,"NA",ROUND(SUM(recreation_v2_common_5!L9,recreation_v2_common_4!L9,recreation_v2_common_3!L9,recreation_v2_common_2!L9,recreation_v2_common_1!L9)/COUNT(recreation_v2_common_5!L9,recreation_v2_common_4!L9,recreation_v2_common_3!L9,recreation_v2_common_2!L9,recreation_v2_common_1!L9),0))</f>
        <v>1</v>
      </c>
      <c r="M9">
        <f>IF($D9=0,"NA",ROUND(SUM(recreation_v2_common_5!M9,recreation_v2_common_4!M9,recreation_v2_common_3!M9,recreation_v2_common_2!M9,recreation_v2_common_1!M9)/COUNT(recreation_v2_common_5!M9,recreation_v2_common_4!M9,recreation_v2_common_3!M9,recreation_v2_common_2!M9,recreation_v2_common_1!M9),0))</f>
        <v>1</v>
      </c>
      <c r="N9">
        <f>IF($D9=0,"NA",ROUND(SUM(recreation_v2_common_5!N9,recreation_v2_common_4!N9,recreation_v2_common_3!N9,recreation_v2_common_2!N9,recreation_v2_common_1!N9)/COUNT(recreation_v2_common_5!N9,recreation_v2_common_4!N9,recreation_v2_common_3!N9,recreation_v2_common_2!N9,recreation_v2_common_1!N9),0))</f>
        <v>1</v>
      </c>
      <c r="O9">
        <v>1.34052038192749</v>
      </c>
    </row>
    <row r="10" spans="1:15" x14ac:dyDescent="0.25">
      <c r="A10" t="s">
        <v>202</v>
      </c>
      <c r="B10" t="s">
        <v>25</v>
      </c>
      <c r="C10">
        <v>0</v>
      </c>
      <c r="D10">
        <f>ROUND(SUM(recreation_v2_common_5!D10,recreation_v2_common_4!D10,recreation_v2_common_3!D10,recreation_v2_common_2!D10,recreation_v2_common_1!D10)/COUNT(recreation_v2_common_5!D10,recreation_v2_common_4!D10,recreation_v2_common_3!D10,recreation_v2_common_2!D10,recreation_v2_common_1!D10),0)</f>
        <v>1</v>
      </c>
      <c r="E10">
        <f>IF($D10=0,"NA",ROUND(SUM(recreation_v2_common_5!E10,recreation_v2_common_4!E10,recreation_v2_common_3!E10,recreation_v2_common_2!E10,recreation_v2_common_1!E10)/COUNT(recreation_v2_common_5!E10,recreation_v2_common_4!E10,recreation_v2_common_3!E10,recreation_v2_common_2!E10,recreation_v2_common_1!E10),0))</f>
        <v>1</v>
      </c>
      <c r="F10">
        <f>IF($D10=0,"NA",ROUND(SUM(recreation_v2_common_5!F10,recreation_v2_common_4!F10,recreation_v2_common_3!F10,recreation_v2_common_2!F10,recreation_v2_common_1!F10)/COUNT(recreation_v2_common_5!F10,recreation_v2_common_4!F10,recreation_v2_common_3!F10,recreation_v2_common_2!F10,recreation_v2_common_1!F10),0))</f>
        <v>1</v>
      </c>
      <c r="G10">
        <f>IF($D10=0,"NA",ROUND(SUM(recreation_v2_common_5!G10,recreation_v2_common_4!G10,recreation_v2_common_3!G10,recreation_v2_common_2!G10,recreation_v2_common_1!G10)/COUNT(recreation_v2_common_5!G10,recreation_v2_common_4!G10,recreation_v2_common_3!G10,recreation_v2_common_2!G10,recreation_v2_common_1!G10),0))</f>
        <v>1</v>
      </c>
      <c r="H10">
        <f>IF(E10=1, ROUND(SUM(recreation_v2_common_5!H10,recreation_v2_common_4!H10,recreation_v2_common_3!H10,recreation_v2_common_2!H10,recreation_v2_common_1!H10)/COUNT(recreation_v2_common_5!H10,recreation_v2_common_4!H10,recreation_v2_common_3!H10,recreation_v2_common_2!H10,recreation_v2_common_1!H10),0),"NA")</f>
        <v>1</v>
      </c>
      <c r="I10">
        <f>IF($D10=0,"NA",ROUND(SUM(recreation_v2_common_5!I10,recreation_v2_common_4!I10,recreation_v2_common_3!I10,recreation_v2_common_2!I10,recreation_v2_common_1!I10)/COUNT(recreation_v2_common_5!I10,recreation_v2_common_4!I10,recreation_v2_common_3!I10,recreation_v2_common_2!I10,recreation_v2_common_1!I10),0))</f>
        <v>1</v>
      </c>
      <c r="J10">
        <f>IF(AND(E10 = 1, F10 = 1),ROUND(SUM(recreation_v2_common_5!J10,recreation_v2_common_4!J10,recreation_v2_common_3!J10,recreation_v2_common_2!J10,recreation_v2_common_1!J10)/COUNT(recreation_v2_common_5!J10,recreation_v2_common_4!J10,recreation_v2_common_3!J10,recreation_v2_common_2!J10,recreation_v2_common_1!J10),0),"NA")</f>
        <v>1</v>
      </c>
      <c r="K10">
        <f>IF($D10=0,"NA",ROUND(SUM(recreation_v2_common_5!K10,recreation_v2_common_4!K10,recreation_v2_common_3!K10,recreation_v2_common_2!K10,recreation_v2_common_1!K10)/COUNT(recreation_v2_common_5!K10,recreation_v2_common_4!K10,recreation_v2_common_3!K10,recreation_v2_common_2!K10,recreation_v2_common_1!K10),0))</f>
        <v>1</v>
      </c>
      <c r="L10">
        <f>IF($D10=0,"NA",ROUND(SUM(recreation_v2_common_5!L10,recreation_v2_common_4!L10,recreation_v2_common_3!L10,recreation_v2_common_2!L10,recreation_v2_common_1!L10)/COUNT(recreation_v2_common_5!L10,recreation_v2_common_4!L10,recreation_v2_common_3!L10,recreation_v2_common_2!L10,recreation_v2_common_1!L10),0))</f>
        <v>1</v>
      </c>
      <c r="M10">
        <f>IF($D10=0,"NA",ROUND(SUM(recreation_v2_common_5!M10,recreation_v2_common_4!M10,recreation_v2_common_3!M10,recreation_v2_common_2!M10,recreation_v2_common_1!M10)/COUNT(recreation_v2_common_5!M10,recreation_v2_common_4!M10,recreation_v2_common_3!M10,recreation_v2_common_2!M10,recreation_v2_common_1!M10),0))</f>
        <v>1</v>
      </c>
      <c r="N10">
        <f>IF($D10=0,"NA",ROUND(SUM(recreation_v2_common_5!N10,recreation_v2_common_4!N10,recreation_v2_common_3!N10,recreation_v2_common_2!N10,recreation_v2_common_1!N10)/COUNT(recreation_v2_common_5!N10,recreation_v2_common_4!N10,recreation_v2_common_3!N10,recreation_v2_common_2!N10,recreation_v2_common_1!N10),0))</f>
        <v>1</v>
      </c>
      <c r="O10">
        <v>2.147740364074707</v>
      </c>
    </row>
    <row r="11" spans="1:15" x14ac:dyDescent="0.25">
      <c r="A11" t="s">
        <v>202</v>
      </c>
      <c r="B11" t="s">
        <v>26</v>
      </c>
      <c r="C11">
        <v>0</v>
      </c>
      <c r="D11">
        <f>ROUND(SUM(recreation_v2_common_5!D11,recreation_v2_common_4!D11,recreation_v2_common_3!D11,recreation_v2_common_2!D11,recreation_v2_common_1!D11)/COUNT(recreation_v2_common_5!D11,recreation_v2_common_4!D11,recreation_v2_common_3!D11,recreation_v2_common_2!D11,recreation_v2_common_1!D11),0)</f>
        <v>1</v>
      </c>
      <c r="E11">
        <f>IF($D11=0,"NA",ROUND(SUM(recreation_v2_common_5!E11,recreation_v2_common_4!E11,recreation_v2_common_3!E11,recreation_v2_common_2!E11,recreation_v2_common_1!E11)/COUNT(recreation_v2_common_5!E11,recreation_v2_common_4!E11,recreation_v2_common_3!E11,recreation_v2_common_2!E11,recreation_v2_common_1!E11),0))</f>
        <v>1</v>
      </c>
      <c r="F11">
        <f>IF($D11=0,"NA",ROUND(SUM(recreation_v2_common_5!F11,recreation_v2_common_4!F11,recreation_v2_common_3!F11,recreation_v2_common_2!F11,recreation_v2_common_1!F11)/COUNT(recreation_v2_common_5!F11,recreation_v2_common_4!F11,recreation_v2_common_3!F11,recreation_v2_common_2!F11,recreation_v2_common_1!F11),0))</f>
        <v>1</v>
      </c>
      <c r="G11">
        <f>IF($D11=0,"NA",ROUND(SUM(recreation_v2_common_5!G11,recreation_v2_common_4!G11,recreation_v2_common_3!G11,recreation_v2_common_2!G11,recreation_v2_common_1!G11)/COUNT(recreation_v2_common_5!G11,recreation_v2_common_4!G11,recreation_v2_common_3!G11,recreation_v2_common_2!G11,recreation_v2_common_1!G11),0))</f>
        <v>1</v>
      </c>
      <c r="H11">
        <f>IF(E11=1, ROUND(SUM(recreation_v2_common_5!H11,recreation_v2_common_4!H11,recreation_v2_common_3!H11,recreation_v2_common_2!H11,recreation_v2_common_1!H11)/COUNT(recreation_v2_common_5!H11,recreation_v2_common_4!H11,recreation_v2_common_3!H11,recreation_v2_common_2!H11,recreation_v2_common_1!H11),0),"NA")</f>
        <v>1</v>
      </c>
      <c r="I11">
        <f>IF($D11=0,"NA",ROUND(SUM(recreation_v2_common_5!I11,recreation_v2_common_4!I11,recreation_v2_common_3!I11,recreation_v2_common_2!I11,recreation_v2_common_1!I11)/COUNT(recreation_v2_common_5!I11,recreation_v2_common_4!I11,recreation_v2_common_3!I11,recreation_v2_common_2!I11,recreation_v2_common_1!I11),0))</f>
        <v>1</v>
      </c>
      <c r="J11">
        <f>IF(AND(E11 = 1, F11 = 1),ROUND(SUM(recreation_v2_common_5!J11,recreation_v2_common_4!J11,recreation_v2_common_3!J11,recreation_v2_common_2!J11,recreation_v2_common_1!J11)/COUNT(recreation_v2_common_5!J11,recreation_v2_common_4!J11,recreation_v2_common_3!J11,recreation_v2_common_2!J11,recreation_v2_common_1!J11),0),"NA")</f>
        <v>1</v>
      </c>
      <c r="K11">
        <f>IF($D11=0,"NA",ROUND(SUM(recreation_v2_common_5!K11,recreation_v2_common_4!K11,recreation_v2_common_3!K11,recreation_v2_common_2!K11,recreation_v2_common_1!K11)/COUNT(recreation_v2_common_5!K11,recreation_v2_common_4!K11,recreation_v2_common_3!K11,recreation_v2_common_2!K11,recreation_v2_common_1!K11),0))</f>
        <v>1</v>
      </c>
      <c r="L11">
        <f>IF($D11=0,"NA",ROUND(SUM(recreation_v2_common_5!L11,recreation_v2_common_4!L11,recreation_v2_common_3!L11,recreation_v2_common_2!L11,recreation_v2_common_1!L11)/COUNT(recreation_v2_common_5!L11,recreation_v2_common_4!L11,recreation_v2_common_3!L11,recreation_v2_common_2!L11,recreation_v2_common_1!L11),0))</f>
        <v>1</v>
      </c>
      <c r="M11">
        <f>IF($D11=0,"NA",ROUND(SUM(recreation_v2_common_5!M11,recreation_v2_common_4!M11,recreation_v2_common_3!M11,recreation_v2_common_2!M11,recreation_v2_common_1!M11)/COUNT(recreation_v2_common_5!M11,recreation_v2_common_4!M11,recreation_v2_common_3!M11,recreation_v2_common_2!M11,recreation_v2_common_1!M11),0))</f>
        <v>1</v>
      </c>
      <c r="N11">
        <f>IF($D11=0,"NA",ROUND(SUM(recreation_v2_common_5!N11,recreation_v2_common_4!N11,recreation_v2_common_3!N11,recreation_v2_common_2!N11,recreation_v2_common_1!N11)/COUNT(recreation_v2_common_5!N11,recreation_v2_common_4!N11,recreation_v2_common_3!N11,recreation_v2_common_2!N11,recreation_v2_common_1!N11),0))</f>
        <v>1</v>
      </c>
      <c r="O11">
        <v>3.0851109027862549</v>
      </c>
    </row>
    <row r="12" spans="1:15" x14ac:dyDescent="0.25">
      <c r="A12" t="s">
        <v>202</v>
      </c>
      <c r="B12" t="s">
        <v>27</v>
      </c>
      <c r="C12">
        <v>0</v>
      </c>
      <c r="D12">
        <f>ROUND(SUM(recreation_v2_common_5!D12,recreation_v2_common_4!D12,recreation_v2_common_3!D12,recreation_v2_common_2!D12,recreation_v2_common_1!D12)/COUNT(recreation_v2_common_5!D12,recreation_v2_common_4!D12,recreation_v2_common_3!D12,recreation_v2_common_2!D12,recreation_v2_common_1!D12),0)</f>
        <v>1</v>
      </c>
      <c r="E12">
        <f>IF($D12=0,"NA",ROUND(SUM(recreation_v2_common_5!E12,recreation_v2_common_4!E12,recreation_v2_common_3!E12,recreation_v2_common_2!E12,recreation_v2_common_1!E12)/COUNT(recreation_v2_common_5!E12,recreation_v2_common_4!E12,recreation_v2_common_3!E12,recreation_v2_common_2!E12,recreation_v2_common_1!E12),0))</f>
        <v>0</v>
      </c>
      <c r="F12">
        <f>IF($D12=0,"NA",ROUND(SUM(recreation_v2_common_5!F12,recreation_v2_common_4!F12,recreation_v2_common_3!F12,recreation_v2_common_2!F12,recreation_v2_common_1!F12)/COUNT(recreation_v2_common_5!F12,recreation_v2_common_4!F12,recreation_v2_common_3!F12,recreation_v2_common_2!F12,recreation_v2_common_1!F12),0))</f>
        <v>1</v>
      </c>
      <c r="G12">
        <f>IF($D12=0,"NA",ROUND(SUM(recreation_v2_common_5!G12,recreation_v2_common_4!G12,recreation_v2_common_3!G12,recreation_v2_common_2!G12,recreation_v2_common_1!G12)/COUNT(recreation_v2_common_5!G12,recreation_v2_common_4!G12,recreation_v2_common_3!G12,recreation_v2_common_2!G12,recreation_v2_common_1!G12),0))</f>
        <v>1</v>
      </c>
      <c r="H12" t="str">
        <f>IF(E12=1, ROUND(SUM(recreation_v2_common_5!H12,recreation_v2_common_4!H12,recreation_v2_common_3!H12,recreation_v2_common_2!H12,recreation_v2_common_1!H12)/COUNT(recreation_v2_common_5!H12,recreation_v2_common_4!H12,recreation_v2_common_3!H12,recreation_v2_common_2!H12,recreation_v2_common_1!H12),0),"NA")</f>
        <v>NA</v>
      </c>
      <c r="I12">
        <f>IF($D12=0,"NA",ROUND(SUM(recreation_v2_common_5!I12,recreation_v2_common_4!I12,recreation_v2_common_3!I12,recreation_v2_common_2!I12,recreation_v2_common_1!I12)/COUNT(recreation_v2_common_5!I12,recreation_v2_common_4!I12,recreation_v2_common_3!I12,recreation_v2_common_2!I12,recreation_v2_common_1!I12),0))</f>
        <v>1</v>
      </c>
      <c r="J12" t="str">
        <f>IF(AND(E12 = 1, F12 = 1),ROUND(SUM(recreation_v2_common_5!J12,recreation_v2_common_4!J12,recreation_v2_common_3!J12,recreation_v2_common_2!J12,recreation_v2_common_1!J12)/COUNT(recreation_v2_common_5!J12,recreation_v2_common_4!J12,recreation_v2_common_3!J12,recreation_v2_common_2!J12,recreation_v2_common_1!J12),0),"NA")</f>
        <v>NA</v>
      </c>
      <c r="K12">
        <f>IF($D12=0,"NA",ROUND(SUM(recreation_v2_common_5!K12,recreation_v2_common_4!K12,recreation_v2_common_3!K12,recreation_v2_common_2!K12,recreation_v2_common_1!K12)/COUNT(recreation_v2_common_5!K12,recreation_v2_common_4!K12,recreation_v2_common_3!K12,recreation_v2_common_2!K12,recreation_v2_common_1!K12),0))</f>
        <v>1</v>
      </c>
      <c r="L12">
        <f>IF($D12=0,"NA",ROUND(SUM(recreation_v2_common_5!L12,recreation_v2_common_4!L12,recreation_v2_common_3!L12,recreation_v2_common_2!L12,recreation_v2_common_1!L12)/COUNT(recreation_v2_common_5!L12,recreation_v2_common_4!L12,recreation_v2_common_3!L12,recreation_v2_common_2!L12,recreation_v2_common_1!L12),0))</f>
        <v>1</v>
      </c>
      <c r="M12">
        <f>IF($D12=0,"NA",ROUND(SUM(recreation_v2_common_5!M12,recreation_v2_common_4!M12,recreation_v2_common_3!M12,recreation_v2_common_2!M12,recreation_v2_common_1!M12)/COUNT(recreation_v2_common_5!M12,recreation_v2_common_4!M12,recreation_v2_common_3!M12,recreation_v2_common_2!M12,recreation_v2_common_1!M12),0))</f>
        <v>1</v>
      </c>
      <c r="N12">
        <f>IF($D12=0,"NA",ROUND(SUM(recreation_v2_common_5!N12,recreation_v2_common_4!N12,recreation_v2_common_3!N12,recreation_v2_common_2!N12,recreation_v2_common_1!N12)/COUNT(recreation_v2_common_5!N12,recreation_v2_common_4!N12,recreation_v2_common_3!N12,recreation_v2_common_2!N12,recreation_v2_common_1!N12),0))</f>
        <v>1</v>
      </c>
      <c r="O12">
        <v>2.3609168529510498</v>
      </c>
    </row>
    <row r="13" spans="1:15" x14ac:dyDescent="0.25">
      <c r="A13" t="s">
        <v>202</v>
      </c>
      <c r="B13" t="s">
        <v>29</v>
      </c>
      <c r="C13">
        <v>0</v>
      </c>
      <c r="D13">
        <f>ROUND(SUM(recreation_v2_common_5!D13,recreation_v2_common_4!D13,recreation_v2_common_3!D13,recreation_v2_common_2!D13,recreation_v2_common_1!D13)/COUNT(recreation_v2_common_5!D13,recreation_v2_common_4!D13,recreation_v2_common_3!D13,recreation_v2_common_2!D13,recreation_v2_common_1!D13),0)</f>
        <v>1</v>
      </c>
      <c r="E13">
        <f>IF($D13=0,"NA",ROUND(SUM(recreation_v2_common_5!E13,recreation_v2_common_4!E13,recreation_v2_common_3!E13,recreation_v2_common_2!E13,recreation_v2_common_1!E13)/COUNT(recreation_v2_common_5!E13,recreation_v2_common_4!E13,recreation_v2_common_3!E13,recreation_v2_common_2!E13,recreation_v2_common_1!E13),0))</f>
        <v>1</v>
      </c>
      <c r="F13">
        <f>IF($D13=0,"NA",ROUND(SUM(recreation_v2_common_5!F13,recreation_v2_common_4!F13,recreation_v2_common_3!F13,recreation_v2_common_2!F13,recreation_v2_common_1!F13)/COUNT(recreation_v2_common_5!F13,recreation_v2_common_4!F13,recreation_v2_common_3!F13,recreation_v2_common_2!F13,recreation_v2_common_1!F13),0))</f>
        <v>1</v>
      </c>
      <c r="G13">
        <f>IF($D13=0,"NA",ROUND(SUM(recreation_v2_common_5!G13,recreation_v2_common_4!G13,recreation_v2_common_3!G13,recreation_v2_common_2!G13,recreation_v2_common_1!G13)/COUNT(recreation_v2_common_5!G13,recreation_v2_common_4!G13,recreation_v2_common_3!G13,recreation_v2_common_2!G13,recreation_v2_common_1!G13),0))</f>
        <v>1</v>
      </c>
      <c r="H13">
        <f>IF(E13=1, ROUND(SUM(recreation_v2_common_5!H13,recreation_v2_common_4!H13,recreation_v2_common_3!H13,recreation_v2_common_2!H13,recreation_v2_common_1!H13)/COUNT(recreation_v2_common_5!H13,recreation_v2_common_4!H13,recreation_v2_common_3!H13,recreation_v2_common_2!H13,recreation_v2_common_1!H13),0),"NA")</f>
        <v>1</v>
      </c>
      <c r="I13">
        <f>IF($D13=0,"NA",ROUND(SUM(recreation_v2_common_5!I13,recreation_v2_common_4!I13,recreation_v2_common_3!I13,recreation_v2_common_2!I13,recreation_v2_common_1!I13)/COUNT(recreation_v2_common_5!I13,recreation_v2_common_4!I13,recreation_v2_common_3!I13,recreation_v2_common_2!I13,recreation_v2_common_1!I13),0))</f>
        <v>1</v>
      </c>
      <c r="J13">
        <f>IF(AND(E13 = 1, F13 = 1),ROUND(SUM(recreation_v2_common_5!J13,recreation_v2_common_4!J13,recreation_v2_common_3!J13,recreation_v2_common_2!J13,recreation_v2_common_1!J13)/COUNT(recreation_v2_common_5!J13,recreation_v2_common_4!J13,recreation_v2_common_3!J13,recreation_v2_common_2!J13,recreation_v2_common_1!J13),0),"NA")</f>
        <v>1</v>
      </c>
      <c r="K13">
        <f>IF($D13=0,"NA",ROUND(SUM(recreation_v2_common_5!K13,recreation_v2_common_4!K13,recreation_v2_common_3!K13,recreation_v2_common_2!K13,recreation_v2_common_1!K13)/COUNT(recreation_v2_common_5!K13,recreation_v2_common_4!K13,recreation_v2_common_3!K13,recreation_v2_common_2!K13,recreation_v2_common_1!K13),0))</f>
        <v>1</v>
      </c>
      <c r="L13">
        <f>IF($D13=0,"NA",ROUND(SUM(recreation_v2_common_5!L13,recreation_v2_common_4!L13,recreation_v2_common_3!L13,recreation_v2_common_2!L13,recreation_v2_common_1!L13)/COUNT(recreation_v2_common_5!L13,recreation_v2_common_4!L13,recreation_v2_common_3!L13,recreation_v2_common_2!L13,recreation_v2_common_1!L13),0))</f>
        <v>1</v>
      </c>
      <c r="M13">
        <f>IF($D13=0,"NA",ROUND(SUM(recreation_v2_common_5!M13,recreation_v2_common_4!M13,recreation_v2_common_3!M13,recreation_v2_common_2!M13,recreation_v2_common_1!M13)/COUNT(recreation_v2_common_5!M13,recreation_v2_common_4!M13,recreation_v2_common_3!M13,recreation_v2_common_2!M13,recreation_v2_common_1!M13),0))</f>
        <v>1</v>
      </c>
      <c r="N13">
        <f>IF($D13=0,"NA",ROUND(SUM(recreation_v2_common_5!N13,recreation_v2_common_4!N13,recreation_v2_common_3!N13,recreation_v2_common_2!N13,recreation_v2_common_1!N13)/COUNT(recreation_v2_common_5!N13,recreation_v2_common_4!N13,recreation_v2_common_3!N13,recreation_v2_common_2!N13,recreation_v2_common_1!N13),0))</f>
        <v>1</v>
      </c>
      <c r="O13">
        <v>1.3451828956603999</v>
      </c>
    </row>
    <row r="14" spans="1:15" x14ac:dyDescent="0.25">
      <c r="A14" t="s">
        <v>202</v>
      </c>
      <c r="B14" t="s">
        <v>30</v>
      </c>
      <c r="C14">
        <v>0</v>
      </c>
      <c r="D14">
        <f>ROUND(SUM(recreation_v2_common_5!D14,recreation_v2_common_4!D14,recreation_v2_common_3!D14,recreation_v2_common_2!D14,recreation_v2_common_1!D14)/COUNT(recreation_v2_common_5!D14,recreation_v2_common_4!D14,recreation_v2_common_3!D14,recreation_v2_common_2!D14,recreation_v2_common_1!D14),0)</f>
        <v>1</v>
      </c>
      <c r="E14">
        <f>IF($D14=0,"NA",ROUND(SUM(recreation_v2_common_5!E14,recreation_v2_common_4!E14,recreation_v2_common_3!E14,recreation_v2_common_2!E14,recreation_v2_common_1!E14)/COUNT(recreation_v2_common_5!E14,recreation_v2_common_4!E14,recreation_v2_common_3!E14,recreation_v2_common_2!E14,recreation_v2_common_1!E14),0))</f>
        <v>1</v>
      </c>
      <c r="F14">
        <f>IF($D14=0,"NA",ROUND(SUM(recreation_v2_common_5!F14,recreation_v2_common_4!F14,recreation_v2_common_3!F14,recreation_v2_common_2!F14,recreation_v2_common_1!F14)/COUNT(recreation_v2_common_5!F14,recreation_v2_common_4!F14,recreation_v2_common_3!F14,recreation_v2_common_2!F14,recreation_v2_common_1!F14),0))</f>
        <v>1</v>
      </c>
      <c r="G14">
        <f>IF($D14=0,"NA",ROUND(SUM(recreation_v2_common_5!G14,recreation_v2_common_4!G14,recreation_v2_common_3!G14,recreation_v2_common_2!G14,recreation_v2_common_1!G14)/COUNT(recreation_v2_common_5!G14,recreation_v2_common_4!G14,recreation_v2_common_3!G14,recreation_v2_common_2!G14,recreation_v2_common_1!G14),0))</f>
        <v>1</v>
      </c>
      <c r="H14">
        <f>IF(E14=1, ROUND(SUM(recreation_v2_common_5!H14,recreation_v2_common_4!H14,recreation_v2_common_3!H14,recreation_v2_common_2!H14,recreation_v2_common_1!H14)/COUNT(recreation_v2_common_5!H14,recreation_v2_common_4!H14,recreation_v2_common_3!H14,recreation_v2_common_2!H14,recreation_v2_common_1!H14),0),"NA")</f>
        <v>1</v>
      </c>
      <c r="I14">
        <f>IF($D14=0,"NA",ROUND(SUM(recreation_v2_common_5!I14,recreation_v2_common_4!I14,recreation_v2_common_3!I14,recreation_v2_common_2!I14,recreation_v2_common_1!I14)/COUNT(recreation_v2_common_5!I14,recreation_v2_common_4!I14,recreation_v2_common_3!I14,recreation_v2_common_2!I14,recreation_v2_common_1!I14),0))</f>
        <v>1</v>
      </c>
      <c r="J14">
        <f>IF(AND(E14 = 1, F14 = 1),ROUND(SUM(recreation_v2_common_5!J14,recreation_v2_common_4!J14,recreation_v2_common_3!J14,recreation_v2_common_2!J14,recreation_v2_common_1!J14)/COUNT(recreation_v2_common_5!J14,recreation_v2_common_4!J14,recreation_v2_common_3!J14,recreation_v2_common_2!J14,recreation_v2_common_1!J14),0),"NA")</f>
        <v>1</v>
      </c>
      <c r="K14">
        <f>IF($D14=0,"NA",ROUND(SUM(recreation_v2_common_5!K14,recreation_v2_common_4!K14,recreation_v2_common_3!K14,recreation_v2_common_2!K14,recreation_v2_common_1!K14)/COUNT(recreation_v2_common_5!K14,recreation_v2_common_4!K14,recreation_v2_common_3!K14,recreation_v2_common_2!K14,recreation_v2_common_1!K14),0))</f>
        <v>1</v>
      </c>
      <c r="L14">
        <f>IF($D14=0,"NA",ROUND(SUM(recreation_v2_common_5!L14,recreation_v2_common_4!L14,recreation_v2_common_3!L14,recreation_v2_common_2!L14,recreation_v2_common_1!L14)/COUNT(recreation_v2_common_5!L14,recreation_v2_common_4!L14,recreation_v2_common_3!L14,recreation_v2_common_2!L14,recreation_v2_common_1!L14),0))</f>
        <v>1</v>
      </c>
      <c r="M14">
        <f>IF($D14=0,"NA",ROUND(SUM(recreation_v2_common_5!M14,recreation_v2_common_4!M14,recreation_v2_common_3!M14,recreation_v2_common_2!M14,recreation_v2_common_1!M14)/COUNT(recreation_v2_common_5!M14,recreation_v2_common_4!M14,recreation_v2_common_3!M14,recreation_v2_common_2!M14,recreation_v2_common_1!M14),0))</f>
        <v>1</v>
      </c>
      <c r="N14">
        <f>IF($D14=0,"NA",ROUND(SUM(recreation_v2_common_5!N14,recreation_v2_common_4!N14,recreation_v2_common_3!N14,recreation_v2_common_2!N14,recreation_v2_common_1!N14)/COUNT(recreation_v2_common_5!N14,recreation_v2_common_4!N14,recreation_v2_common_3!N14,recreation_v2_common_2!N14,recreation_v2_common_1!N14),0))</f>
        <v>1</v>
      </c>
      <c r="O14">
        <v>2.0411274433135991</v>
      </c>
    </row>
    <row r="15" spans="1:15" x14ac:dyDescent="0.25">
      <c r="A15" t="s">
        <v>202</v>
      </c>
      <c r="B15" t="s">
        <v>31</v>
      </c>
      <c r="C15">
        <v>0</v>
      </c>
      <c r="D15">
        <f>ROUND(SUM(recreation_v2_common_5!D15,recreation_v2_common_4!D15,recreation_v2_common_3!D15,recreation_v2_common_2!D15,recreation_v2_common_1!D15)/COUNT(recreation_v2_common_5!D15,recreation_v2_common_4!D15,recreation_v2_common_3!D15,recreation_v2_common_2!D15,recreation_v2_common_1!D15),0)</f>
        <v>1</v>
      </c>
      <c r="E15">
        <f>IF($D15=0,"NA",ROUND(SUM(recreation_v2_common_5!E15,recreation_v2_common_4!E15,recreation_v2_common_3!E15,recreation_v2_common_2!E15,recreation_v2_common_1!E15)/COUNT(recreation_v2_common_5!E15,recreation_v2_common_4!E15,recreation_v2_common_3!E15,recreation_v2_common_2!E15,recreation_v2_common_1!E15),0))</f>
        <v>1</v>
      </c>
      <c r="F15">
        <f>IF($D15=0,"NA",ROUND(SUM(recreation_v2_common_5!F15,recreation_v2_common_4!F15,recreation_v2_common_3!F15,recreation_v2_common_2!F15,recreation_v2_common_1!F15)/COUNT(recreation_v2_common_5!F15,recreation_v2_common_4!F15,recreation_v2_common_3!F15,recreation_v2_common_2!F15,recreation_v2_common_1!F15),0))</f>
        <v>0</v>
      </c>
      <c r="G15">
        <f>IF($D15=0,"NA",ROUND(SUM(recreation_v2_common_5!G15,recreation_v2_common_4!G15,recreation_v2_common_3!G15,recreation_v2_common_2!G15,recreation_v2_common_1!G15)/COUNT(recreation_v2_common_5!G15,recreation_v2_common_4!G15,recreation_v2_common_3!G15,recreation_v2_common_2!G15,recreation_v2_common_1!G15),0))</f>
        <v>1</v>
      </c>
      <c r="H15">
        <f>IF(E15=1, ROUND(SUM(recreation_v2_common_5!H15,recreation_v2_common_4!H15,recreation_v2_common_3!H15,recreation_v2_common_2!H15,recreation_v2_common_1!H15)/COUNT(recreation_v2_common_5!H15,recreation_v2_common_4!H15,recreation_v2_common_3!H15,recreation_v2_common_2!H15,recreation_v2_common_1!H15),0),"NA")</f>
        <v>1</v>
      </c>
      <c r="I15">
        <f>IF($D15=0,"NA",ROUND(SUM(recreation_v2_common_5!I15,recreation_v2_common_4!I15,recreation_v2_common_3!I15,recreation_v2_common_2!I15,recreation_v2_common_1!I15)/COUNT(recreation_v2_common_5!I15,recreation_v2_common_4!I15,recreation_v2_common_3!I15,recreation_v2_common_2!I15,recreation_v2_common_1!I15),0))</f>
        <v>1</v>
      </c>
      <c r="J15" t="str">
        <f>IF(AND(E15 = 1, F15 = 1),ROUND(SUM(recreation_v2_common_5!J15,recreation_v2_common_4!J15,recreation_v2_common_3!J15,recreation_v2_common_2!J15,recreation_v2_common_1!J15)/COUNT(recreation_v2_common_5!J15,recreation_v2_common_4!J15,recreation_v2_common_3!J15,recreation_v2_common_2!J15,recreation_v2_common_1!J15),0),"NA")</f>
        <v>NA</v>
      </c>
      <c r="K15">
        <f>IF($D15=0,"NA",ROUND(SUM(recreation_v2_common_5!K15,recreation_v2_common_4!K15,recreation_v2_common_3!K15,recreation_v2_common_2!K15,recreation_v2_common_1!K15)/COUNT(recreation_v2_common_5!K15,recreation_v2_common_4!K15,recreation_v2_common_3!K15,recreation_v2_common_2!K15,recreation_v2_common_1!K15),0))</f>
        <v>1</v>
      </c>
      <c r="L15">
        <f>IF($D15=0,"NA",ROUND(SUM(recreation_v2_common_5!L15,recreation_v2_common_4!L15,recreation_v2_common_3!L15,recreation_v2_common_2!L15,recreation_v2_common_1!L15)/COUNT(recreation_v2_common_5!L15,recreation_v2_common_4!L15,recreation_v2_common_3!L15,recreation_v2_common_2!L15,recreation_v2_common_1!L15),0))</f>
        <v>1</v>
      </c>
      <c r="M15">
        <f>IF($D15=0,"NA",ROUND(SUM(recreation_v2_common_5!M15,recreation_v2_common_4!M15,recreation_v2_common_3!M15,recreation_v2_common_2!M15,recreation_v2_common_1!M15)/COUNT(recreation_v2_common_5!M15,recreation_v2_common_4!M15,recreation_v2_common_3!M15,recreation_v2_common_2!M15,recreation_v2_common_1!M15),0))</f>
        <v>1</v>
      </c>
      <c r="N15">
        <f>IF($D15=0,"NA",ROUND(SUM(recreation_v2_common_5!N15,recreation_v2_common_4!N15,recreation_v2_common_3!N15,recreation_v2_common_2!N15,recreation_v2_common_1!N15)/COUNT(recreation_v2_common_5!N15,recreation_v2_common_4!N15,recreation_v2_common_3!N15,recreation_v2_common_2!N15,recreation_v2_common_1!N15),0))</f>
        <v>1</v>
      </c>
      <c r="O15">
        <v>2.9808940887451172</v>
      </c>
    </row>
    <row r="16" spans="1:15" x14ac:dyDescent="0.25">
      <c r="A16" t="s">
        <v>202</v>
      </c>
      <c r="B16" t="s">
        <v>33</v>
      </c>
      <c r="C16">
        <v>0</v>
      </c>
      <c r="D16">
        <f>ROUND(SUM(recreation_v2_common_5!D16,recreation_v2_common_4!D16,recreation_v2_common_3!D16,recreation_v2_common_2!D16,recreation_v2_common_1!D16)/COUNT(recreation_v2_common_5!D16,recreation_v2_common_4!D16,recreation_v2_common_3!D16,recreation_v2_common_2!D16,recreation_v2_common_1!D16),0)</f>
        <v>1</v>
      </c>
      <c r="E16">
        <f>IF($D16=0,"NA",ROUND(SUM(recreation_v2_common_5!E16,recreation_v2_common_4!E16,recreation_v2_common_3!E16,recreation_v2_common_2!E16,recreation_v2_common_1!E16)/COUNT(recreation_v2_common_5!E16,recreation_v2_common_4!E16,recreation_v2_common_3!E16,recreation_v2_common_2!E16,recreation_v2_common_1!E16),0))</f>
        <v>0</v>
      </c>
      <c r="F16">
        <f>IF($D16=0,"NA",ROUND(SUM(recreation_v2_common_5!F16,recreation_v2_common_4!F16,recreation_v2_common_3!F16,recreation_v2_common_2!F16,recreation_v2_common_1!F16)/COUNT(recreation_v2_common_5!F16,recreation_v2_common_4!F16,recreation_v2_common_3!F16,recreation_v2_common_2!F16,recreation_v2_common_1!F16),0))</f>
        <v>1</v>
      </c>
      <c r="G16">
        <f>IF($D16=0,"NA",ROUND(SUM(recreation_v2_common_5!G16,recreation_v2_common_4!G16,recreation_v2_common_3!G16,recreation_v2_common_2!G16,recreation_v2_common_1!G16)/COUNT(recreation_v2_common_5!G16,recreation_v2_common_4!G16,recreation_v2_common_3!G16,recreation_v2_common_2!G16,recreation_v2_common_1!G16),0))</f>
        <v>1</v>
      </c>
      <c r="H16" t="str">
        <f>IF(E16=1, ROUND(SUM(recreation_v2_common_5!H16,recreation_v2_common_4!H16,recreation_v2_common_3!H16,recreation_v2_common_2!H16,recreation_v2_common_1!H16)/COUNT(recreation_v2_common_5!H16,recreation_v2_common_4!H16,recreation_v2_common_3!H16,recreation_v2_common_2!H16,recreation_v2_common_1!H16),0),"NA")</f>
        <v>NA</v>
      </c>
      <c r="I16">
        <f>IF($D16=0,"NA",ROUND(SUM(recreation_v2_common_5!I16,recreation_v2_common_4!I16,recreation_v2_common_3!I16,recreation_v2_common_2!I16,recreation_v2_common_1!I16)/COUNT(recreation_v2_common_5!I16,recreation_v2_common_4!I16,recreation_v2_common_3!I16,recreation_v2_common_2!I16,recreation_v2_common_1!I16),0))</f>
        <v>1</v>
      </c>
      <c r="J16" t="str">
        <f>IF(AND(E16 = 1, F16 = 1),ROUND(SUM(recreation_v2_common_5!J16,recreation_v2_common_4!J16,recreation_v2_common_3!J16,recreation_v2_common_2!J16,recreation_v2_common_1!J16)/COUNT(recreation_v2_common_5!J16,recreation_v2_common_4!J16,recreation_v2_common_3!J16,recreation_v2_common_2!J16,recreation_v2_common_1!J16),0),"NA")</f>
        <v>NA</v>
      </c>
      <c r="K16">
        <f>IF($D16=0,"NA",ROUND(SUM(recreation_v2_common_5!K16,recreation_v2_common_4!K16,recreation_v2_common_3!K16,recreation_v2_common_2!K16,recreation_v2_common_1!K16)/COUNT(recreation_v2_common_5!K16,recreation_v2_common_4!K16,recreation_v2_common_3!K16,recreation_v2_common_2!K16,recreation_v2_common_1!K16),0))</f>
        <v>1</v>
      </c>
      <c r="L16">
        <f>IF($D16=0,"NA",ROUND(SUM(recreation_v2_common_5!L16,recreation_v2_common_4!L16,recreation_v2_common_3!L16,recreation_v2_common_2!L16,recreation_v2_common_1!L16)/COUNT(recreation_v2_common_5!L16,recreation_v2_common_4!L16,recreation_v2_common_3!L16,recreation_v2_common_2!L16,recreation_v2_common_1!L16),0))</f>
        <v>1</v>
      </c>
      <c r="M16">
        <f>IF($D16=0,"NA",ROUND(SUM(recreation_v2_common_5!M16,recreation_v2_common_4!M16,recreation_v2_common_3!M16,recreation_v2_common_2!M16,recreation_v2_common_1!M16)/COUNT(recreation_v2_common_5!M16,recreation_v2_common_4!M16,recreation_v2_common_3!M16,recreation_v2_common_2!M16,recreation_v2_common_1!M16),0))</f>
        <v>1</v>
      </c>
      <c r="N16">
        <f>IF($D16=0,"NA",ROUND(SUM(recreation_v2_common_5!N16,recreation_v2_common_4!N16,recreation_v2_common_3!N16,recreation_v2_common_2!N16,recreation_v2_common_1!N16)/COUNT(recreation_v2_common_5!N16,recreation_v2_common_4!N16,recreation_v2_common_3!N16,recreation_v2_common_2!N16,recreation_v2_common_1!N16),0))</f>
        <v>1</v>
      </c>
      <c r="O16">
        <v>6.3048510551452637</v>
      </c>
    </row>
    <row r="17" spans="1:15" x14ac:dyDescent="0.25">
      <c r="A17" t="s">
        <v>202</v>
      </c>
      <c r="B17" t="s">
        <v>35</v>
      </c>
      <c r="C17">
        <v>0</v>
      </c>
      <c r="D17">
        <f>ROUND(SUM(recreation_v2_common_5!D17,recreation_v2_common_4!D17,recreation_v2_common_3!D17,recreation_v2_common_2!D17,recreation_v2_common_1!D17)/COUNT(recreation_v2_common_5!D17,recreation_v2_common_4!D17,recreation_v2_common_3!D17,recreation_v2_common_2!D17,recreation_v2_common_1!D17),0)</f>
        <v>1</v>
      </c>
      <c r="E17">
        <f>IF($D17=0,"NA",ROUND(SUM(recreation_v2_common_5!E17,recreation_v2_common_4!E17,recreation_v2_common_3!E17,recreation_v2_common_2!E17,recreation_v2_common_1!E17)/COUNT(recreation_v2_common_5!E17,recreation_v2_common_4!E17,recreation_v2_common_3!E17,recreation_v2_common_2!E17,recreation_v2_common_1!E17),0))</f>
        <v>1</v>
      </c>
      <c r="F17">
        <f>IF($D17=0,"NA",ROUND(SUM(recreation_v2_common_5!F17,recreation_v2_common_4!F17,recreation_v2_common_3!F17,recreation_v2_common_2!F17,recreation_v2_common_1!F17)/COUNT(recreation_v2_common_5!F17,recreation_v2_common_4!F17,recreation_v2_common_3!F17,recreation_v2_common_2!F17,recreation_v2_common_1!F17),0))</f>
        <v>1</v>
      </c>
      <c r="G17">
        <f>IF($D17=0,"NA",ROUND(SUM(recreation_v2_common_5!G17,recreation_v2_common_4!G17,recreation_v2_common_3!G17,recreation_v2_common_2!G17,recreation_v2_common_1!G17)/COUNT(recreation_v2_common_5!G17,recreation_v2_common_4!G17,recreation_v2_common_3!G17,recreation_v2_common_2!G17,recreation_v2_common_1!G17),0))</f>
        <v>1</v>
      </c>
      <c r="H17">
        <f>IF(E17=1, ROUND(SUM(recreation_v2_common_5!H17,recreation_v2_common_4!H17,recreation_v2_common_3!H17,recreation_v2_common_2!H17,recreation_v2_common_1!H17)/COUNT(recreation_v2_common_5!H17,recreation_v2_common_4!H17,recreation_v2_common_3!H17,recreation_v2_common_2!H17,recreation_v2_common_1!H17),0),"NA")</f>
        <v>1</v>
      </c>
      <c r="I17">
        <f>IF($D17=0,"NA",ROUND(SUM(recreation_v2_common_5!I17,recreation_v2_common_4!I17,recreation_v2_common_3!I17,recreation_v2_common_2!I17,recreation_v2_common_1!I17)/COUNT(recreation_v2_common_5!I17,recreation_v2_common_4!I17,recreation_v2_common_3!I17,recreation_v2_common_2!I17,recreation_v2_common_1!I17),0))</f>
        <v>1</v>
      </c>
      <c r="J17">
        <f>IF(AND(E17 = 1, F17 = 1),ROUND(SUM(recreation_v2_common_5!J17,recreation_v2_common_4!J17,recreation_v2_common_3!J17,recreation_v2_common_2!J17,recreation_v2_common_1!J17)/COUNT(recreation_v2_common_5!J17,recreation_v2_common_4!J17,recreation_v2_common_3!J17,recreation_v2_common_2!J17,recreation_v2_common_1!J17),0),"NA")</f>
        <v>1</v>
      </c>
      <c r="K17">
        <f>IF($D17=0,"NA",ROUND(SUM(recreation_v2_common_5!K17,recreation_v2_common_4!K17,recreation_v2_common_3!K17,recreation_v2_common_2!K17,recreation_v2_common_1!K17)/COUNT(recreation_v2_common_5!K17,recreation_v2_common_4!K17,recreation_v2_common_3!K17,recreation_v2_common_2!K17,recreation_v2_common_1!K17),0))</f>
        <v>1</v>
      </c>
      <c r="L17">
        <f>IF($D17=0,"NA",ROUND(SUM(recreation_v2_common_5!L17,recreation_v2_common_4!L17,recreation_v2_common_3!L17,recreation_v2_common_2!L17,recreation_v2_common_1!L17)/COUNT(recreation_v2_common_5!L17,recreation_v2_common_4!L17,recreation_v2_common_3!L17,recreation_v2_common_2!L17,recreation_v2_common_1!L17),0))</f>
        <v>1</v>
      </c>
      <c r="M17">
        <f>IF($D17=0,"NA",ROUND(SUM(recreation_v2_common_5!M17,recreation_v2_common_4!M17,recreation_v2_common_3!M17,recreation_v2_common_2!M17,recreation_v2_common_1!M17)/COUNT(recreation_v2_common_5!M17,recreation_v2_common_4!M17,recreation_v2_common_3!M17,recreation_v2_common_2!M17,recreation_v2_common_1!M17),0))</f>
        <v>1</v>
      </c>
      <c r="N17">
        <f>IF($D17=0,"NA",ROUND(SUM(recreation_v2_common_5!N17,recreation_v2_common_4!N17,recreation_v2_common_3!N17,recreation_v2_common_2!N17,recreation_v2_common_1!N17)/COUNT(recreation_v2_common_5!N17,recreation_v2_common_4!N17,recreation_v2_common_3!N17,recreation_v2_common_2!N17,recreation_v2_common_1!N17),0))</f>
        <v>1</v>
      </c>
      <c r="O17">
        <v>1.8227460384368901</v>
      </c>
    </row>
    <row r="18" spans="1:15" x14ac:dyDescent="0.25">
      <c r="A18" t="s">
        <v>202</v>
      </c>
      <c r="B18" t="s">
        <v>36</v>
      </c>
      <c r="C18">
        <v>0</v>
      </c>
      <c r="D18">
        <f>ROUND(SUM(recreation_v2_common_5!D18,recreation_v2_common_4!D18,recreation_v2_common_3!D18,recreation_v2_common_2!D18,recreation_v2_common_1!D18)/COUNT(recreation_v2_common_5!D18,recreation_v2_common_4!D18,recreation_v2_common_3!D18,recreation_v2_common_2!D18,recreation_v2_common_1!D18),0)</f>
        <v>1</v>
      </c>
      <c r="E18">
        <f>IF($D18=0,"NA",ROUND(SUM(recreation_v2_common_5!E18,recreation_v2_common_4!E18,recreation_v2_common_3!E18,recreation_v2_common_2!E18,recreation_v2_common_1!E18)/COUNT(recreation_v2_common_5!E18,recreation_v2_common_4!E18,recreation_v2_common_3!E18,recreation_v2_common_2!E18,recreation_v2_common_1!E18),0))</f>
        <v>1</v>
      </c>
      <c r="F18">
        <f>IF($D18=0,"NA",ROUND(SUM(recreation_v2_common_5!F18,recreation_v2_common_4!F18,recreation_v2_common_3!F18,recreation_v2_common_2!F18,recreation_v2_common_1!F18)/COUNT(recreation_v2_common_5!F18,recreation_v2_common_4!F18,recreation_v2_common_3!F18,recreation_v2_common_2!F18,recreation_v2_common_1!F18),0))</f>
        <v>1</v>
      </c>
      <c r="G18">
        <f>IF($D18=0,"NA",ROUND(SUM(recreation_v2_common_5!G18,recreation_v2_common_4!G18,recreation_v2_common_3!G18,recreation_v2_common_2!G18,recreation_v2_common_1!G18)/COUNT(recreation_v2_common_5!G18,recreation_v2_common_4!G18,recreation_v2_common_3!G18,recreation_v2_common_2!G18,recreation_v2_common_1!G18),0))</f>
        <v>1</v>
      </c>
      <c r="H18">
        <f>IF(E18=1, ROUND(SUM(recreation_v2_common_5!H18,recreation_v2_common_4!H18,recreation_v2_common_3!H18,recreation_v2_common_2!H18,recreation_v2_common_1!H18)/COUNT(recreation_v2_common_5!H18,recreation_v2_common_4!H18,recreation_v2_common_3!H18,recreation_v2_common_2!H18,recreation_v2_common_1!H18),0),"NA")</f>
        <v>1</v>
      </c>
      <c r="I18">
        <f>IF($D18=0,"NA",ROUND(SUM(recreation_v2_common_5!I18,recreation_v2_common_4!I18,recreation_v2_common_3!I18,recreation_v2_common_2!I18,recreation_v2_common_1!I18)/COUNT(recreation_v2_common_5!I18,recreation_v2_common_4!I18,recreation_v2_common_3!I18,recreation_v2_common_2!I18,recreation_v2_common_1!I18),0))</f>
        <v>1</v>
      </c>
      <c r="J18">
        <f>IF(AND(E18 = 1, F18 = 1),ROUND(SUM(recreation_v2_common_5!J18,recreation_v2_common_4!J18,recreation_v2_common_3!J18,recreation_v2_common_2!J18,recreation_v2_common_1!J18)/COUNT(recreation_v2_common_5!J18,recreation_v2_common_4!J18,recreation_v2_common_3!J18,recreation_v2_common_2!J18,recreation_v2_common_1!J18),0),"NA")</f>
        <v>1</v>
      </c>
      <c r="K18">
        <f>IF($D18=0,"NA",ROUND(SUM(recreation_v2_common_5!K18,recreation_v2_common_4!K18,recreation_v2_common_3!K18,recreation_v2_common_2!K18,recreation_v2_common_1!K18)/COUNT(recreation_v2_common_5!K18,recreation_v2_common_4!K18,recreation_v2_common_3!K18,recreation_v2_common_2!K18,recreation_v2_common_1!K18),0))</f>
        <v>1</v>
      </c>
      <c r="L18">
        <f>IF($D18=0,"NA",ROUND(SUM(recreation_v2_common_5!L18,recreation_v2_common_4!L18,recreation_v2_common_3!L18,recreation_v2_common_2!L18,recreation_v2_common_1!L18)/COUNT(recreation_v2_common_5!L18,recreation_v2_common_4!L18,recreation_v2_common_3!L18,recreation_v2_common_2!L18,recreation_v2_common_1!L18),0))</f>
        <v>1</v>
      </c>
      <c r="M18">
        <f>IF($D18=0,"NA",ROUND(SUM(recreation_v2_common_5!M18,recreation_v2_common_4!M18,recreation_v2_common_3!M18,recreation_v2_common_2!M18,recreation_v2_common_1!M18)/COUNT(recreation_v2_common_5!M18,recreation_v2_common_4!M18,recreation_v2_common_3!M18,recreation_v2_common_2!M18,recreation_v2_common_1!M18),0))</f>
        <v>1</v>
      </c>
      <c r="N18">
        <f>IF($D18=0,"NA",ROUND(SUM(recreation_v2_common_5!N18,recreation_v2_common_4!N18,recreation_v2_common_3!N18,recreation_v2_common_2!N18,recreation_v2_common_1!N18)/COUNT(recreation_v2_common_5!N18,recreation_v2_common_4!N18,recreation_v2_common_3!N18,recreation_v2_common_2!N18,recreation_v2_common_1!N18),0))</f>
        <v>1</v>
      </c>
      <c r="O18">
        <v>2.5585396289825439</v>
      </c>
    </row>
    <row r="19" spans="1:15" x14ac:dyDescent="0.25">
      <c r="A19" t="s">
        <v>202</v>
      </c>
      <c r="B19" t="s">
        <v>37</v>
      </c>
      <c r="C19">
        <v>0</v>
      </c>
      <c r="D19">
        <f>ROUND(SUM(recreation_v2_common_5!D19,recreation_v2_common_4!D19,recreation_v2_common_3!D19,recreation_v2_common_2!D19,recreation_v2_common_1!D19)/COUNT(recreation_v2_common_5!D19,recreation_v2_common_4!D19,recreation_v2_common_3!D19,recreation_v2_common_2!D19,recreation_v2_common_1!D19),0)</f>
        <v>1</v>
      </c>
      <c r="E19">
        <f>IF($D19=0,"NA",ROUND(SUM(recreation_v2_common_5!E19,recreation_v2_common_4!E19,recreation_v2_common_3!E19,recreation_v2_common_2!E19,recreation_v2_common_1!E19)/COUNT(recreation_v2_common_5!E19,recreation_v2_common_4!E19,recreation_v2_common_3!E19,recreation_v2_common_2!E19,recreation_v2_common_1!E19),0))</f>
        <v>1</v>
      </c>
      <c r="F19">
        <f>IF($D19=0,"NA",ROUND(SUM(recreation_v2_common_5!F19,recreation_v2_common_4!F19,recreation_v2_common_3!F19,recreation_v2_common_2!F19,recreation_v2_common_1!F19)/COUNT(recreation_v2_common_5!F19,recreation_v2_common_4!F19,recreation_v2_common_3!F19,recreation_v2_common_2!F19,recreation_v2_common_1!F19),0))</f>
        <v>0</v>
      </c>
      <c r="G19">
        <f>IF($D19=0,"NA",ROUND(SUM(recreation_v2_common_5!G19,recreation_v2_common_4!G19,recreation_v2_common_3!G19,recreation_v2_common_2!G19,recreation_v2_common_1!G19)/COUNT(recreation_v2_common_5!G19,recreation_v2_common_4!G19,recreation_v2_common_3!G19,recreation_v2_common_2!G19,recreation_v2_common_1!G19),0))</f>
        <v>0</v>
      </c>
      <c r="H19">
        <f>IF(E19=1, ROUND(SUM(recreation_v2_common_5!H19,recreation_v2_common_4!H19,recreation_v2_common_3!H19,recreation_v2_common_2!H19,recreation_v2_common_1!H19)/COUNT(recreation_v2_common_5!H19,recreation_v2_common_4!H19,recreation_v2_common_3!H19,recreation_v2_common_2!H19,recreation_v2_common_1!H19),0),"NA")</f>
        <v>1</v>
      </c>
      <c r="I19">
        <f>IF($D19=0,"NA",ROUND(SUM(recreation_v2_common_5!I19,recreation_v2_common_4!I19,recreation_v2_common_3!I19,recreation_v2_common_2!I19,recreation_v2_common_1!I19)/COUNT(recreation_v2_common_5!I19,recreation_v2_common_4!I19,recreation_v2_common_3!I19,recreation_v2_common_2!I19,recreation_v2_common_1!I19),0))</f>
        <v>1</v>
      </c>
      <c r="J19" t="str">
        <f>IF(AND(E19 = 1, F19 = 1),ROUND(SUM(recreation_v2_common_5!J19,recreation_v2_common_4!J19,recreation_v2_common_3!J19,recreation_v2_common_2!J19,recreation_v2_common_1!J19)/COUNT(recreation_v2_common_5!J19,recreation_v2_common_4!J19,recreation_v2_common_3!J19,recreation_v2_common_2!J19,recreation_v2_common_1!J19),0),"NA")</f>
        <v>NA</v>
      </c>
      <c r="K19">
        <f>IF($D19=0,"NA",ROUND(SUM(recreation_v2_common_5!K19,recreation_v2_common_4!K19,recreation_v2_common_3!K19,recreation_v2_common_2!K19,recreation_v2_common_1!K19)/COUNT(recreation_v2_common_5!K19,recreation_v2_common_4!K19,recreation_v2_common_3!K19,recreation_v2_common_2!K19,recreation_v2_common_1!K19),0))</f>
        <v>1</v>
      </c>
      <c r="L19">
        <f>IF($D19=0,"NA",ROUND(SUM(recreation_v2_common_5!L19,recreation_v2_common_4!L19,recreation_v2_common_3!L19,recreation_v2_common_2!L19,recreation_v2_common_1!L19)/COUNT(recreation_v2_common_5!L19,recreation_v2_common_4!L19,recreation_v2_common_3!L19,recreation_v2_common_2!L19,recreation_v2_common_1!L19),0))</f>
        <v>1</v>
      </c>
      <c r="M19">
        <f>IF($D19=0,"NA",ROUND(SUM(recreation_v2_common_5!M19,recreation_v2_common_4!M19,recreation_v2_common_3!M19,recreation_v2_common_2!M19,recreation_v2_common_1!M19)/COUNT(recreation_v2_common_5!M19,recreation_v2_common_4!M19,recreation_v2_common_3!M19,recreation_v2_common_2!M19,recreation_v2_common_1!M19),0))</f>
        <v>1</v>
      </c>
      <c r="N19">
        <f>IF($D19=0,"NA",ROUND(SUM(recreation_v2_common_5!N19,recreation_v2_common_4!N19,recreation_v2_common_3!N19,recreation_v2_common_2!N19,recreation_v2_common_1!N19)/COUNT(recreation_v2_common_5!N19,recreation_v2_common_4!N19,recreation_v2_common_3!N19,recreation_v2_common_2!N19,recreation_v2_common_1!N19),0))</f>
        <v>1</v>
      </c>
      <c r="O19">
        <v>2.0686697959899898</v>
      </c>
    </row>
    <row r="20" spans="1:15" x14ac:dyDescent="0.25">
      <c r="A20" t="s">
        <v>202</v>
      </c>
      <c r="B20" t="s">
        <v>39</v>
      </c>
      <c r="C20">
        <v>0</v>
      </c>
      <c r="D20">
        <f>ROUND(SUM(recreation_v2_common_5!D20,recreation_v2_common_4!D20,recreation_v2_common_3!D20,recreation_v2_common_2!D20,recreation_v2_common_1!D20)/COUNT(recreation_v2_common_5!D20,recreation_v2_common_4!D20,recreation_v2_common_3!D20,recreation_v2_common_2!D20,recreation_v2_common_1!D20),0)</f>
        <v>1</v>
      </c>
      <c r="E20">
        <f>IF($D20=0,"NA",ROUND(SUM(recreation_v2_common_5!E20,recreation_v2_common_4!E20,recreation_v2_common_3!E20,recreation_v2_common_2!E20,recreation_v2_common_1!E20)/COUNT(recreation_v2_common_5!E20,recreation_v2_common_4!E20,recreation_v2_common_3!E20,recreation_v2_common_2!E20,recreation_v2_common_1!E20),0))</f>
        <v>1</v>
      </c>
      <c r="F20">
        <f>IF($D20=0,"NA",ROUND(SUM(recreation_v2_common_5!F20,recreation_v2_common_4!F20,recreation_v2_common_3!F20,recreation_v2_common_2!F20,recreation_v2_common_1!F20)/COUNT(recreation_v2_common_5!F20,recreation_v2_common_4!F20,recreation_v2_common_3!F20,recreation_v2_common_2!F20,recreation_v2_common_1!F20),0))</f>
        <v>1</v>
      </c>
      <c r="G20">
        <f>IF($D20=0,"NA",ROUND(SUM(recreation_v2_common_5!G20,recreation_v2_common_4!G20,recreation_v2_common_3!G20,recreation_v2_common_2!G20,recreation_v2_common_1!G20)/COUNT(recreation_v2_common_5!G20,recreation_v2_common_4!G20,recreation_v2_common_3!G20,recreation_v2_common_2!G20,recreation_v2_common_1!G20),0))</f>
        <v>1</v>
      </c>
      <c r="H20">
        <f>IF(E20=1, ROUND(SUM(recreation_v2_common_5!H20,recreation_v2_common_4!H20,recreation_v2_common_3!H20,recreation_v2_common_2!H20,recreation_v2_common_1!H20)/COUNT(recreation_v2_common_5!H20,recreation_v2_common_4!H20,recreation_v2_common_3!H20,recreation_v2_common_2!H20,recreation_v2_common_1!H20),0),"NA")</f>
        <v>1</v>
      </c>
      <c r="I20">
        <f>IF($D20=0,"NA",ROUND(SUM(recreation_v2_common_5!I20,recreation_v2_common_4!I20,recreation_v2_common_3!I20,recreation_v2_common_2!I20,recreation_v2_common_1!I20)/COUNT(recreation_v2_common_5!I20,recreation_v2_common_4!I20,recreation_v2_common_3!I20,recreation_v2_common_2!I20,recreation_v2_common_1!I20),0))</f>
        <v>1</v>
      </c>
      <c r="J20">
        <f>IF(AND(E20 = 1, F20 = 1),ROUND(SUM(recreation_v2_common_5!J20,recreation_v2_common_4!J20,recreation_v2_common_3!J20,recreation_v2_common_2!J20,recreation_v2_common_1!J20)/COUNT(recreation_v2_common_5!J20,recreation_v2_common_4!J20,recreation_v2_common_3!J20,recreation_v2_common_2!J20,recreation_v2_common_1!J20),0),"NA")</f>
        <v>1</v>
      </c>
      <c r="K20">
        <f>IF($D20=0,"NA",ROUND(SUM(recreation_v2_common_5!K20,recreation_v2_common_4!K20,recreation_v2_common_3!K20,recreation_v2_common_2!K20,recreation_v2_common_1!K20)/COUNT(recreation_v2_common_5!K20,recreation_v2_common_4!K20,recreation_v2_common_3!K20,recreation_v2_common_2!K20,recreation_v2_common_1!K20),0))</f>
        <v>1</v>
      </c>
      <c r="L20">
        <f>IF($D20=0,"NA",ROUND(SUM(recreation_v2_common_5!L20,recreation_v2_common_4!L20,recreation_v2_common_3!L20,recreation_v2_common_2!L20,recreation_v2_common_1!L20)/COUNT(recreation_v2_common_5!L20,recreation_v2_common_4!L20,recreation_v2_common_3!L20,recreation_v2_common_2!L20,recreation_v2_common_1!L20),0))</f>
        <v>1</v>
      </c>
      <c r="M20">
        <f>IF($D20=0,"NA",ROUND(SUM(recreation_v2_common_5!M20,recreation_v2_common_4!M20,recreation_v2_common_3!M20,recreation_v2_common_2!M20,recreation_v2_common_1!M20)/COUNT(recreation_v2_common_5!M20,recreation_v2_common_4!M20,recreation_v2_common_3!M20,recreation_v2_common_2!M20,recreation_v2_common_1!M20),0))</f>
        <v>1</v>
      </c>
      <c r="N20">
        <f>IF($D20=0,"NA",ROUND(SUM(recreation_v2_common_5!N20,recreation_v2_common_4!N20,recreation_v2_common_3!N20,recreation_v2_common_2!N20,recreation_v2_common_1!N20)/COUNT(recreation_v2_common_5!N20,recreation_v2_common_4!N20,recreation_v2_common_3!N20,recreation_v2_common_2!N20,recreation_v2_common_1!N20),0))</f>
        <v>1</v>
      </c>
      <c r="O20">
        <v>2.555891752243042</v>
      </c>
    </row>
    <row r="21" spans="1:15" x14ac:dyDescent="0.25">
      <c r="A21" t="s">
        <v>202</v>
      </c>
      <c r="B21" t="s">
        <v>40</v>
      </c>
      <c r="C21">
        <v>0</v>
      </c>
      <c r="D21">
        <f>ROUND(SUM(recreation_v2_common_5!D21,recreation_v2_common_4!D21,recreation_v2_common_3!D21,recreation_v2_common_2!D21,recreation_v2_common_1!D21)/COUNT(recreation_v2_common_5!D21,recreation_v2_common_4!D21,recreation_v2_common_3!D21,recreation_v2_common_2!D21,recreation_v2_common_1!D21),0)</f>
        <v>1</v>
      </c>
      <c r="E21">
        <f>IF($D21=0,"NA",ROUND(SUM(recreation_v2_common_5!E21,recreation_v2_common_4!E21,recreation_v2_common_3!E21,recreation_v2_common_2!E21,recreation_v2_common_1!E21)/COUNT(recreation_v2_common_5!E21,recreation_v2_common_4!E21,recreation_v2_common_3!E21,recreation_v2_common_2!E21,recreation_v2_common_1!E21),0))</f>
        <v>1</v>
      </c>
      <c r="F21">
        <f>IF($D21=0,"NA",ROUND(SUM(recreation_v2_common_5!F21,recreation_v2_common_4!F21,recreation_v2_common_3!F21,recreation_v2_common_2!F21,recreation_v2_common_1!F21)/COUNT(recreation_v2_common_5!F21,recreation_v2_common_4!F21,recreation_v2_common_3!F21,recreation_v2_common_2!F21,recreation_v2_common_1!F21),0))</f>
        <v>1</v>
      </c>
      <c r="G21">
        <f>IF($D21=0,"NA",ROUND(SUM(recreation_v2_common_5!G21,recreation_v2_common_4!G21,recreation_v2_common_3!G21,recreation_v2_common_2!G21,recreation_v2_common_1!G21)/COUNT(recreation_v2_common_5!G21,recreation_v2_common_4!G21,recreation_v2_common_3!G21,recreation_v2_common_2!G21,recreation_v2_common_1!G21),0))</f>
        <v>1</v>
      </c>
      <c r="H21">
        <f>IF(E21=1, ROUND(SUM(recreation_v2_common_5!H21,recreation_v2_common_4!H21,recreation_v2_common_3!H21,recreation_v2_common_2!H21,recreation_v2_common_1!H21)/COUNT(recreation_v2_common_5!H21,recreation_v2_common_4!H21,recreation_v2_common_3!H21,recreation_v2_common_2!H21,recreation_v2_common_1!H21),0),"NA")</f>
        <v>1</v>
      </c>
      <c r="I21">
        <f>IF($D21=0,"NA",ROUND(SUM(recreation_v2_common_5!I21,recreation_v2_common_4!I21,recreation_v2_common_3!I21,recreation_v2_common_2!I21,recreation_v2_common_1!I21)/COUNT(recreation_v2_common_5!I21,recreation_v2_common_4!I21,recreation_v2_common_3!I21,recreation_v2_common_2!I21,recreation_v2_common_1!I21),0))</f>
        <v>1</v>
      </c>
      <c r="J21">
        <f>IF(AND(E21 = 1, F21 = 1),ROUND(SUM(recreation_v2_common_5!J21,recreation_v2_common_4!J21,recreation_v2_common_3!J21,recreation_v2_common_2!J21,recreation_v2_common_1!J21)/COUNT(recreation_v2_common_5!J21,recreation_v2_common_4!J21,recreation_v2_common_3!J21,recreation_v2_common_2!J21,recreation_v2_common_1!J21),0),"NA")</f>
        <v>1</v>
      </c>
      <c r="K21">
        <f>IF($D21=0,"NA",ROUND(SUM(recreation_v2_common_5!K21,recreation_v2_common_4!K21,recreation_v2_common_3!K21,recreation_v2_common_2!K21,recreation_v2_common_1!K21)/COUNT(recreation_v2_common_5!K21,recreation_v2_common_4!K21,recreation_v2_common_3!K21,recreation_v2_common_2!K21,recreation_v2_common_1!K21),0))</f>
        <v>1</v>
      </c>
      <c r="L21">
        <f>IF($D21=0,"NA",ROUND(SUM(recreation_v2_common_5!L21,recreation_v2_common_4!L21,recreation_v2_common_3!L21,recreation_v2_common_2!L21,recreation_v2_common_1!L21)/COUNT(recreation_v2_common_5!L21,recreation_v2_common_4!L21,recreation_v2_common_3!L21,recreation_v2_common_2!L21,recreation_v2_common_1!L21),0))</f>
        <v>1</v>
      </c>
      <c r="M21">
        <f>IF($D21=0,"NA",ROUND(SUM(recreation_v2_common_5!M21,recreation_v2_common_4!M21,recreation_v2_common_3!M21,recreation_v2_common_2!M21,recreation_v2_common_1!M21)/COUNT(recreation_v2_common_5!M21,recreation_v2_common_4!M21,recreation_v2_common_3!M21,recreation_v2_common_2!M21,recreation_v2_common_1!M21),0))</f>
        <v>1</v>
      </c>
      <c r="N21">
        <f>IF($D21=0,"NA",ROUND(SUM(recreation_v2_common_5!N21,recreation_v2_common_4!N21,recreation_v2_common_3!N21,recreation_v2_common_2!N21,recreation_v2_common_1!N21)/COUNT(recreation_v2_common_5!N21,recreation_v2_common_4!N21,recreation_v2_common_3!N21,recreation_v2_common_2!N21,recreation_v2_common_1!N21),0))</f>
        <v>1</v>
      </c>
      <c r="O21">
        <v>1.531256437301636</v>
      </c>
    </row>
    <row r="22" spans="1:15" x14ac:dyDescent="0.25">
      <c r="A22" t="s">
        <v>202</v>
      </c>
      <c r="B22" t="s">
        <v>41</v>
      </c>
      <c r="C22">
        <v>0</v>
      </c>
      <c r="D22">
        <f>ROUND(SUM(recreation_v2_common_5!D22,recreation_v2_common_4!D22,recreation_v2_common_3!D22,recreation_v2_common_2!D22,recreation_v2_common_1!D22)/COUNT(recreation_v2_common_5!D22,recreation_v2_common_4!D22,recreation_v2_common_3!D22,recreation_v2_common_2!D22,recreation_v2_common_1!D22),0)</f>
        <v>1</v>
      </c>
      <c r="E22">
        <f>IF($D22=0,"NA",ROUND(SUM(recreation_v2_common_5!E22,recreation_v2_common_4!E22,recreation_v2_common_3!E22,recreation_v2_common_2!E22,recreation_v2_common_1!E22)/COUNT(recreation_v2_common_5!E22,recreation_v2_common_4!E22,recreation_v2_common_3!E22,recreation_v2_common_2!E22,recreation_v2_common_1!E22),0))</f>
        <v>1</v>
      </c>
      <c r="F22">
        <f>IF($D22=0,"NA",ROUND(SUM(recreation_v2_common_5!F22,recreation_v2_common_4!F22,recreation_v2_common_3!F22,recreation_v2_common_2!F22,recreation_v2_common_1!F22)/COUNT(recreation_v2_common_5!F22,recreation_v2_common_4!F22,recreation_v2_common_3!F22,recreation_v2_common_2!F22,recreation_v2_common_1!F22),0))</f>
        <v>1</v>
      </c>
      <c r="G22">
        <f>IF($D22=0,"NA",ROUND(SUM(recreation_v2_common_5!G22,recreation_v2_common_4!G22,recreation_v2_common_3!G22,recreation_v2_common_2!G22,recreation_v2_common_1!G22)/COUNT(recreation_v2_common_5!G22,recreation_v2_common_4!G22,recreation_v2_common_3!G22,recreation_v2_common_2!G22,recreation_v2_common_1!G22),0))</f>
        <v>1</v>
      </c>
      <c r="H22">
        <f>IF(E22=1, ROUND(SUM(recreation_v2_common_5!H22,recreation_v2_common_4!H22,recreation_v2_common_3!H22,recreation_v2_common_2!H22,recreation_v2_common_1!H22)/COUNT(recreation_v2_common_5!H22,recreation_v2_common_4!H22,recreation_v2_common_3!H22,recreation_v2_common_2!H22,recreation_v2_common_1!H22),0),"NA")</f>
        <v>1</v>
      </c>
      <c r="I22">
        <f>IF($D22=0,"NA",ROUND(SUM(recreation_v2_common_5!I22,recreation_v2_common_4!I22,recreation_v2_common_3!I22,recreation_v2_common_2!I22,recreation_v2_common_1!I22)/COUNT(recreation_v2_common_5!I22,recreation_v2_common_4!I22,recreation_v2_common_3!I22,recreation_v2_common_2!I22,recreation_v2_common_1!I22),0))</f>
        <v>1</v>
      </c>
      <c r="J22">
        <f>IF(AND(E22 = 1, F22 = 1),ROUND(SUM(recreation_v2_common_5!J22,recreation_v2_common_4!J22,recreation_v2_common_3!J22,recreation_v2_common_2!J22,recreation_v2_common_1!J22)/COUNT(recreation_v2_common_5!J22,recreation_v2_common_4!J22,recreation_v2_common_3!J22,recreation_v2_common_2!J22,recreation_v2_common_1!J22),0),"NA")</f>
        <v>1</v>
      </c>
      <c r="K22">
        <f>IF($D22=0,"NA",ROUND(SUM(recreation_v2_common_5!K22,recreation_v2_common_4!K22,recreation_v2_common_3!K22,recreation_v2_common_2!K22,recreation_v2_common_1!K22)/COUNT(recreation_v2_common_5!K22,recreation_v2_common_4!K22,recreation_v2_common_3!K22,recreation_v2_common_2!K22,recreation_v2_common_1!K22),0))</f>
        <v>1</v>
      </c>
      <c r="L22">
        <f>IF($D22=0,"NA",ROUND(SUM(recreation_v2_common_5!L22,recreation_v2_common_4!L22,recreation_v2_common_3!L22,recreation_v2_common_2!L22,recreation_v2_common_1!L22)/COUNT(recreation_v2_common_5!L22,recreation_v2_common_4!L22,recreation_v2_common_3!L22,recreation_v2_common_2!L22,recreation_v2_common_1!L22),0))</f>
        <v>1</v>
      </c>
      <c r="M22">
        <f>IF($D22=0,"NA",ROUND(SUM(recreation_v2_common_5!M22,recreation_v2_common_4!M22,recreation_v2_common_3!M22,recreation_v2_common_2!M22,recreation_v2_common_1!M22)/COUNT(recreation_v2_common_5!M22,recreation_v2_common_4!M22,recreation_v2_common_3!M22,recreation_v2_common_2!M22,recreation_v2_common_1!M22),0))</f>
        <v>1</v>
      </c>
      <c r="N22">
        <f>IF($D22=0,"NA",ROUND(SUM(recreation_v2_common_5!N22,recreation_v2_common_4!N22,recreation_v2_common_3!N22,recreation_v2_common_2!N22,recreation_v2_common_1!N22)/COUNT(recreation_v2_common_5!N22,recreation_v2_common_4!N22,recreation_v2_common_3!N22,recreation_v2_common_2!N22,recreation_v2_common_1!N22),0))</f>
        <v>1</v>
      </c>
      <c r="O22">
        <v>1.643160820007324</v>
      </c>
    </row>
    <row r="23" spans="1:15" x14ac:dyDescent="0.25">
      <c r="A23" t="s">
        <v>202</v>
      </c>
      <c r="B23" t="s">
        <v>42</v>
      </c>
      <c r="C23">
        <v>0</v>
      </c>
      <c r="D23">
        <f>ROUND(SUM(recreation_v2_common_5!D23,recreation_v2_common_4!D23,recreation_v2_common_3!D23,recreation_v2_common_2!D23,recreation_v2_common_1!D23)/COUNT(recreation_v2_common_5!D23,recreation_v2_common_4!D23,recreation_v2_common_3!D23,recreation_v2_common_2!D23,recreation_v2_common_1!D23),0)</f>
        <v>1</v>
      </c>
      <c r="E23">
        <f>IF($D23=0,"NA",ROUND(SUM(recreation_v2_common_5!E23,recreation_v2_common_4!E23,recreation_v2_common_3!E23,recreation_v2_common_2!E23,recreation_v2_common_1!E23)/COUNT(recreation_v2_common_5!E23,recreation_v2_common_4!E23,recreation_v2_common_3!E23,recreation_v2_common_2!E23,recreation_v2_common_1!E23),0))</f>
        <v>1</v>
      </c>
      <c r="F23">
        <f>IF($D23=0,"NA",ROUND(SUM(recreation_v2_common_5!F23,recreation_v2_common_4!F23,recreation_v2_common_3!F23,recreation_v2_common_2!F23,recreation_v2_common_1!F23)/COUNT(recreation_v2_common_5!F23,recreation_v2_common_4!F23,recreation_v2_common_3!F23,recreation_v2_common_2!F23,recreation_v2_common_1!F23),0))</f>
        <v>1</v>
      </c>
      <c r="G23">
        <f>IF($D23=0,"NA",ROUND(SUM(recreation_v2_common_5!G23,recreation_v2_common_4!G23,recreation_v2_common_3!G23,recreation_v2_common_2!G23,recreation_v2_common_1!G23)/COUNT(recreation_v2_common_5!G23,recreation_v2_common_4!G23,recreation_v2_common_3!G23,recreation_v2_common_2!G23,recreation_v2_common_1!G23),0))</f>
        <v>1</v>
      </c>
      <c r="H23">
        <f>IF(E23=1, ROUND(SUM(recreation_v2_common_5!H23,recreation_v2_common_4!H23,recreation_v2_common_3!H23,recreation_v2_common_2!H23,recreation_v2_common_1!H23)/COUNT(recreation_v2_common_5!H23,recreation_v2_common_4!H23,recreation_v2_common_3!H23,recreation_v2_common_2!H23,recreation_v2_common_1!H23),0),"NA")</f>
        <v>1</v>
      </c>
      <c r="I23">
        <f>IF($D23=0,"NA",ROUND(SUM(recreation_v2_common_5!I23,recreation_v2_common_4!I23,recreation_v2_common_3!I23,recreation_v2_common_2!I23,recreation_v2_common_1!I23)/COUNT(recreation_v2_common_5!I23,recreation_v2_common_4!I23,recreation_v2_common_3!I23,recreation_v2_common_2!I23,recreation_v2_common_1!I23),0))</f>
        <v>1</v>
      </c>
      <c r="J23">
        <f>IF(AND(E23 = 1, F23 = 1),ROUND(SUM(recreation_v2_common_5!J23,recreation_v2_common_4!J23,recreation_v2_common_3!J23,recreation_v2_common_2!J23,recreation_v2_common_1!J23)/COUNT(recreation_v2_common_5!J23,recreation_v2_common_4!J23,recreation_v2_common_3!J23,recreation_v2_common_2!J23,recreation_v2_common_1!J23),0),"NA")</f>
        <v>1</v>
      </c>
      <c r="K23">
        <f>IF($D23=0,"NA",ROUND(SUM(recreation_v2_common_5!K23,recreation_v2_common_4!K23,recreation_v2_common_3!K23,recreation_v2_common_2!K23,recreation_v2_common_1!K23)/COUNT(recreation_v2_common_5!K23,recreation_v2_common_4!K23,recreation_v2_common_3!K23,recreation_v2_common_2!K23,recreation_v2_common_1!K23),0))</f>
        <v>1</v>
      </c>
      <c r="L23">
        <f>IF($D23=0,"NA",ROUND(SUM(recreation_v2_common_5!L23,recreation_v2_common_4!L23,recreation_v2_common_3!L23,recreation_v2_common_2!L23,recreation_v2_common_1!L23)/COUNT(recreation_v2_common_5!L23,recreation_v2_common_4!L23,recreation_v2_common_3!L23,recreation_v2_common_2!L23,recreation_v2_common_1!L23),0))</f>
        <v>1</v>
      </c>
      <c r="M23">
        <f>IF($D23=0,"NA",ROUND(SUM(recreation_v2_common_5!M23,recreation_v2_common_4!M23,recreation_v2_common_3!M23,recreation_v2_common_2!M23,recreation_v2_common_1!M23)/COUNT(recreation_v2_common_5!M23,recreation_v2_common_4!M23,recreation_v2_common_3!M23,recreation_v2_common_2!M23,recreation_v2_common_1!M23),0))</f>
        <v>1</v>
      </c>
      <c r="N23">
        <f>IF($D23=0,"NA",ROUND(SUM(recreation_v2_common_5!N23,recreation_v2_common_4!N23,recreation_v2_common_3!N23,recreation_v2_common_2!N23,recreation_v2_common_1!N23)/COUNT(recreation_v2_common_5!N23,recreation_v2_common_4!N23,recreation_v2_common_3!N23,recreation_v2_common_2!N23,recreation_v2_common_1!N23),0))</f>
        <v>1</v>
      </c>
      <c r="O23">
        <v>1.4406566619873049</v>
      </c>
    </row>
    <row r="24" spans="1:15" x14ac:dyDescent="0.25">
      <c r="A24" t="s">
        <v>202</v>
      </c>
      <c r="B24" t="s">
        <v>43</v>
      </c>
      <c r="C24">
        <v>0</v>
      </c>
      <c r="D24">
        <f>ROUND(SUM(recreation_v2_common_5!D24,recreation_v2_common_4!D24,recreation_v2_common_3!D24,recreation_v2_common_2!D24,recreation_v2_common_1!D24)/COUNT(recreation_v2_common_5!D24,recreation_v2_common_4!D24,recreation_v2_common_3!D24,recreation_v2_common_2!D24,recreation_v2_common_1!D24),0)</f>
        <v>1</v>
      </c>
      <c r="E24">
        <f>IF($D24=0,"NA",ROUND(SUM(recreation_v2_common_5!E24,recreation_v2_common_4!E24,recreation_v2_common_3!E24,recreation_v2_common_2!E24,recreation_v2_common_1!E24)/COUNT(recreation_v2_common_5!E24,recreation_v2_common_4!E24,recreation_v2_common_3!E24,recreation_v2_common_2!E24,recreation_v2_common_1!E24),0))</f>
        <v>0</v>
      </c>
      <c r="F24">
        <f>IF($D24=0,"NA",ROUND(SUM(recreation_v2_common_5!F24,recreation_v2_common_4!F24,recreation_v2_common_3!F24,recreation_v2_common_2!F24,recreation_v2_common_1!F24)/COUNT(recreation_v2_common_5!F24,recreation_v2_common_4!F24,recreation_v2_common_3!F24,recreation_v2_common_2!F24,recreation_v2_common_1!F24),0))</f>
        <v>1</v>
      </c>
      <c r="G24">
        <f>IF($D24=0,"NA",ROUND(SUM(recreation_v2_common_5!G24,recreation_v2_common_4!G24,recreation_v2_common_3!G24,recreation_v2_common_2!G24,recreation_v2_common_1!G24)/COUNT(recreation_v2_common_5!G24,recreation_v2_common_4!G24,recreation_v2_common_3!G24,recreation_v2_common_2!G24,recreation_v2_common_1!G24),0))</f>
        <v>1</v>
      </c>
      <c r="H24" t="str">
        <f>IF(E24=1, ROUND(SUM(recreation_v2_common_5!H24,recreation_v2_common_4!H24,recreation_v2_common_3!H24,recreation_v2_common_2!H24,recreation_v2_common_1!H24)/COUNT(recreation_v2_common_5!H24,recreation_v2_common_4!H24,recreation_v2_common_3!H24,recreation_v2_common_2!H24,recreation_v2_common_1!H24),0),"NA")</f>
        <v>NA</v>
      </c>
      <c r="I24">
        <f>IF($D24=0,"NA",ROUND(SUM(recreation_v2_common_5!I24,recreation_v2_common_4!I24,recreation_v2_common_3!I24,recreation_v2_common_2!I24,recreation_v2_common_1!I24)/COUNT(recreation_v2_common_5!I24,recreation_v2_common_4!I24,recreation_v2_common_3!I24,recreation_v2_common_2!I24,recreation_v2_common_1!I24),0))</f>
        <v>1</v>
      </c>
      <c r="J24" t="str">
        <f>IF(AND(E24 = 1, F24 = 1),ROUND(SUM(recreation_v2_common_5!J24,recreation_v2_common_4!J24,recreation_v2_common_3!J24,recreation_v2_common_2!J24,recreation_v2_common_1!J24)/COUNT(recreation_v2_common_5!J24,recreation_v2_common_4!J24,recreation_v2_common_3!J24,recreation_v2_common_2!J24,recreation_v2_common_1!J24),0),"NA")</f>
        <v>NA</v>
      </c>
      <c r="K24">
        <f>IF($D24=0,"NA",ROUND(SUM(recreation_v2_common_5!K24,recreation_v2_common_4!K24,recreation_v2_common_3!K24,recreation_v2_common_2!K24,recreation_v2_common_1!K24)/COUNT(recreation_v2_common_5!K24,recreation_v2_common_4!K24,recreation_v2_common_3!K24,recreation_v2_common_2!K24,recreation_v2_common_1!K24),0))</f>
        <v>1</v>
      </c>
      <c r="L24">
        <f>IF($D24=0,"NA",ROUND(SUM(recreation_v2_common_5!L24,recreation_v2_common_4!L24,recreation_v2_common_3!L24,recreation_v2_common_2!L24,recreation_v2_common_1!L24)/COUNT(recreation_v2_common_5!L24,recreation_v2_common_4!L24,recreation_v2_common_3!L24,recreation_v2_common_2!L24,recreation_v2_common_1!L24),0))</f>
        <v>1</v>
      </c>
      <c r="M24">
        <f>IF($D24=0,"NA",ROUND(SUM(recreation_v2_common_5!M24,recreation_v2_common_4!M24,recreation_v2_common_3!M24,recreation_v2_common_2!M24,recreation_v2_common_1!M24)/COUNT(recreation_v2_common_5!M24,recreation_v2_common_4!M24,recreation_v2_common_3!M24,recreation_v2_common_2!M24,recreation_v2_common_1!M24),0))</f>
        <v>1</v>
      </c>
      <c r="N24">
        <f>IF($D24=0,"NA",ROUND(SUM(recreation_v2_common_5!N24,recreation_v2_common_4!N24,recreation_v2_common_3!N24,recreation_v2_common_2!N24,recreation_v2_common_1!N24)/COUNT(recreation_v2_common_5!N24,recreation_v2_common_4!N24,recreation_v2_common_3!N24,recreation_v2_common_2!N24,recreation_v2_common_1!N24),0))</f>
        <v>1</v>
      </c>
      <c r="O24">
        <v>3.5868127346038818</v>
      </c>
    </row>
    <row r="25" spans="1:15" x14ac:dyDescent="0.25">
      <c r="A25" t="s">
        <v>202</v>
      </c>
      <c r="B25" t="s">
        <v>45</v>
      </c>
      <c r="C25">
        <v>0</v>
      </c>
      <c r="D25">
        <f>ROUND(SUM(recreation_v2_common_5!D25,recreation_v2_common_4!D25,recreation_v2_common_3!D25,recreation_v2_common_2!D25,recreation_v2_common_1!D25)/COUNT(recreation_v2_common_5!D25,recreation_v2_common_4!D25,recreation_v2_common_3!D25,recreation_v2_common_2!D25,recreation_v2_common_1!D25),0)</f>
        <v>1</v>
      </c>
      <c r="E25">
        <f>IF($D25=0,"NA",ROUND(SUM(recreation_v2_common_5!E25,recreation_v2_common_4!E25,recreation_v2_common_3!E25,recreation_v2_common_2!E25,recreation_v2_common_1!E25)/COUNT(recreation_v2_common_5!E25,recreation_v2_common_4!E25,recreation_v2_common_3!E25,recreation_v2_common_2!E25,recreation_v2_common_1!E25),0))</f>
        <v>1</v>
      </c>
      <c r="F25">
        <f>IF($D25=0,"NA",ROUND(SUM(recreation_v2_common_5!F25,recreation_v2_common_4!F25,recreation_v2_common_3!F25,recreation_v2_common_2!F25,recreation_v2_common_1!F25)/COUNT(recreation_v2_common_5!F25,recreation_v2_common_4!F25,recreation_v2_common_3!F25,recreation_v2_common_2!F25,recreation_v2_common_1!F25),0))</f>
        <v>1</v>
      </c>
      <c r="G25">
        <f>IF($D25=0,"NA",ROUND(SUM(recreation_v2_common_5!G25,recreation_v2_common_4!G25,recreation_v2_common_3!G25,recreation_v2_common_2!G25,recreation_v2_common_1!G25)/COUNT(recreation_v2_common_5!G25,recreation_v2_common_4!G25,recreation_v2_common_3!G25,recreation_v2_common_2!G25,recreation_v2_common_1!G25),0))</f>
        <v>1</v>
      </c>
      <c r="H25">
        <f>IF(E25=1, ROUND(SUM(recreation_v2_common_5!H25,recreation_v2_common_4!H25,recreation_v2_common_3!H25,recreation_v2_common_2!H25,recreation_v2_common_1!H25)/COUNT(recreation_v2_common_5!H25,recreation_v2_common_4!H25,recreation_v2_common_3!H25,recreation_v2_common_2!H25,recreation_v2_common_1!H25),0),"NA")</f>
        <v>1</v>
      </c>
      <c r="I25">
        <f>IF($D25=0,"NA",ROUND(SUM(recreation_v2_common_5!I25,recreation_v2_common_4!I25,recreation_v2_common_3!I25,recreation_v2_common_2!I25,recreation_v2_common_1!I25)/COUNT(recreation_v2_common_5!I25,recreation_v2_common_4!I25,recreation_v2_common_3!I25,recreation_v2_common_2!I25,recreation_v2_common_1!I25),0))</f>
        <v>1</v>
      </c>
      <c r="J25">
        <f>IF(AND(E25 = 1, F25 = 1),ROUND(SUM(recreation_v2_common_5!J25,recreation_v2_common_4!J25,recreation_v2_common_3!J25,recreation_v2_common_2!J25,recreation_v2_common_1!J25)/COUNT(recreation_v2_common_5!J25,recreation_v2_common_4!J25,recreation_v2_common_3!J25,recreation_v2_common_2!J25,recreation_v2_common_1!J25),0),"NA")</f>
        <v>1</v>
      </c>
      <c r="K25">
        <f>IF($D25=0,"NA",ROUND(SUM(recreation_v2_common_5!K25,recreation_v2_common_4!K25,recreation_v2_common_3!K25,recreation_v2_common_2!K25,recreation_v2_common_1!K25)/COUNT(recreation_v2_common_5!K25,recreation_v2_common_4!K25,recreation_v2_common_3!K25,recreation_v2_common_2!K25,recreation_v2_common_1!K25),0))</f>
        <v>1</v>
      </c>
      <c r="L25">
        <f>IF($D25=0,"NA",ROUND(SUM(recreation_v2_common_5!L25,recreation_v2_common_4!L25,recreation_v2_common_3!L25,recreation_v2_common_2!L25,recreation_v2_common_1!L25)/COUNT(recreation_v2_common_5!L25,recreation_v2_common_4!L25,recreation_v2_common_3!L25,recreation_v2_common_2!L25,recreation_v2_common_1!L25),0))</f>
        <v>1</v>
      </c>
      <c r="M25">
        <f>IF($D25=0,"NA",ROUND(SUM(recreation_v2_common_5!M25,recreation_v2_common_4!M25,recreation_v2_common_3!M25,recreation_v2_common_2!M25,recreation_v2_common_1!M25)/COUNT(recreation_v2_common_5!M25,recreation_v2_common_4!M25,recreation_v2_common_3!M25,recreation_v2_common_2!M25,recreation_v2_common_1!M25),0))</f>
        <v>1</v>
      </c>
      <c r="N25">
        <f>IF($D25=0,"NA",ROUND(SUM(recreation_v2_common_5!N25,recreation_v2_common_4!N25,recreation_v2_common_3!N25,recreation_v2_common_2!N25,recreation_v2_common_1!N25)/COUNT(recreation_v2_common_5!N25,recreation_v2_common_4!N25,recreation_v2_common_3!N25,recreation_v2_common_2!N25,recreation_v2_common_1!N25),0))</f>
        <v>1</v>
      </c>
      <c r="O25">
        <v>1.442184209823608</v>
      </c>
    </row>
    <row r="26" spans="1:15" x14ac:dyDescent="0.25">
      <c r="A26" t="s">
        <v>202</v>
      </c>
      <c r="B26" t="s">
        <v>46</v>
      </c>
      <c r="C26">
        <v>0</v>
      </c>
      <c r="D26">
        <f>ROUND(SUM(recreation_v2_common_5!D26,recreation_v2_common_4!D26,recreation_v2_common_3!D26,recreation_v2_common_2!D26,recreation_v2_common_1!D26)/COUNT(recreation_v2_common_5!D26,recreation_v2_common_4!D26,recreation_v2_common_3!D26,recreation_v2_common_2!D26,recreation_v2_common_1!D26),0)</f>
        <v>1</v>
      </c>
      <c r="E26">
        <f>IF($D26=0,"NA",ROUND(SUM(recreation_v2_common_5!E26,recreation_v2_common_4!E26,recreation_v2_common_3!E26,recreation_v2_common_2!E26,recreation_v2_common_1!E26)/COUNT(recreation_v2_common_5!E26,recreation_v2_common_4!E26,recreation_v2_common_3!E26,recreation_v2_common_2!E26,recreation_v2_common_1!E26),0))</f>
        <v>1</v>
      </c>
      <c r="F26">
        <f>IF($D26=0,"NA",ROUND(SUM(recreation_v2_common_5!F26,recreation_v2_common_4!F26,recreation_v2_common_3!F26,recreation_v2_common_2!F26,recreation_v2_common_1!F26)/COUNT(recreation_v2_common_5!F26,recreation_v2_common_4!F26,recreation_v2_common_3!F26,recreation_v2_common_2!F26,recreation_v2_common_1!F26),0))</f>
        <v>1</v>
      </c>
      <c r="G26">
        <f>IF($D26=0,"NA",ROUND(SUM(recreation_v2_common_5!G26,recreation_v2_common_4!G26,recreation_v2_common_3!G26,recreation_v2_common_2!G26,recreation_v2_common_1!G26)/COUNT(recreation_v2_common_5!G26,recreation_v2_common_4!G26,recreation_v2_common_3!G26,recreation_v2_common_2!G26,recreation_v2_common_1!G26),0))</f>
        <v>1</v>
      </c>
      <c r="H26">
        <f>IF(E26=1, ROUND(SUM(recreation_v2_common_5!H26,recreation_v2_common_4!H26,recreation_v2_common_3!H26,recreation_v2_common_2!H26,recreation_v2_common_1!H26)/COUNT(recreation_v2_common_5!H26,recreation_v2_common_4!H26,recreation_v2_common_3!H26,recreation_v2_common_2!H26,recreation_v2_common_1!H26),0),"NA")</f>
        <v>1</v>
      </c>
      <c r="I26">
        <f>IF($D26=0,"NA",ROUND(SUM(recreation_v2_common_5!I26,recreation_v2_common_4!I26,recreation_v2_common_3!I26,recreation_v2_common_2!I26,recreation_v2_common_1!I26)/COUNT(recreation_v2_common_5!I26,recreation_v2_common_4!I26,recreation_v2_common_3!I26,recreation_v2_common_2!I26,recreation_v2_common_1!I26),0))</f>
        <v>1</v>
      </c>
      <c r="J26">
        <f>IF(AND(E26 = 1, F26 = 1),ROUND(SUM(recreation_v2_common_5!J26,recreation_v2_common_4!J26,recreation_v2_common_3!J26,recreation_v2_common_2!J26,recreation_v2_common_1!J26)/COUNT(recreation_v2_common_5!J26,recreation_v2_common_4!J26,recreation_v2_common_3!J26,recreation_v2_common_2!J26,recreation_v2_common_1!J26),0),"NA")</f>
        <v>1</v>
      </c>
      <c r="K26">
        <f>IF($D26=0,"NA",ROUND(SUM(recreation_v2_common_5!K26,recreation_v2_common_4!K26,recreation_v2_common_3!K26,recreation_v2_common_2!K26,recreation_v2_common_1!K26)/COUNT(recreation_v2_common_5!K26,recreation_v2_common_4!K26,recreation_v2_common_3!K26,recreation_v2_common_2!K26,recreation_v2_common_1!K26),0))</f>
        <v>1</v>
      </c>
      <c r="L26">
        <f>IF($D26=0,"NA",ROUND(SUM(recreation_v2_common_5!L26,recreation_v2_common_4!L26,recreation_v2_common_3!L26,recreation_v2_common_2!L26,recreation_v2_common_1!L26)/COUNT(recreation_v2_common_5!L26,recreation_v2_common_4!L26,recreation_v2_common_3!L26,recreation_v2_common_2!L26,recreation_v2_common_1!L26),0))</f>
        <v>1</v>
      </c>
      <c r="M26">
        <f>IF($D26=0,"NA",ROUND(SUM(recreation_v2_common_5!M26,recreation_v2_common_4!M26,recreation_v2_common_3!M26,recreation_v2_common_2!M26,recreation_v2_common_1!M26)/COUNT(recreation_v2_common_5!M26,recreation_v2_common_4!M26,recreation_v2_common_3!M26,recreation_v2_common_2!M26,recreation_v2_common_1!M26),0))</f>
        <v>1</v>
      </c>
      <c r="N26">
        <f>IF($D26=0,"NA",ROUND(SUM(recreation_v2_common_5!N26,recreation_v2_common_4!N26,recreation_v2_common_3!N26,recreation_v2_common_2!N26,recreation_v2_common_1!N26)/COUNT(recreation_v2_common_5!N26,recreation_v2_common_4!N26,recreation_v2_common_3!N26,recreation_v2_common_2!N26,recreation_v2_common_1!N26),0))</f>
        <v>1</v>
      </c>
      <c r="O26">
        <v>1.550669193267822</v>
      </c>
    </row>
    <row r="27" spans="1:15" x14ac:dyDescent="0.25">
      <c r="A27" t="s">
        <v>202</v>
      </c>
      <c r="B27" t="s">
        <v>47</v>
      </c>
      <c r="C27">
        <v>0</v>
      </c>
      <c r="D27">
        <f>ROUND(SUM(recreation_v2_common_5!D27,recreation_v2_common_4!D27,recreation_v2_common_3!D27,recreation_v2_common_2!D27,recreation_v2_common_1!D27)/COUNT(recreation_v2_common_5!D27,recreation_v2_common_4!D27,recreation_v2_common_3!D27,recreation_v2_common_2!D27,recreation_v2_common_1!D27),0)</f>
        <v>1</v>
      </c>
      <c r="E27">
        <f>IF($D27=0,"NA",ROUND(SUM(recreation_v2_common_5!E27,recreation_v2_common_4!E27,recreation_v2_common_3!E27,recreation_v2_common_2!E27,recreation_v2_common_1!E27)/COUNT(recreation_v2_common_5!E27,recreation_v2_common_4!E27,recreation_v2_common_3!E27,recreation_v2_common_2!E27,recreation_v2_common_1!E27),0))</f>
        <v>1</v>
      </c>
      <c r="F27">
        <f>IF($D27=0,"NA",ROUND(SUM(recreation_v2_common_5!F27,recreation_v2_common_4!F27,recreation_v2_common_3!F27,recreation_v2_common_2!F27,recreation_v2_common_1!F27)/COUNT(recreation_v2_common_5!F27,recreation_v2_common_4!F27,recreation_v2_common_3!F27,recreation_v2_common_2!F27,recreation_v2_common_1!F27),0))</f>
        <v>1</v>
      </c>
      <c r="G27">
        <f>IF($D27=0,"NA",ROUND(SUM(recreation_v2_common_5!G27,recreation_v2_common_4!G27,recreation_v2_common_3!G27,recreation_v2_common_2!G27,recreation_v2_common_1!G27)/COUNT(recreation_v2_common_5!G27,recreation_v2_common_4!G27,recreation_v2_common_3!G27,recreation_v2_common_2!G27,recreation_v2_common_1!G27),0))</f>
        <v>1</v>
      </c>
      <c r="H27">
        <f>IF(E27=1, ROUND(SUM(recreation_v2_common_5!H27,recreation_v2_common_4!H27,recreation_v2_common_3!H27,recreation_v2_common_2!H27,recreation_v2_common_1!H27)/COUNT(recreation_v2_common_5!H27,recreation_v2_common_4!H27,recreation_v2_common_3!H27,recreation_v2_common_2!H27,recreation_v2_common_1!H27),0),"NA")</f>
        <v>1</v>
      </c>
      <c r="I27">
        <f>IF($D27=0,"NA",ROUND(SUM(recreation_v2_common_5!I27,recreation_v2_common_4!I27,recreation_v2_common_3!I27,recreation_v2_common_2!I27,recreation_v2_common_1!I27)/COUNT(recreation_v2_common_5!I27,recreation_v2_common_4!I27,recreation_v2_common_3!I27,recreation_v2_common_2!I27,recreation_v2_common_1!I27),0))</f>
        <v>1</v>
      </c>
      <c r="J27">
        <f>IF(AND(E27 = 1, F27 = 1),ROUND(SUM(recreation_v2_common_5!J27,recreation_v2_common_4!J27,recreation_v2_common_3!J27,recreation_v2_common_2!J27,recreation_v2_common_1!J27)/COUNT(recreation_v2_common_5!J27,recreation_v2_common_4!J27,recreation_v2_common_3!J27,recreation_v2_common_2!J27,recreation_v2_common_1!J27),0),"NA")</f>
        <v>1</v>
      </c>
      <c r="K27">
        <f>IF($D27=0,"NA",ROUND(SUM(recreation_v2_common_5!K27,recreation_v2_common_4!K27,recreation_v2_common_3!K27,recreation_v2_common_2!K27,recreation_v2_common_1!K27)/COUNT(recreation_v2_common_5!K27,recreation_v2_common_4!K27,recreation_v2_common_3!K27,recreation_v2_common_2!K27,recreation_v2_common_1!K27),0))</f>
        <v>1</v>
      </c>
      <c r="L27">
        <f>IF($D27=0,"NA",ROUND(SUM(recreation_v2_common_5!L27,recreation_v2_common_4!L27,recreation_v2_common_3!L27,recreation_v2_common_2!L27,recreation_v2_common_1!L27)/COUNT(recreation_v2_common_5!L27,recreation_v2_common_4!L27,recreation_v2_common_3!L27,recreation_v2_common_2!L27,recreation_v2_common_1!L27),0))</f>
        <v>1</v>
      </c>
      <c r="M27">
        <f>IF($D27=0,"NA",ROUND(SUM(recreation_v2_common_5!M27,recreation_v2_common_4!M27,recreation_v2_common_3!M27,recreation_v2_common_2!M27,recreation_v2_common_1!M27)/COUNT(recreation_v2_common_5!M27,recreation_v2_common_4!M27,recreation_v2_common_3!M27,recreation_v2_common_2!M27,recreation_v2_common_1!M27),0))</f>
        <v>1</v>
      </c>
      <c r="N27">
        <f>IF($D27=0,"NA",ROUND(SUM(recreation_v2_common_5!N27,recreation_v2_common_4!N27,recreation_v2_common_3!N27,recreation_v2_common_2!N27,recreation_v2_common_1!N27)/COUNT(recreation_v2_common_5!N27,recreation_v2_common_4!N27,recreation_v2_common_3!N27,recreation_v2_common_2!N27,recreation_v2_common_1!N27),0))</f>
        <v>1</v>
      </c>
      <c r="O27">
        <v>1.642335176467896</v>
      </c>
    </row>
    <row r="28" spans="1:15" x14ac:dyDescent="0.25">
      <c r="A28" t="s">
        <v>202</v>
      </c>
      <c r="B28" t="s">
        <v>48</v>
      </c>
      <c r="C28">
        <v>0</v>
      </c>
      <c r="D28">
        <f>ROUND(SUM(recreation_v2_common_5!D28,recreation_v2_common_4!D28,recreation_v2_common_3!D28,recreation_v2_common_2!D28,recreation_v2_common_1!D28)/COUNT(recreation_v2_common_5!D28,recreation_v2_common_4!D28,recreation_v2_common_3!D28,recreation_v2_common_2!D28,recreation_v2_common_1!D28),0)</f>
        <v>1</v>
      </c>
      <c r="E28">
        <f>IF($D28=0,"NA",ROUND(SUM(recreation_v2_common_5!E28,recreation_v2_common_4!E28,recreation_v2_common_3!E28,recreation_v2_common_2!E28,recreation_v2_common_1!E28)/COUNT(recreation_v2_common_5!E28,recreation_v2_common_4!E28,recreation_v2_common_3!E28,recreation_v2_common_2!E28,recreation_v2_common_1!E28),0))</f>
        <v>1</v>
      </c>
      <c r="F28">
        <f>IF($D28=0,"NA",ROUND(SUM(recreation_v2_common_5!F28,recreation_v2_common_4!F28,recreation_v2_common_3!F28,recreation_v2_common_2!F28,recreation_v2_common_1!F28)/COUNT(recreation_v2_common_5!F28,recreation_v2_common_4!F28,recreation_v2_common_3!F28,recreation_v2_common_2!F28,recreation_v2_common_1!F28),0))</f>
        <v>1</v>
      </c>
      <c r="G28">
        <f>IF($D28=0,"NA",ROUND(SUM(recreation_v2_common_5!G28,recreation_v2_common_4!G28,recreation_v2_common_3!G28,recreation_v2_common_2!G28,recreation_v2_common_1!G28)/COUNT(recreation_v2_common_5!G28,recreation_v2_common_4!G28,recreation_v2_common_3!G28,recreation_v2_common_2!G28,recreation_v2_common_1!G28),0))</f>
        <v>1</v>
      </c>
      <c r="H28">
        <f>IF(E28=1, ROUND(SUM(recreation_v2_common_5!H28,recreation_v2_common_4!H28,recreation_v2_common_3!H28,recreation_v2_common_2!H28,recreation_v2_common_1!H28)/COUNT(recreation_v2_common_5!H28,recreation_v2_common_4!H28,recreation_v2_common_3!H28,recreation_v2_common_2!H28,recreation_v2_common_1!H28),0),"NA")</f>
        <v>1</v>
      </c>
      <c r="I28">
        <f>IF($D28=0,"NA",ROUND(SUM(recreation_v2_common_5!I28,recreation_v2_common_4!I28,recreation_v2_common_3!I28,recreation_v2_common_2!I28,recreation_v2_common_1!I28)/COUNT(recreation_v2_common_5!I28,recreation_v2_common_4!I28,recreation_v2_common_3!I28,recreation_v2_common_2!I28,recreation_v2_common_1!I28),0))</f>
        <v>1</v>
      </c>
      <c r="J28">
        <f>IF(AND(E28 = 1, F28 = 1),ROUND(SUM(recreation_v2_common_5!J28,recreation_v2_common_4!J28,recreation_v2_common_3!J28,recreation_v2_common_2!J28,recreation_v2_common_1!J28)/COUNT(recreation_v2_common_5!J28,recreation_v2_common_4!J28,recreation_v2_common_3!J28,recreation_v2_common_2!J28,recreation_v2_common_1!J28),0),"NA")</f>
        <v>1</v>
      </c>
      <c r="K28">
        <f>IF($D28=0,"NA",ROUND(SUM(recreation_v2_common_5!K28,recreation_v2_common_4!K28,recreation_v2_common_3!K28,recreation_v2_common_2!K28,recreation_v2_common_1!K28)/COUNT(recreation_v2_common_5!K28,recreation_v2_common_4!K28,recreation_v2_common_3!K28,recreation_v2_common_2!K28,recreation_v2_common_1!K28),0))</f>
        <v>1</v>
      </c>
      <c r="L28">
        <f>IF($D28=0,"NA",ROUND(SUM(recreation_v2_common_5!L28,recreation_v2_common_4!L28,recreation_v2_common_3!L28,recreation_v2_common_2!L28,recreation_v2_common_1!L28)/COUNT(recreation_v2_common_5!L28,recreation_v2_common_4!L28,recreation_v2_common_3!L28,recreation_v2_common_2!L28,recreation_v2_common_1!L28),0))</f>
        <v>1</v>
      </c>
      <c r="M28">
        <f>IF($D28=0,"NA",ROUND(SUM(recreation_v2_common_5!M28,recreation_v2_common_4!M28,recreation_v2_common_3!M28,recreation_v2_common_2!M28,recreation_v2_common_1!M28)/COUNT(recreation_v2_common_5!M28,recreation_v2_common_4!M28,recreation_v2_common_3!M28,recreation_v2_common_2!M28,recreation_v2_common_1!M28),0))</f>
        <v>1</v>
      </c>
      <c r="N28">
        <f>IF($D28=0,"NA",ROUND(SUM(recreation_v2_common_5!N28,recreation_v2_common_4!N28,recreation_v2_common_3!N28,recreation_v2_common_2!N28,recreation_v2_common_1!N28)/COUNT(recreation_v2_common_5!N28,recreation_v2_common_4!N28,recreation_v2_common_3!N28,recreation_v2_common_2!N28,recreation_v2_common_1!N28),0))</f>
        <v>1</v>
      </c>
      <c r="O28">
        <v>1.420441627502441</v>
      </c>
    </row>
    <row r="29" spans="1:15" x14ac:dyDescent="0.25">
      <c r="A29" t="s">
        <v>202</v>
      </c>
      <c r="B29" t="s">
        <v>49</v>
      </c>
      <c r="C29">
        <v>0</v>
      </c>
      <c r="D29">
        <f>ROUND(SUM(recreation_v2_common_5!D29,recreation_v2_common_4!D29,recreation_v2_common_3!D29,recreation_v2_common_2!D29,recreation_v2_common_1!D29)/COUNT(recreation_v2_common_5!D29,recreation_v2_common_4!D29,recreation_v2_common_3!D29,recreation_v2_common_2!D29,recreation_v2_common_1!D29),0)</f>
        <v>1</v>
      </c>
      <c r="E29">
        <f>IF($D29=0,"NA",ROUND(SUM(recreation_v2_common_5!E29,recreation_v2_common_4!E29,recreation_v2_common_3!E29,recreation_v2_common_2!E29,recreation_v2_common_1!E29)/COUNT(recreation_v2_common_5!E29,recreation_v2_common_4!E29,recreation_v2_common_3!E29,recreation_v2_common_2!E29,recreation_v2_common_1!E29),0))</f>
        <v>1</v>
      </c>
      <c r="F29">
        <f>IF($D29=0,"NA",ROUND(SUM(recreation_v2_common_5!F29,recreation_v2_common_4!F29,recreation_v2_common_3!F29,recreation_v2_common_2!F29,recreation_v2_common_1!F29)/COUNT(recreation_v2_common_5!F29,recreation_v2_common_4!F29,recreation_v2_common_3!F29,recreation_v2_common_2!F29,recreation_v2_common_1!F29),0))</f>
        <v>1</v>
      </c>
      <c r="G29">
        <f>IF($D29=0,"NA",ROUND(SUM(recreation_v2_common_5!G29,recreation_v2_common_4!G29,recreation_v2_common_3!G29,recreation_v2_common_2!G29,recreation_v2_common_1!G29)/COUNT(recreation_v2_common_5!G29,recreation_v2_common_4!G29,recreation_v2_common_3!G29,recreation_v2_common_2!G29,recreation_v2_common_1!G29),0))</f>
        <v>1</v>
      </c>
      <c r="H29">
        <f>IF(E29=1, ROUND(SUM(recreation_v2_common_5!H29,recreation_v2_common_4!H29,recreation_v2_common_3!H29,recreation_v2_common_2!H29,recreation_v2_common_1!H29)/COUNT(recreation_v2_common_5!H29,recreation_v2_common_4!H29,recreation_v2_common_3!H29,recreation_v2_common_2!H29,recreation_v2_common_1!H29),0),"NA")</f>
        <v>1</v>
      </c>
      <c r="I29">
        <f>IF($D29=0,"NA",ROUND(SUM(recreation_v2_common_5!I29,recreation_v2_common_4!I29,recreation_v2_common_3!I29,recreation_v2_common_2!I29,recreation_v2_common_1!I29)/COUNT(recreation_v2_common_5!I29,recreation_v2_common_4!I29,recreation_v2_common_3!I29,recreation_v2_common_2!I29,recreation_v2_common_1!I29),0))</f>
        <v>1</v>
      </c>
      <c r="J29">
        <f>IF(AND(E29 = 1, F29 = 1),ROUND(SUM(recreation_v2_common_5!J29,recreation_v2_common_4!J29,recreation_v2_common_3!J29,recreation_v2_common_2!J29,recreation_v2_common_1!J29)/COUNT(recreation_v2_common_5!J29,recreation_v2_common_4!J29,recreation_v2_common_3!J29,recreation_v2_common_2!J29,recreation_v2_common_1!J29),0),"NA")</f>
        <v>1</v>
      </c>
      <c r="K29">
        <f>IF($D29=0,"NA",ROUND(SUM(recreation_v2_common_5!K29,recreation_v2_common_4!K29,recreation_v2_common_3!K29,recreation_v2_common_2!K29,recreation_v2_common_1!K29)/COUNT(recreation_v2_common_5!K29,recreation_v2_common_4!K29,recreation_v2_common_3!K29,recreation_v2_common_2!K29,recreation_v2_common_1!K29),0))</f>
        <v>1</v>
      </c>
      <c r="L29">
        <f>IF($D29=0,"NA",ROUND(SUM(recreation_v2_common_5!L29,recreation_v2_common_4!L29,recreation_v2_common_3!L29,recreation_v2_common_2!L29,recreation_v2_common_1!L29)/COUNT(recreation_v2_common_5!L29,recreation_v2_common_4!L29,recreation_v2_common_3!L29,recreation_v2_common_2!L29,recreation_v2_common_1!L29),0))</f>
        <v>1</v>
      </c>
      <c r="M29">
        <f>IF($D29=0,"NA",ROUND(SUM(recreation_v2_common_5!M29,recreation_v2_common_4!M29,recreation_v2_common_3!M29,recreation_v2_common_2!M29,recreation_v2_common_1!M29)/COUNT(recreation_v2_common_5!M29,recreation_v2_common_4!M29,recreation_v2_common_3!M29,recreation_v2_common_2!M29,recreation_v2_common_1!M29),0))</f>
        <v>1</v>
      </c>
      <c r="N29">
        <f>IF($D29=0,"NA",ROUND(SUM(recreation_v2_common_5!N29,recreation_v2_common_4!N29,recreation_v2_common_3!N29,recreation_v2_common_2!N29,recreation_v2_common_1!N29)/COUNT(recreation_v2_common_5!N29,recreation_v2_common_4!N29,recreation_v2_common_3!N29,recreation_v2_common_2!N29,recreation_v2_common_1!N29),0))</f>
        <v>1</v>
      </c>
      <c r="O29">
        <v>1.4557657241821289</v>
      </c>
    </row>
    <row r="30" spans="1:15" x14ac:dyDescent="0.25">
      <c r="A30" t="s">
        <v>202</v>
      </c>
      <c r="B30" t="s">
        <v>50</v>
      </c>
      <c r="C30">
        <v>0</v>
      </c>
      <c r="D30">
        <f>ROUND(SUM(recreation_v2_common_5!D30,recreation_v2_common_4!D30,recreation_v2_common_3!D30,recreation_v2_common_2!D30,recreation_v2_common_1!D30)/COUNT(recreation_v2_common_5!D30,recreation_v2_common_4!D30,recreation_v2_common_3!D30,recreation_v2_common_2!D30,recreation_v2_common_1!D30),0)</f>
        <v>0</v>
      </c>
      <c r="E30" t="str">
        <f>IF($D30=0,"NA",ROUND(SUM(recreation_v2_common_5!E30,recreation_v2_common_4!E30,recreation_v2_common_3!E30,recreation_v2_common_2!E30,recreation_v2_common_1!E30)/COUNT(recreation_v2_common_5!E30,recreation_v2_common_4!E30,recreation_v2_common_3!E30,recreation_v2_common_2!E30,recreation_v2_common_1!E30),0))</f>
        <v>NA</v>
      </c>
      <c r="F30" t="str">
        <f>IF($D30=0,"NA",ROUND(SUM(recreation_v2_common_5!F30,recreation_v2_common_4!F30,recreation_v2_common_3!F30,recreation_v2_common_2!F30,recreation_v2_common_1!F30)/COUNT(recreation_v2_common_5!F30,recreation_v2_common_4!F30,recreation_v2_common_3!F30,recreation_v2_common_2!F30,recreation_v2_common_1!F30),0))</f>
        <v>NA</v>
      </c>
      <c r="G30" t="str">
        <f>IF($D30=0,"NA",ROUND(SUM(recreation_v2_common_5!G30,recreation_v2_common_4!G30,recreation_v2_common_3!G30,recreation_v2_common_2!G30,recreation_v2_common_1!G30)/COUNT(recreation_v2_common_5!G30,recreation_v2_common_4!G30,recreation_v2_common_3!G30,recreation_v2_common_2!G30,recreation_v2_common_1!G30),0))</f>
        <v>NA</v>
      </c>
      <c r="H30" t="str">
        <f>IF(E30=1, ROUND(SUM(recreation_v2_common_5!H30,recreation_v2_common_4!H30,recreation_v2_common_3!H30,recreation_v2_common_2!H30,recreation_v2_common_1!H30)/COUNT(recreation_v2_common_5!H30,recreation_v2_common_4!H30,recreation_v2_common_3!H30,recreation_v2_common_2!H30,recreation_v2_common_1!H30),0),"NA")</f>
        <v>NA</v>
      </c>
      <c r="I30" t="str">
        <f>IF($D30=0,"NA",ROUND(SUM(recreation_v2_common_5!I30,recreation_v2_common_4!I30,recreation_v2_common_3!I30,recreation_v2_common_2!I30,recreation_v2_common_1!I30)/COUNT(recreation_v2_common_5!I30,recreation_v2_common_4!I30,recreation_v2_common_3!I30,recreation_v2_common_2!I30,recreation_v2_common_1!I30),0))</f>
        <v>NA</v>
      </c>
      <c r="J30" t="str">
        <f>IF(AND(E30 = 1, F30 = 1),ROUND(SUM(recreation_v2_common_5!J30,recreation_v2_common_4!J30,recreation_v2_common_3!J30,recreation_v2_common_2!J30,recreation_v2_common_1!J30)/COUNT(recreation_v2_common_5!J30,recreation_v2_common_4!J30,recreation_v2_common_3!J30,recreation_v2_common_2!J30,recreation_v2_common_1!J30),0),"NA")</f>
        <v>NA</v>
      </c>
      <c r="K30" t="str">
        <f>IF($D30=0,"NA",ROUND(SUM(recreation_v2_common_5!K30,recreation_v2_common_4!K30,recreation_v2_common_3!K30,recreation_v2_common_2!K30,recreation_v2_common_1!K30)/COUNT(recreation_v2_common_5!K30,recreation_v2_common_4!K30,recreation_v2_common_3!K30,recreation_v2_common_2!K30,recreation_v2_common_1!K30),0))</f>
        <v>NA</v>
      </c>
      <c r="L30" t="str">
        <f>IF($D30=0,"NA",ROUND(SUM(recreation_v2_common_5!L30,recreation_v2_common_4!L30,recreation_v2_common_3!L30,recreation_v2_common_2!L30,recreation_v2_common_1!L30)/COUNT(recreation_v2_common_5!L30,recreation_v2_common_4!L30,recreation_v2_common_3!L30,recreation_v2_common_2!L30,recreation_v2_common_1!L30),0))</f>
        <v>NA</v>
      </c>
      <c r="M30" t="str">
        <f>IF($D30=0,"NA",ROUND(SUM(recreation_v2_common_5!M30,recreation_v2_common_4!M30,recreation_v2_common_3!M30,recreation_v2_common_2!M30,recreation_v2_common_1!M30)/COUNT(recreation_v2_common_5!M30,recreation_v2_common_4!M30,recreation_v2_common_3!M30,recreation_v2_common_2!M30,recreation_v2_common_1!M30),0))</f>
        <v>NA</v>
      </c>
      <c r="N30" t="str">
        <f>IF($D30=0,"NA",ROUND(SUM(recreation_v2_common_5!N30,recreation_v2_common_4!N30,recreation_v2_common_3!N30,recreation_v2_common_2!N30,recreation_v2_common_1!N30)/COUNT(recreation_v2_common_5!N30,recreation_v2_common_4!N30,recreation_v2_common_3!N30,recreation_v2_common_2!N30,recreation_v2_common_1!N30),0))</f>
        <v>NA</v>
      </c>
      <c r="O30">
        <v>3.372370719909668</v>
      </c>
    </row>
    <row r="31" spans="1:15" x14ac:dyDescent="0.25">
      <c r="A31" t="s">
        <v>202</v>
      </c>
      <c r="B31" t="s">
        <v>52</v>
      </c>
      <c r="C31">
        <v>0</v>
      </c>
      <c r="D31">
        <f>ROUND(SUM(recreation_v2_common_5!D31,recreation_v2_common_4!D31,recreation_v2_common_3!D31,recreation_v2_common_2!D31,recreation_v2_common_1!D31)/COUNT(recreation_v2_common_5!D31,recreation_v2_common_4!D31,recreation_v2_common_3!D31,recreation_v2_common_2!D31,recreation_v2_common_1!D31),0)</f>
        <v>1</v>
      </c>
      <c r="E31">
        <f>IF($D31=0,"NA",ROUND(SUM(recreation_v2_common_5!E31,recreation_v2_common_4!E31,recreation_v2_common_3!E31,recreation_v2_common_2!E31,recreation_v2_common_1!E31)/COUNT(recreation_v2_common_5!E31,recreation_v2_common_4!E31,recreation_v2_common_3!E31,recreation_v2_common_2!E31,recreation_v2_common_1!E31),0))</f>
        <v>1</v>
      </c>
      <c r="F31">
        <f>IF($D31=0,"NA",ROUND(SUM(recreation_v2_common_5!F31,recreation_v2_common_4!F31,recreation_v2_common_3!F31,recreation_v2_common_2!F31,recreation_v2_common_1!F31)/COUNT(recreation_v2_common_5!F31,recreation_v2_common_4!F31,recreation_v2_common_3!F31,recreation_v2_common_2!F31,recreation_v2_common_1!F31),0))</f>
        <v>1</v>
      </c>
      <c r="G31">
        <f>IF($D31=0,"NA",ROUND(SUM(recreation_v2_common_5!G31,recreation_v2_common_4!G31,recreation_v2_common_3!G31,recreation_v2_common_2!G31,recreation_v2_common_1!G31)/COUNT(recreation_v2_common_5!G31,recreation_v2_common_4!G31,recreation_v2_common_3!G31,recreation_v2_common_2!G31,recreation_v2_common_1!G31),0))</f>
        <v>1</v>
      </c>
      <c r="H31">
        <f>IF(E31=1, ROUND(SUM(recreation_v2_common_5!H31,recreation_v2_common_4!H31,recreation_v2_common_3!H31,recreation_v2_common_2!H31,recreation_v2_common_1!H31)/COUNT(recreation_v2_common_5!H31,recreation_v2_common_4!H31,recreation_v2_common_3!H31,recreation_v2_common_2!H31,recreation_v2_common_1!H31),0),"NA")</f>
        <v>1</v>
      </c>
      <c r="I31">
        <f>IF($D31=0,"NA",ROUND(SUM(recreation_v2_common_5!I31,recreation_v2_common_4!I31,recreation_v2_common_3!I31,recreation_v2_common_2!I31,recreation_v2_common_1!I31)/COUNT(recreation_v2_common_5!I31,recreation_v2_common_4!I31,recreation_v2_common_3!I31,recreation_v2_common_2!I31,recreation_v2_common_1!I31),0))</f>
        <v>1</v>
      </c>
      <c r="J31">
        <f>IF(AND(E31 = 1, F31 = 1),ROUND(SUM(recreation_v2_common_5!J31,recreation_v2_common_4!J31,recreation_v2_common_3!J31,recreation_v2_common_2!J31,recreation_v2_common_1!J31)/COUNT(recreation_v2_common_5!J31,recreation_v2_common_4!J31,recreation_v2_common_3!J31,recreation_v2_common_2!J31,recreation_v2_common_1!J31),0),"NA")</f>
        <v>1</v>
      </c>
      <c r="K31">
        <f>IF($D31=0,"NA",ROUND(SUM(recreation_v2_common_5!K31,recreation_v2_common_4!K31,recreation_v2_common_3!K31,recreation_v2_common_2!K31,recreation_v2_common_1!K31)/COUNT(recreation_v2_common_5!K31,recreation_v2_common_4!K31,recreation_v2_common_3!K31,recreation_v2_common_2!K31,recreation_v2_common_1!K31),0))</f>
        <v>1</v>
      </c>
      <c r="L31">
        <f>IF($D31=0,"NA",ROUND(SUM(recreation_v2_common_5!L31,recreation_v2_common_4!L31,recreation_v2_common_3!L31,recreation_v2_common_2!L31,recreation_v2_common_1!L31)/COUNT(recreation_v2_common_5!L31,recreation_v2_common_4!L31,recreation_v2_common_3!L31,recreation_v2_common_2!L31,recreation_v2_common_1!L31),0))</f>
        <v>1</v>
      </c>
      <c r="M31">
        <f>IF($D31=0,"NA",ROUND(SUM(recreation_v2_common_5!M31,recreation_v2_common_4!M31,recreation_v2_common_3!M31,recreation_v2_common_2!M31,recreation_v2_common_1!M31)/COUNT(recreation_v2_common_5!M31,recreation_v2_common_4!M31,recreation_v2_common_3!M31,recreation_v2_common_2!M31,recreation_v2_common_1!M31),0))</f>
        <v>1</v>
      </c>
      <c r="N31">
        <f>IF($D31=0,"NA",ROUND(SUM(recreation_v2_common_5!N31,recreation_v2_common_4!N31,recreation_v2_common_3!N31,recreation_v2_common_2!N31,recreation_v2_common_1!N31)/COUNT(recreation_v2_common_5!N31,recreation_v2_common_4!N31,recreation_v2_common_3!N31,recreation_v2_common_2!N31,recreation_v2_common_1!N31),0))</f>
        <v>1</v>
      </c>
      <c r="O31">
        <v>2.570320844650269</v>
      </c>
    </row>
    <row r="32" spans="1:15" x14ac:dyDescent="0.25">
      <c r="A32" t="s">
        <v>202</v>
      </c>
      <c r="B32" t="s">
        <v>53</v>
      </c>
      <c r="C32">
        <v>0</v>
      </c>
      <c r="D32">
        <f>ROUND(SUM(recreation_v2_common_5!D32,recreation_v2_common_4!D32,recreation_v2_common_3!D32,recreation_v2_common_2!D32,recreation_v2_common_1!D32)/COUNT(recreation_v2_common_5!D32,recreation_v2_common_4!D32,recreation_v2_common_3!D32,recreation_v2_common_2!D32,recreation_v2_common_1!D32),0)</f>
        <v>1</v>
      </c>
      <c r="E32">
        <f>IF($D32=0,"NA",ROUND(SUM(recreation_v2_common_5!E32,recreation_v2_common_4!E32,recreation_v2_common_3!E32,recreation_v2_common_2!E32,recreation_v2_common_1!E32)/COUNT(recreation_v2_common_5!E32,recreation_v2_common_4!E32,recreation_v2_common_3!E32,recreation_v2_common_2!E32,recreation_v2_common_1!E32),0))</f>
        <v>1</v>
      </c>
      <c r="F32">
        <f>IF($D32=0,"NA",ROUND(SUM(recreation_v2_common_5!F32,recreation_v2_common_4!F32,recreation_v2_common_3!F32,recreation_v2_common_2!F32,recreation_v2_common_1!F32)/COUNT(recreation_v2_common_5!F32,recreation_v2_common_4!F32,recreation_v2_common_3!F32,recreation_v2_common_2!F32,recreation_v2_common_1!F32),0))</f>
        <v>1</v>
      </c>
      <c r="G32">
        <f>IF($D32=0,"NA",ROUND(SUM(recreation_v2_common_5!G32,recreation_v2_common_4!G32,recreation_v2_common_3!G32,recreation_v2_common_2!G32,recreation_v2_common_1!G32)/COUNT(recreation_v2_common_5!G32,recreation_v2_common_4!G32,recreation_v2_common_3!G32,recreation_v2_common_2!G32,recreation_v2_common_1!G32),0))</f>
        <v>1</v>
      </c>
      <c r="H32">
        <f>IF(E32=1, ROUND(SUM(recreation_v2_common_5!H32,recreation_v2_common_4!H32,recreation_v2_common_3!H32,recreation_v2_common_2!H32,recreation_v2_common_1!H32)/COUNT(recreation_v2_common_5!H32,recreation_v2_common_4!H32,recreation_v2_common_3!H32,recreation_v2_common_2!H32,recreation_v2_common_1!H32),0),"NA")</f>
        <v>1</v>
      </c>
      <c r="I32">
        <f>IF($D32=0,"NA",ROUND(SUM(recreation_v2_common_5!I32,recreation_v2_common_4!I32,recreation_v2_common_3!I32,recreation_v2_common_2!I32,recreation_v2_common_1!I32)/COUNT(recreation_v2_common_5!I32,recreation_v2_common_4!I32,recreation_v2_common_3!I32,recreation_v2_common_2!I32,recreation_v2_common_1!I32),0))</f>
        <v>1</v>
      </c>
      <c r="J32">
        <f>IF(AND(E32 = 1, F32 = 1),ROUND(SUM(recreation_v2_common_5!J32,recreation_v2_common_4!J32,recreation_v2_common_3!J32,recreation_v2_common_2!J32,recreation_v2_common_1!J32)/COUNT(recreation_v2_common_5!J32,recreation_v2_common_4!J32,recreation_v2_common_3!J32,recreation_v2_common_2!J32,recreation_v2_common_1!J32),0),"NA")</f>
        <v>1</v>
      </c>
      <c r="K32">
        <f>IF($D32=0,"NA",ROUND(SUM(recreation_v2_common_5!K32,recreation_v2_common_4!K32,recreation_v2_common_3!K32,recreation_v2_common_2!K32,recreation_v2_common_1!K32)/COUNT(recreation_v2_common_5!K32,recreation_v2_common_4!K32,recreation_v2_common_3!K32,recreation_v2_common_2!K32,recreation_v2_common_1!K32),0))</f>
        <v>1</v>
      </c>
      <c r="L32">
        <f>IF($D32=0,"NA",ROUND(SUM(recreation_v2_common_5!L32,recreation_v2_common_4!L32,recreation_v2_common_3!L32,recreation_v2_common_2!L32,recreation_v2_common_1!L32)/COUNT(recreation_v2_common_5!L32,recreation_v2_common_4!L32,recreation_v2_common_3!L32,recreation_v2_common_2!L32,recreation_v2_common_1!L32),0))</f>
        <v>1</v>
      </c>
      <c r="M32">
        <f>IF($D32=0,"NA",ROUND(SUM(recreation_v2_common_5!M32,recreation_v2_common_4!M32,recreation_v2_common_3!M32,recreation_v2_common_2!M32,recreation_v2_common_1!M32)/COUNT(recreation_v2_common_5!M32,recreation_v2_common_4!M32,recreation_v2_common_3!M32,recreation_v2_common_2!M32,recreation_v2_common_1!M32),0))</f>
        <v>1</v>
      </c>
      <c r="N32">
        <f>IF($D32=0,"NA",ROUND(SUM(recreation_v2_common_5!N32,recreation_v2_common_4!N32,recreation_v2_common_3!N32,recreation_v2_common_2!N32,recreation_v2_common_1!N32)/COUNT(recreation_v2_common_5!N32,recreation_v2_common_4!N32,recreation_v2_common_3!N32,recreation_v2_common_2!N32,recreation_v2_common_1!N32),0))</f>
        <v>1</v>
      </c>
      <c r="O32">
        <v>1.3373532295227051</v>
      </c>
    </row>
    <row r="33" spans="1:15" x14ac:dyDescent="0.25">
      <c r="A33" t="s">
        <v>202</v>
      </c>
      <c r="B33" t="s">
        <v>54</v>
      </c>
      <c r="C33">
        <v>0</v>
      </c>
      <c r="D33">
        <f>ROUND(SUM(recreation_v2_common_5!D33,recreation_v2_common_4!D33,recreation_v2_common_3!D33,recreation_v2_common_2!D33,recreation_v2_common_1!D33)/COUNT(recreation_v2_common_5!D33,recreation_v2_common_4!D33,recreation_v2_common_3!D33,recreation_v2_common_2!D33,recreation_v2_common_1!D33),0)</f>
        <v>1</v>
      </c>
      <c r="E33">
        <f>IF($D33=0,"NA",ROUND(SUM(recreation_v2_common_5!E33,recreation_v2_common_4!E33,recreation_v2_common_3!E33,recreation_v2_common_2!E33,recreation_v2_common_1!E33)/COUNT(recreation_v2_common_5!E33,recreation_v2_common_4!E33,recreation_v2_common_3!E33,recreation_v2_common_2!E33,recreation_v2_common_1!E33),0))</f>
        <v>1</v>
      </c>
      <c r="F33">
        <f>IF($D33=0,"NA",ROUND(SUM(recreation_v2_common_5!F33,recreation_v2_common_4!F33,recreation_v2_common_3!F33,recreation_v2_common_2!F33,recreation_v2_common_1!F33)/COUNT(recreation_v2_common_5!F33,recreation_v2_common_4!F33,recreation_v2_common_3!F33,recreation_v2_common_2!F33,recreation_v2_common_1!F33),0))</f>
        <v>1</v>
      </c>
      <c r="G33">
        <f>IF($D33=0,"NA",ROUND(SUM(recreation_v2_common_5!G33,recreation_v2_common_4!G33,recreation_v2_common_3!G33,recreation_v2_common_2!G33,recreation_v2_common_1!G33)/COUNT(recreation_v2_common_5!G33,recreation_v2_common_4!G33,recreation_v2_common_3!G33,recreation_v2_common_2!G33,recreation_v2_common_1!G33),0))</f>
        <v>1</v>
      </c>
      <c r="H33">
        <f>IF(E33=1, ROUND(SUM(recreation_v2_common_5!H33,recreation_v2_common_4!H33,recreation_v2_common_3!H33,recreation_v2_common_2!H33,recreation_v2_common_1!H33)/COUNT(recreation_v2_common_5!H33,recreation_v2_common_4!H33,recreation_v2_common_3!H33,recreation_v2_common_2!H33,recreation_v2_common_1!H33),0),"NA")</f>
        <v>1</v>
      </c>
      <c r="I33">
        <f>IF($D33=0,"NA",ROUND(SUM(recreation_v2_common_5!I33,recreation_v2_common_4!I33,recreation_v2_common_3!I33,recreation_v2_common_2!I33,recreation_v2_common_1!I33)/COUNT(recreation_v2_common_5!I33,recreation_v2_common_4!I33,recreation_v2_common_3!I33,recreation_v2_common_2!I33,recreation_v2_common_1!I33),0))</f>
        <v>1</v>
      </c>
      <c r="J33">
        <f>IF(AND(E33 = 1, F33 = 1),ROUND(SUM(recreation_v2_common_5!J33,recreation_v2_common_4!J33,recreation_v2_common_3!J33,recreation_v2_common_2!J33,recreation_v2_common_1!J33)/COUNT(recreation_v2_common_5!J33,recreation_v2_common_4!J33,recreation_v2_common_3!J33,recreation_v2_common_2!J33,recreation_v2_common_1!J33),0),"NA")</f>
        <v>1</v>
      </c>
      <c r="K33">
        <f>IF($D33=0,"NA",ROUND(SUM(recreation_v2_common_5!K33,recreation_v2_common_4!K33,recreation_v2_common_3!K33,recreation_v2_common_2!K33,recreation_v2_common_1!K33)/COUNT(recreation_v2_common_5!K33,recreation_v2_common_4!K33,recreation_v2_common_3!K33,recreation_v2_common_2!K33,recreation_v2_common_1!K33),0))</f>
        <v>1</v>
      </c>
      <c r="L33">
        <f>IF($D33=0,"NA",ROUND(SUM(recreation_v2_common_5!L33,recreation_v2_common_4!L33,recreation_v2_common_3!L33,recreation_v2_common_2!L33,recreation_v2_common_1!L33)/COUNT(recreation_v2_common_5!L33,recreation_v2_common_4!L33,recreation_v2_common_3!L33,recreation_v2_common_2!L33,recreation_v2_common_1!L33),0))</f>
        <v>1</v>
      </c>
      <c r="M33">
        <f>IF($D33=0,"NA",ROUND(SUM(recreation_v2_common_5!M33,recreation_v2_common_4!M33,recreation_v2_common_3!M33,recreation_v2_common_2!M33,recreation_v2_common_1!M33)/COUNT(recreation_v2_common_5!M33,recreation_v2_common_4!M33,recreation_v2_common_3!M33,recreation_v2_common_2!M33,recreation_v2_common_1!M33),0))</f>
        <v>1</v>
      </c>
      <c r="N33">
        <f>IF($D33=0,"NA",ROUND(SUM(recreation_v2_common_5!N33,recreation_v2_common_4!N33,recreation_v2_common_3!N33,recreation_v2_common_2!N33,recreation_v2_common_1!N33)/COUNT(recreation_v2_common_5!N33,recreation_v2_common_4!N33,recreation_v2_common_3!N33,recreation_v2_common_2!N33,recreation_v2_common_1!N33),0))</f>
        <v>1</v>
      </c>
      <c r="O33">
        <v>3.382463932037354</v>
      </c>
    </row>
    <row r="34" spans="1:15" x14ac:dyDescent="0.25">
      <c r="A34" t="s">
        <v>202</v>
      </c>
      <c r="B34" t="s">
        <v>55</v>
      </c>
      <c r="C34">
        <v>0</v>
      </c>
      <c r="D34">
        <f>ROUND(SUM(recreation_v2_common_5!D34,recreation_v2_common_4!D34,recreation_v2_common_3!D34,recreation_v2_common_2!D34,recreation_v2_common_1!D34)/COUNT(recreation_v2_common_5!D34,recreation_v2_common_4!D34,recreation_v2_common_3!D34,recreation_v2_common_2!D34,recreation_v2_common_1!D34),0)</f>
        <v>1</v>
      </c>
      <c r="E34">
        <f>IF($D34=0,"NA",ROUND(SUM(recreation_v2_common_5!E34,recreation_v2_common_4!E34,recreation_v2_common_3!E34,recreation_v2_common_2!E34,recreation_v2_common_1!E34)/COUNT(recreation_v2_common_5!E34,recreation_v2_common_4!E34,recreation_v2_common_3!E34,recreation_v2_common_2!E34,recreation_v2_common_1!E34),0))</f>
        <v>1</v>
      </c>
      <c r="F34">
        <f>IF($D34=0,"NA",ROUND(SUM(recreation_v2_common_5!F34,recreation_v2_common_4!F34,recreation_v2_common_3!F34,recreation_v2_common_2!F34,recreation_v2_common_1!F34)/COUNT(recreation_v2_common_5!F34,recreation_v2_common_4!F34,recreation_v2_common_3!F34,recreation_v2_common_2!F34,recreation_v2_common_1!F34),0))</f>
        <v>1</v>
      </c>
      <c r="G34">
        <f>IF($D34=0,"NA",ROUND(SUM(recreation_v2_common_5!G34,recreation_v2_common_4!G34,recreation_v2_common_3!G34,recreation_v2_common_2!G34,recreation_v2_common_1!G34)/COUNT(recreation_v2_common_5!G34,recreation_v2_common_4!G34,recreation_v2_common_3!G34,recreation_v2_common_2!G34,recreation_v2_common_1!G34),0))</f>
        <v>1</v>
      </c>
      <c r="H34">
        <f>IF(E34=1, ROUND(SUM(recreation_v2_common_5!H34,recreation_v2_common_4!H34,recreation_v2_common_3!H34,recreation_v2_common_2!H34,recreation_v2_common_1!H34)/COUNT(recreation_v2_common_5!H34,recreation_v2_common_4!H34,recreation_v2_common_3!H34,recreation_v2_common_2!H34,recreation_v2_common_1!H34),0),"NA")</f>
        <v>1</v>
      </c>
      <c r="I34">
        <f>IF($D34=0,"NA",ROUND(SUM(recreation_v2_common_5!I34,recreation_v2_common_4!I34,recreation_v2_common_3!I34,recreation_v2_common_2!I34,recreation_v2_common_1!I34)/COUNT(recreation_v2_common_5!I34,recreation_v2_common_4!I34,recreation_v2_common_3!I34,recreation_v2_common_2!I34,recreation_v2_common_1!I34),0))</f>
        <v>1</v>
      </c>
      <c r="J34">
        <f>IF(AND(E34 = 1, F34 = 1),ROUND(SUM(recreation_v2_common_5!J34,recreation_v2_common_4!J34,recreation_v2_common_3!J34,recreation_v2_common_2!J34,recreation_v2_common_1!J34)/COUNT(recreation_v2_common_5!J34,recreation_v2_common_4!J34,recreation_v2_common_3!J34,recreation_v2_common_2!J34,recreation_v2_common_1!J34),0),"NA")</f>
        <v>1</v>
      </c>
      <c r="K34">
        <f>IF($D34=0,"NA",ROUND(SUM(recreation_v2_common_5!K34,recreation_v2_common_4!K34,recreation_v2_common_3!K34,recreation_v2_common_2!K34,recreation_v2_common_1!K34)/COUNT(recreation_v2_common_5!K34,recreation_v2_common_4!K34,recreation_v2_common_3!K34,recreation_v2_common_2!K34,recreation_v2_common_1!K34),0))</f>
        <v>1</v>
      </c>
      <c r="L34">
        <f>IF($D34=0,"NA",ROUND(SUM(recreation_v2_common_5!L34,recreation_v2_common_4!L34,recreation_v2_common_3!L34,recreation_v2_common_2!L34,recreation_v2_common_1!L34)/COUNT(recreation_v2_common_5!L34,recreation_v2_common_4!L34,recreation_v2_common_3!L34,recreation_v2_common_2!L34,recreation_v2_common_1!L34),0))</f>
        <v>1</v>
      </c>
      <c r="M34">
        <f>IF($D34=0,"NA",ROUND(SUM(recreation_v2_common_5!M34,recreation_v2_common_4!M34,recreation_v2_common_3!M34,recreation_v2_common_2!M34,recreation_v2_common_1!M34)/COUNT(recreation_v2_common_5!M34,recreation_v2_common_4!M34,recreation_v2_common_3!M34,recreation_v2_common_2!M34,recreation_v2_common_1!M34),0))</f>
        <v>1</v>
      </c>
      <c r="N34">
        <f>IF($D34=0,"NA",ROUND(SUM(recreation_v2_common_5!N34,recreation_v2_common_4!N34,recreation_v2_common_3!N34,recreation_v2_common_2!N34,recreation_v2_common_1!N34)/COUNT(recreation_v2_common_5!N34,recreation_v2_common_4!N34,recreation_v2_common_3!N34,recreation_v2_common_2!N34,recreation_v2_common_1!N34),0))</f>
        <v>1</v>
      </c>
      <c r="O34">
        <v>1.6382734775543211</v>
      </c>
    </row>
    <row r="35" spans="1:15" x14ac:dyDescent="0.25">
      <c r="A35" t="s">
        <v>202</v>
      </c>
      <c r="B35" t="s">
        <v>56</v>
      </c>
      <c r="C35">
        <v>0</v>
      </c>
      <c r="D35">
        <f>ROUND(SUM(recreation_v2_common_5!D35,recreation_v2_common_4!D35,recreation_v2_common_3!D35,recreation_v2_common_2!D35,recreation_v2_common_1!D35)/COUNT(recreation_v2_common_5!D35,recreation_v2_common_4!D35,recreation_v2_common_3!D35,recreation_v2_common_2!D35,recreation_v2_common_1!D35),0)</f>
        <v>1</v>
      </c>
      <c r="E35">
        <f>IF($D35=0,"NA",ROUND(SUM(recreation_v2_common_5!E35,recreation_v2_common_4!E35,recreation_v2_common_3!E35,recreation_v2_common_2!E35,recreation_v2_common_1!E35)/COUNT(recreation_v2_common_5!E35,recreation_v2_common_4!E35,recreation_v2_common_3!E35,recreation_v2_common_2!E35,recreation_v2_common_1!E35),0))</f>
        <v>1</v>
      </c>
      <c r="F35">
        <f>IF($D35=0,"NA",ROUND(SUM(recreation_v2_common_5!F35,recreation_v2_common_4!F35,recreation_v2_common_3!F35,recreation_v2_common_2!F35,recreation_v2_common_1!F35)/COUNT(recreation_v2_common_5!F35,recreation_v2_common_4!F35,recreation_v2_common_3!F35,recreation_v2_common_2!F35,recreation_v2_common_1!F35),0))</f>
        <v>1</v>
      </c>
      <c r="G35">
        <f>IF($D35=0,"NA",ROUND(SUM(recreation_v2_common_5!G35,recreation_v2_common_4!G35,recreation_v2_common_3!G35,recreation_v2_common_2!G35,recreation_v2_common_1!G35)/COUNT(recreation_v2_common_5!G35,recreation_v2_common_4!G35,recreation_v2_common_3!G35,recreation_v2_common_2!G35,recreation_v2_common_1!G35),0))</f>
        <v>1</v>
      </c>
      <c r="H35">
        <f>IF(E35=1, ROUND(SUM(recreation_v2_common_5!H35,recreation_v2_common_4!H35,recreation_v2_common_3!H35,recreation_v2_common_2!H35,recreation_v2_common_1!H35)/COUNT(recreation_v2_common_5!H35,recreation_v2_common_4!H35,recreation_v2_common_3!H35,recreation_v2_common_2!H35,recreation_v2_common_1!H35),0),"NA")</f>
        <v>1</v>
      </c>
      <c r="I35">
        <f>IF($D35=0,"NA",ROUND(SUM(recreation_v2_common_5!I35,recreation_v2_common_4!I35,recreation_v2_common_3!I35,recreation_v2_common_2!I35,recreation_v2_common_1!I35)/COUNT(recreation_v2_common_5!I35,recreation_v2_common_4!I35,recreation_v2_common_3!I35,recreation_v2_common_2!I35,recreation_v2_common_1!I35),0))</f>
        <v>1</v>
      </c>
      <c r="J35">
        <f>IF(AND(E35 = 1, F35 = 1),ROUND(SUM(recreation_v2_common_5!J35,recreation_v2_common_4!J35,recreation_v2_common_3!J35,recreation_v2_common_2!J35,recreation_v2_common_1!J35)/COUNT(recreation_v2_common_5!J35,recreation_v2_common_4!J35,recreation_v2_common_3!J35,recreation_v2_common_2!J35,recreation_v2_common_1!J35),0),"NA")</f>
        <v>1</v>
      </c>
      <c r="K35">
        <f>IF($D35=0,"NA",ROUND(SUM(recreation_v2_common_5!K35,recreation_v2_common_4!K35,recreation_v2_common_3!K35,recreation_v2_common_2!K35,recreation_v2_common_1!K35)/COUNT(recreation_v2_common_5!K35,recreation_v2_common_4!K35,recreation_v2_common_3!K35,recreation_v2_common_2!K35,recreation_v2_common_1!K35),0))</f>
        <v>1</v>
      </c>
      <c r="L35">
        <f>IF($D35=0,"NA",ROUND(SUM(recreation_v2_common_5!L35,recreation_v2_common_4!L35,recreation_v2_common_3!L35,recreation_v2_common_2!L35,recreation_v2_common_1!L35)/COUNT(recreation_v2_common_5!L35,recreation_v2_common_4!L35,recreation_v2_common_3!L35,recreation_v2_common_2!L35,recreation_v2_common_1!L35),0))</f>
        <v>1</v>
      </c>
      <c r="M35">
        <f>IF($D35=0,"NA",ROUND(SUM(recreation_v2_common_5!M35,recreation_v2_common_4!M35,recreation_v2_common_3!M35,recreation_v2_common_2!M35,recreation_v2_common_1!M35)/COUNT(recreation_v2_common_5!M35,recreation_v2_common_4!M35,recreation_v2_common_3!M35,recreation_v2_common_2!M35,recreation_v2_common_1!M35),0))</f>
        <v>1</v>
      </c>
      <c r="N35">
        <f>IF($D35=0,"NA",ROUND(SUM(recreation_v2_common_5!N35,recreation_v2_common_4!N35,recreation_v2_common_3!N35,recreation_v2_common_2!N35,recreation_v2_common_1!N35)/COUNT(recreation_v2_common_5!N35,recreation_v2_common_4!N35,recreation_v2_common_3!N35,recreation_v2_common_2!N35,recreation_v2_common_1!N35),0))</f>
        <v>1</v>
      </c>
      <c r="O35">
        <v>1.456604957580566</v>
      </c>
    </row>
    <row r="36" spans="1:15" x14ac:dyDescent="0.25">
      <c r="A36" t="s">
        <v>202</v>
      </c>
      <c r="B36" t="s">
        <v>57</v>
      </c>
      <c r="C36">
        <v>0</v>
      </c>
      <c r="D36">
        <f>ROUND(SUM(recreation_v2_common_5!D36,recreation_v2_common_4!D36,recreation_v2_common_3!D36,recreation_v2_common_2!D36,recreation_v2_common_1!D36)/COUNT(recreation_v2_common_5!D36,recreation_v2_common_4!D36,recreation_v2_common_3!D36,recreation_v2_common_2!D36,recreation_v2_common_1!D36),0)</f>
        <v>1</v>
      </c>
      <c r="E36">
        <f>IF($D36=0,"NA",ROUND(SUM(recreation_v2_common_5!E36,recreation_v2_common_4!E36,recreation_v2_common_3!E36,recreation_v2_common_2!E36,recreation_v2_common_1!E36)/COUNT(recreation_v2_common_5!E36,recreation_v2_common_4!E36,recreation_v2_common_3!E36,recreation_v2_common_2!E36,recreation_v2_common_1!E36),0))</f>
        <v>1</v>
      </c>
      <c r="F36">
        <f>IF($D36=0,"NA",ROUND(SUM(recreation_v2_common_5!F36,recreation_v2_common_4!F36,recreation_v2_common_3!F36,recreation_v2_common_2!F36,recreation_v2_common_1!F36)/COUNT(recreation_v2_common_5!F36,recreation_v2_common_4!F36,recreation_v2_common_3!F36,recreation_v2_common_2!F36,recreation_v2_common_1!F36),0))</f>
        <v>1</v>
      </c>
      <c r="G36">
        <f>IF($D36=0,"NA",ROUND(SUM(recreation_v2_common_5!G36,recreation_v2_common_4!G36,recreation_v2_common_3!G36,recreation_v2_common_2!G36,recreation_v2_common_1!G36)/COUNT(recreation_v2_common_5!G36,recreation_v2_common_4!G36,recreation_v2_common_3!G36,recreation_v2_common_2!G36,recreation_v2_common_1!G36),0))</f>
        <v>1</v>
      </c>
      <c r="H36">
        <f>IF(E36=1, ROUND(SUM(recreation_v2_common_5!H36,recreation_v2_common_4!H36,recreation_v2_common_3!H36,recreation_v2_common_2!H36,recreation_v2_common_1!H36)/COUNT(recreation_v2_common_5!H36,recreation_v2_common_4!H36,recreation_v2_common_3!H36,recreation_v2_common_2!H36,recreation_v2_common_1!H36),0),"NA")</f>
        <v>1</v>
      </c>
      <c r="I36">
        <f>IF($D36=0,"NA",ROUND(SUM(recreation_v2_common_5!I36,recreation_v2_common_4!I36,recreation_v2_common_3!I36,recreation_v2_common_2!I36,recreation_v2_common_1!I36)/COUNT(recreation_v2_common_5!I36,recreation_v2_common_4!I36,recreation_v2_common_3!I36,recreation_v2_common_2!I36,recreation_v2_common_1!I36),0))</f>
        <v>1</v>
      </c>
      <c r="J36">
        <f>IF(AND(E36 = 1, F36 = 1),ROUND(SUM(recreation_v2_common_5!J36,recreation_v2_common_4!J36,recreation_v2_common_3!J36,recreation_v2_common_2!J36,recreation_v2_common_1!J36)/COUNT(recreation_v2_common_5!J36,recreation_v2_common_4!J36,recreation_v2_common_3!J36,recreation_v2_common_2!J36,recreation_v2_common_1!J36),0),"NA")</f>
        <v>1</v>
      </c>
      <c r="K36">
        <f>IF($D36=0,"NA",ROUND(SUM(recreation_v2_common_5!K36,recreation_v2_common_4!K36,recreation_v2_common_3!K36,recreation_v2_common_2!K36,recreation_v2_common_1!K36)/COUNT(recreation_v2_common_5!K36,recreation_v2_common_4!K36,recreation_v2_common_3!K36,recreation_v2_common_2!K36,recreation_v2_common_1!K36),0))</f>
        <v>1</v>
      </c>
      <c r="L36">
        <f>IF($D36=0,"NA",ROUND(SUM(recreation_v2_common_5!L36,recreation_v2_common_4!L36,recreation_v2_common_3!L36,recreation_v2_common_2!L36,recreation_v2_common_1!L36)/COUNT(recreation_v2_common_5!L36,recreation_v2_common_4!L36,recreation_v2_common_3!L36,recreation_v2_common_2!L36,recreation_v2_common_1!L36),0))</f>
        <v>1</v>
      </c>
      <c r="M36">
        <f>IF($D36=0,"NA",ROUND(SUM(recreation_v2_common_5!M36,recreation_v2_common_4!M36,recreation_v2_common_3!M36,recreation_v2_common_2!M36,recreation_v2_common_1!M36)/COUNT(recreation_v2_common_5!M36,recreation_v2_common_4!M36,recreation_v2_common_3!M36,recreation_v2_common_2!M36,recreation_v2_common_1!M36),0))</f>
        <v>1</v>
      </c>
      <c r="N36">
        <f>IF($D36=0,"NA",ROUND(SUM(recreation_v2_common_5!N36,recreation_v2_common_4!N36,recreation_v2_common_3!N36,recreation_v2_common_2!N36,recreation_v2_common_1!N36)/COUNT(recreation_v2_common_5!N36,recreation_v2_common_4!N36,recreation_v2_common_3!N36,recreation_v2_common_2!N36,recreation_v2_common_1!N36),0))</f>
        <v>1</v>
      </c>
      <c r="O36">
        <v>1.9334273338317871</v>
      </c>
    </row>
    <row r="37" spans="1:15" x14ac:dyDescent="0.25">
      <c r="A37" t="s">
        <v>202</v>
      </c>
      <c r="B37" t="s">
        <v>58</v>
      </c>
      <c r="C37">
        <v>0</v>
      </c>
      <c r="D37">
        <f>ROUND(SUM(recreation_v2_common_5!D37,recreation_v2_common_4!D37,recreation_v2_common_3!D37,recreation_v2_common_2!D37,recreation_v2_common_1!D37)/COUNT(recreation_v2_common_5!D37,recreation_v2_common_4!D37,recreation_v2_common_3!D37,recreation_v2_common_2!D37,recreation_v2_common_1!D37),0)</f>
        <v>1</v>
      </c>
      <c r="E37">
        <f>IF($D37=0,"NA",ROUND(SUM(recreation_v2_common_5!E37,recreation_v2_common_4!E37,recreation_v2_common_3!E37,recreation_v2_common_2!E37,recreation_v2_common_1!E37)/COUNT(recreation_v2_common_5!E37,recreation_v2_common_4!E37,recreation_v2_common_3!E37,recreation_v2_common_2!E37,recreation_v2_common_1!E37),0))</f>
        <v>1</v>
      </c>
      <c r="F37">
        <f>IF($D37=0,"NA",ROUND(SUM(recreation_v2_common_5!F37,recreation_v2_common_4!F37,recreation_v2_common_3!F37,recreation_v2_common_2!F37,recreation_v2_common_1!F37)/COUNT(recreation_v2_common_5!F37,recreation_v2_common_4!F37,recreation_v2_common_3!F37,recreation_v2_common_2!F37,recreation_v2_common_1!F37),0))</f>
        <v>1</v>
      </c>
      <c r="G37">
        <f>IF($D37=0,"NA",ROUND(SUM(recreation_v2_common_5!G37,recreation_v2_common_4!G37,recreation_v2_common_3!G37,recreation_v2_common_2!G37,recreation_v2_common_1!G37)/COUNT(recreation_v2_common_5!G37,recreation_v2_common_4!G37,recreation_v2_common_3!G37,recreation_v2_common_2!G37,recreation_v2_common_1!G37),0))</f>
        <v>1</v>
      </c>
      <c r="H37">
        <f>IF(E37=1, ROUND(SUM(recreation_v2_common_5!H37,recreation_v2_common_4!H37,recreation_v2_common_3!H37,recreation_v2_common_2!H37,recreation_v2_common_1!H37)/COUNT(recreation_v2_common_5!H37,recreation_v2_common_4!H37,recreation_v2_common_3!H37,recreation_v2_common_2!H37,recreation_v2_common_1!H37),0),"NA")</f>
        <v>1</v>
      </c>
      <c r="I37">
        <f>IF($D37=0,"NA",ROUND(SUM(recreation_v2_common_5!I37,recreation_v2_common_4!I37,recreation_v2_common_3!I37,recreation_v2_common_2!I37,recreation_v2_common_1!I37)/COUNT(recreation_v2_common_5!I37,recreation_v2_common_4!I37,recreation_v2_common_3!I37,recreation_v2_common_2!I37,recreation_v2_common_1!I37),0))</f>
        <v>1</v>
      </c>
      <c r="J37">
        <f>IF(AND(E37 = 1, F37 = 1),ROUND(SUM(recreation_v2_common_5!J37,recreation_v2_common_4!J37,recreation_v2_common_3!J37,recreation_v2_common_2!J37,recreation_v2_common_1!J37)/COUNT(recreation_v2_common_5!J37,recreation_v2_common_4!J37,recreation_v2_common_3!J37,recreation_v2_common_2!J37,recreation_v2_common_1!J37),0),"NA")</f>
        <v>1</v>
      </c>
      <c r="K37">
        <f>IF($D37=0,"NA",ROUND(SUM(recreation_v2_common_5!K37,recreation_v2_common_4!K37,recreation_v2_common_3!K37,recreation_v2_common_2!K37,recreation_v2_common_1!K37)/COUNT(recreation_v2_common_5!K37,recreation_v2_common_4!K37,recreation_v2_common_3!K37,recreation_v2_common_2!K37,recreation_v2_common_1!K37),0))</f>
        <v>1</v>
      </c>
      <c r="L37">
        <f>IF($D37=0,"NA",ROUND(SUM(recreation_v2_common_5!L37,recreation_v2_common_4!L37,recreation_v2_common_3!L37,recreation_v2_common_2!L37,recreation_v2_common_1!L37)/COUNT(recreation_v2_common_5!L37,recreation_v2_common_4!L37,recreation_v2_common_3!L37,recreation_v2_common_2!L37,recreation_v2_common_1!L37),0))</f>
        <v>1</v>
      </c>
      <c r="M37">
        <f>IF($D37=0,"NA",ROUND(SUM(recreation_v2_common_5!M37,recreation_v2_common_4!M37,recreation_v2_common_3!M37,recreation_v2_common_2!M37,recreation_v2_common_1!M37)/COUNT(recreation_v2_common_5!M37,recreation_v2_common_4!M37,recreation_v2_common_3!M37,recreation_v2_common_2!M37,recreation_v2_common_1!M37),0))</f>
        <v>1</v>
      </c>
      <c r="N37">
        <f>IF($D37=0,"NA",ROUND(SUM(recreation_v2_common_5!N37,recreation_v2_common_4!N37,recreation_v2_common_3!N37,recreation_v2_common_2!N37,recreation_v2_common_1!N37)/COUNT(recreation_v2_common_5!N37,recreation_v2_common_4!N37,recreation_v2_common_3!N37,recreation_v2_common_2!N37,recreation_v2_common_1!N37),0))</f>
        <v>1</v>
      </c>
      <c r="O37">
        <v>1.960075378417969</v>
      </c>
    </row>
    <row r="38" spans="1:15" x14ac:dyDescent="0.25">
      <c r="A38" t="s">
        <v>202</v>
      </c>
      <c r="B38" t="s">
        <v>59</v>
      </c>
      <c r="C38">
        <v>0</v>
      </c>
      <c r="D38">
        <f>ROUND(SUM(recreation_v2_common_5!D38,recreation_v2_common_4!D38,recreation_v2_common_3!D38,recreation_v2_common_2!D38,recreation_v2_common_1!D38)/COUNT(recreation_v2_common_5!D38,recreation_v2_common_4!D38,recreation_v2_common_3!D38,recreation_v2_common_2!D38,recreation_v2_common_1!D38),0)</f>
        <v>1</v>
      </c>
      <c r="E38">
        <f>IF($D38=0,"NA",ROUND(SUM(recreation_v2_common_5!E38,recreation_v2_common_4!E38,recreation_v2_common_3!E38,recreation_v2_common_2!E38,recreation_v2_common_1!E38)/COUNT(recreation_v2_common_5!E38,recreation_v2_common_4!E38,recreation_v2_common_3!E38,recreation_v2_common_2!E38,recreation_v2_common_1!E38),0))</f>
        <v>1</v>
      </c>
      <c r="F38">
        <f>IF($D38=0,"NA",ROUND(SUM(recreation_v2_common_5!F38,recreation_v2_common_4!F38,recreation_v2_common_3!F38,recreation_v2_common_2!F38,recreation_v2_common_1!F38)/COUNT(recreation_v2_common_5!F38,recreation_v2_common_4!F38,recreation_v2_common_3!F38,recreation_v2_common_2!F38,recreation_v2_common_1!F38),0))</f>
        <v>1</v>
      </c>
      <c r="G38">
        <f>IF($D38=0,"NA",ROUND(SUM(recreation_v2_common_5!G38,recreation_v2_common_4!G38,recreation_v2_common_3!G38,recreation_v2_common_2!G38,recreation_v2_common_1!G38)/COUNT(recreation_v2_common_5!G38,recreation_v2_common_4!G38,recreation_v2_common_3!G38,recreation_v2_common_2!G38,recreation_v2_common_1!G38),0))</f>
        <v>1</v>
      </c>
      <c r="H38">
        <f>IF(E38=1, ROUND(SUM(recreation_v2_common_5!H38,recreation_v2_common_4!H38,recreation_v2_common_3!H38,recreation_v2_common_2!H38,recreation_v2_common_1!H38)/COUNT(recreation_v2_common_5!H38,recreation_v2_common_4!H38,recreation_v2_common_3!H38,recreation_v2_common_2!H38,recreation_v2_common_1!H38),0),"NA")</f>
        <v>1</v>
      </c>
      <c r="I38">
        <f>IF($D38=0,"NA",ROUND(SUM(recreation_v2_common_5!I38,recreation_v2_common_4!I38,recreation_v2_common_3!I38,recreation_v2_common_2!I38,recreation_v2_common_1!I38)/COUNT(recreation_v2_common_5!I38,recreation_v2_common_4!I38,recreation_v2_common_3!I38,recreation_v2_common_2!I38,recreation_v2_common_1!I38),0))</f>
        <v>1</v>
      </c>
      <c r="J38">
        <f>IF(AND(E38 = 1, F38 = 1),ROUND(SUM(recreation_v2_common_5!J38,recreation_v2_common_4!J38,recreation_v2_common_3!J38,recreation_v2_common_2!J38,recreation_v2_common_1!J38)/COUNT(recreation_v2_common_5!J38,recreation_v2_common_4!J38,recreation_v2_common_3!J38,recreation_v2_common_2!J38,recreation_v2_common_1!J38),0),"NA")</f>
        <v>1</v>
      </c>
      <c r="K38">
        <f>IF($D38=0,"NA",ROUND(SUM(recreation_v2_common_5!K38,recreation_v2_common_4!K38,recreation_v2_common_3!K38,recreation_v2_common_2!K38,recreation_v2_common_1!K38)/COUNT(recreation_v2_common_5!K38,recreation_v2_common_4!K38,recreation_v2_common_3!K38,recreation_v2_common_2!K38,recreation_v2_common_1!K38),0))</f>
        <v>1</v>
      </c>
      <c r="L38">
        <f>IF($D38=0,"NA",ROUND(SUM(recreation_v2_common_5!L38,recreation_v2_common_4!L38,recreation_v2_common_3!L38,recreation_v2_common_2!L38,recreation_v2_common_1!L38)/COUNT(recreation_v2_common_5!L38,recreation_v2_common_4!L38,recreation_v2_common_3!L38,recreation_v2_common_2!L38,recreation_v2_common_1!L38),0))</f>
        <v>1</v>
      </c>
      <c r="M38">
        <f>IF($D38=0,"NA",ROUND(SUM(recreation_v2_common_5!M38,recreation_v2_common_4!M38,recreation_v2_common_3!M38,recreation_v2_common_2!M38,recreation_v2_common_1!M38)/COUNT(recreation_v2_common_5!M38,recreation_v2_common_4!M38,recreation_v2_common_3!M38,recreation_v2_common_2!M38,recreation_v2_common_1!M38),0))</f>
        <v>1</v>
      </c>
      <c r="N38">
        <f>IF($D38=0,"NA",ROUND(SUM(recreation_v2_common_5!N38,recreation_v2_common_4!N38,recreation_v2_common_3!N38,recreation_v2_common_2!N38,recreation_v2_common_1!N38)/COUNT(recreation_v2_common_5!N38,recreation_v2_common_4!N38,recreation_v2_common_3!N38,recreation_v2_common_2!N38,recreation_v2_common_1!N38),0))</f>
        <v>1</v>
      </c>
      <c r="O38">
        <v>3.5266094207763672</v>
      </c>
    </row>
    <row r="39" spans="1:15" x14ac:dyDescent="0.25">
      <c r="A39" t="s">
        <v>202</v>
      </c>
      <c r="B39" t="s">
        <v>60</v>
      </c>
      <c r="C39">
        <v>0</v>
      </c>
      <c r="D39">
        <f>ROUND(SUM(recreation_v2_common_5!D39,recreation_v2_common_4!D39,recreation_v2_common_3!D39,recreation_v2_common_2!D39,recreation_v2_common_1!D39)/COUNT(recreation_v2_common_5!D39,recreation_v2_common_4!D39,recreation_v2_common_3!D39,recreation_v2_common_2!D39,recreation_v2_common_1!D39),0)</f>
        <v>1</v>
      </c>
      <c r="E39">
        <f>IF($D39=0,"NA",ROUND(SUM(recreation_v2_common_5!E39,recreation_v2_common_4!E39,recreation_v2_common_3!E39,recreation_v2_common_2!E39,recreation_v2_common_1!E39)/COUNT(recreation_v2_common_5!E39,recreation_v2_common_4!E39,recreation_v2_common_3!E39,recreation_v2_common_2!E39,recreation_v2_common_1!E39),0))</f>
        <v>1</v>
      </c>
      <c r="F39">
        <f>IF($D39=0,"NA",ROUND(SUM(recreation_v2_common_5!F39,recreation_v2_common_4!F39,recreation_v2_common_3!F39,recreation_v2_common_2!F39,recreation_v2_common_1!F39)/COUNT(recreation_v2_common_5!F39,recreation_v2_common_4!F39,recreation_v2_common_3!F39,recreation_v2_common_2!F39,recreation_v2_common_1!F39),0))</f>
        <v>1</v>
      </c>
      <c r="G39">
        <f>IF($D39=0,"NA",ROUND(SUM(recreation_v2_common_5!G39,recreation_v2_common_4!G39,recreation_v2_common_3!G39,recreation_v2_common_2!G39,recreation_v2_common_1!G39)/COUNT(recreation_v2_common_5!G39,recreation_v2_common_4!G39,recreation_v2_common_3!G39,recreation_v2_common_2!G39,recreation_v2_common_1!G39),0))</f>
        <v>1</v>
      </c>
      <c r="H39">
        <f>IF(E39=1, ROUND(SUM(recreation_v2_common_5!H39,recreation_v2_common_4!H39,recreation_v2_common_3!H39,recreation_v2_common_2!H39,recreation_v2_common_1!H39)/COUNT(recreation_v2_common_5!H39,recreation_v2_common_4!H39,recreation_v2_common_3!H39,recreation_v2_common_2!H39,recreation_v2_common_1!H39),0),"NA")</f>
        <v>1</v>
      </c>
      <c r="I39">
        <f>IF($D39=0,"NA",ROUND(SUM(recreation_v2_common_5!I39,recreation_v2_common_4!I39,recreation_v2_common_3!I39,recreation_v2_common_2!I39,recreation_v2_common_1!I39)/COUNT(recreation_v2_common_5!I39,recreation_v2_common_4!I39,recreation_v2_common_3!I39,recreation_v2_common_2!I39,recreation_v2_common_1!I39),0))</f>
        <v>1</v>
      </c>
      <c r="J39">
        <f>IF(AND(E39 = 1, F39 = 1),ROUND(SUM(recreation_v2_common_5!J39,recreation_v2_common_4!J39,recreation_v2_common_3!J39,recreation_v2_common_2!J39,recreation_v2_common_1!J39)/COUNT(recreation_v2_common_5!J39,recreation_v2_common_4!J39,recreation_v2_common_3!J39,recreation_v2_common_2!J39,recreation_v2_common_1!J39),0),"NA")</f>
        <v>1</v>
      </c>
      <c r="K39">
        <f>IF($D39=0,"NA",ROUND(SUM(recreation_v2_common_5!K39,recreation_v2_common_4!K39,recreation_v2_common_3!K39,recreation_v2_common_2!K39,recreation_v2_common_1!K39)/COUNT(recreation_v2_common_5!K39,recreation_v2_common_4!K39,recreation_v2_common_3!K39,recreation_v2_common_2!K39,recreation_v2_common_1!K39),0))</f>
        <v>1</v>
      </c>
      <c r="L39">
        <f>IF($D39=0,"NA",ROUND(SUM(recreation_v2_common_5!L39,recreation_v2_common_4!L39,recreation_v2_common_3!L39,recreation_v2_common_2!L39,recreation_v2_common_1!L39)/COUNT(recreation_v2_common_5!L39,recreation_v2_common_4!L39,recreation_v2_common_3!L39,recreation_v2_common_2!L39,recreation_v2_common_1!L39),0))</f>
        <v>1</v>
      </c>
      <c r="M39">
        <f>IF($D39=0,"NA",ROUND(SUM(recreation_v2_common_5!M39,recreation_v2_common_4!M39,recreation_v2_common_3!M39,recreation_v2_common_2!M39,recreation_v2_common_1!M39)/COUNT(recreation_v2_common_5!M39,recreation_v2_common_4!M39,recreation_v2_common_3!M39,recreation_v2_common_2!M39,recreation_v2_common_1!M39),0))</f>
        <v>1</v>
      </c>
      <c r="N39">
        <f>IF($D39=0,"NA",ROUND(SUM(recreation_v2_common_5!N39,recreation_v2_common_4!N39,recreation_v2_common_3!N39,recreation_v2_common_2!N39,recreation_v2_common_1!N39)/COUNT(recreation_v2_common_5!N39,recreation_v2_common_4!N39,recreation_v2_common_3!N39,recreation_v2_common_2!N39,recreation_v2_common_1!N39),0))</f>
        <v>1</v>
      </c>
      <c r="O39">
        <v>4.7793703079223633</v>
      </c>
    </row>
    <row r="40" spans="1:15" x14ac:dyDescent="0.25">
      <c r="A40" t="s">
        <v>202</v>
      </c>
      <c r="B40" t="s">
        <v>61</v>
      </c>
      <c r="C40">
        <v>0</v>
      </c>
      <c r="D40">
        <f>ROUND(SUM(recreation_v2_common_5!D40,recreation_v2_common_4!D40,recreation_v2_common_3!D40,recreation_v2_common_2!D40,recreation_v2_common_1!D40)/COUNT(recreation_v2_common_5!D40,recreation_v2_common_4!D40,recreation_v2_common_3!D40,recreation_v2_common_2!D40,recreation_v2_common_1!D40),0)</f>
        <v>1</v>
      </c>
      <c r="E40">
        <f>IF($D40=0,"NA",ROUND(SUM(recreation_v2_common_5!E40,recreation_v2_common_4!E40,recreation_v2_common_3!E40,recreation_v2_common_2!E40,recreation_v2_common_1!E40)/COUNT(recreation_v2_common_5!E40,recreation_v2_common_4!E40,recreation_v2_common_3!E40,recreation_v2_common_2!E40,recreation_v2_common_1!E40),0))</f>
        <v>1</v>
      </c>
      <c r="F40">
        <f>IF($D40=0,"NA",ROUND(SUM(recreation_v2_common_5!F40,recreation_v2_common_4!F40,recreation_v2_common_3!F40,recreation_v2_common_2!F40,recreation_v2_common_1!F40)/COUNT(recreation_v2_common_5!F40,recreation_v2_common_4!F40,recreation_v2_common_3!F40,recreation_v2_common_2!F40,recreation_v2_common_1!F40),0))</f>
        <v>1</v>
      </c>
      <c r="G40">
        <f>IF($D40=0,"NA",ROUND(SUM(recreation_v2_common_5!G40,recreation_v2_common_4!G40,recreation_v2_common_3!G40,recreation_v2_common_2!G40,recreation_v2_common_1!G40)/COUNT(recreation_v2_common_5!G40,recreation_v2_common_4!G40,recreation_v2_common_3!G40,recreation_v2_common_2!G40,recreation_v2_common_1!G40),0))</f>
        <v>1</v>
      </c>
      <c r="H40">
        <f>IF(E40=1, ROUND(SUM(recreation_v2_common_5!H40,recreation_v2_common_4!H40,recreation_v2_common_3!H40,recreation_v2_common_2!H40,recreation_v2_common_1!H40)/COUNT(recreation_v2_common_5!H40,recreation_v2_common_4!H40,recreation_v2_common_3!H40,recreation_v2_common_2!H40,recreation_v2_common_1!H40),0),"NA")</f>
        <v>1</v>
      </c>
      <c r="I40">
        <f>IF($D40=0,"NA",ROUND(SUM(recreation_v2_common_5!I40,recreation_v2_common_4!I40,recreation_v2_common_3!I40,recreation_v2_common_2!I40,recreation_v2_common_1!I40)/COUNT(recreation_v2_common_5!I40,recreation_v2_common_4!I40,recreation_v2_common_3!I40,recreation_v2_common_2!I40,recreation_v2_common_1!I40),0))</f>
        <v>1</v>
      </c>
      <c r="J40">
        <f>IF(AND(E40 = 1, F40 = 1),ROUND(SUM(recreation_v2_common_5!J40,recreation_v2_common_4!J40,recreation_v2_common_3!J40,recreation_v2_common_2!J40,recreation_v2_common_1!J40)/COUNT(recreation_v2_common_5!J40,recreation_v2_common_4!J40,recreation_v2_common_3!J40,recreation_v2_common_2!J40,recreation_v2_common_1!J40),0),"NA")</f>
        <v>1</v>
      </c>
      <c r="K40">
        <f>IF($D40=0,"NA",ROUND(SUM(recreation_v2_common_5!K40,recreation_v2_common_4!K40,recreation_v2_common_3!K40,recreation_v2_common_2!K40,recreation_v2_common_1!K40)/COUNT(recreation_v2_common_5!K40,recreation_v2_common_4!K40,recreation_v2_common_3!K40,recreation_v2_common_2!K40,recreation_v2_common_1!K40),0))</f>
        <v>1</v>
      </c>
      <c r="L40">
        <f>IF($D40=0,"NA",ROUND(SUM(recreation_v2_common_5!L40,recreation_v2_common_4!L40,recreation_v2_common_3!L40,recreation_v2_common_2!L40,recreation_v2_common_1!L40)/COUNT(recreation_v2_common_5!L40,recreation_v2_common_4!L40,recreation_v2_common_3!L40,recreation_v2_common_2!L40,recreation_v2_common_1!L40),0))</f>
        <v>1</v>
      </c>
      <c r="M40">
        <f>IF($D40=0,"NA",ROUND(SUM(recreation_v2_common_5!M40,recreation_v2_common_4!M40,recreation_v2_common_3!M40,recreation_v2_common_2!M40,recreation_v2_common_1!M40)/COUNT(recreation_v2_common_5!M40,recreation_v2_common_4!M40,recreation_v2_common_3!M40,recreation_v2_common_2!M40,recreation_v2_common_1!M40),0))</f>
        <v>1</v>
      </c>
      <c r="N40">
        <f>IF($D40=0,"NA",ROUND(SUM(recreation_v2_common_5!N40,recreation_v2_common_4!N40,recreation_v2_common_3!N40,recreation_v2_common_2!N40,recreation_v2_common_1!N40)/COUNT(recreation_v2_common_5!N40,recreation_v2_common_4!N40,recreation_v2_common_3!N40,recreation_v2_common_2!N40,recreation_v2_common_1!N40),0))</f>
        <v>1</v>
      </c>
      <c r="O40">
        <v>2.4680416584014888</v>
      </c>
    </row>
    <row r="41" spans="1:15" x14ac:dyDescent="0.25">
      <c r="A41" t="s">
        <v>202</v>
      </c>
      <c r="B41" t="s">
        <v>62</v>
      </c>
      <c r="C41">
        <v>0</v>
      </c>
      <c r="D41">
        <f>ROUND(SUM(recreation_v2_common_5!D41,recreation_v2_common_4!D41,recreation_v2_common_3!D41,recreation_v2_common_2!D41,recreation_v2_common_1!D41)/COUNT(recreation_v2_common_5!D41,recreation_v2_common_4!D41,recreation_v2_common_3!D41,recreation_v2_common_2!D41,recreation_v2_common_1!D41),0)</f>
        <v>1</v>
      </c>
      <c r="E41">
        <f>IF($D41=0,"NA",ROUND(SUM(recreation_v2_common_5!E41,recreation_v2_common_4!E41,recreation_v2_common_3!E41,recreation_v2_common_2!E41,recreation_v2_common_1!E41)/COUNT(recreation_v2_common_5!E41,recreation_v2_common_4!E41,recreation_v2_common_3!E41,recreation_v2_common_2!E41,recreation_v2_common_1!E41),0))</f>
        <v>1</v>
      </c>
      <c r="F41">
        <f>IF($D41=0,"NA",ROUND(SUM(recreation_v2_common_5!F41,recreation_v2_common_4!F41,recreation_v2_common_3!F41,recreation_v2_common_2!F41,recreation_v2_common_1!F41)/COUNT(recreation_v2_common_5!F41,recreation_v2_common_4!F41,recreation_v2_common_3!F41,recreation_v2_common_2!F41,recreation_v2_common_1!F41),0))</f>
        <v>1</v>
      </c>
      <c r="G41">
        <f>IF($D41=0,"NA",ROUND(SUM(recreation_v2_common_5!G41,recreation_v2_common_4!G41,recreation_v2_common_3!G41,recreation_v2_common_2!G41,recreation_v2_common_1!G41)/COUNT(recreation_v2_common_5!G41,recreation_v2_common_4!G41,recreation_v2_common_3!G41,recreation_v2_common_2!G41,recreation_v2_common_1!G41),0))</f>
        <v>1</v>
      </c>
      <c r="H41">
        <f>IF(E41=1, ROUND(SUM(recreation_v2_common_5!H41,recreation_v2_common_4!H41,recreation_v2_common_3!H41,recreation_v2_common_2!H41,recreation_v2_common_1!H41)/COUNT(recreation_v2_common_5!H41,recreation_v2_common_4!H41,recreation_v2_common_3!H41,recreation_v2_common_2!H41,recreation_v2_common_1!H41),0),"NA")</f>
        <v>1</v>
      </c>
      <c r="I41">
        <f>IF($D41=0,"NA",ROUND(SUM(recreation_v2_common_5!I41,recreation_v2_common_4!I41,recreation_v2_common_3!I41,recreation_v2_common_2!I41,recreation_v2_common_1!I41)/COUNT(recreation_v2_common_5!I41,recreation_v2_common_4!I41,recreation_v2_common_3!I41,recreation_v2_common_2!I41,recreation_v2_common_1!I41),0))</f>
        <v>1</v>
      </c>
      <c r="J41">
        <f>IF(AND(E41 = 1, F41 = 1),ROUND(SUM(recreation_v2_common_5!J41,recreation_v2_common_4!J41,recreation_v2_common_3!J41,recreation_v2_common_2!J41,recreation_v2_common_1!J41)/COUNT(recreation_v2_common_5!J41,recreation_v2_common_4!J41,recreation_v2_common_3!J41,recreation_v2_common_2!J41,recreation_v2_common_1!J41),0),"NA")</f>
        <v>1</v>
      </c>
      <c r="K41">
        <f>IF($D41=0,"NA",ROUND(SUM(recreation_v2_common_5!K41,recreation_v2_common_4!K41,recreation_v2_common_3!K41,recreation_v2_common_2!K41,recreation_v2_common_1!K41)/COUNT(recreation_v2_common_5!K41,recreation_v2_common_4!K41,recreation_v2_common_3!K41,recreation_v2_common_2!K41,recreation_v2_common_1!K41),0))</f>
        <v>1</v>
      </c>
      <c r="L41">
        <f>IF($D41=0,"NA",ROUND(SUM(recreation_v2_common_5!L41,recreation_v2_common_4!L41,recreation_v2_common_3!L41,recreation_v2_common_2!L41,recreation_v2_common_1!L41)/COUNT(recreation_v2_common_5!L41,recreation_v2_common_4!L41,recreation_v2_common_3!L41,recreation_v2_common_2!L41,recreation_v2_common_1!L41),0))</f>
        <v>1</v>
      </c>
      <c r="M41">
        <f>IF($D41=0,"NA",ROUND(SUM(recreation_v2_common_5!M41,recreation_v2_common_4!M41,recreation_v2_common_3!M41,recreation_v2_common_2!M41,recreation_v2_common_1!M41)/COUNT(recreation_v2_common_5!M41,recreation_v2_common_4!M41,recreation_v2_common_3!M41,recreation_v2_common_2!M41,recreation_v2_common_1!M41),0))</f>
        <v>1</v>
      </c>
      <c r="N41">
        <f>IF($D41=0,"NA",ROUND(SUM(recreation_v2_common_5!N41,recreation_v2_common_4!N41,recreation_v2_common_3!N41,recreation_v2_common_2!N41,recreation_v2_common_1!N41)/COUNT(recreation_v2_common_5!N41,recreation_v2_common_4!N41,recreation_v2_common_3!N41,recreation_v2_common_2!N41,recreation_v2_common_1!N41),0))</f>
        <v>1</v>
      </c>
      <c r="O41">
        <v>1.647362232208252</v>
      </c>
    </row>
    <row r="42" spans="1:15" x14ac:dyDescent="0.25">
      <c r="A42" t="s">
        <v>202</v>
      </c>
      <c r="B42" t="s">
        <v>63</v>
      </c>
      <c r="C42">
        <v>0</v>
      </c>
      <c r="D42">
        <f>ROUND(SUM(recreation_v2_common_5!D42,recreation_v2_common_4!D42,recreation_v2_common_3!D42,recreation_v2_common_2!D42,recreation_v2_common_1!D42)/COUNT(recreation_v2_common_5!D42,recreation_v2_common_4!D42,recreation_v2_common_3!D42,recreation_v2_common_2!D42,recreation_v2_common_1!D42),0)</f>
        <v>1</v>
      </c>
      <c r="E42">
        <f>IF($D42=0,"NA",ROUND(SUM(recreation_v2_common_5!E42,recreation_v2_common_4!E42,recreation_v2_common_3!E42,recreation_v2_common_2!E42,recreation_v2_common_1!E42)/COUNT(recreation_v2_common_5!E42,recreation_v2_common_4!E42,recreation_v2_common_3!E42,recreation_v2_common_2!E42,recreation_v2_common_1!E42),0))</f>
        <v>1</v>
      </c>
      <c r="F42">
        <f>IF($D42=0,"NA",ROUND(SUM(recreation_v2_common_5!F42,recreation_v2_common_4!F42,recreation_v2_common_3!F42,recreation_v2_common_2!F42,recreation_v2_common_1!F42)/COUNT(recreation_v2_common_5!F42,recreation_v2_common_4!F42,recreation_v2_common_3!F42,recreation_v2_common_2!F42,recreation_v2_common_1!F42),0))</f>
        <v>1</v>
      </c>
      <c r="G42">
        <f>IF($D42=0,"NA",ROUND(SUM(recreation_v2_common_5!G42,recreation_v2_common_4!G42,recreation_v2_common_3!G42,recreation_v2_common_2!G42,recreation_v2_common_1!G42)/COUNT(recreation_v2_common_5!G42,recreation_v2_common_4!G42,recreation_v2_common_3!G42,recreation_v2_common_2!G42,recreation_v2_common_1!G42),0))</f>
        <v>1</v>
      </c>
      <c r="H42">
        <f>IF(E42=1, ROUND(SUM(recreation_v2_common_5!H42,recreation_v2_common_4!H42,recreation_v2_common_3!H42,recreation_v2_common_2!H42,recreation_v2_common_1!H42)/COUNT(recreation_v2_common_5!H42,recreation_v2_common_4!H42,recreation_v2_common_3!H42,recreation_v2_common_2!H42,recreation_v2_common_1!H42),0),"NA")</f>
        <v>1</v>
      </c>
      <c r="I42">
        <f>IF($D42=0,"NA",ROUND(SUM(recreation_v2_common_5!I42,recreation_v2_common_4!I42,recreation_v2_common_3!I42,recreation_v2_common_2!I42,recreation_v2_common_1!I42)/COUNT(recreation_v2_common_5!I42,recreation_v2_common_4!I42,recreation_v2_common_3!I42,recreation_v2_common_2!I42,recreation_v2_common_1!I42),0))</f>
        <v>1</v>
      </c>
      <c r="J42">
        <f>IF(AND(E42 = 1, F42 = 1),ROUND(SUM(recreation_v2_common_5!J42,recreation_v2_common_4!J42,recreation_v2_common_3!J42,recreation_v2_common_2!J42,recreation_v2_common_1!J42)/COUNT(recreation_v2_common_5!J42,recreation_v2_common_4!J42,recreation_v2_common_3!J42,recreation_v2_common_2!J42,recreation_v2_common_1!J42),0),"NA")</f>
        <v>1</v>
      </c>
      <c r="K42">
        <f>IF($D42=0,"NA",ROUND(SUM(recreation_v2_common_5!K42,recreation_v2_common_4!K42,recreation_v2_common_3!K42,recreation_v2_common_2!K42,recreation_v2_common_1!K42)/COUNT(recreation_v2_common_5!K42,recreation_v2_common_4!K42,recreation_v2_common_3!K42,recreation_v2_common_2!K42,recreation_v2_common_1!K42),0))</f>
        <v>1</v>
      </c>
      <c r="L42">
        <f>IF($D42=0,"NA",ROUND(SUM(recreation_v2_common_5!L42,recreation_v2_common_4!L42,recreation_v2_common_3!L42,recreation_v2_common_2!L42,recreation_v2_common_1!L42)/COUNT(recreation_v2_common_5!L42,recreation_v2_common_4!L42,recreation_v2_common_3!L42,recreation_v2_common_2!L42,recreation_v2_common_1!L42),0))</f>
        <v>1</v>
      </c>
      <c r="M42">
        <f>IF($D42=0,"NA",ROUND(SUM(recreation_v2_common_5!M42,recreation_v2_common_4!M42,recreation_v2_common_3!M42,recreation_v2_common_2!M42,recreation_v2_common_1!M42)/COUNT(recreation_v2_common_5!M42,recreation_v2_common_4!M42,recreation_v2_common_3!M42,recreation_v2_common_2!M42,recreation_v2_common_1!M42),0))</f>
        <v>1</v>
      </c>
      <c r="N42">
        <f>IF($D42=0,"NA",ROUND(SUM(recreation_v2_common_5!N42,recreation_v2_common_4!N42,recreation_v2_common_3!N42,recreation_v2_common_2!N42,recreation_v2_common_1!N42)/COUNT(recreation_v2_common_5!N42,recreation_v2_common_4!N42,recreation_v2_common_3!N42,recreation_v2_common_2!N42,recreation_v2_common_1!N42),0))</f>
        <v>1</v>
      </c>
      <c r="O42">
        <v>1.451617956161499</v>
      </c>
    </row>
    <row r="43" spans="1:15" x14ac:dyDescent="0.25">
      <c r="A43" t="s">
        <v>202</v>
      </c>
      <c r="B43" t="s">
        <v>64</v>
      </c>
      <c r="C43">
        <v>0</v>
      </c>
      <c r="D43">
        <f>ROUND(SUM(recreation_v2_common_5!D43,recreation_v2_common_4!D43,recreation_v2_common_3!D43,recreation_v2_common_2!D43,recreation_v2_common_1!D43)/COUNT(recreation_v2_common_5!D43,recreation_v2_common_4!D43,recreation_v2_common_3!D43,recreation_v2_common_2!D43,recreation_v2_common_1!D43),0)</f>
        <v>1</v>
      </c>
      <c r="E43">
        <f>IF($D43=0,"NA",ROUND(SUM(recreation_v2_common_5!E43,recreation_v2_common_4!E43,recreation_v2_common_3!E43,recreation_v2_common_2!E43,recreation_v2_common_1!E43)/COUNT(recreation_v2_common_5!E43,recreation_v2_common_4!E43,recreation_v2_common_3!E43,recreation_v2_common_2!E43,recreation_v2_common_1!E43),0))</f>
        <v>1</v>
      </c>
      <c r="F43">
        <f>IF($D43=0,"NA",ROUND(SUM(recreation_v2_common_5!F43,recreation_v2_common_4!F43,recreation_v2_common_3!F43,recreation_v2_common_2!F43,recreation_v2_common_1!F43)/COUNT(recreation_v2_common_5!F43,recreation_v2_common_4!F43,recreation_v2_common_3!F43,recreation_v2_common_2!F43,recreation_v2_common_1!F43),0))</f>
        <v>1</v>
      </c>
      <c r="G43">
        <f>IF($D43=0,"NA",ROUND(SUM(recreation_v2_common_5!G43,recreation_v2_common_4!G43,recreation_v2_common_3!G43,recreation_v2_common_2!G43,recreation_v2_common_1!G43)/COUNT(recreation_v2_common_5!G43,recreation_v2_common_4!G43,recreation_v2_common_3!G43,recreation_v2_common_2!G43,recreation_v2_common_1!G43),0))</f>
        <v>1</v>
      </c>
      <c r="H43">
        <f>IF(E43=1, ROUND(SUM(recreation_v2_common_5!H43,recreation_v2_common_4!H43,recreation_v2_common_3!H43,recreation_v2_common_2!H43,recreation_v2_common_1!H43)/COUNT(recreation_v2_common_5!H43,recreation_v2_common_4!H43,recreation_v2_common_3!H43,recreation_v2_common_2!H43,recreation_v2_common_1!H43),0),"NA")</f>
        <v>1</v>
      </c>
      <c r="I43">
        <f>IF($D43=0,"NA",ROUND(SUM(recreation_v2_common_5!I43,recreation_v2_common_4!I43,recreation_v2_common_3!I43,recreation_v2_common_2!I43,recreation_v2_common_1!I43)/COUNT(recreation_v2_common_5!I43,recreation_v2_common_4!I43,recreation_v2_common_3!I43,recreation_v2_common_2!I43,recreation_v2_common_1!I43),0))</f>
        <v>1</v>
      </c>
      <c r="J43">
        <f>IF(AND(E43 = 1, F43 = 1),ROUND(SUM(recreation_v2_common_5!J43,recreation_v2_common_4!J43,recreation_v2_common_3!J43,recreation_v2_common_2!J43,recreation_v2_common_1!J43)/COUNT(recreation_v2_common_5!J43,recreation_v2_common_4!J43,recreation_v2_common_3!J43,recreation_v2_common_2!J43,recreation_v2_common_1!J43),0),"NA")</f>
        <v>1</v>
      </c>
      <c r="K43">
        <f>IF($D43=0,"NA",ROUND(SUM(recreation_v2_common_5!K43,recreation_v2_common_4!K43,recreation_v2_common_3!K43,recreation_v2_common_2!K43,recreation_v2_common_1!K43)/COUNT(recreation_v2_common_5!K43,recreation_v2_common_4!K43,recreation_v2_common_3!K43,recreation_v2_common_2!K43,recreation_v2_common_1!K43),0))</f>
        <v>1</v>
      </c>
      <c r="L43">
        <f>IF($D43=0,"NA",ROUND(SUM(recreation_v2_common_5!L43,recreation_v2_common_4!L43,recreation_v2_common_3!L43,recreation_v2_common_2!L43,recreation_v2_common_1!L43)/COUNT(recreation_v2_common_5!L43,recreation_v2_common_4!L43,recreation_v2_common_3!L43,recreation_v2_common_2!L43,recreation_v2_common_1!L43),0))</f>
        <v>1</v>
      </c>
      <c r="M43">
        <f>IF($D43=0,"NA",ROUND(SUM(recreation_v2_common_5!M43,recreation_v2_common_4!M43,recreation_v2_common_3!M43,recreation_v2_common_2!M43,recreation_v2_common_1!M43)/COUNT(recreation_v2_common_5!M43,recreation_v2_common_4!M43,recreation_v2_common_3!M43,recreation_v2_common_2!M43,recreation_v2_common_1!M43),0))</f>
        <v>1</v>
      </c>
      <c r="N43">
        <f>IF($D43=0,"NA",ROUND(SUM(recreation_v2_common_5!N43,recreation_v2_common_4!N43,recreation_v2_common_3!N43,recreation_v2_common_2!N43,recreation_v2_common_1!N43)/COUNT(recreation_v2_common_5!N43,recreation_v2_common_4!N43,recreation_v2_common_3!N43,recreation_v2_common_2!N43,recreation_v2_common_1!N43),0))</f>
        <v>1</v>
      </c>
      <c r="O43">
        <v>2.128355979919434</v>
      </c>
    </row>
    <row r="44" spans="1:15" x14ac:dyDescent="0.25">
      <c r="A44" t="s">
        <v>202</v>
      </c>
      <c r="B44" t="s">
        <v>65</v>
      </c>
      <c r="C44">
        <v>0</v>
      </c>
      <c r="D44">
        <f>ROUND(SUM(recreation_v2_common_5!D44,recreation_v2_common_4!D44,recreation_v2_common_3!D44,recreation_v2_common_2!D44,recreation_v2_common_1!D44)/COUNT(recreation_v2_common_5!D44,recreation_v2_common_4!D44,recreation_v2_common_3!D44,recreation_v2_common_2!D44,recreation_v2_common_1!D44),0)</f>
        <v>1</v>
      </c>
      <c r="E44">
        <f>IF($D44=0,"NA",ROUND(SUM(recreation_v2_common_5!E44,recreation_v2_common_4!E44,recreation_v2_common_3!E44,recreation_v2_common_2!E44,recreation_v2_common_1!E44)/COUNT(recreation_v2_common_5!E44,recreation_v2_common_4!E44,recreation_v2_common_3!E44,recreation_v2_common_2!E44,recreation_v2_common_1!E44),0))</f>
        <v>1</v>
      </c>
      <c r="F44">
        <f>IF($D44=0,"NA",ROUND(SUM(recreation_v2_common_5!F44,recreation_v2_common_4!F44,recreation_v2_common_3!F44,recreation_v2_common_2!F44,recreation_v2_common_1!F44)/COUNT(recreation_v2_common_5!F44,recreation_v2_common_4!F44,recreation_v2_common_3!F44,recreation_v2_common_2!F44,recreation_v2_common_1!F44),0))</f>
        <v>1</v>
      </c>
      <c r="G44">
        <f>IF($D44=0,"NA",ROUND(SUM(recreation_v2_common_5!G44,recreation_v2_common_4!G44,recreation_v2_common_3!G44,recreation_v2_common_2!G44,recreation_v2_common_1!G44)/COUNT(recreation_v2_common_5!G44,recreation_v2_common_4!G44,recreation_v2_common_3!G44,recreation_v2_common_2!G44,recreation_v2_common_1!G44),0))</f>
        <v>1</v>
      </c>
      <c r="H44">
        <f>IF(E44=1, ROUND(SUM(recreation_v2_common_5!H44,recreation_v2_common_4!H44,recreation_v2_common_3!H44,recreation_v2_common_2!H44,recreation_v2_common_1!H44)/COUNT(recreation_v2_common_5!H44,recreation_v2_common_4!H44,recreation_v2_common_3!H44,recreation_v2_common_2!H44,recreation_v2_common_1!H44),0),"NA")</f>
        <v>1</v>
      </c>
      <c r="I44">
        <f>IF($D44=0,"NA",ROUND(SUM(recreation_v2_common_5!I44,recreation_v2_common_4!I44,recreation_v2_common_3!I44,recreation_v2_common_2!I44,recreation_v2_common_1!I44)/COUNT(recreation_v2_common_5!I44,recreation_v2_common_4!I44,recreation_v2_common_3!I44,recreation_v2_common_2!I44,recreation_v2_common_1!I44),0))</f>
        <v>1</v>
      </c>
      <c r="J44">
        <f>IF(AND(E44 = 1, F44 = 1),ROUND(SUM(recreation_v2_common_5!J44,recreation_v2_common_4!J44,recreation_v2_common_3!J44,recreation_v2_common_2!J44,recreation_v2_common_1!J44)/COUNT(recreation_v2_common_5!J44,recreation_v2_common_4!J44,recreation_v2_common_3!J44,recreation_v2_common_2!J44,recreation_v2_common_1!J44),0),"NA")</f>
        <v>1</v>
      </c>
      <c r="K44">
        <f>IF($D44=0,"NA",ROUND(SUM(recreation_v2_common_5!K44,recreation_v2_common_4!K44,recreation_v2_common_3!K44,recreation_v2_common_2!K44,recreation_v2_common_1!K44)/COUNT(recreation_v2_common_5!K44,recreation_v2_common_4!K44,recreation_v2_common_3!K44,recreation_v2_common_2!K44,recreation_v2_common_1!K44),0))</f>
        <v>1</v>
      </c>
      <c r="L44">
        <f>IF($D44=0,"NA",ROUND(SUM(recreation_v2_common_5!L44,recreation_v2_common_4!L44,recreation_v2_common_3!L44,recreation_v2_common_2!L44,recreation_v2_common_1!L44)/COUNT(recreation_v2_common_5!L44,recreation_v2_common_4!L44,recreation_v2_common_3!L44,recreation_v2_common_2!L44,recreation_v2_common_1!L44),0))</f>
        <v>1</v>
      </c>
      <c r="M44">
        <f>IF($D44=0,"NA",ROUND(SUM(recreation_v2_common_5!M44,recreation_v2_common_4!M44,recreation_v2_common_3!M44,recreation_v2_common_2!M44,recreation_v2_common_1!M44)/COUNT(recreation_v2_common_5!M44,recreation_v2_common_4!M44,recreation_v2_common_3!M44,recreation_v2_common_2!M44,recreation_v2_common_1!M44),0))</f>
        <v>1</v>
      </c>
      <c r="N44">
        <f>IF($D44=0,"NA",ROUND(SUM(recreation_v2_common_5!N44,recreation_v2_common_4!N44,recreation_v2_common_3!N44,recreation_v2_common_2!N44,recreation_v2_common_1!N44)/COUNT(recreation_v2_common_5!N44,recreation_v2_common_4!N44,recreation_v2_common_3!N44,recreation_v2_common_2!N44,recreation_v2_common_1!N44),0))</f>
        <v>1</v>
      </c>
      <c r="O44">
        <v>1.943073987960815</v>
      </c>
    </row>
    <row r="45" spans="1:15" x14ac:dyDescent="0.25">
      <c r="A45" t="s">
        <v>202</v>
      </c>
      <c r="B45" t="s">
        <v>66</v>
      </c>
      <c r="C45">
        <v>0</v>
      </c>
      <c r="D45">
        <f>ROUND(SUM(recreation_v2_common_5!D45,recreation_v2_common_4!D45,recreation_v2_common_3!D45,recreation_v2_common_2!D45,recreation_v2_common_1!D45)/COUNT(recreation_v2_common_5!D45,recreation_v2_common_4!D45,recreation_v2_common_3!D45,recreation_v2_common_2!D45,recreation_v2_common_1!D45),0)</f>
        <v>1</v>
      </c>
      <c r="E45">
        <f>IF($D45=0,"NA",ROUND(SUM(recreation_v2_common_5!E45,recreation_v2_common_4!E45,recreation_v2_common_3!E45,recreation_v2_common_2!E45,recreation_v2_common_1!E45)/COUNT(recreation_v2_common_5!E45,recreation_v2_common_4!E45,recreation_v2_common_3!E45,recreation_v2_common_2!E45,recreation_v2_common_1!E45),0))</f>
        <v>1</v>
      </c>
      <c r="F45">
        <f>IF($D45=0,"NA",ROUND(SUM(recreation_v2_common_5!F45,recreation_v2_common_4!F45,recreation_v2_common_3!F45,recreation_v2_common_2!F45,recreation_v2_common_1!F45)/COUNT(recreation_v2_common_5!F45,recreation_v2_common_4!F45,recreation_v2_common_3!F45,recreation_v2_common_2!F45,recreation_v2_common_1!F45),0))</f>
        <v>1</v>
      </c>
      <c r="G45">
        <f>IF($D45=0,"NA",ROUND(SUM(recreation_v2_common_5!G45,recreation_v2_common_4!G45,recreation_v2_common_3!G45,recreation_v2_common_2!G45,recreation_v2_common_1!G45)/COUNT(recreation_v2_common_5!G45,recreation_v2_common_4!G45,recreation_v2_common_3!G45,recreation_v2_common_2!G45,recreation_v2_common_1!G45),0))</f>
        <v>1</v>
      </c>
      <c r="H45">
        <f>IF(E45=1, ROUND(SUM(recreation_v2_common_5!H45,recreation_v2_common_4!H45,recreation_v2_common_3!H45,recreation_v2_common_2!H45,recreation_v2_common_1!H45)/COUNT(recreation_v2_common_5!H45,recreation_v2_common_4!H45,recreation_v2_common_3!H45,recreation_v2_common_2!H45,recreation_v2_common_1!H45),0),"NA")</f>
        <v>1</v>
      </c>
      <c r="I45">
        <f>IF($D45=0,"NA",ROUND(SUM(recreation_v2_common_5!I45,recreation_v2_common_4!I45,recreation_v2_common_3!I45,recreation_v2_common_2!I45,recreation_v2_common_1!I45)/COUNT(recreation_v2_common_5!I45,recreation_v2_common_4!I45,recreation_v2_common_3!I45,recreation_v2_common_2!I45,recreation_v2_common_1!I45),0))</f>
        <v>1</v>
      </c>
      <c r="J45">
        <f>IF(AND(E45 = 1, F45 = 1),ROUND(SUM(recreation_v2_common_5!J45,recreation_v2_common_4!J45,recreation_v2_common_3!J45,recreation_v2_common_2!J45,recreation_v2_common_1!J45)/COUNT(recreation_v2_common_5!J45,recreation_v2_common_4!J45,recreation_v2_common_3!J45,recreation_v2_common_2!J45,recreation_v2_common_1!J45),0),"NA")</f>
        <v>1</v>
      </c>
      <c r="K45">
        <f>IF($D45=0,"NA",ROUND(SUM(recreation_v2_common_5!K45,recreation_v2_common_4!K45,recreation_v2_common_3!K45,recreation_v2_common_2!K45,recreation_v2_common_1!K45)/COUNT(recreation_v2_common_5!K45,recreation_v2_common_4!K45,recreation_v2_common_3!K45,recreation_v2_common_2!K45,recreation_v2_common_1!K45),0))</f>
        <v>1</v>
      </c>
      <c r="L45">
        <f>IF($D45=0,"NA",ROUND(SUM(recreation_v2_common_5!L45,recreation_v2_common_4!L45,recreation_v2_common_3!L45,recreation_v2_common_2!L45,recreation_v2_common_1!L45)/COUNT(recreation_v2_common_5!L45,recreation_v2_common_4!L45,recreation_v2_common_3!L45,recreation_v2_common_2!L45,recreation_v2_common_1!L45),0))</f>
        <v>1</v>
      </c>
      <c r="M45">
        <f>IF($D45=0,"NA",ROUND(SUM(recreation_v2_common_5!M45,recreation_v2_common_4!M45,recreation_v2_common_3!M45,recreation_v2_common_2!M45,recreation_v2_common_1!M45)/COUNT(recreation_v2_common_5!M45,recreation_v2_common_4!M45,recreation_v2_common_3!M45,recreation_v2_common_2!M45,recreation_v2_common_1!M45),0))</f>
        <v>1</v>
      </c>
      <c r="N45">
        <f>IF($D45=0,"NA",ROUND(SUM(recreation_v2_common_5!N45,recreation_v2_common_4!N45,recreation_v2_common_3!N45,recreation_v2_common_2!N45,recreation_v2_common_1!N45)/COUNT(recreation_v2_common_5!N45,recreation_v2_common_4!N45,recreation_v2_common_3!N45,recreation_v2_common_2!N45,recreation_v2_common_1!N45),0))</f>
        <v>1</v>
      </c>
      <c r="O45">
        <v>2.3569867610931401</v>
      </c>
    </row>
    <row r="46" spans="1:15" x14ac:dyDescent="0.25">
      <c r="A46" t="s">
        <v>202</v>
      </c>
      <c r="B46" t="s">
        <v>67</v>
      </c>
      <c r="C46">
        <v>0</v>
      </c>
      <c r="D46">
        <f>ROUND(SUM(recreation_v2_common_5!D46,recreation_v2_common_4!D46,recreation_v2_common_3!D46,recreation_v2_common_2!D46,recreation_v2_common_1!D46)/COUNT(recreation_v2_common_5!D46,recreation_v2_common_4!D46,recreation_v2_common_3!D46,recreation_v2_common_2!D46,recreation_v2_common_1!D46),0)</f>
        <v>1</v>
      </c>
      <c r="E46">
        <f>IF($D46=0,"NA",ROUND(SUM(recreation_v2_common_5!E46,recreation_v2_common_4!E46,recreation_v2_common_3!E46,recreation_v2_common_2!E46,recreation_v2_common_1!E46)/COUNT(recreation_v2_common_5!E46,recreation_v2_common_4!E46,recreation_v2_common_3!E46,recreation_v2_common_2!E46,recreation_v2_common_1!E46),0))</f>
        <v>1</v>
      </c>
      <c r="F46">
        <f>IF($D46=0,"NA",ROUND(SUM(recreation_v2_common_5!F46,recreation_v2_common_4!F46,recreation_v2_common_3!F46,recreation_v2_common_2!F46,recreation_v2_common_1!F46)/COUNT(recreation_v2_common_5!F46,recreation_v2_common_4!F46,recreation_v2_common_3!F46,recreation_v2_common_2!F46,recreation_v2_common_1!F46),0))</f>
        <v>1</v>
      </c>
      <c r="G46">
        <f>IF($D46=0,"NA",ROUND(SUM(recreation_v2_common_5!G46,recreation_v2_common_4!G46,recreation_v2_common_3!G46,recreation_v2_common_2!G46,recreation_v2_common_1!G46)/COUNT(recreation_v2_common_5!G46,recreation_v2_common_4!G46,recreation_v2_common_3!G46,recreation_v2_common_2!G46,recreation_v2_common_1!G46),0))</f>
        <v>1</v>
      </c>
      <c r="H46">
        <f>IF(E46=1, ROUND(SUM(recreation_v2_common_5!H46,recreation_v2_common_4!H46,recreation_v2_common_3!H46,recreation_v2_common_2!H46,recreation_v2_common_1!H46)/COUNT(recreation_v2_common_5!H46,recreation_v2_common_4!H46,recreation_v2_common_3!H46,recreation_v2_common_2!H46,recreation_v2_common_1!H46),0),"NA")</f>
        <v>1</v>
      </c>
      <c r="I46">
        <f>IF($D46=0,"NA",ROUND(SUM(recreation_v2_common_5!I46,recreation_v2_common_4!I46,recreation_v2_common_3!I46,recreation_v2_common_2!I46,recreation_v2_common_1!I46)/COUNT(recreation_v2_common_5!I46,recreation_v2_common_4!I46,recreation_v2_common_3!I46,recreation_v2_common_2!I46,recreation_v2_common_1!I46),0))</f>
        <v>1</v>
      </c>
      <c r="J46">
        <f>IF(AND(E46 = 1, F46 = 1),ROUND(SUM(recreation_v2_common_5!J46,recreation_v2_common_4!J46,recreation_v2_common_3!J46,recreation_v2_common_2!J46,recreation_v2_common_1!J46)/COUNT(recreation_v2_common_5!J46,recreation_v2_common_4!J46,recreation_v2_common_3!J46,recreation_v2_common_2!J46,recreation_v2_common_1!J46),0),"NA")</f>
        <v>1</v>
      </c>
      <c r="K46">
        <f>IF($D46=0,"NA",ROUND(SUM(recreation_v2_common_5!K46,recreation_v2_common_4!K46,recreation_v2_common_3!K46,recreation_v2_common_2!K46,recreation_v2_common_1!K46)/COUNT(recreation_v2_common_5!K46,recreation_v2_common_4!K46,recreation_v2_common_3!K46,recreation_v2_common_2!K46,recreation_v2_common_1!K46),0))</f>
        <v>1</v>
      </c>
      <c r="L46">
        <f>IF($D46=0,"NA",ROUND(SUM(recreation_v2_common_5!L46,recreation_v2_common_4!L46,recreation_v2_common_3!L46,recreation_v2_common_2!L46,recreation_v2_common_1!L46)/COUNT(recreation_v2_common_5!L46,recreation_v2_common_4!L46,recreation_v2_common_3!L46,recreation_v2_common_2!L46,recreation_v2_common_1!L46),0))</f>
        <v>1</v>
      </c>
      <c r="M46">
        <f>IF($D46=0,"NA",ROUND(SUM(recreation_v2_common_5!M46,recreation_v2_common_4!M46,recreation_v2_common_3!M46,recreation_v2_common_2!M46,recreation_v2_common_1!M46)/COUNT(recreation_v2_common_5!M46,recreation_v2_common_4!M46,recreation_v2_common_3!M46,recreation_v2_common_2!M46,recreation_v2_common_1!M46),0))</f>
        <v>1</v>
      </c>
      <c r="N46">
        <f>IF($D46=0,"NA",ROUND(SUM(recreation_v2_common_5!N46,recreation_v2_common_4!N46,recreation_v2_common_3!N46,recreation_v2_common_2!N46,recreation_v2_common_1!N46)/COUNT(recreation_v2_common_5!N46,recreation_v2_common_4!N46,recreation_v2_common_3!N46,recreation_v2_common_2!N46,recreation_v2_common_1!N46),0))</f>
        <v>1</v>
      </c>
      <c r="O46">
        <v>1.7695531845092769</v>
      </c>
    </row>
    <row r="47" spans="1:15" x14ac:dyDescent="0.25">
      <c r="A47" t="s">
        <v>202</v>
      </c>
      <c r="B47" t="s">
        <v>68</v>
      </c>
      <c r="C47">
        <v>0</v>
      </c>
      <c r="D47">
        <f>ROUND(SUM(recreation_v2_common_5!D47,recreation_v2_common_4!D47,recreation_v2_common_3!D47,recreation_v2_common_2!D47,recreation_v2_common_1!D47)/COUNT(recreation_v2_common_5!D47,recreation_v2_common_4!D47,recreation_v2_common_3!D47,recreation_v2_common_2!D47,recreation_v2_common_1!D47),0)</f>
        <v>1</v>
      </c>
      <c r="E47">
        <f>IF($D47=0,"NA",ROUND(SUM(recreation_v2_common_5!E47,recreation_v2_common_4!E47,recreation_v2_common_3!E47,recreation_v2_common_2!E47,recreation_v2_common_1!E47)/COUNT(recreation_v2_common_5!E47,recreation_v2_common_4!E47,recreation_v2_common_3!E47,recreation_v2_common_2!E47,recreation_v2_common_1!E47),0))</f>
        <v>0</v>
      </c>
      <c r="F47">
        <f>IF($D47=0,"NA",ROUND(SUM(recreation_v2_common_5!F47,recreation_v2_common_4!F47,recreation_v2_common_3!F47,recreation_v2_common_2!F47,recreation_v2_common_1!F47)/COUNT(recreation_v2_common_5!F47,recreation_v2_common_4!F47,recreation_v2_common_3!F47,recreation_v2_common_2!F47,recreation_v2_common_1!F47),0))</f>
        <v>1</v>
      </c>
      <c r="G47">
        <f>IF($D47=0,"NA",ROUND(SUM(recreation_v2_common_5!G47,recreation_v2_common_4!G47,recreation_v2_common_3!G47,recreation_v2_common_2!G47,recreation_v2_common_1!G47)/COUNT(recreation_v2_common_5!G47,recreation_v2_common_4!G47,recreation_v2_common_3!G47,recreation_v2_common_2!G47,recreation_v2_common_1!G47),0))</f>
        <v>1</v>
      </c>
      <c r="H47" t="str">
        <f>IF(E47=1, ROUND(SUM(recreation_v2_common_5!H47,recreation_v2_common_4!H47,recreation_v2_common_3!H47,recreation_v2_common_2!H47,recreation_v2_common_1!H47)/COUNT(recreation_v2_common_5!H47,recreation_v2_common_4!H47,recreation_v2_common_3!H47,recreation_v2_common_2!H47,recreation_v2_common_1!H47),0),"NA")</f>
        <v>NA</v>
      </c>
      <c r="I47">
        <f>IF($D47=0,"NA",ROUND(SUM(recreation_v2_common_5!I47,recreation_v2_common_4!I47,recreation_v2_common_3!I47,recreation_v2_common_2!I47,recreation_v2_common_1!I47)/COUNT(recreation_v2_common_5!I47,recreation_v2_common_4!I47,recreation_v2_common_3!I47,recreation_v2_common_2!I47,recreation_v2_common_1!I47),0))</f>
        <v>1</v>
      </c>
      <c r="J47" t="str">
        <f>IF(AND(E47 = 1, F47 = 1),ROUND(SUM(recreation_v2_common_5!J47,recreation_v2_common_4!J47,recreation_v2_common_3!J47,recreation_v2_common_2!J47,recreation_v2_common_1!J47)/COUNT(recreation_v2_common_5!J47,recreation_v2_common_4!J47,recreation_v2_common_3!J47,recreation_v2_common_2!J47,recreation_v2_common_1!J47),0),"NA")</f>
        <v>NA</v>
      </c>
      <c r="K47">
        <f>IF($D47=0,"NA",ROUND(SUM(recreation_v2_common_5!K47,recreation_v2_common_4!K47,recreation_v2_common_3!K47,recreation_v2_common_2!K47,recreation_v2_common_1!K47)/COUNT(recreation_v2_common_5!K47,recreation_v2_common_4!K47,recreation_v2_common_3!K47,recreation_v2_common_2!K47,recreation_v2_common_1!K47),0))</f>
        <v>1</v>
      </c>
      <c r="L47">
        <f>IF($D47=0,"NA",ROUND(SUM(recreation_v2_common_5!L47,recreation_v2_common_4!L47,recreation_v2_common_3!L47,recreation_v2_common_2!L47,recreation_v2_common_1!L47)/COUNT(recreation_v2_common_5!L47,recreation_v2_common_4!L47,recreation_v2_common_3!L47,recreation_v2_common_2!L47,recreation_v2_common_1!L47),0))</f>
        <v>1</v>
      </c>
      <c r="M47">
        <f>IF($D47=0,"NA",ROUND(SUM(recreation_v2_common_5!M47,recreation_v2_common_4!M47,recreation_v2_common_3!M47,recreation_v2_common_2!M47,recreation_v2_common_1!M47)/COUNT(recreation_v2_common_5!M47,recreation_v2_common_4!M47,recreation_v2_common_3!M47,recreation_v2_common_2!M47,recreation_v2_common_1!M47),0))</f>
        <v>1</v>
      </c>
      <c r="N47">
        <f>IF($D47=0,"NA",ROUND(SUM(recreation_v2_common_5!N47,recreation_v2_common_4!N47,recreation_v2_common_3!N47,recreation_v2_common_2!N47,recreation_v2_common_1!N47)/COUNT(recreation_v2_common_5!N47,recreation_v2_common_4!N47,recreation_v2_common_3!N47,recreation_v2_common_2!N47,recreation_v2_common_1!N47),0))</f>
        <v>1</v>
      </c>
      <c r="O47">
        <v>3.681073665618896</v>
      </c>
    </row>
    <row r="48" spans="1:15" x14ac:dyDescent="0.25">
      <c r="A48" t="s">
        <v>202</v>
      </c>
      <c r="B48" t="s">
        <v>70</v>
      </c>
      <c r="C48">
        <v>0</v>
      </c>
      <c r="D48">
        <f>ROUND(SUM(recreation_v2_common_5!D48,recreation_v2_common_4!D48,recreation_v2_common_3!D48,recreation_v2_common_2!D48,recreation_v2_common_1!D48)/COUNT(recreation_v2_common_5!D48,recreation_v2_common_4!D48,recreation_v2_common_3!D48,recreation_v2_common_2!D48,recreation_v2_common_1!D48),0)</f>
        <v>1</v>
      </c>
      <c r="E48">
        <f>IF($D48=0,"NA",ROUND(SUM(recreation_v2_common_5!E48,recreation_v2_common_4!E48,recreation_v2_common_3!E48,recreation_v2_common_2!E48,recreation_v2_common_1!E48)/COUNT(recreation_v2_common_5!E48,recreation_v2_common_4!E48,recreation_v2_common_3!E48,recreation_v2_common_2!E48,recreation_v2_common_1!E48),0))</f>
        <v>1</v>
      </c>
      <c r="F48">
        <f>IF($D48=0,"NA",ROUND(SUM(recreation_v2_common_5!F48,recreation_v2_common_4!F48,recreation_v2_common_3!F48,recreation_v2_common_2!F48,recreation_v2_common_1!F48)/COUNT(recreation_v2_common_5!F48,recreation_v2_common_4!F48,recreation_v2_common_3!F48,recreation_v2_common_2!F48,recreation_v2_common_1!F48),0))</f>
        <v>1</v>
      </c>
      <c r="G48">
        <f>IF($D48=0,"NA",ROUND(SUM(recreation_v2_common_5!G48,recreation_v2_common_4!G48,recreation_v2_common_3!G48,recreation_v2_common_2!G48,recreation_v2_common_1!G48)/COUNT(recreation_v2_common_5!G48,recreation_v2_common_4!G48,recreation_v2_common_3!G48,recreation_v2_common_2!G48,recreation_v2_common_1!G48),0))</f>
        <v>1</v>
      </c>
      <c r="H48">
        <f>IF(E48=1, ROUND(SUM(recreation_v2_common_5!H48,recreation_v2_common_4!H48,recreation_v2_common_3!H48,recreation_v2_common_2!H48,recreation_v2_common_1!H48)/COUNT(recreation_v2_common_5!H48,recreation_v2_common_4!H48,recreation_v2_common_3!H48,recreation_v2_common_2!H48,recreation_v2_common_1!H48),0),"NA")</f>
        <v>1</v>
      </c>
      <c r="I48">
        <f>IF($D48=0,"NA",ROUND(SUM(recreation_v2_common_5!I48,recreation_v2_common_4!I48,recreation_v2_common_3!I48,recreation_v2_common_2!I48,recreation_v2_common_1!I48)/COUNT(recreation_v2_common_5!I48,recreation_v2_common_4!I48,recreation_v2_common_3!I48,recreation_v2_common_2!I48,recreation_v2_common_1!I48),0))</f>
        <v>1</v>
      </c>
      <c r="J48">
        <f>IF(AND(E48 = 1, F48 = 1),ROUND(SUM(recreation_v2_common_5!J48,recreation_v2_common_4!J48,recreation_v2_common_3!J48,recreation_v2_common_2!J48,recreation_v2_common_1!J48)/COUNT(recreation_v2_common_5!J48,recreation_v2_common_4!J48,recreation_v2_common_3!J48,recreation_v2_common_2!J48,recreation_v2_common_1!J48),0),"NA")</f>
        <v>1</v>
      </c>
      <c r="K48">
        <f>IF($D48=0,"NA",ROUND(SUM(recreation_v2_common_5!K48,recreation_v2_common_4!K48,recreation_v2_common_3!K48,recreation_v2_common_2!K48,recreation_v2_common_1!K48)/COUNT(recreation_v2_common_5!K48,recreation_v2_common_4!K48,recreation_v2_common_3!K48,recreation_v2_common_2!K48,recreation_v2_common_1!K48),0))</f>
        <v>1</v>
      </c>
      <c r="L48">
        <f>IF($D48=0,"NA",ROUND(SUM(recreation_v2_common_5!L48,recreation_v2_common_4!L48,recreation_v2_common_3!L48,recreation_v2_common_2!L48,recreation_v2_common_1!L48)/COUNT(recreation_v2_common_5!L48,recreation_v2_common_4!L48,recreation_v2_common_3!L48,recreation_v2_common_2!L48,recreation_v2_common_1!L48),0))</f>
        <v>1</v>
      </c>
      <c r="M48">
        <f>IF($D48=0,"NA",ROUND(SUM(recreation_v2_common_5!M48,recreation_v2_common_4!M48,recreation_v2_common_3!M48,recreation_v2_common_2!M48,recreation_v2_common_1!M48)/COUNT(recreation_v2_common_5!M48,recreation_v2_common_4!M48,recreation_v2_common_3!M48,recreation_v2_common_2!M48,recreation_v2_common_1!M48),0))</f>
        <v>1</v>
      </c>
      <c r="N48">
        <f>IF($D48=0,"NA",ROUND(SUM(recreation_v2_common_5!N48,recreation_v2_common_4!N48,recreation_v2_common_3!N48,recreation_v2_common_2!N48,recreation_v2_common_1!N48)/COUNT(recreation_v2_common_5!N48,recreation_v2_common_4!N48,recreation_v2_common_3!N48,recreation_v2_common_2!N48,recreation_v2_common_1!N48),0))</f>
        <v>1</v>
      </c>
      <c r="O48">
        <v>1.338171720504761</v>
      </c>
    </row>
    <row r="49" spans="1:15" x14ac:dyDescent="0.25">
      <c r="A49" t="s">
        <v>202</v>
      </c>
      <c r="B49" t="s">
        <v>71</v>
      </c>
      <c r="C49">
        <v>0</v>
      </c>
      <c r="D49">
        <f>ROUND(SUM(recreation_v2_common_5!D49,recreation_v2_common_4!D49,recreation_v2_common_3!D49,recreation_v2_common_2!D49,recreation_v2_common_1!D49)/COUNT(recreation_v2_common_5!D49,recreation_v2_common_4!D49,recreation_v2_common_3!D49,recreation_v2_common_2!D49,recreation_v2_common_1!D49),0)</f>
        <v>1</v>
      </c>
      <c r="E49">
        <f>IF($D49=0,"NA",ROUND(SUM(recreation_v2_common_5!E49,recreation_v2_common_4!E49,recreation_v2_common_3!E49,recreation_v2_common_2!E49,recreation_v2_common_1!E49)/COUNT(recreation_v2_common_5!E49,recreation_v2_common_4!E49,recreation_v2_common_3!E49,recreation_v2_common_2!E49,recreation_v2_common_1!E49),0))</f>
        <v>1</v>
      </c>
      <c r="F49">
        <f>IF($D49=0,"NA",ROUND(SUM(recreation_v2_common_5!F49,recreation_v2_common_4!F49,recreation_v2_common_3!F49,recreation_v2_common_2!F49,recreation_v2_common_1!F49)/COUNT(recreation_v2_common_5!F49,recreation_v2_common_4!F49,recreation_v2_common_3!F49,recreation_v2_common_2!F49,recreation_v2_common_1!F49),0))</f>
        <v>1</v>
      </c>
      <c r="G49">
        <f>IF($D49=0,"NA",ROUND(SUM(recreation_v2_common_5!G49,recreation_v2_common_4!G49,recreation_v2_common_3!G49,recreation_v2_common_2!G49,recreation_v2_common_1!G49)/COUNT(recreation_v2_common_5!G49,recreation_v2_common_4!G49,recreation_v2_common_3!G49,recreation_v2_common_2!G49,recreation_v2_common_1!G49),0))</f>
        <v>1</v>
      </c>
      <c r="H49">
        <f>IF(E49=1, ROUND(SUM(recreation_v2_common_5!H49,recreation_v2_common_4!H49,recreation_v2_common_3!H49,recreation_v2_common_2!H49,recreation_v2_common_1!H49)/COUNT(recreation_v2_common_5!H49,recreation_v2_common_4!H49,recreation_v2_common_3!H49,recreation_v2_common_2!H49,recreation_v2_common_1!H49),0),"NA")</f>
        <v>1</v>
      </c>
      <c r="I49">
        <f>IF($D49=0,"NA",ROUND(SUM(recreation_v2_common_5!I49,recreation_v2_common_4!I49,recreation_v2_common_3!I49,recreation_v2_common_2!I49,recreation_v2_common_1!I49)/COUNT(recreation_v2_common_5!I49,recreation_v2_common_4!I49,recreation_v2_common_3!I49,recreation_v2_common_2!I49,recreation_v2_common_1!I49),0))</f>
        <v>1</v>
      </c>
      <c r="J49">
        <f>IF(AND(E49 = 1, F49 = 1),ROUND(SUM(recreation_v2_common_5!J49,recreation_v2_common_4!J49,recreation_v2_common_3!J49,recreation_v2_common_2!J49,recreation_v2_common_1!J49)/COUNT(recreation_v2_common_5!J49,recreation_v2_common_4!J49,recreation_v2_common_3!J49,recreation_v2_common_2!J49,recreation_v2_common_1!J49),0),"NA")</f>
        <v>1</v>
      </c>
      <c r="K49">
        <f>IF($D49=0,"NA",ROUND(SUM(recreation_v2_common_5!K49,recreation_v2_common_4!K49,recreation_v2_common_3!K49,recreation_v2_common_2!K49,recreation_v2_common_1!K49)/COUNT(recreation_v2_common_5!K49,recreation_v2_common_4!K49,recreation_v2_common_3!K49,recreation_v2_common_2!K49,recreation_v2_common_1!K49),0))</f>
        <v>1</v>
      </c>
      <c r="L49">
        <f>IF($D49=0,"NA",ROUND(SUM(recreation_v2_common_5!L49,recreation_v2_common_4!L49,recreation_v2_common_3!L49,recreation_v2_common_2!L49,recreation_v2_common_1!L49)/COUNT(recreation_v2_common_5!L49,recreation_v2_common_4!L49,recreation_v2_common_3!L49,recreation_v2_common_2!L49,recreation_v2_common_1!L49),0))</f>
        <v>1</v>
      </c>
      <c r="M49">
        <f>IF($D49=0,"NA",ROUND(SUM(recreation_v2_common_5!M49,recreation_v2_common_4!M49,recreation_v2_common_3!M49,recreation_v2_common_2!M49,recreation_v2_common_1!M49)/COUNT(recreation_v2_common_5!M49,recreation_v2_common_4!M49,recreation_v2_common_3!M49,recreation_v2_common_2!M49,recreation_v2_common_1!M49),0))</f>
        <v>1</v>
      </c>
      <c r="N49">
        <f>IF($D49=0,"NA",ROUND(SUM(recreation_v2_common_5!N49,recreation_v2_common_4!N49,recreation_v2_common_3!N49,recreation_v2_common_2!N49,recreation_v2_common_1!N49)/COUNT(recreation_v2_common_5!N49,recreation_v2_common_4!N49,recreation_v2_common_3!N49,recreation_v2_common_2!N49,recreation_v2_common_1!N49),0))</f>
        <v>1</v>
      </c>
      <c r="O49">
        <v>1.7301290035247801</v>
      </c>
    </row>
    <row r="50" spans="1:15" x14ac:dyDescent="0.25">
      <c r="A50" t="s">
        <v>202</v>
      </c>
      <c r="B50" t="s">
        <v>72</v>
      </c>
      <c r="C50">
        <v>0</v>
      </c>
      <c r="D50">
        <f>ROUND(SUM(recreation_v2_common_5!D50,recreation_v2_common_4!D50,recreation_v2_common_3!D50,recreation_v2_common_2!D50,recreation_v2_common_1!D50)/COUNT(recreation_v2_common_5!D50,recreation_v2_common_4!D50,recreation_v2_common_3!D50,recreation_v2_common_2!D50,recreation_v2_common_1!D50),0)</f>
        <v>1</v>
      </c>
      <c r="E50">
        <f>IF($D50=0,"NA",ROUND(SUM(recreation_v2_common_5!E50,recreation_v2_common_4!E50,recreation_v2_common_3!E50,recreation_v2_common_2!E50,recreation_v2_common_1!E50)/COUNT(recreation_v2_common_5!E50,recreation_v2_common_4!E50,recreation_v2_common_3!E50,recreation_v2_common_2!E50,recreation_v2_common_1!E50),0))</f>
        <v>1</v>
      </c>
      <c r="F50">
        <f>IF($D50=0,"NA",ROUND(SUM(recreation_v2_common_5!F50,recreation_v2_common_4!F50,recreation_v2_common_3!F50,recreation_v2_common_2!F50,recreation_v2_common_1!F50)/COUNT(recreation_v2_common_5!F50,recreation_v2_common_4!F50,recreation_v2_common_3!F50,recreation_v2_common_2!F50,recreation_v2_common_1!F50),0))</f>
        <v>1</v>
      </c>
      <c r="G50">
        <f>IF($D50=0,"NA",ROUND(SUM(recreation_v2_common_5!G50,recreation_v2_common_4!G50,recreation_v2_common_3!G50,recreation_v2_common_2!G50,recreation_v2_common_1!G50)/COUNT(recreation_v2_common_5!G50,recreation_v2_common_4!G50,recreation_v2_common_3!G50,recreation_v2_common_2!G50,recreation_v2_common_1!G50),0))</f>
        <v>1</v>
      </c>
      <c r="H50">
        <f>IF(E50=1, ROUND(SUM(recreation_v2_common_5!H50,recreation_v2_common_4!H50,recreation_v2_common_3!H50,recreation_v2_common_2!H50,recreation_v2_common_1!H50)/COUNT(recreation_v2_common_5!H50,recreation_v2_common_4!H50,recreation_v2_common_3!H50,recreation_v2_common_2!H50,recreation_v2_common_1!H50),0),"NA")</f>
        <v>1</v>
      </c>
      <c r="I50">
        <f>IF($D50=0,"NA",ROUND(SUM(recreation_v2_common_5!I50,recreation_v2_common_4!I50,recreation_v2_common_3!I50,recreation_v2_common_2!I50,recreation_v2_common_1!I50)/COUNT(recreation_v2_common_5!I50,recreation_v2_common_4!I50,recreation_v2_common_3!I50,recreation_v2_common_2!I50,recreation_v2_common_1!I50),0))</f>
        <v>1</v>
      </c>
      <c r="J50">
        <f>IF(AND(E50 = 1, F50 = 1),ROUND(SUM(recreation_v2_common_5!J50,recreation_v2_common_4!J50,recreation_v2_common_3!J50,recreation_v2_common_2!J50,recreation_v2_common_1!J50)/COUNT(recreation_v2_common_5!J50,recreation_v2_common_4!J50,recreation_v2_common_3!J50,recreation_v2_common_2!J50,recreation_v2_common_1!J50),0),"NA")</f>
        <v>1</v>
      </c>
      <c r="K50">
        <f>IF($D50=0,"NA",ROUND(SUM(recreation_v2_common_5!K50,recreation_v2_common_4!K50,recreation_v2_common_3!K50,recreation_v2_common_2!K50,recreation_v2_common_1!K50)/COUNT(recreation_v2_common_5!K50,recreation_v2_common_4!K50,recreation_v2_common_3!K50,recreation_v2_common_2!K50,recreation_v2_common_1!K50),0))</f>
        <v>1</v>
      </c>
      <c r="L50">
        <f>IF($D50=0,"NA",ROUND(SUM(recreation_v2_common_5!L50,recreation_v2_common_4!L50,recreation_v2_common_3!L50,recreation_v2_common_2!L50,recreation_v2_common_1!L50)/COUNT(recreation_v2_common_5!L50,recreation_v2_common_4!L50,recreation_v2_common_3!L50,recreation_v2_common_2!L50,recreation_v2_common_1!L50),0))</f>
        <v>1</v>
      </c>
      <c r="M50">
        <f>IF($D50=0,"NA",ROUND(SUM(recreation_v2_common_5!M50,recreation_v2_common_4!M50,recreation_v2_common_3!M50,recreation_v2_common_2!M50,recreation_v2_common_1!M50)/COUNT(recreation_v2_common_5!M50,recreation_v2_common_4!M50,recreation_v2_common_3!M50,recreation_v2_common_2!M50,recreation_v2_common_1!M50),0))</f>
        <v>1</v>
      </c>
      <c r="N50">
        <f>IF($D50=0,"NA",ROUND(SUM(recreation_v2_common_5!N50,recreation_v2_common_4!N50,recreation_v2_common_3!N50,recreation_v2_common_2!N50,recreation_v2_common_1!N50)/COUNT(recreation_v2_common_5!N50,recreation_v2_common_4!N50,recreation_v2_common_3!N50,recreation_v2_common_2!N50,recreation_v2_common_1!N50),0))</f>
        <v>1</v>
      </c>
      <c r="O50">
        <v>1.637163639068604</v>
      </c>
    </row>
    <row r="51" spans="1:15" x14ac:dyDescent="0.25">
      <c r="A51" t="s">
        <v>202</v>
      </c>
      <c r="B51" t="s">
        <v>73</v>
      </c>
      <c r="C51">
        <v>0</v>
      </c>
      <c r="D51">
        <f>ROUND(SUM(recreation_v2_common_5!D51,recreation_v2_common_4!D51,recreation_v2_common_3!D51,recreation_v2_common_2!D51,recreation_v2_common_1!D51)/COUNT(recreation_v2_common_5!D51,recreation_v2_common_4!D51,recreation_v2_common_3!D51,recreation_v2_common_2!D51,recreation_v2_common_1!D51),0)</f>
        <v>1</v>
      </c>
      <c r="E51">
        <f>IF($D51=0,"NA",ROUND(SUM(recreation_v2_common_5!E51,recreation_v2_common_4!E51,recreation_v2_common_3!E51,recreation_v2_common_2!E51,recreation_v2_common_1!E51)/COUNT(recreation_v2_common_5!E51,recreation_v2_common_4!E51,recreation_v2_common_3!E51,recreation_v2_common_2!E51,recreation_v2_common_1!E51),0))</f>
        <v>1</v>
      </c>
      <c r="F51">
        <f>IF($D51=0,"NA",ROUND(SUM(recreation_v2_common_5!F51,recreation_v2_common_4!F51,recreation_v2_common_3!F51,recreation_v2_common_2!F51,recreation_v2_common_1!F51)/COUNT(recreation_v2_common_5!F51,recreation_v2_common_4!F51,recreation_v2_common_3!F51,recreation_v2_common_2!F51,recreation_v2_common_1!F51),0))</f>
        <v>1</v>
      </c>
      <c r="G51">
        <f>IF($D51=0,"NA",ROUND(SUM(recreation_v2_common_5!G51,recreation_v2_common_4!G51,recreation_v2_common_3!G51,recreation_v2_common_2!G51,recreation_v2_common_1!G51)/COUNT(recreation_v2_common_5!G51,recreation_v2_common_4!G51,recreation_v2_common_3!G51,recreation_v2_common_2!G51,recreation_v2_common_1!G51),0))</f>
        <v>1</v>
      </c>
      <c r="H51">
        <f>IF(E51=1, ROUND(SUM(recreation_v2_common_5!H51,recreation_v2_common_4!H51,recreation_v2_common_3!H51,recreation_v2_common_2!H51,recreation_v2_common_1!H51)/COUNT(recreation_v2_common_5!H51,recreation_v2_common_4!H51,recreation_v2_common_3!H51,recreation_v2_common_2!H51,recreation_v2_common_1!H51),0),"NA")</f>
        <v>1</v>
      </c>
      <c r="I51">
        <f>IF($D51=0,"NA",ROUND(SUM(recreation_v2_common_5!I51,recreation_v2_common_4!I51,recreation_v2_common_3!I51,recreation_v2_common_2!I51,recreation_v2_common_1!I51)/COUNT(recreation_v2_common_5!I51,recreation_v2_common_4!I51,recreation_v2_common_3!I51,recreation_v2_common_2!I51,recreation_v2_common_1!I51),0))</f>
        <v>1</v>
      </c>
      <c r="J51">
        <f>IF(AND(E51 = 1, F51 = 1),ROUND(SUM(recreation_v2_common_5!J51,recreation_v2_common_4!J51,recreation_v2_common_3!J51,recreation_v2_common_2!J51,recreation_v2_common_1!J51)/COUNT(recreation_v2_common_5!J51,recreation_v2_common_4!J51,recreation_v2_common_3!J51,recreation_v2_common_2!J51,recreation_v2_common_1!J51),0),"NA")</f>
        <v>1</v>
      </c>
      <c r="K51">
        <f>IF($D51=0,"NA",ROUND(SUM(recreation_v2_common_5!K51,recreation_v2_common_4!K51,recreation_v2_common_3!K51,recreation_v2_common_2!K51,recreation_v2_common_1!K51)/COUNT(recreation_v2_common_5!K51,recreation_v2_common_4!K51,recreation_v2_common_3!K51,recreation_v2_common_2!K51,recreation_v2_common_1!K51),0))</f>
        <v>1</v>
      </c>
      <c r="L51">
        <f>IF($D51=0,"NA",ROUND(SUM(recreation_v2_common_5!L51,recreation_v2_common_4!L51,recreation_v2_common_3!L51,recreation_v2_common_2!L51,recreation_v2_common_1!L51)/COUNT(recreation_v2_common_5!L51,recreation_v2_common_4!L51,recreation_v2_common_3!L51,recreation_v2_common_2!L51,recreation_v2_common_1!L51),0))</f>
        <v>1</v>
      </c>
      <c r="M51">
        <f>IF($D51=0,"NA",ROUND(SUM(recreation_v2_common_5!M51,recreation_v2_common_4!M51,recreation_v2_common_3!M51,recreation_v2_common_2!M51,recreation_v2_common_1!M51)/COUNT(recreation_v2_common_5!M51,recreation_v2_common_4!M51,recreation_v2_common_3!M51,recreation_v2_common_2!M51,recreation_v2_common_1!M51),0))</f>
        <v>1</v>
      </c>
      <c r="N51">
        <f>IF($D51=0,"NA",ROUND(SUM(recreation_v2_common_5!N51,recreation_v2_common_4!N51,recreation_v2_common_3!N51,recreation_v2_common_2!N51,recreation_v2_common_1!N51)/COUNT(recreation_v2_common_5!N51,recreation_v2_common_4!N51,recreation_v2_common_3!N51,recreation_v2_common_2!N51,recreation_v2_common_1!N51),0))</f>
        <v>1</v>
      </c>
      <c r="O51">
        <v>2.153945684432983</v>
      </c>
    </row>
    <row r="52" spans="1:15" x14ac:dyDescent="0.25">
      <c r="A52" t="s">
        <v>202</v>
      </c>
      <c r="B52" t="s">
        <v>74</v>
      </c>
      <c r="C52">
        <v>0</v>
      </c>
      <c r="D52">
        <f>ROUND(SUM(recreation_v2_common_5!D52,recreation_v2_common_4!D52,recreation_v2_common_3!D52,recreation_v2_common_2!D52,recreation_v2_common_1!D52)/COUNT(recreation_v2_common_5!D52,recreation_v2_common_4!D52,recreation_v2_common_3!D52,recreation_v2_common_2!D52,recreation_v2_common_1!D52),0)</f>
        <v>1</v>
      </c>
      <c r="E52">
        <f>IF($D52=0,"NA",ROUND(SUM(recreation_v2_common_5!E52,recreation_v2_common_4!E52,recreation_v2_common_3!E52,recreation_v2_common_2!E52,recreation_v2_common_1!E52)/COUNT(recreation_v2_common_5!E52,recreation_v2_common_4!E52,recreation_v2_common_3!E52,recreation_v2_common_2!E52,recreation_v2_common_1!E52),0))</f>
        <v>1</v>
      </c>
      <c r="F52">
        <f>IF($D52=0,"NA",ROUND(SUM(recreation_v2_common_5!F52,recreation_v2_common_4!F52,recreation_v2_common_3!F52,recreation_v2_common_2!F52,recreation_v2_common_1!F52)/COUNT(recreation_v2_common_5!F52,recreation_v2_common_4!F52,recreation_v2_common_3!F52,recreation_v2_common_2!F52,recreation_v2_common_1!F52),0))</f>
        <v>1</v>
      </c>
      <c r="G52">
        <f>IF($D52=0,"NA",ROUND(SUM(recreation_v2_common_5!G52,recreation_v2_common_4!G52,recreation_v2_common_3!G52,recreation_v2_common_2!G52,recreation_v2_common_1!G52)/COUNT(recreation_v2_common_5!G52,recreation_v2_common_4!G52,recreation_v2_common_3!G52,recreation_v2_common_2!G52,recreation_v2_common_1!G52),0))</f>
        <v>1</v>
      </c>
      <c r="H52">
        <f>IF(E52=1, ROUND(SUM(recreation_v2_common_5!H52,recreation_v2_common_4!H52,recreation_v2_common_3!H52,recreation_v2_common_2!H52,recreation_v2_common_1!H52)/COUNT(recreation_v2_common_5!H52,recreation_v2_common_4!H52,recreation_v2_common_3!H52,recreation_v2_common_2!H52,recreation_v2_common_1!H52),0),"NA")</f>
        <v>1</v>
      </c>
      <c r="I52">
        <f>IF($D52=0,"NA",ROUND(SUM(recreation_v2_common_5!I52,recreation_v2_common_4!I52,recreation_v2_common_3!I52,recreation_v2_common_2!I52,recreation_v2_common_1!I52)/COUNT(recreation_v2_common_5!I52,recreation_v2_common_4!I52,recreation_v2_common_3!I52,recreation_v2_common_2!I52,recreation_v2_common_1!I52),0))</f>
        <v>1</v>
      </c>
      <c r="J52">
        <f>IF(AND(E52 = 1, F52 = 1),ROUND(SUM(recreation_v2_common_5!J52,recreation_v2_common_4!J52,recreation_v2_common_3!J52,recreation_v2_common_2!J52,recreation_v2_common_1!J52)/COUNT(recreation_v2_common_5!J52,recreation_v2_common_4!J52,recreation_v2_common_3!J52,recreation_v2_common_2!J52,recreation_v2_common_1!J52),0),"NA")</f>
        <v>1</v>
      </c>
      <c r="K52">
        <f>IF($D52=0,"NA",ROUND(SUM(recreation_v2_common_5!K52,recreation_v2_common_4!K52,recreation_v2_common_3!K52,recreation_v2_common_2!K52,recreation_v2_common_1!K52)/COUNT(recreation_v2_common_5!K52,recreation_v2_common_4!K52,recreation_v2_common_3!K52,recreation_v2_common_2!K52,recreation_v2_common_1!K52),0))</f>
        <v>1</v>
      </c>
      <c r="L52">
        <f>IF($D52=0,"NA",ROUND(SUM(recreation_v2_common_5!L52,recreation_v2_common_4!L52,recreation_v2_common_3!L52,recreation_v2_common_2!L52,recreation_v2_common_1!L52)/COUNT(recreation_v2_common_5!L52,recreation_v2_common_4!L52,recreation_v2_common_3!L52,recreation_v2_common_2!L52,recreation_v2_common_1!L52),0))</f>
        <v>1</v>
      </c>
      <c r="M52">
        <f>IF($D52=0,"NA",ROUND(SUM(recreation_v2_common_5!M52,recreation_v2_common_4!M52,recreation_v2_common_3!M52,recreation_v2_common_2!M52,recreation_v2_common_1!M52)/COUNT(recreation_v2_common_5!M52,recreation_v2_common_4!M52,recreation_v2_common_3!M52,recreation_v2_common_2!M52,recreation_v2_common_1!M52),0))</f>
        <v>1</v>
      </c>
      <c r="N52">
        <f>IF($D52=0,"NA",ROUND(SUM(recreation_v2_common_5!N52,recreation_v2_common_4!N52,recreation_v2_common_3!N52,recreation_v2_common_2!N52,recreation_v2_common_1!N52)/COUNT(recreation_v2_common_5!N52,recreation_v2_common_4!N52,recreation_v2_common_3!N52,recreation_v2_common_2!N52,recreation_v2_common_1!N52),0))</f>
        <v>1</v>
      </c>
      <c r="O52">
        <v>2.047845602035522</v>
      </c>
    </row>
    <row r="53" spans="1:15" x14ac:dyDescent="0.25">
      <c r="A53" t="s">
        <v>202</v>
      </c>
      <c r="B53" t="s">
        <v>75</v>
      </c>
      <c r="C53">
        <v>0</v>
      </c>
      <c r="D53">
        <f>ROUND(SUM(recreation_v2_common_5!D53,recreation_v2_common_4!D53,recreation_v2_common_3!D53,recreation_v2_common_2!D53,recreation_v2_common_1!D53)/COUNT(recreation_v2_common_5!D53,recreation_v2_common_4!D53,recreation_v2_common_3!D53,recreation_v2_common_2!D53,recreation_v2_common_1!D53),0)</f>
        <v>1</v>
      </c>
      <c r="E53">
        <f>IF($D53=0,"NA",ROUND(SUM(recreation_v2_common_5!E53,recreation_v2_common_4!E53,recreation_v2_common_3!E53,recreation_v2_common_2!E53,recreation_v2_common_1!E53)/COUNT(recreation_v2_common_5!E53,recreation_v2_common_4!E53,recreation_v2_common_3!E53,recreation_v2_common_2!E53,recreation_v2_common_1!E53),0))</f>
        <v>1</v>
      </c>
      <c r="F53">
        <f>IF($D53=0,"NA",ROUND(SUM(recreation_v2_common_5!F53,recreation_v2_common_4!F53,recreation_v2_common_3!F53,recreation_v2_common_2!F53,recreation_v2_common_1!F53)/COUNT(recreation_v2_common_5!F53,recreation_v2_common_4!F53,recreation_v2_common_3!F53,recreation_v2_common_2!F53,recreation_v2_common_1!F53),0))</f>
        <v>1</v>
      </c>
      <c r="G53">
        <f>IF($D53=0,"NA",ROUND(SUM(recreation_v2_common_5!G53,recreation_v2_common_4!G53,recreation_v2_common_3!G53,recreation_v2_common_2!G53,recreation_v2_common_1!G53)/COUNT(recreation_v2_common_5!G53,recreation_v2_common_4!G53,recreation_v2_common_3!G53,recreation_v2_common_2!G53,recreation_v2_common_1!G53),0))</f>
        <v>1</v>
      </c>
      <c r="H53">
        <f>IF(E53=1, ROUND(SUM(recreation_v2_common_5!H53,recreation_v2_common_4!H53,recreation_v2_common_3!H53,recreation_v2_common_2!H53,recreation_v2_common_1!H53)/COUNT(recreation_v2_common_5!H53,recreation_v2_common_4!H53,recreation_v2_common_3!H53,recreation_v2_common_2!H53,recreation_v2_common_1!H53),0),"NA")</f>
        <v>1</v>
      </c>
      <c r="I53">
        <f>IF($D53=0,"NA",ROUND(SUM(recreation_v2_common_5!I53,recreation_v2_common_4!I53,recreation_v2_common_3!I53,recreation_v2_common_2!I53,recreation_v2_common_1!I53)/COUNT(recreation_v2_common_5!I53,recreation_v2_common_4!I53,recreation_v2_common_3!I53,recreation_v2_common_2!I53,recreation_v2_common_1!I53),0))</f>
        <v>1</v>
      </c>
      <c r="J53">
        <f>IF(AND(E53 = 1, F53 = 1),ROUND(SUM(recreation_v2_common_5!J53,recreation_v2_common_4!J53,recreation_v2_common_3!J53,recreation_v2_common_2!J53,recreation_v2_common_1!J53)/COUNT(recreation_v2_common_5!J53,recreation_v2_common_4!J53,recreation_v2_common_3!J53,recreation_v2_common_2!J53,recreation_v2_common_1!J53),0),"NA")</f>
        <v>1</v>
      </c>
      <c r="K53">
        <f>IF($D53=0,"NA",ROUND(SUM(recreation_v2_common_5!K53,recreation_v2_common_4!K53,recreation_v2_common_3!K53,recreation_v2_common_2!K53,recreation_v2_common_1!K53)/COUNT(recreation_v2_common_5!K53,recreation_v2_common_4!K53,recreation_v2_common_3!K53,recreation_v2_common_2!K53,recreation_v2_common_1!K53),0))</f>
        <v>1</v>
      </c>
      <c r="L53">
        <f>IF($D53=0,"NA",ROUND(SUM(recreation_v2_common_5!L53,recreation_v2_common_4!L53,recreation_v2_common_3!L53,recreation_v2_common_2!L53,recreation_v2_common_1!L53)/COUNT(recreation_v2_common_5!L53,recreation_v2_common_4!L53,recreation_v2_common_3!L53,recreation_v2_common_2!L53,recreation_v2_common_1!L53),0))</f>
        <v>1</v>
      </c>
      <c r="M53">
        <f>IF($D53=0,"NA",ROUND(SUM(recreation_v2_common_5!M53,recreation_v2_common_4!M53,recreation_v2_common_3!M53,recreation_v2_common_2!M53,recreation_v2_common_1!M53)/COUNT(recreation_v2_common_5!M53,recreation_v2_common_4!M53,recreation_v2_common_3!M53,recreation_v2_common_2!M53,recreation_v2_common_1!M53),0))</f>
        <v>1</v>
      </c>
      <c r="N53">
        <f>IF($D53=0,"NA",ROUND(SUM(recreation_v2_common_5!N53,recreation_v2_common_4!N53,recreation_v2_common_3!N53,recreation_v2_common_2!N53,recreation_v2_common_1!N53)/COUNT(recreation_v2_common_5!N53,recreation_v2_common_4!N53,recreation_v2_common_3!N53,recreation_v2_common_2!N53,recreation_v2_common_1!N53),0))</f>
        <v>1</v>
      </c>
      <c r="O53">
        <v>1.3646092414855959</v>
      </c>
    </row>
    <row r="54" spans="1:15" x14ac:dyDescent="0.25">
      <c r="A54" t="s">
        <v>202</v>
      </c>
      <c r="B54" t="s">
        <v>76</v>
      </c>
      <c r="C54">
        <v>0</v>
      </c>
      <c r="D54">
        <f>ROUND(SUM(recreation_v2_common_5!D54,recreation_v2_common_4!D54,recreation_v2_common_3!D54,recreation_v2_common_2!D54,recreation_v2_common_1!D54)/COUNT(recreation_v2_common_5!D54,recreation_v2_common_4!D54,recreation_v2_common_3!D54,recreation_v2_common_2!D54,recreation_v2_common_1!D54),0)</f>
        <v>1</v>
      </c>
      <c r="E54">
        <f>IF($D54=0,"NA",ROUND(SUM(recreation_v2_common_5!E54,recreation_v2_common_4!E54,recreation_v2_common_3!E54,recreation_v2_common_2!E54,recreation_v2_common_1!E54)/COUNT(recreation_v2_common_5!E54,recreation_v2_common_4!E54,recreation_v2_common_3!E54,recreation_v2_common_2!E54,recreation_v2_common_1!E54),0))</f>
        <v>1</v>
      </c>
      <c r="F54">
        <f>IF($D54=0,"NA",ROUND(SUM(recreation_v2_common_5!F54,recreation_v2_common_4!F54,recreation_v2_common_3!F54,recreation_v2_common_2!F54,recreation_v2_common_1!F54)/COUNT(recreation_v2_common_5!F54,recreation_v2_common_4!F54,recreation_v2_common_3!F54,recreation_v2_common_2!F54,recreation_v2_common_1!F54),0))</f>
        <v>1</v>
      </c>
      <c r="G54">
        <f>IF($D54=0,"NA",ROUND(SUM(recreation_v2_common_5!G54,recreation_v2_common_4!G54,recreation_v2_common_3!G54,recreation_v2_common_2!G54,recreation_v2_common_1!G54)/COUNT(recreation_v2_common_5!G54,recreation_v2_common_4!G54,recreation_v2_common_3!G54,recreation_v2_common_2!G54,recreation_v2_common_1!G54),0))</f>
        <v>1</v>
      </c>
      <c r="H54">
        <f>IF(E54=1, ROUND(SUM(recreation_v2_common_5!H54,recreation_v2_common_4!H54,recreation_v2_common_3!H54,recreation_v2_common_2!H54,recreation_v2_common_1!H54)/COUNT(recreation_v2_common_5!H54,recreation_v2_common_4!H54,recreation_v2_common_3!H54,recreation_v2_common_2!H54,recreation_v2_common_1!H54),0),"NA")</f>
        <v>1</v>
      </c>
      <c r="I54">
        <f>IF($D54=0,"NA",ROUND(SUM(recreation_v2_common_5!I54,recreation_v2_common_4!I54,recreation_v2_common_3!I54,recreation_v2_common_2!I54,recreation_v2_common_1!I54)/COUNT(recreation_v2_common_5!I54,recreation_v2_common_4!I54,recreation_v2_common_3!I54,recreation_v2_common_2!I54,recreation_v2_common_1!I54),0))</f>
        <v>1</v>
      </c>
      <c r="J54">
        <f>IF(AND(E54 = 1, F54 = 1),ROUND(SUM(recreation_v2_common_5!J54,recreation_v2_common_4!J54,recreation_v2_common_3!J54,recreation_v2_common_2!J54,recreation_v2_common_1!J54)/COUNT(recreation_v2_common_5!J54,recreation_v2_common_4!J54,recreation_v2_common_3!J54,recreation_v2_common_2!J54,recreation_v2_common_1!J54),0),"NA")</f>
        <v>1</v>
      </c>
      <c r="K54">
        <f>IF($D54=0,"NA",ROUND(SUM(recreation_v2_common_5!K54,recreation_v2_common_4!K54,recreation_v2_common_3!K54,recreation_v2_common_2!K54,recreation_v2_common_1!K54)/COUNT(recreation_v2_common_5!K54,recreation_v2_common_4!K54,recreation_v2_common_3!K54,recreation_v2_common_2!K54,recreation_v2_common_1!K54),0))</f>
        <v>1</v>
      </c>
      <c r="L54">
        <f>IF($D54=0,"NA",ROUND(SUM(recreation_v2_common_5!L54,recreation_v2_common_4!L54,recreation_v2_common_3!L54,recreation_v2_common_2!L54,recreation_v2_common_1!L54)/COUNT(recreation_v2_common_5!L54,recreation_v2_common_4!L54,recreation_v2_common_3!L54,recreation_v2_common_2!L54,recreation_v2_common_1!L54),0))</f>
        <v>1</v>
      </c>
      <c r="M54">
        <f>IF($D54=0,"NA",ROUND(SUM(recreation_v2_common_5!M54,recreation_v2_common_4!M54,recreation_v2_common_3!M54,recreation_v2_common_2!M54,recreation_v2_common_1!M54)/COUNT(recreation_v2_common_5!M54,recreation_v2_common_4!M54,recreation_v2_common_3!M54,recreation_v2_common_2!M54,recreation_v2_common_1!M54),0))</f>
        <v>1</v>
      </c>
      <c r="N54">
        <f>IF($D54=0,"NA",ROUND(SUM(recreation_v2_common_5!N54,recreation_v2_common_4!N54,recreation_v2_common_3!N54,recreation_v2_common_2!N54,recreation_v2_common_1!N54)/COUNT(recreation_v2_common_5!N54,recreation_v2_common_4!N54,recreation_v2_common_3!N54,recreation_v2_common_2!N54,recreation_v2_common_1!N54),0))</f>
        <v>1</v>
      </c>
      <c r="O54">
        <v>1.822752952575684</v>
      </c>
    </row>
    <row r="55" spans="1:15" x14ac:dyDescent="0.25">
      <c r="A55" t="s">
        <v>202</v>
      </c>
      <c r="B55" t="s">
        <v>77</v>
      </c>
      <c r="C55">
        <v>0</v>
      </c>
      <c r="D55">
        <f>ROUND(SUM(recreation_v2_common_5!D55,recreation_v2_common_4!D55,recreation_v2_common_3!D55,recreation_v2_common_2!D55,recreation_v2_common_1!D55)/COUNT(recreation_v2_common_5!D55,recreation_v2_common_4!D55,recreation_v2_common_3!D55,recreation_v2_common_2!D55,recreation_v2_common_1!D55),0)</f>
        <v>1</v>
      </c>
      <c r="E55">
        <f>IF($D55=0,"NA",ROUND(SUM(recreation_v2_common_5!E55,recreation_v2_common_4!E55,recreation_v2_common_3!E55,recreation_v2_common_2!E55,recreation_v2_common_1!E55)/COUNT(recreation_v2_common_5!E55,recreation_v2_common_4!E55,recreation_v2_common_3!E55,recreation_v2_common_2!E55,recreation_v2_common_1!E55),0))</f>
        <v>1</v>
      </c>
      <c r="F55">
        <f>IF($D55=0,"NA",ROUND(SUM(recreation_v2_common_5!F55,recreation_v2_common_4!F55,recreation_v2_common_3!F55,recreation_v2_common_2!F55,recreation_v2_common_1!F55)/COUNT(recreation_v2_common_5!F55,recreation_v2_common_4!F55,recreation_v2_common_3!F55,recreation_v2_common_2!F55,recreation_v2_common_1!F55),0))</f>
        <v>1</v>
      </c>
      <c r="G55">
        <f>IF($D55=0,"NA",ROUND(SUM(recreation_v2_common_5!G55,recreation_v2_common_4!G55,recreation_v2_common_3!G55,recreation_v2_common_2!G55,recreation_v2_common_1!G55)/COUNT(recreation_v2_common_5!G55,recreation_v2_common_4!G55,recreation_v2_common_3!G55,recreation_v2_common_2!G55,recreation_v2_common_1!G55),0))</f>
        <v>1</v>
      </c>
      <c r="H55">
        <f>IF(E55=1, ROUND(SUM(recreation_v2_common_5!H55,recreation_v2_common_4!H55,recreation_v2_common_3!H55,recreation_v2_common_2!H55,recreation_v2_common_1!H55)/COUNT(recreation_v2_common_5!H55,recreation_v2_common_4!H55,recreation_v2_common_3!H55,recreation_v2_common_2!H55,recreation_v2_common_1!H55),0),"NA")</f>
        <v>1</v>
      </c>
      <c r="I55">
        <f>IF($D55=0,"NA",ROUND(SUM(recreation_v2_common_5!I55,recreation_v2_common_4!I55,recreation_v2_common_3!I55,recreation_v2_common_2!I55,recreation_v2_common_1!I55)/COUNT(recreation_v2_common_5!I55,recreation_v2_common_4!I55,recreation_v2_common_3!I55,recreation_v2_common_2!I55,recreation_v2_common_1!I55),0))</f>
        <v>0</v>
      </c>
      <c r="J55">
        <f>IF(AND(E55 = 1, F55 = 1),ROUND(SUM(recreation_v2_common_5!J55,recreation_v2_common_4!J55,recreation_v2_common_3!J55,recreation_v2_common_2!J55,recreation_v2_common_1!J55)/COUNT(recreation_v2_common_5!J55,recreation_v2_common_4!J55,recreation_v2_common_3!J55,recreation_v2_common_2!J55,recreation_v2_common_1!J55),0),"NA")</f>
        <v>1</v>
      </c>
      <c r="K55">
        <f>IF($D55=0,"NA",ROUND(SUM(recreation_v2_common_5!K55,recreation_v2_common_4!K55,recreation_v2_common_3!K55,recreation_v2_common_2!K55,recreation_v2_common_1!K55)/COUNT(recreation_v2_common_5!K55,recreation_v2_common_4!K55,recreation_v2_common_3!K55,recreation_v2_common_2!K55,recreation_v2_common_1!K55),0))</f>
        <v>1</v>
      </c>
      <c r="L55">
        <f>IF($D55=0,"NA",ROUND(SUM(recreation_v2_common_5!L55,recreation_v2_common_4!L55,recreation_v2_common_3!L55,recreation_v2_common_2!L55,recreation_v2_common_1!L55)/COUNT(recreation_v2_common_5!L55,recreation_v2_common_4!L55,recreation_v2_common_3!L55,recreation_v2_common_2!L55,recreation_v2_common_1!L55),0))</f>
        <v>0</v>
      </c>
      <c r="M55">
        <f>IF($D55=0,"NA",ROUND(SUM(recreation_v2_common_5!M55,recreation_v2_common_4!M55,recreation_v2_common_3!M55,recreation_v2_common_2!M55,recreation_v2_common_1!M55)/COUNT(recreation_v2_common_5!M55,recreation_v2_common_4!M55,recreation_v2_common_3!M55,recreation_v2_common_2!M55,recreation_v2_common_1!M55),0))</f>
        <v>1</v>
      </c>
      <c r="N55">
        <f>IF($D55=0,"NA",ROUND(SUM(recreation_v2_common_5!N55,recreation_v2_common_4!N55,recreation_v2_common_3!N55,recreation_v2_common_2!N55,recreation_v2_common_1!N55)/COUNT(recreation_v2_common_5!N55,recreation_v2_common_4!N55,recreation_v2_common_3!N55,recreation_v2_common_2!N55,recreation_v2_common_1!N55),0))</f>
        <v>1</v>
      </c>
      <c r="O55">
        <v>3.9114723205566411</v>
      </c>
    </row>
    <row r="56" spans="1:15" x14ac:dyDescent="0.25">
      <c r="A56" t="s">
        <v>202</v>
      </c>
      <c r="B56" t="s">
        <v>79</v>
      </c>
      <c r="C56">
        <v>0</v>
      </c>
      <c r="D56">
        <f>ROUND(SUM(recreation_v2_common_5!D56,recreation_v2_common_4!D56,recreation_v2_common_3!D56,recreation_v2_common_2!D56,recreation_v2_common_1!D56)/COUNT(recreation_v2_common_5!D56,recreation_v2_common_4!D56,recreation_v2_common_3!D56,recreation_v2_common_2!D56,recreation_v2_common_1!D56),0)</f>
        <v>1</v>
      </c>
      <c r="E56">
        <f>IF($D56=0,"NA",ROUND(SUM(recreation_v2_common_5!E56,recreation_v2_common_4!E56,recreation_v2_common_3!E56,recreation_v2_common_2!E56,recreation_v2_common_1!E56)/COUNT(recreation_v2_common_5!E56,recreation_v2_common_4!E56,recreation_v2_common_3!E56,recreation_v2_common_2!E56,recreation_v2_common_1!E56),0))</f>
        <v>1</v>
      </c>
      <c r="F56">
        <f>IF($D56=0,"NA",ROUND(SUM(recreation_v2_common_5!F56,recreation_v2_common_4!F56,recreation_v2_common_3!F56,recreation_v2_common_2!F56,recreation_v2_common_1!F56)/COUNT(recreation_v2_common_5!F56,recreation_v2_common_4!F56,recreation_v2_common_3!F56,recreation_v2_common_2!F56,recreation_v2_common_1!F56),0))</f>
        <v>1</v>
      </c>
      <c r="G56">
        <f>IF($D56=0,"NA",ROUND(SUM(recreation_v2_common_5!G56,recreation_v2_common_4!G56,recreation_v2_common_3!G56,recreation_v2_common_2!G56,recreation_v2_common_1!G56)/COUNT(recreation_v2_common_5!G56,recreation_v2_common_4!G56,recreation_v2_common_3!G56,recreation_v2_common_2!G56,recreation_v2_common_1!G56),0))</f>
        <v>1</v>
      </c>
      <c r="H56">
        <f>IF(E56=1, ROUND(SUM(recreation_v2_common_5!H56,recreation_v2_common_4!H56,recreation_v2_common_3!H56,recreation_v2_common_2!H56,recreation_v2_common_1!H56)/COUNT(recreation_v2_common_5!H56,recreation_v2_common_4!H56,recreation_v2_common_3!H56,recreation_v2_common_2!H56,recreation_v2_common_1!H56),0),"NA")</f>
        <v>1</v>
      </c>
      <c r="I56">
        <f>IF($D56=0,"NA",ROUND(SUM(recreation_v2_common_5!I56,recreation_v2_common_4!I56,recreation_v2_common_3!I56,recreation_v2_common_2!I56,recreation_v2_common_1!I56)/COUNT(recreation_v2_common_5!I56,recreation_v2_common_4!I56,recreation_v2_common_3!I56,recreation_v2_common_2!I56,recreation_v2_common_1!I56),0))</f>
        <v>1</v>
      </c>
      <c r="J56">
        <f>IF(AND(E56 = 1, F56 = 1),ROUND(SUM(recreation_v2_common_5!J56,recreation_v2_common_4!J56,recreation_v2_common_3!J56,recreation_v2_common_2!J56,recreation_v2_common_1!J56)/COUNT(recreation_v2_common_5!J56,recreation_v2_common_4!J56,recreation_v2_common_3!J56,recreation_v2_common_2!J56,recreation_v2_common_1!J56),0),"NA")</f>
        <v>1</v>
      </c>
      <c r="K56">
        <f>IF($D56=0,"NA",ROUND(SUM(recreation_v2_common_5!K56,recreation_v2_common_4!K56,recreation_v2_common_3!K56,recreation_v2_common_2!K56,recreation_v2_common_1!K56)/COUNT(recreation_v2_common_5!K56,recreation_v2_common_4!K56,recreation_v2_common_3!K56,recreation_v2_common_2!K56,recreation_v2_common_1!K56),0))</f>
        <v>1</v>
      </c>
      <c r="L56">
        <f>IF($D56=0,"NA",ROUND(SUM(recreation_v2_common_5!L56,recreation_v2_common_4!L56,recreation_v2_common_3!L56,recreation_v2_common_2!L56,recreation_v2_common_1!L56)/COUNT(recreation_v2_common_5!L56,recreation_v2_common_4!L56,recreation_v2_common_3!L56,recreation_v2_common_2!L56,recreation_v2_common_1!L56),0))</f>
        <v>1</v>
      </c>
      <c r="M56">
        <f>IF($D56=0,"NA",ROUND(SUM(recreation_v2_common_5!M56,recreation_v2_common_4!M56,recreation_v2_common_3!M56,recreation_v2_common_2!M56,recreation_v2_common_1!M56)/COUNT(recreation_v2_common_5!M56,recreation_v2_common_4!M56,recreation_v2_common_3!M56,recreation_v2_common_2!M56,recreation_v2_common_1!M56),0))</f>
        <v>1</v>
      </c>
      <c r="N56">
        <f>IF($D56=0,"NA",ROUND(SUM(recreation_v2_common_5!N56,recreation_v2_common_4!N56,recreation_v2_common_3!N56,recreation_v2_common_2!N56,recreation_v2_common_1!N56)/COUNT(recreation_v2_common_5!N56,recreation_v2_common_4!N56,recreation_v2_common_3!N56,recreation_v2_common_2!N56,recreation_v2_common_1!N56),0))</f>
        <v>1</v>
      </c>
      <c r="O56">
        <v>1.5955808162689209</v>
      </c>
    </row>
    <row r="57" spans="1:15" x14ac:dyDescent="0.25">
      <c r="A57" t="s">
        <v>202</v>
      </c>
      <c r="B57" t="s">
        <v>81</v>
      </c>
      <c r="C57">
        <v>0</v>
      </c>
      <c r="D57">
        <f>ROUND(SUM(recreation_v2_common_5!D57,recreation_v2_common_4!D57,recreation_v2_common_3!D57,recreation_v2_common_2!D57,recreation_v2_common_1!D57)/COUNT(recreation_v2_common_5!D57,recreation_v2_common_4!D57,recreation_v2_common_3!D57,recreation_v2_common_2!D57,recreation_v2_common_1!D57),0)</f>
        <v>1</v>
      </c>
      <c r="E57">
        <f>IF($D57=0,"NA",ROUND(SUM(recreation_v2_common_5!E57,recreation_v2_common_4!E57,recreation_v2_common_3!E57,recreation_v2_common_2!E57,recreation_v2_common_1!E57)/COUNT(recreation_v2_common_5!E57,recreation_v2_common_4!E57,recreation_v2_common_3!E57,recreation_v2_common_2!E57,recreation_v2_common_1!E57),0))</f>
        <v>1</v>
      </c>
      <c r="F57">
        <f>IF($D57=0,"NA",ROUND(SUM(recreation_v2_common_5!F57,recreation_v2_common_4!F57,recreation_v2_common_3!F57,recreation_v2_common_2!F57,recreation_v2_common_1!F57)/COUNT(recreation_v2_common_5!F57,recreation_v2_common_4!F57,recreation_v2_common_3!F57,recreation_v2_common_2!F57,recreation_v2_common_1!F57),0))</f>
        <v>1</v>
      </c>
      <c r="G57">
        <f>IF($D57=0,"NA",ROUND(SUM(recreation_v2_common_5!G57,recreation_v2_common_4!G57,recreation_v2_common_3!G57,recreation_v2_common_2!G57,recreation_v2_common_1!G57)/COUNT(recreation_v2_common_5!G57,recreation_v2_common_4!G57,recreation_v2_common_3!G57,recreation_v2_common_2!G57,recreation_v2_common_1!G57),0))</f>
        <v>1</v>
      </c>
      <c r="H57">
        <f>IF(E57=1, ROUND(SUM(recreation_v2_common_5!H57,recreation_v2_common_4!H57,recreation_v2_common_3!H57,recreation_v2_common_2!H57,recreation_v2_common_1!H57)/COUNT(recreation_v2_common_5!H57,recreation_v2_common_4!H57,recreation_v2_common_3!H57,recreation_v2_common_2!H57,recreation_v2_common_1!H57),0),"NA")</f>
        <v>1</v>
      </c>
      <c r="I57">
        <f>IF($D57=0,"NA",ROUND(SUM(recreation_v2_common_5!I57,recreation_v2_common_4!I57,recreation_v2_common_3!I57,recreation_v2_common_2!I57,recreation_v2_common_1!I57)/COUNT(recreation_v2_common_5!I57,recreation_v2_common_4!I57,recreation_v2_common_3!I57,recreation_v2_common_2!I57,recreation_v2_common_1!I57),0))</f>
        <v>1</v>
      </c>
      <c r="J57">
        <f>IF(AND(E57 = 1, F57 = 1),ROUND(SUM(recreation_v2_common_5!J57,recreation_v2_common_4!J57,recreation_v2_common_3!J57,recreation_v2_common_2!J57,recreation_v2_common_1!J57)/COUNT(recreation_v2_common_5!J57,recreation_v2_common_4!J57,recreation_v2_common_3!J57,recreation_v2_common_2!J57,recreation_v2_common_1!J57),0),"NA")</f>
        <v>1</v>
      </c>
      <c r="K57">
        <f>IF($D57=0,"NA",ROUND(SUM(recreation_v2_common_5!K57,recreation_v2_common_4!K57,recreation_v2_common_3!K57,recreation_v2_common_2!K57,recreation_v2_common_1!K57)/COUNT(recreation_v2_common_5!K57,recreation_v2_common_4!K57,recreation_v2_common_3!K57,recreation_v2_common_2!K57,recreation_v2_common_1!K57),0))</f>
        <v>1</v>
      </c>
      <c r="L57">
        <f>IF($D57=0,"NA",ROUND(SUM(recreation_v2_common_5!L57,recreation_v2_common_4!L57,recreation_v2_common_3!L57,recreation_v2_common_2!L57,recreation_v2_common_1!L57)/COUNT(recreation_v2_common_5!L57,recreation_v2_common_4!L57,recreation_v2_common_3!L57,recreation_v2_common_2!L57,recreation_v2_common_1!L57),0))</f>
        <v>1</v>
      </c>
      <c r="M57">
        <f>IF($D57=0,"NA",ROUND(SUM(recreation_v2_common_5!M57,recreation_v2_common_4!M57,recreation_v2_common_3!M57,recreation_v2_common_2!M57,recreation_v2_common_1!M57)/COUNT(recreation_v2_common_5!M57,recreation_v2_common_4!M57,recreation_v2_common_3!M57,recreation_v2_common_2!M57,recreation_v2_common_1!M57),0))</f>
        <v>1</v>
      </c>
      <c r="N57">
        <f>IF($D57=0,"NA",ROUND(SUM(recreation_v2_common_5!N57,recreation_v2_common_4!N57,recreation_v2_common_3!N57,recreation_v2_common_2!N57,recreation_v2_common_1!N57)/COUNT(recreation_v2_common_5!N57,recreation_v2_common_4!N57,recreation_v2_common_3!N57,recreation_v2_common_2!N57,recreation_v2_common_1!N57),0))</f>
        <v>1</v>
      </c>
      <c r="O57">
        <v>1.595645666122437</v>
      </c>
    </row>
    <row r="58" spans="1:15" x14ac:dyDescent="0.25">
      <c r="A58" t="s">
        <v>202</v>
      </c>
      <c r="B58" t="s">
        <v>82</v>
      </c>
      <c r="C58">
        <v>0</v>
      </c>
      <c r="D58">
        <f>ROUND(SUM(recreation_v2_common_5!D58,recreation_v2_common_4!D58,recreation_v2_common_3!D58,recreation_v2_common_2!D58,recreation_v2_common_1!D58)/COUNT(recreation_v2_common_5!D58,recreation_v2_common_4!D58,recreation_v2_common_3!D58,recreation_v2_common_2!D58,recreation_v2_common_1!D58),0)</f>
        <v>1</v>
      </c>
      <c r="E58">
        <f>IF($D58=0,"NA",ROUND(SUM(recreation_v2_common_5!E58,recreation_v2_common_4!E58,recreation_v2_common_3!E58,recreation_v2_common_2!E58,recreation_v2_common_1!E58)/COUNT(recreation_v2_common_5!E58,recreation_v2_common_4!E58,recreation_v2_common_3!E58,recreation_v2_common_2!E58,recreation_v2_common_1!E58),0))</f>
        <v>1</v>
      </c>
      <c r="F58">
        <f>IF($D58=0,"NA",ROUND(SUM(recreation_v2_common_5!F58,recreation_v2_common_4!F58,recreation_v2_common_3!F58,recreation_v2_common_2!F58,recreation_v2_common_1!F58)/COUNT(recreation_v2_common_5!F58,recreation_v2_common_4!F58,recreation_v2_common_3!F58,recreation_v2_common_2!F58,recreation_v2_common_1!F58),0))</f>
        <v>1</v>
      </c>
      <c r="G58">
        <f>IF($D58=0,"NA",ROUND(SUM(recreation_v2_common_5!G58,recreation_v2_common_4!G58,recreation_v2_common_3!G58,recreation_v2_common_2!G58,recreation_v2_common_1!G58)/COUNT(recreation_v2_common_5!G58,recreation_v2_common_4!G58,recreation_v2_common_3!G58,recreation_v2_common_2!G58,recreation_v2_common_1!G58),0))</f>
        <v>1</v>
      </c>
      <c r="H58">
        <f>IF(E58=1, ROUND(SUM(recreation_v2_common_5!H58,recreation_v2_common_4!H58,recreation_v2_common_3!H58,recreation_v2_common_2!H58,recreation_v2_common_1!H58)/COUNT(recreation_v2_common_5!H58,recreation_v2_common_4!H58,recreation_v2_common_3!H58,recreation_v2_common_2!H58,recreation_v2_common_1!H58),0),"NA")</f>
        <v>1</v>
      </c>
      <c r="I58">
        <f>IF($D58=0,"NA",ROUND(SUM(recreation_v2_common_5!I58,recreation_v2_common_4!I58,recreation_v2_common_3!I58,recreation_v2_common_2!I58,recreation_v2_common_1!I58)/COUNT(recreation_v2_common_5!I58,recreation_v2_common_4!I58,recreation_v2_common_3!I58,recreation_v2_common_2!I58,recreation_v2_common_1!I58),0))</f>
        <v>1</v>
      </c>
      <c r="J58">
        <f>IF(AND(E58 = 1, F58 = 1),ROUND(SUM(recreation_v2_common_5!J58,recreation_v2_common_4!J58,recreation_v2_common_3!J58,recreation_v2_common_2!J58,recreation_v2_common_1!J58)/COUNT(recreation_v2_common_5!J58,recreation_v2_common_4!J58,recreation_v2_common_3!J58,recreation_v2_common_2!J58,recreation_v2_common_1!J58),0),"NA")</f>
        <v>1</v>
      </c>
      <c r="K58">
        <f>IF($D58=0,"NA",ROUND(SUM(recreation_v2_common_5!K58,recreation_v2_common_4!K58,recreation_v2_common_3!K58,recreation_v2_common_2!K58,recreation_v2_common_1!K58)/COUNT(recreation_v2_common_5!K58,recreation_v2_common_4!K58,recreation_v2_common_3!K58,recreation_v2_common_2!K58,recreation_v2_common_1!K58),0))</f>
        <v>1</v>
      </c>
      <c r="L58">
        <f>IF($D58=0,"NA",ROUND(SUM(recreation_v2_common_5!L58,recreation_v2_common_4!L58,recreation_v2_common_3!L58,recreation_v2_common_2!L58,recreation_v2_common_1!L58)/COUNT(recreation_v2_common_5!L58,recreation_v2_common_4!L58,recreation_v2_common_3!L58,recreation_v2_common_2!L58,recreation_v2_common_1!L58),0))</f>
        <v>1</v>
      </c>
      <c r="M58">
        <f>IF($D58=0,"NA",ROUND(SUM(recreation_v2_common_5!M58,recreation_v2_common_4!M58,recreation_v2_common_3!M58,recreation_v2_common_2!M58,recreation_v2_common_1!M58)/COUNT(recreation_v2_common_5!M58,recreation_v2_common_4!M58,recreation_v2_common_3!M58,recreation_v2_common_2!M58,recreation_v2_common_1!M58),0))</f>
        <v>1</v>
      </c>
      <c r="N58">
        <f>IF($D58=0,"NA",ROUND(SUM(recreation_v2_common_5!N58,recreation_v2_common_4!N58,recreation_v2_common_3!N58,recreation_v2_common_2!N58,recreation_v2_common_1!N58)/COUNT(recreation_v2_common_5!N58,recreation_v2_common_4!N58,recreation_v2_common_3!N58,recreation_v2_common_2!N58,recreation_v2_common_1!N58),0))</f>
        <v>1</v>
      </c>
      <c r="O58">
        <v>1.417935371398926</v>
      </c>
    </row>
    <row r="59" spans="1:15" x14ac:dyDescent="0.25">
      <c r="A59" t="s">
        <v>202</v>
      </c>
      <c r="B59" t="s">
        <v>83</v>
      </c>
      <c r="C59">
        <v>0</v>
      </c>
      <c r="D59">
        <f>ROUND(SUM(recreation_v2_common_5!D59,recreation_v2_common_4!D59,recreation_v2_common_3!D59,recreation_v2_common_2!D59,recreation_v2_common_1!D59)/COUNT(recreation_v2_common_5!D59,recreation_v2_common_4!D59,recreation_v2_common_3!D59,recreation_v2_common_2!D59,recreation_v2_common_1!D59),0)</f>
        <v>1</v>
      </c>
      <c r="E59">
        <f>IF($D59=0,"NA",ROUND(SUM(recreation_v2_common_5!E59,recreation_v2_common_4!E59,recreation_v2_common_3!E59,recreation_v2_common_2!E59,recreation_v2_common_1!E59)/COUNT(recreation_v2_common_5!E59,recreation_v2_common_4!E59,recreation_v2_common_3!E59,recreation_v2_common_2!E59,recreation_v2_common_1!E59),0))</f>
        <v>1</v>
      </c>
      <c r="F59">
        <f>IF($D59=0,"NA",ROUND(SUM(recreation_v2_common_5!F59,recreation_v2_common_4!F59,recreation_v2_common_3!F59,recreation_v2_common_2!F59,recreation_v2_common_1!F59)/COUNT(recreation_v2_common_5!F59,recreation_v2_common_4!F59,recreation_v2_common_3!F59,recreation_v2_common_2!F59,recreation_v2_common_1!F59),0))</f>
        <v>1</v>
      </c>
      <c r="G59">
        <f>IF($D59=0,"NA",ROUND(SUM(recreation_v2_common_5!G59,recreation_v2_common_4!G59,recreation_v2_common_3!G59,recreation_v2_common_2!G59,recreation_v2_common_1!G59)/COUNT(recreation_v2_common_5!G59,recreation_v2_common_4!G59,recreation_v2_common_3!G59,recreation_v2_common_2!G59,recreation_v2_common_1!G59),0))</f>
        <v>1</v>
      </c>
      <c r="H59">
        <f>IF(E59=1, ROUND(SUM(recreation_v2_common_5!H59,recreation_v2_common_4!H59,recreation_v2_common_3!H59,recreation_v2_common_2!H59,recreation_v2_common_1!H59)/COUNT(recreation_v2_common_5!H59,recreation_v2_common_4!H59,recreation_v2_common_3!H59,recreation_v2_common_2!H59,recreation_v2_common_1!H59),0),"NA")</f>
        <v>1</v>
      </c>
      <c r="I59">
        <f>IF($D59=0,"NA",ROUND(SUM(recreation_v2_common_5!I59,recreation_v2_common_4!I59,recreation_v2_common_3!I59,recreation_v2_common_2!I59,recreation_v2_common_1!I59)/COUNT(recreation_v2_common_5!I59,recreation_v2_common_4!I59,recreation_v2_common_3!I59,recreation_v2_common_2!I59,recreation_v2_common_1!I59),0))</f>
        <v>1</v>
      </c>
      <c r="J59">
        <f>IF(AND(E59 = 1, F59 = 1),ROUND(SUM(recreation_v2_common_5!J59,recreation_v2_common_4!J59,recreation_v2_common_3!J59,recreation_v2_common_2!J59,recreation_v2_common_1!J59)/COUNT(recreation_v2_common_5!J59,recreation_v2_common_4!J59,recreation_v2_common_3!J59,recreation_v2_common_2!J59,recreation_v2_common_1!J59),0),"NA")</f>
        <v>1</v>
      </c>
      <c r="K59">
        <f>IF($D59=0,"NA",ROUND(SUM(recreation_v2_common_5!K59,recreation_v2_common_4!K59,recreation_v2_common_3!K59,recreation_v2_common_2!K59,recreation_v2_common_1!K59)/COUNT(recreation_v2_common_5!K59,recreation_v2_common_4!K59,recreation_v2_common_3!K59,recreation_v2_common_2!K59,recreation_v2_common_1!K59),0))</f>
        <v>1</v>
      </c>
      <c r="L59">
        <f>IF($D59=0,"NA",ROUND(SUM(recreation_v2_common_5!L59,recreation_v2_common_4!L59,recreation_v2_common_3!L59,recreation_v2_common_2!L59,recreation_v2_common_1!L59)/COUNT(recreation_v2_common_5!L59,recreation_v2_common_4!L59,recreation_v2_common_3!L59,recreation_v2_common_2!L59,recreation_v2_common_1!L59),0))</f>
        <v>1</v>
      </c>
      <c r="M59">
        <f>IF($D59=0,"NA",ROUND(SUM(recreation_v2_common_5!M59,recreation_v2_common_4!M59,recreation_v2_common_3!M59,recreation_v2_common_2!M59,recreation_v2_common_1!M59)/COUNT(recreation_v2_common_5!M59,recreation_v2_common_4!M59,recreation_v2_common_3!M59,recreation_v2_common_2!M59,recreation_v2_common_1!M59),0))</f>
        <v>1</v>
      </c>
      <c r="N59">
        <f>IF($D59=0,"NA",ROUND(SUM(recreation_v2_common_5!N59,recreation_v2_common_4!N59,recreation_v2_common_3!N59,recreation_v2_common_2!N59,recreation_v2_common_1!N59)/COUNT(recreation_v2_common_5!N59,recreation_v2_common_4!N59,recreation_v2_common_3!N59,recreation_v2_common_2!N59,recreation_v2_common_1!N59),0))</f>
        <v>1</v>
      </c>
      <c r="O59">
        <v>1.458890914916992</v>
      </c>
    </row>
    <row r="60" spans="1:15" x14ac:dyDescent="0.25">
      <c r="A60" t="s">
        <v>202</v>
      </c>
      <c r="B60" t="s">
        <v>84</v>
      </c>
      <c r="C60">
        <v>0</v>
      </c>
      <c r="D60">
        <f>ROUND(SUM(recreation_v2_common_5!D60,recreation_v2_common_4!D60,recreation_v2_common_3!D60,recreation_v2_common_2!D60,recreation_v2_common_1!D60)/COUNT(recreation_v2_common_5!D60,recreation_v2_common_4!D60,recreation_v2_common_3!D60,recreation_v2_common_2!D60,recreation_v2_common_1!D60),0)</f>
        <v>1</v>
      </c>
      <c r="E60">
        <f>IF($D60=0,"NA",ROUND(SUM(recreation_v2_common_5!E60,recreation_v2_common_4!E60,recreation_v2_common_3!E60,recreation_v2_common_2!E60,recreation_v2_common_1!E60)/COUNT(recreation_v2_common_5!E60,recreation_v2_common_4!E60,recreation_v2_common_3!E60,recreation_v2_common_2!E60,recreation_v2_common_1!E60),0))</f>
        <v>0</v>
      </c>
      <c r="F60">
        <f>IF($D60=0,"NA",ROUND(SUM(recreation_v2_common_5!F60,recreation_v2_common_4!F60,recreation_v2_common_3!F60,recreation_v2_common_2!F60,recreation_v2_common_1!F60)/COUNT(recreation_v2_common_5!F60,recreation_v2_common_4!F60,recreation_v2_common_3!F60,recreation_v2_common_2!F60,recreation_v2_common_1!F60),0))</f>
        <v>1</v>
      </c>
      <c r="G60">
        <f>IF($D60=0,"NA",ROUND(SUM(recreation_v2_common_5!G60,recreation_v2_common_4!G60,recreation_v2_common_3!G60,recreation_v2_common_2!G60,recreation_v2_common_1!G60)/COUNT(recreation_v2_common_5!G60,recreation_v2_common_4!G60,recreation_v2_common_3!G60,recreation_v2_common_2!G60,recreation_v2_common_1!G60),0))</f>
        <v>1</v>
      </c>
      <c r="H60" t="str">
        <f>IF(E60=1, ROUND(SUM(recreation_v2_common_5!H60,recreation_v2_common_4!H60,recreation_v2_common_3!H60,recreation_v2_common_2!H60,recreation_v2_common_1!H60)/COUNT(recreation_v2_common_5!H60,recreation_v2_common_4!H60,recreation_v2_common_3!H60,recreation_v2_common_2!H60,recreation_v2_common_1!H60),0),"NA")</f>
        <v>NA</v>
      </c>
      <c r="I60">
        <f>IF($D60=0,"NA",ROUND(SUM(recreation_v2_common_5!I60,recreation_v2_common_4!I60,recreation_v2_common_3!I60,recreation_v2_common_2!I60,recreation_v2_common_1!I60)/COUNT(recreation_v2_common_5!I60,recreation_v2_common_4!I60,recreation_v2_common_3!I60,recreation_v2_common_2!I60,recreation_v2_common_1!I60),0))</f>
        <v>1</v>
      </c>
      <c r="J60" t="str">
        <f>IF(AND(E60 = 1, F60 = 1),ROUND(SUM(recreation_v2_common_5!J60,recreation_v2_common_4!J60,recreation_v2_common_3!J60,recreation_v2_common_2!J60,recreation_v2_common_1!J60)/COUNT(recreation_v2_common_5!J60,recreation_v2_common_4!J60,recreation_v2_common_3!J60,recreation_v2_common_2!J60,recreation_v2_common_1!J60),0),"NA")</f>
        <v>NA</v>
      </c>
      <c r="K60">
        <f>IF($D60=0,"NA",ROUND(SUM(recreation_v2_common_5!K60,recreation_v2_common_4!K60,recreation_v2_common_3!K60,recreation_v2_common_2!K60,recreation_v2_common_1!K60)/COUNT(recreation_v2_common_5!K60,recreation_v2_common_4!K60,recreation_v2_common_3!K60,recreation_v2_common_2!K60,recreation_v2_common_1!K60),0))</f>
        <v>1</v>
      </c>
      <c r="L60">
        <f>IF($D60=0,"NA",ROUND(SUM(recreation_v2_common_5!L60,recreation_v2_common_4!L60,recreation_v2_common_3!L60,recreation_v2_common_2!L60,recreation_v2_common_1!L60)/COUNT(recreation_v2_common_5!L60,recreation_v2_common_4!L60,recreation_v2_common_3!L60,recreation_v2_common_2!L60,recreation_v2_common_1!L60),0))</f>
        <v>1</v>
      </c>
      <c r="M60">
        <f>IF($D60=0,"NA",ROUND(SUM(recreation_v2_common_5!M60,recreation_v2_common_4!M60,recreation_v2_common_3!M60,recreation_v2_common_2!M60,recreation_v2_common_1!M60)/COUNT(recreation_v2_common_5!M60,recreation_v2_common_4!M60,recreation_v2_common_3!M60,recreation_v2_common_2!M60,recreation_v2_common_1!M60),0))</f>
        <v>1</v>
      </c>
      <c r="N60">
        <f>IF($D60=0,"NA",ROUND(SUM(recreation_v2_common_5!N60,recreation_v2_common_4!N60,recreation_v2_common_3!N60,recreation_v2_common_2!N60,recreation_v2_common_1!N60)/COUNT(recreation_v2_common_5!N60,recreation_v2_common_4!N60,recreation_v2_common_3!N60,recreation_v2_common_2!N60,recreation_v2_common_1!N60),0))</f>
        <v>1</v>
      </c>
      <c r="O60">
        <v>3.5526163578033452</v>
      </c>
    </row>
    <row r="61" spans="1:15" x14ac:dyDescent="0.25">
      <c r="A61" t="s">
        <v>202</v>
      </c>
      <c r="B61" t="s">
        <v>86</v>
      </c>
      <c r="C61">
        <v>0</v>
      </c>
      <c r="D61">
        <f>ROUND(SUM(recreation_v2_common_5!D61,recreation_v2_common_4!D61,recreation_v2_common_3!D61,recreation_v2_common_2!D61,recreation_v2_common_1!D61)/COUNT(recreation_v2_common_5!D61,recreation_v2_common_4!D61,recreation_v2_common_3!D61,recreation_v2_common_2!D61,recreation_v2_common_1!D61),0)</f>
        <v>1</v>
      </c>
      <c r="E61">
        <f>IF($D61=0,"NA",ROUND(SUM(recreation_v2_common_5!E61,recreation_v2_common_4!E61,recreation_v2_common_3!E61,recreation_v2_common_2!E61,recreation_v2_common_1!E61)/COUNT(recreation_v2_common_5!E61,recreation_v2_common_4!E61,recreation_v2_common_3!E61,recreation_v2_common_2!E61,recreation_v2_common_1!E61),0))</f>
        <v>1</v>
      </c>
      <c r="F61">
        <f>IF($D61=0,"NA",ROUND(SUM(recreation_v2_common_5!F61,recreation_v2_common_4!F61,recreation_v2_common_3!F61,recreation_v2_common_2!F61,recreation_v2_common_1!F61)/COUNT(recreation_v2_common_5!F61,recreation_v2_common_4!F61,recreation_v2_common_3!F61,recreation_v2_common_2!F61,recreation_v2_common_1!F61),0))</f>
        <v>1</v>
      </c>
      <c r="G61">
        <f>IF($D61=0,"NA",ROUND(SUM(recreation_v2_common_5!G61,recreation_v2_common_4!G61,recreation_v2_common_3!G61,recreation_v2_common_2!G61,recreation_v2_common_1!G61)/COUNT(recreation_v2_common_5!G61,recreation_v2_common_4!G61,recreation_v2_common_3!G61,recreation_v2_common_2!G61,recreation_v2_common_1!G61),0))</f>
        <v>1</v>
      </c>
      <c r="H61">
        <f>IF(E61=1, ROUND(SUM(recreation_v2_common_5!H61,recreation_v2_common_4!H61,recreation_v2_common_3!H61,recreation_v2_common_2!H61,recreation_v2_common_1!H61)/COUNT(recreation_v2_common_5!H61,recreation_v2_common_4!H61,recreation_v2_common_3!H61,recreation_v2_common_2!H61,recreation_v2_common_1!H61),0),"NA")</f>
        <v>1</v>
      </c>
      <c r="I61">
        <f>IF($D61=0,"NA",ROUND(SUM(recreation_v2_common_5!I61,recreation_v2_common_4!I61,recreation_v2_common_3!I61,recreation_v2_common_2!I61,recreation_v2_common_1!I61)/COUNT(recreation_v2_common_5!I61,recreation_v2_common_4!I61,recreation_v2_common_3!I61,recreation_v2_common_2!I61,recreation_v2_common_1!I61),0))</f>
        <v>1</v>
      </c>
      <c r="J61">
        <f>IF(AND(E61 = 1, F61 = 1),ROUND(SUM(recreation_v2_common_5!J61,recreation_v2_common_4!J61,recreation_v2_common_3!J61,recreation_v2_common_2!J61,recreation_v2_common_1!J61)/COUNT(recreation_v2_common_5!J61,recreation_v2_common_4!J61,recreation_v2_common_3!J61,recreation_v2_common_2!J61,recreation_v2_common_1!J61),0),"NA")</f>
        <v>1</v>
      </c>
      <c r="K61">
        <f>IF($D61=0,"NA",ROUND(SUM(recreation_v2_common_5!K61,recreation_v2_common_4!K61,recreation_v2_common_3!K61,recreation_v2_common_2!K61,recreation_v2_common_1!K61)/COUNT(recreation_v2_common_5!K61,recreation_v2_common_4!K61,recreation_v2_common_3!K61,recreation_v2_common_2!K61,recreation_v2_common_1!K61),0))</f>
        <v>1</v>
      </c>
      <c r="L61">
        <f>IF($D61=0,"NA",ROUND(SUM(recreation_v2_common_5!L61,recreation_v2_common_4!L61,recreation_v2_common_3!L61,recreation_v2_common_2!L61,recreation_v2_common_1!L61)/COUNT(recreation_v2_common_5!L61,recreation_v2_common_4!L61,recreation_v2_common_3!L61,recreation_v2_common_2!L61,recreation_v2_common_1!L61),0))</f>
        <v>1</v>
      </c>
      <c r="M61">
        <f>IF($D61=0,"NA",ROUND(SUM(recreation_v2_common_5!M61,recreation_v2_common_4!M61,recreation_v2_common_3!M61,recreation_v2_common_2!M61,recreation_v2_common_1!M61)/COUNT(recreation_v2_common_5!M61,recreation_v2_common_4!M61,recreation_v2_common_3!M61,recreation_v2_common_2!M61,recreation_v2_common_1!M61),0))</f>
        <v>1</v>
      </c>
      <c r="N61">
        <f>IF($D61=0,"NA",ROUND(SUM(recreation_v2_common_5!N61,recreation_v2_common_4!N61,recreation_v2_common_3!N61,recreation_v2_common_2!N61,recreation_v2_common_1!N61)/COUNT(recreation_v2_common_5!N61,recreation_v2_common_4!N61,recreation_v2_common_3!N61,recreation_v2_common_2!N61,recreation_v2_common_1!N61),0))</f>
        <v>1</v>
      </c>
      <c r="O61">
        <v>1.7374730110168459</v>
      </c>
    </row>
    <row r="62" spans="1:15" x14ac:dyDescent="0.25">
      <c r="A62" t="s">
        <v>202</v>
      </c>
      <c r="B62" t="s">
        <v>87</v>
      </c>
      <c r="C62">
        <v>0</v>
      </c>
      <c r="D62">
        <f>ROUND(SUM(recreation_v2_common_5!D62,recreation_v2_common_4!D62,recreation_v2_common_3!D62,recreation_v2_common_2!D62,recreation_v2_common_1!D62)/COUNT(recreation_v2_common_5!D62,recreation_v2_common_4!D62,recreation_v2_common_3!D62,recreation_v2_common_2!D62,recreation_v2_common_1!D62),0)</f>
        <v>1</v>
      </c>
      <c r="E62">
        <f>IF($D62=0,"NA",ROUND(SUM(recreation_v2_common_5!E62,recreation_v2_common_4!E62,recreation_v2_common_3!E62,recreation_v2_common_2!E62,recreation_v2_common_1!E62)/COUNT(recreation_v2_common_5!E62,recreation_v2_common_4!E62,recreation_v2_common_3!E62,recreation_v2_common_2!E62,recreation_v2_common_1!E62),0))</f>
        <v>1</v>
      </c>
      <c r="F62">
        <f>IF($D62=0,"NA",ROUND(SUM(recreation_v2_common_5!F62,recreation_v2_common_4!F62,recreation_v2_common_3!F62,recreation_v2_common_2!F62,recreation_v2_common_1!F62)/COUNT(recreation_v2_common_5!F62,recreation_v2_common_4!F62,recreation_v2_common_3!F62,recreation_v2_common_2!F62,recreation_v2_common_1!F62),0))</f>
        <v>1</v>
      </c>
      <c r="G62">
        <f>IF($D62=0,"NA",ROUND(SUM(recreation_v2_common_5!G62,recreation_v2_common_4!G62,recreation_v2_common_3!G62,recreation_v2_common_2!G62,recreation_v2_common_1!G62)/COUNT(recreation_v2_common_5!G62,recreation_v2_common_4!G62,recreation_v2_common_3!G62,recreation_v2_common_2!G62,recreation_v2_common_1!G62),0))</f>
        <v>1</v>
      </c>
      <c r="H62">
        <f>IF(E62=1, ROUND(SUM(recreation_v2_common_5!H62,recreation_v2_common_4!H62,recreation_v2_common_3!H62,recreation_v2_common_2!H62,recreation_v2_common_1!H62)/COUNT(recreation_v2_common_5!H62,recreation_v2_common_4!H62,recreation_v2_common_3!H62,recreation_v2_common_2!H62,recreation_v2_common_1!H62),0),"NA")</f>
        <v>1</v>
      </c>
      <c r="I62">
        <f>IF($D62=0,"NA",ROUND(SUM(recreation_v2_common_5!I62,recreation_v2_common_4!I62,recreation_v2_common_3!I62,recreation_v2_common_2!I62,recreation_v2_common_1!I62)/COUNT(recreation_v2_common_5!I62,recreation_v2_common_4!I62,recreation_v2_common_3!I62,recreation_v2_common_2!I62,recreation_v2_common_1!I62),0))</f>
        <v>1</v>
      </c>
      <c r="J62">
        <f>IF(AND(E62 = 1, F62 = 1),ROUND(SUM(recreation_v2_common_5!J62,recreation_v2_common_4!J62,recreation_v2_common_3!J62,recreation_v2_common_2!J62,recreation_v2_common_1!J62)/COUNT(recreation_v2_common_5!J62,recreation_v2_common_4!J62,recreation_v2_common_3!J62,recreation_v2_common_2!J62,recreation_v2_common_1!J62),0),"NA")</f>
        <v>1</v>
      </c>
      <c r="K62">
        <f>IF($D62=0,"NA",ROUND(SUM(recreation_v2_common_5!K62,recreation_v2_common_4!K62,recreation_v2_common_3!K62,recreation_v2_common_2!K62,recreation_v2_common_1!K62)/COUNT(recreation_v2_common_5!K62,recreation_v2_common_4!K62,recreation_v2_common_3!K62,recreation_v2_common_2!K62,recreation_v2_common_1!K62),0))</f>
        <v>1</v>
      </c>
      <c r="L62">
        <f>IF($D62=0,"NA",ROUND(SUM(recreation_v2_common_5!L62,recreation_v2_common_4!L62,recreation_v2_common_3!L62,recreation_v2_common_2!L62,recreation_v2_common_1!L62)/COUNT(recreation_v2_common_5!L62,recreation_v2_common_4!L62,recreation_v2_common_3!L62,recreation_v2_common_2!L62,recreation_v2_common_1!L62),0))</f>
        <v>1</v>
      </c>
      <c r="M62">
        <f>IF($D62=0,"NA",ROUND(SUM(recreation_v2_common_5!M62,recreation_v2_common_4!M62,recreation_v2_common_3!M62,recreation_v2_common_2!M62,recreation_v2_common_1!M62)/COUNT(recreation_v2_common_5!M62,recreation_v2_common_4!M62,recreation_v2_common_3!M62,recreation_v2_common_2!M62,recreation_v2_common_1!M62),0))</f>
        <v>1</v>
      </c>
      <c r="N62">
        <f>IF($D62=0,"NA",ROUND(SUM(recreation_v2_common_5!N62,recreation_v2_common_4!N62,recreation_v2_common_3!N62,recreation_v2_common_2!N62,recreation_v2_common_1!N62)/COUNT(recreation_v2_common_5!N62,recreation_v2_common_4!N62,recreation_v2_common_3!N62,recreation_v2_common_2!N62,recreation_v2_common_1!N62),0))</f>
        <v>1</v>
      </c>
      <c r="O62">
        <v>1.332762479782104</v>
      </c>
    </row>
    <row r="63" spans="1:15" x14ac:dyDescent="0.25">
      <c r="A63" t="s">
        <v>202</v>
      </c>
      <c r="B63" t="s">
        <v>88</v>
      </c>
      <c r="C63">
        <v>0</v>
      </c>
      <c r="D63">
        <f>ROUND(SUM(recreation_v2_common_5!D63,recreation_v2_common_4!D63,recreation_v2_common_3!D63,recreation_v2_common_2!D63,recreation_v2_common_1!D63)/COUNT(recreation_v2_common_5!D63,recreation_v2_common_4!D63,recreation_v2_common_3!D63,recreation_v2_common_2!D63,recreation_v2_common_1!D63),0)</f>
        <v>1</v>
      </c>
      <c r="E63">
        <f>IF($D63=0,"NA",ROUND(SUM(recreation_v2_common_5!E63,recreation_v2_common_4!E63,recreation_v2_common_3!E63,recreation_v2_common_2!E63,recreation_v2_common_1!E63)/COUNT(recreation_v2_common_5!E63,recreation_v2_common_4!E63,recreation_v2_common_3!E63,recreation_v2_common_2!E63,recreation_v2_common_1!E63),0))</f>
        <v>1</v>
      </c>
      <c r="F63">
        <f>IF($D63=0,"NA",ROUND(SUM(recreation_v2_common_5!F63,recreation_v2_common_4!F63,recreation_v2_common_3!F63,recreation_v2_common_2!F63,recreation_v2_common_1!F63)/COUNT(recreation_v2_common_5!F63,recreation_v2_common_4!F63,recreation_v2_common_3!F63,recreation_v2_common_2!F63,recreation_v2_common_1!F63),0))</f>
        <v>1</v>
      </c>
      <c r="G63">
        <f>IF($D63=0,"NA",ROUND(SUM(recreation_v2_common_5!G63,recreation_v2_common_4!G63,recreation_v2_common_3!G63,recreation_v2_common_2!G63,recreation_v2_common_1!G63)/COUNT(recreation_v2_common_5!G63,recreation_v2_common_4!G63,recreation_v2_common_3!G63,recreation_v2_common_2!G63,recreation_v2_common_1!G63),0))</f>
        <v>1</v>
      </c>
      <c r="H63">
        <f>IF(E63=1, ROUND(SUM(recreation_v2_common_5!H63,recreation_v2_common_4!H63,recreation_v2_common_3!H63,recreation_v2_common_2!H63,recreation_v2_common_1!H63)/COUNT(recreation_v2_common_5!H63,recreation_v2_common_4!H63,recreation_v2_common_3!H63,recreation_v2_common_2!H63,recreation_v2_common_1!H63),0),"NA")</f>
        <v>1</v>
      </c>
      <c r="I63">
        <f>IF($D63=0,"NA",ROUND(SUM(recreation_v2_common_5!I63,recreation_v2_common_4!I63,recreation_v2_common_3!I63,recreation_v2_common_2!I63,recreation_v2_common_1!I63)/COUNT(recreation_v2_common_5!I63,recreation_v2_common_4!I63,recreation_v2_common_3!I63,recreation_v2_common_2!I63,recreation_v2_common_1!I63),0))</f>
        <v>1</v>
      </c>
      <c r="J63">
        <f>IF(AND(E63 = 1, F63 = 1),ROUND(SUM(recreation_v2_common_5!J63,recreation_v2_common_4!J63,recreation_v2_common_3!J63,recreation_v2_common_2!J63,recreation_v2_common_1!J63)/COUNT(recreation_v2_common_5!J63,recreation_v2_common_4!J63,recreation_v2_common_3!J63,recreation_v2_common_2!J63,recreation_v2_common_1!J63),0),"NA")</f>
        <v>1</v>
      </c>
      <c r="K63">
        <f>IF($D63=0,"NA",ROUND(SUM(recreation_v2_common_5!K63,recreation_v2_common_4!K63,recreation_v2_common_3!K63,recreation_v2_common_2!K63,recreation_v2_common_1!K63)/COUNT(recreation_v2_common_5!K63,recreation_v2_common_4!K63,recreation_v2_common_3!K63,recreation_v2_common_2!K63,recreation_v2_common_1!K63),0))</f>
        <v>1</v>
      </c>
      <c r="L63">
        <f>IF($D63=0,"NA",ROUND(SUM(recreation_v2_common_5!L63,recreation_v2_common_4!L63,recreation_v2_common_3!L63,recreation_v2_common_2!L63,recreation_v2_common_1!L63)/COUNT(recreation_v2_common_5!L63,recreation_v2_common_4!L63,recreation_v2_common_3!L63,recreation_v2_common_2!L63,recreation_v2_common_1!L63),0))</f>
        <v>1</v>
      </c>
      <c r="M63">
        <f>IF($D63=0,"NA",ROUND(SUM(recreation_v2_common_5!M63,recreation_v2_common_4!M63,recreation_v2_common_3!M63,recreation_v2_common_2!M63,recreation_v2_common_1!M63)/COUNT(recreation_v2_common_5!M63,recreation_v2_common_4!M63,recreation_v2_common_3!M63,recreation_v2_common_2!M63,recreation_v2_common_1!M63),0))</f>
        <v>1</v>
      </c>
      <c r="N63">
        <f>IF($D63=0,"NA",ROUND(SUM(recreation_v2_common_5!N63,recreation_v2_common_4!N63,recreation_v2_common_3!N63,recreation_v2_common_2!N63,recreation_v2_common_1!N63)/COUNT(recreation_v2_common_5!N63,recreation_v2_common_4!N63,recreation_v2_common_3!N63,recreation_v2_common_2!N63,recreation_v2_common_1!N63),0))</f>
        <v>1</v>
      </c>
      <c r="O63">
        <v>1.363966703414917</v>
      </c>
    </row>
    <row r="64" spans="1:15" x14ac:dyDescent="0.25">
      <c r="A64" t="s">
        <v>202</v>
      </c>
      <c r="B64" t="s">
        <v>89</v>
      </c>
      <c r="C64">
        <v>0</v>
      </c>
      <c r="D64">
        <f>ROUND(SUM(recreation_v2_common_5!D64,recreation_v2_common_4!D64,recreation_v2_common_3!D64,recreation_v2_common_2!D64,recreation_v2_common_1!D64)/COUNT(recreation_v2_common_5!D64,recreation_v2_common_4!D64,recreation_v2_common_3!D64,recreation_v2_common_2!D64,recreation_v2_common_1!D64),0)</f>
        <v>1</v>
      </c>
      <c r="E64">
        <f>IF($D64=0,"NA",ROUND(SUM(recreation_v2_common_5!E64,recreation_v2_common_4!E64,recreation_v2_common_3!E64,recreation_v2_common_2!E64,recreation_v2_common_1!E64)/COUNT(recreation_v2_common_5!E64,recreation_v2_common_4!E64,recreation_v2_common_3!E64,recreation_v2_common_2!E64,recreation_v2_common_1!E64),0))</f>
        <v>1</v>
      </c>
      <c r="F64">
        <f>IF($D64=0,"NA",ROUND(SUM(recreation_v2_common_5!F64,recreation_v2_common_4!F64,recreation_v2_common_3!F64,recreation_v2_common_2!F64,recreation_v2_common_1!F64)/COUNT(recreation_v2_common_5!F64,recreation_v2_common_4!F64,recreation_v2_common_3!F64,recreation_v2_common_2!F64,recreation_v2_common_1!F64),0))</f>
        <v>1</v>
      </c>
      <c r="G64">
        <f>IF($D64=0,"NA",ROUND(SUM(recreation_v2_common_5!G64,recreation_v2_common_4!G64,recreation_v2_common_3!G64,recreation_v2_common_2!G64,recreation_v2_common_1!G64)/COUNT(recreation_v2_common_5!G64,recreation_v2_common_4!G64,recreation_v2_common_3!G64,recreation_v2_common_2!G64,recreation_v2_common_1!G64),0))</f>
        <v>1</v>
      </c>
      <c r="H64">
        <f>IF(E64=1, ROUND(SUM(recreation_v2_common_5!H64,recreation_v2_common_4!H64,recreation_v2_common_3!H64,recreation_v2_common_2!H64,recreation_v2_common_1!H64)/COUNT(recreation_v2_common_5!H64,recreation_v2_common_4!H64,recreation_v2_common_3!H64,recreation_v2_common_2!H64,recreation_v2_common_1!H64),0),"NA")</f>
        <v>1</v>
      </c>
      <c r="I64">
        <f>IF($D64=0,"NA",ROUND(SUM(recreation_v2_common_5!I64,recreation_v2_common_4!I64,recreation_v2_common_3!I64,recreation_v2_common_2!I64,recreation_v2_common_1!I64)/COUNT(recreation_v2_common_5!I64,recreation_v2_common_4!I64,recreation_v2_common_3!I64,recreation_v2_common_2!I64,recreation_v2_common_1!I64),0))</f>
        <v>0</v>
      </c>
      <c r="J64">
        <f>IF(AND(E64 = 1, F64 = 1),ROUND(SUM(recreation_v2_common_5!J64,recreation_v2_common_4!J64,recreation_v2_common_3!J64,recreation_v2_common_2!J64,recreation_v2_common_1!J64)/COUNT(recreation_v2_common_5!J64,recreation_v2_common_4!J64,recreation_v2_common_3!J64,recreation_v2_common_2!J64,recreation_v2_common_1!J64),0),"NA")</f>
        <v>1</v>
      </c>
      <c r="K64">
        <f>IF($D64=0,"NA",ROUND(SUM(recreation_v2_common_5!K64,recreation_v2_common_4!K64,recreation_v2_common_3!K64,recreation_v2_common_2!K64,recreation_v2_common_1!K64)/COUNT(recreation_v2_common_5!K64,recreation_v2_common_4!K64,recreation_v2_common_3!K64,recreation_v2_common_2!K64,recreation_v2_common_1!K64),0))</f>
        <v>1</v>
      </c>
      <c r="L64">
        <f>IF($D64=0,"NA",ROUND(SUM(recreation_v2_common_5!L64,recreation_v2_common_4!L64,recreation_v2_common_3!L64,recreation_v2_common_2!L64,recreation_v2_common_1!L64)/COUNT(recreation_v2_common_5!L64,recreation_v2_common_4!L64,recreation_v2_common_3!L64,recreation_v2_common_2!L64,recreation_v2_common_1!L64),0))</f>
        <v>1</v>
      </c>
      <c r="M64">
        <f>IF($D64=0,"NA",ROUND(SUM(recreation_v2_common_5!M64,recreation_v2_common_4!M64,recreation_v2_common_3!M64,recreation_v2_common_2!M64,recreation_v2_common_1!M64)/COUNT(recreation_v2_common_5!M64,recreation_v2_common_4!M64,recreation_v2_common_3!M64,recreation_v2_common_2!M64,recreation_v2_common_1!M64),0))</f>
        <v>1</v>
      </c>
      <c r="N64">
        <f>IF($D64=0,"NA",ROUND(SUM(recreation_v2_common_5!N64,recreation_v2_common_4!N64,recreation_v2_common_3!N64,recreation_v2_common_2!N64,recreation_v2_common_1!N64)/COUNT(recreation_v2_common_5!N64,recreation_v2_common_4!N64,recreation_v2_common_3!N64,recreation_v2_common_2!N64,recreation_v2_common_1!N64),0))</f>
        <v>1</v>
      </c>
      <c r="O64">
        <v>2.120793342590332</v>
      </c>
    </row>
    <row r="65" spans="1:15" x14ac:dyDescent="0.25">
      <c r="A65" t="s">
        <v>202</v>
      </c>
      <c r="B65" t="s">
        <v>91</v>
      </c>
      <c r="C65">
        <v>0</v>
      </c>
      <c r="D65">
        <f>ROUND(SUM(recreation_v2_common_5!D65,recreation_v2_common_4!D65,recreation_v2_common_3!D65,recreation_v2_common_2!D65,recreation_v2_common_1!D65)/COUNT(recreation_v2_common_5!D65,recreation_v2_common_4!D65,recreation_v2_common_3!D65,recreation_v2_common_2!D65,recreation_v2_common_1!D65),0)</f>
        <v>1</v>
      </c>
      <c r="E65">
        <f>IF($D65=0,"NA",ROUND(SUM(recreation_v2_common_5!E65,recreation_v2_common_4!E65,recreation_v2_common_3!E65,recreation_v2_common_2!E65,recreation_v2_common_1!E65)/COUNT(recreation_v2_common_5!E65,recreation_v2_common_4!E65,recreation_v2_common_3!E65,recreation_v2_common_2!E65,recreation_v2_common_1!E65),0))</f>
        <v>1</v>
      </c>
      <c r="F65">
        <f>IF($D65=0,"NA",ROUND(SUM(recreation_v2_common_5!F65,recreation_v2_common_4!F65,recreation_v2_common_3!F65,recreation_v2_common_2!F65,recreation_v2_common_1!F65)/COUNT(recreation_v2_common_5!F65,recreation_v2_common_4!F65,recreation_v2_common_3!F65,recreation_v2_common_2!F65,recreation_v2_common_1!F65),0))</f>
        <v>1</v>
      </c>
      <c r="G65">
        <f>IF($D65=0,"NA",ROUND(SUM(recreation_v2_common_5!G65,recreation_v2_common_4!G65,recreation_v2_common_3!G65,recreation_v2_common_2!G65,recreation_v2_common_1!G65)/COUNT(recreation_v2_common_5!G65,recreation_v2_common_4!G65,recreation_v2_common_3!G65,recreation_v2_common_2!G65,recreation_v2_common_1!G65),0))</f>
        <v>1</v>
      </c>
      <c r="H65">
        <f>IF(E65=1, ROUND(SUM(recreation_v2_common_5!H65,recreation_v2_common_4!H65,recreation_v2_common_3!H65,recreation_v2_common_2!H65,recreation_v2_common_1!H65)/COUNT(recreation_v2_common_5!H65,recreation_v2_common_4!H65,recreation_v2_common_3!H65,recreation_v2_common_2!H65,recreation_v2_common_1!H65),0),"NA")</f>
        <v>1</v>
      </c>
      <c r="I65">
        <f>IF($D65=0,"NA",ROUND(SUM(recreation_v2_common_5!I65,recreation_v2_common_4!I65,recreation_v2_common_3!I65,recreation_v2_common_2!I65,recreation_v2_common_1!I65)/COUNT(recreation_v2_common_5!I65,recreation_v2_common_4!I65,recreation_v2_common_3!I65,recreation_v2_common_2!I65,recreation_v2_common_1!I65),0))</f>
        <v>1</v>
      </c>
      <c r="J65">
        <f>IF(AND(E65 = 1, F65 = 1),ROUND(SUM(recreation_v2_common_5!J65,recreation_v2_common_4!J65,recreation_v2_common_3!J65,recreation_v2_common_2!J65,recreation_v2_common_1!J65)/COUNT(recreation_v2_common_5!J65,recreation_v2_common_4!J65,recreation_v2_common_3!J65,recreation_v2_common_2!J65,recreation_v2_common_1!J65),0),"NA")</f>
        <v>1</v>
      </c>
      <c r="K65">
        <f>IF($D65=0,"NA",ROUND(SUM(recreation_v2_common_5!K65,recreation_v2_common_4!K65,recreation_v2_common_3!K65,recreation_v2_common_2!K65,recreation_v2_common_1!K65)/COUNT(recreation_v2_common_5!K65,recreation_v2_common_4!K65,recreation_v2_common_3!K65,recreation_v2_common_2!K65,recreation_v2_common_1!K65),0))</f>
        <v>1</v>
      </c>
      <c r="L65">
        <f>IF($D65=0,"NA",ROUND(SUM(recreation_v2_common_5!L65,recreation_v2_common_4!L65,recreation_v2_common_3!L65,recreation_v2_common_2!L65,recreation_v2_common_1!L65)/COUNT(recreation_v2_common_5!L65,recreation_v2_common_4!L65,recreation_v2_common_3!L65,recreation_v2_common_2!L65,recreation_v2_common_1!L65),0))</f>
        <v>1</v>
      </c>
      <c r="M65">
        <f>IF($D65=0,"NA",ROUND(SUM(recreation_v2_common_5!M65,recreation_v2_common_4!M65,recreation_v2_common_3!M65,recreation_v2_common_2!M65,recreation_v2_common_1!M65)/COUNT(recreation_v2_common_5!M65,recreation_v2_common_4!M65,recreation_v2_common_3!M65,recreation_v2_common_2!M65,recreation_v2_common_1!M65),0))</f>
        <v>1</v>
      </c>
      <c r="N65">
        <f>IF($D65=0,"NA",ROUND(SUM(recreation_v2_common_5!N65,recreation_v2_common_4!N65,recreation_v2_common_3!N65,recreation_v2_common_2!N65,recreation_v2_common_1!N65)/COUNT(recreation_v2_common_5!N65,recreation_v2_common_4!N65,recreation_v2_common_3!N65,recreation_v2_common_2!N65,recreation_v2_common_1!N65),0))</f>
        <v>1</v>
      </c>
      <c r="O65">
        <v>1.4413638114929199</v>
      </c>
    </row>
    <row r="66" spans="1:15" x14ac:dyDescent="0.25">
      <c r="A66" t="s">
        <v>202</v>
      </c>
      <c r="B66" t="s">
        <v>92</v>
      </c>
      <c r="C66">
        <v>0</v>
      </c>
      <c r="D66">
        <f>ROUND(SUM(recreation_v2_common_5!D66,recreation_v2_common_4!D66,recreation_v2_common_3!D66,recreation_v2_common_2!D66,recreation_v2_common_1!D66)/COUNT(recreation_v2_common_5!D66,recreation_v2_common_4!D66,recreation_v2_common_3!D66,recreation_v2_common_2!D66,recreation_v2_common_1!D66),0)</f>
        <v>1</v>
      </c>
      <c r="E66">
        <f>IF($D66=0,"NA",ROUND(SUM(recreation_v2_common_5!E66,recreation_v2_common_4!E66,recreation_v2_common_3!E66,recreation_v2_common_2!E66,recreation_v2_common_1!E66)/COUNT(recreation_v2_common_5!E66,recreation_v2_common_4!E66,recreation_v2_common_3!E66,recreation_v2_common_2!E66,recreation_v2_common_1!E66),0))</f>
        <v>1</v>
      </c>
      <c r="F66">
        <f>IF($D66=0,"NA",ROUND(SUM(recreation_v2_common_5!F66,recreation_v2_common_4!F66,recreation_v2_common_3!F66,recreation_v2_common_2!F66,recreation_v2_common_1!F66)/COUNT(recreation_v2_common_5!F66,recreation_v2_common_4!F66,recreation_v2_common_3!F66,recreation_v2_common_2!F66,recreation_v2_common_1!F66),0))</f>
        <v>1</v>
      </c>
      <c r="G66">
        <f>IF($D66=0,"NA",ROUND(SUM(recreation_v2_common_5!G66,recreation_v2_common_4!G66,recreation_v2_common_3!G66,recreation_v2_common_2!G66,recreation_v2_common_1!G66)/COUNT(recreation_v2_common_5!G66,recreation_v2_common_4!G66,recreation_v2_common_3!G66,recreation_v2_common_2!G66,recreation_v2_common_1!G66),0))</f>
        <v>1</v>
      </c>
      <c r="H66">
        <f>IF(E66=1, ROUND(SUM(recreation_v2_common_5!H66,recreation_v2_common_4!H66,recreation_v2_common_3!H66,recreation_v2_common_2!H66,recreation_v2_common_1!H66)/COUNT(recreation_v2_common_5!H66,recreation_v2_common_4!H66,recreation_v2_common_3!H66,recreation_v2_common_2!H66,recreation_v2_common_1!H66),0),"NA")</f>
        <v>1</v>
      </c>
      <c r="I66">
        <f>IF($D66=0,"NA",ROUND(SUM(recreation_v2_common_5!I66,recreation_v2_common_4!I66,recreation_v2_common_3!I66,recreation_v2_common_2!I66,recreation_v2_common_1!I66)/COUNT(recreation_v2_common_5!I66,recreation_v2_common_4!I66,recreation_v2_common_3!I66,recreation_v2_common_2!I66,recreation_v2_common_1!I66),0))</f>
        <v>0</v>
      </c>
      <c r="J66">
        <f>IF(AND(E66 = 1, F66 = 1),ROUND(SUM(recreation_v2_common_5!J66,recreation_v2_common_4!J66,recreation_v2_common_3!J66,recreation_v2_common_2!J66,recreation_v2_common_1!J66)/COUNT(recreation_v2_common_5!J66,recreation_v2_common_4!J66,recreation_v2_common_3!J66,recreation_v2_common_2!J66,recreation_v2_common_1!J66),0),"NA")</f>
        <v>1</v>
      </c>
      <c r="K66">
        <f>IF($D66=0,"NA",ROUND(SUM(recreation_v2_common_5!K66,recreation_v2_common_4!K66,recreation_v2_common_3!K66,recreation_v2_common_2!K66,recreation_v2_common_1!K66)/COUNT(recreation_v2_common_5!K66,recreation_v2_common_4!K66,recreation_v2_common_3!K66,recreation_v2_common_2!K66,recreation_v2_common_1!K66),0))</f>
        <v>1</v>
      </c>
      <c r="L66">
        <f>IF($D66=0,"NA",ROUND(SUM(recreation_v2_common_5!L66,recreation_v2_common_4!L66,recreation_v2_common_3!L66,recreation_v2_common_2!L66,recreation_v2_common_1!L66)/COUNT(recreation_v2_common_5!L66,recreation_v2_common_4!L66,recreation_v2_common_3!L66,recreation_v2_common_2!L66,recreation_v2_common_1!L66),0))</f>
        <v>1</v>
      </c>
      <c r="M66">
        <f>IF($D66=0,"NA",ROUND(SUM(recreation_v2_common_5!M66,recreation_v2_common_4!M66,recreation_v2_common_3!M66,recreation_v2_common_2!M66,recreation_v2_common_1!M66)/COUNT(recreation_v2_common_5!M66,recreation_v2_common_4!M66,recreation_v2_common_3!M66,recreation_v2_common_2!M66,recreation_v2_common_1!M66),0))</f>
        <v>1</v>
      </c>
      <c r="N66">
        <f>IF($D66=0,"NA",ROUND(SUM(recreation_v2_common_5!N66,recreation_v2_common_4!N66,recreation_v2_common_3!N66,recreation_v2_common_2!N66,recreation_v2_common_1!N66)/COUNT(recreation_v2_common_5!N66,recreation_v2_common_4!N66,recreation_v2_common_3!N66,recreation_v2_common_2!N66,recreation_v2_common_1!N66),0))</f>
        <v>1</v>
      </c>
      <c r="O66">
        <v>2.8767390251159668</v>
      </c>
    </row>
    <row r="67" spans="1:15" x14ac:dyDescent="0.25">
      <c r="A67" t="s">
        <v>202</v>
      </c>
      <c r="B67" t="s">
        <v>94</v>
      </c>
      <c r="C67">
        <v>0</v>
      </c>
      <c r="D67">
        <f>ROUND(SUM(recreation_v2_common_5!D67,recreation_v2_common_4!D67,recreation_v2_common_3!D67,recreation_v2_common_2!D67,recreation_v2_common_1!D67)/COUNT(recreation_v2_common_5!D67,recreation_v2_common_4!D67,recreation_v2_common_3!D67,recreation_v2_common_2!D67,recreation_v2_common_1!D67),0)</f>
        <v>1</v>
      </c>
      <c r="E67">
        <f>IF($D67=0,"NA",ROUND(SUM(recreation_v2_common_5!E67,recreation_v2_common_4!E67,recreation_v2_common_3!E67,recreation_v2_common_2!E67,recreation_v2_common_1!E67)/COUNT(recreation_v2_common_5!E67,recreation_v2_common_4!E67,recreation_v2_common_3!E67,recreation_v2_common_2!E67,recreation_v2_common_1!E67),0))</f>
        <v>1</v>
      </c>
      <c r="F67">
        <f>IF($D67=0,"NA",ROUND(SUM(recreation_v2_common_5!F67,recreation_v2_common_4!F67,recreation_v2_common_3!F67,recreation_v2_common_2!F67,recreation_v2_common_1!F67)/COUNT(recreation_v2_common_5!F67,recreation_v2_common_4!F67,recreation_v2_common_3!F67,recreation_v2_common_2!F67,recreation_v2_common_1!F67),0))</f>
        <v>0</v>
      </c>
      <c r="G67">
        <f>IF($D67=0,"NA",ROUND(SUM(recreation_v2_common_5!G67,recreation_v2_common_4!G67,recreation_v2_common_3!G67,recreation_v2_common_2!G67,recreation_v2_common_1!G67)/COUNT(recreation_v2_common_5!G67,recreation_v2_common_4!G67,recreation_v2_common_3!G67,recreation_v2_common_2!G67,recreation_v2_common_1!G67),0))</f>
        <v>1</v>
      </c>
      <c r="H67">
        <f>IF(E67=1, ROUND(SUM(recreation_v2_common_5!H67,recreation_v2_common_4!H67,recreation_v2_common_3!H67,recreation_v2_common_2!H67,recreation_v2_common_1!H67)/COUNT(recreation_v2_common_5!H67,recreation_v2_common_4!H67,recreation_v2_common_3!H67,recreation_v2_common_2!H67,recreation_v2_common_1!H67),0),"NA")</f>
        <v>1</v>
      </c>
      <c r="I67">
        <f>IF($D67=0,"NA",ROUND(SUM(recreation_v2_common_5!I67,recreation_v2_common_4!I67,recreation_v2_common_3!I67,recreation_v2_common_2!I67,recreation_v2_common_1!I67)/COUNT(recreation_v2_common_5!I67,recreation_v2_common_4!I67,recreation_v2_common_3!I67,recreation_v2_common_2!I67,recreation_v2_common_1!I67),0))</f>
        <v>1</v>
      </c>
      <c r="J67" t="str">
        <f>IF(AND(E67 = 1, F67 = 1),ROUND(SUM(recreation_v2_common_5!J67,recreation_v2_common_4!J67,recreation_v2_common_3!J67,recreation_v2_common_2!J67,recreation_v2_common_1!J67)/COUNT(recreation_v2_common_5!J67,recreation_v2_common_4!J67,recreation_v2_common_3!J67,recreation_v2_common_2!J67,recreation_v2_common_1!J67),0),"NA")</f>
        <v>NA</v>
      </c>
      <c r="K67">
        <f>IF($D67=0,"NA",ROUND(SUM(recreation_v2_common_5!K67,recreation_v2_common_4!K67,recreation_v2_common_3!K67,recreation_v2_common_2!K67,recreation_v2_common_1!K67)/COUNT(recreation_v2_common_5!K67,recreation_v2_common_4!K67,recreation_v2_common_3!K67,recreation_v2_common_2!K67,recreation_v2_common_1!K67),0))</f>
        <v>1</v>
      </c>
      <c r="L67">
        <f>IF($D67=0,"NA",ROUND(SUM(recreation_v2_common_5!L67,recreation_v2_common_4!L67,recreation_v2_common_3!L67,recreation_v2_common_2!L67,recreation_v2_common_1!L67)/COUNT(recreation_v2_common_5!L67,recreation_v2_common_4!L67,recreation_v2_common_3!L67,recreation_v2_common_2!L67,recreation_v2_common_1!L67),0))</f>
        <v>1</v>
      </c>
      <c r="M67">
        <f>IF($D67=0,"NA",ROUND(SUM(recreation_v2_common_5!M67,recreation_v2_common_4!M67,recreation_v2_common_3!M67,recreation_v2_common_2!M67,recreation_v2_common_1!M67)/COUNT(recreation_v2_common_5!M67,recreation_v2_common_4!M67,recreation_v2_common_3!M67,recreation_v2_common_2!M67,recreation_v2_common_1!M67),0))</f>
        <v>1</v>
      </c>
      <c r="N67">
        <f>IF($D67=0,"NA",ROUND(SUM(recreation_v2_common_5!N67,recreation_v2_common_4!N67,recreation_v2_common_3!N67,recreation_v2_common_2!N67,recreation_v2_common_1!N67)/COUNT(recreation_v2_common_5!N67,recreation_v2_common_4!N67,recreation_v2_common_3!N67,recreation_v2_common_2!N67,recreation_v2_common_1!N67),0))</f>
        <v>1</v>
      </c>
      <c r="O67">
        <v>2.9876267910003662</v>
      </c>
    </row>
    <row r="68" spans="1:15" x14ac:dyDescent="0.25">
      <c r="A68" t="s">
        <v>202</v>
      </c>
      <c r="B68" t="s">
        <v>96</v>
      </c>
      <c r="C68">
        <v>0</v>
      </c>
      <c r="D68">
        <f>ROUND(SUM(recreation_v2_common_5!D68,recreation_v2_common_4!D68,recreation_v2_common_3!D68,recreation_v2_common_2!D68,recreation_v2_common_1!D68)/COUNT(recreation_v2_common_5!D68,recreation_v2_common_4!D68,recreation_v2_common_3!D68,recreation_v2_common_2!D68,recreation_v2_common_1!D68),0)</f>
        <v>1</v>
      </c>
      <c r="E68">
        <f>IF($D68=0,"NA",ROUND(SUM(recreation_v2_common_5!E68,recreation_v2_common_4!E68,recreation_v2_common_3!E68,recreation_v2_common_2!E68,recreation_v2_common_1!E68)/COUNT(recreation_v2_common_5!E68,recreation_v2_common_4!E68,recreation_v2_common_3!E68,recreation_v2_common_2!E68,recreation_v2_common_1!E68),0))</f>
        <v>1</v>
      </c>
      <c r="F68">
        <f>IF($D68=0,"NA",ROUND(SUM(recreation_v2_common_5!F68,recreation_v2_common_4!F68,recreation_v2_common_3!F68,recreation_v2_common_2!F68,recreation_v2_common_1!F68)/COUNT(recreation_v2_common_5!F68,recreation_v2_common_4!F68,recreation_v2_common_3!F68,recreation_v2_common_2!F68,recreation_v2_common_1!F68),0))</f>
        <v>1</v>
      </c>
      <c r="G68">
        <f>IF($D68=0,"NA",ROUND(SUM(recreation_v2_common_5!G68,recreation_v2_common_4!G68,recreation_v2_common_3!G68,recreation_v2_common_2!G68,recreation_v2_common_1!G68)/COUNT(recreation_v2_common_5!G68,recreation_v2_common_4!G68,recreation_v2_common_3!G68,recreation_v2_common_2!G68,recreation_v2_common_1!G68),0))</f>
        <v>1</v>
      </c>
      <c r="H68">
        <f>IF(E68=1, ROUND(SUM(recreation_v2_common_5!H68,recreation_v2_common_4!H68,recreation_v2_common_3!H68,recreation_v2_common_2!H68,recreation_v2_common_1!H68)/COUNT(recreation_v2_common_5!H68,recreation_v2_common_4!H68,recreation_v2_common_3!H68,recreation_v2_common_2!H68,recreation_v2_common_1!H68),0),"NA")</f>
        <v>1</v>
      </c>
      <c r="I68">
        <f>IF($D68=0,"NA",ROUND(SUM(recreation_v2_common_5!I68,recreation_v2_common_4!I68,recreation_v2_common_3!I68,recreation_v2_common_2!I68,recreation_v2_common_1!I68)/COUNT(recreation_v2_common_5!I68,recreation_v2_common_4!I68,recreation_v2_common_3!I68,recreation_v2_common_2!I68,recreation_v2_common_1!I68),0))</f>
        <v>1</v>
      </c>
      <c r="J68">
        <f>IF(AND(E68 = 1, F68 = 1),ROUND(SUM(recreation_v2_common_5!J68,recreation_v2_common_4!J68,recreation_v2_common_3!J68,recreation_v2_common_2!J68,recreation_v2_common_1!J68)/COUNT(recreation_v2_common_5!J68,recreation_v2_common_4!J68,recreation_v2_common_3!J68,recreation_v2_common_2!J68,recreation_v2_common_1!J68),0),"NA")</f>
        <v>1</v>
      </c>
      <c r="K68">
        <f>IF($D68=0,"NA",ROUND(SUM(recreation_v2_common_5!K68,recreation_v2_common_4!K68,recreation_v2_common_3!K68,recreation_v2_common_2!K68,recreation_v2_common_1!K68)/COUNT(recreation_v2_common_5!K68,recreation_v2_common_4!K68,recreation_v2_common_3!K68,recreation_v2_common_2!K68,recreation_v2_common_1!K68),0))</f>
        <v>1</v>
      </c>
      <c r="L68">
        <f>IF($D68=0,"NA",ROUND(SUM(recreation_v2_common_5!L68,recreation_v2_common_4!L68,recreation_v2_common_3!L68,recreation_v2_common_2!L68,recreation_v2_common_1!L68)/COUNT(recreation_v2_common_5!L68,recreation_v2_common_4!L68,recreation_v2_common_3!L68,recreation_v2_common_2!L68,recreation_v2_common_1!L68),0))</f>
        <v>1</v>
      </c>
      <c r="M68">
        <f>IF($D68=0,"NA",ROUND(SUM(recreation_v2_common_5!M68,recreation_v2_common_4!M68,recreation_v2_common_3!M68,recreation_v2_common_2!M68,recreation_v2_common_1!M68)/COUNT(recreation_v2_common_5!M68,recreation_v2_common_4!M68,recreation_v2_common_3!M68,recreation_v2_common_2!M68,recreation_v2_common_1!M68),0))</f>
        <v>1</v>
      </c>
      <c r="N68">
        <f>IF($D68=0,"NA",ROUND(SUM(recreation_v2_common_5!N68,recreation_v2_common_4!N68,recreation_v2_common_3!N68,recreation_v2_common_2!N68,recreation_v2_common_1!N68)/COUNT(recreation_v2_common_5!N68,recreation_v2_common_4!N68,recreation_v2_common_3!N68,recreation_v2_common_2!N68,recreation_v2_common_1!N68),0))</f>
        <v>1</v>
      </c>
      <c r="O68">
        <v>1.7174315452575679</v>
      </c>
    </row>
    <row r="69" spans="1:15" x14ac:dyDescent="0.25">
      <c r="A69" t="s">
        <v>202</v>
      </c>
      <c r="B69" t="s">
        <v>97</v>
      </c>
      <c r="C69">
        <v>0</v>
      </c>
      <c r="D69">
        <f>ROUND(SUM(recreation_v2_common_5!D69,recreation_v2_common_4!D69,recreation_v2_common_3!D69,recreation_v2_common_2!D69,recreation_v2_common_1!D69)/COUNT(recreation_v2_common_5!D69,recreation_v2_common_4!D69,recreation_v2_common_3!D69,recreation_v2_common_2!D69,recreation_v2_common_1!D69),0)</f>
        <v>1</v>
      </c>
      <c r="E69">
        <f>IF($D69=0,"NA",ROUND(SUM(recreation_v2_common_5!E69,recreation_v2_common_4!E69,recreation_v2_common_3!E69,recreation_v2_common_2!E69,recreation_v2_common_1!E69)/COUNT(recreation_v2_common_5!E69,recreation_v2_common_4!E69,recreation_v2_common_3!E69,recreation_v2_common_2!E69,recreation_v2_common_1!E69),0))</f>
        <v>1</v>
      </c>
      <c r="F69">
        <f>IF($D69=0,"NA",ROUND(SUM(recreation_v2_common_5!F69,recreation_v2_common_4!F69,recreation_v2_common_3!F69,recreation_v2_common_2!F69,recreation_v2_common_1!F69)/COUNT(recreation_v2_common_5!F69,recreation_v2_common_4!F69,recreation_v2_common_3!F69,recreation_v2_common_2!F69,recreation_v2_common_1!F69),0))</f>
        <v>1</v>
      </c>
      <c r="G69">
        <f>IF($D69=0,"NA",ROUND(SUM(recreation_v2_common_5!G69,recreation_v2_common_4!G69,recreation_v2_common_3!G69,recreation_v2_common_2!G69,recreation_v2_common_1!G69)/COUNT(recreation_v2_common_5!G69,recreation_v2_common_4!G69,recreation_v2_common_3!G69,recreation_v2_common_2!G69,recreation_v2_common_1!G69),0))</f>
        <v>1</v>
      </c>
      <c r="H69">
        <f>IF(E69=1, ROUND(SUM(recreation_v2_common_5!H69,recreation_v2_common_4!H69,recreation_v2_common_3!H69,recreation_v2_common_2!H69,recreation_v2_common_1!H69)/COUNT(recreation_v2_common_5!H69,recreation_v2_common_4!H69,recreation_v2_common_3!H69,recreation_v2_common_2!H69,recreation_v2_common_1!H69),0),"NA")</f>
        <v>1</v>
      </c>
      <c r="I69">
        <f>IF($D69=0,"NA",ROUND(SUM(recreation_v2_common_5!I69,recreation_v2_common_4!I69,recreation_v2_common_3!I69,recreation_v2_common_2!I69,recreation_v2_common_1!I69)/COUNT(recreation_v2_common_5!I69,recreation_v2_common_4!I69,recreation_v2_common_3!I69,recreation_v2_common_2!I69,recreation_v2_common_1!I69),0))</f>
        <v>1</v>
      </c>
      <c r="J69">
        <f>IF(AND(E69 = 1, F69 = 1),ROUND(SUM(recreation_v2_common_5!J69,recreation_v2_common_4!J69,recreation_v2_common_3!J69,recreation_v2_common_2!J69,recreation_v2_common_1!J69)/COUNT(recreation_v2_common_5!J69,recreation_v2_common_4!J69,recreation_v2_common_3!J69,recreation_v2_common_2!J69,recreation_v2_common_1!J69),0),"NA")</f>
        <v>1</v>
      </c>
      <c r="K69">
        <f>IF($D69=0,"NA",ROUND(SUM(recreation_v2_common_5!K69,recreation_v2_common_4!K69,recreation_v2_common_3!K69,recreation_v2_common_2!K69,recreation_v2_common_1!K69)/COUNT(recreation_v2_common_5!K69,recreation_v2_common_4!K69,recreation_v2_common_3!K69,recreation_v2_common_2!K69,recreation_v2_common_1!K69),0))</f>
        <v>1</v>
      </c>
      <c r="L69">
        <f>IF($D69=0,"NA",ROUND(SUM(recreation_v2_common_5!L69,recreation_v2_common_4!L69,recreation_v2_common_3!L69,recreation_v2_common_2!L69,recreation_v2_common_1!L69)/COUNT(recreation_v2_common_5!L69,recreation_v2_common_4!L69,recreation_v2_common_3!L69,recreation_v2_common_2!L69,recreation_v2_common_1!L69),0))</f>
        <v>1</v>
      </c>
      <c r="M69">
        <f>IF($D69=0,"NA",ROUND(SUM(recreation_v2_common_5!M69,recreation_v2_common_4!M69,recreation_v2_common_3!M69,recreation_v2_common_2!M69,recreation_v2_common_1!M69)/COUNT(recreation_v2_common_5!M69,recreation_v2_common_4!M69,recreation_v2_common_3!M69,recreation_v2_common_2!M69,recreation_v2_common_1!M69),0))</f>
        <v>1</v>
      </c>
      <c r="N69">
        <f>IF($D69=0,"NA",ROUND(SUM(recreation_v2_common_5!N69,recreation_v2_common_4!N69,recreation_v2_common_3!N69,recreation_v2_common_2!N69,recreation_v2_common_1!N69)/COUNT(recreation_v2_common_5!N69,recreation_v2_common_4!N69,recreation_v2_common_3!N69,recreation_v2_common_2!N69,recreation_v2_common_1!N69),0))</f>
        <v>1</v>
      </c>
      <c r="O69">
        <v>1.544497489929199</v>
      </c>
    </row>
    <row r="70" spans="1:15" x14ac:dyDescent="0.25">
      <c r="A70" t="s">
        <v>202</v>
      </c>
      <c r="B70" t="s">
        <v>98</v>
      </c>
      <c r="C70">
        <v>0</v>
      </c>
      <c r="D70">
        <f>ROUND(SUM(recreation_v2_common_5!D70,recreation_v2_common_4!D70,recreation_v2_common_3!D70,recreation_v2_common_2!D70,recreation_v2_common_1!D70)/COUNT(recreation_v2_common_5!D70,recreation_v2_common_4!D70,recreation_v2_common_3!D70,recreation_v2_common_2!D70,recreation_v2_common_1!D70),0)</f>
        <v>1</v>
      </c>
      <c r="E70">
        <f>IF($D70=0,"NA",ROUND(SUM(recreation_v2_common_5!E70,recreation_v2_common_4!E70,recreation_v2_common_3!E70,recreation_v2_common_2!E70,recreation_v2_common_1!E70)/COUNT(recreation_v2_common_5!E70,recreation_v2_common_4!E70,recreation_v2_common_3!E70,recreation_v2_common_2!E70,recreation_v2_common_1!E70),0))</f>
        <v>1</v>
      </c>
      <c r="F70">
        <f>IF($D70=0,"NA",ROUND(SUM(recreation_v2_common_5!F70,recreation_v2_common_4!F70,recreation_v2_common_3!F70,recreation_v2_common_2!F70,recreation_v2_common_1!F70)/COUNT(recreation_v2_common_5!F70,recreation_v2_common_4!F70,recreation_v2_common_3!F70,recreation_v2_common_2!F70,recreation_v2_common_1!F70),0))</f>
        <v>1</v>
      </c>
      <c r="G70">
        <f>IF($D70=0,"NA",ROUND(SUM(recreation_v2_common_5!G70,recreation_v2_common_4!G70,recreation_v2_common_3!G70,recreation_v2_common_2!G70,recreation_v2_common_1!G70)/COUNT(recreation_v2_common_5!G70,recreation_v2_common_4!G70,recreation_v2_common_3!G70,recreation_v2_common_2!G70,recreation_v2_common_1!G70),0))</f>
        <v>1</v>
      </c>
      <c r="H70">
        <f>IF(E70=1, ROUND(SUM(recreation_v2_common_5!H70,recreation_v2_common_4!H70,recreation_v2_common_3!H70,recreation_v2_common_2!H70,recreation_v2_common_1!H70)/COUNT(recreation_v2_common_5!H70,recreation_v2_common_4!H70,recreation_v2_common_3!H70,recreation_v2_common_2!H70,recreation_v2_common_1!H70),0),"NA")</f>
        <v>1</v>
      </c>
      <c r="I70">
        <f>IF($D70=0,"NA",ROUND(SUM(recreation_v2_common_5!I70,recreation_v2_common_4!I70,recreation_v2_common_3!I70,recreation_v2_common_2!I70,recreation_v2_common_1!I70)/COUNT(recreation_v2_common_5!I70,recreation_v2_common_4!I70,recreation_v2_common_3!I70,recreation_v2_common_2!I70,recreation_v2_common_1!I70),0))</f>
        <v>1</v>
      </c>
      <c r="J70">
        <f>IF(AND(E70 = 1, F70 = 1),ROUND(SUM(recreation_v2_common_5!J70,recreation_v2_common_4!J70,recreation_v2_common_3!J70,recreation_v2_common_2!J70,recreation_v2_common_1!J70)/COUNT(recreation_v2_common_5!J70,recreation_v2_common_4!J70,recreation_v2_common_3!J70,recreation_v2_common_2!J70,recreation_v2_common_1!J70),0),"NA")</f>
        <v>1</v>
      </c>
      <c r="K70">
        <f>IF($D70=0,"NA",ROUND(SUM(recreation_v2_common_5!K70,recreation_v2_common_4!K70,recreation_v2_common_3!K70,recreation_v2_common_2!K70,recreation_v2_common_1!K70)/COUNT(recreation_v2_common_5!K70,recreation_v2_common_4!K70,recreation_v2_common_3!K70,recreation_v2_common_2!K70,recreation_v2_common_1!K70),0))</f>
        <v>1</v>
      </c>
      <c r="L70">
        <f>IF($D70=0,"NA",ROUND(SUM(recreation_v2_common_5!L70,recreation_v2_common_4!L70,recreation_v2_common_3!L70,recreation_v2_common_2!L70,recreation_v2_common_1!L70)/COUNT(recreation_v2_common_5!L70,recreation_v2_common_4!L70,recreation_v2_common_3!L70,recreation_v2_common_2!L70,recreation_v2_common_1!L70),0))</f>
        <v>1</v>
      </c>
      <c r="M70">
        <f>IF($D70=0,"NA",ROUND(SUM(recreation_v2_common_5!M70,recreation_v2_common_4!M70,recreation_v2_common_3!M70,recreation_v2_common_2!M70,recreation_v2_common_1!M70)/COUNT(recreation_v2_common_5!M70,recreation_v2_common_4!M70,recreation_v2_common_3!M70,recreation_v2_common_2!M70,recreation_v2_common_1!M70),0))</f>
        <v>1</v>
      </c>
      <c r="N70">
        <f>IF($D70=0,"NA",ROUND(SUM(recreation_v2_common_5!N70,recreation_v2_common_4!N70,recreation_v2_common_3!N70,recreation_v2_common_2!N70,recreation_v2_common_1!N70)/COUNT(recreation_v2_common_5!N70,recreation_v2_common_4!N70,recreation_v2_common_3!N70,recreation_v2_common_2!N70,recreation_v2_common_1!N70),0))</f>
        <v>1</v>
      </c>
      <c r="O70">
        <v>1.4391300678253169</v>
      </c>
    </row>
    <row r="71" spans="1:15" x14ac:dyDescent="0.25">
      <c r="A71" t="s">
        <v>202</v>
      </c>
      <c r="B71" t="s">
        <v>99</v>
      </c>
      <c r="C71">
        <v>0</v>
      </c>
      <c r="D71">
        <f>ROUND(SUM(recreation_v2_common_5!D71,recreation_v2_common_4!D71,recreation_v2_common_3!D71,recreation_v2_common_2!D71,recreation_v2_common_1!D71)/COUNT(recreation_v2_common_5!D71,recreation_v2_common_4!D71,recreation_v2_common_3!D71,recreation_v2_common_2!D71,recreation_v2_common_1!D71),0)</f>
        <v>1</v>
      </c>
      <c r="E71">
        <f>IF($D71=0,"NA",ROUND(SUM(recreation_v2_common_5!E71,recreation_v2_common_4!E71,recreation_v2_common_3!E71,recreation_v2_common_2!E71,recreation_v2_common_1!E71)/COUNT(recreation_v2_common_5!E71,recreation_v2_common_4!E71,recreation_v2_common_3!E71,recreation_v2_common_2!E71,recreation_v2_common_1!E71),0))</f>
        <v>1</v>
      </c>
      <c r="F71">
        <f>IF($D71=0,"NA",ROUND(SUM(recreation_v2_common_5!F71,recreation_v2_common_4!F71,recreation_v2_common_3!F71,recreation_v2_common_2!F71,recreation_v2_common_1!F71)/COUNT(recreation_v2_common_5!F71,recreation_v2_common_4!F71,recreation_v2_common_3!F71,recreation_v2_common_2!F71,recreation_v2_common_1!F71),0))</f>
        <v>1</v>
      </c>
      <c r="G71">
        <f>IF($D71=0,"NA",ROUND(SUM(recreation_v2_common_5!G71,recreation_v2_common_4!G71,recreation_v2_common_3!G71,recreation_v2_common_2!G71,recreation_v2_common_1!G71)/COUNT(recreation_v2_common_5!G71,recreation_v2_common_4!G71,recreation_v2_common_3!G71,recreation_v2_common_2!G71,recreation_v2_common_1!G71),0))</f>
        <v>1</v>
      </c>
      <c r="H71">
        <f>IF(E71=1, ROUND(SUM(recreation_v2_common_5!H71,recreation_v2_common_4!H71,recreation_v2_common_3!H71,recreation_v2_common_2!H71,recreation_v2_common_1!H71)/COUNT(recreation_v2_common_5!H71,recreation_v2_common_4!H71,recreation_v2_common_3!H71,recreation_v2_common_2!H71,recreation_v2_common_1!H71),0),"NA")</f>
        <v>1</v>
      </c>
      <c r="I71">
        <f>IF($D71=0,"NA",ROUND(SUM(recreation_v2_common_5!I71,recreation_v2_common_4!I71,recreation_v2_common_3!I71,recreation_v2_common_2!I71,recreation_v2_common_1!I71)/COUNT(recreation_v2_common_5!I71,recreation_v2_common_4!I71,recreation_v2_common_3!I71,recreation_v2_common_2!I71,recreation_v2_common_1!I71),0))</f>
        <v>1</v>
      </c>
      <c r="J71">
        <f>IF(AND(E71 = 1, F71 = 1),ROUND(SUM(recreation_v2_common_5!J71,recreation_v2_common_4!J71,recreation_v2_common_3!J71,recreation_v2_common_2!J71,recreation_v2_common_1!J71)/COUNT(recreation_v2_common_5!J71,recreation_v2_common_4!J71,recreation_v2_common_3!J71,recreation_v2_common_2!J71,recreation_v2_common_1!J71),0),"NA")</f>
        <v>1</v>
      </c>
      <c r="K71">
        <f>IF($D71=0,"NA",ROUND(SUM(recreation_v2_common_5!K71,recreation_v2_common_4!K71,recreation_v2_common_3!K71,recreation_v2_common_2!K71,recreation_v2_common_1!K71)/COUNT(recreation_v2_common_5!K71,recreation_v2_common_4!K71,recreation_v2_common_3!K71,recreation_v2_common_2!K71,recreation_v2_common_1!K71),0))</f>
        <v>1</v>
      </c>
      <c r="L71">
        <f>IF($D71=0,"NA",ROUND(SUM(recreation_v2_common_5!L71,recreation_v2_common_4!L71,recreation_v2_common_3!L71,recreation_v2_common_2!L71,recreation_v2_common_1!L71)/COUNT(recreation_v2_common_5!L71,recreation_v2_common_4!L71,recreation_v2_common_3!L71,recreation_v2_common_2!L71,recreation_v2_common_1!L71),0))</f>
        <v>1</v>
      </c>
      <c r="M71">
        <f>IF($D71=0,"NA",ROUND(SUM(recreation_v2_common_5!M71,recreation_v2_common_4!M71,recreation_v2_common_3!M71,recreation_v2_common_2!M71,recreation_v2_common_1!M71)/COUNT(recreation_v2_common_5!M71,recreation_v2_common_4!M71,recreation_v2_common_3!M71,recreation_v2_common_2!M71,recreation_v2_common_1!M71),0))</f>
        <v>1</v>
      </c>
      <c r="N71">
        <f>IF($D71=0,"NA",ROUND(SUM(recreation_v2_common_5!N71,recreation_v2_common_4!N71,recreation_v2_common_3!N71,recreation_v2_common_2!N71,recreation_v2_common_1!N71)/COUNT(recreation_v2_common_5!N71,recreation_v2_common_4!N71,recreation_v2_common_3!N71,recreation_v2_common_2!N71,recreation_v2_common_1!N71),0))</f>
        <v>1</v>
      </c>
      <c r="O71">
        <v>2.450847864151001</v>
      </c>
    </row>
    <row r="72" spans="1:15" x14ac:dyDescent="0.25">
      <c r="A72" t="s">
        <v>202</v>
      </c>
      <c r="B72" t="s">
        <v>100</v>
      </c>
      <c r="C72">
        <v>0</v>
      </c>
      <c r="D72">
        <f>ROUND(SUM(recreation_v2_common_5!D72,recreation_v2_common_4!D72,recreation_v2_common_3!D72,recreation_v2_common_2!D72,recreation_v2_common_1!D72)/COUNT(recreation_v2_common_5!D72,recreation_v2_common_4!D72,recreation_v2_common_3!D72,recreation_v2_common_2!D72,recreation_v2_common_1!D72),0)</f>
        <v>1</v>
      </c>
      <c r="E72">
        <f>IF($D72=0,"NA",ROUND(SUM(recreation_v2_common_5!E72,recreation_v2_common_4!E72,recreation_v2_common_3!E72,recreation_v2_common_2!E72,recreation_v2_common_1!E72)/COUNT(recreation_v2_common_5!E72,recreation_v2_common_4!E72,recreation_v2_common_3!E72,recreation_v2_common_2!E72,recreation_v2_common_1!E72),0))</f>
        <v>1</v>
      </c>
      <c r="F72">
        <f>IF($D72=0,"NA",ROUND(SUM(recreation_v2_common_5!F72,recreation_v2_common_4!F72,recreation_v2_common_3!F72,recreation_v2_common_2!F72,recreation_v2_common_1!F72)/COUNT(recreation_v2_common_5!F72,recreation_v2_common_4!F72,recreation_v2_common_3!F72,recreation_v2_common_2!F72,recreation_v2_common_1!F72),0))</f>
        <v>1</v>
      </c>
      <c r="G72">
        <f>IF($D72=0,"NA",ROUND(SUM(recreation_v2_common_5!G72,recreation_v2_common_4!G72,recreation_v2_common_3!G72,recreation_v2_common_2!G72,recreation_v2_common_1!G72)/COUNT(recreation_v2_common_5!G72,recreation_v2_common_4!G72,recreation_v2_common_3!G72,recreation_v2_common_2!G72,recreation_v2_common_1!G72),0))</f>
        <v>1</v>
      </c>
      <c r="H72">
        <f>IF(E72=1, ROUND(SUM(recreation_v2_common_5!H72,recreation_v2_common_4!H72,recreation_v2_common_3!H72,recreation_v2_common_2!H72,recreation_v2_common_1!H72)/COUNT(recreation_v2_common_5!H72,recreation_v2_common_4!H72,recreation_v2_common_3!H72,recreation_v2_common_2!H72,recreation_v2_common_1!H72),0),"NA")</f>
        <v>1</v>
      </c>
      <c r="I72">
        <f>IF($D72=0,"NA",ROUND(SUM(recreation_v2_common_5!I72,recreation_v2_common_4!I72,recreation_v2_common_3!I72,recreation_v2_common_2!I72,recreation_v2_common_1!I72)/COUNT(recreation_v2_common_5!I72,recreation_v2_common_4!I72,recreation_v2_common_3!I72,recreation_v2_common_2!I72,recreation_v2_common_1!I72),0))</f>
        <v>1</v>
      </c>
      <c r="J72">
        <f>IF(AND(E72 = 1, F72 = 1),ROUND(SUM(recreation_v2_common_5!J72,recreation_v2_common_4!J72,recreation_v2_common_3!J72,recreation_v2_common_2!J72,recreation_v2_common_1!J72)/COUNT(recreation_v2_common_5!J72,recreation_v2_common_4!J72,recreation_v2_common_3!J72,recreation_v2_common_2!J72,recreation_v2_common_1!J72),0),"NA")</f>
        <v>1</v>
      </c>
      <c r="K72">
        <f>IF($D72=0,"NA",ROUND(SUM(recreation_v2_common_5!K72,recreation_v2_common_4!K72,recreation_v2_common_3!K72,recreation_v2_common_2!K72,recreation_v2_common_1!K72)/COUNT(recreation_v2_common_5!K72,recreation_v2_common_4!K72,recreation_v2_common_3!K72,recreation_v2_common_2!K72,recreation_v2_common_1!K72),0))</f>
        <v>1</v>
      </c>
      <c r="L72">
        <f>IF($D72=0,"NA",ROUND(SUM(recreation_v2_common_5!L72,recreation_v2_common_4!L72,recreation_v2_common_3!L72,recreation_v2_common_2!L72,recreation_v2_common_1!L72)/COUNT(recreation_v2_common_5!L72,recreation_v2_common_4!L72,recreation_v2_common_3!L72,recreation_v2_common_2!L72,recreation_v2_common_1!L72),0))</f>
        <v>1</v>
      </c>
      <c r="M72">
        <f>IF($D72=0,"NA",ROUND(SUM(recreation_v2_common_5!M72,recreation_v2_common_4!M72,recreation_v2_common_3!M72,recreation_v2_common_2!M72,recreation_v2_common_1!M72)/COUNT(recreation_v2_common_5!M72,recreation_v2_common_4!M72,recreation_v2_common_3!M72,recreation_v2_common_2!M72,recreation_v2_common_1!M72),0))</f>
        <v>1</v>
      </c>
      <c r="N72">
        <f>IF($D72=0,"NA",ROUND(SUM(recreation_v2_common_5!N72,recreation_v2_common_4!N72,recreation_v2_common_3!N72,recreation_v2_common_2!N72,recreation_v2_common_1!N72)/COUNT(recreation_v2_common_5!N72,recreation_v2_common_4!N72,recreation_v2_common_3!N72,recreation_v2_common_2!N72,recreation_v2_common_1!N72),0))</f>
        <v>1</v>
      </c>
      <c r="O72">
        <v>1.7492237091064451</v>
      </c>
    </row>
    <row r="73" spans="1:15" x14ac:dyDescent="0.25">
      <c r="A73" t="s">
        <v>202</v>
      </c>
      <c r="B73" t="s">
        <v>101</v>
      </c>
      <c r="C73">
        <v>0</v>
      </c>
      <c r="D73">
        <f>ROUND(SUM(recreation_v2_common_5!D73,recreation_v2_common_4!D73,recreation_v2_common_3!D73,recreation_v2_common_2!D73,recreation_v2_common_1!D73)/COUNT(recreation_v2_common_5!D73,recreation_v2_common_4!D73,recreation_v2_common_3!D73,recreation_v2_common_2!D73,recreation_v2_common_1!D73),0)</f>
        <v>1</v>
      </c>
      <c r="E73">
        <f>IF($D73=0,"NA",ROUND(SUM(recreation_v2_common_5!E73,recreation_v2_common_4!E73,recreation_v2_common_3!E73,recreation_v2_common_2!E73,recreation_v2_common_1!E73)/COUNT(recreation_v2_common_5!E73,recreation_v2_common_4!E73,recreation_v2_common_3!E73,recreation_v2_common_2!E73,recreation_v2_common_1!E73),0))</f>
        <v>1</v>
      </c>
      <c r="F73">
        <f>IF($D73=0,"NA",ROUND(SUM(recreation_v2_common_5!F73,recreation_v2_common_4!F73,recreation_v2_common_3!F73,recreation_v2_common_2!F73,recreation_v2_common_1!F73)/COUNT(recreation_v2_common_5!F73,recreation_v2_common_4!F73,recreation_v2_common_3!F73,recreation_v2_common_2!F73,recreation_v2_common_1!F73),0))</f>
        <v>1</v>
      </c>
      <c r="G73">
        <f>IF($D73=0,"NA",ROUND(SUM(recreation_v2_common_5!G73,recreation_v2_common_4!G73,recreation_v2_common_3!G73,recreation_v2_common_2!G73,recreation_v2_common_1!G73)/COUNT(recreation_v2_common_5!G73,recreation_v2_common_4!G73,recreation_v2_common_3!G73,recreation_v2_common_2!G73,recreation_v2_common_1!G73),0))</f>
        <v>1</v>
      </c>
      <c r="H73">
        <f>IF(E73=1, ROUND(SUM(recreation_v2_common_5!H73,recreation_v2_common_4!H73,recreation_v2_common_3!H73,recreation_v2_common_2!H73,recreation_v2_common_1!H73)/COUNT(recreation_v2_common_5!H73,recreation_v2_common_4!H73,recreation_v2_common_3!H73,recreation_v2_common_2!H73,recreation_v2_common_1!H73),0),"NA")</f>
        <v>1</v>
      </c>
      <c r="I73">
        <f>IF($D73=0,"NA",ROUND(SUM(recreation_v2_common_5!I73,recreation_v2_common_4!I73,recreation_v2_common_3!I73,recreation_v2_common_2!I73,recreation_v2_common_1!I73)/COUNT(recreation_v2_common_5!I73,recreation_v2_common_4!I73,recreation_v2_common_3!I73,recreation_v2_common_2!I73,recreation_v2_common_1!I73),0))</f>
        <v>1</v>
      </c>
      <c r="J73">
        <f>IF(AND(E73 = 1, F73 = 1),ROUND(SUM(recreation_v2_common_5!J73,recreation_v2_common_4!J73,recreation_v2_common_3!J73,recreation_v2_common_2!J73,recreation_v2_common_1!J73)/COUNT(recreation_v2_common_5!J73,recreation_v2_common_4!J73,recreation_v2_common_3!J73,recreation_v2_common_2!J73,recreation_v2_common_1!J73),0),"NA")</f>
        <v>1</v>
      </c>
      <c r="K73">
        <f>IF($D73=0,"NA",ROUND(SUM(recreation_v2_common_5!K73,recreation_v2_common_4!K73,recreation_v2_common_3!K73,recreation_v2_common_2!K73,recreation_v2_common_1!K73)/COUNT(recreation_v2_common_5!K73,recreation_v2_common_4!K73,recreation_v2_common_3!K73,recreation_v2_common_2!K73,recreation_v2_common_1!K73),0))</f>
        <v>1</v>
      </c>
      <c r="L73">
        <f>IF($D73=0,"NA",ROUND(SUM(recreation_v2_common_5!L73,recreation_v2_common_4!L73,recreation_v2_common_3!L73,recreation_v2_common_2!L73,recreation_v2_common_1!L73)/COUNT(recreation_v2_common_5!L73,recreation_v2_common_4!L73,recreation_v2_common_3!L73,recreation_v2_common_2!L73,recreation_v2_common_1!L73),0))</f>
        <v>1</v>
      </c>
      <c r="M73">
        <f>IF($D73=0,"NA",ROUND(SUM(recreation_v2_common_5!M73,recreation_v2_common_4!M73,recreation_v2_common_3!M73,recreation_v2_common_2!M73,recreation_v2_common_1!M73)/COUNT(recreation_v2_common_5!M73,recreation_v2_common_4!M73,recreation_v2_common_3!M73,recreation_v2_common_2!M73,recreation_v2_common_1!M73),0))</f>
        <v>1</v>
      </c>
      <c r="N73">
        <f>IF($D73=0,"NA",ROUND(SUM(recreation_v2_common_5!N73,recreation_v2_common_4!N73,recreation_v2_common_3!N73,recreation_v2_common_2!N73,recreation_v2_common_1!N73)/COUNT(recreation_v2_common_5!N73,recreation_v2_common_4!N73,recreation_v2_common_3!N73,recreation_v2_common_2!N73,recreation_v2_common_1!N73),0))</f>
        <v>1</v>
      </c>
      <c r="O73">
        <v>1.528866291046143</v>
      </c>
    </row>
    <row r="74" spans="1:15" x14ac:dyDescent="0.25">
      <c r="A74" t="s">
        <v>202</v>
      </c>
      <c r="B74" t="s">
        <v>102</v>
      </c>
      <c r="C74">
        <v>0</v>
      </c>
      <c r="D74">
        <f>ROUND(SUM(recreation_v2_common_5!D74,recreation_v2_common_4!D74,recreation_v2_common_3!D74,recreation_v2_common_2!D74,recreation_v2_common_1!D74)/COUNT(recreation_v2_common_5!D74,recreation_v2_common_4!D74,recreation_v2_common_3!D74,recreation_v2_common_2!D74,recreation_v2_common_1!D74),0)</f>
        <v>1</v>
      </c>
      <c r="E74">
        <f>IF($D74=0,"NA",ROUND(SUM(recreation_v2_common_5!E74,recreation_v2_common_4!E74,recreation_v2_common_3!E74,recreation_v2_common_2!E74,recreation_v2_common_1!E74)/COUNT(recreation_v2_common_5!E74,recreation_v2_common_4!E74,recreation_v2_common_3!E74,recreation_v2_common_2!E74,recreation_v2_common_1!E74),0))</f>
        <v>1</v>
      </c>
      <c r="F74">
        <f>IF($D74=0,"NA",ROUND(SUM(recreation_v2_common_5!F74,recreation_v2_common_4!F74,recreation_v2_common_3!F74,recreation_v2_common_2!F74,recreation_v2_common_1!F74)/COUNT(recreation_v2_common_5!F74,recreation_v2_common_4!F74,recreation_v2_common_3!F74,recreation_v2_common_2!F74,recreation_v2_common_1!F74),0))</f>
        <v>1</v>
      </c>
      <c r="G74">
        <f>IF($D74=0,"NA",ROUND(SUM(recreation_v2_common_5!G74,recreation_v2_common_4!G74,recreation_v2_common_3!G74,recreation_v2_common_2!G74,recreation_v2_common_1!G74)/COUNT(recreation_v2_common_5!G74,recreation_v2_common_4!G74,recreation_v2_common_3!G74,recreation_v2_common_2!G74,recreation_v2_common_1!G74),0))</f>
        <v>1</v>
      </c>
      <c r="H74">
        <f>IF(E74=1, ROUND(SUM(recreation_v2_common_5!H74,recreation_v2_common_4!H74,recreation_v2_common_3!H74,recreation_v2_common_2!H74,recreation_v2_common_1!H74)/COUNT(recreation_v2_common_5!H74,recreation_v2_common_4!H74,recreation_v2_common_3!H74,recreation_v2_common_2!H74,recreation_v2_common_1!H74),0),"NA")</f>
        <v>1</v>
      </c>
      <c r="I74">
        <f>IF($D74=0,"NA",ROUND(SUM(recreation_v2_common_5!I74,recreation_v2_common_4!I74,recreation_v2_common_3!I74,recreation_v2_common_2!I74,recreation_v2_common_1!I74)/COUNT(recreation_v2_common_5!I74,recreation_v2_common_4!I74,recreation_v2_common_3!I74,recreation_v2_common_2!I74,recreation_v2_common_1!I74),0))</f>
        <v>1</v>
      </c>
      <c r="J74">
        <f>IF(AND(E74 = 1, F74 = 1),ROUND(SUM(recreation_v2_common_5!J74,recreation_v2_common_4!J74,recreation_v2_common_3!J74,recreation_v2_common_2!J74,recreation_v2_common_1!J74)/COUNT(recreation_v2_common_5!J74,recreation_v2_common_4!J74,recreation_v2_common_3!J74,recreation_v2_common_2!J74,recreation_v2_common_1!J74),0),"NA")</f>
        <v>1</v>
      </c>
      <c r="K74">
        <f>IF($D74=0,"NA",ROUND(SUM(recreation_v2_common_5!K74,recreation_v2_common_4!K74,recreation_v2_common_3!K74,recreation_v2_common_2!K74,recreation_v2_common_1!K74)/COUNT(recreation_v2_common_5!K74,recreation_v2_common_4!K74,recreation_v2_common_3!K74,recreation_v2_common_2!K74,recreation_v2_common_1!K74),0))</f>
        <v>1</v>
      </c>
      <c r="L74">
        <f>IF($D74=0,"NA",ROUND(SUM(recreation_v2_common_5!L74,recreation_v2_common_4!L74,recreation_v2_common_3!L74,recreation_v2_common_2!L74,recreation_v2_common_1!L74)/COUNT(recreation_v2_common_5!L74,recreation_v2_common_4!L74,recreation_v2_common_3!L74,recreation_v2_common_2!L74,recreation_v2_common_1!L74),0))</f>
        <v>1</v>
      </c>
      <c r="M74">
        <f>IF($D74=0,"NA",ROUND(SUM(recreation_v2_common_5!M74,recreation_v2_common_4!M74,recreation_v2_common_3!M74,recreation_v2_common_2!M74,recreation_v2_common_1!M74)/COUNT(recreation_v2_common_5!M74,recreation_v2_common_4!M74,recreation_v2_common_3!M74,recreation_v2_common_2!M74,recreation_v2_common_1!M74),0))</f>
        <v>1</v>
      </c>
      <c r="N74">
        <f>IF($D74=0,"NA",ROUND(SUM(recreation_v2_common_5!N74,recreation_v2_common_4!N74,recreation_v2_common_3!N74,recreation_v2_common_2!N74,recreation_v2_common_1!N74)/COUNT(recreation_v2_common_5!N74,recreation_v2_common_4!N74,recreation_v2_common_3!N74,recreation_v2_common_2!N74,recreation_v2_common_1!N74),0))</f>
        <v>1</v>
      </c>
      <c r="O74">
        <v>1.4307630062103269</v>
      </c>
    </row>
    <row r="75" spans="1:15" x14ac:dyDescent="0.25">
      <c r="A75" t="s">
        <v>202</v>
      </c>
      <c r="B75" t="s">
        <v>103</v>
      </c>
      <c r="C75">
        <v>0</v>
      </c>
      <c r="D75">
        <f>ROUND(SUM(recreation_v2_common_5!D75,recreation_v2_common_4!D75,recreation_v2_common_3!D75,recreation_v2_common_2!D75,recreation_v2_common_1!D75)/COUNT(recreation_v2_common_5!D75,recreation_v2_common_4!D75,recreation_v2_common_3!D75,recreation_v2_common_2!D75,recreation_v2_common_1!D75),0)</f>
        <v>1</v>
      </c>
      <c r="E75">
        <f>IF($D75=0,"NA",ROUND(SUM(recreation_v2_common_5!E75,recreation_v2_common_4!E75,recreation_v2_common_3!E75,recreation_v2_common_2!E75,recreation_v2_common_1!E75)/COUNT(recreation_v2_common_5!E75,recreation_v2_common_4!E75,recreation_v2_common_3!E75,recreation_v2_common_2!E75,recreation_v2_common_1!E75),0))</f>
        <v>1</v>
      </c>
      <c r="F75">
        <f>IF($D75=0,"NA",ROUND(SUM(recreation_v2_common_5!F75,recreation_v2_common_4!F75,recreation_v2_common_3!F75,recreation_v2_common_2!F75,recreation_v2_common_1!F75)/COUNT(recreation_v2_common_5!F75,recreation_v2_common_4!F75,recreation_v2_common_3!F75,recreation_v2_common_2!F75,recreation_v2_common_1!F75),0))</f>
        <v>1</v>
      </c>
      <c r="G75">
        <f>IF($D75=0,"NA",ROUND(SUM(recreation_v2_common_5!G75,recreation_v2_common_4!G75,recreation_v2_common_3!G75,recreation_v2_common_2!G75,recreation_v2_common_1!G75)/COUNT(recreation_v2_common_5!G75,recreation_v2_common_4!G75,recreation_v2_common_3!G75,recreation_v2_common_2!G75,recreation_v2_common_1!G75),0))</f>
        <v>1</v>
      </c>
      <c r="H75">
        <f>IF(E75=1, ROUND(SUM(recreation_v2_common_5!H75,recreation_v2_common_4!H75,recreation_v2_common_3!H75,recreation_v2_common_2!H75,recreation_v2_common_1!H75)/COUNT(recreation_v2_common_5!H75,recreation_v2_common_4!H75,recreation_v2_common_3!H75,recreation_v2_common_2!H75,recreation_v2_common_1!H75),0),"NA")</f>
        <v>1</v>
      </c>
      <c r="I75">
        <f>IF($D75=0,"NA",ROUND(SUM(recreation_v2_common_5!I75,recreation_v2_common_4!I75,recreation_v2_common_3!I75,recreation_v2_common_2!I75,recreation_v2_common_1!I75)/COUNT(recreation_v2_common_5!I75,recreation_v2_common_4!I75,recreation_v2_common_3!I75,recreation_v2_common_2!I75,recreation_v2_common_1!I75),0))</f>
        <v>1</v>
      </c>
      <c r="J75">
        <f>IF(AND(E75 = 1, F75 = 1),ROUND(SUM(recreation_v2_common_5!J75,recreation_v2_common_4!J75,recreation_v2_common_3!J75,recreation_v2_common_2!J75,recreation_v2_common_1!J75)/COUNT(recreation_v2_common_5!J75,recreation_v2_common_4!J75,recreation_v2_common_3!J75,recreation_v2_common_2!J75,recreation_v2_common_1!J75),0),"NA")</f>
        <v>1</v>
      </c>
      <c r="K75">
        <f>IF($D75=0,"NA",ROUND(SUM(recreation_v2_common_5!K75,recreation_v2_common_4!K75,recreation_v2_common_3!K75,recreation_v2_common_2!K75,recreation_v2_common_1!K75)/COUNT(recreation_v2_common_5!K75,recreation_v2_common_4!K75,recreation_v2_common_3!K75,recreation_v2_common_2!K75,recreation_v2_common_1!K75),0))</f>
        <v>1</v>
      </c>
      <c r="L75">
        <f>IF($D75=0,"NA",ROUND(SUM(recreation_v2_common_5!L75,recreation_v2_common_4!L75,recreation_v2_common_3!L75,recreation_v2_common_2!L75,recreation_v2_common_1!L75)/COUNT(recreation_v2_common_5!L75,recreation_v2_common_4!L75,recreation_v2_common_3!L75,recreation_v2_common_2!L75,recreation_v2_common_1!L75),0))</f>
        <v>1</v>
      </c>
      <c r="M75">
        <f>IF($D75=0,"NA",ROUND(SUM(recreation_v2_common_5!M75,recreation_v2_common_4!M75,recreation_v2_common_3!M75,recreation_v2_common_2!M75,recreation_v2_common_1!M75)/COUNT(recreation_v2_common_5!M75,recreation_v2_common_4!M75,recreation_v2_common_3!M75,recreation_v2_common_2!M75,recreation_v2_common_1!M75),0))</f>
        <v>1</v>
      </c>
      <c r="N75">
        <f>IF($D75=0,"NA",ROUND(SUM(recreation_v2_common_5!N75,recreation_v2_common_4!N75,recreation_v2_common_3!N75,recreation_v2_common_2!N75,recreation_v2_common_1!N75)/COUNT(recreation_v2_common_5!N75,recreation_v2_common_4!N75,recreation_v2_common_3!N75,recreation_v2_common_2!N75,recreation_v2_common_1!N75),0))</f>
        <v>1</v>
      </c>
      <c r="O75">
        <v>1.435486316680908</v>
      </c>
    </row>
    <row r="76" spans="1:15" x14ac:dyDescent="0.25">
      <c r="A76" t="s">
        <v>202</v>
      </c>
      <c r="B76" t="s">
        <v>104</v>
      </c>
      <c r="C76">
        <v>0</v>
      </c>
      <c r="D76">
        <f>ROUND(SUM(recreation_v2_common_5!D76,recreation_v2_common_4!D76,recreation_v2_common_3!D76,recreation_v2_common_2!D76,recreation_v2_common_1!D76)/COUNT(recreation_v2_common_5!D76,recreation_v2_common_4!D76,recreation_v2_common_3!D76,recreation_v2_common_2!D76,recreation_v2_common_1!D76),0)</f>
        <v>1</v>
      </c>
      <c r="E76">
        <f>IF($D76=0,"NA",ROUND(SUM(recreation_v2_common_5!E76,recreation_v2_common_4!E76,recreation_v2_common_3!E76,recreation_v2_common_2!E76,recreation_v2_common_1!E76)/COUNT(recreation_v2_common_5!E76,recreation_v2_common_4!E76,recreation_v2_common_3!E76,recreation_v2_common_2!E76,recreation_v2_common_1!E76),0))</f>
        <v>1</v>
      </c>
      <c r="F76">
        <f>IF($D76=0,"NA",ROUND(SUM(recreation_v2_common_5!F76,recreation_v2_common_4!F76,recreation_v2_common_3!F76,recreation_v2_common_2!F76,recreation_v2_common_1!F76)/COUNT(recreation_v2_common_5!F76,recreation_v2_common_4!F76,recreation_v2_common_3!F76,recreation_v2_common_2!F76,recreation_v2_common_1!F76),0))</f>
        <v>1</v>
      </c>
      <c r="G76">
        <f>IF($D76=0,"NA",ROUND(SUM(recreation_v2_common_5!G76,recreation_v2_common_4!G76,recreation_v2_common_3!G76,recreation_v2_common_2!G76,recreation_v2_common_1!G76)/COUNT(recreation_v2_common_5!G76,recreation_v2_common_4!G76,recreation_v2_common_3!G76,recreation_v2_common_2!G76,recreation_v2_common_1!G76),0))</f>
        <v>1</v>
      </c>
      <c r="H76">
        <f>IF(E76=1, ROUND(SUM(recreation_v2_common_5!H76,recreation_v2_common_4!H76,recreation_v2_common_3!H76,recreation_v2_common_2!H76,recreation_v2_common_1!H76)/COUNT(recreation_v2_common_5!H76,recreation_v2_common_4!H76,recreation_v2_common_3!H76,recreation_v2_common_2!H76,recreation_v2_common_1!H76),0),"NA")</f>
        <v>1</v>
      </c>
      <c r="I76">
        <f>IF($D76=0,"NA",ROUND(SUM(recreation_v2_common_5!I76,recreation_v2_common_4!I76,recreation_v2_common_3!I76,recreation_v2_common_2!I76,recreation_v2_common_1!I76)/COUNT(recreation_v2_common_5!I76,recreation_v2_common_4!I76,recreation_v2_common_3!I76,recreation_v2_common_2!I76,recreation_v2_common_1!I76),0))</f>
        <v>1</v>
      </c>
      <c r="J76">
        <f>IF(AND(E76 = 1, F76 = 1),ROUND(SUM(recreation_v2_common_5!J76,recreation_v2_common_4!J76,recreation_v2_common_3!J76,recreation_v2_common_2!J76,recreation_v2_common_1!J76)/COUNT(recreation_v2_common_5!J76,recreation_v2_common_4!J76,recreation_v2_common_3!J76,recreation_v2_common_2!J76,recreation_v2_common_1!J76),0),"NA")</f>
        <v>1</v>
      </c>
      <c r="K76">
        <f>IF($D76=0,"NA",ROUND(SUM(recreation_v2_common_5!K76,recreation_v2_common_4!K76,recreation_v2_common_3!K76,recreation_v2_common_2!K76,recreation_v2_common_1!K76)/COUNT(recreation_v2_common_5!K76,recreation_v2_common_4!K76,recreation_v2_common_3!K76,recreation_v2_common_2!K76,recreation_v2_common_1!K76),0))</f>
        <v>1</v>
      </c>
      <c r="L76">
        <f>IF($D76=0,"NA",ROUND(SUM(recreation_v2_common_5!L76,recreation_v2_common_4!L76,recreation_v2_common_3!L76,recreation_v2_common_2!L76,recreation_v2_common_1!L76)/COUNT(recreation_v2_common_5!L76,recreation_v2_common_4!L76,recreation_v2_common_3!L76,recreation_v2_common_2!L76,recreation_v2_common_1!L76),0))</f>
        <v>1</v>
      </c>
      <c r="M76">
        <f>IF($D76=0,"NA",ROUND(SUM(recreation_v2_common_5!M76,recreation_v2_common_4!M76,recreation_v2_common_3!M76,recreation_v2_common_2!M76,recreation_v2_common_1!M76)/COUNT(recreation_v2_common_5!M76,recreation_v2_common_4!M76,recreation_v2_common_3!M76,recreation_v2_common_2!M76,recreation_v2_common_1!M76),0))</f>
        <v>1</v>
      </c>
      <c r="N76">
        <f>IF($D76=0,"NA",ROUND(SUM(recreation_v2_common_5!N76,recreation_v2_common_4!N76,recreation_v2_common_3!N76,recreation_v2_common_2!N76,recreation_v2_common_1!N76)/COUNT(recreation_v2_common_5!N76,recreation_v2_common_4!N76,recreation_v2_common_3!N76,recreation_v2_common_2!N76,recreation_v2_common_1!N76),0))</f>
        <v>1</v>
      </c>
      <c r="O76">
        <v>1.530771732330322</v>
      </c>
    </row>
    <row r="77" spans="1:15" x14ac:dyDescent="0.25">
      <c r="A77" t="s">
        <v>202</v>
      </c>
      <c r="B77" t="s">
        <v>105</v>
      </c>
      <c r="C77">
        <v>0</v>
      </c>
      <c r="D77">
        <f>ROUND(SUM(recreation_v2_common_5!D77,recreation_v2_common_4!D77,recreation_v2_common_3!D77,recreation_v2_common_2!D77,recreation_v2_common_1!D77)/COUNT(recreation_v2_common_5!D77,recreation_v2_common_4!D77,recreation_v2_common_3!D77,recreation_v2_common_2!D77,recreation_v2_common_1!D77),0)</f>
        <v>1</v>
      </c>
      <c r="E77">
        <f>IF($D77=0,"NA",ROUND(SUM(recreation_v2_common_5!E77,recreation_v2_common_4!E77,recreation_v2_common_3!E77,recreation_v2_common_2!E77,recreation_v2_common_1!E77)/COUNT(recreation_v2_common_5!E77,recreation_v2_common_4!E77,recreation_v2_common_3!E77,recreation_v2_common_2!E77,recreation_v2_common_1!E77),0))</f>
        <v>1</v>
      </c>
      <c r="F77">
        <f>IF($D77=0,"NA",ROUND(SUM(recreation_v2_common_5!F77,recreation_v2_common_4!F77,recreation_v2_common_3!F77,recreation_v2_common_2!F77,recreation_v2_common_1!F77)/COUNT(recreation_v2_common_5!F77,recreation_v2_common_4!F77,recreation_v2_common_3!F77,recreation_v2_common_2!F77,recreation_v2_common_1!F77),0))</f>
        <v>1</v>
      </c>
      <c r="G77">
        <f>IF($D77=0,"NA",ROUND(SUM(recreation_v2_common_5!G77,recreation_v2_common_4!G77,recreation_v2_common_3!G77,recreation_v2_common_2!G77,recreation_v2_common_1!G77)/COUNT(recreation_v2_common_5!G77,recreation_v2_common_4!G77,recreation_v2_common_3!G77,recreation_v2_common_2!G77,recreation_v2_common_1!G77),0))</f>
        <v>1</v>
      </c>
      <c r="H77">
        <f>IF(E77=1, ROUND(SUM(recreation_v2_common_5!H77,recreation_v2_common_4!H77,recreation_v2_common_3!H77,recreation_v2_common_2!H77,recreation_v2_common_1!H77)/COUNT(recreation_v2_common_5!H77,recreation_v2_common_4!H77,recreation_v2_common_3!H77,recreation_v2_common_2!H77,recreation_v2_common_1!H77),0),"NA")</f>
        <v>1</v>
      </c>
      <c r="I77">
        <f>IF($D77=0,"NA",ROUND(SUM(recreation_v2_common_5!I77,recreation_v2_common_4!I77,recreation_v2_common_3!I77,recreation_v2_common_2!I77,recreation_v2_common_1!I77)/COUNT(recreation_v2_common_5!I77,recreation_v2_common_4!I77,recreation_v2_common_3!I77,recreation_v2_common_2!I77,recreation_v2_common_1!I77),0))</f>
        <v>1</v>
      </c>
      <c r="J77">
        <f>IF(AND(E77 = 1, F77 = 1),ROUND(SUM(recreation_v2_common_5!J77,recreation_v2_common_4!J77,recreation_v2_common_3!J77,recreation_v2_common_2!J77,recreation_v2_common_1!J77)/COUNT(recreation_v2_common_5!J77,recreation_v2_common_4!J77,recreation_v2_common_3!J77,recreation_v2_common_2!J77,recreation_v2_common_1!J77),0),"NA")</f>
        <v>1</v>
      </c>
      <c r="K77">
        <f>IF($D77=0,"NA",ROUND(SUM(recreation_v2_common_5!K77,recreation_v2_common_4!K77,recreation_v2_common_3!K77,recreation_v2_common_2!K77,recreation_v2_common_1!K77)/COUNT(recreation_v2_common_5!K77,recreation_v2_common_4!K77,recreation_v2_common_3!K77,recreation_v2_common_2!K77,recreation_v2_common_1!K77),0))</f>
        <v>1</v>
      </c>
      <c r="L77">
        <f>IF($D77=0,"NA",ROUND(SUM(recreation_v2_common_5!L77,recreation_v2_common_4!L77,recreation_v2_common_3!L77,recreation_v2_common_2!L77,recreation_v2_common_1!L77)/COUNT(recreation_v2_common_5!L77,recreation_v2_common_4!L77,recreation_v2_common_3!L77,recreation_v2_common_2!L77,recreation_v2_common_1!L77),0))</f>
        <v>1</v>
      </c>
      <c r="M77">
        <f>IF($D77=0,"NA",ROUND(SUM(recreation_v2_common_5!M77,recreation_v2_common_4!M77,recreation_v2_common_3!M77,recreation_v2_common_2!M77,recreation_v2_common_1!M77)/COUNT(recreation_v2_common_5!M77,recreation_v2_common_4!M77,recreation_v2_common_3!M77,recreation_v2_common_2!M77,recreation_v2_common_1!M77),0))</f>
        <v>1</v>
      </c>
      <c r="N77">
        <f>IF($D77=0,"NA",ROUND(SUM(recreation_v2_common_5!N77,recreation_v2_common_4!N77,recreation_v2_common_3!N77,recreation_v2_common_2!N77,recreation_v2_common_1!N77)/COUNT(recreation_v2_common_5!N77,recreation_v2_common_4!N77,recreation_v2_common_3!N77,recreation_v2_common_2!N77,recreation_v2_common_1!N77),0))</f>
        <v>1</v>
      </c>
      <c r="O77">
        <v>1.443750858306885</v>
      </c>
    </row>
    <row r="78" spans="1:15" x14ac:dyDescent="0.25">
      <c r="A78" t="s">
        <v>202</v>
      </c>
      <c r="B78" t="s">
        <v>106</v>
      </c>
      <c r="C78">
        <v>0</v>
      </c>
      <c r="D78">
        <f>ROUND(SUM(recreation_v2_common_5!D78,recreation_v2_common_4!D78,recreation_v2_common_3!D78,recreation_v2_common_2!D78,recreation_v2_common_1!D78)/COUNT(recreation_v2_common_5!D78,recreation_v2_common_4!D78,recreation_v2_common_3!D78,recreation_v2_common_2!D78,recreation_v2_common_1!D78),0)</f>
        <v>1</v>
      </c>
      <c r="E78">
        <f>IF($D78=0,"NA",ROUND(SUM(recreation_v2_common_5!E78,recreation_v2_common_4!E78,recreation_v2_common_3!E78,recreation_v2_common_2!E78,recreation_v2_common_1!E78)/COUNT(recreation_v2_common_5!E78,recreation_v2_common_4!E78,recreation_v2_common_3!E78,recreation_v2_common_2!E78,recreation_v2_common_1!E78),0))</f>
        <v>1</v>
      </c>
      <c r="F78">
        <f>IF($D78=0,"NA",ROUND(SUM(recreation_v2_common_5!F78,recreation_v2_common_4!F78,recreation_v2_common_3!F78,recreation_v2_common_2!F78,recreation_v2_common_1!F78)/COUNT(recreation_v2_common_5!F78,recreation_v2_common_4!F78,recreation_v2_common_3!F78,recreation_v2_common_2!F78,recreation_v2_common_1!F78),0))</f>
        <v>1</v>
      </c>
      <c r="G78">
        <f>IF($D78=0,"NA",ROUND(SUM(recreation_v2_common_5!G78,recreation_v2_common_4!G78,recreation_v2_common_3!G78,recreation_v2_common_2!G78,recreation_v2_common_1!G78)/COUNT(recreation_v2_common_5!G78,recreation_v2_common_4!G78,recreation_v2_common_3!G78,recreation_v2_common_2!G78,recreation_v2_common_1!G78),0))</f>
        <v>1</v>
      </c>
      <c r="H78">
        <f>IF(E78=1, ROUND(SUM(recreation_v2_common_5!H78,recreation_v2_common_4!H78,recreation_v2_common_3!H78,recreation_v2_common_2!H78,recreation_v2_common_1!H78)/COUNT(recreation_v2_common_5!H78,recreation_v2_common_4!H78,recreation_v2_common_3!H78,recreation_v2_common_2!H78,recreation_v2_common_1!H78),0),"NA")</f>
        <v>1</v>
      </c>
      <c r="I78">
        <f>IF($D78=0,"NA",ROUND(SUM(recreation_v2_common_5!I78,recreation_v2_common_4!I78,recreation_v2_common_3!I78,recreation_v2_common_2!I78,recreation_v2_common_1!I78)/COUNT(recreation_v2_common_5!I78,recreation_v2_common_4!I78,recreation_v2_common_3!I78,recreation_v2_common_2!I78,recreation_v2_common_1!I78),0))</f>
        <v>1</v>
      </c>
      <c r="J78">
        <f>IF(AND(E78 = 1, F78 = 1),ROUND(SUM(recreation_v2_common_5!J78,recreation_v2_common_4!J78,recreation_v2_common_3!J78,recreation_v2_common_2!J78,recreation_v2_common_1!J78)/COUNT(recreation_v2_common_5!J78,recreation_v2_common_4!J78,recreation_v2_common_3!J78,recreation_v2_common_2!J78,recreation_v2_common_1!J78),0),"NA")</f>
        <v>1</v>
      </c>
      <c r="K78">
        <f>IF($D78=0,"NA",ROUND(SUM(recreation_v2_common_5!K78,recreation_v2_common_4!K78,recreation_v2_common_3!K78,recreation_v2_common_2!K78,recreation_v2_common_1!K78)/COUNT(recreation_v2_common_5!K78,recreation_v2_common_4!K78,recreation_v2_common_3!K78,recreation_v2_common_2!K78,recreation_v2_common_1!K78),0))</f>
        <v>1</v>
      </c>
      <c r="L78">
        <f>IF($D78=0,"NA",ROUND(SUM(recreation_v2_common_5!L78,recreation_v2_common_4!L78,recreation_v2_common_3!L78,recreation_v2_common_2!L78,recreation_v2_common_1!L78)/COUNT(recreation_v2_common_5!L78,recreation_v2_common_4!L78,recreation_v2_common_3!L78,recreation_v2_common_2!L78,recreation_v2_common_1!L78),0))</f>
        <v>1</v>
      </c>
      <c r="M78">
        <f>IF($D78=0,"NA",ROUND(SUM(recreation_v2_common_5!M78,recreation_v2_common_4!M78,recreation_v2_common_3!M78,recreation_v2_common_2!M78,recreation_v2_common_1!M78)/COUNT(recreation_v2_common_5!M78,recreation_v2_common_4!M78,recreation_v2_common_3!M78,recreation_v2_common_2!M78,recreation_v2_common_1!M78),0))</f>
        <v>1</v>
      </c>
      <c r="N78">
        <f>IF($D78=0,"NA",ROUND(SUM(recreation_v2_common_5!N78,recreation_v2_common_4!N78,recreation_v2_common_3!N78,recreation_v2_common_2!N78,recreation_v2_common_1!N78)/COUNT(recreation_v2_common_5!N78,recreation_v2_common_4!N78,recreation_v2_common_3!N78,recreation_v2_common_2!N78,recreation_v2_common_1!N78),0))</f>
        <v>1</v>
      </c>
      <c r="O78">
        <v>1.5334069728851321</v>
      </c>
    </row>
    <row r="79" spans="1:15" x14ac:dyDescent="0.25">
      <c r="A79" t="s">
        <v>202</v>
      </c>
      <c r="B79" t="s">
        <v>107</v>
      </c>
      <c r="C79">
        <v>0</v>
      </c>
      <c r="D79">
        <f>ROUND(SUM(recreation_v2_common_5!D79,recreation_v2_common_4!D79,recreation_v2_common_3!D79,recreation_v2_common_2!D79,recreation_v2_common_1!D79)/COUNT(recreation_v2_common_5!D79,recreation_v2_common_4!D79,recreation_v2_common_3!D79,recreation_v2_common_2!D79,recreation_v2_common_1!D79),0)</f>
        <v>1</v>
      </c>
      <c r="E79">
        <f>IF($D79=0,"NA",ROUND(SUM(recreation_v2_common_5!E79,recreation_v2_common_4!E79,recreation_v2_common_3!E79,recreation_v2_common_2!E79,recreation_v2_common_1!E79)/COUNT(recreation_v2_common_5!E79,recreation_v2_common_4!E79,recreation_v2_common_3!E79,recreation_v2_common_2!E79,recreation_v2_common_1!E79),0))</f>
        <v>1</v>
      </c>
      <c r="F79">
        <f>IF($D79=0,"NA",ROUND(SUM(recreation_v2_common_5!F79,recreation_v2_common_4!F79,recreation_v2_common_3!F79,recreation_v2_common_2!F79,recreation_v2_common_1!F79)/COUNT(recreation_v2_common_5!F79,recreation_v2_common_4!F79,recreation_v2_common_3!F79,recreation_v2_common_2!F79,recreation_v2_common_1!F79),0))</f>
        <v>1</v>
      </c>
      <c r="G79">
        <f>IF($D79=0,"NA",ROUND(SUM(recreation_v2_common_5!G79,recreation_v2_common_4!G79,recreation_v2_common_3!G79,recreation_v2_common_2!G79,recreation_v2_common_1!G79)/COUNT(recreation_v2_common_5!G79,recreation_v2_common_4!G79,recreation_v2_common_3!G79,recreation_v2_common_2!G79,recreation_v2_common_1!G79),0))</f>
        <v>1</v>
      </c>
      <c r="H79">
        <f>IF(E79=1, ROUND(SUM(recreation_v2_common_5!H79,recreation_v2_common_4!H79,recreation_v2_common_3!H79,recreation_v2_common_2!H79,recreation_v2_common_1!H79)/COUNT(recreation_v2_common_5!H79,recreation_v2_common_4!H79,recreation_v2_common_3!H79,recreation_v2_common_2!H79,recreation_v2_common_1!H79),0),"NA")</f>
        <v>1</v>
      </c>
      <c r="I79">
        <f>IF($D79=0,"NA",ROUND(SUM(recreation_v2_common_5!I79,recreation_v2_common_4!I79,recreation_v2_common_3!I79,recreation_v2_common_2!I79,recreation_v2_common_1!I79)/COUNT(recreation_v2_common_5!I79,recreation_v2_common_4!I79,recreation_v2_common_3!I79,recreation_v2_common_2!I79,recreation_v2_common_1!I79),0))</f>
        <v>1</v>
      </c>
      <c r="J79">
        <f>IF(AND(E79 = 1, F79 = 1),ROUND(SUM(recreation_v2_common_5!J79,recreation_v2_common_4!J79,recreation_v2_common_3!J79,recreation_v2_common_2!J79,recreation_v2_common_1!J79)/COUNT(recreation_v2_common_5!J79,recreation_v2_common_4!J79,recreation_v2_common_3!J79,recreation_v2_common_2!J79,recreation_v2_common_1!J79),0),"NA")</f>
        <v>1</v>
      </c>
      <c r="K79">
        <f>IF($D79=0,"NA",ROUND(SUM(recreation_v2_common_5!K79,recreation_v2_common_4!K79,recreation_v2_common_3!K79,recreation_v2_common_2!K79,recreation_v2_common_1!K79)/COUNT(recreation_v2_common_5!K79,recreation_v2_common_4!K79,recreation_v2_common_3!K79,recreation_v2_common_2!K79,recreation_v2_common_1!K79),0))</f>
        <v>1</v>
      </c>
      <c r="L79">
        <f>IF($D79=0,"NA",ROUND(SUM(recreation_v2_common_5!L79,recreation_v2_common_4!L79,recreation_v2_common_3!L79,recreation_v2_common_2!L79,recreation_v2_common_1!L79)/COUNT(recreation_v2_common_5!L79,recreation_v2_common_4!L79,recreation_v2_common_3!L79,recreation_v2_common_2!L79,recreation_v2_common_1!L79),0))</f>
        <v>1</v>
      </c>
      <c r="M79">
        <f>IF($D79=0,"NA",ROUND(SUM(recreation_v2_common_5!M79,recreation_v2_common_4!M79,recreation_v2_common_3!M79,recreation_v2_common_2!M79,recreation_v2_common_1!M79)/COUNT(recreation_v2_common_5!M79,recreation_v2_common_4!M79,recreation_v2_common_3!M79,recreation_v2_common_2!M79,recreation_v2_common_1!M79),0))</f>
        <v>1</v>
      </c>
      <c r="N79">
        <f>IF($D79=0,"NA",ROUND(SUM(recreation_v2_common_5!N79,recreation_v2_common_4!N79,recreation_v2_common_3!N79,recreation_v2_common_2!N79,recreation_v2_common_1!N79)/COUNT(recreation_v2_common_5!N79,recreation_v2_common_4!N79,recreation_v2_common_3!N79,recreation_v2_common_2!N79,recreation_v2_common_1!N79),0))</f>
        <v>1</v>
      </c>
      <c r="O79">
        <v>1.7369954586029051</v>
      </c>
    </row>
    <row r="80" spans="1:15" x14ac:dyDescent="0.25">
      <c r="A80" t="s">
        <v>202</v>
      </c>
      <c r="B80" t="s">
        <v>108</v>
      </c>
      <c r="C80">
        <v>0</v>
      </c>
      <c r="D80">
        <f>ROUND(SUM(recreation_v2_common_5!D80,recreation_v2_common_4!D80,recreation_v2_common_3!D80,recreation_v2_common_2!D80,recreation_v2_common_1!D80)/COUNT(recreation_v2_common_5!D80,recreation_v2_common_4!D80,recreation_v2_common_3!D80,recreation_v2_common_2!D80,recreation_v2_common_1!D80),0)</f>
        <v>1</v>
      </c>
      <c r="E80">
        <f>IF($D80=0,"NA",ROUND(SUM(recreation_v2_common_5!E80,recreation_v2_common_4!E80,recreation_v2_common_3!E80,recreation_v2_common_2!E80,recreation_v2_common_1!E80)/COUNT(recreation_v2_common_5!E80,recreation_v2_common_4!E80,recreation_v2_common_3!E80,recreation_v2_common_2!E80,recreation_v2_common_1!E80),0))</f>
        <v>1</v>
      </c>
      <c r="F80">
        <f>IF($D80=0,"NA",ROUND(SUM(recreation_v2_common_5!F80,recreation_v2_common_4!F80,recreation_v2_common_3!F80,recreation_v2_common_2!F80,recreation_v2_common_1!F80)/COUNT(recreation_v2_common_5!F80,recreation_v2_common_4!F80,recreation_v2_common_3!F80,recreation_v2_common_2!F80,recreation_v2_common_1!F80),0))</f>
        <v>1</v>
      </c>
      <c r="G80">
        <f>IF($D80=0,"NA",ROUND(SUM(recreation_v2_common_5!G80,recreation_v2_common_4!G80,recreation_v2_common_3!G80,recreation_v2_common_2!G80,recreation_v2_common_1!G80)/COUNT(recreation_v2_common_5!G80,recreation_v2_common_4!G80,recreation_v2_common_3!G80,recreation_v2_common_2!G80,recreation_v2_common_1!G80),0))</f>
        <v>1</v>
      </c>
      <c r="H80">
        <f>IF(E80=1, ROUND(SUM(recreation_v2_common_5!H80,recreation_v2_common_4!H80,recreation_v2_common_3!H80,recreation_v2_common_2!H80,recreation_v2_common_1!H80)/COUNT(recreation_v2_common_5!H80,recreation_v2_common_4!H80,recreation_v2_common_3!H80,recreation_v2_common_2!H80,recreation_v2_common_1!H80),0),"NA")</f>
        <v>1</v>
      </c>
      <c r="I80">
        <f>IF($D80=0,"NA",ROUND(SUM(recreation_v2_common_5!I80,recreation_v2_common_4!I80,recreation_v2_common_3!I80,recreation_v2_common_2!I80,recreation_v2_common_1!I80)/COUNT(recreation_v2_common_5!I80,recreation_v2_common_4!I80,recreation_v2_common_3!I80,recreation_v2_common_2!I80,recreation_v2_common_1!I80),0))</f>
        <v>1</v>
      </c>
      <c r="J80">
        <f>IF(AND(E80 = 1, F80 = 1),ROUND(SUM(recreation_v2_common_5!J80,recreation_v2_common_4!J80,recreation_v2_common_3!J80,recreation_v2_common_2!J80,recreation_v2_common_1!J80)/COUNT(recreation_v2_common_5!J80,recreation_v2_common_4!J80,recreation_v2_common_3!J80,recreation_v2_common_2!J80,recreation_v2_common_1!J80),0),"NA")</f>
        <v>1</v>
      </c>
      <c r="K80">
        <f>IF($D80=0,"NA",ROUND(SUM(recreation_v2_common_5!K80,recreation_v2_common_4!K80,recreation_v2_common_3!K80,recreation_v2_common_2!K80,recreation_v2_common_1!K80)/COUNT(recreation_v2_common_5!K80,recreation_v2_common_4!K80,recreation_v2_common_3!K80,recreation_v2_common_2!K80,recreation_v2_common_1!K80),0))</f>
        <v>1</v>
      </c>
      <c r="L80">
        <f>IF($D80=0,"NA",ROUND(SUM(recreation_v2_common_5!L80,recreation_v2_common_4!L80,recreation_v2_common_3!L80,recreation_v2_common_2!L80,recreation_v2_common_1!L80)/COUNT(recreation_v2_common_5!L80,recreation_v2_common_4!L80,recreation_v2_common_3!L80,recreation_v2_common_2!L80,recreation_v2_common_1!L80),0))</f>
        <v>1</v>
      </c>
      <c r="M80">
        <f>IF($D80=0,"NA",ROUND(SUM(recreation_v2_common_5!M80,recreation_v2_common_4!M80,recreation_v2_common_3!M80,recreation_v2_common_2!M80,recreation_v2_common_1!M80)/COUNT(recreation_v2_common_5!M80,recreation_v2_common_4!M80,recreation_v2_common_3!M80,recreation_v2_common_2!M80,recreation_v2_common_1!M80),0))</f>
        <v>1</v>
      </c>
      <c r="N80">
        <f>IF($D80=0,"NA",ROUND(SUM(recreation_v2_common_5!N80,recreation_v2_common_4!N80,recreation_v2_common_3!N80,recreation_v2_common_2!N80,recreation_v2_common_1!N80)/COUNT(recreation_v2_common_5!N80,recreation_v2_common_4!N80,recreation_v2_common_3!N80,recreation_v2_common_2!N80,recreation_v2_common_1!N80),0))</f>
        <v>1</v>
      </c>
      <c r="O80">
        <v>2.8829548358917241</v>
      </c>
    </row>
    <row r="81" spans="1:15" x14ac:dyDescent="0.25">
      <c r="A81" t="s">
        <v>202</v>
      </c>
      <c r="B81" t="s">
        <v>109</v>
      </c>
      <c r="C81">
        <v>0</v>
      </c>
      <c r="D81">
        <f>ROUND(SUM(recreation_v2_common_5!D81,recreation_v2_common_4!D81,recreation_v2_common_3!D81,recreation_v2_common_2!D81,recreation_v2_common_1!D81)/COUNT(recreation_v2_common_5!D81,recreation_v2_common_4!D81,recreation_v2_common_3!D81,recreation_v2_common_2!D81,recreation_v2_common_1!D81),0)</f>
        <v>1</v>
      </c>
      <c r="E81">
        <f>IF($D81=0,"NA",ROUND(SUM(recreation_v2_common_5!E81,recreation_v2_common_4!E81,recreation_v2_common_3!E81,recreation_v2_common_2!E81,recreation_v2_common_1!E81)/COUNT(recreation_v2_common_5!E81,recreation_v2_common_4!E81,recreation_v2_common_3!E81,recreation_v2_common_2!E81,recreation_v2_common_1!E81),0))</f>
        <v>0</v>
      </c>
      <c r="F81">
        <f>IF($D81=0,"NA",ROUND(SUM(recreation_v2_common_5!F81,recreation_v2_common_4!F81,recreation_v2_common_3!F81,recreation_v2_common_2!F81,recreation_v2_common_1!F81)/COUNT(recreation_v2_common_5!F81,recreation_v2_common_4!F81,recreation_v2_common_3!F81,recreation_v2_common_2!F81,recreation_v2_common_1!F81),0))</f>
        <v>0</v>
      </c>
      <c r="G81">
        <f>IF($D81=0,"NA",ROUND(SUM(recreation_v2_common_5!G81,recreation_v2_common_4!G81,recreation_v2_common_3!G81,recreation_v2_common_2!G81,recreation_v2_common_1!G81)/COUNT(recreation_v2_common_5!G81,recreation_v2_common_4!G81,recreation_v2_common_3!G81,recreation_v2_common_2!G81,recreation_v2_common_1!G81),0))</f>
        <v>1</v>
      </c>
      <c r="H81" t="str">
        <f>IF(E81=1, ROUND(SUM(recreation_v2_common_5!H81,recreation_v2_common_4!H81,recreation_v2_common_3!H81,recreation_v2_common_2!H81,recreation_v2_common_1!H81)/COUNT(recreation_v2_common_5!H81,recreation_v2_common_4!H81,recreation_v2_common_3!H81,recreation_v2_common_2!H81,recreation_v2_common_1!H81),0),"NA")</f>
        <v>NA</v>
      </c>
      <c r="I81">
        <f>IF($D81=0,"NA",ROUND(SUM(recreation_v2_common_5!I81,recreation_v2_common_4!I81,recreation_v2_common_3!I81,recreation_v2_common_2!I81,recreation_v2_common_1!I81)/COUNT(recreation_v2_common_5!I81,recreation_v2_common_4!I81,recreation_v2_common_3!I81,recreation_v2_common_2!I81,recreation_v2_common_1!I81),0))</f>
        <v>1</v>
      </c>
      <c r="J81" t="str">
        <f>IF(AND(E81 = 1, F81 = 1),ROUND(SUM(recreation_v2_common_5!J81,recreation_v2_common_4!J81,recreation_v2_common_3!J81,recreation_v2_common_2!J81,recreation_v2_common_1!J81)/COUNT(recreation_v2_common_5!J81,recreation_v2_common_4!J81,recreation_v2_common_3!J81,recreation_v2_common_2!J81,recreation_v2_common_1!J81),0),"NA")</f>
        <v>NA</v>
      </c>
      <c r="K81">
        <f>IF($D81=0,"NA",ROUND(SUM(recreation_v2_common_5!K81,recreation_v2_common_4!K81,recreation_v2_common_3!K81,recreation_v2_common_2!K81,recreation_v2_common_1!K81)/COUNT(recreation_v2_common_5!K81,recreation_v2_common_4!K81,recreation_v2_common_3!K81,recreation_v2_common_2!K81,recreation_v2_common_1!K81),0))</f>
        <v>1</v>
      </c>
      <c r="L81">
        <f>IF($D81=0,"NA",ROUND(SUM(recreation_v2_common_5!L81,recreation_v2_common_4!L81,recreation_v2_common_3!L81,recreation_v2_common_2!L81,recreation_v2_common_1!L81)/COUNT(recreation_v2_common_5!L81,recreation_v2_common_4!L81,recreation_v2_common_3!L81,recreation_v2_common_2!L81,recreation_v2_common_1!L81),0))</f>
        <v>1</v>
      </c>
      <c r="M81">
        <f>IF($D81=0,"NA",ROUND(SUM(recreation_v2_common_5!M81,recreation_v2_common_4!M81,recreation_v2_common_3!M81,recreation_v2_common_2!M81,recreation_v2_common_1!M81)/COUNT(recreation_v2_common_5!M81,recreation_v2_common_4!M81,recreation_v2_common_3!M81,recreation_v2_common_2!M81,recreation_v2_common_1!M81),0))</f>
        <v>1</v>
      </c>
      <c r="N81">
        <f>IF($D81=0,"NA",ROUND(SUM(recreation_v2_common_5!N81,recreation_v2_common_4!N81,recreation_v2_common_3!N81,recreation_v2_common_2!N81,recreation_v2_common_1!N81)/COUNT(recreation_v2_common_5!N81,recreation_v2_common_4!N81,recreation_v2_common_3!N81,recreation_v2_common_2!N81,recreation_v2_common_1!N81),0))</f>
        <v>1</v>
      </c>
      <c r="O81">
        <v>5.1287996768951416</v>
      </c>
    </row>
    <row r="82" spans="1:15" x14ac:dyDescent="0.25">
      <c r="A82" t="s">
        <v>202</v>
      </c>
      <c r="B82" t="s">
        <v>111</v>
      </c>
      <c r="C82">
        <v>0</v>
      </c>
      <c r="D82">
        <f>ROUND(SUM(recreation_v2_common_5!D82,recreation_v2_common_4!D82,recreation_v2_common_3!D82,recreation_v2_common_2!D82,recreation_v2_common_1!D82)/COUNT(recreation_v2_common_5!D82,recreation_v2_common_4!D82,recreation_v2_common_3!D82,recreation_v2_common_2!D82,recreation_v2_common_1!D82),0)</f>
        <v>1</v>
      </c>
      <c r="E82">
        <f>IF($D82=0,"NA",ROUND(SUM(recreation_v2_common_5!E82,recreation_v2_common_4!E82,recreation_v2_common_3!E82,recreation_v2_common_2!E82,recreation_v2_common_1!E82)/COUNT(recreation_v2_common_5!E82,recreation_v2_common_4!E82,recreation_v2_common_3!E82,recreation_v2_common_2!E82,recreation_v2_common_1!E82),0))</f>
        <v>1</v>
      </c>
      <c r="F82">
        <f>IF($D82=0,"NA",ROUND(SUM(recreation_v2_common_5!F82,recreation_v2_common_4!F82,recreation_v2_common_3!F82,recreation_v2_common_2!F82,recreation_v2_common_1!F82)/COUNT(recreation_v2_common_5!F82,recreation_v2_common_4!F82,recreation_v2_common_3!F82,recreation_v2_common_2!F82,recreation_v2_common_1!F82),0))</f>
        <v>1</v>
      </c>
      <c r="G82">
        <f>IF($D82=0,"NA",ROUND(SUM(recreation_v2_common_5!G82,recreation_v2_common_4!G82,recreation_v2_common_3!G82,recreation_v2_common_2!G82,recreation_v2_common_1!G82)/COUNT(recreation_v2_common_5!G82,recreation_v2_common_4!G82,recreation_v2_common_3!G82,recreation_v2_common_2!G82,recreation_v2_common_1!G82),0))</f>
        <v>1</v>
      </c>
      <c r="H82">
        <f>IF(E82=1, ROUND(SUM(recreation_v2_common_5!H82,recreation_v2_common_4!H82,recreation_v2_common_3!H82,recreation_v2_common_2!H82,recreation_v2_common_1!H82)/COUNT(recreation_v2_common_5!H82,recreation_v2_common_4!H82,recreation_v2_common_3!H82,recreation_v2_common_2!H82,recreation_v2_common_1!H82),0),"NA")</f>
        <v>1</v>
      </c>
      <c r="I82">
        <f>IF($D82=0,"NA",ROUND(SUM(recreation_v2_common_5!I82,recreation_v2_common_4!I82,recreation_v2_common_3!I82,recreation_v2_common_2!I82,recreation_v2_common_1!I82)/COUNT(recreation_v2_common_5!I82,recreation_v2_common_4!I82,recreation_v2_common_3!I82,recreation_v2_common_2!I82,recreation_v2_common_1!I82),0))</f>
        <v>1</v>
      </c>
      <c r="J82">
        <f>IF(AND(E82 = 1, F82 = 1),ROUND(SUM(recreation_v2_common_5!J82,recreation_v2_common_4!J82,recreation_v2_common_3!J82,recreation_v2_common_2!J82,recreation_v2_common_1!J82)/COUNT(recreation_v2_common_5!J82,recreation_v2_common_4!J82,recreation_v2_common_3!J82,recreation_v2_common_2!J82,recreation_v2_common_1!J82),0),"NA")</f>
        <v>1</v>
      </c>
      <c r="K82">
        <f>IF($D82=0,"NA",ROUND(SUM(recreation_v2_common_5!K82,recreation_v2_common_4!K82,recreation_v2_common_3!K82,recreation_v2_common_2!K82,recreation_v2_common_1!K82)/COUNT(recreation_v2_common_5!K82,recreation_v2_common_4!K82,recreation_v2_common_3!K82,recreation_v2_common_2!K82,recreation_v2_common_1!K82),0))</f>
        <v>1</v>
      </c>
      <c r="L82">
        <f>IF($D82=0,"NA",ROUND(SUM(recreation_v2_common_5!L82,recreation_v2_common_4!L82,recreation_v2_common_3!L82,recreation_v2_common_2!L82,recreation_v2_common_1!L82)/COUNT(recreation_v2_common_5!L82,recreation_v2_common_4!L82,recreation_v2_common_3!L82,recreation_v2_common_2!L82,recreation_v2_common_1!L82),0))</f>
        <v>1</v>
      </c>
      <c r="M82">
        <f>IF($D82=0,"NA",ROUND(SUM(recreation_v2_common_5!M82,recreation_v2_common_4!M82,recreation_v2_common_3!M82,recreation_v2_common_2!M82,recreation_v2_common_1!M82)/COUNT(recreation_v2_common_5!M82,recreation_v2_common_4!M82,recreation_v2_common_3!M82,recreation_v2_common_2!M82,recreation_v2_common_1!M82),0))</f>
        <v>1</v>
      </c>
      <c r="N82">
        <f>IF($D82=0,"NA",ROUND(SUM(recreation_v2_common_5!N82,recreation_v2_common_4!N82,recreation_v2_common_3!N82,recreation_v2_common_2!N82,recreation_v2_common_1!N82)/COUNT(recreation_v2_common_5!N82,recreation_v2_common_4!N82,recreation_v2_common_3!N82,recreation_v2_common_2!N82,recreation_v2_common_1!N82),0))</f>
        <v>1</v>
      </c>
      <c r="O82">
        <v>1.4980897903442381</v>
      </c>
    </row>
    <row r="83" spans="1:15" x14ac:dyDescent="0.25">
      <c r="A83" t="s">
        <v>202</v>
      </c>
      <c r="B83" t="s">
        <v>112</v>
      </c>
      <c r="C83">
        <v>0</v>
      </c>
      <c r="D83">
        <f>ROUND(SUM(recreation_v2_common_5!D83,recreation_v2_common_4!D83,recreation_v2_common_3!D83,recreation_v2_common_2!D83,recreation_v2_common_1!D83)/COUNT(recreation_v2_common_5!D83,recreation_v2_common_4!D83,recreation_v2_common_3!D83,recreation_v2_common_2!D83,recreation_v2_common_1!D83),0)</f>
        <v>1</v>
      </c>
      <c r="E83">
        <f>IF($D83=0,"NA",ROUND(SUM(recreation_v2_common_5!E83,recreation_v2_common_4!E83,recreation_v2_common_3!E83,recreation_v2_common_2!E83,recreation_v2_common_1!E83)/COUNT(recreation_v2_common_5!E83,recreation_v2_common_4!E83,recreation_v2_common_3!E83,recreation_v2_common_2!E83,recreation_v2_common_1!E83),0))</f>
        <v>1</v>
      </c>
      <c r="F83">
        <f>IF($D83=0,"NA",ROUND(SUM(recreation_v2_common_5!F83,recreation_v2_common_4!F83,recreation_v2_common_3!F83,recreation_v2_common_2!F83,recreation_v2_common_1!F83)/COUNT(recreation_v2_common_5!F83,recreation_v2_common_4!F83,recreation_v2_common_3!F83,recreation_v2_common_2!F83,recreation_v2_common_1!F83),0))</f>
        <v>1</v>
      </c>
      <c r="G83">
        <f>IF($D83=0,"NA",ROUND(SUM(recreation_v2_common_5!G83,recreation_v2_common_4!G83,recreation_v2_common_3!G83,recreation_v2_common_2!G83,recreation_v2_common_1!G83)/COUNT(recreation_v2_common_5!G83,recreation_v2_common_4!G83,recreation_v2_common_3!G83,recreation_v2_common_2!G83,recreation_v2_common_1!G83),0))</f>
        <v>1</v>
      </c>
      <c r="H83">
        <f>IF(E83=1, ROUND(SUM(recreation_v2_common_5!H83,recreation_v2_common_4!H83,recreation_v2_common_3!H83,recreation_v2_common_2!H83,recreation_v2_common_1!H83)/COUNT(recreation_v2_common_5!H83,recreation_v2_common_4!H83,recreation_v2_common_3!H83,recreation_v2_common_2!H83,recreation_v2_common_1!H83),0),"NA")</f>
        <v>1</v>
      </c>
      <c r="I83">
        <f>IF($D83=0,"NA",ROUND(SUM(recreation_v2_common_5!I83,recreation_v2_common_4!I83,recreation_v2_common_3!I83,recreation_v2_common_2!I83,recreation_v2_common_1!I83)/COUNT(recreation_v2_common_5!I83,recreation_v2_common_4!I83,recreation_v2_common_3!I83,recreation_v2_common_2!I83,recreation_v2_common_1!I83),0))</f>
        <v>1</v>
      </c>
      <c r="J83">
        <f>IF(AND(E83 = 1, F83 = 1),ROUND(SUM(recreation_v2_common_5!J83,recreation_v2_common_4!J83,recreation_v2_common_3!J83,recreation_v2_common_2!J83,recreation_v2_common_1!J83)/COUNT(recreation_v2_common_5!J83,recreation_v2_common_4!J83,recreation_v2_common_3!J83,recreation_v2_common_2!J83,recreation_v2_common_1!J83),0),"NA")</f>
        <v>1</v>
      </c>
      <c r="K83">
        <f>IF($D83=0,"NA",ROUND(SUM(recreation_v2_common_5!K83,recreation_v2_common_4!K83,recreation_v2_common_3!K83,recreation_v2_common_2!K83,recreation_v2_common_1!K83)/COUNT(recreation_v2_common_5!K83,recreation_v2_common_4!K83,recreation_v2_common_3!K83,recreation_v2_common_2!K83,recreation_v2_common_1!K83),0))</f>
        <v>1</v>
      </c>
      <c r="L83">
        <f>IF($D83=0,"NA",ROUND(SUM(recreation_v2_common_5!L83,recreation_v2_common_4!L83,recreation_v2_common_3!L83,recreation_v2_common_2!L83,recreation_v2_common_1!L83)/COUNT(recreation_v2_common_5!L83,recreation_v2_common_4!L83,recreation_v2_common_3!L83,recreation_v2_common_2!L83,recreation_v2_common_1!L83),0))</f>
        <v>1</v>
      </c>
      <c r="M83">
        <f>IF($D83=0,"NA",ROUND(SUM(recreation_v2_common_5!M83,recreation_v2_common_4!M83,recreation_v2_common_3!M83,recreation_v2_common_2!M83,recreation_v2_common_1!M83)/COUNT(recreation_v2_common_5!M83,recreation_v2_common_4!M83,recreation_v2_common_3!M83,recreation_v2_common_2!M83,recreation_v2_common_1!M83),0))</f>
        <v>1</v>
      </c>
      <c r="N83">
        <f>IF($D83=0,"NA",ROUND(SUM(recreation_v2_common_5!N83,recreation_v2_common_4!N83,recreation_v2_common_3!N83,recreation_v2_common_2!N83,recreation_v2_common_1!N83)/COUNT(recreation_v2_common_5!N83,recreation_v2_common_4!N83,recreation_v2_common_3!N83,recreation_v2_common_2!N83,recreation_v2_common_1!N83),0))</f>
        <v>1</v>
      </c>
      <c r="O83">
        <v>1.595423698425293</v>
      </c>
    </row>
    <row r="84" spans="1:15" x14ac:dyDescent="0.25">
      <c r="A84" t="s">
        <v>202</v>
      </c>
      <c r="B84" t="s">
        <v>113</v>
      </c>
      <c r="C84">
        <v>0</v>
      </c>
      <c r="D84">
        <f>ROUND(SUM(recreation_v2_common_5!D84,recreation_v2_common_4!D84,recreation_v2_common_3!D84,recreation_v2_common_2!D84,recreation_v2_common_1!D84)/COUNT(recreation_v2_common_5!D84,recreation_v2_common_4!D84,recreation_v2_common_3!D84,recreation_v2_common_2!D84,recreation_v2_common_1!D84),0)</f>
        <v>1</v>
      </c>
      <c r="E84">
        <f>IF($D84=0,"NA",ROUND(SUM(recreation_v2_common_5!E84,recreation_v2_common_4!E84,recreation_v2_common_3!E84,recreation_v2_common_2!E84,recreation_v2_common_1!E84)/COUNT(recreation_v2_common_5!E84,recreation_v2_common_4!E84,recreation_v2_common_3!E84,recreation_v2_common_2!E84,recreation_v2_common_1!E84),0))</f>
        <v>1</v>
      </c>
      <c r="F84">
        <f>IF($D84=0,"NA",ROUND(SUM(recreation_v2_common_5!F84,recreation_v2_common_4!F84,recreation_v2_common_3!F84,recreation_v2_common_2!F84,recreation_v2_common_1!F84)/COUNT(recreation_v2_common_5!F84,recreation_v2_common_4!F84,recreation_v2_common_3!F84,recreation_v2_common_2!F84,recreation_v2_common_1!F84),0))</f>
        <v>1</v>
      </c>
      <c r="G84">
        <f>IF($D84=0,"NA",ROUND(SUM(recreation_v2_common_5!G84,recreation_v2_common_4!G84,recreation_v2_common_3!G84,recreation_v2_common_2!G84,recreation_v2_common_1!G84)/COUNT(recreation_v2_common_5!G84,recreation_v2_common_4!G84,recreation_v2_common_3!G84,recreation_v2_common_2!G84,recreation_v2_common_1!G84),0))</f>
        <v>1</v>
      </c>
      <c r="H84">
        <f>IF(E84=1, ROUND(SUM(recreation_v2_common_5!H84,recreation_v2_common_4!H84,recreation_v2_common_3!H84,recreation_v2_common_2!H84,recreation_v2_common_1!H84)/COUNT(recreation_v2_common_5!H84,recreation_v2_common_4!H84,recreation_v2_common_3!H84,recreation_v2_common_2!H84,recreation_v2_common_1!H84),0),"NA")</f>
        <v>1</v>
      </c>
      <c r="I84">
        <f>IF($D84=0,"NA",ROUND(SUM(recreation_v2_common_5!I84,recreation_v2_common_4!I84,recreation_v2_common_3!I84,recreation_v2_common_2!I84,recreation_v2_common_1!I84)/COUNT(recreation_v2_common_5!I84,recreation_v2_common_4!I84,recreation_v2_common_3!I84,recreation_v2_common_2!I84,recreation_v2_common_1!I84),0))</f>
        <v>1</v>
      </c>
      <c r="J84">
        <f>IF(AND(E84 = 1, F84 = 1),ROUND(SUM(recreation_v2_common_5!J84,recreation_v2_common_4!J84,recreation_v2_common_3!J84,recreation_v2_common_2!J84,recreation_v2_common_1!J84)/COUNT(recreation_v2_common_5!J84,recreation_v2_common_4!J84,recreation_v2_common_3!J84,recreation_v2_common_2!J84,recreation_v2_common_1!J84),0),"NA")</f>
        <v>1</v>
      </c>
      <c r="K84">
        <f>IF($D84=0,"NA",ROUND(SUM(recreation_v2_common_5!K84,recreation_v2_common_4!K84,recreation_v2_common_3!K84,recreation_v2_common_2!K84,recreation_v2_common_1!K84)/COUNT(recreation_v2_common_5!K84,recreation_v2_common_4!K84,recreation_v2_common_3!K84,recreation_v2_common_2!K84,recreation_v2_common_1!K84),0))</f>
        <v>1</v>
      </c>
      <c r="L84">
        <f>IF($D84=0,"NA",ROUND(SUM(recreation_v2_common_5!L84,recreation_v2_common_4!L84,recreation_v2_common_3!L84,recreation_v2_common_2!L84,recreation_v2_common_1!L84)/COUNT(recreation_v2_common_5!L84,recreation_v2_common_4!L84,recreation_v2_common_3!L84,recreation_v2_common_2!L84,recreation_v2_common_1!L84),0))</f>
        <v>1</v>
      </c>
      <c r="M84">
        <f>IF($D84=0,"NA",ROUND(SUM(recreation_v2_common_5!M84,recreation_v2_common_4!M84,recreation_v2_common_3!M84,recreation_v2_common_2!M84,recreation_v2_common_1!M84)/COUNT(recreation_v2_common_5!M84,recreation_v2_common_4!M84,recreation_v2_common_3!M84,recreation_v2_common_2!M84,recreation_v2_common_1!M84),0))</f>
        <v>1</v>
      </c>
      <c r="N84">
        <f>IF($D84=0,"NA",ROUND(SUM(recreation_v2_common_5!N84,recreation_v2_common_4!N84,recreation_v2_common_3!N84,recreation_v2_common_2!N84,recreation_v2_common_1!N84)/COUNT(recreation_v2_common_5!N84,recreation_v2_common_4!N84,recreation_v2_common_3!N84,recreation_v2_common_2!N84,recreation_v2_common_1!N84),0))</f>
        <v>1</v>
      </c>
      <c r="O84">
        <v>1.3333456516265869</v>
      </c>
    </row>
    <row r="85" spans="1:15" x14ac:dyDescent="0.25">
      <c r="A85" t="s">
        <v>202</v>
      </c>
      <c r="B85" t="s">
        <v>114</v>
      </c>
      <c r="C85">
        <v>0</v>
      </c>
      <c r="D85">
        <f>ROUND(SUM(recreation_v2_common_5!D85,recreation_v2_common_4!D85,recreation_v2_common_3!D85,recreation_v2_common_2!D85,recreation_v2_common_1!D85)/COUNT(recreation_v2_common_5!D85,recreation_v2_common_4!D85,recreation_v2_common_3!D85,recreation_v2_common_2!D85,recreation_v2_common_1!D85),0)</f>
        <v>1</v>
      </c>
      <c r="E85">
        <f>IF($D85=0,"NA",ROUND(SUM(recreation_v2_common_5!E85,recreation_v2_common_4!E85,recreation_v2_common_3!E85,recreation_v2_common_2!E85,recreation_v2_common_1!E85)/COUNT(recreation_v2_common_5!E85,recreation_v2_common_4!E85,recreation_v2_common_3!E85,recreation_v2_common_2!E85,recreation_v2_common_1!E85),0))</f>
        <v>1</v>
      </c>
      <c r="F85">
        <f>IF($D85=0,"NA",ROUND(SUM(recreation_v2_common_5!F85,recreation_v2_common_4!F85,recreation_v2_common_3!F85,recreation_v2_common_2!F85,recreation_v2_common_1!F85)/COUNT(recreation_v2_common_5!F85,recreation_v2_common_4!F85,recreation_v2_common_3!F85,recreation_v2_common_2!F85,recreation_v2_common_1!F85),0))</f>
        <v>1</v>
      </c>
      <c r="G85">
        <f>IF($D85=0,"NA",ROUND(SUM(recreation_v2_common_5!G85,recreation_v2_common_4!G85,recreation_v2_common_3!G85,recreation_v2_common_2!G85,recreation_v2_common_1!G85)/COUNT(recreation_v2_common_5!G85,recreation_v2_common_4!G85,recreation_v2_common_3!G85,recreation_v2_common_2!G85,recreation_v2_common_1!G85),0))</f>
        <v>1</v>
      </c>
      <c r="H85">
        <f>IF(E85=1, ROUND(SUM(recreation_v2_common_5!H85,recreation_v2_common_4!H85,recreation_v2_common_3!H85,recreation_v2_common_2!H85,recreation_v2_common_1!H85)/COUNT(recreation_v2_common_5!H85,recreation_v2_common_4!H85,recreation_v2_common_3!H85,recreation_v2_common_2!H85,recreation_v2_common_1!H85),0),"NA")</f>
        <v>1</v>
      </c>
      <c r="I85">
        <f>IF($D85=0,"NA",ROUND(SUM(recreation_v2_common_5!I85,recreation_v2_common_4!I85,recreation_v2_common_3!I85,recreation_v2_common_2!I85,recreation_v2_common_1!I85)/COUNT(recreation_v2_common_5!I85,recreation_v2_common_4!I85,recreation_v2_common_3!I85,recreation_v2_common_2!I85,recreation_v2_common_1!I85),0))</f>
        <v>1</v>
      </c>
      <c r="J85">
        <f>IF(AND(E85 = 1, F85 = 1),ROUND(SUM(recreation_v2_common_5!J85,recreation_v2_common_4!J85,recreation_v2_common_3!J85,recreation_v2_common_2!J85,recreation_v2_common_1!J85)/COUNT(recreation_v2_common_5!J85,recreation_v2_common_4!J85,recreation_v2_common_3!J85,recreation_v2_common_2!J85,recreation_v2_common_1!J85),0),"NA")</f>
        <v>1</v>
      </c>
      <c r="K85">
        <f>IF($D85=0,"NA",ROUND(SUM(recreation_v2_common_5!K85,recreation_v2_common_4!K85,recreation_v2_common_3!K85,recreation_v2_common_2!K85,recreation_v2_common_1!K85)/COUNT(recreation_v2_common_5!K85,recreation_v2_common_4!K85,recreation_v2_common_3!K85,recreation_v2_common_2!K85,recreation_v2_common_1!K85),0))</f>
        <v>1</v>
      </c>
      <c r="L85">
        <f>IF($D85=0,"NA",ROUND(SUM(recreation_v2_common_5!L85,recreation_v2_common_4!L85,recreation_v2_common_3!L85,recreation_v2_common_2!L85,recreation_v2_common_1!L85)/COUNT(recreation_v2_common_5!L85,recreation_v2_common_4!L85,recreation_v2_common_3!L85,recreation_v2_common_2!L85,recreation_v2_common_1!L85),0))</f>
        <v>1</v>
      </c>
      <c r="M85">
        <f>IF($D85=0,"NA",ROUND(SUM(recreation_v2_common_5!M85,recreation_v2_common_4!M85,recreation_v2_common_3!M85,recreation_v2_common_2!M85,recreation_v2_common_1!M85)/COUNT(recreation_v2_common_5!M85,recreation_v2_common_4!M85,recreation_v2_common_3!M85,recreation_v2_common_2!M85,recreation_v2_common_1!M85),0))</f>
        <v>1</v>
      </c>
      <c r="N85">
        <f>IF($D85=0,"NA",ROUND(SUM(recreation_v2_common_5!N85,recreation_v2_common_4!N85,recreation_v2_common_3!N85,recreation_v2_common_2!N85,recreation_v2_common_1!N85)/COUNT(recreation_v2_common_5!N85,recreation_v2_common_4!N85,recreation_v2_common_3!N85,recreation_v2_common_2!N85,recreation_v2_common_1!N85),0))</f>
        <v>1</v>
      </c>
      <c r="O85">
        <v>2.0479426383972168</v>
      </c>
    </row>
    <row r="86" spans="1:15" x14ac:dyDescent="0.25">
      <c r="A86" t="s">
        <v>202</v>
      </c>
      <c r="B86" t="s">
        <v>115</v>
      </c>
      <c r="C86">
        <v>0</v>
      </c>
      <c r="D86">
        <f>ROUND(SUM(recreation_v2_common_5!D86,recreation_v2_common_4!D86,recreation_v2_common_3!D86,recreation_v2_common_2!D86,recreation_v2_common_1!D86)/COUNT(recreation_v2_common_5!D86,recreation_v2_common_4!D86,recreation_v2_common_3!D86,recreation_v2_common_2!D86,recreation_v2_common_1!D86),0)</f>
        <v>1</v>
      </c>
      <c r="E86">
        <f>IF($D86=0,"NA",ROUND(SUM(recreation_v2_common_5!E86,recreation_v2_common_4!E86,recreation_v2_common_3!E86,recreation_v2_common_2!E86,recreation_v2_common_1!E86)/COUNT(recreation_v2_common_5!E86,recreation_v2_common_4!E86,recreation_v2_common_3!E86,recreation_v2_common_2!E86,recreation_v2_common_1!E86),0))</f>
        <v>1</v>
      </c>
      <c r="F86">
        <f>IF($D86=0,"NA",ROUND(SUM(recreation_v2_common_5!F86,recreation_v2_common_4!F86,recreation_v2_common_3!F86,recreation_v2_common_2!F86,recreation_v2_common_1!F86)/COUNT(recreation_v2_common_5!F86,recreation_v2_common_4!F86,recreation_v2_common_3!F86,recreation_v2_common_2!F86,recreation_v2_common_1!F86),0))</f>
        <v>1</v>
      </c>
      <c r="G86">
        <f>IF($D86=0,"NA",ROUND(SUM(recreation_v2_common_5!G86,recreation_v2_common_4!G86,recreation_v2_common_3!G86,recreation_v2_common_2!G86,recreation_v2_common_1!G86)/COUNT(recreation_v2_common_5!G86,recreation_v2_common_4!G86,recreation_v2_common_3!G86,recreation_v2_common_2!G86,recreation_v2_common_1!G86),0))</f>
        <v>1</v>
      </c>
      <c r="H86">
        <f>IF(E86=1, ROUND(SUM(recreation_v2_common_5!H86,recreation_v2_common_4!H86,recreation_v2_common_3!H86,recreation_v2_common_2!H86,recreation_v2_common_1!H86)/COUNT(recreation_v2_common_5!H86,recreation_v2_common_4!H86,recreation_v2_common_3!H86,recreation_v2_common_2!H86,recreation_v2_common_1!H86),0),"NA")</f>
        <v>1</v>
      </c>
      <c r="I86">
        <f>IF($D86=0,"NA",ROUND(SUM(recreation_v2_common_5!I86,recreation_v2_common_4!I86,recreation_v2_common_3!I86,recreation_v2_common_2!I86,recreation_v2_common_1!I86)/COUNT(recreation_v2_common_5!I86,recreation_v2_common_4!I86,recreation_v2_common_3!I86,recreation_v2_common_2!I86,recreation_v2_common_1!I86),0))</f>
        <v>1</v>
      </c>
      <c r="J86">
        <f>IF(AND(E86 = 1, F86 = 1),ROUND(SUM(recreation_v2_common_5!J86,recreation_v2_common_4!J86,recreation_v2_common_3!J86,recreation_v2_common_2!J86,recreation_v2_common_1!J86)/COUNT(recreation_v2_common_5!J86,recreation_v2_common_4!J86,recreation_v2_common_3!J86,recreation_v2_common_2!J86,recreation_v2_common_1!J86),0),"NA")</f>
        <v>1</v>
      </c>
      <c r="K86">
        <f>IF($D86=0,"NA",ROUND(SUM(recreation_v2_common_5!K86,recreation_v2_common_4!K86,recreation_v2_common_3!K86,recreation_v2_common_2!K86,recreation_v2_common_1!K86)/COUNT(recreation_v2_common_5!K86,recreation_v2_common_4!K86,recreation_v2_common_3!K86,recreation_v2_common_2!K86,recreation_v2_common_1!K86),0))</f>
        <v>1</v>
      </c>
      <c r="L86">
        <f>IF($D86=0,"NA",ROUND(SUM(recreation_v2_common_5!L86,recreation_v2_common_4!L86,recreation_v2_common_3!L86,recreation_v2_common_2!L86,recreation_v2_common_1!L86)/COUNT(recreation_v2_common_5!L86,recreation_v2_common_4!L86,recreation_v2_common_3!L86,recreation_v2_common_2!L86,recreation_v2_common_1!L86),0))</f>
        <v>1</v>
      </c>
      <c r="M86">
        <f>IF($D86=0,"NA",ROUND(SUM(recreation_v2_common_5!M86,recreation_v2_common_4!M86,recreation_v2_common_3!M86,recreation_v2_common_2!M86,recreation_v2_common_1!M86)/COUNT(recreation_v2_common_5!M86,recreation_v2_common_4!M86,recreation_v2_common_3!M86,recreation_v2_common_2!M86,recreation_v2_common_1!M86),0))</f>
        <v>1</v>
      </c>
      <c r="N86">
        <f>IF($D86=0,"NA",ROUND(SUM(recreation_v2_common_5!N86,recreation_v2_common_4!N86,recreation_v2_common_3!N86,recreation_v2_common_2!N86,recreation_v2_common_1!N86)/COUNT(recreation_v2_common_5!N86,recreation_v2_common_4!N86,recreation_v2_common_3!N86,recreation_v2_common_2!N86,recreation_v2_common_1!N86),0))</f>
        <v>1</v>
      </c>
      <c r="O86">
        <v>1.664333581924438</v>
      </c>
    </row>
    <row r="87" spans="1:15" x14ac:dyDescent="0.25">
      <c r="A87" t="s">
        <v>202</v>
      </c>
      <c r="B87" t="s">
        <v>116</v>
      </c>
      <c r="C87">
        <v>0</v>
      </c>
      <c r="D87">
        <f>ROUND(SUM(recreation_v2_common_5!D87,recreation_v2_common_4!D87,recreation_v2_common_3!D87,recreation_v2_common_2!D87,recreation_v2_common_1!D87)/COUNT(recreation_v2_common_5!D87,recreation_v2_common_4!D87,recreation_v2_common_3!D87,recreation_v2_common_2!D87,recreation_v2_common_1!D87),0)</f>
        <v>1</v>
      </c>
      <c r="E87">
        <f>IF($D87=0,"NA",ROUND(SUM(recreation_v2_common_5!E87,recreation_v2_common_4!E87,recreation_v2_common_3!E87,recreation_v2_common_2!E87,recreation_v2_common_1!E87)/COUNT(recreation_v2_common_5!E87,recreation_v2_common_4!E87,recreation_v2_common_3!E87,recreation_v2_common_2!E87,recreation_v2_common_1!E87),0))</f>
        <v>1</v>
      </c>
      <c r="F87">
        <f>IF($D87=0,"NA",ROUND(SUM(recreation_v2_common_5!F87,recreation_v2_common_4!F87,recreation_v2_common_3!F87,recreation_v2_common_2!F87,recreation_v2_common_1!F87)/COUNT(recreation_v2_common_5!F87,recreation_v2_common_4!F87,recreation_v2_common_3!F87,recreation_v2_common_2!F87,recreation_v2_common_1!F87),0))</f>
        <v>1</v>
      </c>
      <c r="G87">
        <f>IF($D87=0,"NA",ROUND(SUM(recreation_v2_common_5!G87,recreation_v2_common_4!G87,recreation_v2_common_3!G87,recreation_v2_common_2!G87,recreation_v2_common_1!G87)/COUNT(recreation_v2_common_5!G87,recreation_v2_common_4!G87,recreation_v2_common_3!G87,recreation_v2_common_2!G87,recreation_v2_common_1!G87),0))</f>
        <v>1</v>
      </c>
      <c r="H87">
        <f>IF(E87=1, ROUND(SUM(recreation_v2_common_5!H87,recreation_v2_common_4!H87,recreation_v2_common_3!H87,recreation_v2_common_2!H87,recreation_v2_common_1!H87)/COUNT(recreation_v2_common_5!H87,recreation_v2_common_4!H87,recreation_v2_common_3!H87,recreation_v2_common_2!H87,recreation_v2_common_1!H87),0),"NA")</f>
        <v>1</v>
      </c>
      <c r="I87">
        <f>IF($D87=0,"NA",ROUND(SUM(recreation_v2_common_5!I87,recreation_v2_common_4!I87,recreation_v2_common_3!I87,recreation_v2_common_2!I87,recreation_v2_common_1!I87)/COUNT(recreation_v2_common_5!I87,recreation_v2_common_4!I87,recreation_v2_common_3!I87,recreation_v2_common_2!I87,recreation_v2_common_1!I87),0))</f>
        <v>1</v>
      </c>
      <c r="J87">
        <f>IF(AND(E87 = 1, F87 = 1),ROUND(SUM(recreation_v2_common_5!J87,recreation_v2_common_4!J87,recreation_v2_common_3!J87,recreation_v2_common_2!J87,recreation_v2_common_1!J87)/COUNT(recreation_v2_common_5!J87,recreation_v2_common_4!J87,recreation_v2_common_3!J87,recreation_v2_common_2!J87,recreation_v2_common_1!J87),0),"NA")</f>
        <v>1</v>
      </c>
      <c r="K87">
        <f>IF($D87=0,"NA",ROUND(SUM(recreation_v2_common_5!K87,recreation_v2_common_4!K87,recreation_v2_common_3!K87,recreation_v2_common_2!K87,recreation_v2_common_1!K87)/COUNT(recreation_v2_common_5!K87,recreation_v2_common_4!K87,recreation_v2_common_3!K87,recreation_v2_common_2!K87,recreation_v2_common_1!K87),0))</f>
        <v>1</v>
      </c>
      <c r="L87">
        <f>IF($D87=0,"NA",ROUND(SUM(recreation_v2_common_5!L87,recreation_v2_common_4!L87,recreation_v2_common_3!L87,recreation_v2_common_2!L87,recreation_v2_common_1!L87)/COUNT(recreation_v2_common_5!L87,recreation_v2_common_4!L87,recreation_v2_common_3!L87,recreation_v2_common_2!L87,recreation_v2_common_1!L87),0))</f>
        <v>1</v>
      </c>
      <c r="M87">
        <f>IF($D87=0,"NA",ROUND(SUM(recreation_v2_common_5!M87,recreation_v2_common_4!M87,recreation_v2_common_3!M87,recreation_v2_common_2!M87,recreation_v2_common_1!M87)/COUNT(recreation_v2_common_5!M87,recreation_v2_common_4!M87,recreation_v2_common_3!M87,recreation_v2_common_2!M87,recreation_v2_common_1!M87),0))</f>
        <v>1</v>
      </c>
      <c r="N87">
        <f>IF($D87=0,"NA",ROUND(SUM(recreation_v2_common_5!N87,recreation_v2_common_4!N87,recreation_v2_common_3!N87,recreation_v2_common_2!N87,recreation_v2_common_1!N87)/COUNT(recreation_v2_common_5!N87,recreation_v2_common_4!N87,recreation_v2_common_3!N87,recreation_v2_common_2!N87,recreation_v2_common_1!N87),0))</f>
        <v>1</v>
      </c>
      <c r="O87">
        <v>1.3089091777801509</v>
      </c>
    </row>
    <row r="88" spans="1:15" x14ac:dyDescent="0.25">
      <c r="A88" t="s">
        <v>202</v>
      </c>
      <c r="B88" t="s">
        <v>117</v>
      </c>
      <c r="C88">
        <v>0</v>
      </c>
      <c r="D88">
        <f>ROUND(SUM(recreation_v2_common_5!D88,recreation_v2_common_4!D88,recreation_v2_common_3!D88,recreation_v2_common_2!D88,recreation_v2_common_1!D88)/COUNT(recreation_v2_common_5!D88,recreation_v2_common_4!D88,recreation_v2_common_3!D88,recreation_v2_common_2!D88,recreation_v2_common_1!D88),0)</f>
        <v>1</v>
      </c>
      <c r="E88">
        <f>IF($D88=0,"NA",ROUND(SUM(recreation_v2_common_5!E88,recreation_v2_common_4!E88,recreation_v2_common_3!E88,recreation_v2_common_2!E88,recreation_v2_common_1!E88)/COUNT(recreation_v2_common_5!E88,recreation_v2_common_4!E88,recreation_v2_common_3!E88,recreation_v2_common_2!E88,recreation_v2_common_1!E88),0))</f>
        <v>1</v>
      </c>
      <c r="F88">
        <f>IF($D88=0,"NA",ROUND(SUM(recreation_v2_common_5!F88,recreation_v2_common_4!F88,recreation_v2_common_3!F88,recreation_v2_common_2!F88,recreation_v2_common_1!F88)/COUNT(recreation_v2_common_5!F88,recreation_v2_common_4!F88,recreation_v2_common_3!F88,recreation_v2_common_2!F88,recreation_v2_common_1!F88),0))</f>
        <v>1</v>
      </c>
      <c r="G88">
        <f>IF($D88=0,"NA",ROUND(SUM(recreation_v2_common_5!G88,recreation_v2_common_4!G88,recreation_v2_common_3!G88,recreation_v2_common_2!G88,recreation_v2_common_1!G88)/COUNT(recreation_v2_common_5!G88,recreation_v2_common_4!G88,recreation_v2_common_3!G88,recreation_v2_common_2!G88,recreation_v2_common_1!G88),0))</f>
        <v>1</v>
      </c>
      <c r="H88">
        <f>IF(E88=1, ROUND(SUM(recreation_v2_common_5!H88,recreation_v2_common_4!H88,recreation_v2_common_3!H88,recreation_v2_common_2!H88,recreation_v2_common_1!H88)/COUNT(recreation_v2_common_5!H88,recreation_v2_common_4!H88,recreation_v2_common_3!H88,recreation_v2_common_2!H88,recreation_v2_common_1!H88),0),"NA")</f>
        <v>1</v>
      </c>
      <c r="I88">
        <f>IF($D88=0,"NA",ROUND(SUM(recreation_v2_common_5!I88,recreation_v2_common_4!I88,recreation_v2_common_3!I88,recreation_v2_common_2!I88,recreation_v2_common_1!I88)/COUNT(recreation_v2_common_5!I88,recreation_v2_common_4!I88,recreation_v2_common_3!I88,recreation_v2_common_2!I88,recreation_v2_common_1!I88),0))</f>
        <v>1</v>
      </c>
      <c r="J88">
        <f>IF(AND(E88 = 1, F88 = 1),ROUND(SUM(recreation_v2_common_5!J88,recreation_v2_common_4!J88,recreation_v2_common_3!J88,recreation_v2_common_2!J88,recreation_v2_common_1!J88)/COUNT(recreation_v2_common_5!J88,recreation_v2_common_4!J88,recreation_v2_common_3!J88,recreation_v2_common_2!J88,recreation_v2_common_1!J88),0),"NA")</f>
        <v>1</v>
      </c>
      <c r="K88">
        <f>IF($D88=0,"NA",ROUND(SUM(recreation_v2_common_5!K88,recreation_v2_common_4!K88,recreation_v2_common_3!K88,recreation_v2_common_2!K88,recreation_v2_common_1!K88)/COUNT(recreation_v2_common_5!K88,recreation_v2_common_4!K88,recreation_v2_common_3!K88,recreation_v2_common_2!K88,recreation_v2_common_1!K88),0))</f>
        <v>1</v>
      </c>
      <c r="L88">
        <f>IF($D88=0,"NA",ROUND(SUM(recreation_v2_common_5!L88,recreation_v2_common_4!L88,recreation_v2_common_3!L88,recreation_v2_common_2!L88,recreation_v2_common_1!L88)/COUNT(recreation_v2_common_5!L88,recreation_v2_common_4!L88,recreation_v2_common_3!L88,recreation_v2_common_2!L88,recreation_v2_common_1!L88),0))</f>
        <v>1</v>
      </c>
      <c r="M88">
        <f>IF($D88=0,"NA",ROUND(SUM(recreation_v2_common_5!M88,recreation_v2_common_4!M88,recreation_v2_common_3!M88,recreation_v2_common_2!M88,recreation_v2_common_1!M88)/COUNT(recreation_v2_common_5!M88,recreation_v2_common_4!M88,recreation_v2_common_3!M88,recreation_v2_common_2!M88,recreation_v2_common_1!M88),0))</f>
        <v>1</v>
      </c>
      <c r="N88">
        <f>IF($D88=0,"NA",ROUND(SUM(recreation_v2_common_5!N88,recreation_v2_common_4!N88,recreation_v2_common_3!N88,recreation_v2_common_2!N88,recreation_v2_common_1!N88)/COUNT(recreation_v2_common_5!N88,recreation_v2_common_4!N88,recreation_v2_common_3!N88,recreation_v2_common_2!N88,recreation_v2_common_1!N88),0))</f>
        <v>1</v>
      </c>
      <c r="O88">
        <v>1.7419126033782959</v>
      </c>
    </row>
    <row r="89" spans="1:15" x14ac:dyDescent="0.25">
      <c r="A89" t="s">
        <v>202</v>
      </c>
      <c r="B89" t="s">
        <v>118</v>
      </c>
      <c r="C89">
        <v>0</v>
      </c>
      <c r="D89">
        <f>ROUND(SUM(recreation_v2_common_5!D89,recreation_v2_common_4!D89,recreation_v2_common_3!D89,recreation_v2_common_2!D89,recreation_v2_common_1!D89)/COUNT(recreation_v2_common_5!D89,recreation_v2_common_4!D89,recreation_v2_common_3!D89,recreation_v2_common_2!D89,recreation_v2_common_1!D89),0)</f>
        <v>1</v>
      </c>
      <c r="E89">
        <f>IF($D89=0,"NA",ROUND(SUM(recreation_v2_common_5!E89,recreation_v2_common_4!E89,recreation_v2_common_3!E89,recreation_v2_common_2!E89,recreation_v2_common_1!E89)/COUNT(recreation_v2_common_5!E89,recreation_v2_common_4!E89,recreation_v2_common_3!E89,recreation_v2_common_2!E89,recreation_v2_common_1!E89),0))</f>
        <v>1</v>
      </c>
      <c r="F89">
        <f>IF($D89=0,"NA",ROUND(SUM(recreation_v2_common_5!F89,recreation_v2_common_4!F89,recreation_v2_common_3!F89,recreation_v2_common_2!F89,recreation_v2_common_1!F89)/COUNT(recreation_v2_common_5!F89,recreation_v2_common_4!F89,recreation_v2_common_3!F89,recreation_v2_common_2!F89,recreation_v2_common_1!F89),0))</f>
        <v>1</v>
      </c>
      <c r="G89">
        <f>IF($D89=0,"NA",ROUND(SUM(recreation_v2_common_5!G89,recreation_v2_common_4!G89,recreation_v2_common_3!G89,recreation_v2_common_2!G89,recreation_v2_common_1!G89)/COUNT(recreation_v2_common_5!G89,recreation_v2_common_4!G89,recreation_v2_common_3!G89,recreation_v2_common_2!G89,recreation_v2_common_1!G89),0))</f>
        <v>1</v>
      </c>
      <c r="H89">
        <f>IF(E89=1, ROUND(SUM(recreation_v2_common_5!H89,recreation_v2_common_4!H89,recreation_v2_common_3!H89,recreation_v2_common_2!H89,recreation_v2_common_1!H89)/COUNT(recreation_v2_common_5!H89,recreation_v2_common_4!H89,recreation_v2_common_3!H89,recreation_v2_common_2!H89,recreation_v2_common_1!H89),0),"NA")</f>
        <v>1</v>
      </c>
      <c r="I89">
        <f>IF($D89=0,"NA",ROUND(SUM(recreation_v2_common_5!I89,recreation_v2_common_4!I89,recreation_v2_common_3!I89,recreation_v2_common_2!I89,recreation_v2_common_1!I89)/COUNT(recreation_v2_common_5!I89,recreation_v2_common_4!I89,recreation_v2_common_3!I89,recreation_v2_common_2!I89,recreation_v2_common_1!I89),0))</f>
        <v>1</v>
      </c>
      <c r="J89">
        <f>IF(AND(E89 = 1, F89 = 1),ROUND(SUM(recreation_v2_common_5!J89,recreation_v2_common_4!J89,recreation_v2_common_3!J89,recreation_v2_common_2!J89,recreation_v2_common_1!J89)/COUNT(recreation_v2_common_5!J89,recreation_v2_common_4!J89,recreation_v2_common_3!J89,recreation_v2_common_2!J89,recreation_v2_common_1!J89),0),"NA")</f>
        <v>1</v>
      </c>
      <c r="K89">
        <f>IF($D89=0,"NA",ROUND(SUM(recreation_v2_common_5!K89,recreation_v2_common_4!K89,recreation_v2_common_3!K89,recreation_v2_common_2!K89,recreation_v2_common_1!K89)/COUNT(recreation_v2_common_5!K89,recreation_v2_common_4!K89,recreation_v2_common_3!K89,recreation_v2_common_2!K89,recreation_v2_common_1!K89),0))</f>
        <v>1</v>
      </c>
      <c r="L89">
        <f>IF($D89=0,"NA",ROUND(SUM(recreation_v2_common_5!L89,recreation_v2_common_4!L89,recreation_v2_common_3!L89,recreation_v2_common_2!L89,recreation_v2_common_1!L89)/COUNT(recreation_v2_common_5!L89,recreation_v2_common_4!L89,recreation_v2_common_3!L89,recreation_v2_common_2!L89,recreation_v2_common_1!L89),0))</f>
        <v>1</v>
      </c>
      <c r="M89">
        <f>IF($D89=0,"NA",ROUND(SUM(recreation_v2_common_5!M89,recreation_v2_common_4!M89,recreation_v2_common_3!M89,recreation_v2_common_2!M89,recreation_v2_common_1!M89)/COUNT(recreation_v2_common_5!M89,recreation_v2_common_4!M89,recreation_v2_common_3!M89,recreation_v2_common_2!M89,recreation_v2_common_1!M89),0))</f>
        <v>1</v>
      </c>
      <c r="N89">
        <f>IF($D89=0,"NA",ROUND(SUM(recreation_v2_common_5!N89,recreation_v2_common_4!N89,recreation_v2_common_3!N89,recreation_v2_common_2!N89,recreation_v2_common_1!N89)/COUNT(recreation_v2_common_5!N89,recreation_v2_common_4!N89,recreation_v2_common_3!N89,recreation_v2_common_2!N89,recreation_v2_common_1!N89),0))</f>
        <v>1</v>
      </c>
      <c r="O89">
        <v>1.5033333301544189</v>
      </c>
    </row>
    <row r="90" spans="1:15" x14ac:dyDescent="0.25">
      <c r="A90" t="s">
        <v>202</v>
      </c>
      <c r="B90" t="s">
        <v>119</v>
      </c>
      <c r="C90">
        <v>0</v>
      </c>
      <c r="D90">
        <f>ROUND(SUM(recreation_v2_common_5!D90,recreation_v2_common_4!D90,recreation_v2_common_3!D90,recreation_v2_common_2!D90,recreation_v2_common_1!D90)/COUNT(recreation_v2_common_5!D90,recreation_v2_common_4!D90,recreation_v2_common_3!D90,recreation_v2_common_2!D90,recreation_v2_common_1!D90),0)</f>
        <v>1</v>
      </c>
      <c r="E90">
        <f>IF($D90=0,"NA",ROUND(SUM(recreation_v2_common_5!E90,recreation_v2_common_4!E90,recreation_v2_common_3!E90,recreation_v2_common_2!E90,recreation_v2_common_1!E90)/COUNT(recreation_v2_common_5!E90,recreation_v2_common_4!E90,recreation_v2_common_3!E90,recreation_v2_common_2!E90,recreation_v2_common_1!E90),0))</f>
        <v>1</v>
      </c>
      <c r="F90">
        <f>IF($D90=0,"NA",ROUND(SUM(recreation_v2_common_5!F90,recreation_v2_common_4!F90,recreation_v2_common_3!F90,recreation_v2_common_2!F90,recreation_v2_common_1!F90)/COUNT(recreation_v2_common_5!F90,recreation_v2_common_4!F90,recreation_v2_common_3!F90,recreation_v2_common_2!F90,recreation_v2_common_1!F90),0))</f>
        <v>1</v>
      </c>
      <c r="G90">
        <f>IF($D90=0,"NA",ROUND(SUM(recreation_v2_common_5!G90,recreation_v2_common_4!G90,recreation_v2_common_3!G90,recreation_v2_common_2!G90,recreation_v2_common_1!G90)/COUNT(recreation_v2_common_5!G90,recreation_v2_common_4!G90,recreation_v2_common_3!G90,recreation_v2_common_2!G90,recreation_v2_common_1!G90),0))</f>
        <v>1</v>
      </c>
      <c r="H90">
        <f>IF(E90=1, ROUND(SUM(recreation_v2_common_5!H90,recreation_v2_common_4!H90,recreation_v2_common_3!H90,recreation_v2_common_2!H90,recreation_v2_common_1!H90)/COUNT(recreation_v2_common_5!H90,recreation_v2_common_4!H90,recreation_v2_common_3!H90,recreation_v2_common_2!H90,recreation_v2_common_1!H90),0),"NA")</f>
        <v>1</v>
      </c>
      <c r="I90">
        <f>IF($D90=0,"NA",ROUND(SUM(recreation_v2_common_5!I90,recreation_v2_common_4!I90,recreation_v2_common_3!I90,recreation_v2_common_2!I90,recreation_v2_common_1!I90)/COUNT(recreation_v2_common_5!I90,recreation_v2_common_4!I90,recreation_v2_common_3!I90,recreation_v2_common_2!I90,recreation_v2_common_1!I90),0))</f>
        <v>1</v>
      </c>
      <c r="J90">
        <f>IF(AND(E90 = 1, F90 = 1),ROUND(SUM(recreation_v2_common_5!J90,recreation_v2_common_4!J90,recreation_v2_common_3!J90,recreation_v2_common_2!J90,recreation_v2_common_1!J90)/COUNT(recreation_v2_common_5!J90,recreation_v2_common_4!J90,recreation_v2_common_3!J90,recreation_v2_common_2!J90,recreation_v2_common_1!J90),0),"NA")</f>
        <v>1</v>
      </c>
      <c r="K90">
        <f>IF($D90=0,"NA",ROUND(SUM(recreation_v2_common_5!K90,recreation_v2_common_4!K90,recreation_v2_common_3!K90,recreation_v2_common_2!K90,recreation_v2_common_1!K90)/COUNT(recreation_v2_common_5!K90,recreation_v2_common_4!K90,recreation_v2_common_3!K90,recreation_v2_common_2!K90,recreation_v2_common_1!K90),0))</f>
        <v>1</v>
      </c>
      <c r="L90">
        <f>IF($D90=0,"NA",ROUND(SUM(recreation_v2_common_5!L90,recreation_v2_common_4!L90,recreation_v2_common_3!L90,recreation_v2_common_2!L90,recreation_v2_common_1!L90)/COUNT(recreation_v2_common_5!L90,recreation_v2_common_4!L90,recreation_v2_common_3!L90,recreation_v2_common_2!L90,recreation_v2_common_1!L90),0))</f>
        <v>1</v>
      </c>
      <c r="M90">
        <f>IF($D90=0,"NA",ROUND(SUM(recreation_v2_common_5!M90,recreation_v2_common_4!M90,recreation_v2_common_3!M90,recreation_v2_common_2!M90,recreation_v2_common_1!M90)/COUNT(recreation_v2_common_5!M90,recreation_v2_common_4!M90,recreation_v2_common_3!M90,recreation_v2_common_2!M90,recreation_v2_common_1!M90),0))</f>
        <v>1</v>
      </c>
      <c r="N90">
        <f>IF($D90=0,"NA",ROUND(SUM(recreation_v2_common_5!N90,recreation_v2_common_4!N90,recreation_v2_common_3!N90,recreation_v2_common_2!N90,recreation_v2_common_1!N90)/COUNT(recreation_v2_common_5!N90,recreation_v2_common_4!N90,recreation_v2_common_3!N90,recreation_v2_common_2!N90,recreation_v2_common_1!N90),0))</f>
        <v>1</v>
      </c>
      <c r="O90">
        <v>1.842819929122925</v>
      </c>
    </row>
    <row r="91" spans="1:15" x14ac:dyDescent="0.25">
      <c r="A91" t="s">
        <v>202</v>
      </c>
      <c r="B91" t="s">
        <v>120</v>
      </c>
      <c r="C91">
        <v>0</v>
      </c>
      <c r="D91">
        <f>ROUND(SUM(recreation_v2_common_5!D91,recreation_v2_common_4!D91,recreation_v2_common_3!D91,recreation_v2_common_2!D91,recreation_v2_common_1!D91)/COUNT(recreation_v2_common_5!D91,recreation_v2_common_4!D91,recreation_v2_common_3!D91,recreation_v2_common_2!D91,recreation_v2_common_1!D91),0)</f>
        <v>1</v>
      </c>
      <c r="E91">
        <f>IF($D91=0,"NA",ROUND(SUM(recreation_v2_common_5!E91,recreation_v2_common_4!E91,recreation_v2_common_3!E91,recreation_v2_common_2!E91,recreation_v2_common_1!E91)/COUNT(recreation_v2_common_5!E91,recreation_v2_common_4!E91,recreation_v2_common_3!E91,recreation_v2_common_2!E91,recreation_v2_common_1!E91),0))</f>
        <v>1</v>
      </c>
      <c r="F91">
        <f>IF($D91=0,"NA",ROUND(SUM(recreation_v2_common_5!F91,recreation_v2_common_4!F91,recreation_v2_common_3!F91,recreation_v2_common_2!F91,recreation_v2_common_1!F91)/COUNT(recreation_v2_common_5!F91,recreation_v2_common_4!F91,recreation_v2_common_3!F91,recreation_v2_common_2!F91,recreation_v2_common_1!F91),0))</f>
        <v>1</v>
      </c>
      <c r="G91">
        <f>IF($D91=0,"NA",ROUND(SUM(recreation_v2_common_5!G91,recreation_v2_common_4!G91,recreation_v2_common_3!G91,recreation_v2_common_2!G91,recreation_v2_common_1!G91)/COUNT(recreation_v2_common_5!G91,recreation_v2_common_4!G91,recreation_v2_common_3!G91,recreation_v2_common_2!G91,recreation_v2_common_1!G91),0))</f>
        <v>1</v>
      </c>
      <c r="H91">
        <f>IF(E91=1, ROUND(SUM(recreation_v2_common_5!H91,recreation_v2_common_4!H91,recreation_v2_common_3!H91,recreation_v2_common_2!H91,recreation_v2_common_1!H91)/COUNT(recreation_v2_common_5!H91,recreation_v2_common_4!H91,recreation_v2_common_3!H91,recreation_v2_common_2!H91,recreation_v2_common_1!H91),0),"NA")</f>
        <v>1</v>
      </c>
      <c r="I91">
        <f>IF($D91=0,"NA",ROUND(SUM(recreation_v2_common_5!I91,recreation_v2_common_4!I91,recreation_v2_common_3!I91,recreation_v2_common_2!I91,recreation_v2_common_1!I91)/COUNT(recreation_v2_common_5!I91,recreation_v2_common_4!I91,recreation_v2_common_3!I91,recreation_v2_common_2!I91,recreation_v2_common_1!I91),0))</f>
        <v>1</v>
      </c>
      <c r="J91">
        <f>IF(AND(E91 = 1, F91 = 1),ROUND(SUM(recreation_v2_common_5!J91,recreation_v2_common_4!J91,recreation_v2_common_3!J91,recreation_v2_common_2!J91,recreation_v2_common_1!J91)/COUNT(recreation_v2_common_5!J91,recreation_v2_common_4!J91,recreation_v2_common_3!J91,recreation_v2_common_2!J91,recreation_v2_common_1!J91),0),"NA")</f>
        <v>1</v>
      </c>
      <c r="K91">
        <f>IF($D91=0,"NA",ROUND(SUM(recreation_v2_common_5!K91,recreation_v2_common_4!K91,recreation_v2_common_3!K91,recreation_v2_common_2!K91,recreation_v2_common_1!K91)/COUNT(recreation_v2_common_5!K91,recreation_v2_common_4!K91,recreation_v2_common_3!K91,recreation_v2_common_2!K91,recreation_v2_common_1!K91),0))</f>
        <v>1</v>
      </c>
      <c r="L91">
        <f>IF($D91=0,"NA",ROUND(SUM(recreation_v2_common_5!L91,recreation_v2_common_4!L91,recreation_v2_common_3!L91,recreation_v2_common_2!L91,recreation_v2_common_1!L91)/COUNT(recreation_v2_common_5!L91,recreation_v2_common_4!L91,recreation_v2_common_3!L91,recreation_v2_common_2!L91,recreation_v2_common_1!L91),0))</f>
        <v>1</v>
      </c>
      <c r="M91">
        <f>IF($D91=0,"NA",ROUND(SUM(recreation_v2_common_5!M91,recreation_v2_common_4!M91,recreation_v2_common_3!M91,recreation_v2_common_2!M91,recreation_v2_common_1!M91)/COUNT(recreation_v2_common_5!M91,recreation_v2_common_4!M91,recreation_v2_common_3!M91,recreation_v2_common_2!M91,recreation_v2_common_1!M91),0))</f>
        <v>1</v>
      </c>
      <c r="N91">
        <f>IF($D91=0,"NA",ROUND(SUM(recreation_v2_common_5!N91,recreation_v2_common_4!N91,recreation_v2_common_3!N91,recreation_v2_common_2!N91,recreation_v2_common_1!N91)/COUNT(recreation_v2_common_5!N91,recreation_v2_common_4!N91,recreation_v2_common_3!N91,recreation_v2_common_2!N91,recreation_v2_common_1!N91),0))</f>
        <v>1</v>
      </c>
      <c r="O91">
        <v>2.1538510322570801</v>
      </c>
    </row>
    <row r="92" spans="1:15" x14ac:dyDescent="0.25">
      <c r="A92" t="s">
        <v>202</v>
      </c>
      <c r="B92" t="s">
        <v>121</v>
      </c>
      <c r="C92">
        <v>0</v>
      </c>
      <c r="D92">
        <f>ROUND(SUM(recreation_v2_common_5!D92,recreation_v2_common_4!D92,recreation_v2_common_3!D92,recreation_v2_common_2!D92,recreation_v2_common_1!D92)/COUNT(recreation_v2_common_5!D92,recreation_v2_common_4!D92,recreation_v2_common_3!D92,recreation_v2_common_2!D92,recreation_v2_common_1!D92),0)</f>
        <v>1</v>
      </c>
      <c r="E92">
        <f>IF($D92=0,"NA",ROUND(SUM(recreation_v2_common_5!E92,recreation_v2_common_4!E92,recreation_v2_common_3!E92,recreation_v2_common_2!E92,recreation_v2_common_1!E92)/COUNT(recreation_v2_common_5!E92,recreation_v2_common_4!E92,recreation_v2_common_3!E92,recreation_v2_common_2!E92,recreation_v2_common_1!E92),0))</f>
        <v>1</v>
      </c>
      <c r="F92">
        <f>IF($D92=0,"NA",ROUND(SUM(recreation_v2_common_5!F92,recreation_v2_common_4!F92,recreation_v2_common_3!F92,recreation_v2_common_2!F92,recreation_v2_common_1!F92)/COUNT(recreation_v2_common_5!F92,recreation_v2_common_4!F92,recreation_v2_common_3!F92,recreation_v2_common_2!F92,recreation_v2_common_1!F92),0))</f>
        <v>1</v>
      </c>
      <c r="G92">
        <f>IF($D92=0,"NA",ROUND(SUM(recreation_v2_common_5!G92,recreation_v2_common_4!G92,recreation_v2_common_3!G92,recreation_v2_common_2!G92,recreation_v2_common_1!G92)/COUNT(recreation_v2_common_5!G92,recreation_v2_common_4!G92,recreation_v2_common_3!G92,recreation_v2_common_2!G92,recreation_v2_common_1!G92),0))</f>
        <v>1</v>
      </c>
      <c r="H92">
        <f>IF(E92=1, ROUND(SUM(recreation_v2_common_5!H92,recreation_v2_common_4!H92,recreation_v2_common_3!H92,recreation_v2_common_2!H92,recreation_v2_common_1!H92)/COUNT(recreation_v2_common_5!H92,recreation_v2_common_4!H92,recreation_v2_common_3!H92,recreation_v2_common_2!H92,recreation_v2_common_1!H92),0),"NA")</f>
        <v>1</v>
      </c>
      <c r="I92">
        <f>IF($D92=0,"NA",ROUND(SUM(recreation_v2_common_5!I92,recreation_v2_common_4!I92,recreation_v2_common_3!I92,recreation_v2_common_2!I92,recreation_v2_common_1!I92)/COUNT(recreation_v2_common_5!I92,recreation_v2_common_4!I92,recreation_v2_common_3!I92,recreation_v2_common_2!I92,recreation_v2_common_1!I92),0))</f>
        <v>1</v>
      </c>
      <c r="J92">
        <f>IF(AND(E92 = 1, F92 = 1),ROUND(SUM(recreation_v2_common_5!J92,recreation_v2_common_4!J92,recreation_v2_common_3!J92,recreation_v2_common_2!J92,recreation_v2_common_1!J92)/COUNT(recreation_v2_common_5!J92,recreation_v2_common_4!J92,recreation_v2_common_3!J92,recreation_v2_common_2!J92,recreation_v2_common_1!J92),0),"NA")</f>
        <v>1</v>
      </c>
      <c r="K92">
        <f>IF($D92=0,"NA",ROUND(SUM(recreation_v2_common_5!K92,recreation_v2_common_4!K92,recreation_v2_common_3!K92,recreation_v2_common_2!K92,recreation_v2_common_1!K92)/COUNT(recreation_v2_common_5!K92,recreation_v2_common_4!K92,recreation_v2_common_3!K92,recreation_v2_common_2!K92,recreation_v2_common_1!K92),0))</f>
        <v>1</v>
      </c>
      <c r="L92">
        <f>IF($D92=0,"NA",ROUND(SUM(recreation_v2_common_5!L92,recreation_v2_common_4!L92,recreation_v2_common_3!L92,recreation_v2_common_2!L92,recreation_v2_common_1!L92)/COUNT(recreation_v2_common_5!L92,recreation_v2_common_4!L92,recreation_v2_common_3!L92,recreation_v2_common_2!L92,recreation_v2_common_1!L92),0))</f>
        <v>1</v>
      </c>
      <c r="M92">
        <f>IF($D92=0,"NA",ROUND(SUM(recreation_v2_common_5!M92,recreation_v2_common_4!M92,recreation_v2_common_3!M92,recreation_v2_common_2!M92,recreation_v2_common_1!M92)/COUNT(recreation_v2_common_5!M92,recreation_v2_common_4!M92,recreation_v2_common_3!M92,recreation_v2_common_2!M92,recreation_v2_common_1!M92),0))</f>
        <v>1</v>
      </c>
      <c r="N92">
        <f>IF($D92=0,"NA",ROUND(SUM(recreation_v2_common_5!N92,recreation_v2_common_4!N92,recreation_v2_common_3!N92,recreation_v2_common_2!N92,recreation_v2_common_1!N92)/COUNT(recreation_v2_common_5!N92,recreation_v2_common_4!N92,recreation_v2_common_3!N92,recreation_v2_common_2!N92,recreation_v2_common_1!N92),0))</f>
        <v>1</v>
      </c>
      <c r="O92">
        <v>1.349204301834106</v>
      </c>
    </row>
    <row r="93" spans="1:15" x14ac:dyDescent="0.25">
      <c r="A93" t="s">
        <v>202</v>
      </c>
      <c r="B93" t="s">
        <v>122</v>
      </c>
      <c r="C93">
        <v>0</v>
      </c>
      <c r="D93">
        <f>ROUND(SUM(recreation_v2_common_5!D93,recreation_v2_common_4!D93,recreation_v2_common_3!D93,recreation_v2_common_2!D93,recreation_v2_common_1!D93)/COUNT(recreation_v2_common_5!D93,recreation_v2_common_4!D93,recreation_v2_common_3!D93,recreation_v2_common_2!D93,recreation_v2_common_1!D93),0)</f>
        <v>1</v>
      </c>
      <c r="E93">
        <f>IF($D93=0,"NA",ROUND(SUM(recreation_v2_common_5!E93,recreation_v2_common_4!E93,recreation_v2_common_3!E93,recreation_v2_common_2!E93,recreation_v2_common_1!E93)/COUNT(recreation_v2_common_5!E93,recreation_v2_common_4!E93,recreation_v2_common_3!E93,recreation_v2_common_2!E93,recreation_v2_common_1!E93),0))</f>
        <v>1</v>
      </c>
      <c r="F93">
        <f>IF($D93=0,"NA",ROUND(SUM(recreation_v2_common_5!F93,recreation_v2_common_4!F93,recreation_v2_common_3!F93,recreation_v2_common_2!F93,recreation_v2_common_1!F93)/COUNT(recreation_v2_common_5!F93,recreation_v2_common_4!F93,recreation_v2_common_3!F93,recreation_v2_common_2!F93,recreation_v2_common_1!F93),0))</f>
        <v>1</v>
      </c>
      <c r="G93">
        <f>IF($D93=0,"NA",ROUND(SUM(recreation_v2_common_5!G93,recreation_v2_common_4!G93,recreation_v2_common_3!G93,recreation_v2_common_2!G93,recreation_v2_common_1!G93)/COUNT(recreation_v2_common_5!G93,recreation_v2_common_4!G93,recreation_v2_common_3!G93,recreation_v2_common_2!G93,recreation_v2_common_1!G93),0))</f>
        <v>1</v>
      </c>
      <c r="H93">
        <f>IF(E93=1, ROUND(SUM(recreation_v2_common_5!H93,recreation_v2_common_4!H93,recreation_v2_common_3!H93,recreation_v2_common_2!H93,recreation_v2_common_1!H93)/COUNT(recreation_v2_common_5!H93,recreation_v2_common_4!H93,recreation_v2_common_3!H93,recreation_v2_common_2!H93,recreation_v2_common_1!H93),0),"NA")</f>
        <v>1</v>
      </c>
      <c r="I93">
        <f>IF($D93=0,"NA",ROUND(SUM(recreation_v2_common_5!I93,recreation_v2_common_4!I93,recreation_v2_common_3!I93,recreation_v2_common_2!I93,recreation_v2_common_1!I93)/COUNT(recreation_v2_common_5!I93,recreation_v2_common_4!I93,recreation_v2_common_3!I93,recreation_v2_common_2!I93,recreation_v2_common_1!I93),0))</f>
        <v>1</v>
      </c>
      <c r="J93">
        <f>IF(AND(E93 = 1, F93 = 1),ROUND(SUM(recreation_v2_common_5!J93,recreation_v2_common_4!J93,recreation_v2_common_3!J93,recreation_v2_common_2!J93,recreation_v2_common_1!J93)/COUNT(recreation_v2_common_5!J93,recreation_v2_common_4!J93,recreation_v2_common_3!J93,recreation_v2_common_2!J93,recreation_v2_common_1!J93),0),"NA")</f>
        <v>1</v>
      </c>
      <c r="K93">
        <f>IF($D93=0,"NA",ROUND(SUM(recreation_v2_common_5!K93,recreation_v2_common_4!K93,recreation_v2_common_3!K93,recreation_v2_common_2!K93,recreation_v2_common_1!K93)/COUNT(recreation_v2_common_5!K93,recreation_v2_common_4!K93,recreation_v2_common_3!K93,recreation_v2_common_2!K93,recreation_v2_common_1!K93),0))</f>
        <v>1</v>
      </c>
      <c r="L93">
        <f>IF($D93=0,"NA",ROUND(SUM(recreation_v2_common_5!L93,recreation_v2_common_4!L93,recreation_v2_common_3!L93,recreation_v2_common_2!L93,recreation_v2_common_1!L93)/COUNT(recreation_v2_common_5!L93,recreation_v2_common_4!L93,recreation_v2_common_3!L93,recreation_v2_common_2!L93,recreation_v2_common_1!L93),0))</f>
        <v>1</v>
      </c>
      <c r="M93">
        <f>IF($D93=0,"NA",ROUND(SUM(recreation_v2_common_5!M93,recreation_v2_common_4!M93,recreation_v2_common_3!M93,recreation_v2_common_2!M93,recreation_v2_common_1!M93)/COUNT(recreation_v2_common_5!M93,recreation_v2_common_4!M93,recreation_v2_common_3!M93,recreation_v2_common_2!M93,recreation_v2_common_1!M93),0))</f>
        <v>1</v>
      </c>
      <c r="N93">
        <f>IF($D93=0,"NA",ROUND(SUM(recreation_v2_common_5!N93,recreation_v2_common_4!N93,recreation_v2_common_3!N93,recreation_v2_common_2!N93,recreation_v2_common_1!N93)/COUNT(recreation_v2_common_5!N93,recreation_v2_common_4!N93,recreation_v2_common_3!N93,recreation_v2_common_2!N93,recreation_v2_common_1!N93),0))</f>
        <v>1</v>
      </c>
      <c r="O93">
        <v>2.8440818786621089</v>
      </c>
    </row>
    <row r="94" spans="1:15" x14ac:dyDescent="0.25">
      <c r="A94" t="s">
        <v>202</v>
      </c>
      <c r="B94" t="s">
        <v>123</v>
      </c>
      <c r="C94">
        <v>0</v>
      </c>
      <c r="D94">
        <f>ROUND(SUM(recreation_v2_common_5!D94,recreation_v2_common_4!D94,recreation_v2_common_3!D94,recreation_v2_common_2!D94,recreation_v2_common_1!D94)/COUNT(recreation_v2_common_5!D94,recreation_v2_common_4!D94,recreation_v2_common_3!D94,recreation_v2_common_2!D94,recreation_v2_common_1!D94),0)</f>
        <v>1</v>
      </c>
      <c r="E94">
        <f>IF($D94=0,"NA",ROUND(SUM(recreation_v2_common_5!E94,recreation_v2_common_4!E94,recreation_v2_common_3!E94,recreation_v2_common_2!E94,recreation_v2_common_1!E94)/COUNT(recreation_v2_common_5!E94,recreation_v2_common_4!E94,recreation_v2_common_3!E94,recreation_v2_common_2!E94,recreation_v2_common_1!E94),0))</f>
        <v>1</v>
      </c>
      <c r="F94">
        <f>IF($D94=0,"NA",ROUND(SUM(recreation_v2_common_5!F94,recreation_v2_common_4!F94,recreation_v2_common_3!F94,recreation_v2_common_2!F94,recreation_v2_common_1!F94)/COUNT(recreation_v2_common_5!F94,recreation_v2_common_4!F94,recreation_v2_common_3!F94,recreation_v2_common_2!F94,recreation_v2_common_1!F94),0))</f>
        <v>1</v>
      </c>
      <c r="G94">
        <f>IF($D94=0,"NA",ROUND(SUM(recreation_v2_common_5!G94,recreation_v2_common_4!G94,recreation_v2_common_3!G94,recreation_v2_common_2!G94,recreation_v2_common_1!G94)/COUNT(recreation_v2_common_5!G94,recreation_v2_common_4!G94,recreation_v2_common_3!G94,recreation_v2_common_2!G94,recreation_v2_common_1!G94),0))</f>
        <v>1</v>
      </c>
      <c r="H94">
        <f>IF(E94=1, ROUND(SUM(recreation_v2_common_5!H94,recreation_v2_common_4!H94,recreation_v2_common_3!H94,recreation_v2_common_2!H94,recreation_v2_common_1!H94)/COUNT(recreation_v2_common_5!H94,recreation_v2_common_4!H94,recreation_v2_common_3!H94,recreation_v2_common_2!H94,recreation_v2_common_1!H94),0),"NA")</f>
        <v>1</v>
      </c>
      <c r="I94">
        <f>IF($D94=0,"NA",ROUND(SUM(recreation_v2_common_5!I94,recreation_v2_common_4!I94,recreation_v2_common_3!I94,recreation_v2_common_2!I94,recreation_v2_common_1!I94)/COUNT(recreation_v2_common_5!I94,recreation_v2_common_4!I94,recreation_v2_common_3!I94,recreation_v2_common_2!I94,recreation_v2_common_1!I94),0))</f>
        <v>1</v>
      </c>
      <c r="J94">
        <f>IF(AND(E94 = 1, F94 = 1),ROUND(SUM(recreation_v2_common_5!J94,recreation_v2_common_4!J94,recreation_v2_common_3!J94,recreation_v2_common_2!J94,recreation_v2_common_1!J94)/COUNT(recreation_v2_common_5!J94,recreation_v2_common_4!J94,recreation_v2_common_3!J94,recreation_v2_common_2!J94,recreation_v2_common_1!J94),0),"NA")</f>
        <v>1</v>
      </c>
      <c r="K94">
        <f>IF($D94=0,"NA",ROUND(SUM(recreation_v2_common_5!K94,recreation_v2_common_4!K94,recreation_v2_common_3!K94,recreation_v2_common_2!K94,recreation_v2_common_1!K94)/COUNT(recreation_v2_common_5!K94,recreation_v2_common_4!K94,recreation_v2_common_3!K94,recreation_v2_common_2!K94,recreation_v2_common_1!K94),0))</f>
        <v>1</v>
      </c>
      <c r="L94">
        <f>IF($D94=0,"NA",ROUND(SUM(recreation_v2_common_5!L94,recreation_v2_common_4!L94,recreation_v2_common_3!L94,recreation_v2_common_2!L94,recreation_v2_common_1!L94)/COUNT(recreation_v2_common_5!L94,recreation_v2_common_4!L94,recreation_v2_common_3!L94,recreation_v2_common_2!L94,recreation_v2_common_1!L94),0))</f>
        <v>1</v>
      </c>
      <c r="M94">
        <f>IF($D94=0,"NA",ROUND(SUM(recreation_v2_common_5!M94,recreation_v2_common_4!M94,recreation_v2_common_3!M94,recreation_v2_common_2!M94,recreation_v2_common_1!M94)/COUNT(recreation_v2_common_5!M94,recreation_v2_common_4!M94,recreation_v2_common_3!M94,recreation_v2_common_2!M94,recreation_v2_common_1!M94),0))</f>
        <v>1</v>
      </c>
      <c r="N94">
        <f>IF($D94=0,"NA",ROUND(SUM(recreation_v2_common_5!N94,recreation_v2_common_4!N94,recreation_v2_common_3!N94,recreation_v2_common_2!N94,recreation_v2_common_1!N94)/COUNT(recreation_v2_common_5!N94,recreation_v2_common_4!N94,recreation_v2_common_3!N94,recreation_v2_common_2!N94,recreation_v2_common_1!N94),0))</f>
        <v>1</v>
      </c>
      <c r="O94">
        <v>2.0057933330535889</v>
      </c>
    </row>
    <row r="95" spans="1:15" x14ac:dyDescent="0.25">
      <c r="A95" t="s">
        <v>202</v>
      </c>
      <c r="B95" t="s">
        <v>124</v>
      </c>
      <c r="C95">
        <v>0</v>
      </c>
      <c r="D95">
        <f>ROUND(SUM(recreation_v2_common_5!D95,recreation_v2_common_4!D95,recreation_v2_common_3!D95,recreation_v2_common_2!D95,recreation_v2_common_1!D95)/COUNT(recreation_v2_common_5!D95,recreation_v2_common_4!D95,recreation_v2_common_3!D95,recreation_v2_common_2!D95,recreation_v2_common_1!D95),0)</f>
        <v>1</v>
      </c>
      <c r="E95">
        <f>IF($D95=0,"NA",ROUND(SUM(recreation_v2_common_5!E95,recreation_v2_common_4!E95,recreation_v2_common_3!E95,recreation_v2_common_2!E95,recreation_v2_common_1!E95)/COUNT(recreation_v2_common_5!E95,recreation_v2_common_4!E95,recreation_v2_common_3!E95,recreation_v2_common_2!E95,recreation_v2_common_1!E95),0))</f>
        <v>1</v>
      </c>
      <c r="F95">
        <f>IF($D95=0,"NA",ROUND(SUM(recreation_v2_common_5!F95,recreation_v2_common_4!F95,recreation_v2_common_3!F95,recreation_v2_common_2!F95,recreation_v2_common_1!F95)/COUNT(recreation_v2_common_5!F95,recreation_v2_common_4!F95,recreation_v2_common_3!F95,recreation_v2_common_2!F95,recreation_v2_common_1!F95),0))</f>
        <v>1</v>
      </c>
      <c r="G95">
        <f>IF($D95=0,"NA",ROUND(SUM(recreation_v2_common_5!G95,recreation_v2_common_4!G95,recreation_v2_common_3!G95,recreation_v2_common_2!G95,recreation_v2_common_1!G95)/COUNT(recreation_v2_common_5!G95,recreation_v2_common_4!G95,recreation_v2_common_3!G95,recreation_v2_common_2!G95,recreation_v2_common_1!G95),0))</f>
        <v>1</v>
      </c>
      <c r="H95">
        <f>IF(E95=1, ROUND(SUM(recreation_v2_common_5!H95,recreation_v2_common_4!H95,recreation_v2_common_3!H95,recreation_v2_common_2!H95,recreation_v2_common_1!H95)/COUNT(recreation_v2_common_5!H95,recreation_v2_common_4!H95,recreation_v2_common_3!H95,recreation_v2_common_2!H95,recreation_v2_common_1!H95),0),"NA")</f>
        <v>1</v>
      </c>
      <c r="I95">
        <f>IF($D95=0,"NA",ROUND(SUM(recreation_v2_common_5!I95,recreation_v2_common_4!I95,recreation_v2_common_3!I95,recreation_v2_common_2!I95,recreation_v2_common_1!I95)/COUNT(recreation_v2_common_5!I95,recreation_v2_common_4!I95,recreation_v2_common_3!I95,recreation_v2_common_2!I95,recreation_v2_common_1!I95),0))</f>
        <v>1</v>
      </c>
      <c r="J95">
        <f>IF(AND(E95 = 1, F95 = 1),ROUND(SUM(recreation_v2_common_5!J95,recreation_v2_common_4!J95,recreation_v2_common_3!J95,recreation_v2_common_2!J95,recreation_v2_common_1!J95)/COUNT(recreation_v2_common_5!J95,recreation_v2_common_4!J95,recreation_v2_common_3!J95,recreation_v2_common_2!J95,recreation_v2_common_1!J95),0),"NA")</f>
        <v>1</v>
      </c>
      <c r="K95">
        <f>IF($D95=0,"NA",ROUND(SUM(recreation_v2_common_5!K95,recreation_v2_common_4!K95,recreation_v2_common_3!K95,recreation_v2_common_2!K95,recreation_v2_common_1!K95)/COUNT(recreation_v2_common_5!K95,recreation_v2_common_4!K95,recreation_v2_common_3!K95,recreation_v2_common_2!K95,recreation_v2_common_1!K95),0))</f>
        <v>1</v>
      </c>
      <c r="L95">
        <f>IF($D95=0,"NA",ROUND(SUM(recreation_v2_common_5!L95,recreation_v2_common_4!L95,recreation_v2_common_3!L95,recreation_v2_common_2!L95,recreation_v2_common_1!L95)/COUNT(recreation_v2_common_5!L95,recreation_v2_common_4!L95,recreation_v2_common_3!L95,recreation_v2_common_2!L95,recreation_v2_common_1!L95),0))</f>
        <v>1</v>
      </c>
      <c r="M95">
        <f>IF($D95=0,"NA",ROUND(SUM(recreation_v2_common_5!M95,recreation_v2_common_4!M95,recreation_v2_common_3!M95,recreation_v2_common_2!M95,recreation_v2_common_1!M95)/COUNT(recreation_v2_common_5!M95,recreation_v2_common_4!M95,recreation_v2_common_3!M95,recreation_v2_common_2!M95,recreation_v2_common_1!M95),0))</f>
        <v>1</v>
      </c>
      <c r="N95">
        <f>IF($D95=0,"NA",ROUND(SUM(recreation_v2_common_5!N95,recreation_v2_common_4!N95,recreation_v2_common_3!N95,recreation_v2_common_2!N95,recreation_v2_common_1!N95)/COUNT(recreation_v2_common_5!N95,recreation_v2_common_4!N95,recreation_v2_common_3!N95,recreation_v2_common_2!N95,recreation_v2_common_1!N95),0))</f>
        <v>1</v>
      </c>
      <c r="O95">
        <v>1.576246023178101</v>
      </c>
    </row>
    <row r="96" spans="1:15" x14ac:dyDescent="0.25">
      <c r="A96" t="s">
        <v>202</v>
      </c>
      <c r="B96" t="s">
        <v>125</v>
      </c>
      <c r="C96">
        <v>0</v>
      </c>
      <c r="D96">
        <f>ROUND(SUM(recreation_v2_common_5!D96,recreation_v2_common_4!D96,recreation_v2_common_3!D96,recreation_v2_common_2!D96,recreation_v2_common_1!D96)/COUNT(recreation_v2_common_5!D96,recreation_v2_common_4!D96,recreation_v2_common_3!D96,recreation_v2_common_2!D96,recreation_v2_common_1!D96),0)</f>
        <v>1</v>
      </c>
      <c r="E96">
        <f>IF($D96=0,"NA",ROUND(SUM(recreation_v2_common_5!E96,recreation_v2_common_4!E96,recreation_v2_common_3!E96,recreation_v2_common_2!E96,recreation_v2_common_1!E96)/COUNT(recreation_v2_common_5!E96,recreation_v2_common_4!E96,recreation_v2_common_3!E96,recreation_v2_common_2!E96,recreation_v2_common_1!E96),0))</f>
        <v>1</v>
      </c>
      <c r="F96">
        <f>IF($D96=0,"NA",ROUND(SUM(recreation_v2_common_5!F96,recreation_v2_common_4!F96,recreation_v2_common_3!F96,recreation_v2_common_2!F96,recreation_v2_common_1!F96)/COUNT(recreation_v2_common_5!F96,recreation_v2_common_4!F96,recreation_v2_common_3!F96,recreation_v2_common_2!F96,recreation_v2_common_1!F96),0))</f>
        <v>1</v>
      </c>
      <c r="G96">
        <f>IF($D96=0,"NA",ROUND(SUM(recreation_v2_common_5!G96,recreation_v2_common_4!G96,recreation_v2_common_3!G96,recreation_v2_common_2!G96,recreation_v2_common_1!G96)/COUNT(recreation_v2_common_5!G96,recreation_v2_common_4!G96,recreation_v2_common_3!G96,recreation_v2_common_2!G96,recreation_v2_common_1!G96),0))</f>
        <v>1</v>
      </c>
      <c r="H96">
        <f>IF(E96=1, ROUND(SUM(recreation_v2_common_5!H96,recreation_v2_common_4!H96,recreation_v2_common_3!H96,recreation_v2_common_2!H96,recreation_v2_common_1!H96)/COUNT(recreation_v2_common_5!H96,recreation_v2_common_4!H96,recreation_v2_common_3!H96,recreation_v2_common_2!H96,recreation_v2_common_1!H96),0),"NA")</f>
        <v>1</v>
      </c>
      <c r="I96">
        <f>IF($D96=0,"NA",ROUND(SUM(recreation_v2_common_5!I96,recreation_v2_common_4!I96,recreation_v2_common_3!I96,recreation_v2_common_2!I96,recreation_v2_common_1!I96)/COUNT(recreation_v2_common_5!I96,recreation_v2_common_4!I96,recreation_v2_common_3!I96,recreation_v2_common_2!I96,recreation_v2_common_1!I96),0))</f>
        <v>1</v>
      </c>
      <c r="J96">
        <f>IF(AND(E96 = 1, F96 = 1),ROUND(SUM(recreation_v2_common_5!J96,recreation_v2_common_4!J96,recreation_v2_common_3!J96,recreation_v2_common_2!J96,recreation_v2_common_1!J96)/COUNT(recreation_v2_common_5!J96,recreation_v2_common_4!J96,recreation_v2_common_3!J96,recreation_v2_common_2!J96,recreation_v2_common_1!J96),0),"NA")</f>
        <v>1</v>
      </c>
      <c r="K96">
        <f>IF($D96=0,"NA",ROUND(SUM(recreation_v2_common_5!K96,recreation_v2_common_4!K96,recreation_v2_common_3!K96,recreation_v2_common_2!K96,recreation_v2_common_1!K96)/COUNT(recreation_v2_common_5!K96,recreation_v2_common_4!K96,recreation_v2_common_3!K96,recreation_v2_common_2!K96,recreation_v2_common_1!K96),0))</f>
        <v>1</v>
      </c>
      <c r="L96">
        <f>IF($D96=0,"NA",ROUND(SUM(recreation_v2_common_5!L96,recreation_v2_common_4!L96,recreation_v2_common_3!L96,recreation_v2_common_2!L96,recreation_v2_common_1!L96)/COUNT(recreation_v2_common_5!L96,recreation_v2_common_4!L96,recreation_v2_common_3!L96,recreation_v2_common_2!L96,recreation_v2_common_1!L96),0))</f>
        <v>1</v>
      </c>
      <c r="M96">
        <f>IF($D96=0,"NA",ROUND(SUM(recreation_v2_common_5!M96,recreation_v2_common_4!M96,recreation_v2_common_3!M96,recreation_v2_common_2!M96,recreation_v2_common_1!M96)/COUNT(recreation_v2_common_5!M96,recreation_v2_common_4!M96,recreation_v2_common_3!M96,recreation_v2_common_2!M96,recreation_v2_common_1!M96),0))</f>
        <v>1</v>
      </c>
      <c r="N96">
        <f>IF($D96=0,"NA",ROUND(SUM(recreation_v2_common_5!N96,recreation_v2_common_4!N96,recreation_v2_common_3!N96,recreation_v2_common_2!N96,recreation_v2_common_1!N96)/COUNT(recreation_v2_common_5!N96,recreation_v2_common_4!N96,recreation_v2_common_3!N96,recreation_v2_common_2!N96,recreation_v2_common_1!N96),0))</f>
        <v>1</v>
      </c>
      <c r="O96">
        <v>1.9588208198547361</v>
      </c>
    </row>
    <row r="97" spans="1:15" x14ac:dyDescent="0.25">
      <c r="A97" t="s">
        <v>202</v>
      </c>
      <c r="B97" t="s">
        <v>126</v>
      </c>
      <c r="C97">
        <v>0</v>
      </c>
      <c r="D97">
        <f>ROUND(SUM(recreation_v2_common_5!D97,recreation_v2_common_4!D97,recreation_v2_common_3!D97,recreation_v2_common_2!D97,recreation_v2_common_1!D97)/COUNT(recreation_v2_common_5!D97,recreation_v2_common_4!D97,recreation_v2_common_3!D97,recreation_v2_common_2!D97,recreation_v2_common_1!D97),0)</f>
        <v>1</v>
      </c>
      <c r="E97">
        <f>IF($D97=0,"NA",ROUND(SUM(recreation_v2_common_5!E97,recreation_v2_common_4!E97,recreation_v2_common_3!E97,recreation_v2_common_2!E97,recreation_v2_common_1!E97)/COUNT(recreation_v2_common_5!E97,recreation_v2_common_4!E97,recreation_v2_common_3!E97,recreation_v2_common_2!E97,recreation_v2_common_1!E97),0))</f>
        <v>1</v>
      </c>
      <c r="F97">
        <f>IF($D97=0,"NA",ROUND(SUM(recreation_v2_common_5!F97,recreation_v2_common_4!F97,recreation_v2_common_3!F97,recreation_v2_common_2!F97,recreation_v2_common_1!F97)/COUNT(recreation_v2_common_5!F97,recreation_v2_common_4!F97,recreation_v2_common_3!F97,recreation_v2_common_2!F97,recreation_v2_common_1!F97),0))</f>
        <v>1</v>
      </c>
      <c r="G97">
        <f>IF($D97=0,"NA",ROUND(SUM(recreation_v2_common_5!G97,recreation_v2_common_4!G97,recreation_v2_common_3!G97,recreation_v2_common_2!G97,recreation_v2_common_1!G97)/COUNT(recreation_v2_common_5!G97,recreation_v2_common_4!G97,recreation_v2_common_3!G97,recreation_v2_common_2!G97,recreation_v2_common_1!G97),0))</f>
        <v>1</v>
      </c>
      <c r="H97">
        <f>IF(E97=1, ROUND(SUM(recreation_v2_common_5!H97,recreation_v2_common_4!H97,recreation_v2_common_3!H97,recreation_v2_common_2!H97,recreation_v2_common_1!H97)/COUNT(recreation_v2_common_5!H97,recreation_v2_common_4!H97,recreation_v2_common_3!H97,recreation_v2_common_2!H97,recreation_v2_common_1!H97),0),"NA")</f>
        <v>1</v>
      </c>
      <c r="I97">
        <f>IF($D97=0,"NA",ROUND(SUM(recreation_v2_common_5!I97,recreation_v2_common_4!I97,recreation_v2_common_3!I97,recreation_v2_common_2!I97,recreation_v2_common_1!I97)/COUNT(recreation_v2_common_5!I97,recreation_v2_common_4!I97,recreation_v2_common_3!I97,recreation_v2_common_2!I97,recreation_v2_common_1!I97),0))</f>
        <v>1</v>
      </c>
      <c r="J97">
        <f>IF(AND(E97 = 1, F97 = 1),ROUND(SUM(recreation_v2_common_5!J97,recreation_v2_common_4!J97,recreation_v2_common_3!J97,recreation_v2_common_2!J97,recreation_v2_common_1!J97)/COUNT(recreation_v2_common_5!J97,recreation_v2_common_4!J97,recreation_v2_common_3!J97,recreation_v2_common_2!J97,recreation_v2_common_1!J97),0),"NA")</f>
        <v>1</v>
      </c>
      <c r="K97">
        <f>IF($D97=0,"NA",ROUND(SUM(recreation_v2_common_5!K97,recreation_v2_common_4!K97,recreation_v2_common_3!K97,recreation_v2_common_2!K97,recreation_v2_common_1!K97)/COUNT(recreation_v2_common_5!K97,recreation_v2_common_4!K97,recreation_v2_common_3!K97,recreation_v2_common_2!K97,recreation_v2_common_1!K97),0))</f>
        <v>1</v>
      </c>
      <c r="L97">
        <f>IF($D97=0,"NA",ROUND(SUM(recreation_v2_common_5!L97,recreation_v2_common_4!L97,recreation_v2_common_3!L97,recreation_v2_common_2!L97,recreation_v2_common_1!L97)/COUNT(recreation_v2_common_5!L97,recreation_v2_common_4!L97,recreation_v2_common_3!L97,recreation_v2_common_2!L97,recreation_v2_common_1!L97),0))</f>
        <v>1</v>
      </c>
      <c r="M97">
        <f>IF($D97=0,"NA",ROUND(SUM(recreation_v2_common_5!M97,recreation_v2_common_4!M97,recreation_v2_common_3!M97,recreation_v2_common_2!M97,recreation_v2_common_1!M97)/COUNT(recreation_v2_common_5!M97,recreation_v2_common_4!M97,recreation_v2_common_3!M97,recreation_v2_common_2!M97,recreation_v2_common_1!M97),0))</f>
        <v>1</v>
      </c>
      <c r="N97">
        <f>IF($D97=0,"NA",ROUND(SUM(recreation_v2_common_5!N97,recreation_v2_common_4!N97,recreation_v2_common_3!N97,recreation_v2_common_2!N97,recreation_v2_common_1!N97)/COUNT(recreation_v2_common_5!N97,recreation_v2_common_4!N97,recreation_v2_common_3!N97,recreation_v2_common_2!N97,recreation_v2_common_1!N97),0))</f>
        <v>1</v>
      </c>
      <c r="O97">
        <v>1.519176244735718</v>
      </c>
    </row>
    <row r="98" spans="1:15" x14ac:dyDescent="0.25">
      <c r="A98" t="s">
        <v>202</v>
      </c>
      <c r="B98" t="s">
        <v>127</v>
      </c>
      <c r="C98">
        <v>0</v>
      </c>
      <c r="D98">
        <f>ROUND(SUM(recreation_v2_common_5!D98,recreation_v2_common_4!D98,recreation_v2_common_3!D98,recreation_v2_common_2!D98,recreation_v2_common_1!D98)/COUNT(recreation_v2_common_5!D98,recreation_v2_common_4!D98,recreation_v2_common_3!D98,recreation_v2_common_2!D98,recreation_v2_common_1!D98),0)</f>
        <v>1</v>
      </c>
      <c r="E98">
        <f>IF($D98=0,"NA",ROUND(SUM(recreation_v2_common_5!E98,recreation_v2_common_4!E98,recreation_v2_common_3!E98,recreation_v2_common_2!E98,recreation_v2_common_1!E98)/COUNT(recreation_v2_common_5!E98,recreation_v2_common_4!E98,recreation_v2_common_3!E98,recreation_v2_common_2!E98,recreation_v2_common_1!E98),0))</f>
        <v>1</v>
      </c>
      <c r="F98">
        <f>IF($D98=0,"NA",ROUND(SUM(recreation_v2_common_5!F98,recreation_v2_common_4!F98,recreation_v2_common_3!F98,recreation_v2_common_2!F98,recreation_v2_common_1!F98)/COUNT(recreation_v2_common_5!F98,recreation_v2_common_4!F98,recreation_v2_common_3!F98,recreation_v2_common_2!F98,recreation_v2_common_1!F98),0))</f>
        <v>1</v>
      </c>
      <c r="G98">
        <f>IF($D98=0,"NA",ROUND(SUM(recreation_v2_common_5!G98,recreation_v2_common_4!G98,recreation_v2_common_3!G98,recreation_v2_common_2!G98,recreation_v2_common_1!G98)/COUNT(recreation_v2_common_5!G98,recreation_v2_common_4!G98,recreation_v2_common_3!G98,recreation_v2_common_2!G98,recreation_v2_common_1!G98),0))</f>
        <v>1</v>
      </c>
      <c r="H98">
        <f>IF(E98=1, ROUND(SUM(recreation_v2_common_5!H98,recreation_v2_common_4!H98,recreation_v2_common_3!H98,recreation_v2_common_2!H98,recreation_v2_common_1!H98)/COUNT(recreation_v2_common_5!H98,recreation_v2_common_4!H98,recreation_v2_common_3!H98,recreation_v2_common_2!H98,recreation_v2_common_1!H98),0),"NA")</f>
        <v>1</v>
      </c>
      <c r="I98">
        <f>IF($D98=0,"NA",ROUND(SUM(recreation_v2_common_5!I98,recreation_v2_common_4!I98,recreation_v2_common_3!I98,recreation_v2_common_2!I98,recreation_v2_common_1!I98)/COUNT(recreation_v2_common_5!I98,recreation_v2_common_4!I98,recreation_v2_common_3!I98,recreation_v2_common_2!I98,recreation_v2_common_1!I98),0))</f>
        <v>1</v>
      </c>
      <c r="J98">
        <f>IF(AND(E98 = 1, F98 = 1),ROUND(SUM(recreation_v2_common_5!J98,recreation_v2_common_4!J98,recreation_v2_common_3!J98,recreation_v2_common_2!J98,recreation_v2_common_1!J98)/COUNT(recreation_v2_common_5!J98,recreation_v2_common_4!J98,recreation_v2_common_3!J98,recreation_v2_common_2!J98,recreation_v2_common_1!J98),0),"NA")</f>
        <v>1</v>
      </c>
      <c r="K98">
        <f>IF($D98=0,"NA",ROUND(SUM(recreation_v2_common_5!K98,recreation_v2_common_4!K98,recreation_v2_common_3!K98,recreation_v2_common_2!K98,recreation_v2_common_1!K98)/COUNT(recreation_v2_common_5!K98,recreation_v2_common_4!K98,recreation_v2_common_3!K98,recreation_v2_common_2!K98,recreation_v2_common_1!K98),0))</f>
        <v>1</v>
      </c>
      <c r="L98">
        <f>IF($D98=0,"NA",ROUND(SUM(recreation_v2_common_5!L98,recreation_v2_common_4!L98,recreation_v2_common_3!L98,recreation_v2_common_2!L98,recreation_v2_common_1!L98)/COUNT(recreation_v2_common_5!L98,recreation_v2_common_4!L98,recreation_v2_common_3!L98,recreation_v2_common_2!L98,recreation_v2_common_1!L98),0))</f>
        <v>1</v>
      </c>
      <c r="M98">
        <f>IF($D98=0,"NA",ROUND(SUM(recreation_v2_common_5!M98,recreation_v2_common_4!M98,recreation_v2_common_3!M98,recreation_v2_common_2!M98,recreation_v2_common_1!M98)/COUNT(recreation_v2_common_5!M98,recreation_v2_common_4!M98,recreation_v2_common_3!M98,recreation_v2_common_2!M98,recreation_v2_common_1!M98),0))</f>
        <v>1</v>
      </c>
      <c r="N98">
        <f>IF($D98=0,"NA",ROUND(SUM(recreation_v2_common_5!N98,recreation_v2_common_4!N98,recreation_v2_common_3!N98,recreation_v2_common_2!N98,recreation_v2_common_1!N98)/COUNT(recreation_v2_common_5!N98,recreation_v2_common_4!N98,recreation_v2_common_3!N98,recreation_v2_common_2!N98,recreation_v2_common_1!N98),0))</f>
        <v>1</v>
      </c>
      <c r="O98">
        <v>3.7005653381347661</v>
      </c>
    </row>
    <row r="99" spans="1:15" x14ac:dyDescent="0.25">
      <c r="A99" t="s">
        <v>202</v>
      </c>
      <c r="B99" t="s">
        <v>128</v>
      </c>
      <c r="C99">
        <v>0</v>
      </c>
      <c r="D99">
        <f>ROUND(SUM(recreation_v2_common_5!D99,recreation_v2_common_4!D99,recreation_v2_common_3!D99,recreation_v2_common_2!D99,recreation_v2_common_1!D99)/COUNT(recreation_v2_common_5!D99,recreation_v2_common_4!D99,recreation_v2_common_3!D99,recreation_v2_common_2!D99,recreation_v2_common_1!D99),0)</f>
        <v>1</v>
      </c>
      <c r="E99">
        <f>IF($D99=0,"NA",ROUND(SUM(recreation_v2_common_5!E99,recreation_v2_common_4!E99,recreation_v2_common_3!E99,recreation_v2_common_2!E99,recreation_v2_common_1!E99)/COUNT(recreation_v2_common_5!E99,recreation_v2_common_4!E99,recreation_v2_common_3!E99,recreation_v2_common_2!E99,recreation_v2_common_1!E99),0))</f>
        <v>0</v>
      </c>
      <c r="F99">
        <f>IF($D99=0,"NA",ROUND(SUM(recreation_v2_common_5!F99,recreation_v2_common_4!F99,recreation_v2_common_3!F99,recreation_v2_common_2!F99,recreation_v2_common_1!F99)/COUNT(recreation_v2_common_5!F99,recreation_v2_common_4!F99,recreation_v2_common_3!F99,recreation_v2_common_2!F99,recreation_v2_common_1!F99),0))</f>
        <v>1</v>
      </c>
      <c r="G99">
        <f>IF($D99=0,"NA",ROUND(SUM(recreation_v2_common_5!G99,recreation_v2_common_4!G99,recreation_v2_common_3!G99,recreation_v2_common_2!G99,recreation_v2_common_1!G99)/COUNT(recreation_v2_common_5!G99,recreation_v2_common_4!G99,recreation_v2_common_3!G99,recreation_v2_common_2!G99,recreation_v2_common_1!G99),0))</f>
        <v>1</v>
      </c>
      <c r="H99" t="str">
        <f>IF(E99=1, ROUND(SUM(recreation_v2_common_5!H99,recreation_v2_common_4!H99,recreation_v2_common_3!H99,recreation_v2_common_2!H99,recreation_v2_common_1!H99)/COUNT(recreation_v2_common_5!H99,recreation_v2_common_4!H99,recreation_v2_common_3!H99,recreation_v2_common_2!H99,recreation_v2_common_1!H99),0),"NA")</f>
        <v>NA</v>
      </c>
      <c r="I99">
        <f>IF($D99=0,"NA",ROUND(SUM(recreation_v2_common_5!I99,recreation_v2_common_4!I99,recreation_v2_common_3!I99,recreation_v2_common_2!I99,recreation_v2_common_1!I99)/COUNT(recreation_v2_common_5!I99,recreation_v2_common_4!I99,recreation_v2_common_3!I99,recreation_v2_common_2!I99,recreation_v2_common_1!I99),0))</f>
        <v>1</v>
      </c>
      <c r="J99" t="str">
        <f>IF(AND(E99 = 1, F99 = 1),ROUND(SUM(recreation_v2_common_5!J99,recreation_v2_common_4!J99,recreation_v2_common_3!J99,recreation_v2_common_2!J99,recreation_v2_common_1!J99)/COUNT(recreation_v2_common_5!J99,recreation_v2_common_4!J99,recreation_v2_common_3!J99,recreation_v2_common_2!J99,recreation_v2_common_1!J99),0),"NA")</f>
        <v>NA</v>
      </c>
      <c r="K99">
        <f>IF($D99=0,"NA",ROUND(SUM(recreation_v2_common_5!K99,recreation_v2_common_4!K99,recreation_v2_common_3!K99,recreation_v2_common_2!K99,recreation_v2_common_1!K99)/COUNT(recreation_v2_common_5!K99,recreation_v2_common_4!K99,recreation_v2_common_3!K99,recreation_v2_common_2!K99,recreation_v2_common_1!K99),0))</f>
        <v>1</v>
      </c>
      <c r="L99">
        <f>IF($D99=0,"NA",ROUND(SUM(recreation_v2_common_5!L99,recreation_v2_common_4!L99,recreation_v2_common_3!L99,recreation_v2_common_2!L99,recreation_v2_common_1!L99)/COUNT(recreation_v2_common_5!L99,recreation_v2_common_4!L99,recreation_v2_common_3!L99,recreation_v2_common_2!L99,recreation_v2_common_1!L99),0))</f>
        <v>1</v>
      </c>
      <c r="M99">
        <f>IF($D99=0,"NA",ROUND(SUM(recreation_v2_common_5!M99,recreation_v2_common_4!M99,recreation_v2_common_3!M99,recreation_v2_common_2!M99,recreation_v2_common_1!M99)/COUNT(recreation_v2_common_5!M99,recreation_v2_common_4!M99,recreation_v2_common_3!M99,recreation_v2_common_2!M99,recreation_v2_common_1!M99),0))</f>
        <v>1</v>
      </c>
      <c r="N99">
        <f>IF($D99=0,"NA",ROUND(SUM(recreation_v2_common_5!N99,recreation_v2_common_4!N99,recreation_v2_common_3!N99,recreation_v2_common_2!N99,recreation_v2_common_1!N99)/COUNT(recreation_v2_common_5!N99,recreation_v2_common_4!N99,recreation_v2_common_3!N99,recreation_v2_common_2!N99,recreation_v2_common_1!N99),0))</f>
        <v>1</v>
      </c>
      <c r="O99">
        <v>1.530858516693115</v>
      </c>
    </row>
    <row r="100" spans="1:15" x14ac:dyDescent="0.25">
      <c r="A100" t="s">
        <v>202</v>
      </c>
      <c r="B100" t="s">
        <v>130</v>
      </c>
      <c r="C100">
        <v>0</v>
      </c>
      <c r="D100">
        <f>ROUND(SUM(recreation_v2_common_5!D100,recreation_v2_common_4!D100,recreation_v2_common_3!D100,recreation_v2_common_2!D100,recreation_v2_common_1!D100)/COUNT(recreation_v2_common_5!D100,recreation_v2_common_4!D100,recreation_v2_common_3!D100,recreation_v2_common_2!D100,recreation_v2_common_1!D100),0)</f>
        <v>1</v>
      </c>
      <c r="E100">
        <f>IF($D100=0,"NA",ROUND(SUM(recreation_v2_common_5!E100,recreation_v2_common_4!E100,recreation_v2_common_3!E100,recreation_v2_common_2!E100,recreation_v2_common_1!E100)/COUNT(recreation_v2_common_5!E100,recreation_v2_common_4!E100,recreation_v2_common_3!E100,recreation_v2_common_2!E100,recreation_v2_common_1!E100),0))</f>
        <v>1</v>
      </c>
      <c r="F100">
        <f>IF($D100=0,"NA",ROUND(SUM(recreation_v2_common_5!F100,recreation_v2_common_4!F100,recreation_v2_common_3!F100,recreation_v2_common_2!F100,recreation_v2_common_1!F100)/COUNT(recreation_v2_common_5!F100,recreation_v2_common_4!F100,recreation_v2_common_3!F100,recreation_v2_common_2!F100,recreation_v2_common_1!F100),0))</f>
        <v>1</v>
      </c>
      <c r="G100">
        <f>IF($D100=0,"NA",ROUND(SUM(recreation_v2_common_5!G100,recreation_v2_common_4!G100,recreation_v2_common_3!G100,recreation_v2_common_2!G100,recreation_v2_common_1!G100)/COUNT(recreation_v2_common_5!G100,recreation_v2_common_4!G100,recreation_v2_common_3!G100,recreation_v2_common_2!G100,recreation_v2_common_1!G100),0))</f>
        <v>1</v>
      </c>
      <c r="H100">
        <f>IF(E100=1, ROUND(SUM(recreation_v2_common_5!H100,recreation_v2_common_4!H100,recreation_v2_common_3!H100,recreation_v2_common_2!H100,recreation_v2_common_1!H100)/COUNT(recreation_v2_common_5!H100,recreation_v2_common_4!H100,recreation_v2_common_3!H100,recreation_v2_common_2!H100,recreation_v2_common_1!H100),0),"NA")</f>
        <v>1</v>
      </c>
      <c r="I100">
        <f>IF($D100=0,"NA",ROUND(SUM(recreation_v2_common_5!I100,recreation_v2_common_4!I100,recreation_v2_common_3!I100,recreation_v2_common_2!I100,recreation_v2_common_1!I100)/COUNT(recreation_v2_common_5!I100,recreation_v2_common_4!I100,recreation_v2_common_3!I100,recreation_v2_common_2!I100,recreation_v2_common_1!I100),0))</f>
        <v>1</v>
      </c>
      <c r="J100">
        <f>IF(AND(E100 = 1, F100 = 1),ROUND(SUM(recreation_v2_common_5!J100,recreation_v2_common_4!J100,recreation_v2_common_3!J100,recreation_v2_common_2!J100,recreation_v2_common_1!J100)/COUNT(recreation_v2_common_5!J100,recreation_v2_common_4!J100,recreation_v2_common_3!J100,recreation_v2_common_2!J100,recreation_v2_common_1!J100),0),"NA")</f>
        <v>1</v>
      </c>
      <c r="K100">
        <f>IF($D100=0,"NA",ROUND(SUM(recreation_v2_common_5!K100,recreation_v2_common_4!K100,recreation_v2_common_3!K100,recreation_v2_common_2!K100,recreation_v2_common_1!K100)/COUNT(recreation_v2_common_5!K100,recreation_v2_common_4!K100,recreation_v2_common_3!K100,recreation_v2_common_2!K100,recreation_v2_common_1!K100),0))</f>
        <v>1</v>
      </c>
      <c r="L100">
        <f>IF($D100=0,"NA",ROUND(SUM(recreation_v2_common_5!L100,recreation_v2_common_4!L100,recreation_v2_common_3!L100,recreation_v2_common_2!L100,recreation_v2_common_1!L100)/COUNT(recreation_v2_common_5!L100,recreation_v2_common_4!L100,recreation_v2_common_3!L100,recreation_v2_common_2!L100,recreation_v2_common_1!L100),0))</f>
        <v>1</v>
      </c>
      <c r="M100">
        <f>IF($D100=0,"NA",ROUND(SUM(recreation_v2_common_5!M100,recreation_v2_common_4!M100,recreation_v2_common_3!M100,recreation_v2_common_2!M100,recreation_v2_common_1!M100)/COUNT(recreation_v2_common_5!M100,recreation_v2_common_4!M100,recreation_v2_common_3!M100,recreation_v2_common_2!M100,recreation_v2_common_1!M100),0))</f>
        <v>1</v>
      </c>
      <c r="N100">
        <f>IF($D100=0,"NA",ROUND(SUM(recreation_v2_common_5!N100,recreation_v2_common_4!N100,recreation_v2_common_3!N100,recreation_v2_common_2!N100,recreation_v2_common_1!N100)/COUNT(recreation_v2_common_5!N100,recreation_v2_common_4!N100,recreation_v2_common_3!N100,recreation_v2_common_2!N100,recreation_v2_common_1!N100),0))</f>
        <v>1</v>
      </c>
      <c r="O100">
        <v>1.291282176971436</v>
      </c>
    </row>
    <row r="101" spans="1:15" x14ac:dyDescent="0.25">
      <c r="A101" t="s">
        <v>202</v>
      </c>
      <c r="B101" t="s">
        <v>131</v>
      </c>
      <c r="C101">
        <v>0</v>
      </c>
      <c r="D101">
        <f>ROUND(SUM(recreation_v2_common_5!D101,recreation_v2_common_4!D101,recreation_v2_common_3!D101,recreation_v2_common_2!D101,recreation_v2_common_1!D101)/COUNT(recreation_v2_common_5!D101,recreation_v2_common_4!D101,recreation_v2_common_3!D101,recreation_v2_common_2!D101,recreation_v2_common_1!D101),0)</f>
        <v>0</v>
      </c>
      <c r="E101" t="str">
        <f>IF($D101=0,"NA",ROUND(SUM(recreation_v2_common_5!E101,recreation_v2_common_4!E101,recreation_v2_common_3!E101,recreation_v2_common_2!E101,recreation_v2_common_1!E101)/COUNT(recreation_v2_common_5!E101,recreation_v2_common_4!E101,recreation_v2_common_3!E101,recreation_v2_common_2!E101,recreation_v2_common_1!E101),0))</f>
        <v>NA</v>
      </c>
      <c r="F101" t="str">
        <f>IF($D101=0,"NA",ROUND(SUM(recreation_v2_common_5!F101,recreation_v2_common_4!F101,recreation_v2_common_3!F101,recreation_v2_common_2!F101,recreation_v2_common_1!F101)/COUNT(recreation_v2_common_5!F101,recreation_v2_common_4!F101,recreation_v2_common_3!F101,recreation_v2_common_2!F101,recreation_v2_common_1!F101),0))</f>
        <v>NA</v>
      </c>
      <c r="G101" t="str">
        <f>IF($D101=0,"NA",ROUND(SUM(recreation_v2_common_5!G101,recreation_v2_common_4!G101,recreation_v2_common_3!G101,recreation_v2_common_2!G101,recreation_v2_common_1!G101)/COUNT(recreation_v2_common_5!G101,recreation_v2_common_4!G101,recreation_v2_common_3!G101,recreation_v2_common_2!G101,recreation_v2_common_1!G101),0))</f>
        <v>NA</v>
      </c>
      <c r="H101" t="str">
        <f>IF(E101=1, ROUND(SUM(recreation_v2_common_5!H101,recreation_v2_common_4!H101,recreation_v2_common_3!H101,recreation_v2_common_2!H101,recreation_v2_common_1!H101)/COUNT(recreation_v2_common_5!H101,recreation_v2_common_4!H101,recreation_v2_common_3!H101,recreation_v2_common_2!H101,recreation_v2_common_1!H101),0),"NA")</f>
        <v>NA</v>
      </c>
      <c r="I101" t="str">
        <f>IF($D101=0,"NA",ROUND(SUM(recreation_v2_common_5!I101,recreation_v2_common_4!I101,recreation_v2_common_3!I101,recreation_v2_common_2!I101,recreation_v2_common_1!I101)/COUNT(recreation_v2_common_5!I101,recreation_v2_common_4!I101,recreation_v2_common_3!I101,recreation_v2_common_2!I101,recreation_v2_common_1!I101),0))</f>
        <v>NA</v>
      </c>
      <c r="J101" t="str">
        <f>IF(AND(E101 = 1, F101 = 1),ROUND(SUM(recreation_v2_common_5!J101,recreation_v2_common_4!J101,recreation_v2_common_3!J101,recreation_v2_common_2!J101,recreation_v2_common_1!J101)/COUNT(recreation_v2_common_5!J101,recreation_v2_common_4!J101,recreation_v2_common_3!J101,recreation_v2_common_2!J101,recreation_v2_common_1!J101),0),"NA")</f>
        <v>NA</v>
      </c>
      <c r="K101" t="str">
        <f>IF($D101=0,"NA",ROUND(SUM(recreation_v2_common_5!K101,recreation_v2_common_4!K101,recreation_v2_common_3!K101,recreation_v2_common_2!K101,recreation_v2_common_1!K101)/COUNT(recreation_v2_common_5!K101,recreation_v2_common_4!K101,recreation_v2_common_3!K101,recreation_v2_common_2!K101,recreation_v2_common_1!K101),0))</f>
        <v>NA</v>
      </c>
      <c r="L101" t="str">
        <f>IF($D101=0,"NA",ROUND(SUM(recreation_v2_common_5!L101,recreation_v2_common_4!L101,recreation_v2_common_3!L101,recreation_v2_common_2!L101,recreation_v2_common_1!L101)/COUNT(recreation_v2_common_5!L101,recreation_v2_common_4!L101,recreation_v2_common_3!L101,recreation_v2_common_2!L101,recreation_v2_common_1!L101),0))</f>
        <v>NA</v>
      </c>
      <c r="M101" t="str">
        <f>IF($D101=0,"NA",ROUND(SUM(recreation_v2_common_5!M101,recreation_v2_common_4!M101,recreation_v2_common_3!M101,recreation_v2_common_2!M101,recreation_v2_common_1!M101)/COUNT(recreation_v2_common_5!M101,recreation_v2_common_4!M101,recreation_v2_common_3!M101,recreation_v2_common_2!M101,recreation_v2_common_1!M101),0))</f>
        <v>NA</v>
      </c>
      <c r="N101" t="str">
        <f>IF($D101=0,"NA",ROUND(SUM(recreation_v2_common_5!N101,recreation_v2_common_4!N101,recreation_v2_common_3!N101,recreation_v2_common_2!N101,recreation_v2_common_1!N101)/COUNT(recreation_v2_common_5!N101,recreation_v2_common_4!N101,recreation_v2_common_3!N101,recreation_v2_common_2!N101,recreation_v2_common_1!N101),0))</f>
        <v>NA</v>
      </c>
      <c r="O101">
        <v>4.6580238342285156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recreation_v2_common_1</vt:lpstr>
      <vt:lpstr>recreation_v2_common_2</vt:lpstr>
      <vt:lpstr>recreation_v2_common_3</vt:lpstr>
      <vt:lpstr>recreation_v2_common_4</vt:lpstr>
      <vt:lpstr>recreation_v2_common_5</vt:lpstr>
      <vt:lpstr>Compiled Votes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#BUI GIA NHAT MINH#</cp:lastModifiedBy>
  <dcterms:created xsi:type="dcterms:W3CDTF">2025-07-22T06:10:26Z</dcterms:created>
  <dcterms:modified xsi:type="dcterms:W3CDTF">2025-07-22T06:22:50Z</dcterms:modified>
</cp:coreProperties>
</file>