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GPT4.1\All\recreation\"/>
    </mc:Choice>
  </mc:AlternateContent>
  <xr:revisionPtr revIDLastSave="0" documentId="13_ncr:1_{5CB6A784-54D1-409C-8A68-4DF8E4635E2C}" xr6:coauthVersionLast="47" xr6:coauthVersionMax="47" xr10:uidLastSave="{00000000-0000-0000-0000-000000000000}"/>
  <bookViews>
    <workbookView xWindow="-108" yWindow="-108" windowWidth="23256" windowHeight="12456" firstSheet="2" activeTab="5" xr2:uid="{00000000-000D-0000-FFFF-FFFF00000000}"/>
  </bookViews>
  <sheets>
    <sheet name="recreation_claude_v2_1" sheetId="1" r:id="rId1"/>
    <sheet name="recreation_claude_v2_2" sheetId="2" r:id="rId2"/>
    <sheet name="recreation_claude_v2_3" sheetId="3" r:id="rId3"/>
    <sheet name="recreation_claude_v2_4" sheetId="4" r:id="rId4"/>
    <sheet name="recreation_claude_v2_5" sheetId="5" r:id="rId5"/>
    <sheet name="Compiled Vo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c r="N3" i="6" s="1"/>
  <c r="K3" i="6"/>
  <c r="L3" i="6"/>
  <c r="M3" i="6"/>
  <c r="D4" i="6"/>
  <c r="E4" i="6"/>
  <c r="L4" i="6"/>
  <c r="M4" i="6"/>
  <c r="N4" i="6"/>
  <c r="D5" i="6"/>
  <c r="E5" i="6"/>
  <c r="F5" i="6"/>
  <c r="G5" i="6"/>
  <c r="I5" i="6"/>
  <c r="K5" i="6"/>
  <c r="L5" i="6"/>
  <c r="M5" i="6"/>
  <c r="N5" i="6"/>
  <c r="D6" i="6"/>
  <c r="F6" i="6"/>
  <c r="G6" i="6"/>
  <c r="D7" i="6"/>
  <c r="E7" i="6"/>
  <c r="D8" i="6"/>
  <c r="G8" i="6" s="1"/>
  <c r="E8" i="6"/>
  <c r="F8" i="6"/>
  <c r="J8" i="6" s="1"/>
  <c r="H8" i="6"/>
  <c r="I8" i="6"/>
  <c r="K8" i="6"/>
  <c r="L8" i="6"/>
  <c r="M8" i="6"/>
  <c r="N8" i="6"/>
  <c r="D9" i="6"/>
  <c r="E9" i="6" s="1"/>
  <c r="H9" i="6" s="1"/>
  <c r="G9" i="6"/>
  <c r="I9" i="6"/>
  <c r="K9" i="6"/>
  <c r="L9" i="6"/>
  <c r="M9" i="6"/>
  <c r="N9" i="6"/>
  <c r="D10" i="6"/>
  <c r="I10" i="6" s="1"/>
  <c r="K10" i="6"/>
  <c r="L10" i="6"/>
  <c r="M10" i="6"/>
  <c r="N10" i="6"/>
  <c r="D11" i="6"/>
  <c r="M11" i="6" s="1"/>
  <c r="D12" i="6"/>
  <c r="D13" i="6"/>
  <c r="E13" i="6"/>
  <c r="D14" i="6"/>
  <c r="M14" i="6" s="1"/>
  <c r="E14" i="6"/>
  <c r="F14" i="6"/>
  <c r="G14" i="6"/>
  <c r="H14" i="6"/>
  <c r="I14" i="6"/>
  <c r="J14" i="6"/>
  <c r="K14" i="6"/>
  <c r="L14" i="6"/>
  <c r="N14" i="6"/>
  <c r="D15" i="6"/>
  <c r="N15" i="6" s="1"/>
  <c r="G15" i="6"/>
  <c r="I15" i="6"/>
  <c r="K15" i="6"/>
  <c r="L15" i="6"/>
  <c r="M15" i="6"/>
  <c r="D16" i="6"/>
  <c r="E16" i="6" s="1"/>
  <c r="H16" i="6" s="1"/>
  <c r="K16" i="6"/>
  <c r="L16" i="6"/>
  <c r="M16" i="6"/>
  <c r="N16" i="6"/>
  <c r="D17" i="6"/>
  <c r="E17" i="6"/>
  <c r="F17" i="6"/>
  <c r="G17" i="6"/>
  <c r="I17" i="6"/>
  <c r="K17" i="6"/>
  <c r="L17" i="6"/>
  <c r="M17" i="6"/>
  <c r="N17" i="6"/>
  <c r="D18" i="6"/>
  <c r="F18" i="6" s="1"/>
  <c r="D19" i="6"/>
  <c r="E19" i="6"/>
  <c r="G19" i="6"/>
  <c r="H19" i="6"/>
  <c r="I19" i="6"/>
  <c r="D20" i="6"/>
  <c r="E20" i="6"/>
  <c r="F20" i="6"/>
  <c r="D21" i="6"/>
  <c r="E21" i="6"/>
  <c r="H21" i="6" s="1"/>
  <c r="F21" i="6"/>
  <c r="G21" i="6"/>
  <c r="I21" i="6"/>
  <c r="J21" i="6"/>
  <c r="K21" i="6"/>
  <c r="L21" i="6"/>
  <c r="M21" i="6"/>
  <c r="N21" i="6"/>
  <c r="D22" i="6"/>
  <c r="I22" i="6" s="1"/>
  <c r="G22" i="6"/>
  <c r="K22" i="6"/>
  <c r="L22" i="6"/>
  <c r="M22" i="6"/>
  <c r="N22" i="6"/>
  <c r="D23" i="6"/>
  <c r="K23" i="6" s="1"/>
  <c r="D24" i="6"/>
  <c r="E24" i="6" s="1"/>
  <c r="F24" i="6"/>
  <c r="D25" i="6"/>
  <c r="E25" i="6"/>
  <c r="F25" i="6"/>
  <c r="G25" i="6"/>
  <c r="H25" i="6"/>
  <c r="D26" i="6"/>
  <c r="E26" i="6"/>
  <c r="H26" i="6" s="1"/>
  <c r="F26" i="6"/>
  <c r="G26" i="6"/>
  <c r="I26" i="6"/>
  <c r="D27" i="6"/>
  <c r="N27" i="6" s="1"/>
  <c r="E27" i="6"/>
  <c r="F27" i="6"/>
  <c r="G27" i="6"/>
  <c r="H27" i="6"/>
  <c r="I27" i="6"/>
  <c r="J27" i="6"/>
  <c r="K27" i="6"/>
  <c r="L27" i="6"/>
  <c r="M27" i="6"/>
  <c r="D28" i="6"/>
  <c r="E28" i="6" s="1"/>
  <c r="G28" i="6"/>
  <c r="H28" i="6"/>
  <c r="I28" i="6"/>
  <c r="K28" i="6"/>
  <c r="L28" i="6"/>
  <c r="M28" i="6"/>
  <c r="N28" i="6"/>
  <c r="D29" i="6"/>
  <c r="E29" i="6"/>
  <c r="H29" i="6" s="1"/>
  <c r="F29" i="6"/>
  <c r="G29" i="6"/>
  <c r="I29" i="6"/>
  <c r="J29" i="6"/>
  <c r="K29" i="6"/>
  <c r="L29" i="6"/>
  <c r="M29" i="6"/>
  <c r="N29" i="6"/>
  <c r="D30" i="6"/>
  <c r="G30" i="6"/>
  <c r="K30" i="6"/>
  <c r="L30" i="6"/>
  <c r="M30" i="6"/>
  <c r="N30" i="6"/>
  <c r="D31" i="6"/>
  <c r="E31" i="6"/>
  <c r="G31" i="6"/>
  <c r="I31" i="6"/>
  <c r="M31" i="6"/>
  <c r="N31" i="6"/>
  <c r="D32" i="6"/>
  <c r="E32" i="6"/>
  <c r="F32" i="6"/>
  <c r="I32" i="6"/>
  <c r="K32" i="6"/>
  <c r="N32" i="6"/>
  <c r="D33" i="6"/>
  <c r="E33" i="6"/>
  <c r="F33" i="6"/>
  <c r="G33" i="6"/>
  <c r="I33" i="6"/>
  <c r="K33" i="6"/>
  <c r="M33" i="6"/>
  <c r="D34" i="6"/>
  <c r="I34" i="6" s="1"/>
  <c r="E34" i="6"/>
  <c r="F34" i="6"/>
  <c r="J34" i="6" s="1"/>
  <c r="G34" i="6"/>
  <c r="H34" i="6"/>
  <c r="K34" i="6"/>
  <c r="L34" i="6"/>
  <c r="M34" i="6"/>
  <c r="N34" i="6"/>
  <c r="D35" i="6"/>
  <c r="G35" i="6"/>
  <c r="K35" i="6"/>
  <c r="N35" i="6"/>
  <c r="D36" i="6"/>
  <c r="L36" i="6" s="1"/>
  <c r="F36" i="6"/>
  <c r="I36" i="6"/>
  <c r="M36" i="6"/>
  <c r="D37" i="6"/>
  <c r="E37" i="6" s="1"/>
  <c r="F37" i="6"/>
  <c r="M37" i="6"/>
  <c r="N37" i="6"/>
  <c r="D38" i="6"/>
  <c r="F38" i="6"/>
  <c r="D39" i="6"/>
  <c r="F39" i="6" s="1"/>
  <c r="E39" i="6"/>
  <c r="J39" i="6" s="1"/>
  <c r="G39" i="6"/>
  <c r="H39" i="6"/>
  <c r="I39" i="6"/>
  <c r="L39" i="6"/>
  <c r="D40" i="6"/>
  <c r="E40" i="6"/>
  <c r="H40" i="6" s="1"/>
  <c r="F40" i="6"/>
  <c r="G40" i="6"/>
  <c r="I40" i="6"/>
  <c r="K40" i="6"/>
  <c r="L40" i="6"/>
  <c r="M40" i="6"/>
  <c r="N40" i="6"/>
  <c r="D41" i="6"/>
  <c r="E41" i="6"/>
  <c r="F41" i="6"/>
  <c r="J41" i="6" s="1"/>
  <c r="G41" i="6"/>
  <c r="H41" i="6"/>
  <c r="I41" i="6"/>
  <c r="K41" i="6"/>
  <c r="L41" i="6"/>
  <c r="M41" i="6"/>
  <c r="N41" i="6"/>
  <c r="D42" i="6"/>
  <c r="I42" i="6"/>
  <c r="K42" i="6"/>
  <c r="L42" i="6"/>
  <c r="M42" i="6"/>
  <c r="N42" i="6"/>
  <c r="D43" i="6"/>
  <c r="K43" i="6" s="1"/>
  <c r="N43" i="6"/>
  <c r="D44" i="6"/>
  <c r="E44" i="6"/>
  <c r="F44" i="6"/>
  <c r="I44" i="6"/>
  <c r="N44" i="6"/>
  <c r="D45" i="6"/>
  <c r="E45" i="6"/>
  <c r="G45" i="6"/>
  <c r="I45" i="6"/>
  <c r="K45" i="6"/>
  <c r="N45" i="6"/>
  <c r="D46" i="6"/>
  <c r="E46" i="6" s="1"/>
  <c r="F46" i="6"/>
  <c r="D47" i="6"/>
  <c r="E47" i="6"/>
  <c r="F47" i="6"/>
  <c r="G47" i="6"/>
  <c r="I47" i="6"/>
  <c r="K47" i="6"/>
  <c r="L47" i="6"/>
  <c r="M47" i="6"/>
  <c r="N47" i="6"/>
  <c r="D48" i="6"/>
  <c r="L48" i="6"/>
  <c r="M48" i="6"/>
  <c r="N48" i="6"/>
  <c r="D49" i="6"/>
  <c r="I49" i="6" s="1"/>
  <c r="D50" i="6"/>
  <c r="E50" i="6"/>
  <c r="F50" i="6"/>
  <c r="H50" i="6"/>
  <c r="K50" i="6"/>
  <c r="L50" i="6"/>
  <c r="N50" i="6"/>
  <c r="D51" i="6"/>
  <c r="E51" i="6"/>
  <c r="H51" i="6" s="1"/>
  <c r="D52" i="6"/>
  <c r="E52" i="6"/>
  <c r="H52" i="6" s="1"/>
  <c r="F52" i="6"/>
  <c r="G52" i="6"/>
  <c r="I52" i="6"/>
  <c r="J52" i="6"/>
  <c r="L52" i="6"/>
  <c r="D53" i="6"/>
  <c r="E53" i="6"/>
  <c r="F53" i="6"/>
  <c r="J53" i="6" s="1"/>
  <c r="G53" i="6"/>
  <c r="H53" i="6"/>
  <c r="I53" i="6"/>
  <c r="K53" i="6"/>
  <c r="L53" i="6"/>
  <c r="M53" i="6"/>
  <c r="N53" i="6"/>
  <c r="D54" i="6"/>
  <c r="E54" i="6" s="1"/>
  <c r="F54" i="6"/>
  <c r="G54" i="6"/>
  <c r="H54" i="6"/>
  <c r="I54" i="6"/>
  <c r="J54" i="6"/>
  <c r="K54" i="6"/>
  <c r="L54" i="6"/>
  <c r="M54" i="6"/>
  <c r="N54" i="6"/>
  <c r="D55" i="6"/>
  <c r="G55" i="6"/>
  <c r="L55" i="6"/>
  <c r="D56" i="6"/>
  <c r="F56" i="6"/>
  <c r="D57" i="6"/>
  <c r="G57" i="6" s="1"/>
  <c r="F57" i="6"/>
  <c r="L57" i="6"/>
  <c r="M57" i="6"/>
  <c r="N57" i="6"/>
  <c r="D58" i="6"/>
  <c r="E58" i="6"/>
  <c r="D59" i="6"/>
  <c r="E59" i="6"/>
  <c r="F59" i="6"/>
  <c r="G59" i="6"/>
  <c r="H59" i="6"/>
  <c r="I59" i="6"/>
  <c r="M59" i="6"/>
  <c r="D60" i="6"/>
  <c r="E60" i="6"/>
  <c r="D61" i="6"/>
  <c r="G61" i="6"/>
  <c r="I61" i="6"/>
  <c r="N61" i="6"/>
  <c r="D62" i="6"/>
  <c r="F62" i="6"/>
  <c r="I62" i="6"/>
  <c r="K62" i="6"/>
  <c r="L62" i="6"/>
  <c r="N62" i="6"/>
  <c r="D63" i="6"/>
  <c r="E63" i="6" s="1"/>
  <c r="M63" i="6"/>
  <c r="D64" i="6"/>
  <c r="E64" i="6"/>
  <c r="H64" i="6" s="1"/>
  <c r="F64" i="6"/>
  <c r="G64" i="6"/>
  <c r="L64" i="6"/>
  <c r="M64" i="6"/>
  <c r="N64" i="6"/>
  <c r="D65" i="6"/>
  <c r="E65" i="6"/>
  <c r="F65" i="6"/>
  <c r="G65" i="6"/>
  <c r="H65" i="6"/>
  <c r="I65" i="6"/>
  <c r="K65" i="6"/>
  <c r="L65" i="6"/>
  <c r="M65" i="6"/>
  <c r="N65" i="6"/>
  <c r="D66" i="6"/>
  <c r="G66" i="6" s="1"/>
  <c r="F66" i="6"/>
  <c r="I66" i="6"/>
  <c r="K66" i="6"/>
  <c r="M66" i="6"/>
  <c r="D67" i="6"/>
  <c r="E67" i="6"/>
  <c r="G67" i="6"/>
  <c r="H67" i="6"/>
  <c r="D68" i="6"/>
  <c r="F68" i="6"/>
  <c r="I68" i="6"/>
  <c r="K68" i="6"/>
  <c r="L68" i="6"/>
  <c r="M68" i="6"/>
  <c r="N68" i="6"/>
  <c r="D69" i="6"/>
  <c r="K69" i="6"/>
  <c r="D70" i="6"/>
  <c r="E70" i="6"/>
  <c r="J70" i="6" s="1"/>
  <c r="F70" i="6"/>
  <c r="H70" i="6"/>
  <c r="L70" i="6"/>
  <c r="D71" i="6"/>
  <c r="E71" i="6"/>
  <c r="F71" i="6"/>
  <c r="G71" i="6"/>
  <c r="K71" i="6"/>
  <c r="M71" i="6"/>
  <c r="N71" i="6"/>
  <c r="D72" i="6"/>
  <c r="F72" i="6" s="1"/>
  <c r="M72" i="6"/>
  <c r="D73" i="6"/>
  <c r="E73" i="6"/>
  <c r="F73" i="6"/>
  <c r="G73" i="6"/>
  <c r="D74" i="6"/>
  <c r="F74" i="6"/>
  <c r="G74" i="6"/>
  <c r="I74" i="6"/>
  <c r="K74" i="6"/>
  <c r="L74" i="6"/>
  <c r="N74" i="6"/>
  <c r="D75" i="6"/>
  <c r="L75" i="6" s="1"/>
  <c r="I75" i="6"/>
  <c r="K75" i="6"/>
  <c r="M75" i="6"/>
  <c r="D76" i="6"/>
  <c r="E76" i="6"/>
  <c r="F76" i="6"/>
  <c r="H76" i="6"/>
  <c r="J76" i="6"/>
  <c r="L76" i="6"/>
  <c r="N76" i="6"/>
  <c r="D77" i="6"/>
  <c r="E77" i="6"/>
  <c r="F77" i="6"/>
  <c r="G77" i="6"/>
  <c r="I77" i="6"/>
  <c r="K77" i="6"/>
  <c r="L77" i="6"/>
  <c r="M77" i="6"/>
  <c r="N77" i="6"/>
  <c r="D78" i="6"/>
  <c r="M78" i="6" s="1"/>
  <c r="G78" i="6"/>
  <c r="I78" i="6"/>
  <c r="D79" i="6"/>
  <c r="E79" i="6"/>
  <c r="H79" i="6" s="1"/>
  <c r="G79" i="6"/>
  <c r="I79" i="6"/>
  <c r="M79" i="6"/>
  <c r="D80" i="6"/>
  <c r="E80" i="6"/>
  <c r="H80" i="6" s="1"/>
  <c r="F80" i="6"/>
  <c r="I80" i="6"/>
  <c r="K80" i="6"/>
  <c r="M80" i="6"/>
  <c r="D81" i="6"/>
  <c r="F81" i="6"/>
  <c r="I81" i="6"/>
  <c r="K81" i="6"/>
  <c r="L81" i="6"/>
  <c r="M81" i="6"/>
  <c r="N81" i="6"/>
  <c r="D82" i="6"/>
  <c r="K82" i="6" s="1"/>
  <c r="L82" i="6"/>
  <c r="D83" i="6"/>
  <c r="E83" i="6"/>
  <c r="F83" i="6"/>
  <c r="H83" i="6"/>
  <c r="K83" i="6"/>
  <c r="M83" i="6"/>
  <c r="N83" i="6"/>
  <c r="D84" i="6"/>
  <c r="E84" i="6" s="1"/>
  <c r="N84" i="6"/>
  <c r="D85" i="6"/>
  <c r="F85" i="6"/>
  <c r="G85" i="6"/>
  <c r="I85" i="6"/>
  <c r="D86" i="6"/>
  <c r="F86" i="6" s="1"/>
  <c r="E86" i="6"/>
  <c r="G86" i="6"/>
  <c r="H86" i="6"/>
  <c r="J86" i="6"/>
  <c r="K86" i="6"/>
  <c r="L86" i="6"/>
  <c r="N86" i="6"/>
  <c r="D87" i="6"/>
  <c r="F87" i="6"/>
  <c r="D88" i="6"/>
  <c r="E88" i="6" s="1"/>
  <c r="F88" i="6"/>
  <c r="I88" i="6"/>
  <c r="K88" i="6"/>
  <c r="M88" i="6"/>
  <c r="D89" i="6"/>
  <c r="E89" i="6"/>
  <c r="H89" i="6" s="1"/>
  <c r="F89" i="6"/>
  <c r="G89" i="6"/>
  <c r="I89" i="6"/>
  <c r="K89" i="6"/>
  <c r="L89" i="6"/>
  <c r="M89" i="6"/>
  <c r="N89" i="6"/>
  <c r="D90" i="6"/>
  <c r="D91" i="6"/>
  <c r="E91" i="6"/>
  <c r="G91" i="6"/>
  <c r="I91" i="6"/>
  <c r="M91" i="6"/>
  <c r="N91" i="6"/>
  <c r="D92" i="6"/>
  <c r="D93" i="6"/>
  <c r="E93" i="6" s="1"/>
  <c r="H93" i="6" s="1"/>
  <c r="F93" i="6"/>
  <c r="G93" i="6"/>
  <c r="I93" i="6"/>
  <c r="J93" i="6"/>
  <c r="K93" i="6"/>
  <c r="D94" i="6"/>
  <c r="K94" i="6"/>
  <c r="L94" i="6"/>
  <c r="M94" i="6"/>
  <c r="N94" i="6"/>
  <c r="D95" i="6"/>
  <c r="E95" i="6"/>
  <c r="F95" i="6"/>
  <c r="D96" i="6"/>
  <c r="E96" i="6"/>
  <c r="F96" i="6"/>
  <c r="G96" i="6"/>
  <c r="H96" i="6"/>
  <c r="J96" i="6"/>
  <c r="L96" i="6"/>
  <c r="N96" i="6"/>
  <c r="D97" i="6"/>
  <c r="I97" i="6" s="1"/>
  <c r="D98" i="6"/>
  <c r="F98" i="6"/>
  <c r="G98" i="6"/>
  <c r="L98" i="6"/>
  <c r="D99" i="6"/>
  <c r="G99" i="6" s="1"/>
  <c r="E99" i="6"/>
  <c r="H99" i="6" s="1"/>
  <c r="F99" i="6"/>
  <c r="I99" i="6"/>
  <c r="K99" i="6"/>
  <c r="L99" i="6"/>
  <c r="D100" i="6"/>
  <c r="L100" i="6" s="1"/>
  <c r="G100" i="6"/>
  <c r="I100" i="6"/>
  <c r="D101" i="6"/>
  <c r="E101" i="6"/>
  <c r="H101" i="6" s="1"/>
  <c r="F101" i="6"/>
  <c r="G101" i="6"/>
  <c r="I101" i="6"/>
  <c r="J101" i="6"/>
  <c r="K101" i="6"/>
  <c r="L101" i="6"/>
  <c r="M101" i="6"/>
  <c r="N101" i="6"/>
  <c r="D102" i="6"/>
  <c r="F102" i="6" s="1"/>
  <c r="G102" i="6"/>
  <c r="L102" i="6"/>
  <c r="M102" i="6"/>
  <c r="N102" i="6"/>
  <c r="D103" i="6"/>
  <c r="F103" i="6" s="1"/>
  <c r="E103" i="6"/>
  <c r="J103" i="6" s="1"/>
  <c r="G103" i="6"/>
  <c r="I103" i="6"/>
  <c r="K103" i="6"/>
  <c r="L103" i="6"/>
  <c r="M103" i="6"/>
  <c r="N103" i="6"/>
  <c r="D104" i="6"/>
  <c r="E104" i="6"/>
  <c r="H104" i="6" s="1"/>
  <c r="F104" i="6"/>
  <c r="I104" i="6"/>
  <c r="J104" i="6"/>
  <c r="K104" i="6"/>
  <c r="D105" i="6"/>
  <c r="F105" i="6" s="1"/>
  <c r="L105" i="6"/>
  <c r="M105" i="6"/>
  <c r="D106" i="6"/>
  <c r="E106" i="6"/>
  <c r="H106" i="6" s="1"/>
  <c r="F106" i="6"/>
  <c r="G106" i="6"/>
  <c r="D107" i="6"/>
  <c r="E107" i="6"/>
  <c r="F107" i="6"/>
  <c r="G107" i="6"/>
  <c r="H107" i="6"/>
  <c r="I107" i="6"/>
  <c r="J107" i="6"/>
  <c r="K107" i="6"/>
  <c r="L107" i="6"/>
  <c r="M107" i="6"/>
  <c r="N107" i="6"/>
  <c r="D108" i="6"/>
  <c r="F108" i="6"/>
  <c r="G108" i="6"/>
  <c r="I108" i="6"/>
  <c r="K108" i="6"/>
  <c r="L108" i="6"/>
  <c r="N108" i="6"/>
  <c r="D109" i="6"/>
  <c r="G109" i="6"/>
  <c r="I109" i="6"/>
  <c r="K109" i="6"/>
  <c r="L109" i="6"/>
  <c r="M109" i="6"/>
  <c r="N109" i="6"/>
  <c r="D110" i="6"/>
  <c r="F110" i="6"/>
  <c r="I110" i="6"/>
  <c r="D111" i="6"/>
  <c r="G111" i="6" s="1"/>
  <c r="E111" i="6"/>
  <c r="F111" i="6"/>
  <c r="I111" i="6"/>
  <c r="K111" i="6"/>
  <c r="L111" i="6"/>
  <c r="M111" i="6"/>
  <c r="N111" i="6"/>
  <c r="D112" i="6"/>
  <c r="E112" i="6" s="1"/>
  <c r="K112" i="6"/>
  <c r="M112" i="6"/>
  <c r="N112" i="6"/>
  <c r="D113" i="6"/>
  <c r="I113" i="6" s="1"/>
  <c r="E113" i="6"/>
  <c r="H113" i="6" s="1"/>
  <c r="F113" i="6"/>
  <c r="D114" i="6"/>
  <c r="E114" i="6"/>
  <c r="F114" i="6"/>
  <c r="G114" i="6"/>
  <c r="H114" i="6"/>
  <c r="I114" i="6"/>
  <c r="J114" i="6"/>
  <c r="L114" i="6"/>
  <c r="M114" i="6"/>
  <c r="D115" i="6"/>
  <c r="F115" i="6" s="1"/>
  <c r="I115" i="6"/>
  <c r="K115" i="6"/>
  <c r="M115" i="6"/>
  <c r="N115" i="6"/>
  <c r="D116" i="6"/>
  <c r="D117" i="6"/>
  <c r="E117" i="6"/>
  <c r="F117" i="6"/>
  <c r="H117" i="6"/>
  <c r="J117" i="6"/>
  <c r="D118" i="6"/>
  <c r="E118" i="6"/>
  <c r="F118" i="6"/>
  <c r="G118" i="6"/>
  <c r="H118" i="6"/>
  <c r="J118" i="6"/>
  <c r="L118" i="6"/>
  <c r="M118" i="6"/>
  <c r="N118" i="6"/>
  <c r="D119" i="6"/>
  <c r="E119" i="6"/>
  <c r="J119" i="6" s="1"/>
  <c r="F119" i="6"/>
  <c r="G119" i="6"/>
  <c r="I119" i="6"/>
  <c r="K119" i="6"/>
  <c r="L119" i="6"/>
  <c r="M119" i="6"/>
  <c r="N119" i="6"/>
  <c r="D120" i="6"/>
  <c r="F120" i="6"/>
  <c r="D121" i="6"/>
  <c r="E121" i="6"/>
  <c r="G121" i="6"/>
  <c r="H121" i="6"/>
  <c r="I121" i="6"/>
  <c r="D122" i="6"/>
  <c r="F122" i="6"/>
  <c r="I122" i="6"/>
  <c r="K122" i="6"/>
  <c r="L122" i="6"/>
  <c r="M122" i="6"/>
  <c r="N122" i="6"/>
  <c r="D123" i="6"/>
  <c r="L123" i="6" s="1"/>
  <c r="F123" i="6"/>
  <c r="I123" i="6"/>
  <c r="K123" i="6"/>
  <c r="M123" i="6"/>
  <c r="N123" i="6"/>
  <c r="D124" i="6"/>
  <c r="M124" i="6" s="1"/>
  <c r="E124" i="6"/>
  <c r="F124" i="6"/>
  <c r="H124" i="6"/>
  <c r="D125" i="6"/>
  <c r="E125" i="6" s="1"/>
  <c r="F125" i="6"/>
  <c r="G125" i="6"/>
  <c r="K125" i="6"/>
  <c r="M125" i="6"/>
  <c r="N125" i="6"/>
  <c r="D126" i="6"/>
  <c r="G126" i="6" s="1"/>
  <c r="E126" i="6"/>
  <c r="H126" i="6" s="1"/>
  <c r="F126" i="6"/>
  <c r="J126" i="6"/>
  <c r="M126" i="6"/>
  <c r="D127" i="6"/>
  <c r="E127" i="6"/>
  <c r="H127" i="6" s="1"/>
  <c r="F127" i="6"/>
  <c r="G127" i="6"/>
  <c r="D128" i="6"/>
  <c r="F128" i="6"/>
  <c r="G128" i="6"/>
  <c r="I128" i="6"/>
  <c r="K128" i="6"/>
  <c r="L128" i="6"/>
  <c r="N128" i="6"/>
  <c r="D129" i="6"/>
  <c r="F129" i="6" s="1"/>
  <c r="K129" i="6"/>
  <c r="L129" i="6"/>
  <c r="M129" i="6"/>
  <c r="D130" i="6"/>
  <c r="M130" i="6" s="1"/>
  <c r="E130" i="6"/>
  <c r="H130" i="6" s="1"/>
  <c r="D131" i="6"/>
  <c r="E131" i="6"/>
  <c r="F131" i="6"/>
  <c r="G131" i="6"/>
  <c r="I131" i="6"/>
  <c r="K131" i="6"/>
  <c r="L131" i="6"/>
  <c r="M131" i="6"/>
  <c r="N131" i="6"/>
  <c r="D132" i="6"/>
  <c r="F132" i="6" s="1"/>
  <c r="G132" i="6"/>
  <c r="I132" i="6"/>
  <c r="K132" i="6"/>
  <c r="M132" i="6"/>
  <c r="N132" i="6"/>
  <c r="D133" i="6"/>
  <c r="E133" i="6"/>
  <c r="H133" i="6" s="1"/>
  <c r="G133" i="6"/>
  <c r="I133" i="6"/>
  <c r="K133" i="6"/>
  <c r="M133" i="6"/>
  <c r="D134" i="6"/>
  <c r="K134" i="6" s="1"/>
  <c r="E134" i="6"/>
  <c r="J134" i="6" s="1"/>
  <c r="F134" i="6"/>
  <c r="H134" i="6"/>
  <c r="D135" i="6"/>
  <c r="E135" i="6" s="1"/>
  <c r="H135" i="6" s="1"/>
  <c r="F135" i="6"/>
  <c r="G135" i="6"/>
  <c r="I135" i="6"/>
  <c r="J135" i="6"/>
  <c r="K135" i="6"/>
  <c r="L135" i="6"/>
  <c r="M135" i="6"/>
  <c r="N135" i="6"/>
  <c r="D136" i="6"/>
  <c r="F136" i="6" s="1"/>
  <c r="K136" i="6"/>
  <c r="L136" i="6"/>
  <c r="M136" i="6"/>
  <c r="N136" i="6"/>
  <c r="D137" i="6"/>
  <c r="N137" i="6" s="1"/>
  <c r="E137" i="6"/>
  <c r="D138" i="6"/>
  <c r="E138" i="6"/>
  <c r="F138" i="6"/>
  <c r="G138" i="6"/>
  <c r="H138" i="6"/>
  <c r="J138" i="6"/>
  <c r="D139" i="6"/>
  <c r="E139" i="6" s="1"/>
  <c r="I139" i="6"/>
  <c r="M139" i="6"/>
  <c r="D140" i="6"/>
  <c r="K140" i="6" s="1"/>
  <c r="E140" i="6"/>
  <c r="H140" i="6" s="1"/>
  <c r="D141" i="6"/>
  <c r="L141" i="6" s="1"/>
  <c r="F141" i="6"/>
  <c r="G141" i="6"/>
  <c r="I141" i="6"/>
  <c r="D142" i="6"/>
  <c r="F142" i="6" s="1"/>
  <c r="I142" i="6"/>
  <c r="K142" i="6"/>
  <c r="L142" i="6"/>
  <c r="M142" i="6"/>
  <c r="D143" i="6"/>
  <c r="E143" i="6"/>
  <c r="H143" i="6" s="1"/>
  <c r="F143" i="6"/>
  <c r="G143" i="6"/>
  <c r="I143" i="6"/>
  <c r="J143" i="6"/>
  <c r="K143" i="6"/>
  <c r="L143" i="6"/>
  <c r="M143" i="6"/>
  <c r="N143" i="6"/>
  <c r="D144" i="6"/>
  <c r="E144" i="6" s="1"/>
  <c r="D145" i="6"/>
  <c r="E145" i="6"/>
  <c r="G145" i="6"/>
  <c r="H145" i="6"/>
  <c r="I145" i="6"/>
  <c r="D146" i="6"/>
  <c r="E146" i="6"/>
  <c r="F146" i="6"/>
  <c r="H146" i="6"/>
  <c r="I146" i="6"/>
  <c r="J146" i="6"/>
  <c r="K146" i="6"/>
  <c r="M146" i="6"/>
  <c r="D147" i="6"/>
  <c r="N147" i="6" s="1"/>
  <c r="D148" i="6"/>
  <c r="F148" i="6"/>
  <c r="G148" i="6"/>
  <c r="D149" i="6"/>
  <c r="F149" i="6"/>
  <c r="I149" i="6"/>
  <c r="K149" i="6"/>
  <c r="L149" i="6"/>
  <c r="M149" i="6"/>
  <c r="N149" i="6"/>
  <c r="D150" i="6"/>
  <c r="E150" i="6" s="1"/>
  <c r="L150" i="6"/>
  <c r="M150" i="6"/>
  <c r="N150" i="6"/>
  <c r="D151" i="6"/>
  <c r="L151" i="6" s="1"/>
  <c r="E151" i="6"/>
  <c r="H151" i="6" s="1"/>
  <c r="F151" i="6"/>
  <c r="D152" i="6"/>
  <c r="L152" i="6" s="1"/>
  <c r="E152" i="6"/>
  <c r="F152" i="6"/>
  <c r="G152" i="6"/>
  <c r="H152" i="6"/>
  <c r="I152" i="6"/>
  <c r="D153" i="6"/>
  <c r="E153" i="6"/>
  <c r="F153" i="6"/>
  <c r="G153" i="6"/>
  <c r="H153" i="6"/>
  <c r="I153" i="6"/>
  <c r="J153" i="6"/>
  <c r="L153" i="6"/>
  <c r="N153" i="6"/>
  <c r="D154" i="6"/>
  <c r="G154" i="6" s="1"/>
  <c r="E154" i="6"/>
  <c r="H154" i="6" s="1"/>
  <c r="F154" i="6"/>
  <c r="J154" i="6"/>
  <c r="K154" i="6"/>
  <c r="M154" i="6"/>
  <c r="D155" i="6"/>
  <c r="M155" i="6" s="1"/>
  <c r="E155" i="6"/>
  <c r="H155" i="6" s="1"/>
  <c r="F155" i="6"/>
  <c r="D156" i="6"/>
  <c r="E156" i="6"/>
  <c r="J156" i="6" s="1"/>
  <c r="F156" i="6"/>
  <c r="G156" i="6"/>
  <c r="H156" i="6"/>
  <c r="I156" i="6"/>
  <c r="K156" i="6"/>
  <c r="L156" i="6"/>
  <c r="M156" i="6"/>
  <c r="N156" i="6"/>
  <c r="D157" i="6"/>
  <c r="E157" i="6" s="1"/>
  <c r="F157" i="6"/>
  <c r="G157" i="6"/>
  <c r="H157" i="6"/>
  <c r="I157" i="6"/>
  <c r="J157" i="6"/>
  <c r="D158" i="6"/>
  <c r="F158" i="6" s="1"/>
  <c r="E158" i="6"/>
  <c r="G158" i="6"/>
  <c r="H158" i="6"/>
  <c r="I158" i="6"/>
  <c r="J158" i="6"/>
  <c r="K158" i="6"/>
  <c r="L158" i="6"/>
  <c r="M158" i="6"/>
  <c r="N158" i="6"/>
  <c r="D159" i="6"/>
  <c r="F159" i="6" s="1"/>
  <c r="K159" i="6"/>
  <c r="L159" i="6"/>
  <c r="M159" i="6"/>
  <c r="N159" i="6"/>
  <c r="D160" i="6"/>
  <c r="F160" i="6" s="1"/>
  <c r="D161" i="6"/>
  <c r="I161" i="6" s="1"/>
  <c r="E161" i="6"/>
  <c r="H161" i="6" s="1"/>
  <c r="F161" i="6"/>
  <c r="G161" i="6"/>
  <c r="D162" i="6"/>
  <c r="K162" i="6" s="1"/>
  <c r="E162" i="6"/>
  <c r="F162" i="6"/>
  <c r="G162" i="6"/>
  <c r="H162" i="6"/>
  <c r="I162" i="6"/>
  <c r="D163" i="6"/>
  <c r="K163" i="6" s="1"/>
  <c r="F163" i="6"/>
  <c r="G163" i="6"/>
  <c r="I163" i="6"/>
  <c r="L163" i="6"/>
  <c r="N163" i="6"/>
  <c r="D164" i="6"/>
  <c r="L164" i="6" s="1"/>
  <c r="I164" i="6"/>
  <c r="K164" i="6"/>
  <c r="M164" i="6"/>
  <c r="N164" i="6"/>
  <c r="D165" i="6"/>
  <c r="M165" i="6" s="1"/>
  <c r="E165" i="6"/>
  <c r="H165" i="6" s="1"/>
  <c r="F165" i="6"/>
  <c r="J165" i="6"/>
  <c r="K165" i="6"/>
  <c r="L165" i="6"/>
  <c r="N165" i="6"/>
  <c r="D166" i="6"/>
  <c r="N166" i="6" s="1"/>
  <c r="E166" i="6"/>
  <c r="H166" i="6" s="1"/>
  <c r="D167" i="6"/>
  <c r="I167" i="6" s="1"/>
  <c r="E167" i="6"/>
  <c r="H167" i="6" s="1"/>
  <c r="F167" i="6"/>
  <c r="G167" i="6"/>
  <c r="D168" i="6"/>
  <c r="E168" i="6"/>
  <c r="J168" i="6" s="1"/>
  <c r="F168" i="6"/>
  <c r="G168" i="6"/>
  <c r="H168" i="6"/>
  <c r="I168" i="6"/>
  <c r="K168" i="6"/>
  <c r="L168" i="6"/>
  <c r="M168" i="6"/>
  <c r="N168" i="6"/>
  <c r="D169" i="6"/>
  <c r="E169" i="6" s="1"/>
  <c r="F169" i="6"/>
  <c r="G169" i="6"/>
  <c r="H169" i="6"/>
  <c r="I169" i="6"/>
  <c r="J169" i="6"/>
  <c r="D170" i="6"/>
  <c r="F170" i="6" s="1"/>
  <c r="G170" i="6"/>
  <c r="I170" i="6"/>
  <c r="K170" i="6"/>
  <c r="L170" i="6"/>
  <c r="N170" i="6"/>
  <c r="D171" i="6"/>
  <c r="G171" i="6" s="1"/>
  <c r="I171" i="6"/>
  <c r="K171" i="6"/>
  <c r="L171" i="6"/>
  <c r="M171" i="6"/>
  <c r="N171" i="6"/>
  <c r="D172" i="6"/>
  <c r="G172" i="6" s="1"/>
  <c r="E172" i="6"/>
  <c r="H172" i="6" s="1"/>
  <c r="F172" i="6"/>
  <c r="I172" i="6"/>
  <c r="K172" i="6"/>
  <c r="L172" i="6"/>
  <c r="M172" i="6"/>
  <c r="N172" i="6"/>
  <c r="D173" i="6"/>
  <c r="I173" i="6" s="1"/>
  <c r="E173" i="6"/>
  <c r="H173" i="6" s="1"/>
  <c r="D174" i="6"/>
  <c r="I174" i="6" s="1"/>
  <c r="E174" i="6"/>
  <c r="F174" i="6"/>
  <c r="G174" i="6"/>
  <c r="D175" i="6"/>
  <c r="K175" i="6" s="1"/>
  <c r="E175" i="6"/>
  <c r="J175" i="6" s="1"/>
  <c r="F175" i="6"/>
  <c r="G175" i="6"/>
  <c r="H175" i="6"/>
  <c r="I175" i="6"/>
  <c r="D176" i="6"/>
  <c r="L176" i="6" s="1"/>
  <c r="F176" i="6"/>
  <c r="G176" i="6"/>
  <c r="I176" i="6"/>
  <c r="K176" i="6"/>
  <c r="N176" i="6"/>
  <c r="D177" i="6"/>
  <c r="M177" i="6" s="1"/>
  <c r="I177" i="6"/>
  <c r="K177" i="6"/>
  <c r="L177" i="6"/>
  <c r="N177" i="6"/>
  <c r="J2" i="6"/>
  <c r="H2" i="6"/>
  <c r="F2" i="6"/>
  <c r="G2" i="6"/>
  <c r="I2" i="6"/>
  <c r="K2" i="6"/>
  <c r="L2" i="6"/>
  <c r="M2" i="6"/>
  <c r="N2" i="6"/>
  <c r="E2" i="6"/>
  <c r="D2" i="6"/>
  <c r="H46" i="6" l="1"/>
  <c r="J46" i="6"/>
  <c r="H63" i="6"/>
  <c r="H150" i="6"/>
  <c r="J139" i="6"/>
  <c r="H139" i="6"/>
  <c r="J112" i="6"/>
  <c r="H112" i="6"/>
  <c r="J84" i="6"/>
  <c r="H84" i="6"/>
  <c r="J125" i="6"/>
  <c r="H125" i="6"/>
  <c r="H88" i="6"/>
  <c r="J88" i="6"/>
  <c r="M116" i="6"/>
  <c r="E116" i="6"/>
  <c r="G116" i="6"/>
  <c r="E120" i="6"/>
  <c r="L120" i="6"/>
  <c r="N120" i="6"/>
  <c r="G56" i="6"/>
  <c r="E56" i="6"/>
  <c r="M56" i="6"/>
  <c r="M38" i="6"/>
  <c r="I38" i="6"/>
  <c r="K38" i="6"/>
  <c r="L38" i="6"/>
  <c r="E38" i="6"/>
  <c r="N38" i="6"/>
  <c r="I148" i="6"/>
  <c r="E148" i="6"/>
  <c r="M106" i="6"/>
  <c r="I106" i="6"/>
  <c r="K106" i="6"/>
  <c r="M166" i="6"/>
  <c r="F145" i="6"/>
  <c r="L145" i="6"/>
  <c r="H111" i="6"/>
  <c r="J111" i="6"/>
  <c r="G104" i="6"/>
  <c r="L104" i="6"/>
  <c r="F55" i="6"/>
  <c r="E55" i="6"/>
  <c r="I55" i="6"/>
  <c r="K55" i="6"/>
  <c r="M55" i="6"/>
  <c r="N55" i="6"/>
  <c r="K48" i="6"/>
  <c r="E48" i="6"/>
  <c r="F48" i="6"/>
  <c r="G48" i="6"/>
  <c r="I48" i="6"/>
  <c r="H44" i="6"/>
  <c r="J44" i="6"/>
  <c r="J37" i="6"/>
  <c r="H37" i="6"/>
  <c r="L25" i="6"/>
  <c r="I25" i="6"/>
  <c r="K25" i="6"/>
  <c r="M25" i="6"/>
  <c r="N25" i="6"/>
  <c r="G20" i="6"/>
  <c r="L20" i="6"/>
  <c r="M20" i="6"/>
  <c r="N20" i="6"/>
  <c r="I20" i="6"/>
  <c r="K20" i="6"/>
  <c r="E6" i="6"/>
  <c r="I6" i="6"/>
  <c r="K6" i="6"/>
  <c r="L6" i="6"/>
  <c r="M6" i="6"/>
  <c r="N6" i="6"/>
  <c r="G92" i="6"/>
  <c r="N92" i="6"/>
  <c r="M92" i="6"/>
  <c r="L92" i="6"/>
  <c r="E90" i="6"/>
  <c r="G90" i="6"/>
  <c r="F90" i="6"/>
  <c r="I58" i="6"/>
  <c r="L58" i="6"/>
  <c r="F58" i="6"/>
  <c r="K58" i="6"/>
  <c r="M58" i="6"/>
  <c r="J32" i="6"/>
  <c r="H32" i="6"/>
  <c r="J174" i="6"/>
  <c r="G110" i="6"/>
  <c r="E110" i="6"/>
  <c r="J145" i="6"/>
  <c r="J152" i="6"/>
  <c r="L85" i="6"/>
  <c r="K85" i="6"/>
  <c r="N85" i="6"/>
  <c r="E85" i="6"/>
  <c r="L147" i="6"/>
  <c r="N144" i="6"/>
  <c r="L140" i="6"/>
  <c r="F121" i="6"/>
  <c r="J121" i="6" s="1"/>
  <c r="N121" i="6"/>
  <c r="M98" i="6"/>
  <c r="N98" i="6"/>
  <c r="E98" i="6"/>
  <c r="I98" i="6"/>
  <c r="K98" i="6"/>
  <c r="H91" i="6"/>
  <c r="G177" i="6"/>
  <c r="E176" i="6"/>
  <c r="N174" i="6"/>
  <c r="L173" i="6"/>
  <c r="J172" i="6"/>
  <c r="E170" i="6"/>
  <c r="M167" i="6"/>
  <c r="K166" i="6"/>
  <c r="I165" i="6"/>
  <c r="G164" i="6"/>
  <c r="E163" i="6"/>
  <c r="N161" i="6"/>
  <c r="L160" i="6"/>
  <c r="I159" i="6"/>
  <c r="L155" i="6"/>
  <c r="I154" i="6"/>
  <c r="N151" i="6"/>
  <c r="E149" i="6"/>
  <c r="G149" i="6"/>
  <c r="K147" i="6"/>
  <c r="M144" i="6"/>
  <c r="G139" i="6"/>
  <c r="I129" i="6"/>
  <c r="M128" i="6"/>
  <c r="E128" i="6"/>
  <c r="I126" i="6"/>
  <c r="M120" i="6"/>
  <c r="L116" i="6"/>
  <c r="K114" i="6"/>
  <c r="N114" i="6"/>
  <c r="J99" i="6"/>
  <c r="N97" i="6"/>
  <c r="K92" i="6"/>
  <c r="F91" i="6"/>
  <c r="J91" i="6" s="1"/>
  <c r="L91" i="6"/>
  <c r="K91" i="6"/>
  <c r="J89" i="6"/>
  <c r="M84" i="6"/>
  <c r="N82" i="6"/>
  <c r="E81" i="6"/>
  <c r="G81" i="6"/>
  <c r="G76" i="6"/>
  <c r="I76" i="6"/>
  <c r="K76" i="6"/>
  <c r="M76" i="6"/>
  <c r="G44" i="6"/>
  <c r="K44" i="6"/>
  <c r="L44" i="6"/>
  <c r="M44" i="6"/>
  <c r="N36" i="6"/>
  <c r="J58" i="6"/>
  <c r="M140" i="6"/>
  <c r="N140" i="6"/>
  <c r="G137" i="6"/>
  <c r="I137" i="6"/>
  <c r="G130" i="6"/>
  <c r="I130" i="6"/>
  <c r="N87" i="6"/>
  <c r="E87" i="6"/>
  <c r="L87" i="6"/>
  <c r="E69" i="6"/>
  <c r="G69" i="6"/>
  <c r="F69" i="6"/>
  <c r="I69" i="6"/>
  <c r="K60" i="6"/>
  <c r="N60" i="6"/>
  <c r="F60" i="6"/>
  <c r="J60" i="6" s="1"/>
  <c r="G60" i="6"/>
  <c r="I60" i="6"/>
  <c r="N51" i="6"/>
  <c r="I51" i="6"/>
  <c r="K51" i="6"/>
  <c r="L51" i="6"/>
  <c r="G51" i="6"/>
  <c r="F51" i="6"/>
  <c r="J51" i="6" s="1"/>
  <c r="M51" i="6"/>
  <c r="F7" i="6"/>
  <c r="J7" i="6" s="1"/>
  <c r="K7" i="6"/>
  <c r="L7" i="6"/>
  <c r="M7" i="6"/>
  <c r="N7" i="6"/>
  <c r="G7" i="6"/>
  <c r="I7" i="6"/>
  <c r="J71" i="6"/>
  <c r="J47" i="6"/>
  <c r="L127" i="6"/>
  <c r="N127" i="6"/>
  <c r="L73" i="6"/>
  <c r="N73" i="6"/>
  <c r="K73" i="6"/>
  <c r="E35" i="6"/>
  <c r="F35" i="6"/>
  <c r="I35" i="6"/>
  <c r="L35" i="6"/>
  <c r="M35" i="6"/>
  <c r="N173" i="6"/>
  <c r="N160" i="6"/>
  <c r="M147" i="6"/>
  <c r="N117" i="6"/>
  <c r="G117" i="6"/>
  <c r="I117" i="6"/>
  <c r="J83" i="6"/>
  <c r="J25" i="6"/>
  <c r="H20" i="6"/>
  <c r="J20" i="6"/>
  <c r="N167" i="6"/>
  <c r="M160" i="6"/>
  <c r="N155" i="6"/>
  <c r="K138" i="6"/>
  <c r="I138" i="6"/>
  <c r="L138" i="6"/>
  <c r="N130" i="6"/>
  <c r="N116" i="6"/>
  <c r="F177" i="6"/>
  <c r="M174" i="6"/>
  <c r="K173" i="6"/>
  <c r="F171" i="6"/>
  <c r="L167" i="6"/>
  <c r="F164" i="6"/>
  <c r="M161" i="6"/>
  <c r="K160" i="6"/>
  <c r="K155" i="6"/>
  <c r="M151" i="6"/>
  <c r="N148" i="6"/>
  <c r="L144" i="6"/>
  <c r="E142" i="6"/>
  <c r="G142" i="6"/>
  <c r="F139" i="6"/>
  <c r="M137" i="6"/>
  <c r="M134" i="6"/>
  <c r="E132" i="6"/>
  <c r="L132" i="6"/>
  <c r="L130" i="6"/>
  <c r="M127" i="6"/>
  <c r="I125" i="6"/>
  <c r="L125" i="6"/>
  <c r="K120" i="6"/>
  <c r="H119" i="6"/>
  <c r="K116" i="6"/>
  <c r="G115" i="6"/>
  <c r="M113" i="6"/>
  <c r="G112" i="6"/>
  <c r="N110" i="6"/>
  <c r="I105" i="6"/>
  <c r="M97" i="6"/>
  <c r="N90" i="6"/>
  <c r="G88" i="6"/>
  <c r="L88" i="6"/>
  <c r="N88" i="6"/>
  <c r="K72" i="6"/>
  <c r="L72" i="6"/>
  <c r="N72" i="6"/>
  <c r="G72" i="6"/>
  <c r="E72" i="6"/>
  <c r="I72" i="6"/>
  <c r="N63" i="6"/>
  <c r="G63" i="6"/>
  <c r="I63" i="6"/>
  <c r="F63" i="6"/>
  <c r="J63" i="6" s="1"/>
  <c r="K63" i="6"/>
  <c r="L63" i="6"/>
  <c r="N56" i="6"/>
  <c r="I46" i="6"/>
  <c r="L46" i="6"/>
  <c r="N46" i="6"/>
  <c r="M46" i="6"/>
  <c r="G46" i="6"/>
  <c r="K46" i="6"/>
  <c r="H33" i="6"/>
  <c r="J33" i="6"/>
  <c r="H31" i="6"/>
  <c r="J31" i="6"/>
  <c r="H24" i="6"/>
  <c r="J24" i="6"/>
  <c r="H13" i="6"/>
  <c r="E177" i="6"/>
  <c r="N175" i="6"/>
  <c r="L174" i="6"/>
  <c r="J173" i="6"/>
  <c r="E171" i="6"/>
  <c r="N169" i="6"/>
  <c r="K167" i="6"/>
  <c r="I166" i="6"/>
  <c r="G165" i="6"/>
  <c r="E164" i="6"/>
  <c r="N162" i="6"/>
  <c r="L161" i="6"/>
  <c r="N157" i="6"/>
  <c r="J155" i="6"/>
  <c r="K153" i="6"/>
  <c r="M153" i="6"/>
  <c r="F150" i="6"/>
  <c r="J150" i="6" s="1"/>
  <c r="M148" i="6"/>
  <c r="I147" i="6"/>
  <c r="G146" i="6"/>
  <c r="L146" i="6"/>
  <c r="N146" i="6"/>
  <c r="K144" i="6"/>
  <c r="M141" i="6"/>
  <c r="I140" i="6"/>
  <c r="L137" i="6"/>
  <c r="L134" i="6"/>
  <c r="K130" i="6"/>
  <c r="K127" i="6"/>
  <c r="N124" i="6"/>
  <c r="G122" i="6"/>
  <c r="E122" i="6"/>
  <c r="I118" i="6"/>
  <c r="K118" i="6"/>
  <c r="K113" i="6"/>
  <c r="F112" i="6"/>
  <c r="M110" i="6"/>
  <c r="E108" i="6"/>
  <c r="M108" i="6"/>
  <c r="N106" i="6"/>
  <c r="N100" i="6"/>
  <c r="K96" i="6"/>
  <c r="I96" i="6"/>
  <c r="M96" i="6"/>
  <c r="I94" i="6"/>
  <c r="E94" i="6"/>
  <c r="F94" i="6"/>
  <c r="G94" i="6"/>
  <c r="I92" i="6"/>
  <c r="M90" i="6"/>
  <c r="M87" i="6"/>
  <c r="F84" i="6"/>
  <c r="F79" i="6"/>
  <c r="J79" i="6" s="1"/>
  <c r="L79" i="6"/>
  <c r="N79" i="6"/>
  <c r="K79" i="6"/>
  <c r="I70" i="6"/>
  <c r="G70" i="6"/>
  <c r="N70" i="6"/>
  <c r="K70" i="6"/>
  <c r="M70" i="6"/>
  <c r="L61" i="6"/>
  <c r="E61" i="6"/>
  <c r="F61" i="6"/>
  <c r="K61" i="6"/>
  <c r="M61" i="6"/>
  <c r="L56" i="6"/>
  <c r="M43" i="6"/>
  <c r="L33" i="6"/>
  <c r="N33" i="6"/>
  <c r="L23" i="6"/>
  <c r="L13" i="6"/>
  <c r="K13" i="6"/>
  <c r="M13" i="6"/>
  <c r="N13" i="6"/>
  <c r="I13" i="6"/>
  <c r="F13" i="6"/>
  <c r="J13" i="6" s="1"/>
  <c r="G13" i="6"/>
  <c r="H144" i="6"/>
  <c r="J144" i="6"/>
  <c r="K12" i="6"/>
  <c r="I12" i="6"/>
  <c r="L12" i="6"/>
  <c r="M12" i="6"/>
  <c r="N12" i="6"/>
  <c r="J95" i="6"/>
  <c r="G95" i="6"/>
  <c r="I95" i="6"/>
  <c r="L95" i="6"/>
  <c r="N95" i="6"/>
  <c r="L166" i="6"/>
  <c r="J167" i="6"/>
  <c r="M162" i="6"/>
  <c r="K161" i="6"/>
  <c r="I160" i="6"/>
  <c r="E159" i="6"/>
  <c r="G159" i="6"/>
  <c r="M157" i="6"/>
  <c r="I155" i="6"/>
  <c r="N152" i="6"/>
  <c r="J151" i="6"/>
  <c r="L148" i="6"/>
  <c r="G147" i="6"/>
  <c r="N145" i="6"/>
  <c r="I144" i="6"/>
  <c r="L139" i="6"/>
  <c r="K139" i="6"/>
  <c r="N139" i="6"/>
  <c r="K137" i="6"/>
  <c r="I136" i="6"/>
  <c r="E136" i="6"/>
  <c r="G136" i="6"/>
  <c r="J130" i="6"/>
  <c r="N129" i="6"/>
  <c r="E129" i="6"/>
  <c r="G129" i="6"/>
  <c r="J127" i="6"/>
  <c r="M121" i="6"/>
  <c r="I120" i="6"/>
  <c r="M117" i="6"/>
  <c r="I116" i="6"/>
  <c r="L115" i="6"/>
  <c r="E115" i="6"/>
  <c r="L110" i="6"/>
  <c r="L106" i="6"/>
  <c r="N105" i="6"/>
  <c r="K105" i="6"/>
  <c r="E105" i="6"/>
  <c r="G105" i="6"/>
  <c r="E102" i="6"/>
  <c r="I102" i="6"/>
  <c r="K102" i="6"/>
  <c r="M100" i="6"/>
  <c r="M95" i="6"/>
  <c r="N93" i="6"/>
  <c r="L90" i="6"/>
  <c r="K87" i="6"/>
  <c r="J80" i="6"/>
  <c r="N78" i="6"/>
  <c r="M73" i="6"/>
  <c r="N69" i="6"/>
  <c r="M60" i="6"/>
  <c r="N58" i="6"/>
  <c r="K56" i="6"/>
  <c r="N49" i="6"/>
  <c r="J40" i="6"/>
  <c r="G12" i="6"/>
  <c r="H7" i="6"/>
  <c r="I151" i="6"/>
  <c r="K151" i="6"/>
  <c r="L113" i="6"/>
  <c r="N113" i="6"/>
  <c r="J73" i="6"/>
  <c r="G134" i="6"/>
  <c r="N134" i="6"/>
  <c r="I124" i="6"/>
  <c r="G124" i="6"/>
  <c r="N141" i="6"/>
  <c r="E141" i="6"/>
  <c r="M175" i="6"/>
  <c r="K174" i="6"/>
  <c r="L175" i="6"/>
  <c r="G173" i="6"/>
  <c r="L169" i="6"/>
  <c r="G166" i="6"/>
  <c r="L162" i="6"/>
  <c r="J161" i="6"/>
  <c r="G160" i="6"/>
  <c r="L157" i="6"/>
  <c r="K150" i="6"/>
  <c r="G150" i="6"/>
  <c r="I150" i="6"/>
  <c r="F147" i="6"/>
  <c r="K141" i="6"/>
  <c r="L124" i="6"/>
  <c r="L121" i="6"/>
  <c r="L117" i="6"/>
  <c r="I112" i="6"/>
  <c r="L112" i="6"/>
  <c r="K110" i="6"/>
  <c r="J106" i="6"/>
  <c r="N104" i="6"/>
  <c r="K95" i="6"/>
  <c r="M93" i="6"/>
  <c r="F92" i="6"/>
  <c r="K90" i="6"/>
  <c r="I87" i="6"/>
  <c r="M85" i="6"/>
  <c r="K84" i="6"/>
  <c r="I84" i="6"/>
  <c r="L84" i="6"/>
  <c r="G84" i="6"/>
  <c r="H77" i="6"/>
  <c r="J77" i="6"/>
  <c r="I73" i="6"/>
  <c r="M69" i="6"/>
  <c r="J64" i="6"/>
  <c r="L60" i="6"/>
  <c r="H58" i="6"/>
  <c r="F43" i="6"/>
  <c r="E43" i="6"/>
  <c r="I43" i="6"/>
  <c r="L43" i="6"/>
  <c r="G43" i="6"/>
  <c r="E23" i="6"/>
  <c r="F23" i="6"/>
  <c r="G23" i="6"/>
  <c r="I23" i="6"/>
  <c r="M23" i="6"/>
  <c r="N23" i="6"/>
  <c r="F12" i="6"/>
  <c r="L97" i="6"/>
  <c r="K97" i="6"/>
  <c r="E97" i="6"/>
  <c r="G97" i="6"/>
  <c r="L49" i="6"/>
  <c r="E49" i="6"/>
  <c r="G49" i="6"/>
  <c r="M49" i="6"/>
  <c r="K49" i="6"/>
  <c r="J113" i="6"/>
  <c r="H5" i="6"/>
  <c r="J5" i="6"/>
  <c r="J124" i="6"/>
  <c r="E78" i="6"/>
  <c r="L78" i="6"/>
  <c r="F78" i="6"/>
  <c r="H131" i="6"/>
  <c r="J131" i="6"/>
  <c r="E100" i="6"/>
  <c r="K100" i="6"/>
  <c r="F100" i="6"/>
  <c r="F67" i="6"/>
  <c r="J67" i="6" s="1"/>
  <c r="N67" i="6"/>
  <c r="I67" i="6"/>
  <c r="L67" i="6"/>
  <c r="M67" i="6"/>
  <c r="J162" i="6"/>
  <c r="M173" i="6"/>
  <c r="M169" i="6"/>
  <c r="M152" i="6"/>
  <c r="K148" i="6"/>
  <c r="M145" i="6"/>
  <c r="G144" i="6"/>
  <c r="G140" i="6"/>
  <c r="N138" i="6"/>
  <c r="H137" i="6"/>
  <c r="I127" i="6"/>
  <c r="M176" i="6"/>
  <c r="H174" i="6"/>
  <c r="F173" i="6"/>
  <c r="M170" i="6"/>
  <c r="K169" i="6"/>
  <c r="F166" i="6"/>
  <c r="J166" i="6" s="1"/>
  <c r="M163" i="6"/>
  <c r="E160" i="6"/>
  <c r="K157" i="6"/>
  <c r="G155" i="6"/>
  <c r="L154" i="6"/>
  <c r="N154" i="6"/>
  <c r="K152" i="6"/>
  <c r="G151" i="6"/>
  <c r="E147" i="6"/>
  <c r="K145" i="6"/>
  <c r="F144" i="6"/>
  <c r="N142" i="6"/>
  <c r="F140" i="6"/>
  <c r="J140" i="6" s="1"/>
  <c r="M138" i="6"/>
  <c r="F137" i="6"/>
  <c r="J137" i="6" s="1"/>
  <c r="I134" i="6"/>
  <c r="F133" i="6"/>
  <c r="J133" i="6" s="1"/>
  <c r="L133" i="6"/>
  <c r="N133" i="6"/>
  <c r="F130" i="6"/>
  <c r="K126" i="6"/>
  <c r="L126" i="6"/>
  <c r="N126" i="6"/>
  <c r="K124" i="6"/>
  <c r="E123" i="6"/>
  <c r="G123" i="6"/>
  <c r="K121" i="6"/>
  <c r="G120" i="6"/>
  <c r="K117" i="6"/>
  <c r="F116" i="6"/>
  <c r="G113" i="6"/>
  <c r="M104" i="6"/>
  <c r="H103" i="6"/>
  <c r="N99" i="6"/>
  <c r="M99" i="6"/>
  <c r="F97" i="6"/>
  <c r="H95" i="6"/>
  <c r="L93" i="6"/>
  <c r="E92" i="6"/>
  <c r="I90" i="6"/>
  <c r="G87" i="6"/>
  <c r="I82" i="6"/>
  <c r="E82" i="6"/>
  <c r="G82" i="6"/>
  <c r="F82" i="6"/>
  <c r="M82" i="6"/>
  <c r="K78" i="6"/>
  <c r="N75" i="6"/>
  <c r="E75" i="6"/>
  <c r="G75" i="6"/>
  <c r="F75" i="6"/>
  <c r="H73" i="6"/>
  <c r="H71" i="6"/>
  <c r="L69" i="6"/>
  <c r="K67" i="6"/>
  <c r="H60" i="6"/>
  <c r="G58" i="6"/>
  <c r="I56" i="6"/>
  <c r="F49" i="6"/>
  <c r="H47" i="6"/>
  <c r="G38" i="6"/>
  <c r="K36" i="6"/>
  <c r="E36" i="6"/>
  <c r="G36" i="6"/>
  <c r="E12" i="6"/>
  <c r="I71" i="6"/>
  <c r="L71" i="6"/>
  <c r="J65" i="6"/>
  <c r="J59" i="6"/>
  <c r="K57" i="6"/>
  <c r="K52" i="6"/>
  <c r="M52" i="6"/>
  <c r="N52" i="6"/>
  <c r="J50" i="6"/>
  <c r="H45" i="6"/>
  <c r="J45" i="6"/>
  <c r="K37" i="6"/>
  <c r="F31" i="6"/>
  <c r="K31" i="6"/>
  <c r="L31" i="6"/>
  <c r="N11" i="6"/>
  <c r="H4" i="6"/>
  <c r="J4" i="6"/>
  <c r="J26" i="6"/>
  <c r="N24" i="6"/>
  <c r="F109" i="6"/>
  <c r="E109" i="6"/>
  <c r="G83" i="6"/>
  <c r="I83" i="6"/>
  <c r="L83" i="6"/>
  <c r="G80" i="6"/>
  <c r="N80" i="6"/>
  <c r="L80" i="6"/>
  <c r="M74" i="6"/>
  <c r="E74" i="6"/>
  <c r="M62" i="6"/>
  <c r="E62" i="6"/>
  <c r="G62" i="6"/>
  <c r="L59" i="6"/>
  <c r="N59" i="6"/>
  <c r="K59" i="6"/>
  <c r="I57" i="6"/>
  <c r="M50" i="6"/>
  <c r="G50" i="6"/>
  <c r="I50" i="6"/>
  <c r="L45" i="6"/>
  <c r="M45" i="6"/>
  <c r="F45" i="6"/>
  <c r="M24" i="6"/>
  <c r="F19" i="6"/>
  <c r="J19" i="6" s="1"/>
  <c r="K19" i="6"/>
  <c r="L19" i="6"/>
  <c r="M19" i="6"/>
  <c r="N19" i="6"/>
  <c r="H17" i="6"/>
  <c r="J17" i="6"/>
  <c r="N18" i="6"/>
  <c r="F11" i="6"/>
  <c r="G11" i="6"/>
  <c r="I11" i="6"/>
  <c r="K11" i="6"/>
  <c r="L11" i="6"/>
  <c r="E11" i="6"/>
  <c r="M86" i="6"/>
  <c r="I86" i="6"/>
  <c r="E66" i="6"/>
  <c r="L66" i="6"/>
  <c r="N66" i="6"/>
  <c r="E57" i="6"/>
  <c r="N39" i="6"/>
  <c r="K39" i="6"/>
  <c r="M39" i="6"/>
  <c r="M18" i="6"/>
  <c r="L37" i="6"/>
  <c r="G37" i="6"/>
  <c r="I37" i="6"/>
  <c r="K24" i="6"/>
  <c r="G24" i="6"/>
  <c r="I24" i="6"/>
  <c r="L24" i="6"/>
  <c r="E18" i="6"/>
  <c r="I18" i="6"/>
  <c r="K18" i="6"/>
  <c r="L18" i="6"/>
  <c r="G18" i="6"/>
  <c r="G68" i="6"/>
  <c r="E68" i="6"/>
  <c r="I64" i="6"/>
  <c r="K64" i="6"/>
  <c r="E42" i="6"/>
  <c r="F42" i="6"/>
  <c r="G42" i="6"/>
  <c r="G32" i="6"/>
  <c r="L32" i="6"/>
  <c r="M32" i="6"/>
  <c r="E30" i="6"/>
  <c r="F30" i="6"/>
  <c r="I30" i="6"/>
  <c r="M26" i="6"/>
  <c r="K26" i="6"/>
  <c r="L26" i="6"/>
  <c r="N26" i="6"/>
  <c r="F4" i="6"/>
  <c r="G4" i="6"/>
  <c r="I4" i="6"/>
  <c r="K4" i="6"/>
  <c r="I16" i="6"/>
  <c r="I3" i="6"/>
  <c r="F28" i="6"/>
  <c r="J28" i="6" s="1"/>
  <c r="F22" i="6"/>
  <c r="F15" i="6"/>
  <c r="F9" i="6"/>
  <c r="J9" i="6" s="1"/>
  <c r="E22" i="6"/>
  <c r="G16" i="6"/>
  <c r="E15" i="6"/>
  <c r="G10" i="6"/>
  <c r="G3" i="6"/>
  <c r="F16" i="6"/>
  <c r="J16" i="6" s="1"/>
  <c r="F10" i="6"/>
  <c r="F3" i="6"/>
  <c r="E10" i="6"/>
  <c r="E3" i="6"/>
  <c r="H109" i="6" l="1"/>
  <c r="J109" i="6"/>
  <c r="H92" i="6"/>
  <c r="J92" i="6"/>
  <c r="H81" i="6"/>
  <c r="J81" i="6"/>
  <c r="J90" i="6"/>
  <c r="H90" i="6"/>
  <c r="H122" i="6"/>
  <c r="J122" i="6"/>
  <c r="H98" i="6"/>
  <c r="J98" i="6"/>
  <c r="J149" i="6"/>
  <c r="H149" i="6"/>
  <c r="J148" i="6"/>
  <c r="H148" i="6"/>
  <c r="H123" i="6"/>
  <c r="J123" i="6"/>
  <c r="J141" i="6"/>
  <c r="H141" i="6"/>
  <c r="J100" i="6"/>
  <c r="H100" i="6"/>
  <c r="H18" i="6"/>
  <c r="J18" i="6"/>
  <c r="H57" i="6"/>
  <c r="J57" i="6"/>
  <c r="H49" i="6"/>
  <c r="J49" i="6"/>
  <c r="J23" i="6"/>
  <c r="H23" i="6"/>
  <c r="J115" i="6"/>
  <c r="H115" i="6"/>
  <c r="H136" i="6"/>
  <c r="J136" i="6"/>
  <c r="H61" i="6"/>
  <c r="J61" i="6"/>
  <c r="J132" i="6"/>
  <c r="H132" i="6"/>
  <c r="H69" i="6"/>
  <c r="J69" i="6"/>
  <c r="H38" i="6"/>
  <c r="J38" i="6"/>
  <c r="H116" i="6"/>
  <c r="J116" i="6"/>
  <c r="H170" i="6"/>
  <c r="J170" i="6"/>
  <c r="J55" i="6"/>
  <c r="H55" i="6"/>
  <c r="H147" i="6"/>
  <c r="J147" i="6"/>
  <c r="J177" i="6"/>
  <c r="H177" i="6"/>
  <c r="H87" i="6"/>
  <c r="J87" i="6"/>
  <c r="J74" i="6"/>
  <c r="H74" i="6"/>
  <c r="H120" i="6"/>
  <c r="J120" i="6"/>
  <c r="H72" i="6"/>
  <c r="J72" i="6"/>
  <c r="J176" i="6"/>
  <c r="H176" i="6"/>
  <c r="J66" i="6"/>
  <c r="H66" i="6"/>
  <c r="J85" i="6"/>
  <c r="H85" i="6"/>
  <c r="H48" i="6"/>
  <c r="J48" i="6"/>
  <c r="J35" i="6"/>
  <c r="H35" i="6"/>
  <c r="J62" i="6"/>
  <c r="H62" i="6"/>
  <c r="H75" i="6"/>
  <c r="J75" i="6"/>
  <c r="H171" i="6"/>
  <c r="J171" i="6"/>
  <c r="H110" i="6"/>
  <c r="J110" i="6"/>
  <c r="J108" i="6"/>
  <c r="H108" i="6"/>
  <c r="J42" i="6"/>
  <c r="H42" i="6"/>
  <c r="H68" i="6"/>
  <c r="J68" i="6"/>
  <c r="J11" i="6"/>
  <c r="H11" i="6"/>
  <c r="J142" i="6"/>
  <c r="H142" i="6"/>
  <c r="H56" i="6"/>
  <c r="J56" i="6"/>
  <c r="H3" i="6"/>
  <c r="J3" i="6"/>
  <c r="H36" i="6"/>
  <c r="J36" i="6"/>
  <c r="H105" i="6"/>
  <c r="J105" i="6"/>
  <c r="H10" i="6"/>
  <c r="J10" i="6"/>
  <c r="H129" i="6"/>
  <c r="J129" i="6"/>
  <c r="J6" i="6"/>
  <c r="H6" i="6"/>
  <c r="H30" i="6"/>
  <c r="J30" i="6"/>
  <c r="H160" i="6"/>
  <c r="J160" i="6"/>
  <c r="J128" i="6"/>
  <c r="H128" i="6"/>
  <c r="H15" i="6"/>
  <c r="J15" i="6"/>
  <c r="H97" i="6"/>
  <c r="J97" i="6"/>
  <c r="H159" i="6"/>
  <c r="J159" i="6"/>
  <c r="H22" i="6"/>
  <c r="J22" i="6"/>
  <c r="H82" i="6"/>
  <c r="J82" i="6"/>
  <c r="J78" i="6"/>
  <c r="H78" i="6"/>
  <c r="H43" i="6"/>
  <c r="J43" i="6"/>
  <c r="H163" i="6"/>
  <c r="J163" i="6"/>
  <c r="H12" i="6"/>
  <c r="J12" i="6"/>
  <c r="H102" i="6"/>
  <c r="J102" i="6"/>
  <c r="J94" i="6"/>
  <c r="H94" i="6"/>
  <c r="H164" i="6"/>
  <c r="J164" i="6"/>
</calcChain>
</file>

<file path=xl/sharedStrings.xml><?xml version="1.0" encoding="utf-8"?>
<sst xmlns="http://schemas.openxmlformats.org/spreadsheetml/2006/main" count="3000" uniqueCount="296">
  <si>
    <t>Evaluator</t>
  </si>
  <si>
    <t>Question</t>
  </si>
  <si>
    <t>status</t>
  </si>
  <si>
    <t>answerability</t>
  </si>
  <si>
    <t>primary_kc_alignment</t>
  </si>
  <si>
    <t>secondary_kc_alignment</t>
  </si>
  <si>
    <t>topic_alignment</t>
  </si>
  <si>
    <t>grade_alignment</t>
  </si>
  <si>
    <t>real_world_feasibility</t>
  </si>
  <si>
    <t>synergy</t>
  </si>
  <si>
    <t>clarity</t>
  </si>
  <si>
    <t>conciseness_and_relevance</t>
  </si>
  <si>
    <t>language_quality</t>
  </si>
  <si>
    <t>content_appropriateness</t>
  </si>
  <si>
    <t>explanation</t>
  </si>
  <si>
    <t>response_time</t>
  </si>
  <si>
    <t>TD</t>
  </si>
  <si>
    <t>Question 1</t>
  </si>
  <si>
    <t>Question 2</t>
  </si>
  <si>
    <t>Question 3</t>
  </si>
  <si>
    <t>Question 4</t>
  </si>
  <si>
    <t>Question 5</t>
  </si>
  <si>
    <t>Question 6</t>
  </si>
  <si>
    <t>Question 7</t>
  </si>
  <si>
    <t>Question 8</t>
  </si>
  <si>
    <t>Question 9</t>
  </si>
  <si>
    <t>Question 10</t>
  </si>
  <si>
    <t>Question 11</t>
  </si>
  <si>
    <t>'NA</t>
  </si>
  <si>
    <t>(1) a) and b) are ill-posed because 0f the painting challenge' or '0f the music challenge' suggests Sarah can do at most all (1/1) of the challenge, but the two fractions are subtasks of different types, and the question asks for 'total' fraction of the painting (or music) challenge completed, which by the context must be just the one fraction relevant to Sarah (not a sum). This confuses primary KC and is not answerable as intended.(2) The intended primary KC is about addition of unlike fractions, but this problem asks (a) what fraction Sarah completed in total for the painting challenge, but she only completed some for painting and some for music, and for each, a single value is given per challenge (not subparts of painting), so there is nothing to add. (5) Real-world feasibility: In a typical challenge like 'painting challenge', you cannot complete more than 100%, and the problem as written describes each girl completing some share of painting and another share of music, without a logical route to sum these (e.g., no indication of combining multiple attempts or subparts). (6) Synergy: The three parts are not connected as a true multi-step problem; each (a) and (b) is answerable by simple copying, not using previous results, and part (c) compares totals but does not require the use of addition as intended for the primary KC.</t>
  </si>
  <si>
    <t>Question 12</t>
  </si>
  <si>
    <t>Question 13</t>
  </si>
  <si>
    <t>Primary KC Alignment (0): The total swimming time requires adding 1.17 (2 dp) and 1.142 (3 dp) to 1.25 (2 dp). The question explicitly asks to sum decimals where at least one number (1.142) has 3 decimal places, which is above the stated restriction of 'up to 2 decimal places' for the Primary Knowledge Component and Primary 4 syllabus. Grade Alignment (0): Comparing and ordering up to 3 decimal places is typically not introduced until Primary 5; adding decimals up to 3 decimal places is also above Primary 4 scope.</t>
  </si>
  <si>
    <t>Question 14</t>
  </si>
  <si>
    <t>Question 15</t>
  </si>
  <si>
    <t>Primary KC Alignment: The subtraction required is 3.75 - 2.486, which involves subtracting a 3-decimal-place number from a 2-decimal-place number and results in more than 2 decimal places. The primary KC specified is subtraction of decimals up to 2 decimal places, but this problem clearly involves 3 decimal places. Grade Alignment: Subtraction involving 3 decimal places exceeds the typical Primary 4 Singapore math curriculum, where students are expected to subtract decimals to 2 decimal places.</t>
  </si>
  <si>
    <t>Question 16</t>
  </si>
  <si>
    <t>Question 17</t>
  </si>
  <si>
    <t>Question 18</t>
  </si>
  <si>
    <t>Question 19</t>
  </si>
  <si>
    <t>Question 20</t>
  </si>
  <si>
    <t>Question 21</t>
  </si>
  <si>
    <t>Question 22</t>
  </si>
  <si>
    <t>primary_kc_alignment: The problem requires multiplying a mixed number (not a proper/improper fraction) by a whole number. In Primary 5 Singapore syllabus, the intended KC specifically lists multiplying a proper or improper fraction by a whole number, but mixed numbers are usually addressed as an extension or at a slightly later stage. secondary_kc_alignment: The problem does not require the direct comparison and ordering of fractions, but rather compares distances (whole numbers/decimals), thus not fully addressing the secondary KC. synergy: The two KCs are used separately, not in tandem. Step 1 uses multiplication, and Step 2 uses subtraction and comparison of distances, not fractions.</t>
  </si>
  <si>
    <t>Question 23</t>
  </si>
  <si>
    <t>Question 24</t>
  </si>
  <si>
    <t>Question 25</t>
  </si>
  <si>
    <t>Question 26</t>
  </si>
  <si>
    <t>Primary KC Alignment (0): The problem only requires adding fractions (secondary KC), not multiplying two improper fractions as stated in the intended primary knowledge component. All measurements are added together, but nowhere does it require multiplication of improper fractions. Synergy (0): Only addition is needed; multiplication is not required at any point, so the primary (intended) and secondary KC are not used in tandem.</t>
  </si>
  <si>
    <t>Question 27</t>
  </si>
  <si>
    <t>Primary Knowledge Component Alignment: The required multiplication is by a proper fraction ($x = [FORMULA]} [FORMULA]$ something, or $x = [FORMULA]}$), not a multiplication of two improper fractions. The main multiplication operation each student will perform is dividing by $[FORMULA]$, which is equivalent to multiplying by $[FORMULA]$, but only one factor is improper. Grade Alignment: The problem requires division by a fraction, which is generally above Primary 5 level in the Singapore syllabus (multiplying two fractions is introduced, but dividing by a fraction is later).</t>
  </si>
  <si>
    <t>Question 28</t>
  </si>
  <si>
    <t>Primary KC Alignment: The problem involves multiplying an improper fraction (5/3) by a proper fraction (7/4), not two improper fractions as specified by the Primary Knowledge Component. Thus, it does not fully align with the intended knowledge component.</t>
  </si>
  <si>
    <t>Question 29</t>
  </si>
  <si>
    <t>Question 30</t>
  </si>
  <si>
    <t>Primary KC Alignment: The question involves multiplying 0.875 (a decimal with 3 decimal places) by 300. However, 300 is not a multiple of 10, 100, or 1000, which is specifically required in the intended primary knowledge component. The operation involves multiplying by 300, which is not directly assessed by the intended KC, as it introduces complexity outside the direct scope of multiplying decimals by 10, 100, 1000, or their multiples.</t>
  </si>
  <si>
    <t>Question 31</t>
  </si>
  <si>
    <t>Primary KC Alignment (0): The multiplication in this problem requires multiplying 0.125 (a decimal up to 3 decimal places) by 400. However, this is not strictly an example of multiplying a decimal by 10, 100, 1000, or their multiples; rather it is multiplication by another whole number (400). According to the intended KC, the focus should be on multiplying decimals explicitly by 10/100/1000/multiples thereof (like 0.125 x 100, 0.125 x 1000, or 0.219 x 3000, etc.). Here, the multiplication is by an arbitrary number, not just by those particular multiples.</t>
  </si>
  <si>
    <t>Question 32</t>
  </si>
  <si>
    <t>Primary KC alignment (0): The intended primary KC is dividing decimals (up to 3 decimal places) by 10, 100, 1000, and their multiples. In this problem, 127.850 ÷ 7 is not division by 10, 100, 1000 or their multiples; '7' is not a multiple of 10, 100, or 1000. This requires general decimal division, which falls outside the stated KC.</t>
  </si>
  <si>
    <t>Question 33</t>
  </si>
  <si>
    <t>answerability: There is a contradiction between the lap times and the stated total distance: swimming 4 laps with only 4 times provided for a total of 40,000 meters is unrealistic (implies each lap is 10,000 m, which doesn't match standard swimming and is not stated), so the numbers do not logically connect. primary_kc_alignment: The division required is not dividing by a multiple of 10, 100, or 1000, but by 400, which does not align with the intended division KC. grade_alignment: The division asked (by 400) is beyond dividing by 10, 100, 1000 and their multiples as specified in the Primary 5 syllabus. real_world_feasibility: 4 laps totaling 40,000 meters is unrealistic for swimming training; swimming pools are not this long for single laps; times are inconsistent with this distance. synergy: The lap times are not used correctly to compute total time for 40,000 meters; ambiguity in how laps connect to the stated total distance. conciseness_and_relevance: There is irrelevant or misleading information: the number and times for laps do not correspond numerically to the total reported distance of 40,000 meters, leading to irrelevance.</t>
  </si>
  <si>
    <t>Question 34</t>
  </si>
  <si>
    <t>Question 35</t>
  </si>
  <si>
    <t>Question 36</t>
  </si>
  <si>
    <t>Question 37</t>
  </si>
  <si>
    <t>Question 38</t>
  </si>
  <si>
    <t>Question 39</t>
  </si>
  <si>
    <t>G. The phrase 'divide the remaining practice time equally among the next 2/3 of the week' is somewhat unrealistic, because it is not common to split an uneven number of hours over a fraction (2/3) of a week as exact daily practice, unless the number of days is provided or it's specified whether practice happens every day. Without knowing how many days Sarah plans to practice in that '2/3 of the week,' real-world planning would typically specify the specific days or simply use the number of days, not a fractional week. This makes the context for dividing her time implausible in typical musical practice settings.</t>
  </si>
  <si>
    <t>Question 40</t>
  </si>
  <si>
    <t>Question 41</t>
  </si>
  <si>
    <t>Question 42</t>
  </si>
  <si>
    <t>Question 43</t>
  </si>
  <si>
    <t>secondary_kc_alignment: The word problem does not require addition of whole numbers to solve for the ratio, as all required quantities are given directly. synergy: Only the ratio knowledge is needed; addition is not needed or used, so the primary and secondary KCs are not used in tandem.</t>
  </si>
  <si>
    <t>Question 44</t>
  </si>
  <si>
    <t>Question 45</t>
  </si>
  <si>
    <t>Question 46</t>
  </si>
  <si>
    <t>Question 47</t>
  </si>
  <si>
    <t>Question 48</t>
  </si>
  <si>
    <t>Question 49</t>
  </si>
  <si>
    <t>Minh</t>
  </si>
  <si>
    <t>answerability: The number 847 is a 3-digit number, but dividing it by 6 results in an answer that requires dividing a 3-digit number by a 1-digit number, which aligns with the primary KC. However, the last question ('What is the total number of students that will participate in the talent show?') is ambiguous: does it mean all 847, or just those in complete groups? The question wording is unclear because without explanation, a student may misunderstand whether to add or exclude the remainder. primary_kc_alignment: The problem asks for dividing a 3-digit number (847) by 1 digit (6), but 847 is actually NOT a 3-digit number in Primary 3 Singapore Math, as syllabus typically limits divisors to 4, 5, 6, 7, 8, or 9 for up to numbers around 800 or 900, but 847 divided by 6 requires dealing with a remainder and understanding larger division facts, which can be considered challenging for Grade 3 and would often be avoided for numbers near the upper bound. secondary_kc_alignment: There is no need for addition in answering any part of the problem, since forming groups and calculating the remainder from division is all that is needed; there is no instruction to add groupings or remainders together. grade_alignment: The number 847 is a big number for Primary 3 division by 6; it is at the boundary or just outside the typical P3 level (which normally focuses on smaller dividends for division with remainder), so it may be too advanced for most P3 students. synergy: There is no direct synergy between division and addition, because the problem can be solved entirely through division and remainder; addition is not required for the solution.</t>
  </si>
  <si>
    <t>synergy: The division (276 ÷ 4) is not actually required to answer the final question (total basketballs after the donation). The two operations (division and addition) are not used in tandem; the answer only requires adding 48 to 276. Therefore, the problem does not integrate both knowledge components synergistically.</t>
  </si>
  <si>
    <t>primary_kc_alignment: The division required is 816 / 6, where 816 is a 3-digit number and 6 is a 1-digit number. However, the problem starts with 864 sheets, requiring subtraction first (864 - 48 = 816) before division, meaning the student never actually divides a 3-digit number directly from the context, which may be less clear for aligning with the intention of direct division practice. grade_alignment: The numbers involved exceed standard Primary 3 expectations, as division of a 3-digit number by a 1-digit number is typically introduced in or after Primary 3, making it borderline for Primary 3 level.</t>
  </si>
  <si>
    <t>Grade Alignment: The first calculation requires dividing 432 (a 3-digit number) by 6 (a 1-digit number), which aligns with the intended Primary KC and is within Primary 3 syllabus. However, the second step involves determining the number of practice sessions using 72 (result from the first division) divided by 4. This is straightforward, but nowhere is multiplication strictly needed to solve this problem, only division. Additionally, the difficulty and the abstraction in managing 3-digit numbers might be slightly advanced for the average Primary 3 student, depending on exact Singapore curriculum pacing.</t>
  </si>
  <si>
    <t>g) Real-world feasibility: It is highly unrealistic for primary schools to bring as many as 2,856, 1,944, and 3,528 students to a badminton tournament, considering actual primary school enrollment numbers and event logistics. This number of participants does not reflect a plausible real-world scenario for such an event.</t>
  </si>
  <si>
    <t>Primary KC (Addition of decimals up to 2 decimal places) not fully aligned: The number 3.126 km stretches into 3 decimal places, while the intended KC restricts decimal addition to 2 decimal places, making the computation slightly more difficult than intended. Grade Alignment: Primary 4 expectations generally do not include working with 3 decimal places, so this is above their level.</t>
  </si>
  <si>
    <t>Primary KC Alignment: The problem requires multiplying 23.456 by 30. However, multiplying a decimal by 30 is not strictly in line with the primary KC, which specifies multiplying by 10, 100, 1000, or their multiples (which generally refers to multiples of those base-10 numbers, e.g., 20, 200). 30 is not a direct base-10 multiple, so the multiplication here is not strictly within the KC stated. Grade Alignment: In Primary 5 Singapore math, multiplying decimals by 10, 100, or 1000 is required, but multiplying decimals by 2-digit numbers like 30 is usually reserved for a higher grade or for advanced students. Thus, the difficulty may not be fully aligned to standard Primary 5 expectations.</t>
  </si>
  <si>
    <t>Primary KC alignment (0): The problem requires dividing 142.8 by 60. According to the intended KC, division should only be by 10, 100, 1000, or their multiples, but 60 is not such a multiple. This exceeds the specified knowledge component. Grade alignment (0): Because the operation involves dividing a decimal by 60, which is not a KC expected of Primary 5 per the Singapore syllabus, this makes it unsuitable for the specified grade.</t>
  </si>
  <si>
    <t>Secondary KC is DECIMALS | Conversion to larger units | converting a measurement from a smaller unit to a larger unit in decimal form, which requires converting between, for example, meters and kilometers after calculation. In this problem, you are given the rate in km/min and duration in minutes, so the product gives kilometers. The question asks for meters, which means conversion from kilometers (larger unit) to meters (smaller unit), not the other way around. Therefore, the intended secondary knowledge component is not strictly satisfied. For Synergy, both components are supposed to be necessary in tandem. Here, the student only has to convert from kilometers to meters after multiplying rate and time; the core complexity is not heightened by a meaningful combination of Rate and the intended Conversion to a larger unit in decimal form.</t>
  </si>
  <si>
    <t>Secondary Knowledge Component (DECIMALS | Conversion to smaller units) is not needed to solve the problem as no conversion between units is required; the units given (laps, minutes) are sufficiently aligned and used directly. Synergy is rated 0 since the solution only uses the primary KC and does not require the secondary KC; there is no need to integrate both to find the answer.</t>
  </si>
  <si>
    <t>Question 50</t>
  </si>
  <si>
    <t>Question 51</t>
  </si>
  <si>
    <t>Question 52</t>
  </si>
  <si>
    <t>Question 53</t>
  </si>
  <si>
    <t>Question 54</t>
  </si>
  <si>
    <t>Question 55</t>
  </si>
  <si>
    <t>Question 56</t>
  </si>
  <si>
    <t>Question 57</t>
  </si>
  <si>
    <t>G: The scenario describes the sound intensity following an exact pattern of I_0 * 2^{-2x} with 'x being the distance factor', but does not clarify what 'distance factor' means in this context or establish that 'x' is directly proportional to the distance in meters (i.e., x = d/2 or similar). In real-world physics, sound intensity decay is typically modeled with distance squared or inverse square law, not with arbitrary exponents of form 2^{-2x}, so the mathematical law given does not plausibly represent actual sound propagation. This presents an unrealistic mathematical model for the stated real-world context.</t>
  </si>
  <si>
    <t>Question 58</t>
  </si>
  <si>
    <t>Question 59</t>
  </si>
  <si>
    <t>Question 60</t>
  </si>
  <si>
    <t>answerability: There is a mismatch in how the matrices are defined and how they should be multiplied: matrix A is 3x3 with game types as rows and skill levels as columns; matrix B is 3x2, but rows are said to be skill levels, not games, and columns are rounds, making the multiplication A x B (3x3) x (3x2) possible only if game types and skill levels are aligned identically in both matrices. The statement mixes up what rows and columns represent, leading to ambiguity and making correct multiplication unclear. secondary_kc_alignment: Due to the misalignment, true matrix multiplication as intended is not clearly supported by the information given. synergy: Since the roles of rows/columns do not match, matrix multiplication is not feasibly used in tandem with scalar multiplication as intended. clarity: The description of which axes (rows/columns) represent what in each matrix is inconsistent, causing confusion. conciseness_and_relevance: Too much explanation is used on what each row/column represents, but ultimately due to structural inconsistency, some information does not aid in solving the problem, and unnecessary confusion is added.</t>
  </si>
  <si>
    <t>Question 61</t>
  </si>
  <si>
    <t>Question 62</t>
  </si>
  <si>
    <t>Question 63</t>
  </si>
  <si>
    <t>Sarah</t>
  </si>
  <si>
    <t>primary_kc_alignment: The problem requires multiplying 126 (a 3-digit number) by 4 (a 1-digit number); however, Primary 3 Singapore syllabus typically expects multiplication of 3-digit numbers by 1-digit numbers to be either exact or in a context where regrouping is minimal and numbers are computationally accessible to 9-year-olds. 126 x 4 (which gives 504) may still be just within range, but pushes the upper bound and may not fully align with the expected complexity for Primary 3. grade_alignment: For Primary 3, the inclusion of 3-digit by 1-digit multiplication may be considered borderline difficult based on the progression in the Singapore math syllabus. It is typically more suited for end Primary 3 or Primary 4. If stricter alignment to mid-Primary 3 competency is required, this rating would be a 0.</t>
  </si>
  <si>
    <t>Primary KC Alignment: The required multiplication is 8 (teams) × 125 (players/team) = 1000. The primary knowledge component specified is multiplying up to 3-digit numbers by 1 digit, but 125 × 8 fits. However, the problem as written is appropriate, but if strictly interpreted, some Grade 3 syllabi might only expect up to 2-digit by 1-digit or simple 3-digit by 1-digit, and 125 × 8 risks being at the complex end due to carrying and size involved. Grade Alignment: See above: multiplying 3-digit (125) by 1-digit (8) may not be expected at Primary 3 in some versions of the Singapore Math syllabus, as single-step or 2-digit × 1-digit is more common. Real-World Feasibility: It is unrealistic for a school basketball team to consist of 125 players. Typically, teams have about 5–12 players in basketball, so this context is not plausible.</t>
  </si>
  <si>
    <t>Primary KC alignment (0): The problem expects students to divide 2,340 by 24 (i.e., division, not multiplication). The main step required is division, not the intended 4-digit by 1-digit or 3-digit by 2-digit multiplication. Secondary KC alignment (0): The subtraction of the damaged balls is not needed to answer the one question posed ('How many tennis balls are available for sale?'), as we never need to combine results with a subtraction step as core to arriving at the answer. Synergy (0): The solution does not require combining the primary and secondary knowledge components in a connected way; in fact, only division and possibly subtraction are needed, and not in a way that requires results from both types of calculation to be used together.</t>
  </si>
  <si>
    <t>Primary KC Alignment (0): The primary KC is 'subtracting decimals (up to 2 decimal places)' but the subtraction required is 25.847 - 0.18, which involves a 3-decimal-place decimal. Thus, the subtraction is above the scope of 'up to 2 decimal places', making this not strictly aligned.Grade Alignment (0): Subtraction and comparison of decimals up to 3 decimal places is not typically expected in Primary 4; the Singapore syllabus usually restricts Primary 4 decimal operations to up to 2 decimal places.</t>
  </si>
  <si>
    <t>primary_kc_alignment: The problem asks for multiplication of 2.406 (3 decimal places) by 6, but the intended Primary Knowledge Component is to multiply up to 2 decimal places. Multiplying a 3-decimal-place number exceeds the targeted skill. grade_alignment: The presence of multiplication involving a 3-decimal-place value is above the Primary 4 level as defined by the intended Knowledge Component.</t>
  </si>
  <si>
    <t>The problem only has one required step (multiplying a mixed number by a whole number and expressing the answer in simplest form); the secondary KC (simplifying a fraction) is not needed in tandem with any other knowledge component or as a follow-up question. There is no sequence of questions where the result is reused, so synergy is lacking.</t>
  </si>
  <si>
    <t>The concept of 'using' 5/3 or 4/3 of one's energy level is not realistic or well-defined. In real-world terms, energy cannot exceed '100%' (1 whole of their capacity, unless defined as replenished or measured differently). This representation does not mirror how people typically discuss energy use during activities, thus failing the real-world plausibility criterion.</t>
  </si>
  <si>
    <t>Primary KC alignment: While the problem involves multiplying a fraction ($[FORMULA]$) by another fraction ($[FORMULA]$), the second fraction ($[FORMULA]$) represents 'times as long' and is not clearly contextualized as a duration, but is still mathematically correct. However, only the multiplication of a proper fraction and an improper fraction is present, not explicitly two improper fractions. Synergy: The problem is single-step—students multiply two fractions (one proper, one improper) and then convert the result into a decimal. The two KCs are sequential but not used in tandem to answer separate, connected questions.</t>
  </si>
  <si>
    <t>answerability: The lap time of 0.875 seconds per lap is exceedingly fast for a human swimmer (world-class lap times are in tens of seconds), suggesting a mistake as this is not realistic, making the problem not answerable as intended. grade_alignment: The multiplication and comparison may be technically within Primary 5, but the context is confusing due to unrealistic numbers and use of pace vs actual time, which may be more abstract than suitable for Primary 5. real_world_feasibility: A lap time of 0.875 seconds is physically impossible in the real world for swimming, making the situation implausible.</t>
  </si>
  <si>
    <t>Primary Kc Alignment: The question requires multiplying decimals by whole numbers (e.g., 0.025 x 20), but it does NOT require multiplying decimals by 10, 100, 1000, or their multiples, as specified by the intended primary knowledge component—students instead multiply by numbers like 20, 30, and 40, which do not align precisely with the intended focus on place value multiplication.</t>
  </si>
  <si>
    <t>Primary KC Alignment: The division required is not dividing decimals by 10, 100, 1000 or their multiples, but rather inferring a common original number by multiplying each given time by a different power of 10 (i.e., reverse operation, not division as intended by the KC). The actual working requires understanding place value and multiples of 10, not direct division of decimals. Real-world feasibility: In an actual 100m freestyle swimming competition, times of 234.50 or 2345.0 seconds (almost 4 minutes and 39 minutes respectively) are unrealistic and nonsensical for competitive swimmers.</t>
  </si>
  <si>
    <t>Primary KC Alignment (0): The intended primary knowledge component is dividing decimals (up to 3 decimal places) by 10, 100, 1000, and their multiples. However, to find the average time per kilometer, students have to divide a decimal by 5—not specifically by 10, 100, 1000, or their multiples. Thus, the division component doesn't precisely match the intended KC specifics. Division by 5 doesn't align directly unless 5,000 or 500 is considered a multiple of 10, but this isn't explicit in this context.</t>
  </si>
  <si>
    <t>Secondary KC (DECIMALS | Conversion to smaller units) is not needed to solve the problem, as the problem only requires multiplying the money rate per kilometer by the distance (in kilometers, already given as a decimal), with no unit conversion between, say, kilometers and meters or such required. Thus, synergy is also missing: only rate calculation with decimals is needed; there is no connection or dependence between the intended primary and secondary KCs in this word problem.</t>
  </si>
  <si>
    <t>real_world_feasibility: The scenario involves dividing the total practice time equally among a fractional number ([FORMULA]) of the piano pieces (i.e. among 4 pieces out of 6). In reality, Sarah would divide her time either among whole pieces or a specific subset, not a fractional number. The phrasing 'divide her total practice time equally among [FORMULA] of her piano pieces' is awkward and not how people plan or describe practice, making the scenario somewhat unrealistic.</t>
  </si>
  <si>
    <t>answerability: The way the ratio is presented ($[FORMULA] : [FORMULA] : [FORMULA]$) is ambiguous without knowing whether the values are meant as direct quantities or proportional parts. It is unclear how to scale the ratios relative to the actual values given, as ratios typically relate variable amounts with the same units and not fractions of an unknown base quantity. secondary_kc_alignment: Solving for the orange juice value only requires an understanding of equivalent ratios and scaling fractions, not addition of fractions, as no addition is involved in the calculation process. synergy: Only the knowledge of ratios involving fractions is needed; the secondary component (adding fractions) is not required to solve the problem, so there is no synergy. topic_alignment: The context is cooking, which is not one of the listed intended topics (sports, games, exercises, music, movie, dancing, painting, fishing, and other recreation activities). While cooking is recreational for some, it is not explicitly listed or implied. real_world_feasibility: Ratios for recipes are almost always given in whole-number parts or consistent measurements, not as a mixture of fractions, making the scenario unrealistic. clarity: The use of fractional ratios in this context is confusing and may mislead students on how ratios are generally used in recipes.</t>
  </si>
  <si>
    <t>real_world_feasibility: The ratio format '3/4 : 1/2' is not standard in realistic scenarios. Typically, time is compared as a:b (with whole numbers or simple fractions of hours), but saying the ratio of time is '3/4 : 1/2' is unusual and not how students or instructors normally express practice time ratios—especially since these are minutes/hours, not parts of a whole. This somewhat undermines the plausibility of the word problem as a real-life context.</t>
  </si>
  <si>
    <t>A: It is not possible for a person to make 12.5 or 8.4 successful free throws—they must be whole numbers; free throws can't be made in fractions. G: The scenario is unrealistic, as the number of successful throws must be a whole number in practice; decimal values for successful attempts are not plausible.</t>
  </si>
  <si>
    <t>G: The scenario describes a scoring system where negative exponents (and fractional final scores) are used in a real-life gaming tournament, which is extremely unlikely and unrealistic in recreational contexts. While it supports the mathematical concept, such tournament scoring would not occur in actual recreational activities and thus diminishes real-world plausibility.</t>
  </si>
  <si>
    <t>Question 64</t>
  </si>
  <si>
    <t>Primary KC Alignment (0): Multiplying whole numbers up to 3 digits by 1 digit is expected, but Lisa's case (235 x 2) is a 3-digit by 1-digit multiplication, which is appropriate. However, Tom's album (148 x 3) also fits. Sarah's (126 x 4) pushes students to multiply a 3-digit by 1-digit, which is at the upper limit for Primary 3, but acceptable. However, since all numbers are at their maximum allowed for Primary 3, some students may struggle, especially since 4 is the highest one-digit multiplier given, and not the standard 3-digit by 1-digit for Primary 3 syllabus (often up to 2-digit multipliers are not standard until later). Grade Alignment (0): The numbers used here (126 x 4, 148 x 3, 235 x 2) are borderline or slightly beyond typical expectations for Primary 3, especially if there isn't scaffolding in the class for 3-digit by 1-digit multiplication. Also, asking 'Who will have the most stickers?' requires students to accurately compare 3 fairly large products, which may be challenging for the grade.</t>
  </si>
  <si>
    <t>answerability: (a) and (b) are inaccurate as stated, because Sarah did not complete more than one part of each challenge; she completed 2/3 of painting and 1/4 of music, which are not accumulative -- no sum of fractions is needed for Sarah in each challenge. Thus, (a) and (b) are illogical (in practice, the answer is just the single fraction itself). primary_kc_alignment: Intended primary KC is 'adding unlike fractions', but the questions only give Sarah's fractions individually. Only for (c) does addition happen, but it's cross-challenge, which is not a typical or meaningful application (adding painting + music does not have a real fraction meaning). grade_alignment: The addition of cross-activity fractions makes little sense—it's not a typical context for Primary 4 and may cause confusion. synergy: To use both KC in tandem, students should have to add unlike fractions first and then compare, but in this problem, the adding isn't necessary for parts (a) and (b), and, in (c), comparison happens between illogical sums (painting+music per person), not within a meaningful fraction context.</t>
  </si>
  <si>
    <t>Primary KC Alignment: The problem requires adding 1.25, 1.17, and 1.142 to find the total swimming time. However, 1.142 is a decimal with 3 decimal places, which is above the Primary KC of 'adding decimals up to 2 decimal places'. The addition expected goes beyond what is required for Primary 4 in Singapore Math, as students may not have learnt to add decimals with more than 2 decimal places at this level.Grade Alignment: The use of 3 decimal place numbers in both operations and comparisons is not consistent with Primary 4 expectations, which typically restricts students to operations and comparisons involving decimals up to 2 decimal places.</t>
  </si>
  <si>
    <t>answerability: The first part requires subtracting 2.486 from 3.75 and giving the answer to 2 decimal places. However, 2.486 has 3 decimal places and subtracting it from a number with only 2 decimal places will result in a number needing rounding, making the subtraction process slightly inconsistent with expectations for 2-place decimals. primary_kc_alignment: The problem requires subtraction of 2.486 (a 3-decimal-place number). The intended KC is 'subtracting decimals up to 2 decimal places'. secondary_kc_alignment: The rounding requirement in part (b) asks to round the answer from part (a), which should be given to 2DP, to the nearest whole number. However, the subtraction in (a) involves more than 2 decimal places, and the secondary KC is about rounding decimals (up to 3 decimal places) to various places, which is not exactly what's done—the (b) requirement is limited to whole number rounding, not 1 or 2 decimal places as specified. grade_alignment: Primary 4 Singapore math generally restricts decimals to 2 decimal places; 2.486 goes beyond this—and would typically not be suitable.</t>
  </si>
  <si>
    <t>secondary_kc_alignment: The comparison required in the problem is of two whole numbers (distances run by Sarah and Tom, both will convert to decimals or mixed numbers), not fractions directly, so the intended secondary KC of 'comparing and ordering fractions' is not fully engaged. synergy: Solving for distance requires multiplying mixed numbers and whole numbers, but the comparison step (who ran farther, and by how much) does not necessitate any special use of comparing or ordering fractions—it's just comparing their computed results, which may be decimals or mixed numbers, not fractions in a meaningful way.</t>
  </si>
  <si>
    <t>A. Primary KC Alignment: The problem only requires the addition of fractions to solve all parts, not multiplication of two improper fractions as intended. There's no step in the problem where two improper fractions are multiplied together.</t>
  </si>
  <si>
    <t>primary_kc_alignment: The problem requires dividing a fraction by another fraction (to find the planned practice time), which is conceptually related to multiplying by the reciprocal but is NOT direct multiplication of two improper fractions as a main step. Finding total practice time requires adding two fractions (morning and evening), and removing break time is subtraction (secondary KC). The division to solve for the planned time is not direct multiplication of two improper fractions as intended.</t>
  </si>
  <si>
    <t>Primary KC Alignment: The intended primary knowledge component is multiplying decimals (up to 3 decimal places) by 10, 100, 1000 and their multiples. Here, the multiplication involves 0.875 × 300. While 300 is a multiple of 100, the multiplication does not reinforce the intended concept of multiplying by powers of 10 or their immediate multiples in the context of Singapore math, as it focuses on mental strategies and place value shifts seen in, e.g., 0.875 × 100 or × 1000. Here, the problem is essentially multiplying by an arbitrary whole number (300), not specifically using multiplication by 10, 100, or 1000, or an immediate multiple that highlights the concept of shifting decimal points.</t>
  </si>
  <si>
    <t>Primary KC (Multiplying decimals by 10/100/1000 and their multiples) is not required for the solution, as the swimming distance calculation is $0.125 [FORMULA] 400 = 50$ meters, which is general decimal multiplication, not specifically by 10/100/1000 or their multiples. The problem only requires multiplying a decimal by a whole number, not by 10, 100, 1000, or any multiple thereof.</t>
  </si>
  <si>
    <t>Primary KC alignment = 0: The division required is 127.850 ÷ 7, but the intended Primary Knowledge Component restricts to dividing decimals by 10, 100, 1000, and their multiples, i.e., powers of ten and related numbers. Dividing by 7 does NOT align with this very specific learning outcome; dividing by a non-power-of-10 divisor (7) is not covered under the listed Primary KC.</t>
  </si>
  <si>
    <t>answerability: - The numbers do not make sense for a typical swimming session. Swimming 40,000 meters in 10.21 minutes (sum of the laps) is unrealistic; 40,000 meters is 40 km which is an extreme ultramarathon distance. primary_kc_alignment: - The intended division is by 400 but, per the numbers, the division is not by 10, 100, 1000 or their multiples as stated in the primary KC. 400 is not a direct multiple (e.g., 100 or 1000) typically used for this alignment at Primary 5. secondary_kc_alignment: - The addition component is present, but the problematic setup makes it unclear if this achieves complexity at the right level. synergy: - The addition is not properly connected to the division step in a realistic way, making the tandem use unclear and artificial. grade_alignment: - Dealing with 3-decimal-place numbers and dividing by 400 is likely beyond typical Primary 5 expectations per Singapore syllabus, especially with contextually nonsensical values. real_world_feasibility: - The scenario in which 4 laps add up to 40,000 meters does not reflect real-world sports. conciseness_and_relevance: - The mention of 40,000 meters does not logically follow from the sum of the lap times, as distances per lap are not given. This causes confusion and unnecessary information.</t>
  </si>
  <si>
    <t>G: The elimination of 15 players from each team (with 8 teams) results in 120 players eliminated. Given 240 participants, this means half are eliminated in the first round, which is abnormally high and not typical in a realistic sports event, making the scenario implausible for a real basketball tournament format.</t>
  </si>
  <si>
    <t>answerability: The problem does not specify what her total practice time for today is, so the actual number of sessions cannot be determined. primary_kc_alignment: The problem requires dividing a fraction by a fraction, but since the total practice time is unspecified, the primary objective is not achievable. secondary_kc_alignment: The problem asks for a decimal answer, but since the primary operation cannot be completed, the full decimal conversion step cannot be meaningfully executed. grade_alignment: Problem cannot be solved as intended, so not aligned for the grade. real_world_feasibility: It is not plausible without the total practice time. synergy: Both KCs cannot be used together meaningfully here as the operation cannot be completed. clarity: The problem is ambiguous due to missing information. conciseness_and_relevance: The information about 'total practice time' is crucial but missing; current information is not sufficient for solution.</t>
  </si>
  <si>
    <t>Secondary Knowledge Component (Addition of whole numbers) is not required, as the problem only requires using the given numbers to write a ratio and simplify; there is no need to add the points. Synergy is lost because only the primary knowledge component (ratio) is used for finding the answer; the secondary knowledge component is not part of the solution process.</t>
  </si>
  <si>
    <t>Grade Alignment = 0: The structure and phrasing of translating the contextual relationships into variable equations and solving are more closely aligned with Secondary 1 (Grade 7) algebra expectations in Singapore, as the problem requires forming and solving an equation with three terms and interpreting a variable. Primary 6 algebra exposure is generally more limited in complexity.</t>
  </si>
  <si>
    <t>Primary KC: The question requires students to divide an 847 (3-digit) number by 6, but in Primary 3 Singapore Math, students are typically only expected to divide 3-digit numbers by 1-digit numbers, and 6 is valid as a 1-digit number. However, the presence of a remainder calculation and the context make this borderline but mostly acceptable for division with remainder. Grade: The total number of students is already stated in the problem (847), so the third subquestion (What is the total number of students that will participate in the talent show?) is redundant or confusing. Also, the division of 847 by 6 may be challenging for Primary 3, as they are usually given simpler divisions without large remainders and often with divisors between 2 and 5. The problem as stated may be slightly too complex for the typical Primary 3 student.</t>
  </si>
  <si>
    <t>Synergy: The question about the total number of basketballs after the donation does not require the student to actually perform the division of 276 by 4; the division is unnecessary information for calculating the new total. The two operations (division and addition) are not meaningfully connected, so the knowledge components are not used in tandem.</t>
  </si>
  <si>
    <t>Primary KC Alignment: The division required is 816 ÷ 6, where 816 (864-48) is a 3-digit number and 6 is a 1-digit number—this matches the intended KC. However, this step is only reached after subtraction is performed first, so the primary knowledge required is actually subtraction before the division, which makes this more of a two-step problem emphasizing subtraction before division, rather than division as the main idea and challenge. Also, the numbers used in the division (816 ÷ 6) do not stem directly from the initial 3-digit number, but from the result of a subtraction, diluting the focus on dividing a 3-digit number directly. Grade Alignment: The two-step structure, where subtraction with 3-digit numbers is followed by division of another 3-digit number by a 1-digit number, might go slightly beyond the typical emphasis for Primary 3, where problems tend to focus more exclusively on one operation at a time or simpler two-step scenarios.</t>
  </si>
  <si>
    <t>F: The scenario in which a primary school brings 2,856, 1,944, or 3,528 students EACH to a tournament is highly unrealistic and implausible. Primary schools rarely, if ever, have the capacity to bring thousands of students to a single event.</t>
  </si>
  <si>
    <t>Primary KC Alignment: The problem requires adding decimals to 3 decimal places (3.126 + 2.75 + 1.48), but Primary KC specifies adding decimals up to 2 decimal places. Therefore, it is misaligned with the intended primary KC. Secondary KC Alignment: The problem asks to round the total to 1 decimal place, but the secondary KC is about rounding decimals up to 3 decimal places to the nearest whole number, 1 decimal place, or 2 decimal places. Since all is asks for is rounding to 1 decimal place, the full scope of the secondary KC is not exercised. Synergy: The addition of decimals and rounding are not strongly interlinked - the rounding is simply a procedural step after the addition, rather than requiring both KCs in combination in a meaningful way. Grade Alignment: 3 decimal places addition (3.126 km) and subsequent rounding may be considered above the Primary 4 standard, which typically handles decimals up to 2 decimal places.</t>
  </si>
  <si>
    <t>A) The primary knowledge component was stated as 'multiplying a proper/improper fraction and a whole number.' In the problem, the required operation is multiplying a mixed number (2 1/4) by a proper fraction (5/6), not by a whole number. Therefore, the problem does not require multiplying a fraction by a whole number, failing full alignment with this specific knowledge component.</t>
  </si>
  <si>
    <t>Primary KC Alignment: The multiplication in this problem is 23.456 × 30, which is NOT multiplying by 10, 100, 1000 or their multiples, as 30 is not a multiple of 10, 100, or 1000. The intended KC calls for multiplication specifically by 10, 100, 1000 or their explicit multiples (e.g., 20, 300, 5000). Therefore, the problem does not fully match the intended Primary KC.</t>
  </si>
  <si>
    <t>Primary KC alignment: The division in the problem is 142.8 ÷ 60. The intended primary KC specifies dividing decimals (up to 3 decimal places) by 10, 100, 1000, and their multiples. 60 is not a multiple of 10, 100, or 1000, so this is a misalignment. Grade alignment: Converting 142.8 seconds to minutes by dividing by 60 and then expressing that (2.38) as an irreducible fraction requires knowledge beyond standard P5 decimal division, especially since 60 is not a base-10 number and converting a non-terminating decimal to a fraction is usually not expected at this stage.</t>
  </si>
  <si>
    <t>Secondary KC Alignment: The intended secondary knowledge component is converting from a smaller unit to a larger unit (e.g., meters to kilometers), but the word problem actually requires the opposite—converting kilometers (rate and total distance) to meters (final answer). Thus, the alignment to the specified conversion direction is missing.Synergy: The word problem only uses the rate knowledge (rate × time) and a single unit conversion (km to m); the two knowledge components are used sequentially, not in tandem—they are not sufficiently synergistic according to the definition, and the conversion is not interdependent or increasing complexity.</t>
  </si>
  <si>
    <t>Secondary KC is DECIMALS | Conversion to smaller units, but the problem only requires multiplying two decimals (the rate and duration in minutes) to get the number of laps; there is no conversion between units or to a smaller unit. Thus, the secondary knowledge component is not used. Similarly, because there is only one relevant question and solving it does not require synergy (integration) of Primary and Secondary KCs, synergy is also rated 0.</t>
  </si>
  <si>
    <t>answerability: Matrix A is a 3x3 matrix while matrix B is a 3x2 matrix. In order to multiply two matrices AB, the number of columns of A must equal the number of rows of B. Here, 3 (A's columns) != 3 (B's rows means B represents something different), but the explicit question asks for a total points calculation for each game in each round, which conceptually would need a correct matrix multiplication setup; however, here, the setup is ambiguous about how the base scores (game x skill) and participants (skill x round) should be paired, leading to ambiguity on the steps and missing information on how to proceed. real_world_feasibility: Tracking base scores PER skill level PER game, then multiplying by raw participant counts (rather than e.g. summing actual individual scores or giving points across games) is a highly abstract scenario not representative of how tournaments are typically scored or tracked, making it unrealistic. clarity: The instructions are ambiguous as it is not clear how to use the matrices together—should we multiply after the scalar or before? How do we reconcile the mismatch in matrix dimensions for multiplication? The mapping between games, skill, and rounds is not clear enough for confident computation.</t>
  </si>
  <si>
    <t>answerability: The matrices S (3x2) and the trimmed tournament data (registration-withdrawal, which is 3x2) could be subtracted, but their multiplication is not standard under basic matrix multiplication (3x2 x 3x2 is undefined), so the total weighted score (weighted sum product) is not clearly defined. primary_kc_alignment: The intended primary matrix multiplication cannot proceed with the given dimensions; students might attempt an elementwise or dot product, but this is not the standard context for teaching matrix multiplication at this level. grade_alignment: The required calculation (elementwise or non-standard multiplication for weighted scores) is not aligned with typical O-level curriculum expectations for matrix multiplication, which usually covers standard conformable matrix multiplication. synergy: The subtraction (R-W) is used, but it does not work in tandem with proper matrix multiplication due to incompatible sizes for the intended operation. clarity: It is unclear how to compute the total weighted score—the operation between the actual participants matrix (3x2) and S (3x2) should be specified (e.g., Hadamard/elementwise or dot-product with a vector, but this is not standard language for O-level). conciseness_and_relevance: The presence of a third category and scores for game categories not considered introduces unnecessary information, and the weight matrix's construction is not fully relevant for a 3x2 data matrix when only two categories are considered.</t>
  </si>
  <si>
    <t>Primary KC misalignment: The problem requires multiplying 8 (teams) by 125 (players), which involves multiplying a 3-digit number by a 1-digit number, but the direct computation will likely be easier for students if they break down 8 x 125. However, Singapore Primary 3 typically restricts multiplication to up to 3-digit by 1-digit (i.e., up to 999 x 9), and here 8 x 125 (even though both numbers are within range, the familiarity with multiplying by numbers like 125 may exceed expected difficulty for Primary 3 as it often appears at a later stage).Grade Alignment: For Primary 3, students are usually expected to multiply up to 3-digit numbers by 1-digit numbers where the process does not require application of advanced decomposition or work with 'friendly numbers' like 125. The combination of numbers used (8 x 125) and the multi-step nature may be slightly above Primary 3 expectation.</t>
  </si>
  <si>
    <t>Primary Knowledge Component Alignment (0): The problem does not require multiplication at the level specified (e.g., 'multiplying whole numbers up to 4 digits by 1 digit')—dividing the total number of tennis balls by the number per box determines the number of boxes, but this quotient is not actually requested for the solution as stated. The only calculation needed is to subtract the damaged balls from the total, so the problem does not target or require multiplication as its primary knowledge component.Synergy (0): The problem does not require the primary and secondary knowledge components to be used in tandem. Only subtraction is needed to answer the question about how many tennis balls are available for sale, with no need to multiply or divide. The information about boxes is irrelevant to the final answer, and there is no connection between steps in the problem.</t>
  </si>
  <si>
    <t>Primary KC Alignment (0): The subtraction required is $25.847 - 0.18 = 25.667$, which involves subtracting with three decimal places, but the intended KC only expects subtraction up to 2 decimal places. Grade Alignment (0): Subtracting decimals to three places is above the Primary 4 syllabus, which is limited to two decimal places.</t>
  </si>
  <si>
    <t>Primary KC Alignment: The problem requires multiplying a 3-decimal-place number (2.406) by 6 (on Wednesday), but the intended primary KC restricts to up to 2 decimal places only, so this exceeds the difficulty for P4. Grade Alignment: Multiplying decimals up to 3 decimal places is above Primary 4 level as per SG syllabus. Real-world Feasibility: Lap time of 2.38 seconds for 50 meters is unrealistic for any swimmer, let alone a child; world records are over 20 seconds. Times should be plausible in context.</t>
  </si>
  <si>
    <t>Primary KC Alignment: The decimal to be multiplied is 3.25 (2 decimal places), which is appropriate, and the whole number is 4 (1-digit). However, the intended Singapore Math curriculum for Primary 4 typically covers only multiplying decimals up to 2 decimal places by a 1-digit whole number, but usually restricts context to tenths or hundredths (i.e., 1.2, 3.45). The result here, 3.25 x 4 = 13.00, is not problematic in this sense. However, the problem also requires rounding the answer both to the nearest whole number AND to 1 decimal place, but does NOT specifically ask for the unrounded product first, so students may be unclear whether the expectation is to do the multiplication first then round, or introduce an intermediate step. Most crucially, based on the knowledge component definition, only 'multiplying decimals by a 1-digit whole number' should be required, but as phrased, the main action and focus is on using the rounded result, which emphasizes rounding as the main component. Thus, the focus is not principally on multiplication but more on rounding, not perfectly aligning with the intended primary knowledge component.</t>
  </si>
  <si>
    <t>Real-world feasibility: The problem states that Sarah used 5/3 of her energy, and Emma used 4/3 of her energy, i.e., more than their entire energy level during the practice, which is not realistic in an actual scenario. In reality, a person cannot use more than 1 (or 100%) of their available energy level within a practice session.</t>
  </si>
  <si>
    <t>answerability: The original average lap time of 0.875 seconds is unreasonably fast for a human swimmer, making the scenario unrealistic; this also leads to inaccurate interpretations (see real-world issue).primary_kc_alignment: The word problem does not require the student to perform the multiplication (0.875 x 100, etc.) as all products are given directly. Thus, it does not appropriately assess multiplying decimals by powers of ten.grade_alignment: Considering Primary 5 students (Singapore), such an unrealistic swimming time may confuse the context's meaning, and without requiring calculation, this does not fit the cognitive and lesson demands for newly acquired decimal multiplication skills.real_world_feasibility: 0.875 seconds per lap is not physically possible for a swim lap; the premise is implausible as a real-world training scenario for this age group.</t>
  </si>
  <si>
    <t>Primary KC Alignment (0): The problem requires multiplying decimals (e.g., 0.025 × 20), but it does not focus on multiplying decimals by 10, 100, 1000 or their multiples, as specified by the intended Primary Knowledge Component. Instead, the word problem involves multiplying decimals by whole numbers (20, 30, 40), which does not match the intended KC.</t>
  </si>
  <si>
    <t>answerability: The wording suggests the same number was divided by different powers of 10 to obtain the three times, but checking the numbers: 23.450, 234.50, and 2345.0—if 23.450 * 10 = 234.50 and 23.450 * 100 = 2345.0, but the question asks about dividing, not multiplying. If taking 23450 divided by 1000, 100, 10, we get 23.45, 234.5, 2345.0, so swimming times do not all have correct decimal places or match the question's premise. This introduces ambiguity, making the problem not fully answerable as posed. real_world_feasibility: Swimming the 100m freestyle in 234.50 seconds or 2345.0 seconds is highly unrealistic for any competition (the slowest would take 39 minutes). No real swimming competition would have these times.</t>
  </si>
  <si>
    <t>Primary KC Alignment: The intended Primary KC is dividing decimals by 10, 100, 1000 and their multiples. The problem actually involves dividing a decimal (total minutes) by 5, so division by a single-digit whole number, not specifically by 10, 100, or 1000. This is a mismatch with the strict description of the intended KC.</t>
  </si>
  <si>
    <t>Secondary KC: The problem does not require converting a measurement from a larger unit in decimal form to a smaller unit; the distance remains in kilometers, and no unit conversion is needed. Synergy: Since there is no need for unit conversion, the two knowledge components are not used together—the secondary component is not used.</t>
  </si>
  <si>
    <t>Secondary KC (addition of fractions) is not required to solve the word problem as it focuses on proportion/ratio calculation and scaling values, not adding fractions. The synergy between the intended Primary and Secondary KCs is lacking, since you can solve the problem correctly using only ratio manipulation and multiplication or division, without needing to add fractions at any point.</t>
  </si>
  <si>
    <t>A: 1. Answerability: It is not possible in reality for a person to make, for instance, 12.5 or 8.4 successful free throws, as one cannot score half or a decimal portion of a successful throw in basketball. Thus, the language is answerable mathematically, but due to the illogical real-world context, it is not answerable as intended. 7. Real-world Feasibility: The numbers of successful free throws and attempts are given as decimals, which is not plausible in the context of basketball, where attempts and successes are counted as whole numbers.</t>
  </si>
  <si>
    <t>G. Although the scenario is plausible on the surface (scoring in a tournament), it is not realistic for a gaming tournament to use actual powers of 2 and especially negative powers of 2 (e.g., $2^{-2}$ points), particularly as a scoring system. In practice, game scores are not negative powers—this is contrived to fit the math concept.</t>
  </si>
  <si>
    <t>Primary KC Alignment: The problem requires multiplying 3-digit numbers by 1-digit numbers (126x4, 148x3, 235x2). However, according to the Singapore Primary 3 syllabus, students are expected to multiply up to 3-digit numbers by 1-digit numbers, which is correct. BUT Lisa's case (235x2) results in a 3-digit by 1-digit multiplication (acceptable in P3), while the others (126x4, 148x3) are also compliant. Upon review, this should match. However, the concern is that upon finding the maximum, students may need to compare results exceeding 3-digits, which can border on a higher level, but generally comparing whole numbers is allowed. Grade Alignment: The concern is with the potential size of the numbers after computation (e.g., 148x3=444, 126x4=504, 235x2=470). Since the process is multiplication of a 3-digit by 1-digit, this should be capped at P3. Therefore, grade alignment should be marginally satisfied. However, since the skills and topic fully align to P3 expectations, both these should be rated 1. If strict, and considering number magnitude is standard for P3, these should pass. Upon review, they do. There is actually no other KC needed, and number sizes are fine. Therefore, all criteria can be marked as 1. If stricter regarding very high products, note the products are all below 1000. If not, the original 0 explanation would relate to grade appropriateness if multiplications yielded &gt;1000, but here they don't. Thus, no explanation is required; all criteria are met.</t>
  </si>
  <si>
    <t>answerability: The problem asks for "the fraction of the painting challenge Sarah completed in total" and similarly for the music challenge, but Sarah completed both $rac{2}{3}$ of painting and $rac{1}{4}$ of music, so adding these is not mathematically meaningful—they are parts of different wholes. There is not enough information to find 'total fraction of challenges,' as fractions relate to separate activities, not summable. primary_kc_alignment: The intended primary KC is adding unlike fractions. The problem does not require adding unlike fractions where denominators differ and refer to the same whole; instead, it incorrectly sets up sums of parts from different wholes (painting and music aren't combinable in this way). So it does not correctly assess this KC. secondary_kc_alignment: The intended secondary KC is comparing and ordering fractions. The only place for comparison is part (c), but due to the summing errors above, a valid comparison is not possible. grade_alignment: Given that the problem asks students to combine fractions from different activities (different wholes), it is not grade appropriate as it propagates a conceptual error about what can and cannot be summed when working with fractions. real_world_feasibility: In reality, people do not sum up fractions of entirely different challenges as a 'total fraction of challenges completed.' The scenario is not plausible as posed. synergy: The use of primary and secondary KCs are not in synergy—since the summing operation across activities does not make sense, further comparison is not meaningful. conciseness_and_relevance: Questions (a) and (b) do not make sense, so the information about both painting and music for both players is not all relevant; the numbers provided cannot be used in a meaningful calculation as intended.</t>
  </si>
  <si>
    <t>Primary KC Alignment: The problem requires adding 1.25, 1.17, and 1.142, which means dealing with adding decimals up to 3 decimal places; this goes beyond the stated scope ('up to 2 decimal places') of the intended Primary Knowledge Component.Grade Alignment: Adding decimals up to 3 decimal places and accurately interpreting 1.142 (which may be unfamiliar at Primary 4 level under Singapore math, where typically only up to 2 decimal places are introduced) exceeds the intended grade.</t>
  </si>
  <si>
    <t>Synergy is rated 0 because the problem requires: (1) finding Wednesday's practice time (which is Monday's time minus 0.25 hours); and then (2) finding the difference between Wednesday and Monday—which would just repeat the same value, since Wednesday was already defined as being 0.25 hours less than Monday. Therefore, students only need to subtract 0.25 from Monday's time twice (directly or indirectly) and do not need to combine both the primary and secondary knowledge components in a way that builds upon or connects multiple steps, reducing the intended synergy. The 'express as a fraction' instruction is given, but is not required as an intermediate step in a multi-question word problem, so the problem parts are not sufficiently interlinked.</t>
  </si>
  <si>
    <t>Primary KC alignment: The subtraction involves 2.486, which has 3 decimal places, whereas the intended primary KC specifies subtracting decimals up to 2 decimal places only. Grade alignment: Since Primary 4 Singapore Math syllabus expects subtraction with decimals up to 2 decimal places, the presence of 3 decimal places in the numbers makes this unsuitable for the given grade.</t>
  </si>
  <si>
    <t>secondary_kc_alignment: The problem does not require students to compare or order fractions; the comparison is of total distances (decimals or mixed numbers), not directly comparing or ordering fractions themselves as mathematical entities, but rather comparing the results. synergy: The distance calculation (requiring multiplication) is separated from the final comparison (a simple difference). The intended Primary and Secondary KCs are not used in tandem; the comparison step is not about fractions but about total distances, which are mixed numbers/decimals.</t>
  </si>
  <si>
    <t>Primary KC alignment: The problem only requires addition of improper fractions (not multiplication) to find the total paint, so 'multiplying two improper fractions' is not needed and is not aligned as the primary knowledge component. Synergy: The word problem only requires fraction addition to solve all parts, and the secondary KC (addition) does not substantively work together with multiplication—the intended synergy between these components does not occur.</t>
  </si>
  <si>
    <t>Primary KC Alignment (0): The main step required to find the answer involves dividing by a fraction (her practice time is 2/3 of the planned, so planned = actual / (2/3)), not multiplying two improper fractions, which was the intended KC. Synergy (0): The subtraction of fractions (actual dancing time minus breaks) is used, but multiplying two improper fractions is not necessary; instead, division by a fraction is used. Thus, the two intended KCs are not required in tandem as specified.</t>
  </si>
  <si>
    <t>Primary KC alignment: The intended primary knowledge component is multiplying decimals (up to 3 decimal places) by 10, 100, 1000, and their multiples. However, this problem asks to multiply 0.875 (a decimal with 3 decimal places) by 300, which is not a multiple of 10, 100, or 1000. Instead, the multiplication required is by 300, which is not covered by the specific learning objective.</t>
  </si>
  <si>
    <t>Primary KC Alignment (0): The problem requires multiplying 0.125 (a decimal with 3 decimal places) by 400 to find the total distance, but 400 is not a multiple of 10, 100, or 1000 as the primary KC specifies. The calculation falls under multiplying decimals by whole numbers, not specifically by 10, 100, 1000, or their multiples (as per the intended knowledge component).</t>
  </si>
  <si>
    <t>Primary KC alignment: The problem asks to divide 127.850 by 7. According to the intended Primary Knowledge Component, students should divide decimals by 10, 100, 1000 and their multiples, but 7 is not a multiple of 10, 100, or 1000. Thus, the calculation needed is beyond the specified scope of the Primary KC.</t>
  </si>
  <si>
    <t>A. Answerability: The total distance stated (40,000 meters) is inconsistent with four laps; unless each lap is 10,000 meters, which is highly unrealistic for a swimming practice, especially for a primary school student. The problem does not specify the length of each lap, and the division by 400 appears arbitrary. This missing and illogical information makes the problem unanswerable with standard logic.B. Primary KC Alignment: The division required is with a potentially large, non-multiple-of-10/100/1000 number (the result of the total time divided by 400), not simply dividing decimals by 10, 100, 1000, or their multiples. This exceeds the stated primary KC intent.E. Grade Alignment: The numbers used (lap times like 2.456 min) and the requirement to process a context where four laps equal 40,000 meters is not appropriate for Primary 5 students, both in content realism and mathematical demand.F. Real-world Plausibility: Primary students do not swim 40,000 meters in four laps. The context is unrealistic for the intended grade and age.G. Synergy: Although addition and division are needed, the division part does not align with the intended skill (dividing by 10/100/1000 and their multiples), and the computations do not appropriately build the division step upon the addition in a grade-appropriate or logical way.I. Conciseness and Relevance: The problem contains unnecessary confusion regarding the total distance swum and lap details, leading to extraneous or misleading context.</t>
  </si>
  <si>
    <t>3. The problem does not require the student to multiply whole numbers to solve it, only to divide 90 by 120 and multiply by 100 (which involves multiplying by 100, but Primary 5 multiplication as a secondary KC should be more meaningfully integrated). 4. There is no real synergy, as the multiplication by 100 is a standard step in converting a fraction to a percentage, not combining distinct skills in a significant way.</t>
  </si>
  <si>
    <t>answerability: The total practice time for today is not given, so the student cannot determine the actual time to divide by $[FORMULA]$ of an hour. The wording implies a whole but this is not explicitly stated, making the question unsolvable as written. primary_kc_alignment: The division required here is $[FORMULA] [FORMULA] [FORMULA]$, but we do not know if $[FORMULA]$ represents a fraction of a certain amount, nor do we know the total, so the core skill cannot be practiced as intended. secondary_kc_alignment: The answer asks to be expressed as a decimal, but without a solvable calculation, conversion to decimal is moot. synergy: The two skills are not used in tandem, since the division can't be performed due to missing data. grade_alignment: The problem cannot be solved at any grade due to missing data. real_world_feasibility: In practice, students know their total scheduled practice time, but here it is missing, making the scenario unrealistic.</t>
  </si>
  <si>
    <t>3. The secondary knowledge component was Addition of whole numbers, but this problem does not require any addition; the points are given for each team directly and no combining or summing is needed. 4. The intended synergy (using both ratio and addition in tandem) is not met, as only finding the simplest ratio among three numbers is required, not addition.</t>
  </si>
  <si>
    <t>answerability: The number 847 is a 3-digit number, but dividing by 6 (which is a 1-digit number) is not suitable for Primary 3 in Singapore math, whose syllabus usually expects dividends up to 3-digits by 1-digit but with smaller dividends, typically capped at 500 or less at this grade level. Furthermore, the third question ('What is the total number of students that will participate in the talent show?') is ambiguous because it could mean all 847 or, if read strictly, all complete groups plus the remainder, which is still all 847. primary_kc_alignment: The size of the dividend (847) is beyond typical expectation for Primary 3, although technically within 'up to 3 digits,' it is excessively large for realistic classroom problems at this level. In addition, the exact division scenario does not fit naturally with remainders for realistic groupings or understanding at this stage. secondary_kc_alignment: Addition is not required to solve the problem, as both the number in complete groups and the leftover simply partition the original number (847 = 6 × groups + leftover); there’s no need to add groups together or any other quantities. grade_alignment: Division of an 847 dividend and consideration of 'groups with remainders' is more challenging than suited for Primary 3. synergy: The secondary KC (addition) does not interact with the primary KC (division) in this problem, as addition is not required to find or verify the answer. conciseness_and_relevance: The last sub-question is redundant, as all students interested are participating, so it does not add useful complexity or require computation and is not needed for the problem.</t>
  </si>
  <si>
    <t>Synergy: The division operation (dividing basketballs equally among 4 teams) is not used in answering the final question about the total basketballs Sarah has after the donation. The result of the division has no relevance to the addition step or the answer required. Thus, the primary and secondary knowledge components are not used in tandem to solve the problem.</t>
  </si>
  <si>
    <t>Primary KC Alignment: The division required is 816 ÷ 6. Here, 816 is a 3-digit number, but the divisor 6 is not a 1-digit divisor of a 3-digit dividend (before subtraction it was 864, but after subtracting 48, 816 ÷ 6 is correct), HOWEVER the intended Primary KC is 'dividing whole numbers up to 3 digits by 1 digit.' The actual requirement matches the intended. On re-evaluation, this deserves a 1.Grade alignment: For Primary 3 (P3) in Singapore Math, division of 3-digit numbers by 1-digit numbers is introduced, but only after strong foundation in 2-digit division and there may still be students at this stage who find 3-digit division advanced. However, with calculator or simple long division, this is within P3. On careful reconsideration, this is still within grade. This should be a 1 as well.UPDATE: Both primary KC alignment and grade alignment are correct and should be marked as 1. No further explanation needed.</t>
  </si>
  <si>
    <t>Primary KC alignment: The problem requires dividing 432 by 6, which is 3 digits by 1 digit and thus aligns at first, but 432/6 = 72 and then asks how many practice sessions (division of 72 by 4) which is division again. However, nowhere does the secondary KC of multiplication become NECESSARY to solve the problem. Secondary KC should be necessary, such as requiring to multiply to verify or extend. Grade alignment: While Primary 3 covers division up to 3-digit by 1-digit, the second step (72/4) repeats division, not multiplication. If the intent was to require multiplication, the problem as written does not require it from the student, just division twice.</t>
  </si>
  <si>
    <t>Real-world Feasibility: The numbers of students provided for each school (e.g., 2,856 students from one primary school for a tournament) are unrealistically large for a primary school event, which makes the scenario implausible.</t>
  </si>
  <si>
    <t>Primary KC Alignment (0): The problem requires adding 3.126 (3 decimal places), whereas the intended primary KC is adding decimals up to 2 decimal places only. Grade Alignment (0): At Primary 4, students are typically not required to add decimals to 3 decimal places; this exceeds the intended grade-level expectation.</t>
  </si>
  <si>
    <t>Primary KC Alignment: The step needed to find Sarah's practice time on Tuesday is multiplying a mixed number ($2[FORMULA]$ hours) by a fraction ($[FORMULA]$), that is, multiplying a mixed number with a fraction—not a whole number as stated in the Intended Primary Knowledge Component. The intended KC is multiplying a proper/improper fraction and a whole number, but the mixed number here must first be converted to an improper fraction, and then is multiplied by another fraction (not a whole number).</t>
  </si>
  <si>
    <t>Primary Knowledge Component alignment = 0: The problem requires multiplying 23.456 by 30, which is not strictly multiplying by 10, 100, 1000, or their multiples as stated in the intended primary KC. Multiplying by 30 (which is 3 × 10) is not a standard operation for the intended KC, which focuses on multiplying decimals by powers of 10 or simple multiples like 10, 100, 1000. The students might have to break it down or use distributive property, which exceeds the direct scope of multiplying by 10/100/1000 and their multiples expected by the Singapore Primary 5 syllabus.</t>
  </si>
  <si>
    <t>Primary KC Alignment: The division required here is 142.8 ÷ 60, but dividing by 60 (which is not a power of 10, 100, or 1000) does not align with the stated intended KC ('dividing decimals by 10, 100, 1000 and their multiples'). Dividing by 60 is outside the scope of normal multiples of 10, 100, or 1000 expected at this level. Grade Alignment: The operation of dividing decimals by numbers like 60 is typically a Primary 6 skill in Singapore math curriculum; Primary 5 focuses more on dividing by 10/100/1000 and standard multiples of these, but 60 is not such a standard multiple.</t>
  </si>
  <si>
    <t>Secondary KC alignment: The problem requires converting kilometers to meters, which is conversion to a smaller unit (not to a larger unit), and not necessarily involving decimals explicitly in conversion between different units—it's multiplying a decimal by an integer. Thus, it does not fully target "conversion to larger units in decimal form" as described. Synergy: The problem only requires rate x time = distance calculation and then multiplying by 1000 to convert km to m; the secondary KC (as described) is not used in tandem with the primary KC in a meaningful or dependent way.</t>
  </si>
  <si>
    <t>Secondary Knowledge Component (DECIMALS | Conversion to smaller units): The problem only requires the multiplication of a decimal (rate) by a decimal (time in minutes) to find the number of laps. There is no need to convert between measurement units or perform any decimal place conversions—for example, minutes to seconds, or laps to partial laps. Therefore, the decimal conversion skill is not assessed or required. Synergy: Only the primary knowledge component (rate calculation) is needed. There is no interplay or requirement to use both the rate calculation and decimal unit conversion in tandem to solve the problem.</t>
  </si>
  <si>
    <t>Primary KC Alignment (0): The intended KC is 'finding the missing term in a pair of equivalent ratios.' However, the problem does not require setting up or solving a proportion with a missing value. Instead, it simply gives the number of wins and the ratio, calculates losses, adds wins, and sums games, rather than truly finding a missing ratio term. Synergy (0): Addition is used (adding 4 wins) but does not require working in tandem with solving for a missing term in an equivalent ratio; the steps are mostly sequential and do not intertwine both KCs in a way that they rely on each other for solution.</t>
  </si>
  <si>
    <t>real_world_feasibility: The described tournament scoring system, where scores are repeatedly taken to powers and divided in such a manner, is not plausible or seen in actual gaming tournaments or recreational scenarios. The use of exponents in this exact way is primarily a mathematical abstraction, rather than a realistic rule.</t>
  </si>
  <si>
    <t>answerability: The roles of rows and columns in matrix B are ambiguous—in the prompt, the rows represent Beginner, Intermediate, and Advanced players, but it is not clear how these rows correspond to the columns in A for a valid matrix multiplication. The matrices' dimensions (A is 3x3, B is 3x2) do not conform for direct multiplication; thus, the operation required for 'total points that can be awarded for each game type in each round' is not well defined. secondary_kc_alignment: Since matrix multiplication cannot be performed as specified (3x3 times 3x2 is invalid), the Secondary Knowledge Component is not addressed as intended. real_world_feasibility: Clubs rarely track scores or participants for tournaments using such strictly matrix-based and combined scalar-matrix forms, and the mechanism of scoring is highly artificial and not modeled after real competition scoring. synergy: The problem does not require the actual use of both scalar multiplication and valid matrix-matrix multiplication in a logical tandem, as the attempted matrix multiplication is invalid.</t>
  </si>
  <si>
    <t>Primary KC alignment: The problem requires multiplying 125 (3 digits) by 8 (1 digit), which is correct for the stated knowledge component, but then requires subtracting 1000 from 1200, resulting in a negative number of medals needed, which is not realistic or grade-appropriate. Grade alignment: 8 teams × 125 players = 1000 participants, needing 1000 medals. Sarah ordered 1200 medals, so she does not need to buy any more, in fact, she has extra. This requires a consideration of negative results and interpreting zero/negative need, which is not typical for Primary 3. Real-world feasibility: 125 players per team is highly unrealistic for a standard school basketball team, especially at Primary 3 level; actual school teams typically have much fewer players (~5-12).</t>
  </si>
  <si>
    <t>Primary KC Alignment (0): The question does not require multiplication of large numbers as per the intended KC (multiplying whole numbers up to 4 digits by 1 digit OR up to 3 digits by 2 digits). Rather, the scenario directly gives the total tennis balls (2340), and the only calculations needed are division (to group them into boxes, though it's not explicitly asked in the solution), and then a subtraction for damaged balls. No multiplication is strictly required to answer the question about available balls for sale. Synergy (0): The subtraction of damaged balls does not depend on any result from a multiplication operation within the word problem's solution path, so the primary and secondary KCs are not used in tandem as intended.</t>
  </si>
  <si>
    <t>Primary KC Alignment: The subtraction required is 25.847 - 0.18 = 25.667. 'Subtracting decimals (up to 2 decimal places)' was the intended KC, but the given numbers require subtraction involving 3 decimal places. Grade Alignment: At Primary 4 (Singapore syllabus), subtraction of decimals typically focuses on up to 2 decimal places. The presence of 3 decimal places in this subtraction makes it too advanced for the grade intended.</t>
  </si>
  <si>
    <t>Primary KC Alignment: The question requires multiplying a number with up to 3 decimal places (e.g., 2.406 × 6), but the Primary KC is specifically multiplying decimals with up to 2 decimal places by a 1-digit whole number, so this exceeds the intended scope.Grade Alignment: In Primary 4, multiplying decimals with up to 3 decimal places exceeds the typical syllabus, which usually limits students to multiplying up to 2 decimal places.</t>
  </si>
  <si>
    <t>Primary KC Alignment (0): The problem requires multiplying 3.25 × 4, which fits multiplying decimals (up to 2 decimal places) by a 1-digit whole number, but in Primary 4 Singapore Math, students typically multiply decimals by whole numbers where the decimal has only 1 decimal place; multiplying 2 decimal places by a 1-digit whole number is typically a Primary 5 skill. Grade Alignment (0): The required operation and decimal rounding (to 1 decimal place) are not reliably within the expected Primary 4 syllabus in Singapore, going slightly beyond grade-level expectations.</t>
  </si>
  <si>
    <t>The phrase 'used 5/3 of her energy level' is not realistic. In real life, energy 'levels' are not typically expressed in fractions above 1 for an individual within one session, and using 'more than 100%' of energy is not a plausible way to state effort in a training session. This makes the scenario fail real-world feasibility.</t>
  </si>
  <si>
    <t>F: Real-world feasibility: The average lap time of 0.875 seconds (less than 1 second) for a swimming lap is physically impossible for a human, and the calculated lap times for the other days (e.g., 175 to 875 seconds) are not realistic representations of actual swimming laps. Either the original lap time is orders of magnitude too short, or the pace changes are not plausible for a human swimmer.</t>
  </si>
  <si>
    <t>Primary Knowledge Component (Multiplying decimals by 10, 100, 1000 and their multiples) is not required to solve the problem. The required multiplications are of decimals by 20, 30, and 40 (not by 10, 100, 1000, or simple multiples), so the emphasis is on multiplying decimals by a 2-digit number, which is not specifically the stated KC. The problem focuses on multiplying decimals by whole numbers rather than the place value shifts specifically referenced in the intended KC.</t>
  </si>
  <si>
    <t>Real-world feasibility is rated 0 because the race times given (23.450 seconds, 234.50 seconds, and especially 2345.0 seconds) are not plausible for a 100m freestyle swimming event; the latter two times are exceedingly long and not realistic for the context of a competitive swim.</t>
  </si>
  <si>
    <t>Primary KC alignment: The problem requires dividing decimals such as 28.750 and 26.425 by 5, which is not limited to dividing by 10, 100, 1000 or their multiples as specified in the intended Primary KC. Instead, the division is by 5, which is outside the scope of the intended KC and thus the problem does not fully align.</t>
  </si>
  <si>
    <t>3. The problem does not require converting a measurement from a larger unit in decimal form to a smaller unit, so the intended secondary knowledge component (DECIMALS | Conversion to smaller units) is not aligned. 6. There is no synergy between primary and secondary knowledge components, as only rate multiplication is needed to solve the problem.</t>
  </si>
  <si>
    <t>g. Real-world plausibility: It is unusual for someone to divide practice time equally among a non-integer number of pieces (2/3 of 6 = 4 pieces is fine mathematically, but in reality, people would typically refer directly to 4 pieces rather than 2/3 of 6 pieces, which is contrived and not a natural way to express dividing practice time among pieces of music.</t>
  </si>
  <si>
    <t>secondary_kc_alignment: The problem involves ratios with fractions and requires scaling, but it does not require the explicit addition of fractions in the solution as written—the ratios are used multiplicatively, not additively, so adding fractions is not required to solve this problem. synergy: There is no explicit combination or tandem use of both ratios and addition of fractions; only the concept of ratio (involving fractions) is needed.</t>
  </si>
  <si>
    <t xml:space="preserve">G. The ratio is given directly in terms of fractions ($[FORMULA] : [FORMULA]$), which is mathematically valid, but in real-world scenarios, time is usually simply stated in hours or minutes, and it is unusual (and potentially confusing) to express a ratio of time spent as fractions not with the same denominator or not as simple ratios (for example, 3:2 or 3/4:1/2 hour). This makes the situation less realistic, as students and teachers would rarely describe practice time using a ratio of two non-unit fractions. A more realistic approach would use whole numbers, or at least ratios of equal reference. </t>
  </si>
  <si>
    <t>F: Real-world feasibility is rated 0 because it is not plausible for a basketball player to make non-integer (decimal) numbers of successful free throws or attempts; free throws made and attempted must both be whole numbers in reality.</t>
  </si>
  <si>
    <t>G: Real-world feasibility is rated 0 because it is highly unrealistic for a gaming tournament or any real-life recreation activity to use negative powers of 2 as scores (especially interpreting $2^{-2}$ points as a score for penalties), and expressing all scores as powers of two is not a typical or plausible real-world scoring system.</t>
  </si>
  <si>
    <t>Synergy: The problem asks for the probability of Sarah winning a prize (i.e., getting a red section on the first wheel OR a green section on the second wheel). However, the result from the probability of getting a red section is not used as input to finding the probability of a green section, nor vice versa; they are independent. Also, the question requires applying the addition rule for probabilities of mutually exclusive and non-mutually exclusive events, but there is no overlap (since the wheels are independent and you win if EITHER event occurs), so the calculation does involve the rule, but not in a way that tightly interlinks the primary and secondary KCs as intended for 'synergy' by the rubric, which expects the two KCs to be used in tandem or sequentially.</t>
  </si>
  <si>
    <t>answerability: (a) and (b) ask 'What fraction of the painting/music challenge did Sarah complete in total?'. But Sarah only did one part of each challenge; there is nothing to add for her, hence 'total' is just the single given value, suggesting confusion in the problem design. Also, (c) requests total fraction of all challenges completed per person, but since each completed only one part per challenge, the sum is just a + b for each, which has little real-world meaning as the parts are not of the same whole. primary_kc_alignment: The problem does not require students to add unlike fractions for Sarah in (a) or (b) (each is a single value), nor does it require this for Emma; only part (c) requires students to sum, but it asks to add fractions from different challenges, which are not parts of the same whole. This is conceptually incorrect for fraction addition.secondary_kc_alignment: Comparing the sums for Sarah and Emma is required, but since the sums are not conceptually meaningful (they mix different wholes), the fraction comparison does not align with a mathematically sound context.grade_alignment: Given the conceptual flaw of adding fractions from different wholes, which is not appropriate for Primary 4, the question does not fit curriculum expectations.synergy: The solution path for (b) and (a) is not needed for (c) as (c) simply asks for the sum of two unrelated fractions for each person, rather than building on earlier results in a mathematically valid way.</t>
  </si>
  <si>
    <t>Primary KC alignment: The intended Primary KC is 'adding decimals (up to 2 decimal places)'. However, the problem requires adding decimals with 3 decimal places (e.g., 1.142), which is beyond the scope of Primary 4 (where students are typically expected to handle up to 2 decimal places). Grade alignment: The use of 3 decimal place addition (1.17 + 1.142) is not within the Primary 4 syllabus.</t>
  </si>
  <si>
    <t>Primary KC alignment (0): The problem requires subtracting 2.486 from 3.75. The number 2.486 has three decimal places, but the intended Primary KC specifies subtracting decimals up to 2 decimal places only. This problem exceeds that boundary since the calculation requires handling up to 3 decimal places.Grade alignment (0): At Primary 4 in Singapore Math, students are typically expected to work with decimals up to 2 decimal places. The inclusion of 2.486 (with 3 decimal places) makes the problem more advanced than appropriate for this grade.</t>
  </si>
  <si>
    <t>Secondary KC alignment: The intended secondary knowledge component is 'comparing and ordering fractions,' but the final comparison is between two distances (likely mixed or improper fractions after calculation), not a direct ordering or comparing of fractions without converting to decimal or whole numbers. Synergy: Both knowledge components are not required in tandem—multiplying a mixed number by a whole for distance (fraction multiplication) is needed, but the comparison step does not specifically require 'comparing and ordering fractions' skill as typically tested (such as ordering several fractions, or comparing fractions without converting to decimal/whole form).</t>
  </si>
  <si>
    <t>Primary KC Alignment: The problem only requires adding fractions (to find the total blue/yellow paint and the grand total), not multiplying two improper fractions, so it does not align with the intended primary knowledge component. Synergy: Only addition of fractions is needed for every part; there is no interaction between multiplication and addition of fractions as required by the listed primary and secondary KCs.</t>
  </si>
  <si>
    <t>Primary KC Alignment: The solution for planned practice time involves dividing Sarah's total practice time by a fraction (i.e., dividing by 2/3), which is fraction division, not multiplying two improper fractions as intended. Synergy: The subtraction of fractions (to find total practice time excluding breaks) and the need to find the planned time are not synergistic with multiplying two improper fractions. The intended KC of multiplying two improper fractions is not required to solve the main question; fraction subtraction and division are needed instead.</t>
  </si>
  <si>
    <t>Primary KC alignment: The problem requires multiplying 0.875 by 300, which is not strictly multiplying a decimal by 10, 100, 1000, or their multiples; 300 is not listed as a suitable multiplier per the described KC, so it extends beyond the intended primary skill.Synergy: The secondary KC (expressing decimals as fractions) is only indirectly involved via the instruction to express the answer as a mixed number, not as an explicit calculation step requiring conversion and multiplication in tandem.</t>
  </si>
  <si>
    <t>Primary KC Alignment: The multiplication involved is 0.125 × 400. This does not require multiplying a decimal by 10, 100, 1000, or their multiples as stated by the intended Primary Knowledge Component. Instead, it is multiplying a decimal by a whole number, which does not fully align with the specific KC intended.</t>
  </si>
  <si>
    <t>Primary KC Alignment: The problem requires dividing 127.850 by 7, which is not dividing by 10, 100, 1000 or their multiples—it is dividing by a single digit number (7). The intended Primary Knowledge Component is DIVIDING DECIMALS (up to 3 decimal places) BY 10, 100, 1000 AND THEIR MULTIPLES, but dividing by 7 does not fit this specification.</t>
  </si>
  <si>
    <t>answerability: The problem states Sarah swims 4 laps with the given times, but her coach divides the TOTAL time of those laps by 400 to find the average per 100 meters, claiming she swam 40,000 meters. However, there is no information about the length of each lap, and the sum of the laps (4 laps) is not consistent with 40,000 meters as the distance. Therefore, with missing necessary details (length per lap or laps totaling 40,000 meters), the problem cannot be answered.primary_kc_alignment: The division required is not dividing decimals by 10, 100, 1000, or their multiples, but by 400. 400 is not a multiple of 10, 100, or 1000 in the context of the Singapore primary curriculum division strand (which focuses on dividing by 10/100/1000 and sometimes simple multiples such as 20, 50, etc.) in this grade. grade_alignment: Primary 5 level may not include division of decimals by numbers like 400, especially when the dividend is not a simple round number. Division of decimals by 10, 100, 1000 is required, but dividing by 400 (with non-terminating decimals) is likely above this grade level.real_world_feasibility: It's unrealistic that only 4 laps could total 40,000 meters (each would be 10,000 m, which is not a plausible swimming lap length).conciseness_and_relevance: There is an unnecessary mention of 40,000 meters and division by 400, which does not logically connect with the other data provided (4 laps of given times).</t>
  </si>
  <si>
    <t>Primary KC Alignment (0): The division required is dividing a fraction (remaining hours) by the fraction of the week (2/3), but the actual question asks for 'hours per day.' The correct calculation conceptually would be to first determine the remaining hours (subtraction—secondary KC), then distribute these hours over the remaining days (which would require knowledge of how many days '2/3 of the week' is). The division performed is 'remaining hours divided by the number of days', which is a whole/fraction ÷ whole number (number of days), not dividing by a fraction as intended by the primary KC.Synergy (0): The subtraction and division required here are not used in a manner where the division is of a fraction by a fraction as intended. Instead, the subtraction is performed to get remaining hours, but the final division is by a whole number (number of days in 2/3 of a week), not directly by a fraction. This breaks the intended blend of the two KCs for solving the final answer.</t>
  </si>
  <si>
    <t>A) Answerability: The problem does not specify Sarah's total practice time for today (the 'whole'), so we can't determine the value of 3/4 of the whole, making the number of sessions unanswerable. B) Primary KC Alignment: The intent is 'dividing a whole number/proper fraction by a proper fraction,' but we only have 3/4 and 2/5 with no reference to the total, so division can't be executed. C) Secondary KC Alignment: The answer asks for a decimal, but without a proper result from the primary operation, conversion to decimal is moot. F) Real-world feasibility: It's implausible for someone to know the fraction of total practice time completed without knowing the total amount; sessions are typically counted by length or quantity, not a fraction of an unknown total. G) Synergy: Since you can't complete the division or convert the result to decimal due to missing total information, the two KCs do not operate in tandem.</t>
  </si>
  <si>
    <t>Secondary Knowledge Component is 'Addition of whole numbers', but the word problem does not require the addition of the points; it only requires comparing the numbers as ratios. Synergy is rated 0 because only the primary knowledge component (finding ratios) is needed to solve the problem, and addition is not required in any step, thus the two KCs are not used together.</t>
  </si>
  <si>
    <t>answerability: The problem asks for the total number of students participating, but since it says '847 students want to participate' and then asks how many are left without a complete group, logically, ALL 847 students are participating unless some are left out purposely. However, forming groups of at most 6 and then asking about complete groups and left out students is ambiguous as it is unclear whether the leftover students participate or not, which affects part (c).primary_kc_alignment: Division is the main component, but dividing an 847 (3 digits) by 6 (1 digit) fits. However, the last part ('total number of students that will participate') does not require division; it is ambiguous if only complete groups participate or all do.secondary_kc_alignment: No explicit use of addition is required, unless the intention is to add complete group students and leftover students, but that is not clearly prompted or necessary. So it does not target addition as a secondary KC.grade_alignment: Dividing a 3-digit number by a 1-digit number with remainder fits, but the number 847 is too large and unfamiliar for Primary 3, challenging their computation and possibly exceeding curricular guidelines.synergy: There is no required use of both division and addition together to solve any part of the problem; addition is not truly necessary as phrased.conciseness_and_relevance: The third question is redundant or ambiguous, since the total number of students who want to participate is 847, unless students unable to form a complete group are not counted, which contradicts real practice or is unclear.</t>
  </si>
  <si>
    <t>The use of both division and addition is present, but the two are not synergistic: the division step (dividing 276 by 4) has no bearing on the final answer, which only requires adding 276 + 48. Therefore, the problem does not require results from division to determine the total after the donation, breaking synergy.</t>
  </si>
  <si>
    <t>Primary KC Alignment: The division required is 816 ÷ 6, where 816 is a 3-digit number but, originally, students are presented with 864 (a 3-digit number), but must first subtract 48, resulting in 816 to divide by 6. This fits within Primary 3 curriculum in Singapore, which covers division of up to 3-digit numbers by 1 digit, but the initial division implied by the primary KC is for 3-digit numbers (not 4 digits as could be inferred if the subtraction is overlooked). However, the operations needed to solve the problem (subtract 48 from 864, then divide the result by 6) are appropriate. Thus, the rating is set to 0 for being borderline but technically fitting. Grade Alignment: While Primary 3 covers up to 3-digit numbers for subtraction and division, the two-step operation may be challenging for some lower- to mid-Primary 3 students, but it is still within the syllabus. If strictest interpretation is used (immediate division only, no adjustment), it could be considered slightly advanced.</t>
  </si>
  <si>
    <t>Primary KC Alignment: The division required is 432 ÷ 6, which is dividing a 3-digit number by a 1-digit number. This matches the primary knowledge component. However, the phrase 'up to 3 digits' could fit, but as the intended grade is Primary 3, curriculum pacing may not expect such large dividends (often capped at 2-digit by 1-digit at this grade in Singapore syllabus). Secondary KC Alignment: The second part ('How many practice sessions can each team have with their basketballs?') requires dividing (72 ÷ 4 ⇒ 18), not multiplying. Intended secondary KC is multiplication; no explicit multiplication operation is needed to answer questions here. Grade Alignment: The numbers involved and multi-step reasoning may exceed typical Primary 3 division/multiplication expectations, especially with 3-digit dividends and multi-step logic required.</t>
  </si>
  <si>
    <t>Primary KC Alignment = 0: The intended primary knowledge component is subtraction of two related fractions within one whole. However, the problem requires subtracting the sum of two fractions (Monday+Tuesday) from another fraction (Wednesday): (Wednesday) - (Monday+Tuesday), where the minuend ($[FORMULA]$) is less than the sum ($[FORMULA]+[FORMULA] = [FORMULA]$), which results in a negative value (-$[FORMULA]$). At Primary 3, subtraction resulting in negative fractions is not typical or appropriate for the syllabus — usually, subtraction would be between two related fractions where the answer remains non-negative within one whole. Thus, the subtraction is not within one whole and does not fit the intended KC's constraints.</t>
  </si>
  <si>
    <t>Primary KC Alignment: The problem requires adding numbers with up to three decimal places (e.g., 3.126 km), while the intended KC is addition of decimals up to 2 decimal places only. Grade Alignment: Addition of decimals with three decimal places (3.126) is not appropriate for Primary 4, which typically only requires working with up to two decimal places.</t>
  </si>
  <si>
    <t>Primary KC alignment: The intended primary KC is multiplying a proper/improper fraction and a whole number. In the problem, you multiply the planned daily practice time, which is a mixed number ($2[FORMULA]$ hours), by the fraction $[FORMULA]$ to find Tuesday's practice duration. However, multiplying a mixed number by a proper fraction doesn't directly test multiplying a proper/improper fraction by a whole number, as required. Instead, it is multiplying a mixed number by a fraction, which is slightly more complex than the intended primary KC.</t>
  </si>
  <si>
    <t>Primary KC alignment = 0: The problem requires multiplying 23.456 by 30. According to Singapore Primary 5 syllabus, the primary KC 'multiplying decimals (up to 3 decimal places) by 10, 100, 1000 and their multiples' means multiplying by powers of 10 (10, 100, 1000, etc.), not by arbitrary numbers like 30. The number 30 is not a simple multiple of 10, so this goes beyond the intended scope of the KC.</t>
  </si>
  <si>
    <t>Primary KC Alignment (0): The division here is 142.8 divided by 60, but the intended Primary KC specifies dividing by 10, 100, 1000 and their multiples (i.e., 10, 20, 100, 200, etc.), and 60 is not a multiple of 10, 100, or 1000. The knowledge involved is general decimal division by a 2-digit number, which is not directly aligned with the intended KC focus of division by powers of ten and their clear multiples.Grade Alignment (0): Dividing decimals by 60 and expressing the answer as a simple fraction exceeds most Primary 5 SG syllabus requirements, which focus on dividing by 10/100/1000 or basic conversions. Expressing non-terminating decimals like 2.38... as simplest fractions is usually more secondary-level.</t>
  </si>
  <si>
    <t>Secondary KC: The problem requires conversion from kilometers to meters (smaller to larger unit), rather than from a smaller unit to a larger unit as specified (should be meters to kilometers for the intended KC). Synergy: While both rate and unit conversion are involved, the conversion is not from a smaller unit to a larger one in decimal form as the secondary KC intends; thus, synergy between the intended KCs is not met per the specification.</t>
  </si>
  <si>
    <t>Secondary KC Alignment: The problem does not require converting a measurement from a larger unit in decimal form to a smaller unit (such as converting minutes to seconds or laps to another sub-unit); all numbers are already in decimal form and no conversion is required. Synergy: Only the primary knowledge component is used to solve the problem. The secondary component (unit conversion) is not needed, therefore there is no synergy between the two knowledge components.</t>
  </si>
  <si>
    <t>Primary KC Alignment: The problem only requires proportional reasoning to find the number of losses (if the total were to be found before the extra games), but as written, with the number of wins given directly and just a simple addition to account for extra wins, the main focus is on simple arithmetic, not finding a missing term in equivalent ratios. The ratio aspect is not essential for the solution, because the number of losses is not actually needed to answer the question. | Synergy: The solution does not require the two KCs to be used in tandem—the ratio aspect does not connect to the addition step, as the answer is found by simply adding the extra wins to the total wins and summing to get total games played, without needing to use the equivalent ratio concept.</t>
  </si>
  <si>
    <t>Real-world feasibility is rated 0 because recreational gaming tournaments do not normally use abstract exponent rules (direct multiplication/division of exponents) for scoring; such a scoring system is highly unrealistic in any competitive or casual real-world event.</t>
  </si>
  <si>
    <t>answerability: The matrix dimensions are not compatible for multiplication as described in the scenario. Matrix A is 3x3 (game types by skill levels), and matrix B is 3x2 (skill levels by rounds), but the way their rows/columns are defined (A: game type rows, B: skill level rows) makes multiplication undefined unless interpretation is forced. secondary_kc_alignment: It does not require actual matrix multiplication as described—just scalar multiplication per game type; the alignment with matrix-matrix multiplication is ambiguous. grade_alignment: The ambiguity in how to multiply A and B as per their contextual definitions places this problem above what would be expected of Sec 3/4, as the matching of matrices in context is complex and not fully defined by standard syllabus requirements. real_world_feasibility: In reality, summing 'point totals per round' in a scenario involving scores and numbers of players would require matrix multiplication only if each game type and skill level breakdown per round/player is fully matched, which is not properly structured here. synergy: Scalar multiplication and matrix multiplication are not used together in a synergistic, necessity-driven fashion; rather, the scalar adjustment could be applied after or before, not requiring true synergy. conciseness_and_relevance: There is confusion regarding the matrix structure assignment (matching game types vs skill levels and rounds); some of the structure is redundant or ambiguous, weakening relevance.</t>
  </si>
  <si>
    <t>Primary KC (Matrix Multiplication): The multiplication is not properly defined. After subtracting R-W (which is a 3x3 matrix), S (3x2) cannot be multiplied with a 3x3 unless one is transposed or some matching dimension made clear. It's unclear how to use S with the result of R-W. Synergy: The intended connection between subtraction and multiplication breaks due to the ill-defined product—matrix dimensions don't match for multiplication. Conciseness/Relevance: The full 3x3 matrices are given even though only the first two columns (game categories) are needed for the question; this introduces irrelevant data and could cause confusion.</t>
  </si>
  <si>
    <t>Primary KC alignment (0): The problem requires multiplying 125 (a 3-digit number) by 8 (a 1-digit number), which is within the scope; however, Primary 3 Singapore Math expects multiplication of up to 2-digit numbers by 1-digit, not 3-digit x 1-digit until Primary 4.Grade Alignment (0): Multiplying 125 x 8 is above Primary 3 curriculum; at this grade, students are expected to multiply up to 2-digit numbers by 1-digit numbers.</t>
  </si>
  <si>
    <t>Primary KC Alignment (0): The problem does not require multiplication as specified (multiplying whole numbers up to 4 digits by 1 digit or up to 3 digits by 2 digits). The key calculation should involve packing tennis balls into boxes, which might imply division instead. However, to answer the final question—'How many tennis balls are available for sale?'—all you need is subtraction: 2,340 - 156 = 2,184. No multiplication is actually required to answer the question as stated. Synergy (0): The problem does not require the primary and secondary KCs to work in tandem; the only calculation needed is subtraction, which undermines the intended KC synergy.</t>
  </si>
  <si>
    <t>Primary Kc Alignment: The subtraction required is 25.847 - 0.18, which involves 3 decimal places minus 2 decimal places, not 'up to 2 decimal places' as specified by the intended KC. Grade Alignment: The calculation and comparison involves decimal values up to 3 decimal places, but the intended Primary 4 syllabus in Singapore expects subtraction up to 2 decimal places only; thus, the problem is slightly harder than intended for the grade.</t>
  </si>
  <si>
    <t>Primary KC Alignment (0): The problem requires multiplying a 3-decimal-place number (2.406) by a 1-digit whole number for Wednesday's calculation, but the intended primary KC is multiplication of decimals up to 2 decimal places only. This exceeds the intended difficulty because students at Primary 4 are not expected to multiply decimals to 3 decimal places according to the specified KC and grade. Grade Alignment (0): Similarly, multiplying decimals up to 3 decimal places exceeds the Primary 4 curriculum and the specified intended KC, making it inappropriate for the given grade.</t>
  </si>
  <si>
    <t>g. Real_world_feasibility: 'Used 5/3 of her energy level' and 'used 4/3 of her energy level' are not realistic as energy level is typically not measured in this way; using more than the total possible energy (over 1 or 100%) is not plausible or clearly defined for a typical primary context.</t>
  </si>
  <si>
    <t>G: The stated lap times (0.875 seconds per lap) are not plausible for swimming—this is far faster than any real human can swim a lap in a pool. The multiplying factor scenario, though mathematically valid, does not reflect a real-world training scenario in swimming, where lap times do not increase by such extreme multiples in reality.</t>
  </si>
  <si>
    <t>Primary Knowledge Component (Multiplying decimals by 10, 100, 1000 and their multiples) is not fully aligned because students need to multiply decimals by whole numbers like 20, 30, and 40 rather than specifically by 10, 100, 1000 or their multiples. The core operation is decimal × 2-digit numbers, not strictly multiplication by powers of ten.</t>
  </si>
  <si>
    <t>G: Ben's and Chris's times (234.50s and 2345.0s) are not plausible for a 100m freestyle swimming race – such race times typically range from about 20 to 120 seconds at most, even for children. This makes the numbers unrealistic in real-world swimming competitions.</t>
  </si>
  <si>
    <t>Primary KC Alignment: The problem requires dividing numbers like 28.750 by 5, which is dividing by a one-digit whole number, not by 10, 100, 1000 or their multiples as required by the explicit KC description. Grade Alignment: Dividing decimals by whole numbers is usually introduced before Primary 5, but dividing decimals by one-digit numbers (not by 10/100/1000/multiples) is not fully aligned with the specified KC, which may misalign with the explicit expectations for grade level if strictly following the Singapore syllabus breakdown for division by powers of ten.</t>
  </si>
  <si>
    <t>3: The problem does not require converting Sarah's distance from kilometers (decimal form) to a smaller unit (such as meters or centimeters). It only multiplies the decimal number of kilometers by the rate, so the Secondary Knowledge Component (DECIMALS | Conversion to smaller units) is not targeted.4: There is no synergy between Primary and Secondary KCs, as the problem is solved entirely by rate calculation using decimals, without needing to convert measurements from larger to smaller units.</t>
  </si>
  <si>
    <t>answerability: The ratio is given as fractions, but these fractions are not in the standard form for a ratio (ratios are usually written as whole numbers for direct comparison). Using fractions in this way makes it ambiguous how to interpret the relative quantities: are they by volume, are they actual fractions of a common volume, or otherwise? This ambiguity means one couldn't be certain of how to use the given values to calculate the amount of orange juice required. secondary_kc_alignment: The problem does not require adding fractions, only finding a corresponding value in a ratio, so adding fractions is not needed for solution. real_world_feasibility: In real cooking scenarios, such a recipe would not use ratios with fractional parts unless clearly described (usually ratios are simplified to smallest whole numbers). The ratio expression is therefore unrealistic. synergy: Since addition of fractions is not required, Primary and Secondary KCs do not interact in this word problem.</t>
  </si>
  <si>
    <t>(-) Real-World Feasibility: It is unrealistic to have 12.5 or 17.5 successful free throws, as a player cannot make a non-integer number of free throws in a real basketball session.</t>
  </si>
  <si>
    <t>real_world_feasibility: In a real gaming tournament, scores are not assigned as pure powers of 2, especially not using negative indices (i.e., fractional or less-than-one scores), nor are scores typically combined through multiplication and subsequent division in this stylized way. The scenario is contrived and does not reflect real scoring methods in games or tournaments.</t>
  </si>
  <si>
    <t>Primary KC alignment (0): The problem does not require adding unlike fractions with two different denominators. Each subquestion only requires understanding one fraction at a time; the fractions given (e.g., Sarah's painting: 2/3, music: 1/4) are not meant to be added together, so the intended KC is not actually tested. Secondary KC alignment (0): There is no comparison or ordering of fractions in the way intended; (c) asks for who completed a greater total fraction of challenges but doesn't clarify whether this means summing the painting and music challenges (which doesn't make sense contextually for different activities), or simply comparing the individual challenge completions. Synergy (0): The questions do not require use of both intended KCs in tandem. Each sub-question is isolated, not requiring the learner to combine addition and comparison of unlike fractions as part of a solution pathway.</t>
  </si>
  <si>
    <t>Primary Knowledge Component: The problem involves adding 1.25 + 1.17 + 1.142 to get the total time, but 1.142 has 3 decimal places, which is beyond the specified 'up to 2 decimal places.' This also affects Grade Alignment, as Primary 4 students (according to the Singapore syllabus) are expected to work with decimals up to 2 decimal places only. Therefore, using 1.142 minutes (3 d.p.) is above the intended grade and not aligned with the intended Primary Knowledge Component.</t>
  </si>
  <si>
    <t>Primary KC alignment: The problem requires subtracting decimals to 3 decimal places (3.750-2.486), but the intended focus is 'up to 2 decimal places'. Thus, it exceeds the intended skill. Grade alignment: Typical Primary 4 curriculum expects subtraction of decimals up to 2 decimal places, not 3.</t>
  </si>
  <si>
    <t>Secondary KC Alignment (0): The problem does not require comparing or ordering fractions in the solution process; it involves subtracting two decimal/fractional results, but not comparing/ordering fractions directly as a mathematical skill focus. Synergy (0): The use of the primary and secondary KCs are not synergistic—in this question, solving for the distances is independent from determining who covered more distance, and the 'who ran more and by how much' part requires simple subtraction, not explicit comparison/ordering of fractions.</t>
  </si>
  <si>
    <t>Primary KC Alignment: The word problem only involves addition of fractions, not multiplication of two improper fractions as intended. While all numbers are improper fractions, students are asked to add them, not multiply. Synergy: Multiplication of improper fractions (primary KC) is never required to answer the questions, so the synergy between primary and secondary KC is not present.</t>
  </si>
  <si>
    <t>Primary KC Alignment: The most complex calculation required is dividing by a fraction (to find planned practice time), not multiplying two improper fractions as specified. The division step is required to solve for planned practice time (since total practice = (2/3) x planned practice time ⇒ planned practice time = (total practice) ÷ (2/3)), which is outside the intended Primary KC. Synergy: The subtraction of fractions (to find total practice time) and the fraction division step occur in sequence, but multiplying two improper fractions is not used together with subtraction to solve the problem; thus, the expected synergy for the intended knowledge components is not present.</t>
  </si>
  <si>
    <t>Primary KC Alignment (0): The problem requires multiplying a proper fraction ($[FORMULA]$) by an improper fraction ($[FORMULA]$), not two improper fractions as specified in the intended Primary Knowledge Component. Synergy (0): Only multiplication and simplification are involved here, but the problem does not require the separate use of two intertwined concepts; simplification naturally occurs after multiplication rather than requiring a deliberate application of two concepts in tandem.</t>
  </si>
  <si>
    <t>Primary KC alignment (0): The intended primary KC specifically targets multiplying decimals by 10, 100, 1000 and their multiples, but this problem requires multiplying a decimal (0.875) by 300. While 300 is a multiple of 10 and 100, the multiplication here is not structured in a way that emphasizes using solely 10, 100, or 1000 and their multiples as calculation aids, instead it presents an arbitrary factor (300) and expects direct multiplication. This is more aligned with general multiplication of decimals than the specific intended skill focus. Synergy (0): While the answer needs to be expressed as a mixed number and thus requires converting the final decimal product to a fraction, these two skills are not closely intertwined within the problem—the conversion only comes after the computation is done, instead of requiring ongoing or integrated reasoning between the decimal multiplication and conversion steps.</t>
  </si>
  <si>
    <t>Primary Knowledge Component Alignment: The calculation required for the first part is 0.125 x 400, which involves multiplying a decimal by a whole number (not by 10, 100, 1000 or their multiples). The intended component specifically asks for multiplying decimals by 10, 100, 1000 or their multiples, and this question does not require that. Multiplying by 400 does not fit this narrowly-defined requirement.</t>
  </si>
  <si>
    <t>Primary KC Alignment: The problem asks to divide 127.850 by 7. Dividing by 7 is not division by 10, 100, 1000, or their multiples (such as 20, 30, 200, 3000, etc.), as required by the intended KC. This is general decimal division, not the specific type targeted.</t>
  </si>
  <si>
    <t>A) Answerability: The problem is NOT answerable as stated. The total distance Sarah swam is 40,000 meters, but the lap times provided (totaling about 10 minutes) are not reasonable for such a distance. Four laps for 40,000 meters would mean each lap is 10,000 meters, which is unrealistic in swimming, especially in under 4 minutes per lap. So, there is conflicting information making the problem unsolvable as written. E) Grade alignment: While adding and dividing decimals are Primary 5 skills, the magnitude of the numbers (dividing by 400 and referencing 40,000 meters) may exceed realistic Primary 5 expectations due to context confusion; this could lead to misinterpretation at this cognitive level. F) Real-world feasibility: A swimming session of 40,000 meters (~40 km) is not plausible for Sarah (at any level, and especially for typical Primary 5 context). Also, the division calculation of total time by 400 to get per 100 meters is odd, since 40,000/100 = 400, but the numbers don't match real swimming distances. I) Conciseness/relevance: There is irrelevant/confusing information regarding distance versus lap times. The problem gives a total (40,000 m) that does not fit the lap data (4 laps in under 11 minutes), which is distracting and unnecessary for the computation.</t>
  </si>
  <si>
    <t>Secondary KC Alignment: The problem does not require explicit multiplication of whole numbers, only division and percentage calculation. Synergy: The solution only requires percentage calculation (part/whole x 100) and does not require multiplication and percentage concepts to work in tandem to complete the solution.</t>
  </si>
  <si>
    <t>G: The phrase 'divide the remaining practice time equally among the next 2/3 of the week' is not a realistic division of days in a week for scheduling, as people do not typically split their planning into non-whole day segments, especially 2/3 of the week (approximately 4.67 days). In a real scenario, Sarah would plan by number of whole days remaining.</t>
  </si>
  <si>
    <t>answerability: The total practice time for today is not given (no whole number or value for the full amount of practice time), so it is not possible to determine the number of sessions completed—insufficient information supplied. primary_kc_alignment: The problem expects dividing '3/4 of her total practice time' by '2/5 hour' but since the total time is unknown and no concrete quantity is divided, the intended division is not properly testable. secondary_kc_alignment: There is no fraction in this particular context whose decimal value needs to be explicitly calculated; the answer is requested as a decimal, but this does not fulfill the KC of conversion, as the process is essentially optional. synergy: With no effective division step completed and no decimal conversion, the two KCs cannot work in tandem. grade_alignment: The incompleteness of the information makes the item inapplicable for any grade as an answer can't be found.</t>
  </si>
  <si>
    <t>Secondary KC Alignment: The problem does not require addition of whole numbers; it only requires finding the ratio of the already given values. Synergy: The ratio can be determined directly from the three numbers provided; addition is not needed at any step, so the two KCs are not used in tandem.</t>
  </si>
  <si>
    <t>Primary KC alignment: The problem requires dividing an 847 (a 3-digit number) by 6 (a 1-digit number), which is appropriate, but the Primary 3 band in Singapore Math typically handles numbers up to 3 digits divided by 1 digit, usually not as high as 847, and the context makes the division result a 100s-range quotient, a calculation not typical for this grade. Also, it asks for 'how many complete groups' (847/6=141 groups) and explicitly addresses remainders, but the magnitude makes it inappropriate for Primary 3. Grade alignment: The numbers used (847 and resulting group calculation) are beyond common Primary 3 level tasks, which usually involve smaller numbers for division with remainder.</t>
  </si>
  <si>
    <t>Primary KC Alignment (0): The solution does not actually require the student to perform division, since dividing the basketballs is an unnecessary step to answer the question. The question only asks for the total after a donation, which involves addition only. Secondary KC Alignment (0): Only addition is necessary to solve the problem; division is irrelevant, so the secondary KC (addition) should not be secondary. Synergy (0): There is no synergy between division and addition; dividing the basketballs by 4 is unnecessary for answering the final question. Real World Feasibility (0): In reality, if Sarah collects and distributes basketballs equally, the context of total balls after donation would not require re-grouping all balls, but simply adding. There is a mild disconnect in the scenario design.</t>
  </si>
  <si>
    <t>Primary KC Alignment (0): The division to be performed is (864-48)/6 = 816/6, which is dividing an up-to-3-digit number (816) by a 1-digit number (6). However, the original number before subtraction (864) is a 3-digit number, so it fits the Primary KC—but the crucial operation is on 816 (after subtraction). Nevertheless, the alignment is borderline: since students first must subtract to get 816, then divide, arguably this does fit, so this could be open to interpretation, but since both 816 and 6 conform to the requirement, this is very close to the line. Grade Alignment (0): Singapore Primary 3 typically covers division of up to 3-digit numbers by 1-digit numbers, but requires students to first subtract to 816, then divide by 6; this two-step operation might be slightly above the intended complexity for Primary 3, depending on syllabus progression. However, as these individual operations fit the grade, this is also borderline but still acceptable for challenging problems at this level.</t>
  </si>
  <si>
    <t>Primary KC alignment: The division 432 ÷ 6 involves dividing a 3-digit number by a 1-digit number, which fits Primary 3. However, to answer the second question ('How many practice sessions can each team have...'), each team gets 72 balls, and 72 ÷ 4 = 18 sessions. The division is 2-digit by 1-digit, which is acceptable. But the main division is 432 ÷ 6, a 3-digit divided by 1-digit, meeting the listed KC—but the presence of 432 (a 3-digit) might be considered a border case for Primary 3, depending on the syllabus. Grade alignment: The number 432 divided by 6 is at the upper-end difficulty for Primary 3; some syllabi restrict 3-digit division to numbers ≤ 360 for P3. Also, handling multi-step logic (division then another division for sessions, or understanding context to perform both operations) could exceed P3 cognitive load. Hence, this is at risk of slightly exceeding: so rated 0 to be strict.</t>
  </si>
  <si>
    <t>Primary KC alignment: The subtraction required is not between two related fractions within one whole; instead, students must add Monday and Tuesday's times (addition of fractions), then subtract this sum from Wednesday's time ($[FORMULA] - ([FORMULA] + [FORMULA])$). This means the subtraction is not directly between two given related fractions as described by the intended primary KC, but rather between a single fraction and a sum, which involves handling unlike denominators and mixed operations.</t>
  </si>
  <si>
    <t>primary_kc_alignment: The problem requires addition of decimals to 3 decimal places (3.126) while the intent restricts addition to up to 2 decimal places. grade_alignment: In Primary 4 Singapore syllabus, addition of decimals is usually limited to 2 decimal places, so the use of 3.126 km exceeds this level.</t>
  </si>
  <si>
    <t>Primary KC Alignment: The problem requires multiplying a mixed number (2 1/4) by a proper fraction (5/6) to get the practice time on Tuesday. However, the primary KC specified is multiplying a proper/improper fraction and a whole number, but 2 1/4 is a mixed number, not a whole number, so it doesn't fit the intended main skill strictly.</t>
  </si>
  <si>
    <t>Primary KC alignment: The question requires multiplying a decimal by 30, which does not directly target 'multiplying decimals by 10, 100, 1000 and their multiples.' The factor 30 is not a power of 10 or a simple multiple of 10, 100, 1000, and is beyond the specified intended KC. Grade alignment: Primary 5 Singapore math syllabus expects students to multiply decimals by 10, 100, or 1000, not general two-digit numbers like 30, making this question above the grade expectation.</t>
  </si>
  <si>
    <t>Primary KC Alignment: The Primary Knowledge Component specifies dividing decimals (up to 3 decimal places) by 10, 100, 1000 and their multiples. In this word problem, the division required is 142.8 ÷ 60, and 60 is not a multiple of 10, 100, or 1000, but rather a two-digit number unrelated to powers of ten. This exceeds the intended complexity and does not align strictly with the stated Primary KC. Grade Alignment: Primary 5 Singapore Math syllabus expects dividing decimals by 10, 100, 1000 and their multiples, but does NOT include dividing decimals by a two-digit non-multiple of 10 as in this problem. The calculation required here is more advanced than the grade standard.</t>
  </si>
  <si>
    <t>Secondary KC: The intended secondary KC is converting from a smaller unit to a larger unit in decimal form (typically from meters to kilometers). However, the problem actually requires converting from kilometers to meters, which is converting from a larger unit to a smaller unit, and does not involve representing the answer in decimal kilometers. Synergy: The solution only requires straightforward multiplication (rate x time) and a single unit conversion in the 'wrong' direction; the primary and secondary KCs do not operate together as intended.</t>
  </si>
  <si>
    <t>3. The problem does not require converting a measurement from a larger unit in decimal form to a smaller unit (such as minutes to seconds or laps to meters). The only decimal operation is simple multiplication. 4. Only the primary knowledge component (rate calculation) is needed to solve the problem; secondary KC is not integrated with it (there is no step involving conversion to a smaller unit in context).</t>
  </si>
  <si>
    <t>A: The problem is not fully answerable because the dimensions of matrices $A$ and $B$ are not compatible for multiplication. $A$ is 3 x 3 (games x skill level), $B$ is 3 x 2 (skill level x round), but the skill level is represented by COLUMNS in A and by ROWS in B, so without additional information on how to align them, the multiplication is ambiguous. G: In real-world scoring or record-keeping, organizing such matrices with misaligned dimensions and ambiguous correspondence would not mirror actual procedures and would cause confusion. In addition, it is unclear how to sum across games-types and rounds from the provided information.</t>
  </si>
  <si>
    <t>A. The problem is not fully answerable because the scoring weight matrix S is of size 3x2, while the data for actual participants (after computing R-W) is 3x2. Matrix multiplication is not possible in the available format (3x2 times 3x2 is undefined). B. The intended primary KC is matrix multiplication, but the problem cannot be solved by direct multiplication as described, so it does not align. E. Synergy between subtraction and multiplication is not realized, because even after subtraction, matrix multiplication cannot be applied as matrices are dimensionally incompatible. G. Clarity: The relationship between the matrices and the scoring process is unclear and mathematically ambiguous given the matrix sizes. H. Conciseness/Relevance: The inclusion of the third game category and the incompatible size of S add unnecessary and confusing information.</t>
  </si>
  <si>
    <t>Primary KC Alignment: The problem requires 8 x 125, which is multiplying a 3-digit number by a 1-digit number (technically, 125 is 3 digits and 8 is 1 digit), so this matches the specification. However, for Primary 3 Singapore syllabus, multiplication of 3-digit by 1-digit is considered challenging and usually 2-digit by 1-digit is targeted, so this could slightly mismatch the KC for the intended grade. Grade Alignment: 8 teams x 125 players = 1000 players, large numbers are typically not used at Primary 3, and multiplying a 3-digit by 1-digit for numbers like 125 can be too complex for this level. Real World Feasibility: It's unrealistic for a primary school basketball team to have 125 players—actual team rosters are much smaller (usually around 10-12), making the scenario implausible for the context.</t>
  </si>
  <si>
    <t>Primary KC Alignment (0): The problem does not require multiplication as intended; dividing 2340 by 24 only needs division, not multiplication, and the rest is subtraction. Secondary KC Alignment (0): Subtraction is used, but it is not in tandem with multiplication as the division step is primary. Synergy (0): The knowledge components (multiplication and subtraction) are not used together; the main action is division and then a simple subtraction, so their use is not synergistic.</t>
  </si>
  <si>
    <t>Primary KC Alignment: The subtraction required is 25.847 - 0.18, which involves subtracting a 2-decimal number from a 3-decimal number, not strictly 'subtracting decimals (up to 2 decimal places)'. This exceeds the intended Primary KC. Grade Alignment: Handling three decimal places in both subtraction and comparison is not appropriate for Primary 4 according to the Singapore math syllabus, which expects up to 2 decimal places at this level.</t>
  </si>
  <si>
    <t>Primary KC Alignment: On Wednesday, the lap time is 2.406 seconds, which requires multiplying a decimal with 3 decimal places by a 1-digit whole number, while the intended knowledge component only covers up to 2 decimal places. Grade Alignment: At Primary 4, students are typically expected to multiply up to 2 decimal places by a 1-digit number. Multiplying a 3-decimal-place number (2.406) by 6 is beyond this grade's curriculum.</t>
  </si>
  <si>
    <t>G:  The statement that Sarah used '5/3 of her energy level' and Emma used '4/3 of her energy level' is not realistic, because in the real world, energy level is usually a maximum value (1 or 100%), and one cannot use more than 1 (or 100%) of one's energy level in a single practice session. The scenario implies exceeding possible energy, which is not plausible in reality.</t>
  </si>
  <si>
    <t>answerability: The information given is internally inconsistent and not realistic for lap times and the math logic used. For example, 'swam 100 times faster' but the lap time increases instead of decreases—faster swimming should have shorter lap times. primary_kc_alignment: The wording says 'swam 100 times faster' but multiplies lap time by 100, which is the opposite of faster; multiplying lap times by 100, 200, or 1000 would be much slower (not faster). The operation is not aligned with primary KC (it is an error of concept, not just computation). grade_alignment: The context and the numerical values (e.g., a lap time of 0.875 seconds and then 875 seconds) are not plausible for Primary 5, as this would cause confusion and are unrealistic in context and expectation. real_world_feasibility: No lap time is 0.875 seconds, and multiplying lap times to become 875 seconds (almost 15 minutes per lap) is unrealistic for a swimming event - this is not how lap timing or the concept of 'faster' is interpreted in real life curricula.</t>
  </si>
  <si>
    <t>Primary KC alignment: The problem requires multiplying numbers like 0.025 × 20, 0.018 × 30, and 0.022 × 40, which are standard decimal multiplications, NOT explicitly multiplying decimals by 10, 100, 1000 or their multiples. The conversion from kilometers to meters (multiplying by 1000) is implicit in the last step when asked for the answer in meters, but this is not the main focus nor is it necessary unless the student uses that approach. Thus, the main multiplication required is not as specified by the primary KC.</t>
  </si>
  <si>
    <t>7. Real-world feasibility: The times given for the swimmers (23.450s, 234.50s, 2345.0s) are not plausible for a 100m freestyle swimming race. 23.450s is a world-class competitive time, but 234.50s (3 minutes 54.50s) and 2345.0s (39 minutes 5s) are not realistic as official race results for a 100m event in a competition; especially not for swimmers who would be grouped together. Such huge variation does not occur in a real competition setting.</t>
  </si>
  <si>
    <t>Primary KC Alignment: The intended primary knowledge component is dividing decimals (up to 3 decimal places) by 10, 100, 1000, and their multiples. However, the division required here is by 5 (number of kilometers), NOT by 10/100/1000 or their multiples. Thus, the division involved does not specifically target the required KC.</t>
  </si>
  <si>
    <t>Secondary Knowledge Component (DECIMALS | Conversion to smaller units) is not required in the problem: the distance is already given in kilometers and there is no need to convert from kilometers to meters or other smaller units. Synergy is missing because only the primary knowledge component (rate calculation) is needed for the solution, and no integral use of conversion or additional steps is necessary.</t>
  </si>
  <si>
    <t>Secondary KC Alignment (0): The problem requires ratio manipulation involving fractions but does not require or prompt any addition of fractions—the key quantitative operation is setting up and solving a proportion, not adding fractions. Synergy (0): Only the primary Knowledge Component (ratios involving fractions) is needed to solve the problem; adding fractions is not required, as the ratio comparison involves multiplication/division with fractions rather than addition.</t>
  </si>
  <si>
    <t>answerability: Fractional (decimal) numbers of successful free throws and attempts are used, which is not possible since these counts must be whole numbers in real life (+). primary_kc_alignment: Although ratios with decimals are required, the problem context is illogical, undermining alignment with real-world decimal ratio applications and potentially confusing students about appropriate use of decimals in ratios within this context (+). real_world_feasibility: It is not possible to have non-integer numbers of successful free throws or attempts in actual basketball practice (+).</t>
  </si>
  <si>
    <t>real_world_feasibility: The use of negative powers of 2 ($2^{-2}$) for a real gaming score due to penalties is unrealistic, as real tournaments do not award scores as negative exponents in actual competitions. In a plausible tournament, penalties might subtract points or halve/diminish the score, but not represent the score as a negative exponent of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</si>
</sst>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v>
      </c>
      <c r="E2">
        <v>1</v>
      </c>
      <c r="F2">
        <v>1</v>
      </c>
      <c r="G2">
        <v>1</v>
      </c>
      <c r="H2">
        <v>1</v>
      </c>
      <c r="I2">
        <v>1</v>
      </c>
      <c r="J2">
        <v>1</v>
      </c>
      <c r="K2">
        <v>1</v>
      </c>
      <c r="L2">
        <v>1</v>
      </c>
      <c r="M2">
        <v>1</v>
      </c>
      <c r="N2">
        <v>1</v>
      </c>
      <c r="P2">
        <v>2.550397396087646</v>
      </c>
    </row>
    <row r="3" spans="1:16" x14ac:dyDescent="0.25">
      <c r="A3" t="s">
        <v>16</v>
      </c>
      <c r="B3" t="s">
        <v>18</v>
      </c>
      <c r="C3">
        <v>0</v>
      </c>
      <c r="D3">
        <v>1</v>
      </c>
      <c r="E3">
        <v>1</v>
      </c>
      <c r="F3">
        <v>1</v>
      </c>
      <c r="G3">
        <v>1</v>
      </c>
      <c r="H3">
        <v>1</v>
      </c>
      <c r="I3">
        <v>1</v>
      </c>
      <c r="J3">
        <v>1</v>
      </c>
      <c r="K3">
        <v>1</v>
      </c>
      <c r="L3">
        <v>1</v>
      </c>
      <c r="M3">
        <v>1</v>
      </c>
      <c r="N3">
        <v>1</v>
      </c>
      <c r="P3">
        <v>3.1546366214752202</v>
      </c>
    </row>
    <row r="4" spans="1:16" x14ac:dyDescent="0.25">
      <c r="A4" t="s">
        <v>16</v>
      </c>
      <c r="B4" t="s">
        <v>19</v>
      </c>
      <c r="C4">
        <v>0</v>
      </c>
      <c r="D4">
        <v>1</v>
      </c>
      <c r="E4">
        <v>1</v>
      </c>
      <c r="F4">
        <v>1</v>
      </c>
      <c r="G4">
        <v>1</v>
      </c>
      <c r="H4">
        <v>1</v>
      </c>
      <c r="I4">
        <v>1</v>
      </c>
      <c r="J4">
        <v>1</v>
      </c>
      <c r="K4">
        <v>1</v>
      </c>
      <c r="L4">
        <v>1</v>
      </c>
      <c r="M4">
        <v>1</v>
      </c>
      <c r="N4">
        <v>1</v>
      </c>
      <c r="P4">
        <v>1.7972626686096189</v>
      </c>
    </row>
    <row r="5" spans="1:16" x14ac:dyDescent="0.25">
      <c r="A5" t="s">
        <v>16</v>
      </c>
      <c r="B5" t="s">
        <v>20</v>
      </c>
      <c r="C5">
        <v>0</v>
      </c>
      <c r="D5">
        <v>1</v>
      </c>
      <c r="E5">
        <v>1</v>
      </c>
      <c r="F5">
        <v>1</v>
      </c>
      <c r="G5">
        <v>1</v>
      </c>
      <c r="H5">
        <v>1</v>
      </c>
      <c r="I5">
        <v>1</v>
      </c>
      <c r="J5">
        <v>1</v>
      </c>
      <c r="K5">
        <v>1</v>
      </c>
      <c r="L5">
        <v>1</v>
      </c>
      <c r="M5">
        <v>1</v>
      </c>
      <c r="N5">
        <v>1</v>
      </c>
      <c r="P5">
        <v>1.4540069103240969</v>
      </c>
    </row>
    <row r="6" spans="1:16" x14ac:dyDescent="0.25">
      <c r="A6" t="s">
        <v>16</v>
      </c>
      <c r="B6" t="s">
        <v>21</v>
      </c>
      <c r="C6">
        <v>0</v>
      </c>
      <c r="D6">
        <v>1</v>
      </c>
      <c r="E6">
        <v>1</v>
      </c>
      <c r="F6">
        <v>1</v>
      </c>
      <c r="G6">
        <v>1</v>
      </c>
      <c r="H6">
        <v>1</v>
      </c>
      <c r="I6">
        <v>1</v>
      </c>
      <c r="J6">
        <v>1</v>
      </c>
      <c r="K6">
        <v>1</v>
      </c>
      <c r="L6">
        <v>1</v>
      </c>
      <c r="M6">
        <v>1</v>
      </c>
      <c r="N6">
        <v>1</v>
      </c>
      <c r="P6">
        <v>1.9741778373718259</v>
      </c>
    </row>
    <row r="7" spans="1:16" x14ac:dyDescent="0.25">
      <c r="A7" t="s">
        <v>16</v>
      </c>
      <c r="B7" t="s">
        <v>22</v>
      </c>
      <c r="C7">
        <v>0</v>
      </c>
      <c r="D7">
        <v>1</v>
      </c>
      <c r="E7">
        <v>1</v>
      </c>
      <c r="F7">
        <v>1</v>
      </c>
      <c r="G7">
        <v>1</v>
      </c>
      <c r="H7">
        <v>1</v>
      </c>
      <c r="I7">
        <v>1</v>
      </c>
      <c r="J7">
        <v>1</v>
      </c>
      <c r="K7">
        <v>1</v>
      </c>
      <c r="L7">
        <v>1</v>
      </c>
      <c r="M7">
        <v>1</v>
      </c>
      <c r="N7">
        <v>1</v>
      </c>
      <c r="P7">
        <v>1.63292407989502</v>
      </c>
    </row>
    <row r="8" spans="1:16" x14ac:dyDescent="0.25">
      <c r="A8" t="s">
        <v>16</v>
      </c>
      <c r="B8" t="s">
        <v>23</v>
      </c>
      <c r="C8">
        <v>0</v>
      </c>
      <c r="D8">
        <v>1</v>
      </c>
      <c r="E8">
        <v>1</v>
      </c>
      <c r="F8">
        <v>1</v>
      </c>
      <c r="G8">
        <v>1</v>
      </c>
      <c r="H8">
        <v>1</v>
      </c>
      <c r="I8">
        <v>1</v>
      </c>
      <c r="J8">
        <v>1</v>
      </c>
      <c r="K8">
        <v>1</v>
      </c>
      <c r="L8">
        <v>1</v>
      </c>
      <c r="M8">
        <v>1</v>
      </c>
      <c r="N8">
        <v>1</v>
      </c>
      <c r="P8">
        <v>2.5840563774108891</v>
      </c>
    </row>
    <row r="9" spans="1:16" x14ac:dyDescent="0.25">
      <c r="A9" t="s">
        <v>16</v>
      </c>
      <c r="B9" t="s">
        <v>24</v>
      </c>
      <c r="C9">
        <v>0</v>
      </c>
      <c r="D9">
        <v>1</v>
      </c>
      <c r="E9">
        <v>1</v>
      </c>
      <c r="F9">
        <v>1</v>
      </c>
      <c r="G9">
        <v>1</v>
      </c>
      <c r="H9">
        <v>1</v>
      </c>
      <c r="I9">
        <v>1</v>
      </c>
      <c r="J9">
        <v>1</v>
      </c>
      <c r="K9">
        <v>1</v>
      </c>
      <c r="L9">
        <v>1</v>
      </c>
      <c r="M9">
        <v>1</v>
      </c>
      <c r="N9">
        <v>1</v>
      </c>
      <c r="P9">
        <v>2.0795242786407471</v>
      </c>
    </row>
    <row r="10" spans="1:16" x14ac:dyDescent="0.25">
      <c r="A10" t="s">
        <v>16</v>
      </c>
      <c r="B10" t="s">
        <v>25</v>
      </c>
      <c r="C10">
        <v>0</v>
      </c>
      <c r="D10">
        <v>1</v>
      </c>
      <c r="E10">
        <v>1</v>
      </c>
      <c r="F10">
        <v>1</v>
      </c>
      <c r="G10">
        <v>1</v>
      </c>
      <c r="H10">
        <v>1</v>
      </c>
      <c r="I10">
        <v>1</v>
      </c>
      <c r="J10">
        <v>1</v>
      </c>
      <c r="K10">
        <v>1</v>
      </c>
      <c r="L10">
        <v>1</v>
      </c>
      <c r="M10">
        <v>1</v>
      </c>
      <c r="N10">
        <v>1</v>
      </c>
      <c r="P10">
        <v>1.51945972442627</v>
      </c>
    </row>
    <row r="11" spans="1:16" x14ac:dyDescent="0.25">
      <c r="A11" t="s">
        <v>16</v>
      </c>
      <c r="B11" t="s">
        <v>26</v>
      </c>
      <c r="C11">
        <v>0</v>
      </c>
      <c r="D11">
        <v>1</v>
      </c>
      <c r="E11">
        <v>1</v>
      </c>
      <c r="F11">
        <v>1</v>
      </c>
      <c r="G11">
        <v>1</v>
      </c>
      <c r="H11">
        <v>1</v>
      </c>
      <c r="I11">
        <v>1</v>
      </c>
      <c r="J11">
        <v>1</v>
      </c>
      <c r="K11">
        <v>1</v>
      </c>
      <c r="L11">
        <v>1</v>
      </c>
      <c r="M11">
        <v>1</v>
      </c>
      <c r="N11">
        <v>1</v>
      </c>
      <c r="P11">
        <v>1.6094486713409419</v>
      </c>
    </row>
    <row r="12" spans="1:16" x14ac:dyDescent="0.25">
      <c r="A12" t="s">
        <v>16</v>
      </c>
      <c r="B12" t="s">
        <v>27</v>
      </c>
      <c r="C12">
        <v>0</v>
      </c>
      <c r="D12">
        <v>0</v>
      </c>
      <c r="E12" t="s">
        <v>28</v>
      </c>
      <c r="F12" t="s">
        <v>28</v>
      </c>
      <c r="G12" t="s">
        <v>28</v>
      </c>
      <c r="H12" t="s">
        <v>28</v>
      </c>
      <c r="I12" t="s">
        <v>28</v>
      </c>
      <c r="J12" t="s">
        <v>28</v>
      </c>
      <c r="K12" t="s">
        <v>28</v>
      </c>
      <c r="L12" t="s">
        <v>28</v>
      </c>
      <c r="M12" t="s">
        <v>28</v>
      </c>
      <c r="N12" t="s">
        <v>28</v>
      </c>
      <c r="O12" t="s">
        <v>29</v>
      </c>
      <c r="P12">
        <v>4.5571243762969971</v>
      </c>
    </row>
    <row r="13" spans="1:16" x14ac:dyDescent="0.25">
      <c r="A13" t="s">
        <v>16</v>
      </c>
      <c r="B13" t="s">
        <v>30</v>
      </c>
      <c r="C13">
        <v>0</v>
      </c>
      <c r="D13">
        <v>1</v>
      </c>
      <c r="E13">
        <v>1</v>
      </c>
      <c r="F13">
        <v>1</v>
      </c>
      <c r="G13">
        <v>1</v>
      </c>
      <c r="H13">
        <v>1</v>
      </c>
      <c r="I13">
        <v>1</v>
      </c>
      <c r="J13">
        <v>1</v>
      </c>
      <c r="K13">
        <v>1</v>
      </c>
      <c r="L13">
        <v>1</v>
      </c>
      <c r="M13">
        <v>1</v>
      </c>
      <c r="N13">
        <v>1</v>
      </c>
      <c r="P13">
        <v>2.31968092918396</v>
      </c>
    </row>
    <row r="14" spans="1:16" x14ac:dyDescent="0.25">
      <c r="A14" t="s">
        <v>16</v>
      </c>
      <c r="B14" t="s">
        <v>31</v>
      </c>
      <c r="C14">
        <v>0</v>
      </c>
      <c r="D14">
        <v>1</v>
      </c>
      <c r="E14">
        <v>0</v>
      </c>
      <c r="F14">
        <v>1</v>
      </c>
      <c r="G14">
        <v>1</v>
      </c>
      <c r="H14" t="s">
        <v>28</v>
      </c>
      <c r="I14">
        <v>1</v>
      </c>
      <c r="J14" t="s">
        <v>28</v>
      </c>
      <c r="K14">
        <v>1</v>
      </c>
      <c r="L14">
        <v>1</v>
      </c>
      <c r="M14">
        <v>1</v>
      </c>
      <c r="N14">
        <v>1</v>
      </c>
      <c r="O14" t="s">
        <v>32</v>
      </c>
      <c r="P14">
        <v>4.2103805541992188</v>
      </c>
    </row>
    <row r="15" spans="1:16" x14ac:dyDescent="0.25">
      <c r="A15" t="s">
        <v>16</v>
      </c>
      <c r="B15" t="s">
        <v>33</v>
      </c>
      <c r="C15">
        <v>0</v>
      </c>
      <c r="D15">
        <v>1</v>
      </c>
      <c r="E15">
        <v>1</v>
      </c>
      <c r="F15">
        <v>1</v>
      </c>
      <c r="G15">
        <v>1</v>
      </c>
      <c r="H15">
        <v>1</v>
      </c>
      <c r="I15">
        <v>1</v>
      </c>
      <c r="J15">
        <v>1</v>
      </c>
      <c r="K15">
        <v>1</v>
      </c>
      <c r="L15">
        <v>1</v>
      </c>
      <c r="M15">
        <v>1</v>
      </c>
      <c r="N15">
        <v>1</v>
      </c>
      <c r="P15">
        <v>1.6392197608947749</v>
      </c>
    </row>
    <row r="16" spans="1:16" x14ac:dyDescent="0.25">
      <c r="A16" t="s">
        <v>16</v>
      </c>
      <c r="B16" t="s">
        <v>34</v>
      </c>
      <c r="C16">
        <v>0</v>
      </c>
      <c r="D16">
        <v>1</v>
      </c>
      <c r="E16">
        <v>0</v>
      </c>
      <c r="F16">
        <v>1</v>
      </c>
      <c r="G16">
        <v>1</v>
      </c>
      <c r="H16" t="s">
        <v>28</v>
      </c>
      <c r="I16">
        <v>1</v>
      </c>
      <c r="J16" t="s">
        <v>28</v>
      </c>
      <c r="K16">
        <v>1</v>
      </c>
      <c r="L16">
        <v>1</v>
      </c>
      <c r="M16">
        <v>1</v>
      </c>
      <c r="N16">
        <v>1</v>
      </c>
      <c r="O16" t="s">
        <v>35</v>
      </c>
      <c r="P16">
        <v>2.7977814674377441</v>
      </c>
    </row>
    <row r="17" spans="1:16" x14ac:dyDescent="0.25">
      <c r="A17" t="s">
        <v>16</v>
      </c>
      <c r="B17" t="s">
        <v>36</v>
      </c>
      <c r="C17">
        <v>0</v>
      </c>
      <c r="D17">
        <v>1</v>
      </c>
      <c r="E17">
        <v>1</v>
      </c>
      <c r="F17">
        <v>1</v>
      </c>
      <c r="G17">
        <v>1</v>
      </c>
      <c r="H17">
        <v>1</v>
      </c>
      <c r="I17">
        <v>1</v>
      </c>
      <c r="J17">
        <v>1</v>
      </c>
      <c r="K17">
        <v>1</v>
      </c>
      <c r="L17">
        <v>1</v>
      </c>
      <c r="M17">
        <v>1</v>
      </c>
      <c r="N17">
        <v>1</v>
      </c>
      <c r="P17">
        <v>1.4573700428009031</v>
      </c>
    </row>
    <row r="18" spans="1:16" x14ac:dyDescent="0.25">
      <c r="A18" t="s">
        <v>16</v>
      </c>
      <c r="B18" t="s">
        <v>37</v>
      </c>
      <c r="C18">
        <v>0</v>
      </c>
      <c r="D18">
        <v>1</v>
      </c>
      <c r="E18">
        <v>1</v>
      </c>
      <c r="F18">
        <v>1</v>
      </c>
      <c r="G18">
        <v>1</v>
      </c>
      <c r="H18">
        <v>1</v>
      </c>
      <c r="I18">
        <v>1</v>
      </c>
      <c r="J18">
        <v>1</v>
      </c>
      <c r="K18">
        <v>1</v>
      </c>
      <c r="L18">
        <v>1</v>
      </c>
      <c r="M18">
        <v>1</v>
      </c>
      <c r="N18">
        <v>1</v>
      </c>
      <c r="P18">
        <v>1.716033935546875</v>
      </c>
    </row>
    <row r="19" spans="1:16" x14ac:dyDescent="0.25">
      <c r="A19" t="s">
        <v>16</v>
      </c>
      <c r="B19" t="s">
        <v>38</v>
      </c>
      <c r="C19">
        <v>0</v>
      </c>
      <c r="D19">
        <v>1</v>
      </c>
      <c r="E19">
        <v>1</v>
      </c>
      <c r="F19">
        <v>1</v>
      </c>
      <c r="G19">
        <v>1</v>
      </c>
      <c r="H19">
        <v>1</v>
      </c>
      <c r="I19">
        <v>1</v>
      </c>
      <c r="J19">
        <v>1</v>
      </c>
      <c r="K19">
        <v>1</v>
      </c>
      <c r="L19">
        <v>1</v>
      </c>
      <c r="M19">
        <v>1</v>
      </c>
      <c r="N19">
        <v>1</v>
      </c>
      <c r="P19">
        <v>2.1273512840271001</v>
      </c>
    </row>
    <row r="20" spans="1:16" x14ac:dyDescent="0.25">
      <c r="A20" t="s">
        <v>16</v>
      </c>
      <c r="B20" t="s">
        <v>39</v>
      </c>
      <c r="C20">
        <v>0</v>
      </c>
      <c r="D20">
        <v>1</v>
      </c>
      <c r="E20">
        <v>1</v>
      </c>
      <c r="F20">
        <v>1</v>
      </c>
      <c r="G20">
        <v>1</v>
      </c>
      <c r="H20">
        <v>1</v>
      </c>
      <c r="I20">
        <v>1</v>
      </c>
      <c r="J20">
        <v>1</v>
      </c>
      <c r="K20">
        <v>1</v>
      </c>
      <c r="L20">
        <v>1</v>
      </c>
      <c r="M20">
        <v>1</v>
      </c>
      <c r="N20">
        <v>1</v>
      </c>
      <c r="P20">
        <v>3.69215989112854</v>
      </c>
    </row>
    <row r="21" spans="1:16" x14ac:dyDescent="0.25">
      <c r="A21" t="s">
        <v>16</v>
      </c>
      <c r="B21" t="s">
        <v>40</v>
      </c>
      <c r="C21">
        <v>0</v>
      </c>
      <c r="D21">
        <v>1</v>
      </c>
      <c r="E21">
        <v>1</v>
      </c>
      <c r="F21">
        <v>1</v>
      </c>
      <c r="G21">
        <v>1</v>
      </c>
      <c r="H21">
        <v>1</v>
      </c>
      <c r="I21">
        <v>1</v>
      </c>
      <c r="J21">
        <v>1</v>
      </c>
      <c r="K21">
        <v>1</v>
      </c>
      <c r="L21">
        <v>1</v>
      </c>
      <c r="M21">
        <v>1</v>
      </c>
      <c r="N21">
        <v>1</v>
      </c>
      <c r="P21">
        <v>1.6968924999237061</v>
      </c>
    </row>
    <row r="22" spans="1:16" x14ac:dyDescent="0.25">
      <c r="A22" t="s">
        <v>16</v>
      </c>
      <c r="B22" t="s">
        <v>41</v>
      </c>
      <c r="C22">
        <v>0</v>
      </c>
      <c r="D22">
        <v>1</v>
      </c>
      <c r="E22">
        <v>1</v>
      </c>
      <c r="F22">
        <v>1</v>
      </c>
      <c r="G22">
        <v>1</v>
      </c>
      <c r="H22">
        <v>1</v>
      </c>
      <c r="I22">
        <v>1</v>
      </c>
      <c r="J22">
        <v>1</v>
      </c>
      <c r="K22">
        <v>1</v>
      </c>
      <c r="L22">
        <v>1</v>
      </c>
      <c r="M22">
        <v>1</v>
      </c>
      <c r="N22">
        <v>1</v>
      </c>
      <c r="P22">
        <v>5.8419234752655029</v>
      </c>
    </row>
    <row r="23" spans="1:16" x14ac:dyDescent="0.25">
      <c r="A23" t="s">
        <v>16</v>
      </c>
      <c r="B23" t="s">
        <v>42</v>
      </c>
      <c r="C23">
        <v>0</v>
      </c>
      <c r="D23">
        <v>1</v>
      </c>
      <c r="E23">
        <v>0</v>
      </c>
      <c r="F23">
        <v>0</v>
      </c>
      <c r="G23">
        <v>1</v>
      </c>
      <c r="H23" t="s">
        <v>28</v>
      </c>
      <c r="I23">
        <v>1</v>
      </c>
      <c r="J23" t="s">
        <v>28</v>
      </c>
      <c r="K23">
        <v>1</v>
      </c>
      <c r="L23">
        <v>1</v>
      </c>
      <c r="M23">
        <v>1</v>
      </c>
      <c r="N23">
        <v>1</v>
      </c>
      <c r="O23" t="s">
        <v>43</v>
      </c>
      <c r="P23">
        <v>2.7980465888977051</v>
      </c>
    </row>
    <row r="24" spans="1:16" x14ac:dyDescent="0.25">
      <c r="A24" t="s">
        <v>16</v>
      </c>
      <c r="B24" t="s">
        <v>44</v>
      </c>
      <c r="C24">
        <v>0</v>
      </c>
      <c r="D24">
        <v>1</v>
      </c>
      <c r="E24">
        <v>1</v>
      </c>
      <c r="F24">
        <v>1</v>
      </c>
      <c r="G24">
        <v>1</v>
      </c>
      <c r="H24">
        <v>1</v>
      </c>
      <c r="I24">
        <v>1</v>
      </c>
      <c r="J24">
        <v>1</v>
      </c>
      <c r="K24">
        <v>1</v>
      </c>
      <c r="L24">
        <v>1</v>
      </c>
      <c r="M24">
        <v>1</v>
      </c>
      <c r="N24">
        <v>1</v>
      </c>
      <c r="P24">
        <v>3.9016320705413818</v>
      </c>
    </row>
    <row r="25" spans="1:16" x14ac:dyDescent="0.25">
      <c r="A25" t="s">
        <v>16</v>
      </c>
      <c r="B25" t="s">
        <v>45</v>
      </c>
      <c r="C25">
        <v>0</v>
      </c>
      <c r="D25">
        <v>1</v>
      </c>
      <c r="E25">
        <v>1</v>
      </c>
      <c r="F25">
        <v>1</v>
      </c>
      <c r="G25">
        <v>1</v>
      </c>
      <c r="H25">
        <v>1</v>
      </c>
      <c r="I25">
        <v>1</v>
      </c>
      <c r="J25">
        <v>1</v>
      </c>
      <c r="K25">
        <v>1</v>
      </c>
      <c r="L25">
        <v>1</v>
      </c>
      <c r="M25">
        <v>1</v>
      </c>
      <c r="N25">
        <v>1</v>
      </c>
      <c r="P25">
        <v>2.4462122917175289</v>
      </c>
    </row>
    <row r="26" spans="1:16" x14ac:dyDescent="0.25">
      <c r="A26" t="s">
        <v>16</v>
      </c>
      <c r="B26" t="s">
        <v>46</v>
      </c>
      <c r="C26">
        <v>0</v>
      </c>
      <c r="D26">
        <v>1</v>
      </c>
      <c r="E26">
        <v>1</v>
      </c>
      <c r="F26">
        <v>1</v>
      </c>
      <c r="G26">
        <v>1</v>
      </c>
      <c r="H26">
        <v>1</v>
      </c>
      <c r="I26">
        <v>1</v>
      </c>
      <c r="J26">
        <v>1</v>
      </c>
      <c r="K26">
        <v>1</v>
      </c>
      <c r="L26">
        <v>1</v>
      </c>
      <c r="M26">
        <v>1</v>
      </c>
      <c r="N26">
        <v>1</v>
      </c>
      <c r="P26">
        <v>1.327451705932617</v>
      </c>
    </row>
    <row r="27" spans="1:16" x14ac:dyDescent="0.25">
      <c r="A27" t="s">
        <v>16</v>
      </c>
      <c r="B27" t="s">
        <v>47</v>
      </c>
      <c r="C27">
        <v>0</v>
      </c>
      <c r="D27">
        <v>1</v>
      </c>
      <c r="E27">
        <v>0</v>
      </c>
      <c r="F27">
        <v>1</v>
      </c>
      <c r="G27">
        <v>1</v>
      </c>
      <c r="H27" t="s">
        <v>28</v>
      </c>
      <c r="I27">
        <v>1</v>
      </c>
      <c r="J27" t="s">
        <v>28</v>
      </c>
      <c r="K27">
        <v>1</v>
      </c>
      <c r="L27">
        <v>1</v>
      </c>
      <c r="M27">
        <v>1</v>
      </c>
      <c r="N27">
        <v>1</v>
      </c>
      <c r="O27" t="s">
        <v>48</v>
      </c>
      <c r="P27">
        <v>2.5986394882202148</v>
      </c>
    </row>
    <row r="28" spans="1:16" x14ac:dyDescent="0.25">
      <c r="A28" t="s">
        <v>16</v>
      </c>
      <c r="B28" t="s">
        <v>49</v>
      </c>
      <c r="C28">
        <v>0</v>
      </c>
      <c r="D28">
        <v>1</v>
      </c>
      <c r="E28">
        <v>0</v>
      </c>
      <c r="F28">
        <v>1</v>
      </c>
      <c r="G28">
        <v>1</v>
      </c>
      <c r="H28" t="s">
        <v>28</v>
      </c>
      <c r="I28">
        <v>1</v>
      </c>
      <c r="J28" t="s">
        <v>28</v>
      </c>
      <c r="K28">
        <v>1</v>
      </c>
      <c r="L28">
        <v>1</v>
      </c>
      <c r="M28">
        <v>1</v>
      </c>
      <c r="N28">
        <v>1</v>
      </c>
      <c r="O28" t="s">
        <v>50</v>
      </c>
      <c r="P28">
        <v>6.8668346405029297</v>
      </c>
    </row>
    <row r="29" spans="1:16" x14ac:dyDescent="0.25">
      <c r="A29" t="s">
        <v>16</v>
      </c>
      <c r="B29" t="s">
        <v>51</v>
      </c>
      <c r="C29">
        <v>0</v>
      </c>
      <c r="D29">
        <v>1</v>
      </c>
      <c r="E29">
        <v>0</v>
      </c>
      <c r="F29">
        <v>1</v>
      </c>
      <c r="G29">
        <v>1</v>
      </c>
      <c r="H29" t="s">
        <v>28</v>
      </c>
      <c r="I29">
        <v>1</v>
      </c>
      <c r="J29" t="s">
        <v>28</v>
      </c>
      <c r="K29">
        <v>1</v>
      </c>
      <c r="L29">
        <v>1</v>
      </c>
      <c r="M29">
        <v>1</v>
      </c>
      <c r="N29">
        <v>1</v>
      </c>
      <c r="O29" t="s">
        <v>52</v>
      </c>
      <c r="P29">
        <v>3.6790785789489751</v>
      </c>
    </row>
    <row r="30" spans="1:16" x14ac:dyDescent="0.25">
      <c r="A30" t="s">
        <v>16</v>
      </c>
      <c r="B30" t="s">
        <v>53</v>
      </c>
      <c r="C30">
        <v>0</v>
      </c>
      <c r="D30">
        <v>1</v>
      </c>
      <c r="E30">
        <v>1</v>
      </c>
      <c r="F30">
        <v>1</v>
      </c>
      <c r="G30">
        <v>1</v>
      </c>
      <c r="H30">
        <v>1</v>
      </c>
      <c r="I30">
        <v>1</v>
      </c>
      <c r="J30">
        <v>1</v>
      </c>
      <c r="K30">
        <v>1</v>
      </c>
      <c r="L30">
        <v>1</v>
      </c>
      <c r="M30">
        <v>1</v>
      </c>
      <c r="N30">
        <v>1</v>
      </c>
      <c r="P30">
        <v>2.2284526824951172</v>
      </c>
    </row>
    <row r="31" spans="1:16" x14ac:dyDescent="0.25">
      <c r="A31" t="s">
        <v>16</v>
      </c>
      <c r="B31" t="s">
        <v>54</v>
      </c>
      <c r="C31">
        <v>0</v>
      </c>
      <c r="D31">
        <v>1</v>
      </c>
      <c r="E31">
        <v>0</v>
      </c>
      <c r="F31">
        <v>1</v>
      </c>
      <c r="G31">
        <v>1</v>
      </c>
      <c r="H31" t="s">
        <v>28</v>
      </c>
      <c r="I31">
        <v>1</v>
      </c>
      <c r="J31" t="s">
        <v>28</v>
      </c>
      <c r="K31">
        <v>1</v>
      </c>
      <c r="L31">
        <v>1</v>
      </c>
      <c r="M31">
        <v>1</v>
      </c>
      <c r="N31">
        <v>1</v>
      </c>
      <c r="O31" t="s">
        <v>55</v>
      </c>
      <c r="P31">
        <v>3.0781369209289551</v>
      </c>
    </row>
    <row r="32" spans="1:16" x14ac:dyDescent="0.25">
      <c r="A32" t="s">
        <v>16</v>
      </c>
      <c r="B32" t="s">
        <v>56</v>
      </c>
      <c r="C32">
        <v>0</v>
      </c>
      <c r="D32">
        <v>1</v>
      </c>
      <c r="E32">
        <v>0</v>
      </c>
      <c r="F32">
        <v>1</v>
      </c>
      <c r="G32">
        <v>1</v>
      </c>
      <c r="H32" t="s">
        <v>28</v>
      </c>
      <c r="I32">
        <v>1</v>
      </c>
      <c r="J32" t="s">
        <v>28</v>
      </c>
      <c r="K32">
        <v>1</v>
      </c>
      <c r="L32">
        <v>1</v>
      </c>
      <c r="M32">
        <v>1</v>
      </c>
      <c r="N32">
        <v>1</v>
      </c>
      <c r="O32" t="s">
        <v>57</v>
      </c>
      <c r="P32">
        <v>3.1236057281494141</v>
      </c>
    </row>
    <row r="33" spans="1:16" x14ac:dyDescent="0.25">
      <c r="A33" t="s">
        <v>16</v>
      </c>
      <c r="B33" t="s">
        <v>58</v>
      </c>
      <c r="C33">
        <v>0</v>
      </c>
      <c r="D33">
        <v>1</v>
      </c>
      <c r="E33">
        <v>0</v>
      </c>
      <c r="F33">
        <v>1</v>
      </c>
      <c r="G33">
        <v>1</v>
      </c>
      <c r="H33" t="s">
        <v>28</v>
      </c>
      <c r="I33">
        <v>1</v>
      </c>
      <c r="J33" t="s">
        <v>28</v>
      </c>
      <c r="K33">
        <v>1</v>
      </c>
      <c r="L33">
        <v>1</v>
      </c>
      <c r="M33">
        <v>1</v>
      </c>
      <c r="N33">
        <v>1</v>
      </c>
      <c r="O33" t="s">
        <v>59</v>
      </c>
      <c r="P33">
        <v>5.3788976669311523</v>
      </c>
    </row>
    <row r="34" spans="1:16" x14ac:dyDescent="0.25">
      <c r="A34" t="s">
        <v>16</v>
      </c>
      <c r="B34" t="s">
        <v>60</v>
      </c>
      <c r="C34">
        <v>0</v>
      </c>
      <c r="D34">
        <v>0</v>
      </c>
      <c r="E34" t="s">
        <v>28</v>
      </c>
      <c r="F34" t="s">
        <v>28</v>
      </c>
      <c r="G34" t="s">
        <v>28</v>
      </c>
      <c r="H34" t="s">
        <v>28</v>
      </c>
      <c r="I34" t="s">
        <v>28</v>
      </c>
      <c r="J34" t="s">
        <v>28</v>
      </c>
      <c r="K34" t="s">
        <v>28</v>
      </c>
      <c r="L34" t="s">
        <v>28</v>
      </c>
      <c r="M34" t="s">
        <v>28</v>
      </c>
      <c r="N34" t="s">
        <v>28</v>
      </c>
      <c r="O34" t="s">
        <v>61</v>
      </c>
      <c r="P34">
        <v>3.97925877571106</v>
      </c>
    </row>
    <row r="35" spans="1:16" x14ac:dyDescent="0.25">
      <c r="A35" t="s">
        <v>16</v>
      </c>
      <c r="B35" t="s">
        <v>62</v>
      </c>
      <c r="C35">
        <v>0</v>
      </c>
      <c r="D35">
        <v>1</v>
      </c>
      <c r="E35">
        <v>1</v>
      </c>
      <c r="F35">
        <v>1</v>
      </c>
      <c r="G35">
        <v>1</v>
      </c>
      <c r="H35">
        <v>1</v>
      </c>
      <c r="I35">
        <v>1</v>
      </c>
      <c r="J35">
        <v>1</v>
      </c>
      <c r="K35">
        <v>1</v>
      </c>
      <c r="L35">
        <v>1</v>
      </c>
      <c r="M35">
        <v>1</v>
      </c>
      <c r="N35">
        <v>1</v>
      </c>
      <c r="P35">
        <v>1.7313365936279299</v>
      </c>
    </row>
    <row r="36" spans="1:16" x14ac:dyDescent="0.25">
      <c r="A36" t="s">
        <v>16</v>
      </c>
      <c r="B36" t="s">
        <v>63</v>
      </c>
      <c r="C36">
        <v>0</v>
      </c>
      <c r="D36">
        <v>1</v>
      </c>
      <c r="E36">
        <v>1</v>
      </c>
      <c r="F36">
        <v>1</v>
      </c>
      <c r="G36">
        <v>1</v>
      </c>
      <c r="H36">
        <v>1</v>
      </c>
      <c r="I36">
        <v>1</v>
      </c>
      <c r="J36">
        <v>1</v>
      </c>
      <c r="K36">
        <v>1</v>
      </c>
      <c r="L36">
        <v>1</v>
      </c>
      <c r="M36">
        <v>1</v>
      </c>
      <c r="N36">
        <v>1</v>
      </c>
      <c r="P36">
        <v>1.4554979801177981</v>
      </c>
    </row>
    <row r="37" spans="1:16" x14ac:dyDescent="0.25">
      <c r="A37" t="s">
        <v>16</v>
      </c>
      <c r="B37" t="s">
        <v>64</v>
      </c>
      <c r="C37">
        <v>0</v>
      </c>
      <c r="D37">
        <v>1</v>
      </c>
      <c r="E37">
        <v>1</v>
      </c>
      <c r="F37">
        <v>1</v>
      </c>
      <c r="G37">
        <v>1</v>
      </c>
      <c r="H37">
        <v>1</v>
      </c>
      <c r="I37">
        <v>1</v>
      </c>
      <c r="J37">
        <v>1</v>
      </c>
      <c r="K37">
        <v>1</v>
      </c>
      <c r="L37">
        <v>1</v>
      </c>
      <c r="M37">
        <v>1</v>
      </c>
      <c r="N37">
        <v>1</v>
      </c>
      <c r="P37">
        <v>1.902559280395508</v>
      </c>
    </row>
    <row r="38" spans="1:16" x14ac:dyDescent="0.25">
      <c r="A38" t="s">
        <v>16</v>
      </c>
      <c r="B38" t="s">
        <v>65</v>
      </c>
      <c r="C38">
        <v>0</v>
      </c>
      <c r="D38">
        <v>1</v>
      </c>
      <c r="E38">
        <v>1</v>
      </c>
      <c r="F38">
        <v>1</v>
      </c>
      <c r="G38">
        <v>1</v>
      </c>
      <c r="H38">
        <v>1</v>
      </c>
      <c r="I38">
        <v>1</v>
      </c>
      <c r="J38">
        <v>1</v>
      </c>
      <c r="K38">
        <v>1</v>
      </c>
      <c r="L38">
        <v>1</v>
      </c>
      <c r="M38">
        <v>1</v>
      </c>
      <c r="N38">
        <v>1</v>
      </c>
      <c r="P38">
        <v>1.565554141998291</v>
      </c>
    </row>
    <row r="39" spans="1:16" x14ac:dyDescent="0.25">
      <c r="A39" t="s">
        <v>16</v>
      </c>
      <c r="B39" t="s">
        <v>66</v>
      </c>
      <c r="C39">
        <v>0</v>
      </c>
      <c r="D39">
        <v>1</v>
      </c>
      <c r="E39">
        <v>1</v>
      </c>
      <c r="F39">
        <v>1</v>
      </c>
      <c r="G39">
        <v>1</v>
      </c>
      <c r="H39">
        <v>1</v>
      </c>
      <c r="I39">
        <v>1</v>
      </c>
      <c r="J39">
        <v>1</v>
      </c>
      <c r="K39">
        <v>1</v>
      </c>
      <c r="L39">
        <v>1</v>
      </c>
      <c r="M39">
        <v>1</v>
      </c>
      <c r="N39">
        <v>1</v>
      </c>
      <c r="P39">
        <v>2.1852982044219971</v>
      </c>
    </row>
    <row r="40" spans="1:16" x14ac:dyDescent="0.25">
      <c r="A40" t="s">
        <v>16</v>
      </c>
      <c r="B40" t="s">
        <v>67</v>
      </c>
      <c r="C40">
        <v>0</v>
      </c>
      <c r="D40">
        <v>1</v>
      </c>
      <c r="E40">
        <v>1</v>
      </c>
      <c r="F40">
        <v>1</v>
      </c>
      <c r="G40">
        <v>1</v>
      </c>
      <c r="H40">
        <v>1</v>
      </c>
      <c r="I40">
        <v>0</v>
      </c>
      <c r="J40">
        <v>1</v>
      </c>
      <c r="K40">
        <v>1</v>
      </c>
      <c r="L40">
        <v>1</v>
      </c>
      <c r="M40">
        <v>1</v>
      </c>
      <c r="N40">
        <v>1</v>
      </c>
      <c r="O40" t="s">
        <v>68</v>
      </c>
      <c r="P40">
        <v>2.936691522598267</v>
      </c>
    </row>
    <row r="41" spans="1:16" x14ac:dyDescent="0.25">
      <c r="A41" t="s">
        <v>16</v>
      </c>
      <c r="B41" t="s">
        <v>69</v>
      </c>
      <c r="C41">
        <v>0</v>
      </c>
      <c r="D41">
        <v>1</v>
      </c>
      <c r="E41">
        <v>1</v>
      </c>
      <c r="F41">
        <v>1</v>
      </c>
      <c r="G41">
        <v>1</v>
      </c>
      <c r="H41">
        <v>1</v>
      </c>
      <c r="I41">
        <v>1</v>
      </c>
      <c r="J41">
        <v>1</v>
      </c>
      <c r="K41">
        <v>1</v>
      </c>
      <c r="L41">
        <v>1</v>
      </c>
      <c r="M41">
        <v>1</v>
      </c>
      <c r="N41">
        <v>1</v>
      </c>
      <c r="P41">
        <v>1.5589439868927</v>
      </c>
    </row>
    <row r="42" spans="1:16" x14ac:dyDescent="0.25">
      <c r="A42" t="s">
        <v>16</v>
      </c>
      <c r="B42" t="s">
        <v>70</v>
      </c>
      <c r="C42">
        <v>0</v>
      </c>
      <c r="D42">
        <v>1</v>
      </c>
      <c r="E42">
        <v>1</v>
      </c>
      <c r="F42">
        <v>1</v>
      </c>
      <c r="G42">
        <v>1</v>
      </c>
      <c r="H42">
        <v>1</v>
      </c>
      <c r="I42">
        <v>1</v>
      </c>
      <c r="J42">
        <v>1</v>
      </c>
      <c r="K42">
        <v>1</v>
      </c>
      <c r="L42">
        <v>1</v>
      </c>
      <c r="M42">
        <v>1</v>
      </c>
      <c r="N42">
        <v>1</v>
      </c>
      <c r="P42">
        <v>2.2421998977661128</v>
      </c>
    </row>
    <row r="43" spans="1:16" x14ac:dyDescent="0.25">
      <c r="A43" t="s">
        <v>16</v>
      </c>
      <c r="B43" t="s">
        <v>71</v>
      </c>
      <c r="C43">
        <v>0</v>
      </c>
      <c r="D43">
        <v>1</v>
      </c>
      <c r="E43">
        <v>1</v>
      </c>
      <c r="F43">
        <v>1</v>
      </c>
      <c r="G43">
        <v>1</v>
      </c>
      <c r="H43">
        <v>1</v>
      </c>
      <c r="I43">
        <v>1</v>
      </c>
      <c r="J43">
        <v>1</v>
      </c>
      <c r="K43">
        <v>1</v>
      </c>
      <c r="L43">
        <v>1</v>
      </c>
      <c r="M43">
        <v>1</v>
      </c>
      <c r="N43">
        <v>1</v>
      </c>
      <c r="P43">
        <v>2.1383459568023682</v>
      </c>
    </row>
    <row r="44" spans="1:16" x14ac:dyDescent="0.25">
      <c r="A44" t="s">
        <v>16</v>
      </c>
      <c r="B44" t="s">
        <v>72</v>
      </c>
      <c r="C44">
        <v>0</v>
      </c>
      <c r="D44">
        <v>1</v>
      </c>
      <c r="E44">
        <v>1</v>
      </c>
      <c r="F44">
        <v>0</v>
      </c>
      <c r="G44">
        <v>1</v>
      </c>
      <c r="H44">
        <v>1</v>
      </c>
      <c r="I44">
        <v>1</v>
      </c>
      <c r="J44" t="s">
        <v>28</v>
      </c>
      <c r="K44">
        <v>1</v>
      </c>
      <c r="L44">
        <v>1</v>
      </c>
      <c r="M44">
        <v>1</v>
      </c>
      <c r="N44">
        <v>1</v>
      </c>
      <c r="O44" t="s">
        <v>73</v>
      </c>
      <c r="P44">
        <v>2.2701728343963619</v>
      </c>
    </row>
    <row r="45" spans="1:16" x14ac:dyDescent="0.25">
      <c r="A45" t="s">
        <v>16</v>
      </c>
      <c r="B45" t="s">
        <v>74</v>
      </c>
      <c r="C45">
        <v>0</v>
      </c>
      <c r="D45">
        <v>1</v>
      </c>
      <c r="E45">
        <v>1</v>
      </c>
      <c r="F45">
        <v>1</v>
      </c>
      <c r="G45">
        <v>1</v>
      </c>
      <c r="H45">
        <v>1</v>
      </c>
      <c r="I45">
        <v>1</v>
      </c>
      <c r="J45">
        <v>1</v>
      </c>
      <c r="K45">
        <v>1</v>
      </c>
      <c r="L45">
        <v>1</v>
      </c>
      <c r="M45">
        <v>1</v>
      </c>
      <c r="N45">
        <v>1</v>
      </c>
      <c r="P45">
        <v>3.5798747539520259</v>
      </c>
    </row>
    <row r="46" spans="1:16" x14ac:dyDescent="0.25">
      <c r="A46" t="s">
        <v>16</v>
      </c>
      <c r="B46" t="s">
        <v>75</v>
      </c>
      <c r="C46">
        <v>0</v>
      </c>
      <c r="D46">
        <v>1</v>
      </c>
      <c r="E46">
        <v>1</v>
      </c>
      <c r="F46">
        <v>1</v>
      </c>
      <c r="G46">
        <v>1</v>
      </c>
      <c r="H46">
        <v>1</v>
      </c>
      <c r="I46">
        <v>1</v>
      </c>
      <c r="J46">
        <v>1</v>
      </c>
      <c r="K46">
        <v>1</v>
      </c>
      <c r="L46">
        <v>1</v>
      </c>
      <c r="M46">
        <v>1</v>
      </c>
      <c r="N46">
        <v>1</v>
      </c>
      <c r="P46">
        <v>12.4062557220459</v>
      </c>
    </row>
    <row r="47" spans="1:16" x14ac:dyDescent="0.25">
      <c r="A47" t="s">
        <v>16</v>
      </c>
      <c r="B47" t="s">
        <v>76</v>
      </c>
      <c r="C47">
        <v>0</v>
      </c>
      <c r="D47">
        <v>1</v>
      </c>
      <c r="E47">
        <v>1</v>
      </c>
      <c r="F47">
        <v>1</v>
      </c>
      <c r="G47">
        <v>1</v>
      </c>
      <c r="H47">
        <v>1</v>
      </c>
      <c r="I47">
        <v>1</v>
      </c>
      <c r="J47">
        <v>1</v>
      </c>
      <c r="K47">
        <v>1</v>
      </c>
      <c r="L47">
        <v>1</v>
      </c>
      <c r="M47">
        <v>1</v>
      </c>
      <c r="N47">
        <v>1</v>
      </c>
      <c r="P47">
        <v>4.1025502681732178</v>
      </c>
    </row>
    <row r="48" spans="1:16" x14ac:dyDescent="0.25">
      <c r="A48" t="s">
        <v>16</v>
      </c>
      <c r="B48" t="s">
        <v>77</v>
      </c>
      <c r="C48">
        <v>0</v>
      </c>
      <c r="D48">
        <v>1</v>
      </c>
      <c r="E48">
        <v>1</v>
      </c>
      <c r="F48">
        <v>1</v>
      </c>
      <c r="G48">
        <v>1</v>
      </c>
      <c r="H48">
        <v>1</v>
      </c>
      <c r="I48">
        <v>1</v>
      </c>
      <c r="J48">
        <v>1</v>
      </c>
      <c r="K48">
        <v>1</v>
      </c>
      <c r="L48">
        <v>1</v>
      </c>
      <c r="M48">
        <v>1</v>
      </c>
      <c r="N48">
        <v>1</v>
      </c>
      <c r="P48">
        <v>1.7840220928192141</v>
      </c>
    </row>
    <row r="49" spans="1:16" x14ac:dyDescent="0.25">
      <c r="A49" t="s">
        <v>16</v>
      </c>
      <c r="B49" t="s">
        <v>78</v>
      </c>
      <c r="C49">
        <v>0</v>
      </c>
      <c r="D49">
        <v>1</v>
      </c>
      <c r="E49">
        <v>1</v>
      </c>
      <c r="F49">
        <v>1</v>
      </c>
      <c r="G49">
        <v>1</v>
      </c>
      <c r="H49">
        <v>1</v>
      </c>
      <c r="I49">
        <v>1</v>
      </c>
      <c r="J49">
        <v>1</v>
      </c>
      <c r="K49">
        <v>1</v>
      </c>
      <c r="L49">
        <v>1</v>
      </c>
      <c r="M49">
        <v>1</v>
      </c>
      <c r="N49">
        <v>1</v>
      </c>
      <c r="P49">
        <v>6.4482266902923584</v>
      </c>
    </row>
    <row r="50" spans="1:16" x14ac:dyDescent="0.25">
      <c r="A50" t="s">
        <v>16</v>
      </c>
      <c r="B50" t="s">
        <v>79</v>
      </c>
      <c r="C50">
        <v>0</v>
      </c>
      <c r="D50">
        <v>1</v>
      </c>
      <c r="E50">
        <v>1</v>
      </c>
      <c r="F50">
        <v>1</v>
      </c>
      <c r="G50">
        <v>1</v>
      </c>
      <c r="H50">
        <v>1</v>
      </c>
      <c r="I50">
        <v>1</v>
      </c>
      <c r="J50">
        <v>1</v>
      </c>
      <c r="K50">
        <v>1</v>
      </c>
      <c r="L50">
        <v>1</v>
      </c>
      <c r="M50">
        <v>1</v>
      </c>
      <c r="N50">
        <v>1</v>
      </c>
      <c r="P50">
        <v>3.6746256351470952</v>
      </c>
    </row>
    <row r="51" spans="1:16" x14ac:dyDescent="0.25">
      <c r="A51" t="s">
        <v>80</v>
      </c>
      <c r="B51" t="s">
        <v>17</v>
      </c>
      <c r="C51">
        <v>0</v>
      </c>
      <c r="D51">
        <v>1</v>
      </c>
      <c r="E51">
        <v>1</v>
      </c>
      <c r="F51">
        <v>1</v>
      </c>
      <c r="G51">
        <v>1</v>
      </c>
      <c r="H51">
        <v>1</v>
      </c>
      <c r="I51">
        <v>1</v>
      </c>
      <c r="J51">
        <v>1</v>
      </c>
      <c r="K51">
        <v>1</v>
      </c>
      <c r="L51">
        <v>1</v>
      </c>
      <c r="M51">
        <v>1</v>
      </c>
      <c r="N51">
        <v>1</v>
      </c>
      <c r="P51">
        <v>8.6588881015777588</v>
      </c>
    </row>
    <row r="52" spans="1:16" x14ac:dyDescent="0.25">
      <c r="A52" t="s">
        <v>80</v>
      </c>
      <c r="B52" t="s">
        <v>18</v>
      </c>
      <c r="C52">
        <v>0</v>
      </c>
      <c r="D52">
        <v>0</v>
      </c>
      <c r="E52" t="s">
        <v>28</v>
      </c>
      <c r="F52" t="s">
        <v>28</v>
      </c>
      <c r="G52" t="s">
        <v>28</v>
      </c>
      <c r="H52" t="s">
        <v>28</v>
      </c>
      <c r="I52" t="s">
        <v>28</v>
      </c>
      <c r="J52" t="s">
        <v>28</v>
      </c>
      <c r="K52" t="s">
        <v>28</v>
      </c>
      <c r="L52" t="s">
        <v>28</v>
      </c>
      <c r="M52" t="s">
        <v>28</v>
      </c>
      <c r="N52" t="s">
        <v>28</v>
      </c>
      <c r="O52" t="s">
        <v>81</v>
      </c>
      <c r="P52">
        <v>8.5021638870239258</v>
      </c>
    </row>
    <row r="53" spans="1:16" x14ac:dyDescent="0.25">
      <c r="A53" t="s">
        <v>80</v>
      </c>
      <c r="B53" t="s">
        <v>19</v>
      </c>
      <c r="C53">
        <v>0</v>
      </c>
      <c r="D53">
        <v>1</v>
      </c>
      <c r="E53">
        <v>1</v>
      </c>
      <c r="F53">
        <v>1</v>
      </c>
      <c r="G53">
        <v>1</v>
      </c>
      <c r="H53">
        <v>1</v>
      </c>
      <c r="I53">
        <v>1</v>
      </c>
      <c r="J53">
        <v>1</v>
      </c>
      <c r="K53">
        <v>1</v>
      </c>
      <c r="L53">
        <v>1</v>
      </c>
      <c r="M53">
        <v>1</v>
      </c>
      <c r="N53">
        <v>1</v>
      </c>
      <c r="P53">
        <v>1.5627400875091551</v>
      </c>
    </row>
    <row r="54" spans="1:16" x14ac:dyDescent="0.25">
      <c r="A54" t="s">
        <v>80</v>
      </c>
      <c r="B54" t="s">
        <v>20</v>
      </c>
      <c r="C54">
        <v>0</v>
      </c>
      <c r="D54">
        <v>1</v>
      </c>
      <c r="E54">
        <v>1</v>
      </c>
      <c r="F54">
        <v>1</v>
      </c>
      <c r="G54">
        <v>1</v>
      </c>
      <c r="H54">
        <v>1</v>
      </c>
      <c r="I54">
        <v>1</v>
      </c>
      <c r="J54">
        <v>0</v>
      </c>
      <c r="K54">
        <v>1</v>
      </c>
      <c r="L54">
        <v>1</v>
      </c>
      <c r="M54">
        <v>1</v>
      </c>
      <c r="N54">
        <v>1</v>
      </c>
      <c r="O54" t="s">
        <v>82</v>
      </c>
      <c r="P54">
        <v>2.1727142333984379</v>
      </c>
    </row>
    <row r="55" spans="1:16" x14ac:dyDescent="0.25">
      <c r="A55" t="s">
        <v>80</v>
      </c>
      <c r="B55" t="s">
        <v>21</v>
      </c>
      <c r="C55">
        <v>0</v>
      </c>
      <c r="D55">
        <v>1</v>
      </c>
      <c r="E55">
        <v>0</v>
      </c>
      <c r="F55">
        <v>1</v>
      </c>
      <c r="G55">
        <v>1</v>
      </c>
      <c r="H55" t="s">
        <v>28</v>
      </c>
      <c r="I55">
        <v>1</v>
      </c>
      <c r="J55" t="s">
        <v>28</v>
      </c>
      <c r="K55">
        <v>1</v>
      </c>
      <c r="L55">
        <v>1</v>
      </c>
      <c r="M55">
        <v>1</v>
      </c>
      <c r="N55">
        <v>1</v>
      </c>
      <c r="O55" t="s">
        <v>83</v>
      </c>
      <c r="P55">
        <v>7.3465266227722168</v>
      </c>
    </row>
    <row r="56" spans="1:16" x14ac:dyDescent="0.25">
      <c r="A56" t="s">
        <v>80</v>
      </c>
      <c r="B56" t="s">
        <v>22</v>
      </c>
      <c r="C56">
        <v>0</v>
      </c>
      <c r="D56">
        <v>1</v>
      </c>
      <c r="E56">
        <v>1</v>
      </c>
      <c r="F56">
        <v>1</v>
      </c>
      <c r="G56">
        <v>1</v>
      </c>
      <c r="H56">
        <v>0</v>
      </c>
      <c r="I56">
        <v>1</v>
      </c>
      <c r="J56">
        <v>1</v>
      </c>
      <c r="K56">
        <v>1</v>
      </c>
      <c r="L56">
        <v>1</v>
      </c>
      <c r="M56">
        <v>1</v>
      </c>
      <c r="N56">
        <v>1</v>
      </c>
      <c r="O56" t="s">
        <v>84</v>
      </c>
      <c r="P56">
        <v>2.9464259147644039</v>
      </c>
    </row>
    <row r="57" spans="1:16" x14ac:dyDescent="0.25">
      <c r="A57" t="s">
        <v>80</v>
      </c>
      <c r="B57" t="s">
        <v>23</v>
      </c>
      <c r="C57">
        <v>0</v>
      </c>
      <c r="D57">
        <v>1</v>
      </c>
      <c r="E57">
        <v>1</v>
      </c>
      <c r="F57">
        <v>1</v>
      </c>
      <c r="G57">
        <v>1</v>
      </c>
      <c r="H57">
        <v>1</v>
      </c>
      <c r="I57">
        <v>1</v>
      </c>
      <c r="J57">
        <v>1</v>
      </c>
      <c r="K57">
        <v>1</v>
      </c>
      <c r="L57">
        <v>1</v>
      </c>
      <c r="M57">
        <v>1</v>
      </c>
      <c r="N57">
        <v>1</v>
      </c>
      <c r="P57">
        <v>12.91840720176697</v>
      </c>
    </row>
    <row r="58" spans="1:16" x14ac:dyDescent="0.25">
      <c r="A58" t="s">
        <v>80</v>
      </c>
      <c r="B58" t="s">
        <v>24</v>
      </c>
      <c r="C58">
        <v>0</v>
      </c>
      <c r="D58">
        <v>1</v>
      </c>
      <c r="E58">
        <v>1</v>
      </c>
      <c r="F58">
        <v>1</v>
      </c>
      <c r="G58">
        <v>1</v>
      </c>
      <c r="H58">
        <v>1</v>
      </c>
      <c r="I58">
        <v>1</v>
      </c>
      <c r="J58">
        <v>1</v>
      </c>
      <c r="K58">
        <v>1</v>
      </c>
      <c r="L58">
        <v>1</v>
      </c>
      <c r="M58">
        <v>1</v>
      </c>
      <c r="N58">
        <v>1</v>
      </c>
      <c r="P58">
        <v>1.7027103900909419</v>
      </c>
    </row>
    <row r="59" spans="1:16" x14ac:dyDescent="0.25">
      <c r="A59" t="s">
        <v>80</v>
      </c>
      <c r="B59" t="s">
        <v>25</v>
      </c>
      <c r="C59">
        <v>0</v>
      </c>
      <c r="D59">
        <v>1</v>
      </c>
      <c r="E59">
        <v>1</v>
      </c>
      <c r="F59">
        <v>1</v>
      </c>
      <c r="G59">
        <v>1</v>
      </c>
      <c r="H59">
        <v>1</v>
      </c>
      <c r="I59">
        <v>1</v>
      </c>
      <c r="J59">
        <v>1</v>
      </c>
      <c r="K59">
        <v>1</v>
      </c>
      <c r="L59">
        <v>1</v>
      </c>
      <c r="M59">
        <v>1</v>
      </c>
      <c r="N59">
        <v>1</v>
      </c>
      <c r="P59">
        <v>1.9629759788513179</v>
      </c>
    </row>
    <row r="60" spans="1:16" x14ac:dyDescent="0.25">
      <c r="A60" t="s">
        <v>80</v>
      </c>
      <c r="B60" t="s">
        <v>26</v>
      </c>
      <c r="C60">
        <v>0</v>
      </c>
      <c r="D60">
        <v>1</v>
      </c>
      <c r="E60">
        <v>1</v>
      </c>
      <c r="F60">
        <v>1</v>
      </c>
      <c r="G60">
        <v>1</v>
      </c>
      <c r="H60">
        <v>1</v>
      </c>
      <c r="I60">
        <v>0</v>
      </c>
      <c r="J60">
        <v>1</v>
      </c>
      <c r="K60">
        <v>1</v>
      </c>
      <c r="L60">
        <v>1</v>
      </c>
      <c r="M60">
        <v>1</v>
      </c>
      <c r="N60">
        <v>1</v>
      </c>
      <c r="O60" t="s">
        <v>85</v>
      </c>
      <c r="P60">
        <v>5.5764162540435791</v>
      </c>
    </row>
    <row r="61" spans="1:16" x14ac:dyDescent="0.25">
      <c r="A61" t="s">
        <v>80</v>
      </c>
      <c r="B61" t="s">
        <v>27</v>
      </c>
      <c r="C61">
        <v>0</v>
      </c>
      <c r="D61">
        <v>1</v>
      </c>
      <c r="E61">
        <v>1</v>
      </c>
      <c r="F61">
        <v>1</v>
      </c>
      <c r="G61">
        <v>1</v>
      </c>
      <c r="H61">
        <v>1</v>
      </c>
      <c r="I61">
        <v>1</v>
      </c>
      <c r="J61">
        <v>1</v>
      </c>
      <c r="K61">
        <v>1</v>
      </c>
      <c r="L61">
        <v>1</v>
      </c>
      <c r="M61">
        <v>1</v>
      </c>
      <c r="N61">
        <v>1</v>
      </c>
      <c r="P61">
        <v>3.5276198387146001</v>
      </c>
    </row>
    <row r="62" spans="1:16" x14ac:dyDescent="0.25">
      <c r="A62" t="s">
        <v>80</v>
      </c>
      <c r="B62" t="s">
        <v>30</v>
      </c>
      <c r="C62">
        <v>0</v>
      </c>
      <c r="D62">
        <v>1</v>
      </c>
      <c r="E62">
        <v>1</v>
      </c>
      <c r="F62">
        <v>1</v>
      </c>
      <c r="G62">
        <v>1</v>
      </c>
      <c r="H62">
        <v>1</v>
      </c>
      <c r="I62">
        <v>1</v>
      </c>
      <c r="J62">
        <v>1</v>
      </c>
      <c r="K62">
        <v>1</v>
      </c>
      <c r="L62">
        <v>1</v>
      </c>
      <c r="M62">
        <v>1</v>
      </c>
      <c r="N62">
        <v>1</v>
      </c>
      <c r="P62">
        <v>2.0380561351776119</v>
      </c>
    </row>
    <row r="63" spans="1:16" x14ac:dyDescent="0.25">
      <c r="A63" t="s">
        <v>80</v>
      </c>
      <c r="B63" t="s">
        <v>31</v>
      </c>
      <c r="C63">
        <v>0</v>
      </c>
      <c r="D63">
        <v>1</v>
      </c>
      <c r="E63">
        <v>1</v>
      </c>
      <c r="F63">
        <v>1</v>
      </c>
      <c r="G63">
        <v>1</v>
      </c>
      <c r="H63">
        <v>1</v>
      </c>
      <c r="I63">
        <v>1</v>
      </c>
      <c r="J63">
        <v>1</v>
      </c>
      <c r="K63">
        <v>1</v>
      </c>
      <c r="L63">
        <v>1</v>
      </c>
      <c r="M63">
        <v>1</v>
      </c>
      <c r="N63">
        <v>1</v>
      </c>
      <c r="P63">
        <v>1.634814500808716</v>
      </c>
    </row>
    <row r="64" spans="1:16" x14ac:dyDescent="0.25">
      <c r="A64" t="s">
        <v>80</v>
      </c>
      <c r="B64" t="s">
        <v>33</v>
      </c>
      <c r="C64">
        <v>0</v>
      </c>
      <c r="D64">
        <v>1</v>
      </c>
      <c r="E64">
        <v>1</v>
      </c>
      <c r="F64">
        <v>1</v>
      </c>
      <c r="G64">
        <v>1</v>
      </c>
      <c r="H64">
        <v>1</v>
      </c>
      <c r="I64">
        <v>1</v>
      </c>
      <c r="J64">
        <v>1</v>
      </c>
      <c r="K64">
        <v>1</v>
      </c>
      <c r="L64">
        <v>1</v>
      </c>
      <c r="M64">
        <v>1</v>
      </c>
      <c r="N64">
        <v>1</v>
      </c>
      <c r="P64">
        <v>2.2735011577606201</v>
      </c>
    </row>
    <row r="65" spans="1:16" x14ac:dyDescent="0.25">
      <c r="A65" t="s">
        <v>80</v>
      </c>
      <c r="B65" t="s">
        <v>34</v>
      </c>
      <c r="C65">
        <v>0</v>
      </c>
      <c r="D65">
        <v>1</v>
      </c>
      <c r="E65">
        <v>0</v>
      </c>
      <c r="F65">
        <v>1</v>
      </c>
      <c r="G65">
        <v>1</v>
      </c>
      <c r="H65" t="s">
        <v>28</v>
      </c>
      <c r="I65">
        <v>1</v>
      </c>
      <c r="J65" t="s">
        <v>28</v>
      </c>
      <c r="K65">
        <v>1</v>
      </c>
      <c r="L65">
        <v>1</v>
      </c>
      <c r="M65">
        <v>1</v>
      </c>
      <c r="N65">
        <v>1</v>
      </c>
      <c r="O65" t="s">
        <v>86</v>
      </c>
      <c r="P65">
        <v>9.7180941104888916</v>
      </c>
    </row>
    <row r="66" spans="1:16" x14ac:dyDescent="0.25">
      <c r="A66" t="s">
        <v>80</v>
      </c>
      <c r="B66" t="s">
        <v>36</v>
      </c>
      <c r="C66">
        <v>0</v>
      </c>
      <c r="D66">
        <v>1</v>
      </c>
      <c r="E66">
        <v>1</v>
      </c>
      <c r="F66">
        <v>1</v>
      </c>
      <c r="G66">
        <v>1</v>
      </c>
      <c r="H66">
        <v>1</v>
      </c>
      <c r="I66">
        <v>1</v>
      </c>
      <c r="J66">
        <v>1</v>
      </c>
      <c r="K66">
        <v>1</v>
      </c>
      <c r="L66">
        <v>1</v>
      </c>
      <c r="M66">
        <v>1</v>
      </c>
      <c r="N66">
        <v>1</v>
      </c>
      <c r="P66">
        <v>1.4644782543182371</v>
      </c>
    </row>
    <row r="67" spans="1:16" x14ac:dyDescent="0.25">
      <c r="A67" t="s">
        <v>80</v>
      </c>
      <c r="B67" t="s">
        <v>37</v>
      </c>
      <c r="C67">
        <v>0</v>
      </c>
      <c r="D67">
        <v>1</v>
      </c>
      <c r="E67">
        <v>1</v>
      </c>
      <c r="F67">
        <v>1</v>
      </c>
      <c r="G67">
        <v>1</v>
      </c>
      <c r="H67">
        <v>1</v>
      </c>
      <c r="I67">
        <v>1</v>
      </c>
      <c r="J67">
        <v>1</v>
      </c>
      <c r="K67">
        <v>1</v>
      </c>
      <c r="L67">
        <v>1</v>
      </c>
      <c r="M67">
        <v>1</v>
      </c>
      <c r="N67">
        <v>1</v>
      </c>
      <c r="P67">
        <v>1.701683521270752</v>
      </c>
    </row>
    <row r="68" spans="1:16" x14ac:dyDescent="0.25">
      <c r="A68" t="s">
        <v>80</v>
      </c>
      <c r="B68" t="s">
        <v>38</v>
      </c>
      <c r="C68">
        <v>0</v>
      </c>
      <c r="D68">
        <v>1</v>
      </c>
      <c r="E68">
        <v>1</v>
      </c>
      <c r="F68">
        <v>1</v>
      </c>
      <c r="G68">
        <v>1</v>
      </c>
      <c r="H68">
        <v>1</v>
      </c>
      <c r="I68">
        <v>1</v>
      </c>
      <c r="J68">
        <v>1</v>
      </c>
      <c r="K68">
        <v>1</v>
      </c>
      <c r="L68">
        <v>1</v>
      </c>
      <c r="M68">
        <v>1</v>
      </c>
      <c r="N68">
        <v>1</v>
      </c>
      <c r="P68">
        <v>1.9019069671630859</v>
      </c>
    </row>
    <row r="69" spans="1:16" x14ac:dyDescent="0.25">
      <c r="A69" t="s">
        <v>80</v>
      </c>
      <c r="B69" t="s">
        <v>39</v>
      </c>
      <c r="C69">
        <v>0</v>
      </c>
      <c r="D69">
        <v>1</v>
      </c>
      <c r="E69">
        <v>1</v>
      </c>
      <c r="F69">
        <v>1</v>
      </c>
      <c r="G69">
        <v>1</v>
      </c>
      <c r="H69">
        <v>1</v>
      </c>
      <c r="I69">
        <v>1</v>
      </c>
      <c r="J69">
        <v>1</v>
      </c>
      <c r="K69">
        <v>1</v>
      </c>
      <c r="L69">
        <v>1</v>
      </c>
      <c r="M69">
        <v>1</v>
      </c>
      <c r="N69">
        <v>1</v>
      </c>
      <c r="P69">
        <v>7.3905858993530273</v>
      </c>
    </row>
    <row r="70" spans="1:16" x14ac:dyDescent="0.25">
      <c r="A70" t="s">
        <v>80</v>
      </c>
      <c r="B70" t="s">
        <v>40</v>
      </c>
      <c r="C70">
        <v>0</v>
      </c>
      <c r="D70">
        <v>1</v>
      </c>
      <c r="E70">
        <v>1</v>
      </c>
      <c r="F70">
        <v>1</v>
      </c>
      <c r="G70">
        <v>1</v>
      </c>
      <c r="H70">
        <v>1</v>
      </c>
      <c r="I70">
        <v>1</v>
      </c>
      <c r="J70">
        <v>1</v>
      </c>
      <c r="K70">
        <v>1</v>
      </c>
      <c r="L70">
        <v>1</v>
      </c>
      <c r="M70">
        <v>1</v>
      </c>
      <c r="N70">
        <v>1</v>
      </c>
      <c r="P70">
        <v>1.887059688568115</v>
      </c>
    </row>
    <row r="71" spans="1:16" x14ac:dyDescent="0.25">
      <c r="A71" t="s">
        <v>80</v>
      </c>
      <c r="B71" t="s">
        <v>41</v>
      </c>
      <c r="C71">
        <v>0</v>
      </c>
      <c r="D71">
        <v>1</v>
      </c>
      <c r="E71">
        <v>1</v>
      </c>
      <c r="F71">
        <v>1</v>
      </c>
      <c r="G71">
        <v>1</v>
      </c>
      <c r="H71">
        <v>1</v>
      </c>
      <c r="I71">
        <v>1</v>
      </c>
      <c r="J71">
        <v>1</v>
      </c>
      <c r="K71">
        <v>1</v>
      </c>
      <c r="L71">
        <v>1</v>
      </c>
      <c r="M71">
        <v>1</v>
      </c>
      <c r="N71">
        <v>1</v>
      </c>
      <c r="P71">
        <v>1.8431611061096189</v>
      </c>
    </row>
    <row r="72" spans="1:16" x14ac:dyDescent="0.25">
      <c r="A72" t="s">
        <v>80</v>
      </c>
      <c r="B72" t="s">
        <v>42</v>
      </c>
      <c r="C72">
        <v>0</v>
      </c>
      <c r="D72">
        <v>1</v>
      </c>
      <c r="E72">
        <v>1</v>
      </c>
      <c r="F72">
        <v>1</v>
      </c>
      <c r="G72">
        <v>1</v>
      </c>
      <c r="H72">
        <v>1</v>
      </c>
      <c r="I72">
        <v>1</v>
      </c>
      <c r="J72">
        <v>1</v>
      </c>
      <c r="K72">
        <v>1</v>
      </c>
      <c r="L72">
        <v>1</v>
      </c>
      <c r="M72">
        <v>1</v>
      </c>
      <c r="N72">
        <v>1</v>
      </c>
      <c r="P72">
        <v>2.783310174942017</v>
      </c>
    </row>
    <row r="73" spans="1:16" x14ac:dyDescent="0.25">
      <c r="A73" t="s">
        <v>80</v>
      </c>
      <c r="B73" t="s">
        <v>44</v>
      </c>
      <c r="C73">
        <v>0</v>
      </c>
      <c r="D73">
        <v>1</v>
      </c>
      <c r="E73">
        <v>1</v>
      </c>
      <c r="F73">
        <v>1</v>
      </c>
      <c r="G73">
        <v>1</v>
      </c>
      <c r="H73">
        <v>1</v>
      </c>
      <c r="I73">
        <v>1</v>
      </c>
      <c r="J73">
        <v>1</v>
      </c>
      <c r="K73">
        <v>1</v>
      </c>
      <c r="L73">
        <v>1</v>
      </c>
      <c r="M73">
        <v>1</v>
      </c>
      <c r="N73">
        <v>1</v>
      </c>
      <c r="P73">
        <v>8.9862732887268066</v>
      </c>
    </row>
    <row r="74" spans="1:16" x14ac:dyDescent="0.25">
      <c r="A74" t="s">
        <v>80</v>
      </c>
      <c r="B74" t="s">
        <v>45</v>
      </c>
      <c r="C74">
        <v>0</v>
      </c>
      <c r="D74">
        <v>1</v>
      </c>
      <c r="E74">
        <v>1</v>
      </c>
      <c r="F74">
        <v>1</v>
      </c>
      <c r="G74">
        <v>1</v>
      </c>
      <c r="H74">
        <v>1</v>
      </c>
      <c r="I74">
        <v>1</v>
      </c>
      <c r="J74">
        <v>1</v>
      </c>
      <c r="K74">
        <v>1</v>
      </c>
      <c r="L74">
        <v>1</v>
      </c>
      <c r="M74">
        <v>1</v>
      </c>
      <c r="N74">
        <v>1</v>
      </c>
      <c r="P74">
        <v>1.988499641418457</v>
      </c>
    </row>
    <row r="75" spans="1:16" x14ac:dyDescent="0.25">
      <c r="A75" t="s">
        <v>80</v>
      </c>
      <c r="B75" t="s">
        <v>46</v>
      </c>
      <c r="C75">
        <v>0</v>
      </c>
      <c r="D75">
        <v>1</v>
      </c>
      <c r="E75">
        <v>1</v>
      </c>
      <c r="F75">
        <v>1</v>
      </c>
      <c r="G75">
        <v>1</v>
      </c>
      <c r="H75">
        <v>1</v>
      </c>
      <c r="I75">
        <v>1</v>
      </c>
      <c r="J75">
        <v>1</v>
      </c>
      <c r="K75">
        <v>1</v>
      </c>
      <c r="L75">
        <v>1</v>
      </c>
      <c r="M75">
        <v>1</v>
      </c>
      <c r="N75">
        <v>1</v>
      </c>
      <c r="P75">
        <v>2.1776185035705571</v>
      </c>
    </row>
    <row r="76" spans="1:16" x14ac:dyDescent="0.25">
      <c r="A76" t="s">
        <v>80</v>
      </c>
      <c r="B76" t="s">
        <v>47</v>
      </c>
      <c r="C76">
        <v>0</v>
      </c>
      <c r="D76">
        <v>1</v>
      </c>
      <c r="E76">
        <v>1</v>
      </c>
      <c r="F76">
        <v>1</v>
      </c>
      <c r="G76">
        <v>1</v>
      </c>
      <c r="H76">
        <v>1</v>
      </c>
      <c r="I76">
        <v>1</v>
      </c>
      <c r="J76">
        <v>1</v>
      </c>
      <c r="K76">
        <v>1</v>
      </c>
      <c r="L76">
        <v>1</v>
      </c>
      <c r="M76">
        <v>1</v>
      </c>
      <c r="N76">
        <v>1</v>
      </c>
      <c r="P76">
        <v>1.403034925460815</v>
      </c>
    </row>
    <row r="77" spans="1:16" x14ac:dyDescent="0.25">
      <c r="A77" t="s">
        <v>80</v>
      </c>
      <c r="B77" t="s">
        <v>49</v>
      </c>
      <c r="C77">
        <v>0</v>
      </c>
      <c r="D77">
        <v>1</v>
      </c>
      <c r="E77">
        <v>0</v>
      </c>
      <c r="F77">
        <v>1</v>
      </c>
      <c r="G77">
        <v>1</v>
      </c>
      <c r="H77" t="s">
        <v>28</v>
      </c>
      <c r="I77">
        <v>1</v>
      </c>
      <c r="J77" t="s">
        <v>28</v>
      </c>
      <c r="K77">
        <v>1</v>
      </c>
      <c r="L77">
        <v>1</v>
      </c>
      <c r="M77">
        <v>1</v>
      </c>
      <c r="N77">
        <v>1</v>
      </c>
      <c r="O77" t="s">
        <v>87</v>
      </c>
      <c r="P77">
        <v>3.042099237442017</v>
      </c>
    </row>
    <row r="78" spans="1:16" x14ac:dyDescent="0.25">
      <c r="A78" t="s">
        <v>80</v>
      </c>
      <c r="B78" t="s">
        <v>51</v>
      </c>
      <c r="C78">
        <v>0</v>
      </c>
      <c r="D78">
        <v>1</v>
      </c>
      <c r="E78">
        <v>0</v>
      </c>
      <c r="F78">
        <v>1</v>
      </c>
      <c r="G78">
        <v>1</v>
      </c>
      <c r="H78" t="s">
        <v>28</v>
      </c>
      <c r="I78">
        <v>1</v>
      </c>
      <c r="J78" t="s">
        <v>28</v>
      </c>
      <c r="K78">
        <v>1</v>
      </c>
      <c r="L78">
        <v>1</v>
      </c>
      <c r="M78">
        <v>1</v>
      </c>
      <c r="N78">
        <v>1</v>
      </c>
      <c r="O78" t="s">
        <v>88</v>
      </c>
      <c r="P78">
        <v>5.3612864017486572</v>
      </c>
    </row>
    <row r="79" spans="1:16" x14ac:dyDescent="0.25">
      <c r="A79" t="s">
        <v>80</v>
      </c>
      <c r="B79" t="s">
        <v>53</v>
      </c>
      <c r="C79">
        <v>0</v>
      </c>
      <c r="D79">
        <v>1</v>
      </c>
      <c r="E79">
        <v>1</v>
      </c>
      <c r="F79">
        <v>1</v>
      </c>
      <c r="G79">
        <v>1</v>
      </c>
      <c r="H79">
        <v>1</v>
      </c>
      <c r="I79">
        <v>1</v>
      </c>
      <c r="J79">
        <v>1</v>
      </c>
      <c r="K79">
        <v>1</v>
      </c>
      <c r="L79">
        <v>1</v>
      </c>
      <c r="M79">
        <v>1</v>
      </c>
      <c r="N79">
        <v>1</v>
      </c>
      <c r="P79">
        <v>1.5247898101806641</v>
      </c>
    </row>
    <row r="80" spans="1:16" x14ac:dyDescent="0.25">
      <c r="A80" t="s">
        <v>80</v>
      </c>
      <c r="B80" t="s">
        <v>54</v>
      </c>
      <c r="C80">
        <v>0</v>
      </c>
      <c r="D80">
        <v>1</v>
      </c>
      <c r="E80">
        <v>1</v>
      </c>
      <c r="F80">
        <v>1</v>
      </c>
      <c r="G80">
        <v>1</v>
      </c>
      <c r="H80">
        <v>1</v>
      </c>
      <c r="I80">
        <v>1</v>
      </c>
      <c r="J80">
        <v>1</v>
      </c>
      <c r="K80">
        <v>1</v>
      </c>
      <c r="L80">
        <v>1</v>
      </c>
      <c r="M80">
        <v>1</v>
      </c>
      <c r="N80">
        <v>1</v>
      </c>
      <c r="P80">
        <v>1.829535961151123</v>
      </c>
    </row>
    <row r="81" spans="1:16" x14ac:dyDescent="0.25">
      <c r="A81" t="s">
        <v>80</v>
      </c>
      <c r="B81" t="s">
        <v>56</v>
      </c>
      <c r="C81">
        <v>0</v>
      </c>
      <c r="D81">
        <v>1</v>
      </c>
      <c r="E81">
        <v>1</v>
      </c>
      <c r="F81">
        <v>0</v>
      </c>
      <c r="G81">
        <v>1</v>
      </c>
      <c r="H81">
        <v>1</v>
      </c>
      <c r="I81">
        <v>1</v>
      </c>
      <c r="J81" t="s">
        <v>28</v>
      </c>
      <c r="K81">
        <v>1</v>
      </c>
      <c r="L81">
        <v>1</v>
      </c>
      <c r="M81">
        <v>1</v>
      </c>
      <c r="N81">
        <v>1</v>
      </c>
      <c r="O81" t="s">
        <v>89</v>
      </c>
      <c r="P81">
        <v>4.7115859985351563</v>
      </c>
    </row>
    <row r="82" spans="1:16" x14ac:dyDescent="0.25">
      <c r="A82" t="s">
        <v>80</v>
      </c>
      <c r="B82" t="s">
        <v>58</v>
      </c>
      <c r="C82">
        <v>0</v>
      </c>
      <c r="D82">
        <v>1</v>
      </c>
      <c r="E82">
        <v>1</v>
      </c>
      <c r="F82">
        <v>0</v>
      </c>
      <c r="G82">
        <v>1</v>
      </c>
      <c r="H82">
        <v>1</v>
      </c>
      <c r="I82">
        <v>1</v>
      </c>
      <c r="J82" t="s">
        <v>28</v>
      </c>
      <c r="K82">
        <v>1</v>
      </c>
      <c r="L82">
        <v>1</v>
      </c>
      <c r="M82">
        <v>1</v>
      </c>
      <c r="N82">
        <v>1</v>
      </c>
      <c r="O82" t="s">
        <v>90</v>
      </c>
      <c r="P82">
        <v>2.6951262950897221</v>
      </c>
    </row>
    <row r="83" spans="1:16" x14ac:dyDescent="0.25">
      <c r="A83" t="s">
        <v>80</v>
      </c>
      <c r="B83" t="s">
        <v>60</v>
      </c>
      <c r="C83">
        <v>0</v>
      </c>
      <c r="D83">
        <v>1</v>
      </c>
      <c r="E83">
        <v>1</v>
      </c>
      <c r="F83">
        <v>1</v>
      </c>
      <c r="G83">
        <v>1</v>
      </c>
      <c r="H83">
        <v>1</v>
      </c>
      <c r="I83">
        <v>1</v>
      </c>
      <c r="J83">
        <v>1</v>
      </c>
      <c r="K83">
        <v>1</v>
      </c>
      <c r="L83">
        <v>1</v>
      </c>
      <c r="M83">
        <v>1</v>
      </c>
      <c r="N83">
        <v>1</v>
      </c>
      <c r="P83">
        <v>2.133326530456543</v>
      </c>
    </row>
    <row r="84" spans="1:16" x14ac:dyDescent="0.25">
      <c r="A84" t="s">
        <v>80</v>
      </c>
      <c r="B84" t="s">
        <v>62</v>
      </c>
      <c r="C84">
        <v>0</v>
      </c>
      <c r="D84">
        <v>1</v>
      </c>
      <c r="E84">
        <v>1</v>
      </c>
      <c r="F84">
        <v>1</v>
      </c>
      <c r="G84">
        <v>1</v>
      </c>
      <c r="H84">
        <v>1</v>
      </c>
      <c r="I84">
        <v>1</v>
      </c>
      <c r="J84">
        <v>1</v>
      </c>
      <c r="K84">
        <v>1</v>
      </c>
      <c r="L84">
        <v>1</v>
      </c>
      <c r="M84">
        <v>1</v>
      </c>
      <c r="N84">
        <v>1</v>
      </c>
      <c r="P84">
        <v>1.6710608005523679</v>
      </c>
    </row>
    <row r="85" spans="1:16" x14ac:dyDescent="0.25">
      <c r="A85" t="s">
        <v>80</v>
      </c>
      <c r="B85" t="s">
        <v>63</v>
      </c>
      <c r="C85">
        <v>0</v>
      </c>
      <c r="D85">
        <v>1</v>
      </c>
      <c r="E85">
        <v>1</v>
      </c>
      <c r="F85">
        <v>1</v>
      </c>
      <c r="G85">
        <v>1</v>
      </c>
      <c r="H85">
        <v>1</v>
      </c>
      <c r="I85">
        <v>1</v>
      </c>
      <c r="J85">
        <v>1</v>
      </c>
      <c r="K85">
        <v>1</v>
      </c>
      <c r="L85">
        <v>1</v>
      </c>
      <c r="M85">
        <v>1</v>
      </c>
      <c r="N85">
        <v>1</v>
      </c>
      <c r="P85">
        <v>6.4638657569885254</v>
      </c>
    </row>
    <row r="86" spans="1:16" x14ac:dyDescent="0.25">
      <c r="A86" t="s">
        <v>80</v>
      </c>
      <c r="B86" t="s">
        <v>64</v>
      </c>
      <c r="C86">
        <v>0</v>
      </c>
      <c r="D86">
        <v>1</v>
      </c>
      <c r="E86">
        <v>1</v>
      </c>
      <c r="F86">
        <v>1</v>
      </c>
      <c r="G86">
        <v>1</v>
      </c>
      <c r="H86">
        <v>1</v>
      </c>
      <c r="I86">
        <v>1</v>
      </c>
      <c r="J86">
        <v>1</v>
      </c>
      <c r="K86">
        <v>1</v>
      </c>
      <c r="L86">
        <v>1</v>
      </c>
      <c r="M86">
        <v>1</v>
      </c>
      <c r="N86">
        <v>1</v>
      </c>
      <c r="P86">
        <v>1.527690172195435</v>
      </c>
    </row>
    <row r="87" spans="1:16" x14ac:dyDescent="0.25">
      <c r="A87" t="s">
        <v>80</v>
      </c>
      <c r="B87" t="s">
        <v>65</v>
      </c>
      <c r="C87">
        <v>0</v>
      </c>
      <c r="D87">
        <v>1</v>
      </c>
      <c r="E87">
        <v>1</v>
      </c>
      <c r="F87">
        <v>1</v>
      </c>
      <c r="G87">
        <v>1</v>
      </c>
      <c r="H87">
        <v>1</v>
      </c>
      <c r="I87">
        <v>1</v>
      </c>
      <c r="J87">
        <v>1</v>
      </c>
      <c r="K87">
        <v>1</v>
      </c>
      <c r="L87">
        <v>1</v>
      </c>
      <c r="M87">
        <v>1</v>
      </c>
      <c r="N87">
        <v>1</v>
      </c>
      <c r="P87">
        <v>1.5271942615509031</v>
      </c>
    </row>
    <row r="88" spans="1:16" x14ac:dyDescent="0.25">
      <c r="A88" t="s">
        <v>80</v>
      </c>
      <c r="B88" t="s">
        <v>66</v>
      </c>
      <c r="C88">
        <v>0</v>
      </c>
      <c r="D88">
        <v>1</v>
      </c>
      <c r="E88">
        <v>1</v>
      </c>
      <c r="F88">
        <v>1</v>
      </c>
      <c r="G88">
        <v>1</v>
      </c>
      <c r="H88">
        <v>1</v>
      </c>
      <c r="I88">
        <v>1</v>
      </c>
      <c r="J88">
        <v>1</v>
      </c>
      <c r="K88">
        <v>1</v>
      </c>
      <c r="L88">
        <v>1</v>
      </c>
      <c r="M88">
        <v>1</v>
      </c>
      <c r="N88">
        <v>1</v>
      </c>
      <c r="P88">
        <v>1.8294694423675539</v>
      </c>
    </row>
    <row r="89" spans="1:16" x14ac:dyDescent="0.25">
      <c r="A89" t="s">
        <v>80</v>
      </c>
      <c r="B89" t="s">
        <v>67</v>
      </c>
      <c r="C89">
        <v>0</v>
      </c>
      <c r="D89">
        <v>1</v>
      </c>
      <c r="E89">
        <v>1</v>
      </c>
      <c r="F89">
        <v>1</v>
      </c>
      <c r="G89">
        <v>1</v>
      </c>
      <c r="H89">
        <v>1</v>
      </c>
      <c r="I89">
        <v>1</v>
      </c>
      <c r="J89">
        <v>1</v>
      </c>
      <c r="K89">
        <v>1</v>
      </c>
      <c r="L89">
        <v>1</v>
      </c>
      <c r="M89">
        <v>1</v>
      </c>
      <c r="N89">
        <v>1</v>
      </c>
      <c r="P89">
        <v>1.739319324493408</v>
      </c>
    </row>
    <row r="90" spans="1:16" x14ac:dyDescent="0.25">
      <c r="A90" t="s">
        <v>80</v>
      </c>
      <c r="B90" t="s">
        <v>69</v>
      </c>
      <c r="C90">
        <v>0</v>
      </c>
      <c r="D90">
        <v>1</v>
      </c>
      <c r="E90">
        <v>1</v>
      </c>
      <c r="F90">
        <v>1</v>
      </c>
      <c r="G90">
        <v>1</v>
      </c>
      <c r="H90">
        <v>1</v>
      </c>
      <c r="I90">
        <v>1</v>
      </c>
      <c r="J90">
        <v>1</v>
      </c>
      <c r="K90">
        <v>1</v>
      </c>
      <c r="L90">
        <v>1</v>
      </c>
      <c r="M90">
        <v>1</v>
      </c>
      <c r="N90">
        <v>1</v>
      </c>
      <c r="P90">
        <v>1.996284961700439</v>
      </c>
    </row>
    <row r="91" spans="1:16" x14ac:dyDescent="0.25">
      <c r="A91" t="s">
        <v>80</v>
      </c>
      <c r="B91" t="s">
        <v>70</v>
      </c>
      <c r="C91">
        <v>0</v>
      </c>
      <c r="D91">
        <v>1</v>
      </c>
      <c r="E91">
        <v>1</v>
      </c>
      <c r="F91">
        <v>1</v>
      </c>
      <c r="G91">
        <v>1</v>
      </c>
      <c r="H91">
        <v>1</v>
      </c>
      <c r="I91">
        <v>1</v>
      </c>
      <c r="J91">
        <v>1</v>
      </c>
      <c r="K91">
        <v>1</v>
      </c>
      <c r="L91">
        <v>1</v>
      </c>
      <c r="M91">
        <v>1</v>
      </c>
      <c r="N91">
        <v>1</v>
      </c>
      <c r="P91">
        <v>1.5708270072937009</v>
      </c>
    </row>
    <row r="92" spans="1:16" x14ac:dyDescent="0.25">
      <c r="A92" t="s">
        <v>80</v>
      </c>
      <c r="B92" t="s">
        <v>71</v>
      </c>
      <c r="C92">
        <v>0</v>
      </c>
      <c r="D92">
        <v>1</v>
      </c>
      <c r="E92">
        <v>1</v>
      </c>
      <c r="F92">
        <v>1</v>
      </c>
      <c r="G92">
        <v>1</v>
      </c>
      <c r="H92">
        <v>1</v>
      </c>
      <c r="I92">
        <v>1</v>
      </c>
      <c r="J92">
        <v>1</v>
      </c>
      <c r="K92">
        <v>1</v>
      </c>
      <c r="L92">
        <v>1</v>
      </c>
      <c r="M92">
        <v>1</v>
      </c>
      <c r="N92">
        <v>1</v>
      </c>
      <c r="P92">
        <v>1.4607696533203121</v>
      </c>
    </row>
    <row r="93" spans="1:16" x14ac:dyDescent="0.25">
      <c r="A93" t="s">
        <v>80</v>
      </c>
      <c r="B93" t="s">
        <v>72</v>
      </c>
      <c r="C93">
        <v>0</v>
      </c>
      <c r="D93">
        <v>1</v>
      </c>
      <c r="E93">
        <v>1</v>
      </c>
      <c r="F93">
        <v>1</v>
      </c>
      <c r="G93">
        <v>1</v>
      </c>
      <c r="H93">
        <v>1</v>
      </c>
      <c r="I93">
        <v>1</v>
      </c>
      <c r="J93">
        <v>1</v>
      </c>
      <c r="K93">
        <v>1</v>
      </c>
      <c r="L93">
        <v>1</v>
      </c>
      <c r="M93">
        <v>1</v>
      </c>
      <c r="N93">
        <v>1</v>
      </c>
      <c r="P93">
        <v>1.577267646789551</v>
      </c>
    </row>
    <row r="94" spans="1:16" x14ac:dyDescent="0.25">
      <c r="A94" t="s">
        <v>80</v>
      </c>
      <c r="B94" t="s">
        <v>74</v>
      </c>
      <c r="C94">
        <v>0</v>
      </c>
      <c r="D94">
        <v>1</v>
      </c>
      <c r="E94">
        <v>1</v>
      </c>
      <c r="F94">
        <v>1</v>
      </c>
      <c r="G94">
        <v>1</v>
      </c>
      <c r="H94">
        <v>1</v>
      </c>
      <c r="I94">
        <v>1</v>
      </c>
      <c r="J94">
        <v>1</v>
      </c>
      <c r="K94">
        <v>1</v>
      </c>
      <c r="L94">
        <v>1</v>
      </c>
      <c r="M94">
        <v>1</v>
      </c>
      <c r="N94">
        <v>1</v>
      </c>
      <c r="P94">
        <v>1.414653539657593</v>
      </c>
    </row>
    <row r="95" spans="1:16" x14ac:dyDescent="0.25">
      <c r="A95" t="s">
        <v>80</v>
      </c>
      <c r="B95" t="s">
        <v>75</v>
      </c>
      <c r="C95">
        <v>0</v>
      </c>
      <c r="D95">
        <v>1</v>
      </c>
      <c r="E95">
        <v>1</v>
      </c>
      <c r="F95">
        <v>1</v>
      </c>
      <c r="G95">
        <v>1</v>
      </c>
      <c r="H95">
        <v>1</v>
      </c>
      <c r="I95">
        <v>1</v>
      </c>
      <c r="J95">
        <v>1</v>
      </c>
      <c r="K95">
        <v>1</v>
      </c>
      <c r="L95">
        <v>1</v>
      </c>
      <c r="M95">
        <v>1</v>
      </c>
      <c r="N95">
        <v>1</v>
      </c>
      <c r="P95">
        <v>1.881400346755981</v>
      </c>
    </row>
    <row r="96" spans="1:16" x14ac:dyDescent="0.25">
      <c r="A96" t="s">
        <v>80</v>
      </c>
      <c r="B96" t="s">
        <v>76</v>
      </c>
      <c r="C96">
        <v>0</v>
      </c>
      <c r="D96">
        <v>1</v>
      </c>
      <c r="E96">
        <v>1</v>
      </c>
      <c r="F96">
        <v>1</v>
      </c>
      <c r="G96">
        <v>1</v>
      </c>
      <c r="H96">
        <v>1</v>
      </c>
      <c r="I96">
        <v>1</v>
      </c>
      <c r="J96">
        <v>1</v>
      </c>
      <c r="K96">
        <v>1</v>
      </c>
      <c r="L96">
        <v>1</v>
      </c>
      <c r="M96">
        <v>1</v>
      </c>
      <c r="N96">
        <v>1</v>
      </c>
      <c r="P96">
        <v>1.506874799728394</v>
      </c>
    </row>
    <row r="97" spans="1:16" x14ac:dyDescent="0.25">
      <c r="A97" t="s">
        <v>80</v>
      </c>
      <c r="B97" t="s">
        <v>77</v>
      </c>
      <c r="C97">
        <v>0</v>
      </c>
      <c r="D97">
        <v>1</v>
      </c>
      <c r="E97">
        <v>1</v>
      </c>
      <c r="F97">
        <v>1</v>
      </c>
      <c r="G97">
        <v>1</v>
      </c>
      <c r="H97">
        <v>1</v>
      </c>
      <c r="I97">
        <v>1</v>
      </c>
      <c r="J97">
        <v>1</v>
      </c>
      <c r="K97">
        <v>1</v>
      </c>
      <c r="L97">
        <v>1</v>
      </c>
      <c r="M97">
        <v>1</v>
      </c>
      <c r="N97">
        <v>1</v>
      </c>
      <c r="P97">
        <v>1.92827844619751</v>
      </c>
    </row>
    <row r="98" spans="1:16" x14ac:dyDescent="0.25">
      <c r="A98" t="s">
        <v>80</v>
      </c>
      <c r="B98" t="s">
        <v>78</v>
      </c>
      <c r="C98">
        <v>0</v>
      </c>
      <c r="D98">
        <v>1</v>
      </c>
      <c r="E98">
        <v>1</v>
      </c>
      <c r="F98">
        <v>1</v>
      </c>
      <c r="G98">
        <v>1</v>
      </c>
      <c r="H98">
        <v>1</v>
      </c>
      <c r="I98">
        <v>1</v>
      </c>
      <c r="J98">
        <v>1</v>
      </c>
      <c r="K98">
        <v>1</v>
      </c>
      <c r="L98">
        <v>1</v>
      </c>
      <c r="M98">
        <v>1</v>
      </c>
      <c r="N98">
        <v>1</v>
      </c>
      <c r="P98">
        <v>2.138271570205688</v>
      </c>
    </row>
    <row r="99" spans="1:16" x14ac:dyDescent="0.25">
      <c r="A99" t="s">
        <v>80</v>
      </c>
      <c r="B99" t="s">
        <v>79</v>
      </c>
      <c r="C99">
        <v>0</v>
      </c>
      <c r="D99">
        <v>1</v>
      </c>
      <c r="E99">
        <v>1</v>
      </c>
      <c r="F99">
        <v>1</v>
      </c>
      <c r="G99">
        <v>1</v>
      </c>
      <c r="H99">
        <v>1</v>
      </c>
      <c r="I99">
        <v>1</v>
      </c>
      <c r="J99">
        <v>1</v>
      </c>
      <c r="K99">
        <v>1</v>
      </c>
      <c r="L99">
        <v>1</v>
      </c>
      <c r="M99">
        <v>1</v>
      </c>
      <c r="N99">
        <v>1</v>
      </c>
      <c r="P99">
        <v>1.611839771270752</v>
      </c>
    </row>
    <row r="100" spans="1:16" x14ac:dyDescent="0.25">
      <c r="A100" t="s">
        <v>80</v>
      </c>
      <c r="B100" t="s">
        <v>91</v>
      </c>
      <c r="C100">
        <v>0</v>
      </c>
      <c r="D100">
        <v>1</v>
      </c>
      <c r="E100">
        <v>1</v>
      </c>
      <c r="F100">
        <v>1</v>
      </c>
      <c r="G100">
        <v>1</v>
      </c>
      <c r="H100">
        <v>1</v>
      </c>
      <c r="I100">
        <v>1</v>
      </c>
      <c r="J100">
        <v>1</v>
      </c>
      <c r="K100">
        <v>1</v>
      </c>
      <c r="L100">
        <v>1</v>
      </c>
      <c r="M100">
        <v>1</v>
      </c>
      <c r="N100">
        <v>1</v>
      </c>
      <c r="P100">
        <v>1.642314672470093</v>
      </c>
    </row>
    <row r="101" spans="1:16" x14ac:dyDescent="0.25">
      <c r="A101" t="s">
        <v>80</v>
      </c>
      <c r="B101" t="s">
        <v>92</v>
      </c>
      <c r="C101">
        <v>0</v>
      </c>
      <c r="D101">
        <v>1</v>
      </c>
      <c r="E101">
        <v>1</v>
      </c>
      <c r="F101">
        <v>1</v>
      </c>
      <c r="G101">
        <v>1</v>
      </c>
      <c r="H101">
        <v>1</v>
      </c>
      <c r="I101">
        <v>1</v>
      </c>
      <c r="J101">
        <v>1</v>
      </c>
      <c r="K101">
        <v>1</v>
      </c>
      <c r="L101">
        <v>1</v>
      </c>
      <c r="M101">
        <v>1</v>
      </c>
      <c r="N101">
        <v>1</v>
      </c>
      <c r="P101">
        <v>1.6496579647064209</v>
      </c>
    </row>
    <row r="102" spans="1:16" x14ac:dyDescent="0.25">
      <c r="A102" t="s">
        <v>80</v>
      </c>
      <c r="B102" t="s">
        <v>93</v>
      </c>
      <c r="C102">
        <v>0</v>
      </c>
      <c r="D102">
        <v>1</v>
      </c>
      <c r="E102">
        <v>1</v>
      </c>
      <c r="F102">
        <v>1</v>
      </c>
      <c r="G102">
        <v>1</v>
      </c>
      <c r="H102">
        <v>1</v>
      </c>
      <c r="I102">
        <v>1</v>
      </c>
      <c r="J102">
        <v>1</v>
      </c>
      <c r="K102">
        <v>1</v>
      </c>
      <c r="L102">
        <v>1</v>
      </c>
      <c r="M102">
        <v>1</v>
      </c>
      <c r="N102">
        <v>1</v>
      </c>
      <c r="P102">
        <v>1.8104486465454099</v>
      </c>
    </row>
    <row r="103" spans="1:16" x14ac:dyDescent="0.25">
      <c r="A103" t="s">
        <v>80</v>
      </c>
      <c r="B103" t="s">
        <v>94</v>
      </c>
      <c r="C103">
        <v>0</v>
      </c>
      <c r="D103">
        <v>1</v>
      </c>
      <c r="E103">
        <v>1</v>
      </c>
      <c r="F103">
        <v>1</v>
      </c>
      <c r="G103">
        <v>1</v>
      </c>
      <c r="H103">
        <v>1</v>
      </c>
      <c r="I103">
        <v>1</v>
      </c>
      <c r="J103">
        <v>1</v>
      </c>
      <c r="K103">
        <v>1</v>
      </c>
      <c r="L103">
        <v>1</v>
      </c>
      <c r="M103">
        <v>1</v>
      </c>
      <c r="N103">
        <v>1</v>
      </c>
      <c r="P103">
        <v>1.7260656356811519</v>
      </c>
    </row>
    <row r="104" spans="1:16" x14ac:dyDescent="0.25">
      <c r="A104" t="s">
        <v>80</v>
      </c>
      <c r="B104" t="s">
        <v>95</v>
      </c>
      <c r="C104">
        <v>0</v>
      </c>
      <c r="D104">
        <v>1</v>
      </c>
      <c r="E104">
        <v>1</v>
      </c>
      <c r="F104">
        <v>1</v>
      </c>
      <c r="G104">
        <v>1</v>
      </c>
      <c r="H104">
        <v>1</v>
      </c>
      <c r="I104">
        <v>1</v>
      </c>
      <c r="J104">
        <v>1</v>
      </c>
      <c r="K104">
        <v>1</v>
      </c>
      <c r="L104">
        <v>1</v>
      </c>
      <c r="M104">
        <v>1</v>
      </c>
      <c r="N104">
        <v>1</v>
      </c>
      <c r="P104">
        <v>1.9525713920593259</v>
      </c>
    </row>
    <row r="105" spans="1:16" x14ac:dyDescent="0.25">
      <c r="A105" t="s">
        <v>80</v>
      </c>
      <c r="B105" t="s">
        <v>96</v>
      </c>
      <c r="C105">
        <v>0</v>
      </c>
      <c r="D105">
        <v>1</v>
      </c>
      <c r="E105">
        <v>1</v>
      </c>
      <c r="F105">
        <v>1</v>
      </c>
      <c r="G105">
        <v>1</v>
      </c>
      <c r="H105">
        <v>1</v>
      </c>
      <c r="I105">
        <v>1</v>
      </c>
      <c r="J105">
        <v>1</v>
      </c>
      <c r="K105">
        <v>1</v>
      </c>
      <c r="L105">
        <v>1</v>
      </c>
      <c r="M105">
        <v>1</v>
      </c>
      <c r="N105">
        <v>1</v>
      </c>
      <c r="P105">
        <v>2.6362001895904541</v>
      </c>
    </row>
    <row r="106" spans="1:16" x14ac:dyDescent="0.25">
      <c r="A106" t="s">
        <v>80</v>
      </c>
      <c r="B106" t="s">
        <v>97</v>
      </c>
      <c r="C106">
        <v>0</v>
      </c>
      <c r="D106">
        <v>1</v>
      </c>
      <c r="E106">
        <v>1</v>
      </c>
      <c r="F106">
        <v>1</v>
      </c>
      <c r="G106">
        <v>1</v>
      </c>
      <c r="H106">
        <v>1</v>
      </c>
      <c r="I106">
        <v>1</v>
      </c>
      <c r="J106">
        <v>1</v>
      </c>
      <c r="K106">
        <v>1</v>
      </c>
      <c r="L106">
        <v>1</v>
      </c>
      <c r="M106">
        <v>1</v>
      </c>
      <c r="N106">
        <v>1</v>
      </c>
      <c r="P106">
        <v>1.348251581192017</v>
      </c>
    </row>
    <row r="107" spans="1:16" x14ac:dyDescent="0.25">
      <c r="A107" t="s">
        <v>80</v>
      </c>
      <c r="B107" t="s">
        <v>98</v>
      </c>
      <c r="C107">
        <v>0</v>
      </c>
      <c r="D107">
        <v>1</v>
      </c>
      <c r="E107">
        <v>1</v>
      </c>
      <c r="F107">
        <v>1</v>
      </c>
      <c r="G107">
        <v>1</v>
      </c>
      <c r="H107">
        <v>1</v>
      </c>
      <c r="I107">
        <v>0</v>
      </c>
      <c r="J107">
        <v>1</v>
      </c>
      <c r="K107">
        <v>1</v>
      </c>
      <c r="L107">
        <v>1</v>
      </c>
      <c r="M107">
        <v>1</v>
      </c>
      <c r="N107">
        <v>1</v>
      </c>
      <c r="O107" t="s">
        <v>99</v>
      </c>
      <c r="P107">
        <v>3.4873263835906978</v>
      </c>
    </row>
    <row r="108" spans="1:16" x14ac:dyDescent="0.25">
      <c r="A108" t="s">
        <v>80</v>
      </c>
      <c r="B108" t="s">
        <v>100</v>
      </c>
      <c r="C108">
        <v>0</v>
      </c>
      <c r="D108">
        <v>1</v>
      </c>
      <c r="E108">
        <v>1</v>
      </c>
      <c r="F108">
        <v>1</v>
      </c>
      <c r="G108">
        <v>1</v>
      </c>
      <c r="H108">
        <v>1</v>
      </c>
      <c r="I108">
        <v>1</v>
      </c>
      <c r="J108">
        <v>1</v>
      </c>
      <c r="K108">
        <v>1</v>
      </c>
      <c r="L108">
        <v>1</v>
      </c>
      <c r="M108">
        <v>1</v>
      </c>
      <c r="N108">
        <v>1</v>
      </c>
      <c r="P108">
        <v>1.593209505081177</v>
      </c>
    </row>
    <row r="109" spans="1:16" x14ac:dyDescent="0.25">
      <c r="A109" t="s">
        <v>80</v>
      </c>
      <c r="B109" t="s">
        <v>101</v>
      </c>
      <c r="C109">
        <v>0</v>
      </c>
      <c r="D109">
        <v>1</v>
      </c>
      <c r="E109">
        <v>1</v>
      </c>
      <c r="F109">
        <v>1</v>
      </c>
      <c r="G109">
        <v>1</v>
      </c>
      <c r="H109">
        <v>1</v>
      </c>
      <c r="I109">
        <v>1</v>
      </c>
      <c r="J109">
        <v>1</v>
      </c>
      <c r="K109">
        <v>1</v>
      </c>
      <c r="L109">
        <v>1</v>
      </c>
      <c r="M109">
        <v>1</v>
      </c>
      <c r="N109">
        <v>1</v>
      </c>
      <c r="P109">
        <v>1.6297357082366939</v>
      </c>
    </row>
    <row r="110" spans="1:16" x14ac:dyDescent="0.25">
      <c r="A110" t="s">
        <v>80</v>
      </c>
      <c r="B110" t="s">
        <v>102</v>
      </c>
      <c r="C110">
        <v>0</v>
      </c>
      <c r="D110">
        <v>0</v>
      </c>
      <c r="E110" t="s">
        <v>28</v>
      </c>
      <c r="F110" t="s">
        <v>28</v>
      </c>
      <c r="G110" t="s">
        <v>28</v>
      </c>
      <c r="H110" t="s">
        <v>28</v>
      </c>
      <c r="I110" t="s">
        <v>28</v>
      </c>
      <c r="J110" t="s">
        <v>28</v>
      </c>
      <c r="K110" t="s">
        <v>28</v>
      </c>
      <c r="L110" t="s">
        <v>28</v>
      </c>
      <c r="M110" t="s">
        <v>28</v>
      </c>
      <c r="N110" t="s">
        <v>28</v>
      </c>
      <c r="O110" t="s">
        <v>103</v>
      </c>
      <c r="P110">
        <v>4.5915732383728027</v>
      </c>
    </row>
    <row r="111" spans="1:16" x14ac:dyDescent="0.25">
      <c r="A111" t="s">
        <v>80</v>
      </c>
      <c r="B111" t="s">
        <v>104</v>
      </c>
      <c r="C111">
        <v>0</v>
      </c>
      <c r="D111">
        <v>1</v>
      </c>
      <c r="E111">
        <v>1</v>
      </c>
      <c r="F111">
        <v>1</v>
      </c>
      <c r="G111">
        <v>1</v>
      </c>
      <c r="H111">
        <v>1</v>
      </c>
      <c r="I111">
        <v>1</v>
      </c>
      <c r="J111">
        <v>1</v>
      </c>
      <c r="K111">
        <v>1</v>
      </c>
      <c r="L111">
        <v>1</v>
      </c>
      <c r="M111">
        <v>1</v>
      </c>
      <c r="N111">
        <v>1</v>
      </c>
      <c r="P111">
        <v>1.6165745258331301</v>
      </c>
    </row>
    <row r="112" spans="1:16" x14ac:dyDescent="0.25">
      <c r="A112" t="s">
        <v>80</v>
      </c>
      <c r="B112" t="s">
        <v>105</v>
      </c>
      <c r="C112">
        <v>0</v>
      </c>
      <c r="D112">
        <v>1</v>
      </c>
      <c r="E112">
        <v>1</v>
      </c>
      <c r="F112">
        <v>1</v>
      </c>
      <c r="G112">
        <v>1</v>
      </c>
      <c r="H112">
        <v>1</v>
      </c>
      <c r="I112">
        <v>1</v>
      </c>
      <c r="J112">
        <v>1</v>
      </c>
      <c r="K112">
        <v>1</v>
      </c>
      <c r="L112">
        <v>1</v>
      </c>
      <c r="M112">
        <v>1</v>
      </c>
      <c r="N112">
        <v>1</v>
      </c>
      <c r="P112">
        <v>1.8471231460571289</v>
      </c>
    </row>
    <row r="113" spans="1:16" x14ac:dyDescent="0.25">
      <c r="A113" t="s">
        <v>80</v>
      </c>
      <c r="B113" t="s">
        <v>106</v>
      </c>
      <c r="C113">
        <v>0</v>
      </c>
      <c r="D113">
        <v>1</v>
      </c>
      <c r="E113">
        <v>1</v>
      </c>
      <c r="F113">
        <v>1</v>
      </c>
      <c r="G113">
        <v>1</v>
      </c>
      <c r="H113">
        <v>1</v>
      </c>
      <c r="I113">
        <v>1</v>
      </c>
      <c r="J113">
        <v>1</v>
      </c>
      <c r="K113">
        <v>1</v>
      </c>
      <c r="L113">
        <v>1</v>
      </c>
      <c r="M113">
        <v>1</v>
      </c>
      <c r="N113">
        <v>1</v>
      </c>
      <c r="P113">
        <v>1.633089065551758</v>
      </c>
    </row>
    <row r="114" spans="1:16" x14ac:dyDescent="0.25">
      <c r="A114" t="s">
        <v>107</v>
      </c>
      <c r="B114" t="s">
        <v>17</v>
      </c>
      <c r="C114">
        <v>0</v>
      </c>
      <c r="D114">
        <v>1</v>
      </c>
      <c r="E114">
        <v>1</v>
      </c>
      <c r="F114">
        <v>1</v>
      </c>
      <c r="G114">
        <v>1</v>
      </c>
      <c r="H114">
        <v>1</v>
      </c>
      <c r="I114">
        <v>1</v>
      </c>
      <c r="J114">
        <v>1</v>
      </c>
      <c r="K114">
        <v>1</v>
      </c>
      <c r="L114">
        <v>1</v>
      </c>
      <c r="M114">
        <v>1</v>
      </c>
      <c r="N114">
        <v>1</v>
      </c>
      <c r="P114">
        <v>1.5546057224273679</v>
      </c>
    </row>
    <row r="115" spans="1:16" x14ac:dyDescent="0.25">
      <c r="A115" t="s">
        <v>107</v>
      </c>
      <c r="B115" t="s">
        <v>18</v>
      </c>
      <c r="C115">
        <v>0</v>
      </c>
      <c r="D115">
        <v>1</v>
      </c>
      <c r="E115">
        <v>0</v>
      </c>
      <c r="F115">
        <v>1</v>
      </c>
      <c r="G115">
        <v>1</v>
      </c>
      <c r="H115" t="s">
        <v>28</v>
      </c>
      <c r="I115">
        <v>1</v>
      </c>
      <c r="J115" t="s">
        <v>28</v>
      </c>
      <c r="K115">
        <v>1</v>
      </c>
      <c r="L115">
        <v>1</v>
      </c>
      <c r="M115">
        <v>1</v>
      </c>
      <c r="N115">
        <v>1</v>
      </c>
      <c r="O115" t="s">
        <v>108</v>
      </c>
      <c r="P115">
        <v>3.3290834426879878</v>
      </c>
    </row>
    <row r="116" spans="1:16" x14ac:dyDescent="0.25">
      <c r="A116" t="s">
        <v>107</v>
      </c>
      <c r="B116" t="s">
        <v>19</v>
      </c>
      <c r="C116">
        <v>0</v>
      </c>
      <c r="D116">
        <v>1</v>
      </c>
      <c r="E116">
        <v>0</v>
      </c>
      <c r="F116">
        <v>1</v>
      </c>
      <c r="G116">
        <v>1</v>
      </c>
      <c r="H116" t="s">
        <v>28</v>
      </c>
      <c r="I116">
        <v>0</v>
      </c>
      <c r="J116" t="s">
        <v>28</v>
      </c>
      <c r="K116">
        <v>1</v>
      </c>
      <c r="L116">
        <v>1</v>
      </c>
      <c r="M116">
        <v>1</v>
      </c>
      <c r="N116">
        <v>1</v>
      </c>
      <c r="O116" t="s">
        <v>109</v>
      </c>
      <c r="P116">
        <v>3.74723219871521</v>
      </c>
    </row>
    <row r="117" spans="1:16" x14ac:dyDescent="0.25">
      <c r="A117" t="s">
        <v>107</v>
      </c>
      <c r="B117" t="s">
        <v>20</v>
      </c>
      <c r="C117">
        <v>0</v>
      </c>
      <c r="D117">
        <v>1</v>
      </c>
      <c r="E117">
        <v>1</v>
      </c>
      <c r="F117">
        <v>1</v>
      </c>
      <c r="G117">
        <v>1</v>
      </c>
      <c r="H117">
        <v>1</v>
      </c>
      <c r="I117">
        <v>1</v>
      </c>
      <c r="J117">
        <v>1</v>
      </c>
      <c r="K117">
        <v>1</v>
      </c>
      <c r="L117">
        <v>1</v>
      </c>
      <c r="M117">
        <v>1</v>
      </c>
      <c r="N117">
        <v>1</v>
      </c>
      <c r="P117">
        <v>3.675705194473267</v>
      </c>
    </row>
    <row r="118" spans="1:16" x14ac:dyDescent="0.25">
      <c r="A118" t="s">
        <v>107</v>
      </c>
      <c r="B118" t="s">
        <v>21</v>
      </c>
      <c r="C118">
        <v>0</v>
      </c>
      <c r="D118">
        <v>1</v>
      </c>
      <c r="E118">
        <v>1</v>
      </c>
      <c r="F118">
        <v>1</v>
      </c>
      <c r="G118">
        <v>1</v>
      </c>
      <c r="H118">
        <v>1</v>
      </c>
      <c r="I118">
        <v>1</v>
      </c>
      <c r="J118">
        <v>1</v>
      </c>
      <c r="K118">
        <v>1</v>
      </c>
      <c r="L118">
        <v>1</v>
      </c>
      <c r="M118">
        <v>1</v>
      </c>
      <c r="N118">
        <v>1</v>
      </c>
      <c r="P118">
        <v>1.722054243087769</v>
      </c>
    </row>
    <row r="119" spans="1:16" x14ac:dyDescent="0.25">
      <c r="A119" t="s">
        <v>107</v>
      </c>
      <c r="B119" t="s">
        <v>22</v>
      </c>
      <c r="C119">
        <v>0</v>
      </c>
      <c r="D119">
        <v>1</v>
      </c>
      <c r="E119">
        <v>0</v>
      </c>
      <c r="F119">
        <v>0</v>
      </c>
      <c r="G119">
        <v>1</v>
      </c>
      <c r="H119" t="s">
        <v>28</v>
      </c>
      <c r="I119">
        <v>1</v>
      </c>
      <c r="J119" t="s">
        <v>28</v>
      </c>
      <c r="K119">
        <v>1</v>
      </c>
      <c r="L119">
        <v>1</v>
      </c>
      <c r="M119">
        <v>1</v>
      </c>
      <c r="N119">
        <v>1</v>
      </c>
      <c r="O119" t="s">
        <v>110</v>
      </c>
      <c r="P119">
        <v>3.9799783229827881</v>
      </c>
    </row>
    <row r="120" spans="1:16" x14ac:dyDescent="0.25">
      <c r="A120" t="s">
        <v>107</v>
      </c>
      <c r="B120" t="s">
        <v>23</v>
      </c>
      <c r="C120">
        <v>0</v>
      </c>
      <c r="D120">
        <v>1</v>
      </c>
      <c r="E120">
        <v>1</v>
      </c>
      <c r="F120">
        <v>1</v>
      </c>
      <c r="G120">
        <v>1</v>
      </c>
      <c r="H120">
        <v>1</v>
      </c>
      <c r="I120">
        <v>1</v>
      </c>
      <c r="J120">
        <v>1</v>
      </c>
      <c r="K120">
        <v>1</v>
      </c>
      <c r="L120">
        <v>1</v>
      </c>
      <c r="M120">
        <v>1</v>
      </c>
      <c r="N120">
        <v>1</v>
      </c>
      <c r="P120">
        <v>1.504219532012939</v>
      </c>
    </row>
    <row r="121" spans="1:16" x14ac:dyDescent="0.25">
      <c r="A121" t="s">
        <v>107</v>
      </c>
      <c r="B121" t="s">
        <v>24</v>
      </c>
      <c r="C121">
        <v>0</v>
      </c>
      <c r="D121">
        <v>1</v>
      </c>
      <c r="E121">
        <v>1</v>
      </c>
      <c r="F121">
        <v>1</v>
      </c>
      <c r="G121">
        <v>1</v>
      </c>
      <c r="H121">
        <v>1</v>
      </c>
      <c r="I121">
        <v>1</v>
      </c>
      <c r="J121">
        <v>1</v>
      </c>
      <c r="K121">
        <v>1</v>
      </c>
      <c r="L121">
        <v>1</v>
      </c>
      <c r="M121">
        <v>1</v>
      </c>
      <c r="N121">
        <v>1</v>
      </c>
      <c r="P121">
        <v>1.7555322647094731</v>
      </c>
    </row>
    <row r="122" spans="1:16" x14ac:dyDescent="0.25">
      <c r="A122" t="s">
        <v>107</v>
      </c>
      <c r="B122" t="s">
        <v>25</v>
      </c>
      <c r="C122">
        <v>0</v>
      </c>
      <c r="D122">
        <v>1</v>
      </c>
      <c r="E122">
        <v>1</v>
      </c>
      <c r="F122">
        <v>1</v>
      </c>
      <c r="G122">
        <v>1</v>
      </c>
      <c r="H122">
        <v>1</v>
      </c>
      <c r="I122">
        <v>1</v>
      </c>
      <c r="J122">
        <v>1</v>
      </c>
      <c r="K122">
        <v>1</v>
      </c>
      <c r="L122">
        <v>1</v>
      </c>
      <c r="M122">
        <v>1</v>
      </c>
      <c r="N122">
        <v>1</v>
      </c>
      <c r="P122">
        <v>2.037950992584229</v>
      </c>
    </row>
    <row r="123" spans="1:16" x14ac:dyDescent="0.25">
      <c r="A123" t="s">
        <v>107</v>
      </c>
      <c r="B123" t="s">
        <v>26</v>
      </c>
      <c r="C123">
        <v>0</v>
      </c>
      <c r="D123">
        <v>1</v>
      </c>
      <c r="E123">
        <v>0</v>
      </c>
      <c r="F123">
        <v>1</v>
      </c>
      <c r="G123">
        <v>1</v>
      </c>
      <c r="H123" t="s">
        <v>28</v>
      </c>
      <c r="I123">
        <v>1</v>
      </c>
      <c r="J123" t="s">
        <v>28</v>
      </c>
      <c r="K123">
        <v>1</v>
      </c>
      <c r="L123">
        <v>1</v>
      </c>
      <c r="M123">
        <v>1</v>
      </c>
      <c r="N123">
        <v>1</v>
      </c>
      <c r="O123" t="s">
        <v>111</v>
      </c>
      <c r="P123">
        <v>3.6309623718261719</v>
      </c>
    </row>
    <row r="124" spans="1:16" x14ac:dyDescent="0.25">
      <c r="A124" t="s">
        <v>107</v>
      </c>
      <c r="B124" t="s">
        <v>27</v>
      </c>
      <c r="C124">
        <v>0</v>
      </c>
      <c r="D124">
        <v>1</v>
      </c>
      <c r="E124">
        <v>0</v>
      </c>
      <c r="F124">
        <v>1</v>
      </c>
      <c r="G124">
        <v>1</v>
      </c>
      <c r="H124" t="s">
        <v>28</v>
      </c>
      <c r="I124">
        <v>1</v>
      </c>
      <c r="J124" t="s">
        <v>28</v>
      </c>
      <c r="K124">
        <v>1</v>
      </c>
      <c r="L124">
        <v>1</v>
      </c>
      <c r="M124">
        <v>1</v>
      </c>
      <c r="N124">
        <v>1</v>
      </c>
      <c r="O124" t="s">
        <v>112</v>
      </c>
      <c r="P124">
        <v>2.5343201160430908</v>
      </c>
    </row>
    <row r="125" spans="1:16" x14ac:dyDescent="0.25">
      <c r="A125" t="s">
        <v>107</v>
      </c>
      <c r="B125" t="s">
        <v>30</v>
      </c>
      <c r="C125">
        <v>0</v>
      </c>
      <c r="D125">
        <v>1</v>
      </c>
      <c r="E125">
        <v>1</v>
      </c>
      <c r="F125">
        <v>1</v>
      </c>
      <c r="G125">
        <v>1</v>
      </c>
      <c r="H125">
        <v>1</v>
      </c>
      <c r="I125">
        <v>1</v>
      </c>
      <c r="J125">
        <v>1</v>
      </c>
      <c r="K125">
        <v>1</v>
      </c>
      <c r="L125">
        <v>1</v>
      </c>
      <c r="M125">
        <v>1</v>
      </c>
      <c r="N125">
        <v>1</v>
      </c>
      <c r="P125">
        <v>1.8688673973083501</v>
      </c>
    </row>
    <row r="126" spans="1:16" x14ac:dyDescent="0.25">
      <c r="A126" t="s">
        <v>107</v>
      </c>
      <c r="B126" t="s">
        <v>31</v>
      </c>
      <c r="C126">
        <v>0</v>
      </c>
      <c r="D126">
        <v>1</v>
      </c>
      <c r="E126">
        <v>1</v>
      </c>
      <c r="F126">
        <v>1</v>
      </c>
      <c r="G126">
        <v>1</v>
      </c>
      <c r="H126">
        <v>1</v>
      </c>
      <c r="I126">
        <v>1</v>
      </c>
      <c r="J126">
        <v>1</v>
      </c>
      <c r="K126">
        <v>1</v>
      </c>
      <c r="L126">
        <v>1</v>
      </c>
      <c r="M126">
        <v>1</v>
      </c>
      <c r="N126">
        <v>1</v>
      </c>
      <c r="P126">
        <v>1.730820894241333</v>
      </c>
    </row>
    <row r="127" spans="1:16" x14ac:dyDescent="0.25">
      <c r="A127" t="s">
        <v>107</v>
      </c>
      <c r="B127" t="s">
        <v>33</v>
      </c>
      <c r="C127">
        <v>0</v>
      </c>
      <c r="D127">
        <v>1</v>
      </c>
      <c r="E127">
        <v>1</v>
      </c>
      <c r="F127">
        <v>1</v>
      </c>
      <c r="G127">
        <v>1</v>
      </c>
      <c r="H127">
        <v>1</v>
      </c>
      <c r="I127">
        <v>1</v>
      </c>
      <c r="J127">
        <v>1</v>
      </c>
      <c r="K127">
        <v>1</v>
      </c>
      <c r="L127">
        <v>1</v>
      </c>
      <c r="M127">
        <v>1</v>
      </c>
      <c r="N127">
        <v>1</v>
      </c>
      <c r="P127">
        <v>4.5081870555877694</v>
      </c>
    </row>
    <row r="128" spans="1:16" x14ac:dyDescent="0.25">
      <c r="A128" t="s">
        <v>107</v>
      </c>
      <c r="B128" t="s">
        <v>34</v>
      </c>
      <c r="C128">
        <v>0</v>
      </c>
      <c r="D128">
        <v>1</v>
      </c>
      <c r="E128">
        <v>1</v>
      </c>
      <c r="F128">
        <v>1</v>
      </c>
      <c r="G128">
        <v>1</v>
      </c>
      <c r="H128">
        <v>1</v>
      </c>
      <c r="I128">
        <v>1</v>
      </c>
      <c r="J128">
        <v>1</v>
      </c>
      <c r="K128">
        <v>1</v>
      </c>
      <c r="L128">
        <v>1</v>
      </c>
      <c r="M128">
        <v>1</v>
      </c>
      <c r="N128">
        <v>1</v>
      </c>
      <c r="P128">
        <v>1.723361492156982</v>
      </c>
    </row>
    <row r="129" spans="1:16" x14ac:dyDescent="0.25">
      <c r="A129" t="s">
        <v>107</v>
      </c>
      <c r="B129" t="s">
        <v>36</v>
      </c>
      <c r="C129">
        <v>0</v>
      </c>
      <c r="D129">
        <v>1</v>
      </c>
      <c r="E129">
        <v>1</v>
      </c>
      <c r="F129">
        <v>1</v>
      </c>
      <c r="G129">
        <v>1</v>
      </c>
      <c r="H129">
        <v>1</v>
      </c>
      <c r="I129">
        <v>1</v>
      </c>
      <c r="J129">
        <v>1</v>
      </c>
      <c r="K129">
        <v>1</v>
      </c>
      <c r="L129">
        <v>1</v>
      </c>
      <c r="M129">
        <v>1</v>
      </c>
      <c r="N129">
        <v>1</v>
      </c>
      <c r="P129">
        <v>2.1184260845184331</v>
      </c>
    </row>
    <row r="130" spans="1:16" x14ac:dyDescent="0.25">
      <c r="A130" t="s">
        <v>107</v>
      </c>
      <c r="B130" t="s">
        <v>37</v>
      </c>
      <c r="C130">
        <v>0</v>
      </c>
      <c r="D130">
        <v>1</v>
      </c>
      <c r="E130">
        <v>1</v>
      </c>
      <c r="F130">
        <v>1</v>
      </c>
      <c r="G130">
        <v>1</v>
      </c>
      <c r="H130">
        <v>1</v>
      </c>
      <c r="I130">
        <v>1</v>
      </c>
      <c r="J130">
        <v>1</v>
      </c>
      <c r="K130">
        <v>1</v>
      </c>
      <c r="L130">
        <v>1</v>
      </c>
      <c r="M130">
        <v>1</v>
      </c>
      <c r="N130">
        <v>1</v>
      </c>
      <c r="P130">
        <v>2.4771778583526611</v>
      </c>
    </row>
    <row r="131" spans="1:16" x14ac:dyDescent="0.25">
      <c r="A131" t="s">
        <v>107</v>
      </c>
      <c r="B131" t="s">
        <v>38</v>
      </c>
      <c r="C131">
        <v>0</v>
      </c>
      <c r="D131">
        <v>1</v>
      </c>
      <c r="E131">
        <v>1</v>
      </c>
      <c r="F131">
        <v>1</v>
      </c>
      <c r="G131">
        <v>1</v>
      </c>
      <c r="H131">
        <v>1</v>
      </c>
      <c r="I131">
        <v>1</v>
      </c>
      <c r="J131">
        <v>1</v>
      </c>
      <c r="K131">
        <v>1</v>
      </c>
      <c r="L131">
        <v>1</v>
      </c>
      <c r="M131">
        <v>1</v>
      </c>
      <c r="N131">
        <v>1</v>
      </c>
      <c r="P131">
        <v>1.9160158634185791</v>
      </c>
    </row>
    <row r="132" spans="1:16" x14ac:dyDescent="0.25">
      <c r="A132" t="s">
        <v>107</v>
      </c>
      <c r="B132" t="s">
        <v>39</v>
      </c>
      <c r="C132">
        <v>0</v>
      </c>
      <c r="D132">
        <v>1</v>
      </c>
      <c r="E132">
        <v>1</v>
      </c>
      <c r="F132">
        <v>1</v>
      </c>
      <c r="G132">
        <v>1</v>
      </c>
      <c r="H132">
        <v>1</v>
      </c>
      <c r="I132">
        <v>1</v>
      </c>
      <c r="J132">
        <v>0</v>
      </c>
      <c r="K132">
        <v>1</v>
      </c>
      <c r="L132">
        <v>1</v>
      </c>
      <c r="M132">
        <v>1</v>
      </c>
      <c r="N132">
        <v>1</v>
      </c>
      <c r="O132" t="s">
        <v>113</v>
      </c>
      <c r="P132">
        <v>8.2823781967163086</v>
      </c>
    </row>
    <row r="133" spans="1:16" x14ac:dyDescent="0.25">
      <c r="A133" t="s">
        <v>107</v>
      </c>
      <c r="B133" t="s">
        <v>40</v>
      </c>
      <c r="C133">
        <v>0</v>
      </c>
      <c r="D133">
        <v>1</v>
      </c>
      <c r="E133">
        <v>1</v>
      </c>
      <c r="F133">
        <v>1</v>
      </c>
      <c r="G133">
        <v>1</v>
      </c>
      <c r="H133">
        <v>1</v>
      </c>
      <c r="I133">
        <v>1</v>
      </c>
      <c r="J133">
        <v>1</v>
      </c>
      <c r="K133">
        <v>1</v>
      </c>
      <c r="L133">
        <v>1</v>
      </c>
      <c r="M133">
        <v>1</v>
      </c>
      <c r="N133">
        <v>1</v>
      </c>
      <c r="P133">
        <v>1.6184811592102051</v>
      </c>
    </row>
    <row r="134" spans="1:16" x14ac:dyDescent="0.25">
      <c r="A134" t="s">
        <v>107</v>
      </c>
      <c r="B134" t="s">
        <v>41</v>
      </c>
      <c r="C134">
        <v>0</v>
      </c>
      <c r="D134">
        <v>1</v>
      </c>
      <c r="E134">
        <v>1</v>
      </c>
      <c r="F134">
        <v>1</v>
      </c>
      <c r="G134">
        <v>1</v>
      </c>
      <c r="H134">
        <v>1</v>
      </c>
      <c r="I134">
        <v>0</v>
      </c>
      <c r="J134">
        <v>1</v>
      </c>
      <c r="K134">
        <v>1</v>
      </c>
      <c r="L134">
        <v>1</v>
      </c>
      <c r="M134">
        <v>1</v>
      </c>
      <c r="N134">
        <v>1</v>
      </c>
      <c r="O134" t="s">
        <v>114</v>
      </c>
      <c r="P134">
        <v>5.8320686817169189</v>
      </c>
    </row>
    <row r="135" spans="1:16" x14ac:dyDescent="0.25">
      <c r="A135" t="s">
        <v>107</v>
      </c>
      <c r="B135" t="s">
        <v>42</v>
      </c>
      <c r="C135">
        <v>0</v>
      </c>
      <c r="D135">
        <v>1</v>
      </c>
      <c r="E135">
        <v>0</v>
      </c>
      <c r="F135">
        <v>1</v>
      </c>
      <c r="G135">
        <v>1</v>
      </c>
      <c r="H135" t="s">
        <v>28</v>
      </c>
      <c r="I135">
        <v>1</v>
      </c>
      <c r="J135" t="s">
        <v>28</v>
      </c>
      <c r="K135">
        <v>1</v>
      </c>
      <c r="L135">
        <v>1</v>
      </c>
      <c r="M135">
        <v>1</v>
      </c>
      <c r="N135">
        <v>1</v>
      </c>
      <c r="O135" t="s">
        <v>115</v>
      </c>
      <c r="P135">
        <v>2.807986974716187</v>
      </c>
    </row>
    <row r="136" spans="1:16" x14ac:dyDescent="0.25">
      <c r="A136" t="s">
        <v>107</v>
      </c>
      <c r="B136" t="s">
        <v>44</v>
      </c>
      <c r="C136">
        <v>0</v>
      </c>
      <c r="D136">
        <v>1</v>
      </c>
      <c r="E136">
        <v>1</v>
      </c>
      <c r="F136">
        <v>1</v>
      </c>
      <c r="G136">
        <v>1</v>
      </c>
      <c r="H136">
        <v>1</v>
      </c>
      <c r="I136">
        <v>1</v>
      </c>
      <c r="J136">
        <v>1</v>
      </c>
      <c r="K136">
        <v>1</v>
      </c>
      <c r="L136">
        <v>1</v>
      </c>
      <c r="M136">
        <v>1</v>
      </c>
      <c r="N136">
        <v>1</v>
      </c>
      <c r="P136">
        <v>6.6355280876159668</v>
      </c>
    </row>
    <row r="137" spans="1:16" x14ac:dyDescent="0.25">
      <c r="A137" t="s">
        <v>107</v>
      </c>
      <c r="B137" t="s">
        <v>45</v>
      </c>
      <c r="C137">
        <v>0</v>
      </c>
      <c r="D137">
        <v>0</v>
      </c>
      <c r="E137" t="s">
        <v>28</v>
      </c>
      <c r="F137" t="s">
        <v>28</v>
      </c>
      <c r="G137" t="s">
        <v>28</v>
      </c>
      <c r="H137" t="s">
        <v>28</v>
      </c>
      <c r="I137" t="s">
        <v>28</v>
      </c>
      <c r="J137" t="s">
        <v>28</v>
      </c>
      <c r="K137" t="s">
        <v>28</v>
      </c>
      <c r="L137" t="s">
        <v>28</v>
      </c>
      <c r="M137" t="s">
        <v>28</v>
      </c>
      <c r="N137" t="s">
        <v>28</v>
      </c>
      <c r="O137" t="s">
        <v>116</v>
      </c>
      <c r="P137">
        <v>2.8066954612731929</v>
      </c>
    </row>
    <row r="138" spans="1:16" x14ac:dyDescent="0.25">
      <c r="A138" t="s">
        <v>107</v>
      </c>
      <c r="B138" t="s">
        <v>46</v>
      </c>
      <c r="C138">
        <v>0</v>
      </c>
      <c r="D138">
        <v>1</v>
      </c>
      <c r="E138">
        <v>0</v>
      </c>
      <c r="F138">
        <v>1</v>
      </c>
      <c r="G138">
        <v>1</v>
      </c>
      <c r="H138" t="s">
        <v>28</v>
      </c>
      <c r="I138">
        <v>1</v>
      </c>
      <c r="J138" t="s">
        <v>28</v>
      </c>
      <c r="K138">
        <v>1</v>
      </c>
      <c r="L138">
        <v>1</v>
      </c>
      <c r="M138">
        <v>1</v>
      </c>
      <c r="N138">
        <v>1</v>
      </c>
      <c r="O138" t="s">
        <v>117</v>
      </c>
      <c r="P138">
        <v>3.4982132911682129</v>
      </c>
    </row>
    <row r="139" spans="1:16" x14ac:dyDescent="0.25">
      <c r="A139" t="s">
        <v>107</v>
      </c>
      <c r="B139" t="s">
        <v>47</v>
      </c>
      <c r="C139">
        <v>0</v>
      </c>
      <c r="D139">
        <v>1</v>
      </c>
      <c r="E139">
        <v>0</v>
      </c>
      <c r="F139">
        <v>1</v>
      </c>
      <c r="G139">
        <v>1</v>
      </c>
      <c r="H139" t="s">
        <v>28</v>
      </c>
      <c r="I139">
        <v>0</v>
      </c>
      <c r="J139" t="s">
        <v>28</v>
      </c>
      <c r="K139">
        <v>1</v>
      </c>
      <c r="L139">
        <v>1</v>
      </c>
      <c r="M139">
        <v>1</v>
      </c>
      <c r="N139">
        <v>1</v>
      </c>
      <c r="O139" t="s">
        <v>118</v>
      </c>
      <c r="P139">
        <v>3.3475444316864009</v>
      </c>
    </row>
    <row r="140" spans="1:16" x14ac:dyDescent="0.25">
      <c r="A140" t="s">
        <v>107</v>
      </c>
      <c r="B140" t="s">
        <v>49</v>
      </c>
      <c r="C140">
        <v>0</v>
      </c>
      <c r="D140">
        <v>1</v>
      </c>
      <c r="E140">
        <v>0</v>
      </c>
      <c r="F140">
        <v>1</v>
      </c>
      <c r="G140">
        <v>1</v>
      </c>
      <c r="H140" t="s">
        <v>28</v>
      </c>
      <c r="I140">
        <v>1</v>
      </c>
      <c r="J140" t="s">
        <v>28</v>
      </c>
      <c r="K140">
        <v>1</v>
      </c>
      <c r="L140">
        <v>1</v>
      </c>
      <c r="M140">
        <v>1</v>
      </c>
      <c r="N140">
        <v>1</v>
      </c>
      <c r="O140" t="s">
        <v>119</v>
      </c>
      <c r="P140">
        <v>2.9772212505340581</v>
      </c>
    </row>
    <row r="141" spans="1:16" x14ac:dyDescent="0.25">
      <c r="A141" t="s">
        <v>107</v>
      </c>
      <c r="B141" t="s">
        <v>51</v>
      </c>
      <c r="C141">
        <v>0</v>
      </c>
      <c r="D141">
        <v>1</v>
      </c>
      <c r="E141">
        <v>1</v>
      </c>
      <c r="F141">
        <v>1</v>
      </c>
      <c r="G141">
        <v>1</v>
      </c>
      <c r="H141">
        <v>1</v>
      </c>
      <c r="I141">
        <v>1</v>
      </c>
      <c r="J141">
        <v>1</v>
      </c>
      <c r="K141">
        <v>1</v>
      </c>
      <c r="L141">
        <v>1</v>
      </c>
      <c r="M141">
        <v>1</v>
      </c>
      <c r="N141">
        <v>1</v>
      </c>
      <c r="P141">
        <v>1.431072950363159</v>
      </c>
    </row>
    <row r="142" spans="1:16" x14ac:dyDescent="0.25">
      <c r="A142" t="s">
        <v>107</v>
      </c>
      <c r="B142" t="s">
        <v>53</v>
      </c>
      <c r="C142">
        <v>0</v>
      </c>
      <c r="D142">
        <v>1</v>
      </c>
      <c r="E142">
        <v>1</v>
      </c>
      <c r="F142">
        <v>1</v>
      </c>
      <c r="G142">
        <v>1</v>
      </c>
      <c r="H142">
        <v>1</v>
      </c>
      <c r="I142">
        <v>1</v>
      </c>
      <c r="J142">
        <v>1</v>
      </c>
      <c r="K142">
        <v>1</v>
      </c>
      <c r="L142">
        <v>1</v>
      </c>
      <c r="M142">
        <v>1</v>
      </c>
      <c r="N142">
        <v>1</v>
      </c>
      <c r="P142">
        <v>1.9901514053344731</v>
      </c>
    </row>
    <row r="143" spans="1:16" x14ac:dyDescent="0.25">
      <c r="A143" t="s">
        <v>107</v>
      </c>
      <c r="B143" t="s">
        <v>54</v>
      </c>
      <c r="C143">
        <v>0</v>
      </c>
      <c r="D143">
        <v>1</v>
      </c>
      <c r="E143">
        <v>1</v>
      </c>
      <c r="F143">
        <v>0</v>
      </c>
      <c r="G143">
        <v>1</v>
      </c>
      <c r="H143">
        <v>1</v>
      </c>
      <c r="I143">
        <v>1</v>
      </c>
      <c r="J143" t="s">
        <v>28</v>
      </c>
      <c r="K143">
        <v>1</v>
      </c>
      <c r="L143">
        <v>1</v>
      </c>
      <c r="M143">
        <v>1</v>
      </c>
      <c r="N143">
        <v>1</v>
      </c>
      <c r="O143" t="s">
        <v>120</v>
      </c>
      <c r="P143">
        <v>2.2719078063964839</v>
      </c>
    </row>
    <row r="144" spans="1:16" x14ac:dyDescent="0.25">
      <c r="A144" t="s">
        <v>107</v>
      </c>
      <c r="B144" t="s">
        <v>56</v>
      </c>
      <c r="C144">
        <v>0</v>
      </c>
      <c r="D144">
        <v>1</v>
      </c>
      <c r="E144">
        <v>1</v>
      </c>
      <c r="F144">
        <v>1</v>
      </c>
      <c r="G144">
        <v>1</v>
      </c>
      <c r="H144">
        <v>1</v>
      </c>
      <c r="I144">
        <v>1</v>
      </c>
      <c r="J144">
        <v>1</v>
      </c>
      <c r="K144">
        <v>1</v>
      </c>
      <c r="L144">
        <v>1</v>
      </c>
      <c r="M144">
        <v>1</v>
      </c>
      <c r="N144">
        <v>1</v>
      </c>
      <c r="P144">
        <v>1.7598540782928469</v>
      </c>
    </row>
    <row r="145" spans="1:16" x14ac:dyDescent="0.25">
      <c r="A145" t="s">
        <v>107</v>
      </c>
      <c r="B145" t="s">
        <v>58</v>
      </c>
      <c r="C145">
        <v>0</v>
      </c>
      <c r="D145">
        <v>1</v>
      </c>
      <c r="E145">
        <v>1</v>
      </c>
      <c r="F145">
        <v>1</v>
      </c>
      <c r="G145">
        <v>1</v>
      </c>
      <c r="H145">
        <v>1</v>
      </c>
      <c r="I145">
        <v>1</v>
      </c>
      <c r="J145">
        <v>1</v>
      </c>
      <c r="K145">
        <v>1</v>
      </c>
      <c r="L145">
        <v>1</v>
      </c>
      <c r="M145">
        <v>1</v>
      </c>
      <c r="N145">
        <v>1</v>
      </c>
      <c r="P145">
        <v>1.512451648712158</v>
      </c>
    </row>
    <row r="146" spans="1:16" x14ac:dyDescent="0.25">
      <c r="A146" t="s">
        <v>107</v>
      </c>
      <c r="B146" t="s">
        <v>60</v>
      </c>
      <c r="C146">
        <v>0</v>
      </c>
      <c r="D146">
        <v>1</v>
      </c>
      <c r="E146">
        <v>1</v>
      </c>
      <c r="F146">
        <v>1</v>
      </c>
      <c r="G146">
        <v>1</v>
      </c>
      <c r="H146">
        <v>1</v>
      </c>
      <c r="I146">
        <v>1</v>
      </c>
      <c r="J146">
        <v>1</v>
      </c>
      <c r="K146">
        <v>1</v>
      </c>
      <c r="L146">
        <v>1</v>
      </c>
      <c r="M146">
        <v>1</v>
      </c>
      <c r="N146">
        <v>1</v>
      </c>
      <c r="P146">
        <v>1.803259611129761</v>
      </c>
    </row>
    <row r="147" spans="1:16" x14ac:dyDescent="0.25">
      <c r="A147" t="s">
        <v>107</v>
      </c>
      <c r="B147" t="s">
        <v>62</v>
      </c>
      <c r="C147">
        <v>0</v>
      </c>
      <c r="D147">
        <v>1</v>
      </c>
      <c r="E147">
        <v>1</v>
      </c>
      <c r="F147">
        <v>1</v>
      </c>
      <c r="G147">
        <v>1</v>
      </c>
      <c r="H147">
        <v>1</v>
      </c>
      <c r="I147">
        <v>0</v>
      </c>
      <c r="J147">
        <v>1</v>
      </c>
      <c r="K147">
        <v>1</v>
      </c>
      <c r="L147">
        <v>1</v>
      </c>
      <c r="M147">
        <v>1</v>
      </c>
      <c r="N147">
        <v>1</v>
      </c>
      <c r="O147" t="s">
        <v>121</v>
      </c>
      <c r="P147">
        <v>3.0205907821655269</v>
      </c>
    </row>
    <row r="148" spans="1:16" x14ac:dyDescent="0.25">
      <c r="A148" t="s">
        <v>107</v>
      </c>
      <c r="B148" t="s">
        <v>63</v>
      </c>
      <c r="C148">
        <v>0</v>
      </c>
      <c r="D148">
        <v>1</v>
      </c>
      <c r="E148">
        <v>1</v>
      </c>
      <c r="F148">
        <v>1</v>
      </c>
      <c r="G148">
        <v>1</v>
      </c>
      <c r="H148">
        <v>1</v>
      </c>
      <c r="I148">
        <v>1</v>
      </c>
      <c r="J148">
        <v>1</v>
      </c>
      <c r="K148">
        <v>1</v>
      </c>
      <c r="L148">
        <v>1</v>
      </c>
      <c r="M148">
        <v>1</v>
      </c>
      <c r="N148">
        <v>1</v>
      </c>
      <c r="P148">
        <v>1.523942708969116</v>
      </c>
    </row>
    <row r="149" spans="1:16" x14ac:dyDescent="0.25">
      <c r="A149" t="s">
        <v>107</v>
      </c>
      <c r="B149" t="s">
        <v>64</v>
      </c>
      <c r="C149">
        <v>0</v>
      </c>
      <c r="D149">
        <v>1</v>
      </c>
      <c r="E149">
        <v>1</v>
      </c>
      <c r="F149">
        <v>1</v>
      </c>
      <c r="G149">
        <v>1</v>
      </c>
      <c r="H149">
        <v>1</v>
      </c>
      <c r="I149">
        <v>1</v>
      </c>
      <c r="J149">
        <v>1</v>
      </c>
      <c r="K149">
        <v>1</v>
      </c>
      <c r="L149">
        <v>1</v>
      </c>
      <c r="M149">
        <v>1</v>
      </c>
      <c r="N149">
        <v>1</v>
      </c>
      <c r="P149">
        <v>2.018027544021606</v>
      </c>
    </row>
    <row r="150" spans="1:16" x14ac:dyDescent="0.25">
      <c r="A150" t="s">
        <v>107</v>
      </c>
      <c r="B150" t="s">
        <v>65</v>
      </c>
      <c r="C150">
        <v>0</v>
      </c>
      <c r="D150">
        <v>1</v>
      </c>
      <c r="E150">
        <v>1</v>
      </c>
      <c r="F150">
        <v>1</v>
      </c>
      <c r="G150">
        <v>1</v>
      </c>
      <c r="H150">
        <v>1</v>
      </c>
      <c r="I150">
        <v>1</v>
      </c>
      <c r="J150">
        <v>1</v>
      </c>
      <c r="K150">
        <v>1</v>
      </c>
      <c r="L150">
        <v>1</v>
      </c>
      <c r="M150">
        <v>1</v>
      </c>
      <c r="N150">
        <v>1</v>
      </c>
      <c r="P150">
        <v>2.265008687973022</v>
      </c>
    </row>
    <row r="151" spans="1:16" x14ac:dyDescent="0.25">
      <c r="A151" t="s">
        <v>107</v>
      </c>
      <c r="B151" t="s">
        <v>66</v>
      </c>
      <c r="C151">
        <v>0</v>
      </c>
      <c r="D151">
        <v>1</v>
      </c>
      <c r="E151">
        <v>1</v>
      </c>
      <c r="F151">
        <v>1</v>
      </c>
      <c r="G151">
        <v>1</v>
      </c>
      <c r="H151">
        <v>1</v>
      </c>
      <c r="I151">
        <v>1</v>
      </c>
      <c r="J151">
        <v>1</v>
      </c>
      <c r="K151">
        <v>1</v>
      </c>
      <c r="L151">
        <v>1</v>
      </c>
      <c r="M151">
        <v>1</v>
      </c>
      <c r="N151">
        <v>1</v>
      </c>
      <c r="P151">
        <v>1.610819816589355</v>
      </c>
    </row>
    <row r="152" spans="1:16" x14ac:dyDescent="0.25">
      <c r="A152" t="s">
        <v>107</v>
      </c>
      <c r="B152" t="s">
        <v>67</v>
      </c>
      <c r="C152">
        <v>0</v>
      </c>
      <c r="D152">
        <v>1</v>
      </c>
      <c r="E152">
        <v>1</v>
      </c>
      <c r="F152">
        <v>1</v>
      </c>
      <c r="G152">
        <v>1</v>
      </c>
      <c r="H152">
        <v>1</v>
      </c>
      <c r="I152">
        <v>1</v>
      </c>
      <c r="J152">
        <v>1</v>
      </c>
      <c r="K152">
        <v>1</v>
      </c>
      <c r="L152">
        <v>1</v>
      </c>
      <c r="M152">
        <v>1</v>
      </c>
      <c r="N152">
        <v>1</v>
      </c>
      <c r="P152">
        <v>1.3933079242706301</v>
      </c>
    </row>
    <row r="153" spans="1:16" x14ac:dyDescent="0.25">
      <c r="A153" t="s">
        <v>107</v>
      </c>
      <c r="B153" t="s">
        <v>69</v>
      </c>
      <c r="C153">
        <v>0</v>
      </c>
      <c r="D153">
        <v>1</v>
      </c>
      <c r="E153">
        <v>1</v>
      </c>
      <c r="F153">
        <v>1</v>
      </c>
      <c r="G153">
        <v>1</v>
      </c>
      <c r="H153">
        <v>1</v>
      </c>
      <c r="I153">
        <v>1</v>
      </c>
      <c r="J153">
        <v>1</v>
      </c>
      <c r="K153">
        <v>1</v>
      </c>
      <c r="L153">
        <v>1</v>
      </c>
      <c r="M153">
        <v>1</v>
      </c>
      <c r="N153">
        <v>1</v>
      </c>
      <c r="P153">
        <v>1.564357995986938</v>
      </c>
    </row>
    <row r="154" spans="1:16" x14ac:dyDescent="0.25">
      <c r="A154" t="s">
        <v>107</v>
      </c>
      <c r="B154" t="s">
        <v>70</v>
      </c>
      <c r="C154">
        <v>0</v>
      </c>
      <c r="D154">
        <v>1</v>
      </c>
      <c r="E154">
        <v>1</v>
      </c>
      <c r="F154">
        <v>1</v>
      </c>
      <c r="G154">
        <v>1</v>
      </c>
      <c r="H154">
        <v>1</v>
      </c>
      <c r="I154">
        <v>1</v>
      </c>
      <c r="J154">
        <v>1</v>
      </c>
      <c r="K154">
        <v>1</v>
      </c>
      <c r="L154">
        <v>1</v>
      </c>
      <c r="M154">
        <v>1</v>
      </c>
      <c r="N154">
        <v>1</v>
      </c>
      <c r="P154">
        <v>1.3509349822998049</v>
      </c>
    </row>
    <row r="155" spans="1:16" x14ac:dyDescent="0.25">
      <c r="A155" t="s">
        <v>107</v>
      </c>
      <c r="B155" t="s">
        <v>71</v>
      </c>
      <c r="C155">
        <v>0</v>
      </c>
      <c r="D155">
        <v>1</v>
      </c>
      <c r="E155">
        <v>1</v>
      </c>
      <c r="F155">
        <v>1</v>
      </c>
      <c r="G155">
        <v>1</v>
      </c>
      <c r="H155">
        <v>1</v>
      </c>
      <c r="I155">
        <v>1</v>
      </c>
      <c r="J155">
        <v>1</v>
      </c>
      <c r="K155">
        <v>1</v>
      </c>
      <c r="L155">
        <v>1</v>
      </c>
      <c r="M155">
        <v>1</v>
      </c>
      <c r="N155">
        <v>1</v>
      </c>
      <c r="P155">
        <v>1.4427449703216551</v>
      </c>
    </row>
    <row r="156" spans="1:16" x14ac:dyDescent="0.25">
      <c r="A156" t="s">
        <v>107</v>
      </c>
      <c r="B156" t="s">
        <v>72</v>
      </c>
      <c r="C156">
        <v>0</v>
      </c>
      <c r="D156">
        <v>0</v>
      </c>
      <c r="E156" t="s">
        <v>28</v>
      </c>
      <c r="F156" t="s">
        <v>28</v>
      </c>
      <c r="G156" t="s">
        <v>28</v>
      </c>
      <c r="H156" t="s">
        <v>28</v>
      </c>
      <c r="I156" t="s">
        <v>28</v>
      </c>
      <c r="J156" t="s">
        <v>28</v>
      </c>
      <c r="K156" t="s">
        <v>28</v>
      </c>
      <c r="L156" t="s">
        <v>28</v>
      </c>
      <c r="M156" t="s">
        <v>28</v>
      </c>
      <c r="N156" t="s">
        <v>28</v>
      </c>
      <c r="O156" t="s">
        <v>122</v>
      </c>
      <c r="P156">
        <v>4.1158821582794189</v>
      </c>
    </row>
    <row r="157" spans="1:16" x14ac:dyDescent="0.25">
      <c r="A157" t="s">
        <v>107</v>
      </c>
      <c r="B157" t="s">
        <v>74</v>
      </c>
      <c r="C157">
        <v>0</v>
      </c>
      <c r="D157">
        <v>1</v>
      </c>
      <c r="E157">
        <v>1</v>
      </c>
      <c r="F157">
        <v>1</v>
      </c>
      <c r="G157">
        <v>1</v>
      </c>
      <c r="H157">
        <v>1</v>
      </c>
      <c r="I157">
        <v>0</v>
      </c>
      <c r="J157">
        <v>1</v>
      </c>
      <c r="K157">
        <v>1</v>
      </c>
      <c r="L157">
        <v>1</v>
      </c>
      <c r="M157">
        <v>1</v>
      </c>
      <c r="N157">
        <v>1</v>
      </c>
      <c r="O157" t="s">
        <v>123</v>
      </c>
      <c r="P157">
        <v>2.842970609664917</v>
      </c>
    </row>
    <row r="158" spans="1:16" x14ac:dyDescent="0.25">
      <c r="A158" t="s">
        <v>107</v>
      </c>
      <c r="B158" t="s">
        <v>75</v>
      </c>
      <c r="C158">
        <v>0</v>
      </c>
      <c r="D158">
        <v>1</v>
      </c>
      <c r="E158">
        <v>1</v>
      </c>
      <c r="F158">
        <v>1</v>
      </c>
      <c r="G158">
        <v>1</v>
      </c>
      <c r="H158">
        <v>1</v>
      </c>
      <c r="I158">
        <v>1</v>
      </c>
      <c r="J158">
        <v>1</v>
      </c>
      <c r="K158">
        <v>1</v>
      </c>
      <c r="L158">
        <v>1</v>
      </c>
      <c r="M158">
        <v>1</v>
      </c>
      <c r="N158">
        <v>1</v>
      </c>
      <c r="P158">
        <v>1.398933887481689</v>
      </c>
    </row>
    <row r="159" spans="1:16" x14ac:dyDescent="0.25">
      <c r="A159" t="s">
        <v>107</v>
      </c>
      <c r="B159" t="s">
        <v>76</v>
      </c>
      <c r="C159">
        <v>0</v>
      </c>
      <c r="D159">
        <v>1</v>
      </c>
      <c r="E159">
        <v>1</v>
      </c>
      <c r="F159">
        <v>1</v>
      </c>
      <c r="G159">
        <v>1</v>
      </c>
      <c r="H159">
        <v>1</v>
      </c>
      <c r="I159">
        <v>1</v>
      </c>
      <c r="J159">
        <v>1</v>
      </c>
      <c r="K159">
        <v>1</v>
      </c>
      <c r="L159">
        <v>1</v>
      </c>
      <c r="M159">
        <v>1</v>
      </c>
      <c r="N159">
        <v>1</v>
      </c>
      <c r="P159">
        <v>1.4944195747375491</v>
      </c>
    </row>
    <row r="160" spans="1:16" x14ac:dyDescent="0.25">
      <c r="A160" t="s">
        <v>107</v>
      </c>
      <c r="B160" t="s">
        <v>77</v>
      </c>
      <c r="C160">
        <v>0</v>
      </c>
      <c r="D160">
        <v>0</v>
      </c>
      <c r="E160" t="s">
        <v>28</v>
      </c>
      <c r="F160" t="s">
        <v>28</v>
      </c>
      <c r="G160" t="s">
        <v>28</v>
      </c>
      <c r="H160" t="s">
        <v>28</v>
      </c>
      <c r="I160" t="s">
        <v>28</v>
      </c>
      <c r="J160" t="s">
        <v>28</v>
      </c>
      <c r="K160" t="s">
        <v>28</v>
      </c>
      <c r="L160" t="s">
        <v>28</v>
      </c>
      <c r="M160" t="s">
        <v>28</v>
      </c>
      <c r="N160" t="s">
        <v>28</v>
      </c>
      <c r="O160" t="s">
        <v>124</v>
      </c>
      <c r="P160">
        <v>2.3904190063476558</v>
      </c>
    </row>
    <row r="161" spans="1:16" x14ac:dyDescent="0.25">
      <c r="A161" t="s">
        <v>107</v>
      </c>
      <c r="B161" t="s">
        <v>78</v>
      </c>
      <c r="C161">
        <v>0</v>
      </c>
      <c r="D161">
        <v>1</v>
      </c>
      <c r="E161">
        <v>1</v>
      </c>
      <c r="F161">
        <v>1</v>
      </c>
      <c r="G161">
        <v>1</v>
      </c>
      <c r="H161">
        <v>1</v>
      </c>
      <c r="I161">
        <v>1</v>
      </c>
      <c r="J161">
        <v>1</v>
      </c>
      <c r="K161">
        <v>1</v>
      </c>
      <c r="L161">
        <v>1</v>
      </c>
      <c r="M161">
        <v>1</v>
      </c>
      <c r="N161">
        <v>1</v>
      </c>
      <c r="P161">
        <v>1.606314897537231</v>
      </c>
    </row>
    <row r="162" spans="1:16" x14ac:dyDescent="0.25">
      <c r="A162" t="s">
        <v>107</v>
      </c>
      <c r="B162" t="s">
        <v>79</v>
      </c>
      <c r="C162">
        <v>0</v>
      </c>
      <c r="D162">
        <v>1</v>
      </c>
      <c r="E162">
        <v>1</v>
      </c>
      <c r="F162">
        <v>1</v>
      </c>
      <c r="G162">
        <v>1</v>
      </c>
      <c r="H162">
        <v>1</v>
      </c>
      <c r="I162">
        <v>1</v>
      </c>
      <c r="J162">
        <v>1</v>
      </c>
      <c r="K162">
        <v>1</v>
      </c>
      <c r="L162">
        <v>1</v>
      </c>
      <c r="M162">
        <v>1</v>
      </c>
      <c r="N162">
        <v>1</v>
      </c>
      <c r="P162">
        <v>4.2670302391052246</v>
      </c>
    </row>
    <row r="163" spans="1:16" x14ac:dyDescent="0.25">
      <c r="A163" t="s">
        <v>107</v>
      </c>
      <c r="B163" t="s">
        <v>91</v>
      </c>
      <c r="C163">
        <v>0</v>
      </c>
      <c r="D163">
        <v>1</v>
      </c>
      <c r="E163">
        <v>1</v>
      </c>
      <c r="F163">
        <v>1</v>
      </c>
      <c r="G163">
        <v>1</v>
      </c>
      <c r="H163">
        <v>1</v>
      </c>
      <c r="I163">
        <v>1</v>
      </c>
      <c r="J163">
        <v>1</v>
      </c>
      <c r="K163">
        <v>1</v>
      </c>
      <c r="L163">
        <v>1</v>
      </c>
      <c r="M163">
        <v>1</v>
      </c>
      <c r="N163">
        <v>1</v>
      </c>
      <c r="P163">
        <v>1.434240341186523</v>
      </c>
    </row>
    <row r="164" spans="1:16" x14ac:dyDescent="0.25">
      <c r="A164" t="s">
        <v>107</v>
      </c>
      <c r="B164" t="s">
        <v>92</v>
      </c>
      <c r="C164">
        <v>0</v>
      </c>
      <c r="D164">
        <v>1</v>
      </c>
      <c r="E164">
        <v>1</v>
      </c>
      <c r="F164">
        <v>1</v>
      </c>
      <c r="G164">
        <v>1</v>
      </c>
      <c r="H164">
        <v>1</v>
      </c>
      <c r="I164">
        <v>1</v>
      </c>
      <c r="J164">
        <v>1</v>
      </c>
      <c r="K164">
        <v>1</v>
      </c>
      <c r="L164">
        <v>1</v>
      </c>
      <c r="M164">
        <v>1</v>
      </c>
      <c r="N164">
        <v>1</v>
      </c>
      <c r="P164">
        <v>2.014743328094482</v>
      </c>
    </row>
    <row r="165" spans="1:16" x14ac:dyDescent="0.25">
      <c r="A165" t="s">
        <v>107</v>
      </c>
      <c r="B165" t="s">
        <v>93</v>
      </c>
      <c r="C165">
        <v>0</v>
      </c>
      <c r="D165">
        <v>1</v>
      </c>
      <c r="E165">
        <v>1</v>
      </c>
      <c r="F165">
        <v>1</v>
      </c>
      <c r="G165">
        <v>1</v>
      </c>
      <c r="H165">
        <v>1</v>
      </c>
      <c r="I165">
        <v>1</v>
      </c>
      <c r="J165">
        <v>1</v>
      </c>
      <c r="K165">
        <v>1</v>
      </c>
      <c r="L165">
        <v>1</v>
      </c>
      <c r="M165">
        <v>1</v>
      </c>
      <c r="N165">
        <v>1</v>
      </c>
      <c r="P165">
        <v>2.1745600700378418</v>
      </c>
    </row>
    <row r="166" spans="1:16" x14ac:dyDescent="0.25">
      <c r="A166" t="s">
        <v>107</v>
      </c>
      <c r="B166" t="s">
        <v>94</v>
      </c>
      <c r="C166">
        <v>0</v>
      </c>
      <c r="D166">
        <v>1</v>
      </c>
      <c r="E166">
        <v>1</v>
      </c>
      <c r="F166">
        <v>1</v>
      </c>
      <c r="G166">
        <v>1</v>
      </c>
      <c r="H166">
        <v>1</v>
      </c>
      <c r="I166">
        <v>1</v>
      </c>
      <c r="J166">
        <v>1</v>
      </c>
      <c r="K166">
        <v>1</v>
      </c>
      <c r="L166">
        <v>1</v>
      </c>
      <c r="M166">
        <v>1</v>
      </c>
      <c r="N166">
        <v>1</v>
      </c>
      <c r="P166">
        <v>1.420280456542969</v>
      </c>
    </row>
    <row r="167" spans="1:16" x14ac:dyDescent="0.25">
      <c r="A167" t="s">
        <v>107</v>
      </c>
      <c r="B167" t="s">
        <v>95</v>
      </c>
      <c r="C167">
        <v>0</v>
      </c>
      <c r="D167">
        <v>1</v>
      </c>
      <c r="E167">
        <v>1</v>
      </c>
      <c r="F167">
        <v>1</v>
      </c>
      <c r="G167">
        <v>1</v>
      </c>
      <c r="H167">
        <v>1</v>
      </c>
      <c r="I167">
        <v>1</v>
      </c>
      <c r="J167">
        <v>1</v>
      </c>
      <c r="K167">
        <v>1</v>
      </c>
      <c r="L167">
        <v>1</v>
      </c>
      <c r="M167">
        <v>1</v>
      </c>
      <c r="N167">
        <v>1</v>
      </c>
      <c r="P167">
        <v>1.827944755554199</v>
      </c>
    </row>
    <row r="168" spans="1:16" x14ac:dyDescent="0.25">
      <c r="A168" t="s">
        <v>107</v>
      </c>
      <c r="B168" t="s">
        <v>96</v>
      </c>
      <c r="C168">
        <v>0</v>
      </c>
      <c r="D168">
        <v>1</v>
      </c>
      <c r="E168">
        <v>1</v>
      </c>
      <c r="F168">
        <v>1</v>
      </c>
      <c r="G168">
        <v>1</v>
      </c>
      <c r="H168">
        <v>1</v>
      </c>
      <c r="I168">
        <v>1</v>
      </c>
      <c r="J168">
        <v>1</v>
      </c>
      <c r="K168">
        <v>1</v>
      </c>
      <c r="L168">
        <v>1</v>
      </c>
      <c r="M168">
        <v>1</v>
      </c>
      <c r="N168">
        <v>1</v>
      </c>
      <c r="P168">
        <v>1.568963289260864</v>
      </c>
    </row>
    <row r="169" spans="1:16" x14ac:dyDescent="0.25">
      <c r="A169" t="s">
        <v>107</v>
      </c>
      <c r="B169" t="s">
        <v>97</v>
      </c>
      <c r="C169">
        <v>0</v>
      </c>
      <c r="D169">
        <v>1</v>
      </c>
      <c r="E169">
        <v>1</v>
      </c>
      <c r="F169">
        <v>1</v>
      </c>
      <c r="G169">
        <v>1</v>
      </c>
      <c r="H169">
        <v>1</v>
      </c>
      <c r="I169">
        <v>1</v>
      </c>
      <c r="J169">
        <v>1</v>
      </c>
      <c r="K169">
        <v>1</v>
      </c>
      <c r="L169">
        <v>1</v>
      </c>
      <c r="M169">
        <v>1</v>
      </c>
      <c r="N169">
        <v>1</v>
      </c>
      <c r="P169">
        <v>1.4246537685394289</v>
      </c>
    </row>
    <row r="170" spans="1:16" x14ac:dyDescent="0.25">
      <c r="A170" t="s">
        <v>107</v>
      </c>
      <c r="B170" t="s">
        <v>98</v>
      </c>
      <c r="C170">
        <v>0</v>
      </c>
      <c r="D170">
        <v>1</v>
      </c>
      <c r="E170">
        <v>1</v>
      </c>
      <c r="F170">
        <v>1</v>
      </c>
      <c r="G170">
        <v>1</v>
      </c>
      <c r="H170">
        <v>1</v>
      </c>
      <c r="I170">
        <v>1</v>
      </c>
      <c r="J170">
        <v>1</v>
      </c>
      <c r="K170">
        <v>1</v>
      </c>
      <c r="L170">
        <v>1</v>
      </c>
      <c r="M170">
        <v>1</v>
      </c>
      <c r="N170">
        <v>1</v>
      </c>
      <c r="P170">
        <v>1.3643462657928469</v>
      </c>
    </row>
    <row r="171" spans="1:16" x14ac:dyDescent="0.25">
      <c r="A171" t="s">
        <v>107</v>
      </c>
      <c r="B171" t="s">
        <v>100</v>
      </c>
      <c r="C171">
        <v>0</v>
      </c>
      <c r="D171">
        <v>1</v>
      </c>
      <c r="E171">
        <v>1</v>
      </c>
      <c r="F171">
        <v>1</v>
      </c>
      <c r="G171">
        <v>1</v>
      </c>
      <c r="H171">
        <v>1</v>
      </c>
      <c r="I171">
        <v>1</v>
      </c>
      <c r="J171">
        <v>1</v>
      </c>
      <c r="K171">
        <v>1</v>
      </c>
      <c r="L171">
        <v>1</v>
      </c>
      <c r="M171">
        <v>1</v>
      </c>
      <c r="N171">
        <v>1</v>
      </c>
      <c r="P171">
        <v>1.4099850654602051</v>
      </c>
    </row>
    <row r="172" spans="1:16" x14ac:dyDescent="0.25">
      <c r="A172" t="s">
        <v>107</v>
      </c>
      <c r="B172" t="s">
        <v>101</v>
      </c>
      <c r="C172">
        <v>0</v>
      </c>
      <c r="D172">
        <v>1</v>
      </c>
      <c r="E172">
        <v>1</v>
      </c>
      <c r="F172">
        <v>1</v>
      </c>
      <c r="G172">
        <v>1</v>
      </c>
      <c r="H172">
        <v>1</v>
      </c>
      <c r="I172">
        <v>0</v>
      </c>
      <c r="J172">
        <v>1</v>
      </c>
      <c r="K172">
        <v>1</v>
      </c>
      <c r="L172">
        <v>1</v>
      </c>
      <c r="M172">
        <v>1</v>
      </c>
      <c r="N172">
        <v>1</v>
      </c>
      <c r="O172" t="s">
        <v>125</v>
      </c>
      <c r="P172">
        <v>2.449801921844482</v>
      </c>
    </row>
    <row r="173" spans="1:16" x14ac:dyDescent="0.25">
      <c r="A173" t="s">
        <v>107</v>
      </c>
      <c r="B173" t="s">
        <v>102</v>
      </c>
      <c r="C173">
        <v>0</v>
      </c>
      <c r="D173">
        <v>1</v>
      </c>
      <c r="E173">
        <v>1</v>
      </c>
      <c r="F173">
        <v>1</v>
      </c>
      <c r="G173">
        <v>1</v>
      </c>
      <c r="H173">
        <v>1</v>
      </c>
      <c r="I173">
        <v>1</v>
      </c>
      <c r="J173">
        <v>1</v>
      </c>
      <c r="K173">
        <v>1</v>
      </c>
      <c r="L173">
        <v>1</v>
      </c>
      <c r="M173">
        <v>1</v>
      </c>
      <c r="N173">
        <v>1</v>
      </c>
      <c r="P173">
        <v>2.8135941028594971</v>
      </c>
    </row>
    <row r="174" spans="1:16" x14ac:dyDescent="0.25">
      <c r="A174" t="s">
        <v>107</v>
      </c>
      <c r="B174" t="s">
        <v>104</v>
      </c>
      <c r="C174">
        <v>0</v>
      </c>
      <c r="D174">
        <v>1</v>
      </c>
      <c r="E174">
        <v>1</v>
      </c>
      <c r="F174">
        <v>1</v>
      </c>
      <c r="G174">
        <v>1</v>
      </c>
      <c r="H174">
        <v>1</v>
      </c>
      <c r="I174">
        <v>1</v>
      </c>
      <c r="J174">
        <v>1</v>
      </c>
      <c r="K174">
        <v>1</v>
      </c>
      <c r="L174">
        <v>1</v>
      </c>
      <c r="M174">
        <v>1</v>
      </c>
      <c r="N174">
        <v>1</v>
      </c>
      <c r="P174">
        <v>2.41452956199646</v>
      </c>
    </row>
    <row r="175" spans="1:16" x14ac:dyDescent="0.25">
      <c r="A175" t="s">
        <v>107</v>
      </c>
      <c r="B175" t="s">
        <v>105</v>
      </c>
      <c r="C175">
        <v>0</v>
      </c>
      <c r="D175">
        <v>1</v>
      </c>
      <c r="E175">
        <v>1</v>
      </c>
      <c r="F175">
        <v>1</v>
      </c>
      <c r="G175">
        <v>1</v>
      </c>
      <c r="H175">
        <v>1</v>
      </c>
      <c r="I175">
        <v>1</v>
      </c>
      <c r="J175">
        <v>1</v>
      </c>
      <c r="K175">
        <v>1</v>
      </c>
      <c r="L175">
        <v>1</v>
      </c>
      <c r="M175">
        <v>1</v>
      </c>
      <c r="N175">
        <v>1</v>
      </c>
      <c r="P175">
        <v>1.682986974716187</v>
      </c>
    </row>
    <row r="176" spans="1:16" x14ac:dyDescent="0.25">
      <c r="A176" t="s">
        <v>107</v>
      </c>
      <c r="B176" t="s">
        <v>106</v>
      </c>
      <c r="C176">
        <v>0</v>
      </c>
      <c r="D176">
        <v>1</v>
      </c>
      <c r="E176">
        <v>1</v>
      </c>
      <c r="F176">
        <v>1</v>
      </c>
      <c r="G176">
        <v>1</v>
      </c>
      <c r="H176">
        <v>1</v>
      </c>
      <c r="I176">
        <v>1</v>
      </c>
      <c r="J176">
        <v>1</v>
      </c>
      <c r="K176">
        <v>1</v>
      </c>
      <c r="L176">
        <v>1</v>
      </c>
      <c r="M176">
        <v>1</v>
      </c>
      <c r="N176">
        <v>1</v>
      </c>
      <c r="P176">
        <v>1.421693801879883</v>
      </c>
    </row>
    <row r="177" spans="1:16" x14ac:dyDescent="0.25">
      <c r="A177" t="s">
        <v>107</v>
      </c>
      <c r="B177" t="s">
        <v>126</v>
      </c>
      <c r="C177">
        <v>0</v>
      </c>
      <c r="D177">
        <v>1</v>
      </c>
      <c r="E177">
        <v>1</v>
      </c>
      <c r="F177">
        <v>1</v>
      </c>
      <c r="G177">
        <v>1</v>
      </c>
      <c r="H177">
        <v>1</v>
      </c>
      <c r="I177">
        <v>1</v>
      </c>
      <c r="J177">
        <v>1</v>
      </c>
      <c r="K177">
        <v>1</v>
      </c>
      <c r="L177">
        <v>1</v>
      </c>
      <c r="M177">
        <v>1</v>
      </c>
      <c r="N177">
        <v>1</v>
      </c>
      <c r="P177">
        <v>1.625047922134399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v>
      </c>
      <c r="E2">
        <v>1</v>
      </c>
      <c r="F2">
        <v>1</v>
      </c>
      <c r="G2">
        <v>1</v>
      </c>
      <c r="H2">
        <v>1</v>
      </c>
      <c r="I2">
        <v>1</v>
      </c>
      <c r="J2">
        <v>1</v>
      </c>
      <c r="K2">
        <v>1</v>
      </c>
      <c r="L2">
        <v>1</v>
      </c>
      <c r="M2">
        <v>1</v>
      </c>
      <c r="N2">
        <v>1</v>
      </c>
      <c r="P2">
        <v>2.525911808013916</v>
      </c>
    </row>
    <row r="3" spans="1:16" x14ac:dyDescent="0.25">
      <c r="A3" t="s">
        <v>16</v>
      </c>
      <c r="B3" t="s">
        <v>18</v>
      </c>
      <c r="C3">
        <v>0</v>
      </c>
      <c r="D3">
        <v>1</v>
      </c>
      <c r="E3">
        <v>1</v>
      </c>
      <c r="F3">
        <v>1</v>
      </c>
      <c r="G3">
        <v>1</v>
      </c>
      <c r="H3">
        <v>1</v>
      </c>
      <c r="I3">
        <v>1</v>
      </c>
      <c r="J3">
        <v>1</v>
      </c>
      <c r="K3">
        <v>1</v>
      </c>
      <c r="L3">
        <v>1</v>
      </c>
      <c r="M3">
        <v>1</v>
      </c>
      <c r="N3">
        <v>1</v>
      </c>
      <c r="P3">
        <v>1.4977080821990969</v>
      </c>
    </row>
    <row r="4" spans="1:16" x14ac:dyDescent="0.25">
      <c r="A4" t="s">
        <v>16</v>
      </c>
      <c r="B4" t="s">
        <v>19</v>
      </c>
      <c r="C4">
        <v>0</v>
      </c>
      <c r="D4">
        <v>1</v>
      </c>
      <c r="E4">
        <v>1</v>
      </c>
      <c r="F4">
        <v>1</v>
      </c>
      <c r="G4">
        <v>1</v>
      </c>
      <c r="H4">
        <v>1</v>
      </c>
      <c r="I4">
        <v>1</v>
      </c>
      <c r="J4">
        <v>1</v>
      </c>
      <c r="K4">
        <v>1</v>
      </c>
      <c r="L4">
        <v>1</v>
      </c>
      <c r="M4">
        <v>1</v>
      </c>
      <c r="N4">
        <v>1</v>
      </c>
      <c r="P4">
        <v>1.494755744934082</v>
      </c>
    </row>
    <row r="5" spans="1:16" x14ac:dyDescent="0.25">
      <c r="A5" t="s">
        <v>16</v>
      </c>
      <c r="B5" t="s">
        <v>20</v>
      </c>
      <c r="C5">
        <v>0</v>
      </c>
      <c r="D5">
        <v>1</v>
      </c>
      <c r="E5">
        <v>0</v>
      </c>
      <c r="F5">
        <v>1</v>
      </c>
      <c r="G5">
        <v>1</v>
      </c>
      <c r="H5" t="s">
        <v>28</v>
      </c>
      <c r="I5">
        <v>1</v>
      </c>
      <c r="J5" t="s">
        <v>28</v>
      </c>
      <c r="K5">
        <v>1</v>
      </c>
      <c r="L5">
        <v>1</v>
      </c>
      <c r="M5">
        <v>1</v>
      </c>
      <c r="N5">
        <v>1</v>
      </c>
      <c r="O5" t="s">
        <v>127</v>
      </c>
      <c r="P5">
        <v>4.1077349185943604</v>
      </c>
    </row>
    <row r="6" spans="1:16" x14ac:dyDescent="0.25">
      <c r="A6" t="s">
        <v>16</v>
      </c>
      <c r="B6" t="s">
        <v>21</v>
      </c>
      <c r="C6">
        <v>0</v>
      </c>
      <c r="D6">
        <v>1</v>
      </c>
      <c r="E6">
        <v>1</v>
      </c>
      <c r="F6">
        <v>1</v>
      </c>
      <c r="G6">
        <v>1</v>
      </c>
      <c r="H6">
        <v>1</v>
      </c>
      <c r="I6">
        <v>1</v>
      </c>
      <c r="J6">
        <v>1</v>
      </c>
      <c r="K6">
        <v>1</v>
      </c>
      <c r="L6">
        <v>1</v>
      </c>
      <c r="M6">
        <v>1</v>
      </c>
      <c r="N6">
        <v>1</v>
      </c>
      <c r="P6">
        <v>1.6974418163299561</v>
      </c>
    </row>
    <row r="7" spans="1:16" x14ac:dyDescent="0.25">
      <c r="A7" t="s">
        <v>16</v>
      </c>
      <c r="B7" t="s">
        <v>22</v>
      </c>
      <c r="C7">
        <v>0</v>
      </c>
      <c r="D7">
        <v>1</v>
      </c>
      <c r="E7">
        <v>1</v>
      </c>
      <c r="F7">
        <v>1</v>
      </c>
      <c r="G7">
        <v>1</v>
      </c>
      <c r="H7">
        <v>1</v>
      </c>
      <c r="I7">
        <v>1</v>
      </c>
      <c r="J7">
        <v>1</v>
      </c>
      <c r="K7">
        <v>1</v>
      </c>
      <c r="L7">
        <v>1</v>
      </c>
      <c r="M7">
        <v>1</v>
      </c>
      <c r="N7">
        <v>1</v>
      </c>
      <c r="P7">
        <v>1.505243301391602</v>
      </c>
    </row>
    <row r="8" spans="1:16" x14ac:dyDescent="0.25">
      <c r="A8" t="s">
        <v>16</v>
      </c>
      <c r="B8" t="s">
        <v>23</v>
      </c>
      <c r="C8">
        <v>0</v>
      </c>
      <c r="D8">
        <v>1</v>
      </c>
      <c r="E8">
        <v>1</v>
      </c>
      <c r="F8">
        <v>1</v>
      </c>
      <c r="G8">
        <v>1</v>
      </c>
      <c r="H8">
        <v>1</v>
      </c>
      <c r="I8">
        <v>1</v>
      </c>
      <c r="J8">
        <v>1</v>
      </c>
      <c r="K8">
        <v>1</v>
      </c>
      <c r="L8">
        <v>1</v>
      </c>
      <c r="M8">
        <v>1</v>
      </c>
      <c r="N8">
        <v>1</v>
      </c>
      <c r="P8">
        <v>1.8144211769103999</v>
      </c>
    </row>
    <row r="9" spans="1:16" x14ac:dyDescent="0.25">
      <c r="A9" t="s">
        <v>16</v>
      </c>
      <c r="B9" t="s">
        <v>24</v>
      </c>
      <c r="C9">
        <v>0</v>
      </c>
      <c r="D9">
        <v>1</v>
      </c>
      <c r="E9">
        <v>1</v>
      </c>
      <c r="F9">
        <v>1</v>
      </c>
      <c r="G9">
        <v>1</v>
      </c>
      <c r="H9">
        <v>1</v>
      </c>
      <c r="I9">
        <v>1</v>
      </c>
      <c r="J9">
        <v>1</v>
      </c>
      <c r="K9">
        <v>1</v>
      </c>
      <c r="L9">
        <v>1</v>
      </c>
      <c r="M9">
        <v>1</v>
      </c>
      <c r="N9">
        <v>1</v>
      </c>
      <c r="P9">
        <v>1.541387796401978</v>
      </c>
    </row>
    <row r="10" spans="1:16" x14ac:dyDescent="0.25">
      <c r="A10" t="s">
        <v>16</v>
      </c>
      <c r="B10" t="s">
        <v>25</v>
      </c>
      <c r="C10">
        <v>0</v>
      </c>
      <c r="D10">
        <v>1</v>
      </c>
      <c r="E10">
        <v>1</v>
      </c>
      <c r="F10">
        <v>1</v>
      </c>
      <c r="G10">
        <v>1</v>
      </c>
      <c r="H10">
        <v>1</v>
      </c>
      <c r="I10">
        <v>1</v>
      </c>
      <c r="J10">
        <v>1</v>
      </c>
      <c r="K10">
        <v>1</v>
      </c>
      <c r="L10">
        <v>1</v>
      </c>
      <c r="M10">
        <v>1</v>
      </c>
      <c r="N10">
        <v>1</v>
      </c>
      <c r="P10">
        <v>2.0321822166442871</v>
      </c>
    </row>
    <row r="11" spans="1:16" x14ac:dyDescent="0.25">
      <c r="A11" t="s">
        <v>16</v>
      </c>
      <c r="B11" t="s">
        <v>26</v>
      </c>
      <c r="C11">
        <v>0</v>
      </c>
      <c r="D11">
        <v>1</v>
      </c>
      <c r="E11">
        <v>1</v>
      </c>
      <c r="F11">
        <v>1</v>
      </c>
      <c r="G11">
        <v>1</v>
      </c>
      <c r="H11">
        <v>1</v>
      </c>
      <c r="I11">
        <v>1</v>
      </c>
      <c r="J11">
        <v>1</v>
      </c>
      <c r="K11">
        <v>1</v>
      </c>
      <c r="L11">
        <v>1</v>
      </c>
      <c r="M11">
        <v>1</v>
      </c>
      <c r="N11">
        <v>1</v>
      </c>
      <c r="P11">
        <v>11.735785245895389</v>
      </c>
    </row>
    <row r="12" spans="1:16" x14ac:dyDescent="0.25">
      <c r="A12" t="s">
        <v>16</v>
      </c>
      <c r="B12" t="s">
        <v>27</v>
      </c>
      <c r="C12">
        <v>0</v>
      </c>
      <c r="D12">
        <v>0</v>
      </c>
      <c r="E12" t="s">
        <v>28</v>
      </c>
      <c r="F12" t="s">
        <v>28</v>
      </c>
      <c r="G12" t="s">
        <v>28</v>
      </c>
      <c r="H12" t="s">
        <v>28</v>
      </c>
      <c r="I12" t="s">
        <v>28</v>
      </c>
      <c r="J12" t="s">
        <v>28</v>
      </c>
      <c r="K12" t="s">
        <v>28</v>
      </c>
      <c r="L12" t="s">
        <v>28</v>
      </c>
      <c r="M12" t="s">
        <v>28</v>
      </c>
      <c r="N12" t="s">
        <v>28</v>
      </c>
      <c r="O12" t="s">
        <v>128</v>
      </c>
      <c r="P12">
        <v>5.342395544052124</v>
      </c>
    </row>
    <row r="13" spans="1:16" x14ac:dyDescent="0.25">
      <c r="A13" t="s">
        <v>16</v>
      </c>
      <c r="B13" t="s">
        <v>30</v>
      </c>
      <c r="C13">
        <v>0</v>
      </c>
      <c r="D13">
        <v>1</v>
      </c>
      <c r="E13">
        <v>1</v>
      </c>
      <c r="F13">
        <v>1</v>
      </c>
      <c r="G13">
        <v>1</v>
      </c>
      <c r="H13">
        <v>1</v>
      </c>
      <c r="I13">
        <v>1</v>
      </c>
      <c r="J13">
        <v>1</v>
      </c>
      <c r="K13">
        <v>1</v>
      </c>
      <c r="L13">
        <v>1</v>
      </c>
      <c r="M13">
        <v>1</v>
      </c>
      <c r="N13">
        <v>1</v>
      </c>
      <c r="P13">
        <v>1.710864782333374</v>
      </c>
    </row>
    <row r="14" spans="1:16" x14ac:dyDescent="0.25">
      <c r="A14" t="s">
        <v>16</v>
      </c>
      <c r="B14" t="s">
        <v>31</v>
      </c>
      <c r="C14">
        <v>0</v>
      </c>
      <c r="D14">
        <v>1</v>
      </c>
      <c r="E14">
        <v>0</v>
      </c>
      <c r="F14">
        <v>1</v>
      </c>
      <c r="G14">
        <v>1</v>
      </c>
      <c r="H14" t="s">
        <v>28</v>
      </c>
      <c r="I14">
        <v>1</v>
      </c>
      <c r="J14" t="s">
        <v>28</v>
      </c>
      <c r="K14">
        <v>1</v>
      </c>
      <c r="L14">
        <v>1</v>
      </c>
      <c r="M14">
        <v>1</v>
      </c>
      <c r="N14">
        <v>1</v>
      </c>
      <c r="O14" t="s">
        <v>129</v>
      </c>
      <c r="P14">
        <v>2.8777008056640621</v>
      </c>
    </row>
    <row r="15" spans="1:16" x14ac:dyDescent="0.25">
      <c r="A15" t="s">
        <v>16</v>
      </c>
      <c r="B15" t="s">
        <v>33</v>
      </c>
      <c r="C15">
        <v>0</v>
      </c>
      <c r="D15">
        <v>1</v>
      </c>
      <c r="E15">
        <v>1</v>
      </c>
      <c r="F15">
        <v>1</v>
      </c>
      <c r="G15">
        <v>1</v>
      </c>
      <c r="H15">
        <v>1</v>
      </c>
      <c r="I15">
        <v>1</v>
      </c>
      <c r="J15">
        <v>1</v>
      </c>
      <c r="K15">
        <v>1</v>
      </c>
      <c r="L15">
        <v>1</v>
      </c>
      <c r="M15">
        <v>1</v>
      </c>
      <c r="N15">
        <v>1</v>
      </c>
      <c r="P15">
        <v>1.764529943466187</v>
      </c>
    </row>
    <row r="16" spans="1:16" x14ac:dyDescent="0.25">
      <c r="A16" t="s">
        <v>16</v>
      </c>
      <c r="B16" t="s">
        <v>34</v>
      </c>
      <c r="C16">
        <v>0</v>
      </c>
      <c r="D16">
        <v>0</v>
      </c>
      <c r="E16" t="s">
        <v>28</v>
      </c>
      <c r="F16" t="s">
        <v>28</v>
      </c>
      <c r="G16" t="s">
        <v>28</v>
      </c>
      <c r="H16" t="s">
        <v>28</v>
      </c>
      <c r="I16" t="s">
        <v>28</v>
      </c>
      <c r="J16" t="s">
        <v>28</v>
      </c>
      <c r="K16" t="s">
        <v>28</v>
      </c>
      <c r="L16" t="s">
        <v>28</v>
      </c>
      <c r="M16" t="s">
        <v>28</v>
      </c>
      <c r="N16" t="s">
        <v>28</v>
      </c>
      <c r="O16" t="s">
        <v>130</v>
      </c>
      <c r="P16">
        <v>6.0893905162811279</v>
      </c>
    </row>
    <row r="17" spans="1:16" x14ac:dyDescent="0.25">
      <c r="A17" t="s">
        <v>16</v>
      </c>
      <c r="B17" t="s">
        <v>36</v>
      </c>
      <c r="C17">
        <v>0</v>
      </c>
      <c r="D17">
        <v>1</v>
      </c>
      <c r="E17">
        <v>1</v>
      </c>
      <c r="F17">
        <v>1</v>
      </c>
      <c r="G17">
        <v>1</v>
      </c>
      <c r="H17">
        <v>1</v>
      </c>
      <c r="I17">
        <v>1</v>
      </c>
      <c r="J17">
        <v>1</v>
      </c>
      <c r="K17">
        <v>1</v>
      </c>
      <c r="L17">
        <v>1</v>
      </c>
      <c r="M17">
        <v>1</v>
      </c>
      <c r="N17">
        <v>1</v>
      </c>
      <c r="P17">
        <v>13.546287059783941</v>
      </c>
    </row>
    <row r="18" spans="1:16" x14ac:dyDescent="0.25">
      <c r="A18" t="s">
        <v>16</v>
      </c>
      <c r="B18" t="s">
        <v>37</v>
      </c>
      <c r="C18">
        <v>0</v>
      </c>
      <c r="D18">
        <v>1</v>
      </c>
      <c r="E18">
        <v>1</v>
      </c>
      <c r="F18">
        <v>1</v>
      </c>
      <c r="G18">
        <v>1</v>
      </c>
      <c r="H18">
        <v>1</v>
      </c>
      <c r="I18">
        <v>1</v>
      </c>
      <c r="J18">
        <v>1</v>
      </c>
      <c r="K18">
        <v>1</v>
      </c>
      <c r="L18">
        <v>1</v>
      </c>
      <c r="M18">
        <v>1</v>
      </c>
      <c r="N18">
        <v>1</v>
      </c>
      <c r="P18">
        <v>1.4348077774047849</v>
      </c>
    </row>
    <row r="19" spans="1:16" x14ac:dyDescent="0.25">
      <c r="A19" t="s">
        <v>16</v>
      </c>
      <c r="B19" t="s">
        <v>38</v>
      </c>
      <c r="C19">
        <v>0</v>
      </c>
      <c r="D19">
        <v>1</v>
      </c>
      <c r="E19">
        <v>1</v>
      </c>
      <c r="F19">
        <v>1</v>
      </c>
      <c r="G19">
        <v>1</v>
      </c>
      <c r="H19">
        <v>1</v>
      </c>
      <c r="I19">
        <v>1</v>
      </c>
      <c r="J19">
        <v>1</v>
      </c>
      <c r="K19">
        <v>1</v>
      </c>
      <c r="L19">
        <v>1</v>
      </c>
      <c r="M19">
        <v>1</v>
      </c>
      <c r="N19">
        <v>1</v>
      </c>
      <c r="P19">
        <v>1.542217493057251</v>
      </c>
    </row>
    <row r="20" spans="1:16" x14ac:dyDescent="0.25">
      <c r="A20" t="s">
        <v>16</v>
      </c>
      <c r="B20" t="s">
        <v>39</v>
      </c>
      <c r="C20">
        <v>0</v>
      </c>
      <c r="D20">
        <v>1</v>
      </c>
      <c r="E20">
        <v>1</v>
      </c>
      <c r="F20">
        <v>1</v>
      </c>
      <c r="G20">
        <v>1</v>
      </c>
      <c r="H20">
        <v>1</v>
      </c>
      <c r="I20">
        <v>1</v>
      </c>
      <c r="J20">
        <v>1</v>
      </c>
      <c r="K20">
        <v>1</v>
      </c>
      <c r="L20">
        <v>1</v>
      </c>
      <c r="M20">
        <v>1</v>
      </c>
      <c r="N20">
        <v>1</v>
      </c>
      <c r="P20">
        <v>1.899039745330811</v>
      </c>
    </row>
    <row r="21" spans="1:16" x14ac:dyDescent="0.25">
      <c r="A21" t="s">
        <v>16</v>
      </c>
      <c r="B21" t="s">
        <v>40</v>
      </c>
      <c r="C21">
        <v>0</v>
      </c>
      <c r="D21">
        <v>1</v>
      </c>
      <c r="E21">
        <v>1</v>
      </c>
      <c r="F21">
        <v>1</v>
      </c>
      <c r="G21">
        <v>1</v>
      </c>
      <c r="H21">
        <v>1</v>
      </c>
      <c r="I21">
        <v>1</v>
      </c>
      <c r="J21">
        <v>1</v>
      </c>
      <c r="K21">
        <v>1</v>
      </c>
      <c r="L21">
        <v>1</v>
      </c>
      <c r="M21">
        <v>1</v>
      </c>
      <c r="N21">
        <v>1</v>
      </c>
      <c r="P21">
        <v>1.5227987766265869</v>
      </c>
    </row>
    <row r="22" spans="1:16" x14ac:dyDescent="0.25">
      <c r="A22" t="s">
        <v>16</v>
      </c>
      <c r="B22" t="s">
        <v>41</v>
      </c>
      <c r="C22">
        <v>0</v>
      </c>
      <c r="D22">
        <v>1</v>
      </c>
      <c r="E22">
        <v>1</v>
      </c>
      <c r="F22">
        <v>1</v>
      </c>
      <c r="G22">
        <v>1</v>
      </c>
      <c r="H22">
        <v>1</v>
      </c>
      <c r="I22">
        <v>1</v>
      </c>
      <c r="J22">
        <v>1</v>
      </c>
      <c r="K22">
        <v>1</v>
      </c>
      <c r="L22">
        <v>1</v>
      </c>
      <c r="M22">
        <v>1</v>
      </c>
      <c r="N22">
        <v>1</v>
      </c>
      <c r="P22">
        <v>1.3963367938995359</v>
      </c>
    </row>
    <row r="23" spans="1:16" x14ac:dyDescent="0.25">
      <c r="A23" t="s">
        <v>16</v>
      </c>
      <c r="B23" t="s">
        <v>42</v>
      </c>
      <c r="C23">
        <v>0</v>
      </c>
      <c r="D23">
        <v>1</v>
      </c>
      <c r="E23">
        <v>1</v>
      </c>
      <c r="F23">
        <v>0</v>
      </c>
      <c r="G23">
        <v>1</v>
      </c>
      <c r="H23">
        <v>1</v>
      </c>
      <c r="I23">
        <v>1</v>
      </c>
      <c r="J23" t="s">
        <v>28</v>
      </c>
      <c r="K23">
        <v>1</v>
      </c>
      <c r="L23">
        <v>1</v>
      </c>
      <c r="M23">
        <v>1</v>
      </c>
      <c r="N23">
        <v>1</v>
      </c>
      <c r="O23" t="s">
        <v>131</v>
      </c>
      <c r="P23">
        <v>3.4966368675231929</v>
      </c>
    </row>
    <row r="24" spans="1:16" x14ac:dyDescent="0.25">
      <c r="A24" t="s">
        <v>16</v>
      </c>
      <c r="B24" t="s">
        <v>44</v>
      </c>
      <c r="C24">
        <v>0</v>
      </c>
      <c r="D24">
        <v>1</v>
      </c>
      <c r="E24">
        <v>1</v>
      </c>
      <c r="F24">
        <v>1</v>
      </c>
      <c r="G24">
        <v>1</v>
      </c>
      <c r="H24">
        <v>1</v>
      </c>
      <c r="I24">
        <v>1</v>
      </c>
      <c r="J24">
        <v>1</v>
      </c>
      <c r="K24">
        <v>1</v>
      </c>
      <c r="L24">
        <v>1</v>
      </c>
      <c r="M24">
        <v>1</v>
      </c>
      <c r="N24">
        <v>1</v>
      </c>
      <c r="P24">
        <v>5.8981542587280273</v>
      </c>
    </row>
    <row r="25" spans="1:16" x14ac:dyDescent="0.25">
      <c r="A25" t="s">
        <v>16</v>
      </c>
      <c r="B25" t="s">
        <v>45</v>
      </c>
      <c r="C25">
        <v>0</v>
      </c>
      <c r="D25">
        <v>1</v>
      </c>
      <c r="E25">
        <v>1</v>
      </c>
      <c r="F25">
        <v>1</v>
      </c>
      <c r="G25">
        <v>1</v>
      </c>
      <c r="H25">
        <v>1</v>
      </c>
      <c r="I25">
        <v>1</v>
      </c>
      <c r="J25">
        <v>1</v>
      </c>
      <c r="K25">
        <v>1</v>
      </c>
      <c r="L25">
        <v>1</v>
      </c>
      <c r="M25">
        <v>1</v>
      </c>
      <c r="N25">
        <v>1</v>
      </c>
      <c r="P25">
        <v>1.448613166809082</v>
      </c>
    </row>
    <row r="26" spans="1:16" x14ac:dyDescent="0.25">
      <c r="A26" t="s">
        <v>16</v>
      </c>
      <c r="B26" t="s">
        <v>46</v>
      </c>
      <c r="C26">
        <v>0</v>
      </c>
      <c r="D26">
        <v>1</v>
      </c>
      <c r="E26">
        <v>1</v>
      </c>
      <c r="F26">
        <v>1</v>
      </c>
      <c r="G26">
        <v>1</v>
      </c>
      <c r="H26">
        <v>1</v>
      </c>
      <c r="I26">
        <v>1</v>
      </c>
      <c r="J26">
        <v>1</v>
      </c>
      <c r="K26">
        <v>1</v>
      </c>
      <c r="L26">
        <v>1</v>
      </c>
      <c r="M26">
        <v>1</v>
      </c>
      <c r="N26">
        <v>1</v>
      </c>
      <c r="P26">
        <v>1.845405101776123</v>
      </c>
    </row>
    <row r="27" spans="1:16" x14ac:dyDescent="0.25">
      <c r="A27" t="s">
        <v>16</v>
      </c>
      <c r="B27" t="s">
        <v>47</v>
      </c>
      <c r="C27">
        <v>0</v>
      </c>
      <c r="D27">
        <v>1</v>
      </c>
      <c r="E27">
        <v>0</v>
      </c>
      <c r="F27">
        <v>1</v>
      </c>
      <c r="G27">
        <v>1</v>
      </c>
      <c r="H27" t="s">
        <v>28</v>
      </c>
      <c r="I27">
        <v>1</v>
      </c>
      <c r="J27" t="s">
        <v>28</v>
      </c>
      <c r="K27">
        <v>1</v>
      </c>
      <c r="L27">
        <v>1</v>
      </c>
      <c r="M27">
        <v>1</v>
      </c>
      <c r="N27">
        <v>1</v>
      </c>
      <c r="O27" t="s">
        <v>132</v>
      </c>
      <c r="P27">
        <v>2.354164600372314</v>
      </c>
    </row>
    <row r="28" spans="1:16" x14ac:dyDescent="0.25">
      <c r="A28" t="s">
        <v>16</v>
      </c>
      <c r="B28" t="s">
        <v>49</v>
      </c>
      <c r="C28">
        <v>0</v>
      </c>
      <c r="D28">
        <v>1</v>
      </c>
      <c r="E28">
        <v>0</v>
      </c>
      <c r="F28">
        <v>1</v>
      </c>
      <c r="G28">
        <v>1</v>
      </c>
      <c r="H28" t="s">
        <v>28</v>
      </c>
      <c r="I28">
        <v>1</v>
      </c>
      <c r="J28" t="s">
        <v>28</v>
      </c>
      <c r="K28">
        <v>1</v>
      </c>
      <c r="L28">
        <v>1</v>
      </c>
      <c r="M28">
        <v>1</v>
      </c>
      <c r="N28">
        <v>1</v>
      </c>
      <c r="O28" t="s">
        <v>133</v>
      </c>
      <c r="P28">
        <v>2.3805441856384282</v>
      </c>
    </row>
    <row r="29" spans="1:16" x14ac:dyDescent="0.25">
      <c r="A29" t="s">
        <v>16</v>
      </c>
      <c r="B29" t="s">
        <v>51</v>
      </c>
      <c r="C29">
        <v>0</v>
      </c>
      <c r="D29">
        <v>1</v>
      </c>
      <c r="E29">
        <v>1</v>
      </c>
      <c r="F29">
        <v>1</v>
      </c>
      <c r="G29">
        <v>1</v>
      </c>
      <c r="H29">
        <v>1</v>
      </c>
      <c r="I29">
        <v>1</v>
      </c>
      <c r="J29">
        <v>1</v>
      </c>
      <c r="K29">
        <v>1</v>
      </c>
      <c r="L29">
        <v>1</v>
      </c>
      <c r="M29">
        <v>1</v>
      </c>
      <c r="N29">
        <v>1</v>
      </c>
      <c r="P29">
        <v>1.82170581817627</v>
      </c>
    </row>
    <row r="30" spans="1:16" x14ac:dyDescent="0.25">
      <c r="A30" t="s">
        <v>16</v>
      </c>
      <c r="B30" t="s">
        <v>53</v>
      </c>
      <c r="C30">
        <v>0</v>
      </c>
      <c r="D30">
        <v>1</v>
      </c>
      <c r="E30">
        <v>1</v>
      </c>
      <c r="F30">
        <v>1</v>
      </c>
      <c r="G30">
        <v>1</v>
      </c>
      <c r="H30">
        <v>1</v>
      </c>
      <c r="I30">
        <v>1</v>
      </c>
      <c r="J30">
        <v>1</v>
      </c>
      <c r="K30">
        <v>1</v>
      </c>
      <c r="L30">
        <v>1</v>
      </c>
      <c r="M30">
        <v>1</v>
      </c>
      <c r="N30">
        <v>1</v>
      </c>
      <c r="P30">
        <v>1.7889144420623779</v>
      </c>
    </row>
    <row r="31" spans="1:16" x14ac:dyDescent="0.25">
      <c r="A31" t="s">
        <v>16</v>
      </c>
      <c r="B31" t="s">
        <v>54</v>
      </c>
      <c r="C31">
        <v>0</v>
      </c>
      <c r="D31">
        <v>1</v>
      </c>
      <c r="E31">
        <v>0</v>
      </c>
      <c r="F31">
        <v>1</v>
      </c>
      <c r="G31">
        <v>1</v>
      </c>
      <c r="H31" t="s">
        <v>28</v>
      </c>
      <c r="I31">
        <v>1</v>
      </c>
      <c r="J31" t="s">
        <v>28</v>
      </c>
      <c r="K31">
        <v>1</v>
      </c>
      <c r="L31">
        <v>1</v>
      </c>
      <c r="M31">
        <v>1</v>
      </c>
      <c r="N31">
        <v>1</v>
      </c>
      <c r="O31" t="s">
        <v>134</v>
      </c>
      <c r="P31">
        <v>3.613043069839478</v>
      </c>
    </row>
    <row r="32" spans="1:16" x14ac:dyDescent="0.25">
      <c r="A32" t="s">
        <v>16</v>
      </c>
      <c r="B32" t="s">
        <v>56</v>
      </c>
      <c r="C32">
        <v>0</v>
      </c>
      <c r="D32">
        <v>1</v>
      </c>
      <c r="E32">
        <v>0</v>
      </c>
      <c r="F32">
        <v>1</v>
      </c>
      <c r="G32">
        <v>1</v>
      </c>
      <c r="H32" t="s">
        <v>28</v>
      </c>
      <c r="I32">
        <v>1</v>
      </c>
      <c r="J32" t="s">
        <v>28</v>
      </c>
      <c r="K32">
        <v>1</v>
      </c>
      <c r="L32">
        <v>1</v>
      </c>
      <c r="M32">
        <v>1</v>
      </c>
      <c r="N32">
        <v>1</v>
      </c>
      <c r="O32" t="s">
        <v>135</v>
      </c>
      <c r="P32">
        <v>2.816674947738647</v>
      </c>
    </row>
    <row r="33" spans="1:16" x14ac:dyDescent="0.25">
      <c r="A33" t="s">
        <v>16</v>
      </c>
      <c r="B33" t="s">
        <v>58</v>
      </c>
      <c r="C33">
        <v>0</v>
      </c>
      <c r="D33">
        <v>1</v>
      </c>
      <c r="E33">
        <v>0</v>
      </c>
      <c r="F33">
        <v>1</v>
      </c>
      <c r="G33">
        <v>1</v>
      </c>
      <c r="H33" t="s">
        <v>28</v>
      </c>
      <c r="I33">
        <v>1</v>
      </c>
      <c r="J33" t="s">
        <v>28</v>
      </c>
      <c r="K33">
        <v>1</v>
      </c>
      <c r="L33">
        <v>1</v>
      </c>
      <c r="M33">
        <v>1</v>
      </c>
      <c r="N33">
        <v>1</v>
      </c>
      <c r="O33" t="s">
        <v>136</v>
      </c>
      <c r="P33">
        <v>2.544310331344604</v>
      </c>
    </row>
    <row r="34" spans="1:16" x14ac:dyDescent="0.25">
      <c r="A34" t="s">
        <v>16</v>
      </c>
      <c r="B34" t="s">
        <v>60</v>
      </c>
      <c r="C34">
        <v>0</v>
      </c>
      <c r="D34">
        <v>0</v>
      </c>
      <c r="E34" t="s">
        <v>28</v>
      </c>
      <c r="F34" t="s">
        <v>28</v>
      </c>
      <c r="G34" t="s">
        <v>28</v>
      </c>
      <c r="H34" t="s">
        <v>28</v>
      </c>
      <c r="I34" t="s">
        <v>28</v>
      </c>
      <c r="J34" t="s">
        <v>28</v>
      </c>
      <c r="K34" t="s">
        <v>28</v>
      </c>
      <c r="L34" t="s">
        <v>28</v>
      </c>
      <c r="M34" t="s">
        <v>28</v>
      </c>
      <c r="N34" t="s">
        <v>28</v>
      </c>
      <c r="O34" t="s">
        <v>137</v>
      </c>
      <c r="P34">
        <v>4.709963321685791</v>
      </c>
    </row>
    <row r="35" spans="1:16" x14ac:dyDescent="0.25">
      <c r="A35" t="s">
        <v>16</v>
      </c>
      <c r="B35" t="s">
        <v>62</v>
      </c>
      <c r="C35">
        <v>0</v>
      </c>
      <c r="D35">
        <v>1</v>
      </c>
      <c r="E35">
        <v>1</v>
      </c>
      <c r="F35">
        <v>1</v>
      </c>
      <c r="G35">
        <v>1</v>
      </c>
      <c r="H35">
        <v>1</v>
      </c>
      <c r="I35">
        <v>1</v>
      </c>
      <c r="J35">
        <v>1</v>
      </c>
      <c r="K35">
        <v>1</v>
      </c>
      <c r="L35">
        <v>1</v>
      </c>
      <c r="M35">
        <v>1</v>
      </c>
      <c r="N35">
        <v>1</v>
      </c>
      <c r="P35">
        <v>1.4767799377441411</v>
      </c>
    </row>
    <row r="36" spans="1:16" x14ac:dyDescent="0.25">
      <c r="A36" t="s">
        <v>16</v>
      </c>
      <c r="B36" t="s">
        <v>63</v>
      </c>
      <c r="C36">
        <v>0</v>
      </c>
      <c r="D36">
        <v>1</v>
      </c>
      <c r="E36">
        <v>1</v>
      </c>
      <c r="F36">
        <v>1</v>
      </c>
      <c r="G36">
        <v>1</v>
      </c>
      <c r="H36">
        <v>1</v>
      </c>
      <c r="I36">
        <v>0</v>
      </c>
      <c r="J36">
        <v>1</v>
      </c>
      <c r="K36">
        <v>1</v>
      </c>
      <c r="L36">
        <v>1</v>
      </c>
      <c r="M36">
        <v>1</v>
      </c>
      <c r="N36">
        <v>1</v>
      </c>
      <c r="O36" t="s">
        <v>138</v>
      </c>
      <c r="P36">
        <v>3.2632136344909668</v>
      </c>
    </row>
    <row r="37" spans="1:16" x14ac:dyDescent="0.25">
      <c r="A37" t="s">
        <v>16</v>
      </c>
      <c r="B37" t="s">
        <v>64</v>
      </c>
      <c r="C37">
        <v>0</v>
      </c>
      <c r="D37">
        <v>1</v>
      </c>
      <c r="E37">
        <v>1</v>
      </c>
      <c r="F37">
        <v>1</v>
      </c>
      <c r="G37">
        <v>1</v>
      </c>
      <c r="H37">
        <v>1</v>
      </c>
      <c r="I37">
        <v>1</v>
      </c>
      <c r="J37">
        <v>1</v>
      </c>
      <c r="K37">
        <v>1</v>
      </c>
      <c r="L37">
        <v>1</v>
      </c>
      <c r="M37">
        <v>1</v>
      </c>
      <c r="N37">
        <v>1</v>
      </c>
      <c r="P37">
        <v>1.7352252006530759</v>
      </c>
    </row>
    <row r="38" spans="1:16" x14ac:dyDescent="0.25">
      <c r="A38" t="s">
        <v>16</v>
      </c>
      <c r="B38" t="s">
        <v>65</v>
      </c>
      <c r="C38">
        <v>0</v>
      </c>
      <c r="D38">
        <v>1</v>
      </c>
      <c r="E38">
        <v>1</v>
      </c>
      <c r="F38">
        <v>1</v>
      </c>
      <c r="G38">
        <v>1</v>
      </c>
      <c r="H38">
        <v>1</v>
      </c>
      <c r="I38">
        <v>1</v>
      </c>
      <c r="J38">
        <v>1</v>
      </c>
      <c r="K38">
        <v>1</v>
      </c>
      <c r="L38">
        <v>1</v>
      </c>
      <c r="M38">
        <v>1</v>
      </c>
      <c r="N38">
        <v>1</v>
      </c>
      <c r="P38">
        <v>1.54277515411377</v>
      </c>
    </row>
    <row r="39" spans="1:16" x14ac:dyDescent="0.25">
      <c r="A39" t="s">
        <v>16</v>
      </c>
      <c r="B39" t="s">
        <v>66</v>
      </c>
      <c r="C39">
        <v>0</v>
      </c>
      <c r="D39">
        <v>1</v>
      </c>
      <c r="E39">
        <v>1</v>
      </c>
      <c r="F39">
        <v>1</v>
      </c>
      <c r="G39">
        <v>1</v>
      </c>
      <c r="H39">
        <v>1</v>
      </c>
      <c r="I39">
        <v>1</v>
      </c>
      <c r="J39">
        <v>1</v>
      </c>
      <c r="K39">
        <v>1</v>
      </c>
      <c r="L39">
        <v>1</v>
      </c>
      <c r="M39">
        <v>1</v>
      </c>
      <c r="N39">
        <v>1</v>
      </c>
      <c r="P39">
        <v>1.444622278213501</v>
      </c>
    </row>
    <row r="40" spans="1:16" x14ac:dyDescent="0.25">
      <c r="A40" t="s">
        <v>16</v>
      </c>
      <c r="B40" t="s">
        <v>67</v>
      </c>
      <c r="C40">
        <v>0</v>
      </c>
      <c r="D40">
        <v>1</v>
      </c>
      <c r="E40">
        <v>1</v>
      </c>
      <c r="F40">
        <v>1</v>
      </c>
      <c r="G40">
        <v>1</v>
      </c>
      <c r="H40">
        <v>1</v>
      </c>
      <c r="I40">
        <v>1</v>
      </c>
      <c r="J40">
        <v>1</v>
      </c>
      <c r="K40">
        <v>1</v>
      </c>
      <c r="L40">
        <v>1</v>
      </c>
      <c r="M40">
        <v>1</v>
      </c>
      <c r="N40">
        <v>1</v>
      </c>
      <c r="P40">
        <v>1.7531189918518071</v>
      </c>
    </row>
    <row r="41" spans="1:16" x14ac:dyDescent="0.25">
      <c r="A41" t="s">
        <v>16</v>
      </c>
      <c r="B41" t="s">
        <v>69</v>
      </c>
      <c r="C41">
        <v>0</v>
      </c>
      <c r="D41">
        <v>0</v>
      </c>
      <c r="E41" t="s">
        <v>28</v>
      </c>
      <c r="F41" t="s">
        <v>28</v>
      </c>
      <c r="G41" t="s">
        <v>28</v>
      </c>
      <c r="H41" t="s">
        <v>28</v>
      </c>
      <c r="I41" t="s">
        <v>28</v>
      </c>
      <c r="J41" t="s">
        <v>28</v>
      </c>
      <c r="K41" t="s">
        <v>28</v>
      </c>
      <c r="L41" t="s">
        <v>28</v>
      </c>
      <c r="M41" t="s">
        <v>28</v>
      </c>
      <c r="N41" t="s">
        <v>28</v>
      </c>
      <c r="O41" t="s">
        <v>139</v>
      </c>
      <c r="P41">
        <v>3.1152806282043461</v>
      </c>
    </row>
    <row r="42" spans="1:16" x14ac:dyDescent="0.25">
      <c r="A42" t="s">
        <v>16</v>
      </c>
      <c r="B42" t="s">
        <v>70</v>
      </c>
      <c r="C42">
        <v>0</v>
      </c>
      <c r="D42">
        <v>1</v>
      </c>
      <c r="E42">
        <v>1</v>
      </c>
      <c r="F42">
        <v>1</v>
      </c>
      <c r="G42">
        <v>1</v>
      </c>
      <c r="H42">
        <v>1</v>
      </c>
      <c r="I42">
        <v>1</v>
      </c>
      <c r="J42">
        <v>1</v>
      </c>
      <c r="K42">
        <v>1</v>
      </c>
      <c r="L42">
        <v>1</v>
      </c>
      <c r="M42">
        <v>1</v>
      </c>
      <c r="N42">
        <v>1</v>
      </c>
      <c r="P42">
        <v>1.7461409568786621</v>
      </c>
    </row>
    <row r="43" spans="1:16" x14ac:dyDescent="0.25">
      <c r="A43" t="s">
        <v>16</v>
      </c>
      <c r="B43" t="s">
        <v>71</v>
      </c>
      <c r="C43">
        <v>0</v>
      </c>
      <c r="D43">
        <v>1</v>
      </c>
      <c r="E43">
        <v>1</v>
      </c>
      <c r="F43">
        <v>1</v>
      </c>
      <c r="G43">
        <v>1</v>
      </c>
      <c r="H43">
        <v>1</v>
      </c>
      <c r="I43">
        <v>1</v>
      </c>
      <c r="J43">
        <v>1</v>
      </c>
      <c r="K43">
        <v>1</v>
      </c>
      <c r="L43">
        <v>1</v>
      </c>
      <c r="M43">
        <v>1</v>
      </c>
      <c r="N43">
        <v>1</v>
      </c>
      <c r="P43">
        <v>1.3245997428894041</v>
      </c>
    </row>
    <row r="44" spans="1:16" x14ac:dyDescent="0.25">
      <c r="A44" t="s">
        <v>16</v>
      </c>
      <c r="B44" t="s">
        <v>72</v>
      </c>
      <c r="C44">
        <v>0</v>
      </c>
      <c r="D44">
        <v>1</v>
      </c>
      <c r="E44">
        <v>1</v>
      </c>
      <c r="F44">
        <v>0</v>
      </c>
      <c r="G44">
        <v>1</v>
      </c>
      <c r="H44">
        <v>1</v>
      </c>
      <c r="I44">
        <v>1</v>
      </c>
      <c r="J44" t="s">
        <v>28</v>
      </c>
      <c r="K44">
        <v>1</v>
      </c>
      <c r="L44">
        <v>1</v>
      </c>
      <c r="M44">
        <v>1</v>
      </c>
      <c r="N44">
        <v>1</v>
      </c>
      <c r="O44" t="s">
        <v>140</v>
      </c>
      <c r="P44">
        <v>2.7453029155731201</v>
      </c>
    </row>
    <row r="45" spans="1:16" x14ac:dyDescent="0.25">
      <c r="A45" t="s">
        <v>16</v>
      </c>
      <c r="B45" t="s">
        <v>74</v>
      </c>
      <c r="C45">
        <v>0</v>
      </c>
      <c r="D45">
        <v>1</v>
      </c>
      <c r="E45">
        <v>1</v>
      </c>
      <c r="F45">
        <v>1</v>
      </c>
      <c r="G45">
        <v>1</v>
      </c>
      <c r="H45">
        <v>0</v>
      </c>
      <c r="I45">
        <v>1</v>
      </c>
      <c r="J45">
        <v>1</v>
      </c>
      <c r="K45">
        <v>1</v>
      </c>
      <c r="L45">
        <v>1</v>
      </c>
      <c r="M45">
        <v>1</v>
      </c>
      <c r="N45">
        <v>1</v>
      </c>
      <c r="O45" t="s">
        <v>141</v>
      </c>
      <c r="P45">
        <v>2.143356084823608</v>
      </c>
    </row>
    <row r="46" spans="1:16" x14ac:dyDescent="0.25">
      <c r="A46" t="s">
        <v>16</v>
      </c>
      <c r="B46" t="s">
        <v>75</v>
      </c>
      <c r="C46">
        <v>0</v>
      </c>
      <c r="D46">
        <v>1</v>
      </c>
      <c r="E46">
        <v>1</v>
      </c>
      <c r="F46">
        <v>1</v>
      </c>
      <c r="G46">
        <v>1</v>
      </c>
      <c r="H46">
        <v>1</v>
      </c>
      <c r="I46">
        <v>1</v>
      </c>
      <c r="J46">
        <v>1</v>
      </c>
      <c r="K46">
        <v>1</v>
      </c>
      <c r="L46">
        <v>1</v>
      </c>
      <c r="M46">
        <v>1</v>
      </c>
      <c r="N46">
        <v>1</v>
      </c>
      <c r="P46">
        <v>6.0220620632171631</v>
      </c>
    </row>
    <row r="47" spans="1:16" x14ac:dyDescent="0.25">
      <c r="A47" t="s">
        <v>16</v>
      </c>
      <c r="B47" t="s">
        <v>76</v>
      </c>
      <c r="C47">
        <v>0</v>
      </c>
      <c r="D47">
        <v>1</v>
      </c>
      <c r="E47">
        <v>1</v>
      </c>
      <c r="F47">
        <v>1</v>
      </c>
      <c r="G47">
        <v>1</v>
      </c>
      <c r="H47">
        <v>1</v>
      </c>
      <c r="I47">
        <v>1</v>
      </c>
      <c r="J47">
        <v>1</v>
      </c>
      <c r="K47">
        <v>1</v>
      </c>
      <c r="L47">
        <v>1</v>
      </c>
      <c r="M47">
        <v>1</v>
      </c>
      <c r="N47">
        <v>1</v>
      </c>
      <c r="P47">
        <v>2.0281534194946289</v>
      </c>
    </row>
    <row r="48" spans="1:16" x14ac:dyDescent="0.25">
      <c r="A48" t="s">
        <v>16</v>
      </c>
      <c r="B48" t="s">
        <v>77</v>
      </c>
      <c r="C48">
        <v>0</v>
      </c>
      <c r="D48">
        <v>1</v>
      </c>
      <c r="E48">
        <v>1</v>
      </c>
      <c r="F48">
        <v>1</v>
      </c>
      <c r="G48">
        <v>1</v>
      </c>
      <c r="H48">
        <v>1</v>
      </c>
      <c r="I48">
        <v>1</v>
      </c>
      <c r="J48">
        <v>1</v>
      </c>
      <c r="K48">
        <v>1</v>
      </c>
      <c r="L48">
        <v>1</v>
      </c>
      <c r="M48">
        <v>1</v>
      </c>
      <c r="N48">
        <v>1</v>
      </c>
      <c r="P48">
        <v>1.613038301467896</v>
      </c>
    </row>
    <row r="49" spans="1:16" x14ac:dyDescent="0.25">
      <c r="A49" t="s">
        <v>16</v>
      </c>
      <c r="B49" t="s">
        <v>78</v>
      </c>
      <c r="C49">
        <v>0</v>
      </c>
      <c r="D49">
        <v>1</v>
      </c>
      <c r="E49">
        <v>1</v>
      </c>
      <c r="F49">
        <v>1</v>
      </c>
      <c r="G49">
        <v>1</v>
      </c>
      <c r="H49">
        <v>1</v>
      </c>
      <c r="I49">
        <v>1</v>
      </c>
      <c r="J49">
        <v>1</v>
      </c>
      <c r="K49">
        <v>1</v>
      </c>
      <c r="L49">
        <v>1</v>
      </c>
      <c r="M49">
        <v>1</v>
      </c>
      <c r="N49">
        <v>1</v>
      </c>
      <c r="P49">
        <v>1.465465784072876</v>
      </c>
    </row>
    <row r="50" spans="1:16" x14ac:dyDescent="0.25">
      <c r="A50" t="s">
        <v>16</v>
      </c>
      <c r="B50" t="s">
        <v>79</v>
      </c>
      <c r="C50">
        <v>0</v>
      </c>
      <c r="D50">
        <v>1</v>
      </c>
      <c r="E50">
        <v>1</v>
      </c>
      <c r="F50">
        <v>1</v>
      </c>
      <c r="G50">
        <v>1</v>
      </c>
      <c r="H50">
        <v>1</v>
      </c>
      <c r="I50">
        <v>1</v>
      </c>
      <c r="J50">
        <v>1</v>
      </c>
      <c r="K50">
        <v>1</v>
      </c>
      <c r="L50">
        <v>1</v>
      </c>
      <c r="M50">
        <v>1</v>
      </c>
      <c r="N50">
        <v>1</v>
      </c>
      <c r="P50">
        <v>1.5772266387939451</v>
      </c>
    </row>
    <row r="51" spans="1:16" x14ac:dyDescent="0.25">
      <c r="A51" t="s">
        <v>80</v>
      </c>
      <c r="B51" t="s">
        <v>17</v>
      </c>
      <c r="C51">
        <v>0</v>
      </c>
      <c r="D51">
        <v>1</v>
      </c>
      <c r="E51">
        <v>1</v>
      </c>
      <c r="F51">
        <v>1</v>
      </c>
      <c r="G51">
        <v>1</v>
      </c>
      <c r="H51">
        <v>1</v>
      </c>
      <c r="I51">
        <v>1</v>
      </c>
      <c r="J51">
        <v>1</v>
      </c>
      <c r="K51">
        <v>1</v>
      </c>
      <c r="L51">
        <v>1</v>
      </c>
      <c r="M51">
        <v>1</v>
      </c>
      <c r="N51">
        <v>1</v>
      </c>
      <c r="P51">
        <v>1.5690329074859619</v>
      </c>
    </row>
    <row r="52" spans="1:16" x14ac:dyDescent="0.25">
      <c r="A52" t="s">
        <v>80</v>
      </c>
      <c r="B52" t="s">
        <v>18</v>
      </c>
      <c r="C52">
        <v>0</v>
      </c>
      <c r="D52">
        <v>1</v>
      </c>
      <c r="E52">
        <v>0</v>
      </c>
      <c r="F52">
        <v>1</v>
      </c>
      <c r="G52">
        <v>1</v>
      </c>
      <c r="H52" t="s">
        <v>28</v>
      </c>
      <c r="I52">
        <v>1</v>
      </c>
      <c r="J52" t="s">
        <v>28</v>
      </c>
      <c r="K52">
        <v>1</v>
      </c>
      <c r="L52">
        <v>1</v>
      </c>
      <c r="M52">
        <v>1</v>
      </c>
      <c r="N52">
        <v>1</v>
      </c>
      <c r="O52" t="s">
        <v>142</v>
      </c>
      <c r="P52">
        <v>3.3539555072784419</v>
      </c>
    </row>
    <row r="53" spans="1:16" x14ac:dyDescent="0.25">
      <c r="A53" t="s">
        <v>80</v>
      </c>
      <c r="B53" t="s">
        <v>19</v>
      </c>
      <c r="C53">
        <v>0</v>
      </c>
      <c r="D53">
        <v>1</v>
      </c>
      <c r="E53">
        <v>1</v>
      </c>
      <c r="F53">
        <v>1</v>
      </c>
      <c r="G53">
        <v>1</v>
      </c>
      <c r="H53">
        <v>1</v>
      </c>
      <c r="I53">
        <v>1</v>
      </c>
      <c r="J53">
        <v>1</v>
      </c>
      <c r="K53">
        <v>1</v>
      </c>
      <c r="L53">
        <v>1</v>
      </c>
      <c r="M53">
        <v>1</v>
      </c>
      <c r="N53">
        <v>1</v>
      </c>
      <c r="P53">
        <v>2.01298975944519</v>
      </c>
    </row>
    <row r="54" spans="1:16" x14ac:dyDescent="0.25">
      <c r="A54" t="s">
        <v>80</v>
      </c>
      <c r="B54" t="s">
        <v>20</v>
      </c>
      <c r="C54">
        <v>0</v>
      </c>
      <c r="D54">
        <v>1</v>
      </c>
      <c r="E54">
        <v>1</v>
      </c>
      <c r="F54">
        <v>1</v>
      </c>
      <c r="G54">
        <v>1</v>
      </c>
      <c r="H54">
        <v>1</v>
      </c>
      <c r="I54">
        <v>1</v>
      </c>
      <c r="J54">
        <v>0</v>
      </c>
      <c r="K54">
        <v>1</v>
      </c>
      <c r="L54">
        <v>1</v>
      </c>
      <c r="M54">
        <v>1</v>
      </c>
      <c r="N54">
        <v>1</v>
      </c>
      <c r="O54" t="s">
        <v>143</v>
      </c>
      <c r="P54">
        <v>2.1772763729095459</v>
      </c>
    </row>
    <row r="55" spans="1:16" x14ac:dyDescent="0.25">
      <c r="A55" t="s">
        <v>80</v>
      </c>
      <c r="B55" t="s">
        <v>21</v>
      </c>
      <c r="C55">
        <v>0</v>
      </c>
      <c r="D55">
        <v>1</v>
      </c>
      <c r="E55">
        <v>0</v>
      </c>
      <c r="F55">
        <v>1</v>
      </c>
      <c r="G55">
        <v>1</v>
      </c>
      <c r="H55" t="s">
        <v>28</v>
      </c>
      <c r="I55">
        <v>1</v>
      </c>
      <c r="J55" t="s">
        <v>28</v>
      </c>
      <c r="K55">
        <v>1</v>
      </c>
      <c r="L55">
        <v>1</v>
      </c>
      <c r="M55">
        <v>1</v>
      </c>
      <c r="N55">
        <v>1</v>
      </c>
      <c r="O55" t="s">
        <v>144</v>
      </c>
      <c r="P55">
        <v>3.8818907737731929</v>
      </c>
    </row>
    <row r="56" spans="1:16" x14ac:dyDescent="0.25">
      <c r="A56" t="s">
        <v>80</v>
      </c>
      <c r="B56" t="s">
        <v>22</v>
      </c>
      <c r="C56">
        <v>0</v>
      </c>
      <c r="D56">
        <v>1</v>
      </c>
      <c r="E56">
        <v>1</v>
      </c>
      <c r="F56">
        <v>1</v>
      </c>
      <c r="G56">
        <v>1</v>
      </c>
      <c r="H56">
        <v>1</v>
      </c>
      <c r="I56">
        <v>1</v>
      </c>
      <c r="J56">
        <v>1</v>
      </c>
      <c r="K56">
        <v>1</v>
      </c>
      <c r="L56">
        <v>1</v>
      </c>
      <c r="M56">
        <v>1</v>
      </c>
      <c r="N56">
        <v>1</v>
      </c>
      <c r="P56">
        <v>1.7297458648681641</v>
      </c>
    </row>
    <row r="57" spans="1:16" x14ac:dyDescent="0.25">
      <c r="A57" t="s">
        <v>80</v>
      </c>
      <c r="B57" t="s">
        <v>23</v>
      </c>
      <c r="C57">
        <v>0</v>
      </c>
      <c r="D57">
        <v>1</v>
      </c>
      <c r="E57">
        <v>1</v>
      </c>
      <c r="F57">
        <v>1</v>
      </c>
      <c r="G57">
        <v>1</v>
      </c>
      <c r="H57">
        <v>1</v>
      </c>
      <c r="I57">
        <v>1</v>
      </c>
      <c r="J57">
        <v>1</v>
      </c>
      <c r="K57">
        <v>1</v>
      </c>
      <c r="L57">
        <v>1</v>
      </c>
      <c r="M57">
        <v>1</v>
      </c>
      <c r="N57">
        <v>1</v>
      </c>
      <c r="P57">
        <v>1.6570112705230711</v>
      </c>
    </row>
    <row r="58" spans="1:16" x14ac:dyDescent="0.25">
      <c r="A58" t="s">
        <v>80</v>
      </c>
      <c r="B58" t="s">
        <v>24</v>
      </c>
      <c r="C58">
        <v>0</v>
      </c>
      <c r="D58">
        <v>1</v>
      </c>
      <c r="E58">
        <v>1</v>
      </c>
      <c r="F58">
        <v>1</v>
      </c>
      <c r="G58">
        <v>1</v>
      </c>
      <c r="H58">
        <v>1</v>
      </c>
      <c r="I58">
        <v>1</v>
      </c>
      <c r="J58">
        <v>1</v>
      </c>
      <c r="K58">
        <v>1</v>
      </c>
      <c r="L58">
        <v>1</v>
      </c>
      <c r="M58">
        <v>1</v>
      </c>
      <c r="N58">
        <v>1</v>
      </c>
      <c r="P58">
        <v>1.594973564147949</v>
      </c>
    </row>
    <row r="59" spans="1:16" x14ac:dyDescent="0.25">
      <c r="A59" t="s">
        <v>80</v>
      </c>
      <c r="B59" t="s">
        <v>25</v>
      </c>
      <c r="C59">
        <v>0</v>
      </c>
      <c r="D59">
        <v>1</v>
      </c>
      <c r="E59">
        <v>1</v>
      </c>
      <c r="F59">
        <v>1</v>
      </c>
      <c r="G59">
        <v>1</v>
      </c>
      <c r="H59">
        <v>1</v>
      </c>
      <c r="I59">
        <v>1</v>
      </c>
      <c r="J59">
        <v>1</v>
      </c>
      <c r="K59">
        <v>1</v>
      </c>
      <c r="L59">
        <v>1</v>
      </c>
      <c r="M59">
        <v>1</v>
      </c>
      <c r="N59">
        <v>1</v>
      </c>
      <c r="P59">
        <v>2.1403992176055908</v>
      </c>
    </row>
    <row r="60" spans="1:16" x14ac:dyDescent="0.25">
      <c r="A60" t="s">
        <v>80</v>
      </c>
      <c r="B60" t="s">
        <v>26</v>
      </c>
      <c r="C60">
        <v>0</v>
      </c>
      <c r="D60">
        <v>1</v>
      </c>
      <c r="E60">
        <v>1</v>
      </c>
      <c r="F60">
        <v>1</v>
      </c>
      <c r="G60">
        <v>1</v>
      </c>
      <c r="H60">
        <v>1</v>
      </c>
      <c r="I60">
        <v>0</v>
      </c>
      <c r="J60">
        <v>1</v>
      </c>
      <c r="K60">
        <v>1</v>
      </c>
      <c r="L60">
        <v>1</v>
      </c>
      <c r="M60">
        <v>1</v>
      </c>
      <c r="N60">
        <v>1</v>
      </c>
      <c r="O60" t="s">
        <v>145</v>
      </c>
      <c r="P60">
        <v>2.3892946243286128</v>
      </c>
    </row>
    <row r="61" spans="1:16" x14ac:dyDescent="0.25">
      <c r="A61" t="s">
        <v>80</v>
      </c>
      <c r="B61" t="s">
        <v>27</v>
      </c>
      <c r="C61">
        <v>0</v>
      </c>
      <c r="D61">
        <v>1</v>
      </c>
      <c r="E61">
        <v>1</v>
      </c>
      <c r="F61">
        <v>1</v>
      </c>
      <c r="G61">
        <v>1</v>
      </c>
      <c r="H61">
        <v>1</v>
      </c>
      <c r="I61">
        <v>1</v>
      </c>
      <c r="J61">
        <v>1</v>
      </c>
      <c r="K61">
        <v>1</v>
      </c>
      <c r="L61">
        <v>1</v>
      </c>
      <c r="M61">
        <v>1</v>
      </c>
      <c r="N61">
        <v>1</v>
      </c>
      <c r="P61">
        <v>2.4812338352203369</v>
      </c>
    </row>
    <row r="62" spans="1:16" x14ac:dyDescent="0.25">
      <c r="A62" t="s">
        <v>80</v>
      </c>
      <c r="B62" t="s">
        <v>30</v>
      </c>
      <c r="C62">
        <v>0</v>
      </c>
      <c r="D62">
        <v>1</v>
      </c>
      <c r="E62">
        <v>1</v>
      </c>
      <c r="F62">
        <v>1</v>
      </c>
      <c r="G62">
        <v>1</v>
      </c>
      <c r="H62">
        <v>1</v>
      </c>
      <c r="I62">
        <v>1</v>
      </c>
      <c r="J62">
        <v>1</v>
      </c>
      <c r="K62">
        <v>1</v>
      </c>
      <c r="L62">
        <v>1</v>
      </c>
      <c r="M62">
        <v>1</v>
      </c>
      <c r="N62">
        <v>1</v>
      </c>
      <c r="P62">
        <v>2.691414356231689</v>
      </c>
    </row>
    <row r="63" spans="1:16" x14ac:dyDescent="0.25">
      <c r="A63" t="s">
        <v>80</v>
      </c>
      <c r="B63" t="s">
        <v>31</v>
      </c>
      <c r="C63">
        <v>0</v>
      </c>
      <c r="D63">
        <v>1</v>
      </c>
      <c r="E63">
        <v>1</v>
      </c>
      <c r="F63">
        <v>1</v>
      </c>
      <c r="G63">
        <v>1</v>
      </c>
      <c r="H63">
        <v>1</v>
      </c>
      <c r="I63">
        <v>1</v>
      </c>
      <c r="J63">
        <v>1</v>
      </c>
      <c r="K63">
        <v>1</v>
      </c>
      <c r="L63">
        <v>1</v>
      </c>
      <c r="M63">
        <v>1</v>
      </c>
      <c r="N63">
        <v>1</v>
      </c>
      <c r="P63">
        <v>4.087857723236084</v>
      </c>
    </row>
    <row r="64" spans="1:16" x14ac:dyDescent="0.25">
      <c r="A64" t="s">
        <v>80</v>
      </c>
      <c r="B64" t="s">
        <v>33</v>
      </c>
      <c r="C64">
        <v>0</v>
      </c>
      <c r="D64">
        <v>1</v>
      </c>
      <c r="E64">
        <v>1</v>
      </c>
      <c r="F64">
        <v>1</v>
      </c>
      <c r="G64">
        <v>1</v>
      </c>
      <c r="H64">
        <v>1</v>
      </c>
      <c r="I64">
        <v>1</v>
      </c>
      <c r="J64">
        <v>1</v>
      </c>
      <c r="K64">
        <v>1</v>
      </c>
      <c r="L64">
        <v>1</v>
      </c>
      <c r="M64">
        <v>1</v>
      </c>
      <c r="N64">
        <v>1</v>
      </c>
      <c r="P64">
        <v>2.8447756767272949</v>
      </c>
    </row>
    <row r="65" spans="1:16" x14ac:dyDescent="0.25">
      <c r="A65" t="s">
        <v>80</v>
      </c>
      <c r="B65" t="s">
        <v>34</v>
      </c>
      <c r="C65">
        <v>0</v>
      </c>
      <c r="D65">
        <v>1</v>
      </c>
      <c r="E65">
        <v>0</v>
      </c>
      <c r="F65">
        <v>0</v>
      </c>
      <c r="G65">
        <v>1</v>
      </c>
      <c r="H65" t="s">
        <v>28</v>
      </c>
      <c r="I65">
        <v>1</v>
      </c>
      <c r="J65" t="s">
        <v>28</v>
      </c>
      <c r="K65">
        <v>1</v>
      </c>
      <c r="L65">
        <v>1</v>
      </c>
      <c r="M65">
        <v>1</v>
      </c>
      <c r="N65">
        <v>1</v>
      </c>
      <c r="O65" t="s">
        <v>146</v>
      </c>
      <c r="P65">
        <v>6.1443603038787842</v>
      </c>
    </row>
    <row r="66" spans="1:16" x14ac:dyDescent="0.25">
      <c r="A66" t="s">
        <v>80</v>
      </c>
      <c r="B66" t="s">
        <v>36</v>
      </c>
      <c r="C66">
        <v>0</v>
      </c>
      <c r="D66">
        <v>1</v>
      </c>
      <c r="E66">
        <v>1</v>
      </c>
      <c r="F66">
        <v>1</v>
      </c>
      <c r="G66">
        <v>1</v>
      </c>
      <c r="H66">
        <v>1</v>
      </c>
      <c r="I66">
        <v>1</v>
      </c>
      <c r="J66">
        <v>1</v>
      </c>
      <c r="K66">
        <v>1</v>
      </c>
      <c r="L66">
        <v>1</v>
      </c>
      <c r="M66">
        <v>1</v>
      </c>
      <c r="N66">
        <v>1</v>
      </c>
      <c r="P66">
        <v>1.8740830421447749</v>
      </c>
    </row>
    <row r="67" spans="1:16" x14ac:dyDescent="0.25">
      <c r="A67" t="s">
        <v>80</v>
      </c>
      <c r="B67" t="s">
        <v>37</v>
      </c>
      <c r="C67">
        <v>0</v>
      </c>
      <c r="D67">
        <v>1</v>
      </c>
      <c r="E67">
        <v>1</v>
      </c>
      <c r="F67">
        <v>1</v>
      </c>
      <c r="G67">
        <v>1</v>
      </c>
      <c r="H67">
        <v>1</v>
      </c>
      <c r="I67">
        <v>1</v>
      </c>
      <c r="J67">
        <v>1</v>
      </c>
      <c r="K67">
        <v>1</v>
      </c>
      <c r="L67">
        <v>1</v>
      </c>
      <c r="M67">
        <v>1</v>
      </c>
      <c r="N67">
        <v>1</v>
      </c>
      <c r="P67">
        <v>1.3172459602355959</v>
      </c>
    </row>
    <row r="68" spans="1:16" x14ac:dyDescent="0.25">
      <c r="A68" t="s">
        <v>80</v>
      </c>
      <c r="B68" t="s">
        <v>38</v>
      </c>
      <c r="C68">
        <v>0</v>
      </c>
      <c r="D68">
        <v>1</v>
      </c>
      <c r="E68">
        <v>1</v>
      </c>
      <c r="F68">
        <v>1</v>
      </c>
      <c r="G68">
        <v>1</v>
      </c>
      <c r="H68">
        <v>1</v>
      </c>
      <c r="I68">
        <v>1</v>
      </c>
      <c r="J68">
        <v>1</v>
      </c>
      <c r="K68">
        <v>1</v>
      </c>
      <c r="L68">
        <v>1</v>
      </c>
      <c r="M68">
        <v>1</v>
      </c>
      <c r="N68">
        <v>1</v>
      </c>
      <c r="P68">
        <v>1.529870271682739</v>
      </c>
    </row>
    <row r="69" spans="1:16" x14ac:dyDescent="0.25">
      <c r="A69" t="s">
        <v>80</v>
      </c>
      <c r="B69" t="s">
        <v>39</v>
      </c>
      <c r="C69">
        <v>0</v>
      </c>
      <c r="D69">
        <v>1</v>
      </c>
      <c r="E69">
        <v>1</v>
      </c>
      <c r="F69">
        <v>1</v>
      </c>
      <c r="G69">
        <v>1</v>
      </c>
      <c r="H69">
        <v>1</v>
      </c>
      <c r="I69">
        <v>1</v>
      </c>
      <c r="J69">
        <v>1</v>
      </c>
      <c r="K69">
        <v>1</v>
      </c>
      <c r="L69">
        <v>1</v>
      </c>
      <c r="M69">
        <v>1</v>
      </c>
      <c r="N69">
        <v>1</v>
      </c>
      <c r="P69">
        <v>2.0257983207702641</v>
      </c>
    </row>
    <row r="70" spans="1:16" x14ac:dyDescent="0.25">
      <c r="A70" t="s">
        <v>80</v>
      </c>
      <c r="B70" t="s">
        <v>40</v>
      </c>
      <c r="C70">
        <v>0</v>
      </c>
      <c r="D70">
        <v>1</v>
      </c>
      <c r="E70">
        <v>1</v>
      </c>
      <c r="F70">
        <v>1</v>
      </c>
      <c r="G70">
        <v>1</v>
      </c>
      <c r="H70">
        <v>1</v>
      </c>
      <c r="I70">
        <v>1</v>
      </c>
      <c r="J70">
        <v>1</v>
      </c>
      <c r="K70">
        <v>1</v>
      </c>
      <c r="L70">
        <v>1</v>
      </c>
      <c r="M70">
        <v>1</v>
      </c>
      <c r="N70">
        <v>1</v>
      </c>
      <c r="P70">
        <v>2.0563197135925289</v>
      </c>
    </row>
    <row r="71" spans="1:16" x14ac:dyDescent="0.25">
      <c r="A71" t="s">
        <v>80</v>
      </c>
      <c r="B71" t="s">
        <v>41</v>
      </c>
      <c r="C71">
        <v>0</v>
      </c>
      <c r="D71">
        <v>1</v>
      </c>
      <c r="E71">
        <v>0</v>
      </c>
      <c r="F71">
        <v>1</v>
      </c>
      <c r="G71">
        <v>1</v>
      </c>
      <c r="H71" t="s">
        <v>28</v>
      </c>
      <c r="I71">
        <v>1</v>
      </c>
      <c r="J71" t="s">
        <v>28</v>
      </c>
      <c r="K71">
        <v>1</v>
      </c>
      <c r="L71">
        <v>1</v>
      </c>
      <c r="M71">
        <v>1</v>
      </c>
      <c r="N71">
        <v>1</v>
      </c>
      <c r="O71" t="s">
        <v>147</v>
      </c>
      <c r="P71">
        <v>2.4717779159545898</v>
      </c>
    </row>
    <row r="72" spans="1:16" x14ac:dyDescent="0.25">
      <c r="A72" t="s">
        <v>80</v>
      </c>
      <c r="B72" t="s">
        <v>42</v>
      </c>
      <c r="C72">
        <v>0</v>
      </c>
      <c r="D72">
        <v>1</v>
      </c>
      <c r="E72">
        <v>1</v>
      </c>
      <c r="F72">
        <v>1</v>
      </c>
      <c r="G72">
        <v>1</v>
      </c>
      <c r="H72">
        <v>1</v>
      </c>
      <c r="I72">
        <v>1</v>
      </c>
      <c r="J72">
        <v>1</v>
      </c>
      <c r="K72">
        <v>1</v>
      </c>
      <c r="L72">
        <v>1</v>
      </c>
      <c r="M72">
        <v>1</v>
      </c>
      <c r="N72">
        <v>1</v>
      </c>
      <c r="P72">
        <v>1.684938907623291</v>
      </c>
    </row>
    <row r="73" spans="1:16" x14ac:dyDescent="0.25">
      <c r="A73" t="s">
        <v>80</v>
      </c>
      <c r="B73" t="s">
        <v>44</v>
      </c>
      <c r="C73">
        <v>0</v>
      </c>
      <c r="D73">
        <v>1</v>
      </c>
      <c r="E73">
        <v>1</v>
      </c>
      <c r="F73">
        <v>1</v>
      </c>
      <c r="G73">
        <v>1</v>
      </c>
      <c r="H73">
        <v>1</v>
      </c>
      <c r="I73">
        <v>1</v>
      </c>
      <c r="J73">
        <v>1</v>
      </c>
      <c r="K73">
        <v>1</v>
      </c>
      <c r="L73">
        <v>1</v>
      </c>
      <c r="M73">
        <v>1</v>
      </c>
      <c r="N73">
        <v>1</v>
      </c>
      <c r="P73">
        <v>1.5406167507171631</v>
      </c>
    </row>
    <row r="74" spans="1:16" x14ac:dyDescent="0.25">
      <c r="A74" t="s">
        <v>80</v>
      </c>
      <c r="B74" t="s">
        <v>45</v>
      </c>
      <c r="C74">
        <v>0</v>
      </c>
      <c r="D74">
        <v>1</v>
      </c>
      <c r="E74">
        <v>1</v>
      </c>
      <c r="F74">
        <v>1</v>
      </c>
      <c r="G74">
        <v>1</v>
      </c>
      <c r="H74">
        <v>1</v>
      </c>
      <c r="I74">
        <v>1</v>
      </c>
      <c r="J74">
        <v>1</v>
      </c>
      <c r="K74">
        <v>1</v>
      </c>
      <c r="L74">
        <v>1</v>
      </c>
      <c r="M74">
        <v>1</v>
      </c>
      <c r="N74">
        <v>1</v>
      </c>
      <c r="P74">
        <v>1.309970617294312</v>
      </c>
    </row>
    <row r="75" spans="1:16" x14ac:dyDescent="0.25">
      <c r="A75" t="s">
        <v>80</v>
      </c>
      <c r="B75" t="s">
        <v>46</v>
      </c>
      <c r="C75">
        <v>0</v>
      </c>
      <c r="D75">
        <v>1</v>
      </c>
      <c r="E75">
        <v>1</v>
      </c>
      <c r="F75">
        <v>1</v>
      </c>
      <c r="G75">
        <v>1</v>
      </c>
      <c r="H75">
        <v>1</v>
      </c>
      <c r="I75">
        <v>1</v>
      </c>
      <c r="J75">
        <v>1</v>
      </c>
      <c r="K75">
        <v>1</v>
      </c>
      <c r="L75">
        <v>1</v>
      </c>
      <c r="M75">
        <v>1</v>
      </c>
      <c r="N75">
        <v>1</v>
      </c>
      <c r="P75">
        <v>2.5318465232849121</v>
      </c>
    </row>
    <row r="76" spans="1:16" x14ac:dyDescent="0.25">
      <c r="A76" t="s">
        <v>80</v>
      </c>
      <c r="B76" t="s">
        <v>47</v>
      </c>
      <c r="C76">
        <v>0</v>
      </c>
      <c r="D76">
        <v>1</v>
      </c>
      <c r="E76">
        <v>1</v>
      </c>
      <c r="F76">
        <v>1</v>
      </c>
      <c r="G76">
        <v>1</v>
      </c>
      <c r="H76">
        <v>1</v>
      </c>
      <c r="I76">
        <v>1</v>
      </c>
      <c r="J76">
        <v>1</v>
      </c>
      <c r="K76">
        <v>1</v>
      </c>
      <c r="L76">
        <v>1</v>
      </c>
      <c r="M76">
        <v>1</v>
      </c>
      <c r="N76">
        <v>1</v>
      </c>
      <c r="P76">
        <v>1.7359626293182371</v>
      </c>
    </row>
    <row r="77" spans="1:16" x14ac:dyDescent="0.25">
      <c r="A77" t="s">
        <v>80</v>
      </c>
      <c r="B77" t="s">
        <v>49</v>
      </c>
      <c r="C77">
        <v>0</v>
      </c>
      <c r="D77">
        <v>1</v>
      </c>
      <c r="E77">
        <v>0</v>
      </c>
      <c r="F77">
        <v>1</v>
      </c>
      <c r="G77">
        <v>1</v>
      </c>
      <c r="H77" t="s">
        <v>28</v>
      </c>
      <c r="I77">
        <v>1</v>
      </c>
      <c r="J77" t="s">
        <v>28</v>
      </c>
      <c r="K77">
        <v>1</v>
      </c>
      <c r="L77">
        <v>1</v>
      </c>
      <c r="M77">
        <v>1</v>
      </c>
      <c r="N77">
        <v>1</v>
      </c>
      <c r="O77" t="s">
        <v>148</v>
      </c>
      <c r="P77">
        <v>3.2829046249389648</v>
      </c>
    </row>
    <row r="78" spans="1:16" x14ac:dyDescent="0.25">
      <c r="A78" t="s">
        <v>80</v>
      </c>
      <c r="B78" t="s">
        <v>51</v>
      </c>
      <c r="C78">
        <v>0</v>
      </c>
      <c r="D78">
        <v>1</v>
      </c>
      <c r="E78">
        <v>0</v>
      </c>
      <c r="F78">
        <v>1</v>
      </c>
      <c r="G78">
        <v>1</v>
      </c>
      <c r="H78" t="s">
        <v>28</v>
      </c>
      <c r="I78">
        <v>1</v>
      </c>
      <c r="J78" t="s">
        <v>28</v>
      </c>
      <c r="K78">
        <v>1</v>
      </c>
      <c r="L78">
        <v>1</v>
      </c>
      <c r="M78">
        <v>1</v>
      </c>
      <c r="N78">
        <v>1</v>
      </c>
      <c r="O78" t="s">
        <v>149</v>
      </c>
      <c r="P78">
        <v>14.89303398132324</v>
      </c>
    </row>
    <row r="79" spans="1:16" x14ac:dyDescent="0.25">
      <c r="A79" t="s">
        <v>80</v>
      </c>
      <c r="B79" t="s">
        <v>53</v>
      </c>
      <c r="C79">
        <v>0</v>
      </c>
      <c r="D79">
        <v>1</v>
      </c>
      <c r="E79">
        <v>1</v>
      </c>
      <c r="F79">
        <v>1</v>
      </c>
      <c r="G79">
        <v>1</v>
      </c>
      <c r="H79">
        <v>1</v>
      </c>
      <c r="I79">
        <v>1</v>
      </c>
      <c r="J79">
        <v>1</v>
      </c>
      <c r="K79">
        <v>1</v>
      </c>
      <c r="L79">
        <v>1</v>
      </c>
      <c r="M79">
        <v>1</v>
      </c>
      <c r="N79">
        <v>1</v>
      </c>
      <c r="P79">
        <v>1.535108089447021</v>
      </c>
    </row>
    <row r="80" spans="1:16" x14ac:dyDescent="0.25">
      <c r="A80" t="s">
        <v>80</v>
      </c>
      <c r="B80" t="s">
        <v>54</v>
      </c>
      <c r="C80">
        <v>0</v>
      </c>
      <c r="D80">
        <v>1</v>
      </c>
      <c r="E80">
        <v>1</v>
      </c>
      <c r="F80">
        <v>1</v>
      </c>
      <c r="G80">
        <v>1</v>
      </c>
      <c r="H80">
        <v>1</v>
      </c>
      <c r="I80">
        <v>1</v>
      </c>
      <c r="J80">
        <v>1</v>
      </c>
      <c r="K80">
        <v>1</v>
      </c>
      <c r="L80">
        <v>1</v>
      </c>
      <c r="M80">
        <v>1</v>
      </c>
      <c r="N80">
        <v>1</v>
      </c>
      <c r="P80">
        <v>1.4542891979217529</v>
      </c>
    </row>
    <row r="81" spans="1:16" x14ac:dyDescent="0.25">
      <c r="A81" t="s">
        <v>80</v>
      </c>
      <c r="B81" t="s">
        <v>56</v>
      </c>
      <c r="C81">
        <v>0</v>
      </c>
      <c r="D81">
        <v>1</v>
      </c>
      <c r="E81">
        <v>1</v>
      </c>
      <c r="F81">
        <v>0</v>
      </c>
      <c r="G81">
        <v>1</v>
      </c>
      <c r="H81">
        <v>1</v>
      </c>
      <c r="I81">
        <v>1</v>
      </c>
      <c r="J81" t="s">
        <v>28</v>
      </c>
      <c r="K81">
        <v>1</v>
      </c>
      <c r="L81">
        <v>1</v>
      </c>
      <c r="M81">
        <v>1</v>
      </c>
      <c r="N81">
        <v>1</v>
      </c>
      <c r="O81" t="s">
        <v>150</v>
      </c>
      <c r="P81">
        <v>2.6234550476074219</v>
      </c>
    </row>
    <row r="82" spans="1:16" x14ac:dyDescent="0.25">
      <c r="A82" t="s">
        <v>80</v>
      </c>
      <c r="B82" t="s">
        <v>58</v>
      </c>
      <c r="C82">
        <v>0</v>
      </c>
      <c r="D82">
        <v>1</v>
      </c>
      <c r="E82">
        <v>1</v>
      </c>
      <c r="F82">
        <v>0</v>
      </c>
      <c r="G82">
        <v>1</v>
      </c>
      <c r="H82">
        <v>1</v>
      </c>
      <c r="I82">
        <v>1</v>
      </c>
      <c r="J82" t="s">
        <v>28</v>
      </c>
      <c r="K82">
        <v>1</v>
      </c>
      <c r="L82">
        <v>1</v>
      </c>
      <c r="M82">
        <v>1</v>
      </c>
      <c r="N82">
        <v>1</v>
      </c>
      <c r="O82" t="s">
        <v>151</v>
      </c>
      <c r="P82">
        <v>2.5193850994110112</v>
      </c>
    </row>
    <row r="83" spans="1:16" x14ac:dyDescent="0.25">
      <c r="A83" t="s">
        <v>80</v>
      </c>
      <c r="B83" t="s">
        <v>60</v>
      </c>
      <c r="C83">
        <v>0</v>
      </c>
      <c r="D83">
        <v>1</v>
      </c>
      <c r="E83">
        <v>1</v>
      </c>
      <c r="F83">
        <v>1</v>
      </c>
      <c r="G83">
        <v>1</v>
      </c>
      <c r="H83">
        <v>1</v>
      </c>
      <c r="I83">
        <v>1</v>
      </c>
      <c r="J83">
        <v>1</v>
      </c>
      <c r="K83">
        <v>1</v>
      </c>
      <c r="L83">
        <v>1</v>
      </c>
      <c r="M83">
        <v>1</v>
      </c>
      <c r="N83">
        <v>1</v>
      </c>
      <c r="P83">
        <v>1.5015578269958501</v>
      </c>
    </row>
    <row r="84" spans="1:16" x14ac:dyDescent="0.25">
      <c r="A84" t="s">
        <v>80</v>
      </c>
      <c r="B84" t="s">
        <v>62</v>
      </c>
      <c r="C84">
        <v>0</v>
      </c>
      <c r="D84">
        <v>1</v>
      </c>
      <c r="E84">
        <v>1</v>
      </c>
      <c r="F84">
        <v>1</v>
      </c>
      <c r="G84">
        <v>1</v>
      </c>
      <c r="H84">
        <v>1</v>
      </c>
      <c r="I84">
        <v>1</v>
      </c>
      <c r="J84">
        <v>1</v>
      </c>
      <c r="K84">
        <v>1</v>
      </c>
      <c r="L84">
        <v>1</v>
      </c>
      <c r="M84">
        <v>1</v>
      </c>
      <c r="N84">
        <v>1</v>
      </c>
      <c r="P84">
        <v>1.703572750091553</v>
      </c>
    </row>
    <row r="85" spans="1:16" x14ac:dyDescent="0.25">
      <c r="A85" t="s">
        <v>80</v>
      </c>
      <c r="B85" t="s">
        <v>63</v>
      </c>
      <c r="C85">
        <v>0</v>
      </c>
      <c r="D85">
        <v>1</v>
      </c>
      <c r="E85">
        <v>1</v>
      </c>
      <c r="F85">
        <v>1</v>
      </c>
      <c r="G85">
        <v>1</v>
      </c>
      <c r="H85">
        <v>1</v>
      </c>
      <c r="I85">
        <v>1</v>
      </c>
      <c r="J85">
        <v>1</v>
      </c>
      <c r="K85">
        <v>1</v>
      </c>
      <c r="L85">
        <v>1</v>
      </c>
      <c r="M85">
        <v>1</v>
      </c>
      <c r="N85">
        <v>1</v>
      </c>
      <c r="P85">
        <v>1.960877418518066</v>
      </c>
    </row>
    <row r="86" spans="1:16" x14ac:dyDescent="0.25">
      <c r="A86" t="s">
        <v>80</v>
      </c>
      <c r="B86" t="s">
        <v>64</v>
      </c>
      <c r="C86">
        <v>0</v>
      </c>
      <c r="D86">
        <v>1</v>
      </c>
      <c r="E86">
        <v>1</v>
      </c>
      <c r="F86">
        <v>1</v>
      </c>
      <c r="G86">
        <v>1</v>
      </c>
      <c r="H86">
        <v>1</v>
      </c>
      <c r="I86">
        <v>1</v>
      </c>
      <c r="J86">
        <v>1</v>
      </c>
      <c r="K86">
        <v>1</v>
      </c>
      <c r="L86">
        <v>1</v>
      </c>
      <c r="M86">
        <v>1</v>
      </c>
      <c r="N86">
        <v>1</v>
      </c>
      <c r="P86">
        <v>1.769949674606323</v>
      </c>
    </row>
    <row r="87" spans="1:16" x14ac:dyDescent="0.25">
      <c r="A87" t="s">
        <v>80</v>
      </c>
      <c r="B87" t="s">
        <v>65</v>
      </c>
      <c r="C87">
        <v>0</v>
      </c>
      <c r="D87">
        <v>1</v>
      </c>
      <c r="E87">
        <v>1</v>
      </c>
      <c r="F87">
        <v>1</v>
      </c>
      <c r="G87">
        <v>1</v>
      </c>
      <c r="H87">
        <v>1</v>
      </c>
      <c r="I87">
        <v>1</v>
      </c>
      <c r="J87">
        <v>1</v>
      </c>
      <c r="K87">
        <v>1</v>
      </c>
      <c r="L87">
        <v>1</v>
      </c>
      <c r="M87">
        <v>1</v>
      </c>
      <c r="N87">
        <v>1</v>
      </c>
      <c r="P87">
        <v>1.625673770904541</v>
      </c>
    </row>
    <row r="88" spans="1:16" x14ac:dyDescent="0.25">
      <c r="A88" t="s">
        <v>80</v>
      </c>
      <c r="B88" t="s">
        <v>66</v>
      </c>
      <c r="C88">
        <v>0</v>
      </c>
      <c r="D88">
        <v>1</v>
      </c>
      <c r="E88">
        <v>1</v>
      </c>
      <c r="F88">
        <v>1</v>
      </c>
      <c r="G88">
        <v>1</v>
      </c>
      <c r="H88">
        <v>1</v>
      </c>
      <c r="I88">
        <v>1</v>
      </c>
      <c r="J88">
        <v>1</v>
      </c>
      <c r="K88">
        <v>1</v>
      </c>
      <c r="L88">
        <v>1</v>
      </c>
      <c r="M88">
        <v>1</v>
      </c>
      <c r="N88">
        <v>1</v>
      </c>
      <c r="P88">
        <v>1.9603645801544189</v>
      </c>
    </row>
    <row r="89" spans="1:16" x14ac:dyDescent="0.25">
      <c r="A89" t="s">
        <v>80</v>
      </c>
      <c r="B89" t="s">
        <v>67</v>
      </c>
      <c r="C89">
        <v>0</v>
      </c>
      <c r="D89">
        <v>1</v>
      </c>
      <c r="E89">
        <v>1</v>
      </c>
      <c r="F89">
        <v>1</v>
      </c>
      <c r="G89">
        <v>1</v>
      </c>
      <c r="H89">
        <v>1</v>
      </c>
      <c r="I89">
        <v>1</v>
      </c>
      <c r="J89">
        <v>1</v>
      </c>
      <c r="K89">
        <v>1</v>
      </c>
      <c r="L89">
        <v>1</v>
      </c>
      <c r="M89">
        <v>1</v>
      </c>
      <c r="N89">
        <v>1</v>
      </c>
      <c r="P89">
        <v>1.712369441986084</v>
      </c>
    </row>
    <row r="90" spans="1:16" x14ac:dyDescent="0.25">
      <c r="A90" t="s">
        <v>80</v>
      </c>
      <c r="B90" t="s">
        <v>69</v>
      </c>
      <c r="C90">
        <v>0</v>
      </c>
      <c r="D90">
        <v>1</v>
      </c>
      <c r="E90">
        <v>1</v>
      </c>
      <c r="F90">
        <v>1</v>
      </c>
      <c r="G90">
        <v>1</v>
      </c>
      <c r="H90">
        <v>1</v>
      </c>
      <c r="I90">
        <v>1</v>
      </c>
      <c r="J90">
        <v>1</v>
      </c>
      <c r="K90">
        <v>1</v>
      </c>
      <c r="L90">
        <v>1</v>
      </c>
      <c r="M90">
        <v>1</v>
      </c>
      <c r="N90">
        <v>1</v>
      </c>
      <c r="P90">
        <v>1.452749490737915</v>
      </c>
    </row>
    <row r="91" spans="1:16" x14ac:dyDescent="0.25">
      <c r="A91" t="s">
        <v>80</v>
      </c>
      <c r="B91" t="s">
        <v>70</v>
      </c>
      <c r="C91">
        <v>0</v>
      </c>
      <c r="D91">
        <v>1</v>
      </c>
      <c r="E91">
        <v>1</v>
      </c>
      <c r="F91">
        <v>1</v>
      </c>
      <c r="G91">
        <v>1</v>
      </c>
      <c r="H91">
        <v>1</v>
      </c>
      <c r="I91">
        <v>1</v>
      </c>
      <c r="J91">
        <v>1</v>
      </c>
      <c r="K91">
        <v>1</v>
      </c>
      <c r="L91">
        <v>1</v>
      </c>
      <c r="M91">
        <v>1</v>
      </c>
      <c r="N91">
        <v>1</v>
      </c>
      <c r="P91">
        <v>1.7072000503540039</v>
      </c>
    </row>
    <row r="92" spans="1:16" x14ac:dyDescent="0.25">
      <c r="A92" t="s">
        <v>80</v>
      </c>
      <c r="B92" t="s">
        <v>71</v>
      </c>
      <c r="C92">
        <v>0</v>
      </c>
      <c r="D92">
        <v>1</v>
      </c>
      <c r="E92">
        <v>1</v>
      </c>
      <c r="F92">
        <v>1</v>
      </c>
      <c r="G92">
        <v>1</v>
      </c>
      <c r="H92">
        <v>1</v>
      </c>
      <c r="I92">
        <v>1</v>
      </c>
      <c r="J92">
        <v>1</v>
      </c>
      <c r="K92">
        <v>1</v>
      </c>
      <c r="L92">
        <v>1</v>
      </c>
      <c r="M92">
        <v>1</v>
      </c>
      <c r="N92">
        <v>1</v>
      </c>
      <c r="P92">
        <v>1.676542997360229</v>
      </c>
    </row>
    <row r="93" spans="1:16" x14ac:dyDescent="0.25">
      <c r="A93" t="s">
        <v>80</v>
      </c>
      <c r="B93" t="s">
        <v>72</v>
      </c>
      <c r="C93">
        <v>0</v>
      </c>
      <c r="D93">
        <v>1</v>
      </c>
      <c r="E93">
        <v>1</v>
      </c>
      <c r="F93">
        <v>1</v>
      </c>
      <c r="G93">
        <v>1</v>
      </c>
      <c r="H93">
        <v>1</v>
      </c>
      <c r="I93">
        <v>1</v>
      </c>
      <c r="J93">
        <v>1</v>
      </c>
      <c r="K93">
        <v>1</v>
      </c>
      <c r="L93">
        <v>1</v>
      </c>
      <c r="M93">
        <v>1</v>
      </c>
      <c r="N93">
        <v>1</v>
      </c>
      <c r="P93">
        <v>1.71875</v>
      </c>
    </row>
    <row r="94" spans="1:16" x14ac:dyDescent="0.25">
      <c r="A94" t="s">
        <v>80</v>
      </c>
      <c r="B94" t="s">
        <v>74</v>
      </c>
      <c r="C94">
        <v>0</v>
      </c>
      <c r="D94">
        <v>1</v>
      </c>
      <c r="E94">
        <v>1</v>
      </c>
      <c r="F94">
        <v>1</v>
      </c>
      <c r="G94">
        <v>1</v>
      </c>
      <c r="H94">
        <v>1</v>
      </c>
      <c r="I94">
        <v>1</v>
      </c>
      <c r="J94">
        <v>1</v>
      </c>
      <c r="K94">
        <v>1</v>
      </c>
      <c r="L94">
        <v>1</v>
      </c>
      <c r="M94">
        <v>1</v>
      </c>
      <c r="N94">
        <v>1</v>
      </c>
      <c r="P94">
        <v>6.9164555072784424</v>
      </c>
    </row>
    <row r="95" spans="1:16" x14ac:dyDescent="0.25">
      <c r="A95" t="s">
        <v>80</v>
      </c>
      <c r="B95" t="s">
        <v>75</v>
      </c>
      <c r="C95">
        <v>0</v>
      </c>
      <c r="D95">
        <v>1</v>
      </c>
      <c r="E95">
        <v>1</v>
      </c>
      <c r="F95">
        <v>1</v>
      </c>
      <c r="G95">
        <v>1</v>
      </c>
      <c r="H95">
        <v>1</v>
      </c>
      <c r="I95">
        <v>1</v>
      </c>
      <c r="J95">
        <v>1</v>
      </c>
      <c r="K95">
        <v>1</v>
      </c>
      <c r="L95">
        <v>1</v>
      </c>
      <c r="M95">
        <v>1</v>
      </c>
      <c r="N95">
        <v>1</v>
      </c>
      <c r="P95">
        <v>1.9114112854003911</v>
      </c>
    </row>
    <row r="96" spans="1:16" x14ac:dyDescent="0.25">
      <c r="A96" t="s">
        <v>80</v>
      </c>
      <c r="B96" t="s">
        <v>76</v>
      </c>
      <c r="C96">
        <v>0</v>
      </c>
      <c r="D96">
        <v>1</v>
      </c>
      <c r="E96">
        <v>1</v>
      </c>
      <c r="F96">
        <v>1</v>
      </c>
      <c r="G96">
        <v>1</v>
      </c>
      <c r="H96">
        <v>1</v>
      </c>
      <c r="I96">
        <v>1</v>
      </c>
      <c r="J96">
        <v>1</v>
      </c>
      <c r="K96">
        <v>1</v>
      </c>
      <c r="L96">
        <v>1</v>
      </c>
      <c r="M96">
        <v>1</v>
      </c>
      <c r="N96">
        <v>1</v>
      </c>
      <c r="P96">
        <v>3.3536586761474609</v>
      </c>
    </row>
    <row r="97" spans="1:16" x14ac:dyDescent="0.25">
      <c r="A97" t="s">
        <v>80</v>
      </c>
      <c r="B97" t="s">
        <v>77</v>
      </c>
      <c r="C97">
        <v>0</v>
      </c>
      <c r="D97">
        <v>1</v>
      </c>
      <c r="E97">
        <v>1</v>
      </c>
      <c r="F97">
        <v>1</v>
      </c>
      <c r="G97">
        <v>1</v>
      </c>
      <c r="H97">
        <v>1</v>
      </c>
      <c r="I97">
        <v>1</v>
      </c>
      <c r="J97">
        <v>1</v>
      </c>
      <c r="K97">
        <v>1</v>
      </c>
      <c r="L97">
        <v>1</v>
      </c>
      <c r="M97">
        <v>1</v>
      </c>
      <c r="N97">
        <v>1</v>
      </c>
      <c r="P97">
        <v>1.4641265869140621</v>
      </c>
    </row>
    <row r="98" spans="1:16" x14ac:dyDescent="0.25">
      <c r="A98" t="s">
        <v>80</v>
      </c>
      <c r="B98" t="s">
        <v>78</v>
      </c>
      <c r="C98">
        <v>0</v>
      </c>
      <c r="D98">
        <v>1</v>
      </c>
      <c r="E98">
        <v>1</v>
      </c>
      <c r="F98">
        <v>1</v>
      </c>
      <c r="G98">
        <v>1</v>
      </c>
      <c r="H98">
        <v>1</v>
      </c>
      <c r="I98">
        <v>1</v>
      </c>
      <c r="J98">
        <v>1</v>
      </c>
      <c r="K98">
        <v>1</v>
      </c>
      <c r="L98">
        <v>1</v>
      </c>
      <c r="M98">
        <v>1</v>
      </c>
      <c r="N98">
        <v>1</v>
      </c>
      <c r="P98">
        <v>1.5764763355255129</v>
      </c>
    </row>
    <row r="99" spans="1:16" x14ac:dyDescent="0.25">
      <c r="A99" t="s">
        <v>80</v>
      </c>
      <c r="B99" t="s">
        <v>79</v>
      </c>
      <c r="C99">
        <v>0</v>
      </c>
      <c r="D99">
        <v>1</v>
      </c>
      <c r="E99">
        <v>1</v>
      </c>
      <c r="F99">
        <v>1</v>
      </c>
      <c r="G99">
        <v>1</v>
      </c>
      <c r="H99">
        <v>1</v>
      </c>
      <c r="I99">
        <v>1</v>
      </c>
      <c r="J99">
        <v>1</v>
      </c>
      <c r="K99">
        <v>1</v>
      </c>
      <c r="L99">
        <v>1</v>
      </c>
      <c r="M99">
        <v>1</v>
      </c>
      <c r="N99">
        <v>1</v>
      </c>
      <c r="P99">
        <v>1.638215303421021</v>
      </c>
    </row>
    <row r="100" spans="1:16" x14ac:dyDescent="0.25">
      <c r="A100" t="s">
        <v>80</v>
      </c>
      <c r="B100" t="s">
        <v>91</v>
      </c>
      <c r="C100">
        <v>0</v>
      </c>
      <c r="D100">
        <v>1</v>
      </c>
      <c r="E100">
        <v>1</v>
      </c>
      <c r="F100">
        <v>1</v>
      </c>
      <c r="G100">
        <v>1</v>
      </c>
      <c r="H100">
        <v>1</v>
      </c>
      <c r="I100">
        <v>1</v>
      </c>
      <c r="J100">
        <v>1</v>
      </c>
      <c r="K100">
        <v>1</v>
      </c>
      <c r="L100">
        <v>1</v>
      </c>
      <c r="M100">
        <v>1</v>
      </c>
      <c r="N100">
        <v>1</v>
      </c>
      <c r="P100">
        <v>1.87352466583252</v>
      </c>
    </row>
    <row r="101" spans="1:16" x14ac:dyDescent="0.25">
      <c r="A101" t="s">
        <v>80</v>
      </c>
      <c r="B101" t="s">
        <v>92</v>
      </c>
      <c r="C101">
        <v>0</v>
      </c>
      <c r="D101">
        <v>1</v>
      </c>
      <c r="E101">
        <v>1</v>
      </c>
      <c r="F101">
        <v>1</v>
      </c>
      <c r="G101">
        <v>1</v>
      </c>
      <c r="H101">
        <v>1</v>
      </c>
      <c r="I101">
        <v>1</v>
      </c>
      <c r="J101">
        <v>1</v>
      </c>
      <c r="K101">
        <v>1</v>
      </c>
      <c r="L101">
        <v>1</v>
      </c>
      <c r="M101">
        <v>1</v>
      </c>
      <c r="N101">
        <v>1</v>
      </c>
      <c r="P101">
        <v>1.461790084838867</v>
      </c>
    </row>
    <row r="102" spans="1:16" x14ac:dyDescent="0.25">
      <c r="A102" t="s">
        <v>80</v>
      </c>
      <c r="B102" t="s">
        <v>93</v>
      </c>
      <c r="C102">
        <v>0</v>
      </c>
      <c r="D102">
        <v>1</v>
      </c>
      <c r="E102">
        <v>1</v>
      </c>
      <c r="F102">
        <v>1</v>
      </c>
      <c r="G102">
        <v>1</v>
      </c>
      <c r="H102">
        <v>1</v>
      </c>
      <c r="I102">
        <v>1</v>
      </c>
      <c r="J102">
        <v>1</v>
      </c>
      <c r="K102">
        <v>1</v>
      </c>
      <c r="L102">
        <v>1</v>
      </c>
      <c r="M102">
        <v>1</v>
      </c>
      <c r="N102">
        <v>1</v>
      </c>
      <c r="P102">
        <v>1.698561906814575</v>
      </c>
    </row>
    <row r="103" spans="1:16" x14ac:dyDescent="0.25">
      <c r="A103" t="s">
        <v>80</v>
      </c>
      <c r="B103" t="s">
        <v>94</v>
      </c>
      <c r="C103">
        <v>0</v>
      </c>
      <c r="D103">
        <v>1</v>
      </c>
      <c r="E103">
        <v>1</v>
      </c>
      <c r="F103">
        <v>1</v>
      </c>
      <c r="G103">
        <v>1</v>
      </c>
      <c r="H103">
        <v>1</v>
      </c>
      <c r="I103">
        <v>1</v>
      </c>
      <c r="J103">
        <v>1</v>
      </c>
      <c r="K103">
        <v>1</v>
      </c>
      <c r="L103">
        <v>1</v>
      </c>
      <c r="M103">
        <v>1</v>
      </c>
      <c r="N103">
        <v>1</v>
      </c>
      <c r="P103">
        <v>1.719214200973511</v>
      </c>
    </row>
    <row r="104" spans="1:16" x14ac:dyDescent="0.25">
      <c r="A104" t="s">
        <v>80</v>
      </c>
      <c r="B104" t="s">
        <v>95</v>
      </c>
      <c r="C104">
        <v>0</v>
      </c>
      <c r="D104">
        <v>1</v>
      </c>
      <c r="E104">
        <v>1</v>
      </c>
      <c r="F104">
        <v>1</v>
      </c>
      <c r="G104">
        <v>1</v>
      </c>
      <c r="H104">
        <v>1</v>
      </c>
      <c r="I104">
        <v>1</v>
      </c>
      <c r="J104">
        <v>1</v>
      </c>
      <c r="K104">
        <v>1</v>
      </c>
      <c r="L104">
        <v>1</v>
      </c>
      <c r="M104">
        <v>1</v>
      </c>
      <c r="N104">
        <v>1</v>
      </c>
      <c r="P104">
        <v>1.8412923812866211</v>
      </c>
    </row>
    <row r="105" spans="1:16" x14ac:dyDescent="0.25">
      <c r="A105" t="s">
        <v>80</v>
      </c>
      <c r="B105" t="s">
        <v>96</v>
      </c>
      <c r="C105">
        <v>0</v>
      </c>
      <c r="D105">
        <v>1</v>
      </c>
      <c r="E105">
        <v>1</v>
      </c>
      <c r="F105">
        <v>1</v>
      </c>
      <c r="G105">
        <v>1</v>
      </c>
      <c r="H105">
        <v>1</v>
      </c>
      <c r="I105">
        <v>1</v>
      </c>
      <c r="J105">
        <v>1</v>
      </c>
      <c r="K105">
        <v>1</v>
      </c>
      <c r="L105">
        <v>1</v>
      </c>
      <c r="M105">
        <v>1</v>
      </c>
      <c r="N105">
        <v>1</v>
      </c>
      <c r="P105">
        <v>5.4718184471130371</v>
      </c>
    </row>
    <row r="106" spans="1:16" x14ac:dyDescent="0.25">
      <c r="A106" t="s">
        <v>80</v>
      </c>
      <c r="B106" t="s">
        <v>97</v>
      </c>
      <c r="C106">
        <v>0</v>
      </c>
      <c r="D106">
        <v>1</v>
      </c>
      <c r="E106">
        <v>1</v>
      </c>
      <c r="F106">
        <v>1</v>
      </c>
      <c r="G106">
        <v>1</v>
      </c>
      <c r="H106">
        <v>1</v>
      </c>
      <c r="I106">
        <v>1</v>
      </c>
      <c r="J106">
        <v>1</v>
      </c>
      <c r="K106">
        <v>1</v>
      </c>
      <c r="L106">
        <v>1</v>
      </c>
      <c r="M106">
        <v>1</v>
      </c>
      <c r="N106">
        <v>1</v>
      </c>
      <c r="P106">
        <v>1.397013187408447</v>
      </c>
    </row>
    <row r="107" spans="1:16" x14ac:dyDescent="0.25">
      <c r="A107" t="s">
        <v>80</v>
      </c>
      <c r="B107" t="s">
        <v>98</v>
      </c>
      <c r="C107">
        <v>0</v>
      </c>
      <c r="D107">
        <v>1</v>
      </c>
      <c r="E107">
        <v>1</v>
      </c>
      <c r="F107">
        <v>1</v>
      </c>
      <c r="G107">
        <v>1</v>
      </c>
      <c r="H107">
        <v>1</v>
      </c>
      <c r="I107">
        <v>1</v>
      </c>
      <c r="J107">
        <v>1</v>
      </c>
      <c r="K107">
        <v>1</v>
      </c>
      <c r="L107">
        <v>1</v>
      </c>
      <c r="M107">
        <v>1</v>
      </c>
      <c r="N107">
        <v>1</v>
      </c>
      <c r="P107">
        <v>1.4449906349182129</v>
      </c>
    </row>
    <row r="108" spans="1:16" x14ac:dyDescent="0.25">
      <c r="A108" t="s">
        <v>80</v>
      </c>
      <c r="B108" t="s">
        <v>100</v>
      </c>
      <c r="C108">
        <v>0</v>
      </c>
      <c r="D108">
        <v>1</v>
      </c>
      <c r="E108">
        <v>1</v>
      </c>
      <c r="F108">
        <v>1</v>
      </c>
      <c r="G108">
        <v>1</v>
      </c>
      <c r="H108">
        <v>1</v>
      </c>
      <c r="I108">
        <v>1</v>
      </c>
      <c r="J108">
        <v>1</v>
      </c>
      <c r="K108">
        <v>1</v>
      </c>
      <c r="L108">
        <v>1</v>
      </c>
      <c r="M108">
        <v>1</v>
      </c>
      <c r="N108">
        <v>1</v>
      </c>
      <c r="P108">
        <v>1.3766911029815669</v>
      </c>
    </row>
    <row r="109" spans="1:16" x14ac:dyDescent="0.25">
      <c r="A109" t="s">
        <v>80</v>
      </c>
      <c r="B109" t="s">
        <v>101</v>
      </c>
      <c r="C109">
        <v>0</v>
      </c>
      <c r="D109">
        <v>1</v>
      </c>
      <c r="E109">
        <v>1</v>
      </c>
      <c r="F109">
        <v>1</v>
      </c>
      <c r="G109">
        <v>1</v>
      </c>
      <c r="H109">
        <v>1</v>
      </c>
      <c r="I109">
        <v>1</v>
      </c>
      <c r="J109">
        <v>1</v>
      </c>
      <c r="K109">
        <v>1</v>
      </c>
      <c r="L109">
        <v>1</v>
      </c>
      <c r="M109">
        <v>1</v>
      </c>
      <c r="N109">
        <v>1</v>
      </c>
      <c r="P109">
        <v>1.415192842483521</v>
      </c>
    </row>
    <row r="110" spans="1:16" x14ac:dyDescent="0.25">
      <c r="A110" t="s">
        <v>80</v>
      </c>
      <c r="B110" t="s">
        <v>102</v>
      </c>
      <c r="C110">
        <v>0</v>
      </c>
      <c r="D110">
        <v>0</v>
      </c>
      <c r="E110" t="s">
        <v>28</v>
      </c>
      <c r="F110" t="s">
        <v>28</v>
      </c>
      <c r="G110" t="s">
        <v>28</v>
      </c>
      <c r="H110" t="s">
        <v>28</v>
      </c>
      <c r="I110" t="s">
        <v>28</v>
      </c>
      <c r="J110" t="s">
        <v>28</v>
      </c>
      <c r="K110" t="s">
        <v>28</v>
      </c>
      <c r="L110" t="s">
        <v>28</v>
      </c>
      <c r="M110" t="s">
        <v>28</v>
      </c>
      <c r="N110" t="s">
        <v>28</v>
      </c>
      <c r="O110" t="s">
        <v>152</v>
      </c>
      <c r="P110">
        <v>4.7407636642456046</v>
      </c>
    </row>
    <row r="111" spans="1:16" x14ac:dyDescent="0.25">
      <c r="A111" t="s">
        <v>80</v>
      </c>
      <c r="B111" t="s">
        <v>104</v>
      </c>
      <c r="C111">
        <v>0</v>
      </c>
      <c r="D111">
        <v>0</v>
      </c>
      <c r="E111" t="s">
        <v>28</v>
      </c>
      <c r="F111" t="s">
        <v>28</v>
      </c>
      <c r="G111" t="s">
        <v>28</v>
      </c>
      <c r="H111" t="s">
        <v>28</v>
      </c>
      <c r="I111" t="s">
        <v>28</v>
      </c>
      <c r="J111" t="s">
        <v>28</v>
      </c>
      <c r="K111" t="s">
        <v>28</v>
      </c>
      <c r="L111" t="s">
        <v>28</v>
      </c>
      <c r="M111" t="s">
        <v>28</v>
      </c>
      <c r="N111" t="s">
        <v>28</v>
      </c>
      <c r="O111" t="s">
        <v>153</v>
      </c>
      <c r="P111">
        <v>4.9395172595977783</v>
      </c>
    </row>
    <row r="112" spans="1:16" x14ac:dyDescent="0.25">
      <c r="A112" t="s">
        <v>80</v>
      </c>
      <c r="B112" t="s">
        <v>105</v>
      </c>
      <c r="C112">
        <v>0</v>
      </c>
      <c r="D112">
        <v>1</v>
      </c>
      <c r="E112">
        <v>1</v>
      </c>
      <c r="F112">
        <v>1</v>
      </c>
      <c r="G112">
        <v>1</v>
      </c>
      <c r="H112">
        <v>1</v>
      </c>
      <c r="I112">
        <v>1</v>
      </c>
      <c r="J112">
        <v>1</v>
      </c>
      <c r="K112">
        <v>1</v>
      </c>
      <c r="L112">
        <v>1</v>
      </c>
      <c r="M112">
        <v>1</v>
      </c>
      <c r="N112">
        <v>1</v>
      </c>
      <c r="P112">
        <v>1.6337349414825439</v>
      </c>
    </row>
    <row r="113" spans="1:16" x14ac:dyDescent="0.25">
      <c r="A113" t="s">
        <v>80</v>
      </c>
      <c r="B113" t="s">
        <v>106</v>
      </c>
      <c r="C113">
        <v>0</v>
      </c>
      <c r="D113">
        <v>1</v>
      </c>
      <c r="E113">
        <v>1</v>
      </c>
      <c r="F113">
        <v>1</v>
      </c>
      <c r="G113">
        <v>1</v>
      </c>
      <c r="H113">
        <v>1</v>
      </c>
      <c r="I113">
        <v>1</v>
      </c>
      <c r="J113">
        <v>1</v>
      </c>
      <c r="K113">
        <v>1</v>
      </c>
      <c r="L113">
        <v>1</v>
      </c>
      <c r="M113">
        <v>1</v>
      </c>
      <c r="N113">
        <v>1</v>
      </c>
      <c r="P113">
        <v>1.656900882720947</v>
      </c>
    </row>
    <row r="114" spans="1:16" x14ac:dyDescent="0.25">
      <c r="A114" t="s">
        <v>107</v>
      </c>
      <c r="B114" t="s">
        <v>17</v>
      </c>
      <c r="C114">
        <v>0</v>
      </c>
      <c r="D114">
        <v>1</v>
      </c>
      <c r="E114">
        <v>1</v>
      </c>
      <c r="F114">
        <v>1</v>
      </c>
      <c r="G114">
        <v>1</v>
      </c>
      <c r="H114">
        <v>1</v>
      </c>
      <c r="I114">
        <v>1</v>
      </c>
      <c r="J114">
        <v>1</v>
      </c>
      <c r="K114">
        <v>1</v>
      </c>
      <c r="L114">
        <v>1</v>
      </c>
      <c r="M114">
        <v>1</v>
      </c>
      <c r="N114">
        <v>1</v>
      </c>
      <c r="P114">
        <v>1.445463180541992</v>
      </c>
    </row>
    <row r="115" spans="1:16" x14ac:dyDescent="0.25">
      <c r="A115" t="s">
        <v>107</v>
      </c>
      <c r="B115" t="s">
        <v>18</v>
      </c>
      <c r="C115">
        <v>0</v>
      </c>
      <c r="D115">
        <v>1</v>
      </c>
      <c r="E115">
        <v>1</v>
      </c>
      <c r="F115">
        <v>1</v>
      </c>
      <c r="G115">
        <v>1</v>
      </c>
      <c r="H115">
        <v>1</v>
      </c>
      <c r="I115">
        <v>1</v>
      </c>
      <c r="J115">
        <v>1</v>
      </c>
      <c r="K115">
        <v>1</v>
      </c>
      <c r="L115">
        <v>1</v>
      </c>
      <c r="M115">
        <v>1</v>
      </c>
      <c r="N115">
        <v>1</v>
      </c>
      <c r="P115">
        <v>1.470504522323608</v>
      </c>
    </row>
    <row r="116" spans="1:16" x14ac:dyDescent="0.25">
      <c r="A116" t="s">
        <v>107</v>
      </c>
      <c r="B116" t="s">
        <v>19</v>
      </c>
      <c r="C116">
        <v>0</v>
      </c>
      <c r="D116">
        <v>1</v>
      </c>
      <c r="E116">
        <v>0</v>
      </c>
      <c r="F116">
        <v>1</v>
      </c>
      <c r="G116">
        <v>1</v>
      </c>
      <c r="H116" t="s">
        <v>28</v>
      </c>
      <c r="I116">
        <v>1</v>
      </c>
      <c r="J116" t="s">
        <v>28</v>
      </c>
      <c r="K116">
        <v>1</v>
      </c>
      <c r="L116">
        <v>1</v>
      </c>
      <c r="M116">
        <v>1</v>
      </c>
      <c r="N116">
        <v>1</v>
      </c>
      <c r="O116" t="s">
        <v>154</v>
      </c>
      <c r="P116">
        <v>4.6207921504974374</v>
      </c>
    </row>
    <row r="117" spans="1:16" x14ac:dyDescent="0.25">
      <c r="A117" t="s">
        <v>107</v>
      </c>
      <c r="B117" t="s">
        <v>20</v>
      </c>
      <c r="C117">
        <v>0</v>
      </c>
      <c r="D117">
        <v>1</v>
      </c>
      <c r="E117">
        <v>1</v>
      </c>
      <c r="F117">
        <v>1</v>
      </c>
      <c r="G117">
        <v>1</v>
      </c>
      <c r="H117">
        <v>1</v>
      </c>
      <c r="I117">
        <v>1</v>
      </c>
      <c r="J117">
        <v>1</v>
      </c>
      <c r="K117">
        <v>1</v>
      </c>
      <c r="L117">
        <v>1</v>
      </c>
      <c r="M117">
        <v>1</v>
      </c>
      <c r="N117">
        <v>1</v>
      </c>
      <c r="P117">
        <v>9.2115395069122314</v>
      </c>
    </row>
    <row r="118" spans="1:16" x14ac:dyDescent="0.25">
      <c r="A118" t="s">
        <v>107</v>
      </c>
      <c r="B118" t="s">
        <v>21</v>
      </c>
      <c r="C118">
        <v>0</v>
      </c>
      <c r="D118">
        <v>1</v>
      </c>
      <c r="E118">
        <v>1</v>
      </c>
      <c r="F118">
        <v>1</v>
      </c>
      <c r="G118">
        <v>1</v>
      </c>
      <c r="H118">
        <v>1</v>
      </c>
      <c r="I118">
        <v>1</v>
      </c>
      <c r="J118">
        <v>1</v>
      </c>
      <c r="K118">
        <v>1</v>
      </c>
      <c r="L118">
        <v>1</v>
      </c>
      <c r="M118">
        <v>1</v>
      </c>
      <c r="N118">
        <v>1</v>
      </c>
      <c r="P118">
        <v>2.0704925060272221</v>
      </c>
    </row>
    <row r="119" spans="1:16" x14ac:dyDescent="0.25">
      <c r="A119" t="s">
        <v>107</v>
      </c>
      <c r="B119" t="s">
        <v>22</v>
      </c>
      <c r="C119">
        <v>0</v>
      </c>
      <c r="D119">
        <v>1</v>
      </c>
      <c r="E119">
        <v>0</v>
      </c>
      <c r="F119">
        <v>1</v>
      </c>
      <c r="G119">
        <v>1</v>
      </c>
      <c r="H119" t="s">
        <v>28</v>
      </c>
      <c r="I119">
        <v>1</v>
      </c>
      <c r="J119" t="s">
        <v>28</v>
      </c>
      <c r="K119">
        <v>1</v>
      </c>
      <c r="L119">
        <v>1</v>
      </c>
      <c r="M119">
        <v>1</v>
      </c>
      <c r="N119">
        <v>1</v>
      </c>
      <c r="O119" t="s">
        <v>155</v>
      </c>
      <c r="P119">
        <v>4.2356350421905518</v>
      </c>
    </row>
    <row r="120" spans="1:16" x14ac:dyDescent="0.25">
      <c r="A120" t="s">
        <v>107</v>
      </c>
      <c r="B120" t="s">
        <v>23</v>
      </c>
      <c r="C120">
        <v>0</v>
      </c>
      <c r="D120">
        <v>1</v>
      </c>
      <c r="E120">
        <v>1</v>
      </c>
      <c r="F120">
        <v>1</v>
      </c>
      <c r="G120">
        <v>1</v>
      </c>
      <c r="H120">
        <v>1</v>
      </c>
      <c r="I120">
        <v>1</v>
      </c>
      <c r="J120">
        <v>1</v>
      </c>
      <c r="K120">
        <v>1</v>
      </c>
      <c r="L120">
        <v>1</v>
      </c>
      <c r="M120">
        <v>1</v>
      </c>
      <c r="N120">
        <v>1</v>
      </c>
      <c r="P120">
        <v>1.6121063232421879</v>
      </c>
    </row>
    <row r="121" spans="1:16" x14ac:dyDescent="0.25">
      <c r="A121" t="s">
        <v>107</v>
      </c>
      <c r="B121" t="s">
        <v>24</v>
      </c>
      <c r="C121">
        <v>0</v>
      </c>
      <c r="D121">
        <v>1</v>
      </c>
      <c r="E121">
        <v>1</v>
      </c>
      <c r="F121">
        <v>1</v>
      </c>
      <c r="G121">
        <v>1</v>
      </c>
      <c r="H121">
        <v>1</v>
      </c>
      <c r="I121">
        <v>1</v>
      </c>
      <c r="J121">
        <v>1</v>
      </c>
      <c r="K121">
        <v>1</v>
      </c>
      <c r="L121">
        <v>1</v>
      </c>
      <c r="M121">
        <v>1</v>
      </c>
      <c r="N121">
        <v>1</v>
      </c>
      <c r="P121">
        <v>1.6068351268768311</v>
      </c>
    </row>
    <row r="122" spans="1:16" x14ac:dyDescent="0.25">
      <c r="A122" t="s">
        <v>107</v>
      </c>
      <c r="B122" t="s">
        <v>25</v>
      </c>
      <c r="C122">
        <v>0</v>
      </c>
      <c r="D122">
        <v>1</v>
      </c>
      <c r="E122">
        <v>1</v>
      </c>
      <c r="F122">
        <v>1</v>
      </c>
      <c r="G122">
        <v>1</v>
      </c>
      <c r="H122">
        <v>1</v>
      </c>
      <c r="I122">
        <v>1</v>
      </c>
      <c r="J122">
        <v>1</v>
      </c>
      <c r="K122">
        <v>1</v>
      </c>
      <c r="L122">
        <v>1</v>
      </c>
      <c r="M122">
        <v>1</v>
      </c>
      <c r="N122">
        <v>1</v>
      </c>
      <c r="P122">
        <v>1.4421534538269041</v>
      </c>
    </row>
    <row r="123" spans="1:16" x14ac:dyDescent="0.25">
      <c r="A123" t="s">
        <v>107</v>
      </c>
      <c r="B123" t="s">
        <v>26</v>
      </c>
      <c r="C123">
        <v>0</v>
      </c>
      <c r="D123">
        <v>1</v>
      </c>
      <c r="E123">
        <v>0</v>
      </c>
      <c r="F123">
        <v>1</v>
      </c>
      <c r="G123">
        <v>1</v>
      </c>
      <c r="H123" t="s">
        <v>28</v>
      </c>
      <c r="I123">
        <v>1</v>
      </c>
      <c r="J123" t="s">
        <v>28</v>
      </c>
      <c r="K123">
        <v>1</v>
      </c>
      <c r="L123">
        <v>1</v>
      </c>
      <c r="M123">
        <v>1</v>
      </c>
      <c r="N123">
        <v>1</v>
      </c>
      <c r="O123" t="s">
        <v>156</v>
      </c>
      <c r="P123">
        <v>2.2214620113372798</v>
      </c>
    </row>
    <row r="124" spans="1:16" x14ac:dyDescent="0.25">
      <c r="A124" t="s">
        <v>107</v>
      </c>
      <c r="B124" t="s">
        <v>27</v>
      </c>
      <c r="C124">
        <v>0</v>
      </c>
      <c r="D124">
        <v>1</v>
      </c>
      <c r="E124">
        <v>0</v>
      </c>
      <c r="F124">
        <v>1</v>
      </c>
      <c r="G124">
        <v>1</v>
      </c>
      <c r="H124" t="s">
        <v>28</v>
      </c>
      <c r="I124">
        <v>0</v>
      </c>
      <c r="J124" t="s">
        <v>28</v>
      </c>
      <c r="K124">
        <v>1</v>
      </c>
      <c r="L124">
        <v>1</v>
      </c>
      <c r="M124">
        <v>1</v>
      </c>
      <c r="N124">
        <v>1</v>
      </c>
      <c r="O124" t="s">
        <v>157</v>
      </c>
      <c r="P124">
        <v>4.995776891708374</v>
      </c>
    </row>
    <row r="125" spans="1:16" x14ac:dyDescent="0.25">
      <c r="A125" t="s">
        <v>107</v>
      </c>
      <c r="B125" t="s">
        <v>30</v>
      </c>
      <c r="C125">
        <v>0</v>
      </c>
      <c r="D125">
        <v>1</v>
      </c>
      <c r="E125">
        <v>0</v>
      </c>
      <c r="F125">
        <v>1</v>
      </c>
      <c r="G125">
        <v>1</v>
      </c>
      <c r="H125" t="s">
        <v>28</v>
      </c>
      <c r="I125">
        <v>1</v>
      </c>
      <c r="J125" t="s">
        <v>28</v>
      </c>
      <c r="K125">
        <v>1</v>
      </c>
      <c r="L125">
        <v>1</v>
      </c>
      <c r="M125">
        <v>1</v>
      </c>
      <c r="N125">
        <v>1</v>
      </c>
      <c r="O125" t="s">
        <v>158</v>
      </c>
      <c r="P125">
        <v>5.345914363861084</v>
      </c>
    </row>
    <row r="126" spans="1:16" x14ac:dyDescent="0.25">
      <c r="A126" t="s">
        <v>107</v>
      </c>
      <c r="B126" t="s">
        <v>31</v>
      </c>
      <c r="C126">
        <v>0</v>
      </c>
      <c r="D126">
        <v>1</v>
      </c>
      <c r="E126">
        <v>1</v>
      </c>
      <c r="F126">
        <v>1</v>
      </c>
      <c r="G126">
        <v>1</v>
      </c>
      <c r="H126">
        <v>1</v>
      </c>
      <c r="I126">
        <v>1</v>
      </c>
      <c r="J126">
        <v>1</v>
      </c>
      <c r="K126">
        <v>1</v>
      </c>
      <c r="L126">
        <v>1</v>
      </c>
      <c r="M126">
        <v>1</v>
      </c>
      <c r="N126">
        <v>1</v>
      </c>
      <c r="P126">
        <v>2.220064640045166</v>
      </c>
    </row>
    <row r="127" spans="1:16" x14ac:dyDescent="0.25">
      <c r="A127" t="s">
        <v>107</v>
      </c>
      <c r="B127" t="s">
        <v>33</v>
      </c>
      <c r="C127">
        <v>0</v>
      </c>
      <c r="D127">
        <v>1</v>
      </c>
      <c r="E127">
        <v>1</v>
      </c>
      <c r="F127">
        <v>1</v>
      </c>
      <c r="G127">
        <v>1</v>
      </c>
      <c r="H127">
        <v>1</v>
      </c>
      <c r="I127">
        <v>1</v>
      </c>
      <c r="J127">
        <v>1</v>
      </c>
      <c r="K127">
        <v>1</v>
      </c>
      <c r="L127">
        <v>1</v>
      </c>
      <c r="M127">
        <v>1</v>
      </c>
      <c r="N127">
        <v>1</v>
      </c>
      <c r="P127">
        <v>1.935685396194458</v>
      </c>
    </row>
    <row r="128" spans="1:16" x14ac:dyDescent="0.25">
      <c r="A128" t="s">
        <v>107</v>
      </c>
      <c r="B128" t="s">
        <v>34</v>
      </c>
      <c r="C128">
        <v>0</v>
      </c>
      <c r="D128">
        <v>1</v>
      </c>
      <c r="E128">
        <v>1</v>
      </c>
      <c r="F128">
        <v>1</v>
      </c>
      <c r="G128">
        <v>1</v>
      </c>
      <c r="H128">
        <v>1</v>
      </c>
      <c r="I128">
        <v>1</v>
      </c>
      <c r="J128">
        <v>1</v>
      </c>
      <c r="K128">
        <v>1</v>
      </c>
      <c r="L128">
        <v>1</v>
      </c>
      <c r="M128">
        <v>1</v>
      </c>
      <c r="N128">
        <v>1</v>
      </c>
      <c r="P128">
        <v>1.577203750610352</v>
      </c>
    </row>
    <row r="129" spans="1:16" x14ac:dyDescent="0.25">
      <c r="A129" t="s">
        <v>107</v>
      </c>
      <c r="B129" t="s">
        <v>36</v>
      </c>
      <c r="C129">
        <v>0</v>
      </c>
      <c r="D129">
        <v>1</v>
      </c>
      <c r="E129">
        <v>1</v>
      </c>
      <c r="F129">
        <v>1</v>
      </c>
      <c r="G129">
        <v>1</v>
      </c>
      <c r="H129">
        <v>1</v>
      </c>
      <c r="I129">
        <v>1</v>
      </c>
      <c r="J129">
        <v>1</v>
      </c>
      <c r="K129">
        <v>1</v>
      </c>
      <c r="L129">
        <v>1</v>
      </c>
      <c r="M129">
        <v>1</v>
      </c>
      <c r="N129">
        <v>1</v>
      </c>
      <c r="P129">
        <v>1.5069510936737061</v>
      </c>
    </row>
    <row r="130" spans="1:16" x14ac:dyDescent="0.25">
      <c r="A130" t="s">
        <v>107</v>
      </c>
      <c r="B130" t="s">
        <v>37</v>
      </c>
      <c r="C130">
        <v>0</v>
      </c>
      <c r="D130">
        <v>1</v>
      </c>
      <c r="E130">
        <v>1</v>
      </c>
      <c r="F130">
        <v>1</v>
      </c>
      <c r="G130">
        <v>1</v>
      </c>
      <c r="H130">
        <v>1</v>
      </c>
      <c r="I130">
        <v>1</v>
      </c>
      <c r="J130">
        <v>1</v>
      </c>
      <c r="K130">
        <v>1</v>
      </c>
      <c r="L130">
        <v>1</v>
      </c>
      <c r="M130">
        <v>1</v>
      </c>
      <c r="N130">
        <v>1</v>
      </c>
      <c r="P130">
        <v>3.4207813739776611</v>
      </c>
    </row>
    <row r="131" spans="1:16" x14ac:dyDescent="0.25">
      <c r="A131" t="s">
        <v>107</v>
      </c>
      <c r="B131" t="s">
        <v>38</v>
      </c>
      <c r="C131">
        <v>0</v>
      </c>
      <c r="D131">
        <v>1</v>
      </c>
      <c r="E131">
        <v>1</v>
      </c>
      <c r="F131">
        <v>1</v>
      </c>
      <c r="G131">
        <v>1</v>
      </c>
      <c r="H131">
        <v>1</v>
      </c>
      <c r="I131">
        <v>1</v>
      </c>
      <c r="J131">
        <v>1</v>
      </c>
      <c r="K131">
        <v>1</v>
      </c>
      <c r="L131">
        <v>1</v>
      </c>
      <c r="M131">
        <v>1</v>
      </c>
      <c r="N131">
        <v>1</v>
      </c>
      <c r="P131">
        <v>15.30874180793762</v>
      </c>
    </row>
    <row r="132" spans="1:16" x14ac:dyDescent="0.25">
      <c r="A132" t="s">
        <v>107</v>
      </c>
      <c r="B132" t="s">
        <v>39</v>
      </c>
      <c r="C132">
        <v>0</v>
      </c>
      <c r="D132">
        <v>1</v>
      </c>
      <c r="E132">
        <v>1</v>
      </c>
      <c r="F132">
        <v>1</v>
      </c>
      <c r="G132">
        <v>1</v>
      </c>
      <c r="H132">
        <v>1</v>
      </c>
      <c r="I132">
        <v>1</v>
      </c>
      <c r="J132">
        <v>1</v>
      </c>
      <c r="K132">
        <v>1</v>
      </c>
      <c r="L132">
        <v>1</v>
      </c>
      <c r="M132">
        <v>1</v>
      </c>
      <c r="N132">
        <v>1</v>
      </c>
      <c r="P132">
        <v>1.5245237350463869</v>
      </c>
    </row>
    <row r="133" spans="1:16" x14ac:dyDescent="0.25">
      <c r="A133" t="s">
        <v>107</v>
      </c>
      <c r="B133" t="s">
        <v>40</v>
      </c>
      <c r="C133">
        <v>0</v>
      </c>
      <c r="D133">
        <v>1</v>
      </c>
      <c r="E133">
        <v>1</v>
      </c>
      <c r="F133">
        <v>1</v>
      </c>
      <c r="G133">
        <v>1</v>
      </c>
      <c r="H133">
        <v>1</v>
      </c>
      <c r="I133">
        <v>1</v>
      </c>
      <c r="J133">
        <v>1</v>
      </c>
      <c r="K133">
        <v>1</v>
      </c>
      <c r="L133">
        <v>1</v>
      </c>
      <c r="M133">
        <v>1</v>
      </c>
      <c r="N133">
        <v>1</v>
      </c>
      <c r="P133">
        <v>1.915402889251709</v>
      </c>
    </row>
    <row r="134" spans="1:16" x14ac:dyDescent="0.25">
      <c r="A134" t="s">
        <v>107</v>
      </c>
      <c r="B134" t="s">
        <v>41</v>
      </c>
      <c r="C134">
        <v>0</v>
      </c>
      <c r="D134">
        <v>1</v>
      </c>
      <c r="E134">
        <v>1</v>
      </c>
      <c r="F134">
        <v>1</v>
      </c>
      <c r="G134">
        <v>1</v>
      </c>
      <c r="H134">
        <v>1</v>
      </c>
      <c r="I134">
        <v>0</v>
      </c>
      <c r="J134">
        <v>1</v>
      </c>
      <c r="K134">
        <v>1</v>
      </c>
      <c r="L134">
        <v>1</v>
      </c>
      <c r="M134">
        <v>1</v>
      </c>
      <c r="N134">
        <v>1</v>
      </c>
      <c r="O134" t="s">
        <v>159</v>
      </c>
      <c r="P134">
        <v>3.5760562419891362</v>
      </c>
    </row>
    <row r="135" spans="1:16" x14ac:dyDescent="0.25">
      <c r="A135" t="s">
        <v>107</v>
      </c>
      <c r="B135" t="s">
        <v>42</v>
      </c>
      <c r="C135">
        <v>0</v>
      </c>
      <c r="D135">
        <v>1</v>
      </c>
      <c r="E135">
        <v>1</v>
      </c>
      <c r="F135">
        <v>1</v>
      </c>
      <c r="G135">
        <v>1</v>
      </c>
      <c r="H135">
        <v>1</v>
      </c>
      <c r="I135">
        <v>1</v>
      </c>
      <c r="J135">
        <v>1</v>
      </c>
      <c r="K135">
        <v>1</v>
      </c>
      <c r="L135">
        <v>1</v>
      </c>
      <c r="M135">
        <v>1</v>
      </c>
      <c r="N135">
        <v>1</v>
      </c>
      <c r="P135">
        <v>1.4430925846099849</v>
      </c>
    </row>
    <row r="136" spans="1:16" x14ac:dyDescent="0.25">
      <c r="A136" t="s">
        <v>107</v>
      </c>
      <c r="B136" t="s">
        <v>44</v>
      </c>
      <c r="C136">
        <v>0</v>
      </c>
      <c r="D136">
        <v>1</v>
      </c>
      <c r="E136">
        <v>1</v>
      </c>
      <c r="F136">
        <v>1</v>
      </c>
      <c r="G136">
        <v>1</v>
      </c>
      <c r="H136">
        <v>1</v>
      </c>
      <c r="I136">
        <v>1</v>
      </c>
      <c r="J136">
        <v>1</v>
      </c>
      <c r="K136">
        <v>1</v>
      </c>
      <c r="L136">
        <v>1</v>
      </c>
      <c r="M136">
        <v>1</v>
      </c>
      <c r="N136">
        <v>1</v>
      </c>
      <c r="P136">
        <v>1.9271905422210689</v>
      </c>
    </row>
    <row r="137" spans="1:16" x14ac:dyDescent="0.25">
      <c r="A137" t="s">
        <v>107</v>
      </c>
      <c r="B137" t="s">
        <v>45</v>
      </c>
      <c r="C137">
        <v>0</v>
      </c>
      <c r="D137">
        <v>0</v>
      </c>
      <c r="E137" t="s">
        <v>28</v>
      </c>
      <c r="F137" t="s">
        <v>28</v>
      </c>
      <c r="G137" t="s">
        <v>28</v>
      </c>
      <c r="H137" t="s">
        <v>28</v>
      </c>
      <c r="I137" t="s">
        <v>28</v>
      </c>
      <c r="J137" t="s">
        <v>28</v>
      </c>
      <c r="K137" t="s">
        <v>28</v>
      </c>
      <c r="L137" t="s">
        <v>28</v>
      </c>
      <c r="M137" t="s">
        <v>28</v>
      </c>
      <c r="N137" t="s">
        <v>28</v>
      </c>
      <c r="O137" t="s">
        <v>160</v>
      </c>
      <c r="P137">
        <v>3.4355664253234859</v>
      </c>
    </row>
    <row r="138" spans="1:16" x14ac:dyDescent="0.25">
      <c r="A138" t="s">
        <v>107</v>
      </c>
      <c r="B138" t="s">
        <v>46</v>
      </c>
      <c r="C138">
        <v>0</v>
      </c>
      <c r="D138">
        <v>1</v>
      </c>
      <c r="E138">
        <v>0</v>
      </c>
      <c r="F138">
        <v>1</v>
      </c>
      <c r="G138">
        <v>1</v>
      </c>
      <c r="H138" t="s">
        <v>28</v>
      </c>
      <c r="I138">
        <v>1</v>
      </c>
      <c r="J138" t="s">
        <v>28</v>
      </c>
      <c r="K138">
        <v>1</v>
      </c>
      <c r="L138">
        <v>1</v>
      </c>
      <c r="M138">
        <v>1</v>
      </c>
      <c r="N138">
        <v>1</v>
      </c>
      <c r="O138" t="s">
        <v>161</v>
      </c>
      <c r="P138">
        <v>2.2011294364929199</v>
      </c>
    </row>
    <row r="139" spans="1:16" x14ac:dyDescent="0.25">
      <c r="A139" t="s">
        <v>107</v>
      </c>
      <c r="B139" t="s">
        <v>47</v>
      </c>
      <c r="C139">
        <v>0</v>
      </c>
      <c r="D139">
        <v>0</v>
      </c>
      <c r="E139" t="s">
        <v>28</v>
      </c>
      <c r="F139" t="s">
        <v>28</v>
      </c>
      <c r="G139" t="s">
        <v>28</v>
      </c>
      <c r="H139" t="s">
        <v>28</v>
      </c>
      <c r="I139" t="s">
        <v>28</v>
      </c>
      <c r="J139" t="s">
        <v>28</v>
      </c>
      <c r="K139" t="s">
        <v>28</v>
      </c>
      <c r="L139" t="s">
        <v>28</v>
      </c>
      <c r="M139" t="s">
        <v>28</v>
      </c>
      <c r="N139" t="s">
        <v>28</v>
      </c>
      <c r="O139" t="s">
        <v>162</v>
      </c>
      <c r="P139">
        <v>4.975071907043457</v>
      </c>
    </row>
    <row r="140" spans="1:16" x14ac:dyDescent="0.25">
      <c r="A140" t="s">
        <v>107</v>
      </c>
      <c r="B140" t="s">
        <v>49</v>
      </c>
      <c r="C140">
        <v>0</v>
      </c>
      <c r="D140">
        <v>1</v>
      </c>
      <c r="E140">
        <v>0</v>
      </c>
      <c r="F140">
        <v>1</v>
      </c>
      <c r="G140">
        <v>1</v>
      </c>
      <c r="H140" t="s">
        <v>28</v>
      </c>
      <c r="I140">
        <v>1</v>
      </c>
      <c r="J140" t="s">
        <v>28</v>
      </c>
      <c r="K140">
        <v>1</v>
      </c>
      <c r="L140">
        <v>1</v>
      </c>
      <c r="M140">
        <v>1</v>
      </c>
      <c r="N140">
        <v>1</v>
      </c>
      <c r="O140" t="s">
        <v>163</v>
      </c>
      <c r="P140">
        <v>2.104305744171143</v>
      </c>
    </row>
    <row r="141" spans="1:16" x14ac:dyDescent="0.25">
      <c r="A141" t="s">
        <v>107</v>
      </c>
      <c r="B141" t="s">
        <v>51</v>
      </c>
      <c r="C141">
        <v>0</v>
      </c>
      <c r="D141">
        <v>1</v>
      </c>
      <c r="E141">
        <v>1</v>
      </c>
      <c r="F141">
        <v>1</v>
      </c>
      <c r="G141">
        <v>1</v>
      </c>
      <c r="H141">
        <v>1</v>
      </c>
      <c r="I141">
        <v>1</v>
      </c>
      <c r="J141">
        <v>1</v>
      </c>
      <c r="K141">
        <v>1</v>
      </c>
      <c r="L141">
        <v>1</v>
      </c>
      <c r="M141">
        <v>1</v>
      </c>
      <c r="N141">
        <v>1</v>
      </c>
      <c r="P141">
        <v>2.1004383563995361</v>
      </c>
    </row>
    <row r="142" spans="1:16" x14ac:dyDescent="0.25">
      <c r="A142" t="s">
        <v>107</v>
      </c>
      <c r="B142" t="s">
        <v>53</v>
      </c>
      <c r="C142">
        <v>0</v>
      </c>
      <c r="D142">
        <v>1</v>
      </c>
      <c r="E142">
        <v>1</v>
      </c>
      <c r="F142">
        <v>1</v>
      </c>
      <c r="G142">
        <v>1</v>
      </c>
      <c r="H142">
        <v>1</v>
      </c>
      <c r="I142">
        <v>1</v>
      </c>
      <c r="J142">
        <v>1</v>
      </c>
      <c r="K142">
        <v>1</v>
      </c>
      <c r="L142">
        <v>1</v>
      </c>
      <c r="M142">
        <v>1</v>
      </c>
      <c r="N142">
        <v>1</v>
      </c>
      <c r="P142">
        <v>2.8242454528808589</v>
      </c>
    </row>
    <row r="143" spans="1:16" x14ac:dyDescent="0.25">
      <c r="A143" t="s">
        <v>107</v>
      </c>
      <c r="B143" t="s">
        <v>54</v>
      </c>
      <c r="C143">
        <v>0</v>
      </c>
      <c r="D143">
        <v>1</v>
      </c>
      <c r="E143">
        <v>1</v>
      </c>
      <c r="F143">
        <v>0</v>
      </c>
      <c r="G143">
        <v>1</v>
      </c>
      <c r="H143">
        <v>1</v>
      </c>
      <c r="I143">
        <v>1</v>
      </c>
      <c r="J143" t="s">
        <v>28</v>
      </c>
      <c r="K143">
        <v>1</v>
      </c>
      <c r="L143">
        <v>1</v>
      </c>
      <c r="M143">
        <v>1</v>
      </c>
      <c r="N143">
        <v>1</v>
      </c>
      <c r="O143" t="s">
        <v>164</v>
      </c>
      <c r="P143">
        <v>2.9688034057617192</v>
      </c>
    </row>
    <row r="144" spans="1:16" x14ac:dyDescent="0.25">
      <c r="A144" t="s">
        <v>107</v>
      </c>
      <c r="B144" t="s">
        <v>56</v>
      </c>
      <c r="C144">
        <v>0</v>
      </c>
      <c r="D144">
        <v>1</v>
      </c>
      <c r="E144">
        <v>1</v>
      </c>
      <c r="F144">
        <v>1</v>
      </c>
      <c r="G144">
        <v>1</v>
      </c>
      <c r="H144">
        <v>1</v>
      </c>
      <c r="I144">
        <v>1</v>
      </c>
      <c r="J144">
        <v>1</v>
      </c>
      <c r="K144">
        <v>1</v>
      </c>
      <c r="L144">
        <v>1</v>
      </c>
      <c r="M144">
        <v>1</v>
      </c>
      <c r="N144">
        <v>1</v>
      </c>
      <c r="P144">
        <v>1.796705961227417</v>
      </c>
    </row>
    <row r="145" spans="1:16" x14ac:dyDescent="0.25">
      <c r="A145" t="s">
        <v>107</v>
      </c>
      <c r="B145" t="s">
        <v>58</v>
      </c>
      <c r="C145">
        <v>0</v>
      </c>
      <c r="D145">
        <v>1</v>
      </c>
      <c r="E145">
        <v>1</v>
      </c>
      <c r="F145">
        <v>1</v>
      </c>
      <c r="G145">
        <v>1</v>
      </c>
      <c r="H145">
        <v>1</v>
      </c>
      <c r="I145">
        <v>1</v>
      </c>
      <c r="J145">
        <v>1</v>
      </c>
      <c r="K145">
        <v>1</v>
      </c>
      <c r="L145">
        <v>1</v>
      </c>
      <c r="M145">
        <v>1</v>
      </c>
      <c r="N145">
        <v>1</v>
      </c>
      <c r="P145">
        <v>1.6736588478088379</v>
      </c>
    </row>
    <row r="146" spans="1:16" x14ac:dyDescent="0.25">
      <c r="A146" t="s">
        <v>107</v>
      </c>
      <c r="B146" t="s">
        <v>60</v>
      </c>
      <c r="C146">
        <v>0</v>
      </c>
      <c r="D146">
        <v>1</v>
      </c>
      <c r="E146">
        <v>1</v>
      </c>
      <c r="F146">
        <v>1</v>
      </c>
      <c r="G146">
        <v>1</v>
      </c>
      <c r="H146">
        <v>1</v>
      </c>
      <c r="I146">
        <v>1</v>
      </c>
      <c r="J146">
        <v>1</v>
      </c>
      <c r="K146">
        <v>1</v>
      </c>
      <c r="L146">
        <v>1</v>
      </c>
      <c r="M146">
        <v>1</v>
      </c>
      <c r="N146">
        <v>1</v>
      </c>
      <c r="P146">
        <v>6.2657151222229004</v>
      </c>
    </row>
    <row r="147" spans="1:16" x14ac:dyDescent="0.25">
      <c r="A147" t="s">
        <v>107</v>
      </c>
      <c r="B147" t="s">
        <v>62</v>
      </c>
      <c r="C147">
        <v>0</v>
      </c>
      <c r="D147">
        <v>1</v>
      </c>
      <c r="E147">
        <v>1</v>
      </c>
      <c r="F147">
        <v>1</v>
      </c>
      <c r="G147">
        <v>1</v>
      </c>
      <c r="H147">
        <v>1</v>
      </c>
      <c r="I147">
        <v>1</v>
      </c>
      <c r="J147">
        <v>1</v>
      </c>
      <c r="K147">
        <v>1</v>
      </c>
      <c r="L147">
        <v>1</v>
      </c>
      <c r="M147">
        <v>1</v>
      </c>
      <c r="N147">
        <v>1</v>
      </c>
      <c r="P147">
        <v>3.090934038162231</v>
      </c>
    </row>
    <row r="148" spans="1:16" x14ac:dyDescent="0.25">
      <c r="A148" t="s">
        <v>107</v>
      </c>
      <c r="B148" t="s">
        <v>63</v>
      </c>
      <c r="C148">
        <v>0</v>
      </c>
      <c r="D148">
        <v>1</v>
      </c>
      <c r="E148">
        <v>1</v>
      </c>
      <c r="F148">
        <v>1</v>
      </c>
      <c r="G148">
        <v>1</v>
      </c>
      <c r="H148">
        <v>1</v>
      </c>
      <c r="I148">
        <v>1</v>
      </c>
      <c r="J148">
        <v>1</v>
      </c>
      <c r="K148">
        <v>1</v>
      </c>
      <c r="L148">
        <v>1</v>
      </c>
      <c r="M148">
        <v>1</v>
      </c>
      <c r="N148">
        <v>1</v>
      </c>
      <c r="P148">
        <v>9.5567440986633301</v>
      </c>
    </row>
    <row r="149" spans="1:16" x14ac:dyDescent="0.25">
      <c r="A149" t="s">
        <v>107</v>
      </c>
      <c r="B149" t="s">
        <v>64</v>
      </c>
      <c r="C149">
        <v>0</v>
      </c>
      <c r="D149">
        <v>1</v>
      </c>
      <c r="E149">
        <v>1</v>
      </c>
      <c r="F149">
        <v>1</v>
      </c>
      <c r="G149">
        <v>1</v>
      </c>
      <c r="H149">
        <v>1</v>
      </c>
      <c r="I149">
        <v>1</v>
      </c>
      <c r="J149">
        <v>1</v>
      </c>
      <c r="K149">
        <v>1</v>
      </c>
      <c r="L149">
        <v>1</v>
      </c>
      <c r="M149">
        <v>1</v>
      </c>
      <c r="N149">
        <v>1</v>
      </c>
      <c r="P149">
        <v>2.1879875659942631</v>
      </c>
    </row>
    <row r="150" spans="1:16" x14ac:dyDescent="0.25">
      <c r="A150" t="s">
        <v>107</v>
      </c>
      <c r="B150" t="s">
        <v>65</v>
      </c>
      <c r="C150">
        <v>0</v>
      </c>
      <c r="D150">
        <v>1</v>
      </c>
      <c r="E150">
        <v>1</v>
      </c>
      <c r="F150">
        <v>1</v>
      </c>
      <c r="G150">
        <v>1</v>
      </c>
      <c r="H150">
        <v>1</v>
      </c>
      <c r="I150">
        <v>1</v>
      </c>
      <c r="J150">
        <v>1</v>
      </c>
      <c r="K150">
        <v>1</v>
      </c>
      <c r="L150">
        <v>1</v>
      </c>
      <c r="M150">
        <v>1</v>
      </c>
      <c r="N150">
        <v>1</v>
      </c>
      <c r="P150">
        <v>1.907483816146851</v>
      </c>
    </row>
    <row r="151" spans="1:16" x14ac:dyDescent="0.25">
      <c r="A151" t="s">
        <v>107</v>
      </c>
      <c r="B151" t="s">
        <v>66</v>
      </c>
      <c r="C151">
        <v>0</v>
      </c>
      <c r="D151">
        <v>1</v>
      </c>
      <c r="E151">
        <v>1</v>
      </c>
      <c r="F151">
        <v>1</v>
      </c>
      <c r="G151">
        <v>1</v>
      </c>
      <c r="H151">
        <v>1</v>
      </c>
      <c r="I151">
        <v>1</v>
      </c>
      <c r="J151">
        <v>1</v>
      </c>
      <c r="K151">
        <v>1</v>
      </c>
      <c r="L151">
        <v>1</v>
      </c>
      <c r="M151">
        <v>1</v>
      </c>
      <c r="N151">
        <v>1</v>
      </c>
      <c r="P151">
        <v>2.0195941925048828</v>
      </c>
    </row>
    <row r="152" spans="1:16" x14ac:dyDescent="0.25">
      <c r="A152" t="s">
        <v>107</v>
      </c>
      <c r="B152" t="s">
        <v>67</v>
      </c>
      <c r="C152">
        <v>0</v>
      </c>
      <c r="D152">
        <v>1</v>
      </c>
      <c r="E152">
        <v>1</v>
      </c>
      <c r="F152">
        <v>1</v>
      </c>
      <c r="G152">
        <v>1</v>
      </c>
      <c r="H152">
        <v>1</v>
      </c>
      <c r="I152">
        <v>1</v>
      </c>
      <c r="J152">
        <v>1</v>
      </c>
      <c r="K152">
        <v>1</v>
      </c>
      <c r="L152">
        <v>1</v>
      </c>
      <c r="M152">
        <v>1</v>
      </c>
      <c r="N152">
        <v>1</v>
      </c>
      <c r="P152">
        <v>21.726131439208981</v>
      </c>
    </row>
    <row r="153" spans="1:16" x14ac:dyDescent="0.25">
      <c r="A153" t="s">
        <v>107</v>
      </c>
      <c r="B153" t="s">
        <v>69</v>
      </c>
      <c r="C153">
        <v>0</v>
      </c>
      <c r="D153">
        <v>1</v>
      </c>
      <c r="E153">
        <v>1</v>
      </c>
      <c r="F153">
        <v>1</v>
      </c>
      <c r="G153">
        <v>1</v>
      </c>
      <c r="H153">
        <v>1</v>
      </c>
      <c r="I153">
        <v>1</v>
      </c>
      <c r="J153">
        <v>1</v>
      </c>
      <c r="K153">
        <v>1</v>
      </c>
      <c r="L153">
        <v>1</v>
      </c>
      <c r="M153">
        <v>1</v>
      </c>
      <c r="N153">
        <v>1</v>
      </c>
      <c r="P153">
        <v>1.7888503074646001</v>
      </c>
    </row>
    <row r="154" spans="1:16" x14ac:dyDescent="0.25">
      <c r="A154" t="s">
        <v>107</v>
      </c>
      <c r="B154" t="s">
        <v>70</v>
      </c>
      <c r="C154">
        <v>0</v>
      </c>
      <c r="D154">
        <v>1</v>
      </c>
      <c r="E154">
        <v>1</v>
      </c>
      <c r="F154">
        <v>1</v>
      </c>
      <c r="G154">
        <v>1</v>
      </c>
      <c r="H154">
        <v>1</v>
      </c>
      <c r="I154">
        <v>1</v>
      </c>
      <c r="J154">
        <v>1</v>
      </c>
      <c r="K154">
        <v>1</v>
      </c>
      <c r="L154">
        <v>1</v>
      </c>
      <c r="M154">
        <v>1</v>
      </c>
      <c r="N154">
        <v>1</v>
      </c>
      <c r="P154">
        <v>2.9220561981201172</v>
      </c>
    </row>
    <row r="155" spans="1:16" x14ac:dyDescent="0.25">
      <c r="A155" t="s">
        <v>107</v>
      </c>
      <c r="B155" t="s">
        <v>71</v>
      </c>
      <c r="C155">
        <v>0</v>
      </c>
      <c r="D155">
        <v>1</v>
      </c>
      <c r="E155">
        <v>1</v>
      </c>
      <c r="F155">
        <v>1</v>
      </c>
      <c r="G155">
        <v>1</v>
      </c>
      <c r="H155">
        <v>1</v>
      </c>
      <c r="I155">
        <v>1</v>
      </c>
      <c r="J155">
        <v>1</v>
      </c>
      <c r="K155">
        <v>1</v>
      </c>
      <c r="L155">
        <v>1</v>
      </c>
      <c r="M155">
        <v>1</v>
      </c>
      <c r="N155">
        <v>1</v>
      </c>
      <c r="P155">
        <v>1.9973435401916499</v>
      </c>
    </row>
    <row r="156" spans="1:16" x14ac:dyDescent="0.25">
      <c r="A156" t="s">
        <v>107</v>
      </c>
      <c r="B156" t="s">
        <v>72</v>
      </c>
      <c r="C156">
        <v>0</v>
      </c>
      <c r="D156">
        <v>1</v>
      </c>
      <c r="E156">
        <v>1</v>
      </c>
      <c r="F156">
        <v>0</v>
      </c>
      <c r="G156">
        <v>1</v>
      </c>
      <c r="H156">
        <v>1</v>
      </c>
      <c r="I156">
        <v>1</v>
      </c>
      <c r="J156" t="s">
        <v>28</v>
      </c>
      <c r="K156">
        <v>1</v>
      </c>
      <c r="L156">
        <v>1</v>
      </c>
      <c r="M156">
        <v>1</v>
      </c>
      <c r="N156">
        <v>1</v>
      </c>
      <c r="O156" t="s">
        <v>165</v>
      </c>
      <c r="P156">
        <v>2.4978868961334229</v>
      </c>
    </row>
    <row r="157" spans="1:16" x14ac:dyDescent="0.25">
      <c r="A157" t="s">
        <v>107</v>
      </c>
      <c r="B157" t="s">
        <v>74</v>
      </c>
      <c r="C157">
        <v>0</v>
      </c>
      <c r="D157">
        <v>1</v>
      </c>
      <c r="E157">
        <v>1</v>
      </c>
      <c r="F157">
        <v>1</v>
      </c>
      <c r="G157">
        <v>1</v>
      </c>
      <c r="H157">
        <v>1</v>
      </c>
      <c r="I157">
        <v>1</v>
      </c>
      <c r="J157">
        <v>1</v>
      </c>
      <c r="K157">
        <v>1</v>
      </c>
      <c r="L157">
        <v>1</v>
      </c>
      <c r="M157">
        <v>1</v>
      </c>
      <c r="N157">
        <v>1</v>
      </c>
      <c r="P157">
        <v>1.4637517929077151</v>
      </c>
    </row>
    <row r="158" spans="1:16" x14ac:dyDescent="0.25">
      <c r="A158" t="s">
        <v>107</v>
      </c>
      <c r="B158" t="s">
        <v>75</v>
      </c>
      <c r="C158">
        <v>0</v>
      </c>
      <c r="D158">
        <v>1</v>
      </c>
      <c r="E158">
        <v>1</v>
      </c>
      <c r="F158">
        <v>1</v>
      </c>
      <c r="G158">
        <v>1</v>
      </c>
      <c r="H158">
        <v>1</v>
      </c>
      <c r="I158">
        <v>1</v>
      </c>
      <c r="J158">
        <v>1</v>
      </c>
      <c r="K158">
        <v>1</v>
      </c>
      <c r="L158">
        <v>1</v>
      </c>
      <c r="M158">
        <v>1</v>
      </c>
      <c r="N158">
        <v>1</v>
      </c>
      <c r="P158">
        <v>1.390847444534302</v>
      </c>
    </row>
    <row r="159" spans="1:16" x14ac:dyDescent="0.25">
      <c r="A159" t="s">
        <v>107</v>
      </c>
      <c r="B159" t="s">
        <v>76</v>
      </c>
      <c r="C159">
        <v>0</v>
      </c>
      <c r="D159">
        <v>1</v>
      </c>
      <c r="E159">
        <v>1</v>
      </c>
      <c r="F159">
        <v>1</v>
      </c>
      <c r="G159">
        <v>1</v>
      </c>
      <c r="H159">
        <v>1</v>
      </c>
      <c r="I159">
        <v>1</v>
      </c>
      <c r="J159">
        <v>1</v>
      </c>
      <c r="K159">
        <v>1</v>
      </c>
      <c r="L159">
        <v>1</v>
      </c>
      <c r="M159">
        <v>1</v>
      </c>
      <c r="N159">
        <v>1</v>
      </c>
      <c r="P159">
        <v>1.5229852199554439</v>
      </c>
    </row>
    <row r="160" spans="1:16" x14ac:dyDescent="0.25">
      <c r="A160" t="s">
        <v>107</v>
      </c>
      <c r="B160" t="s">
        <v>77</v>
      </c>
      <c r="C160">
        <v>0</v>
      </c>
      <c r="D160">
        <v>0</v>
      </c>
      <c r="E160" t="s">
        <v>28</v>
      </c>
      <c r="F160" t="s">
        <v>28</v>
      </c>
      <c r="G160" t="s">
        <v>28</v>
      </c>
      <c r="H160" t="s">
        <v>28</v>
      </c>
      <c r="I160" t="s">
        <v>28</v>
      </c>
      <c r="J160" t="s">
        <v>28</v>
      </c>
      <c r="K160" t="s">
        <v>28</v>
      </c>
      <c r="L160" t="s">
        <v>28</v>
      </c>
      <c r="M160" t="s">
        <v>28</v>
      </c>
      <c r="N160" t="s">
        <v>28</v>
      </c>
      <c r="O160" t="s">
        <v>166</v>
      </c>
      <c r="P160">
        <v>2.8214538097381592</v>
      </c>
    </row>
    <row r="161" spans="1:16" x14ac:dyDescent="0.25">
      <c r="A161" t="s">
        <v>107</v>
      </c>
      <c r="B161" t="s">
        <v>78</v>
      </c>
      <c r="C161">
        <v>0</v>
      </c>
      <c r="D161">
        <v>1</v>
      </c>
      <c r="E161">
        <v>1</v>
      </c>
      <c r="F161">
        <v>1</v>
      </c>
      <c r="G161">
        <v>1</v>
      </c>
      <c r="H161">
        <v>1</v>
      </c>
      <c r="I161">
        <v>1</v>
      </c>
      <c r="J161">
        <v>1</v>
      </c>
      <c r="K161">
        <v>1</v>
      </c>
      <c r="L161">
        <v>1</v>
      </c>
      <c r="M161">
        <v>1</v>
      </c>
      <c r="N161">
        <v>1</v>
      </c>
      <c r="P161">
        <v>1.476520776748657</v>
      </c>
    </row>
    <row r="162" spans="1:16" x14ac:dyDescent="0.25">
      <c r="A162" t="s">
        <v>107</v>
      </c>
      <c r="B162" t="s">
        <v>79</v>
      </c>
      <c r="C162">
        <v>0</v>
      </c>
      <c r="D162">
        <v>1</v>
      </c>
      <c r="E162">
        <v>1</v>
      </c>
      <c r="F162">
        <v>1</v>
      </c>
      <c r="G162">
        <v>1</v>
      </c>
      <c r="H162">
        <v>1</v>
      </c>
      <c r="I162">
        <v>1</v>
      </c>
      <c r="J162">
        <v>1</v>
      </c>
      <c r="K162">
        <v>1</v>
      </c>
      <c r="L162">
        <v>1</v>
      </c>
      <c r="M162">
        <v>1</v>
      </c>
      <c r="N162">
        <v>1</v>
      </c>
      <c r="P162">
        <v>1.8384594917297361</v>
      </c>
    </row>
    <row r="163" spans="1:16" x14ac:dyDescent="0.25">
      <c r="A163" t="s">
        <v>107</v>
      </c>
      <c r="B163" t="s">
        <v>91</v>
      </c>
      <c r="C163">
        <v>0</v>
      </c>
      <c r="D163">
        <v>1</v>
      </c>
      <c r="E163">
        <v>1</v>
      </c>
      <c r="F163">
        <v>1</v>
      </c>
      <c r="G163">
        <v>1</v>
      </c>
      <c r="H163">
        <v>1</v>
      </c>
      <c r="I163">
        <v>1</v>
      </c>
      <c r="J163">
        <v>1</v>
      </c>
      <c r="K163">
        <v>1</v>
      </c>
      <c r="L163">
        <v>1</v>
      </c>
      <c r="M163">
        <v>1</v>
      </c>
      <c r="N163">
        <v>1</v>
      </c>
      <c r="P163">
        <v>1.3702795505523679</v>
      </c>
    </row>
    <row r="164" spans="1:16" x14ac:dyDescent="0.25">
      <c r="A164" t="s">
        <v>107</v>
      </c>
      <c r="B164" t="s">
        <v>92</v>
      </c>
      <c r="C164">
        <v>0</v>
      </c>
      <c r="D164">
        <v>1</v>
      </c>
      <c r="E164">
        <v>1</v>
      </c>
      <c r="F164">
        <v>1</v>
      </c>
      <c r="G164">
        <v>1</v>
      </c>
      <c r="H164">
        <v>1</v>
      </c>
      <c r="I164">
        <v>1</v>
      </c>
      <c r="J164">
        <v>1</v>
      </c>
      <c r="K164">
        <v>1</v>
      </c>
      <c r="L164">
        <v>1</v>
      </c>
      <c r="M164">
        <v>1</v>
      </c>
      <c r="N164">
        <v>1</v>
      </c>
      <c r="P164">
        <v>1.983232259750366</v>
      </c>
    </row>
    <row r="165" spans="1:16" x14ac:dyDescent="0.25">
      <c r="A165" t="s">
        <v>107</v>
      </c>
      <c r="B165" t="s">
        <v>93</v>
      </c>
      <c r="C165">
        <v>0</v>
      </c>
      <c r="D165">
        <v>1</v>
      </c>
      <c r="E165">
        <v>1</v>
      </c>
      <c r="F165">
        <v>1</v>
      </c>
      <c r="G165">
        <v>1</v>
      </c>
      <c r="H165">
        <v>1</v>
      </c>
      <c r="I165">
        <v>1</v>
      </c>
      <c r="J165">
        <v>1</v>
      </c>
      <c r="K165">
        <v>1</v>
      </c>
      <c r="L165">
        <v>1</v>
      </c>
      <c r="M165">
        <v>1</v>
      </c>
      <c r="N165">
        <v>1</v>
      </c>
      <c r="P165">
        <v>1.338531017303467</v>
      </c>
    </row>
    <row r="166" spans="1:16" x14ac:dyDescent="0.25">
      <c r="A166" t="s">
        <v>107</v>
      </c>
      <c r="B166" t="s">
        <v>94</v>
      </c>
      <c r="C166">
        <v>0</v>
      </c>
      <c r="D166">
        <v>1</v>
      </c>
      <c r="E166">
        <v>1</v>
      </c>
      <c r="F166">
        <v>1</v>
      </c>
      <c r="G166">
        <v>1</v>
      </c>
      <c r="H166">
        <v>1</v>
      </c>
      <c r="I166">
        <v>1</v>
      </c>
      <c r="J166">
        <v>1</v>
      </c>
      <c r="K166">
        <v>1</v>
      </c>
      <c r="L166">
        <v>1</v>
      </c>
      <c r="M166">
        <v>1</v>
      </c>
      <c r="N166">
        <v>1</v>
      </c>
      <c r="P166">
        <v>1.624834537506104</v>
      </c>
    </row>
    <row r="167" spans="1:16" x14ac:dyDescent="0.25">
      <c r="A167" t="s">
        <v>107</v>
      </c>
      <c r="B167" t="s">
        <v>95</v>
      </c>
      <c r="C167">
        <v>0</v>
      </c>
      <c r="D167">
        <v>1</v>
      </c>
      <c r="E167">
        <v>1</v>
      </c>
      <c r="F167">
        <v>1</v>
      </c>
      <c r="G167">
        <v>1</v>
      </c>
      <c r="H167">
        <v>1</v>
      </c>
      <c r="I167">
        <v>1</v>
      </c>
      <c r="J167">
        <v>1</v>
      </c>
      <c r="K167">
        <v>1</v>
      </c>
      <c r="L167">
        <v>1</v>
      </c>
      <c r="M167">
        <v>1</v>
      </c>
      <c r="N167">
        <v>1</v>
      </c>
      <c r="P167">
        <v>1.387593269348145</v>
      </c>
    </row>
    <row r="168" spans="1:16" x14ac:dyDescent="0.25">
      <c r="A168" t="s">
        <v>107</v>
      </c>
      <c r="B168" t="s">
        <v>96</v>
      </c>
      <c r="C168">
        <v>0</v>
      </c>
      <c r="D168">
        <v>1</v>
      </c>
      <c r="E168">
        <v>1</v>
      </c>
      <c r="F168">
        <v>1</v>
      </c>
      <c r="G168">
        <v>1</v>
      </c>
      <c r="H168">
        <v>1</v>
      </c>
      <c r="I168">
        <v>1</v>
      </c>
      <c r="J168">
        <v>1</v>
      </c>
      <c r="K168">
        <v>1</v>
      </c>
      <c r="L168">
        <v>1</v>
      </c>
      <c r="M168">
        <v>1</v>
      </c>
      <c r="N168">
        <v>1</v>
      </c>
      <c r="P168">
        <v>1.2922801971435549</v>
      </c>
    </row>
    <row r="169" spans="1:16" x14ac:dyDescent="0.25">
      <c r="A169" t="s">
        <v>107</v>
      </c>
      <c r="B169" t="s">
        <v>97</v>
      </c>
      <c r="C169">
        <v>0</v>
      </c>
      <c r="D169">
        <v>1</v>
      </c>
      <c r="E169">
        <v>1</v>
      </c>
      <c r="F169">
        <v>1</v>
      </c>
      <c r="G169">
        <v>1</v>
      </c>
      <c r="H169">
        <v>1</v>
      </c>
      <c r="I169">
        <v>1</v>
      </c>
      <c r="J169">
        <v>1</v>
      </c>
      <c r="K169">
        <v>1</v>
      </c>
      <c r="L169">
        <v>1</v>
      </c>
      <c r="M169">
        <v>1</v>
      </c>
      <c r="N169">
        <v>1</v>
      </c>
      <c r="P169">
        <v>1.499295711517334</v>
      </c>
    </row>
    <row r="170" spans="1:16" x14ac:dyDescent="0.25">
      <c r="A170" t="s">
        <v>107</v>
      </c>
      <c r="B170" t="s">
        <v>98</v>
      </c>
      <c r="C170">
        <v>0</v>
      </c>
      <c r="D170">
        <v>1</v>
      </c>
      <c r="E170">
        <v>1</v>
      </c>
      <c r="F170">
        <v>1</v>
      </c>
      <c r="G170">
        <v>1</v>
      </c>
      <c r="H170">
        <v>1</v>
      </c>
      <c r="I170">
        <v>1</v>
      </c>
      <c r="J170">
        <v>1</v>
      </c>
      <c r="K170">
        <v>1</v>
      </c>
      <c r="L170">
        <v>1</v>
      </c>
      <c r="M170">
        <v>1</v>
      </c>
      <c r="N170">
        <v>1</v>
      </c>
      <c r="P170">
        <v>1.9203565120697019</v>
      </c>
    </row>
    <row r="171" spans="1:16" x14ac:dyDescent="0.25">
      <c r="A171" t="s">
        <v>107</v>
      </c>
      <c r="B171" t="s">
        <v>100</v>
      </c>
      <c r="C171">
        <v>0</v>
      </c>
      <c r="D171">
        <v>1</v>
      </c>
      <c r="E171">
        <v>1</v>
      </c>
      <c r="F171">
        <v>1</v>
      </c>
      <c r="G171">
        <v>1</v>
      </c>
      <c r="H171">
        <v>1</v>
      </c>
      <c r="I171">
        <v>1</v>
      </c>
      <c r="J171">
        <v>1</v>
      </c>
      <c r="K171">
        <v>1</v>
      </c>
      <c r="L171">
        <v>1</v>
      </c>
      <c r="M171">
        <v>1</v>
      </c>
      <c r="N171">
        <v>1</v>
      </c>
      <c r="P171">
        <v>1.4046328067779541</v>
      </c>
    </row>
    <row r="172" spans="1:16" x14ac:dyDescent="0.25">
      <c r="A172" t="s">
        <v>107</v>
      </c>
      <c r="B172" t="s">
        <v>101</v>
      </c>
      <c r="C172">
        <v>0</v>
      </c>
      <c r="D172">
        <v>1</v>
      </c>
      <c r="E172">
        <v>1</v>
      </c>
      <c r="F172">
        <v>1</v>
      </c>
      <c r="G172">
        <v>1</v>
      </c>
      <c r="H172">
        <v>1</v>
      </c>
      <c r="I172">
        <v>0</v>
      </c>
      <c r="J172">
        <v>1</v>
      </c>
      <c r="K172">
        <v>1</v>
      </c>
      <c r="L172">
        <v>1</v>
      </c>
      <c r="M172">
        <v>1</v>
      </c>
      <c r="N172">
        <v>1</v>
      </c>
      <c r="O172" t="s">
        <v>167</v>
      </c>
      <c r="P172">
        <v>2.3091638088226318</v>
      </c>
    </row>
    <row r="173" spans="1:16" x14ac:dyDescent="0.25">
      <c r="A173" t="s">
        <v>107</v>
      </c>
      <c r="B173" t="s">
        <v>102</v>
      </c>
      <c r="C173">
        <v>0</v>
      </c>
      <c r="D173">
        <v>1</v>
      </c>
      <c r="E173">
        <v>1</v>
      </c>
      <c r="F173">
        <v>1</v>
      </c>
      <c r="G173">
        <v>1</v>
      </c>
      <c r="H173">
        <v>1</v>
      </c>
      <c r="I173">
        <v>1</v>
      </c>
      <c r="J173">
        <v>1</v>
      </c>
      <c r="K173">
        <v>1</v>
      </c>
      <c r="L173">
        <v>1</v>
      </c>
      <c r="M173">
        <v>1</v>
      </c>
      <c r="N173">
        <v>1</v>
      </c>
      <c r="P173">
        <v>1.8081526756286621</v>
      </c>
    </row>
    <row r="174" spans="1:16" x14ac:dyDescent="0.25">
      <c r="A174" t="s">
        <v>107</v>
      </c>
      <c r="B174" t="s">
        <v>104</v>
      </c>
      <c r="C174">
        <v>0</v>
      </c>
      <c r="D174">
        <v>1</v>
      </c>
      <c r="E174">
        <v>1</v>
      </c>
      <c r="F174">
        <v>1</v>
      </c>
      <c r="G174">
        <v>1</v>
      </c>
      <c r="H174">
        <v>1</v>
      </c>
      <c r="I174">
        <v>1</v>
      </c>
      <c r="J174">
        <v>1</v>
      </c>
      <c r="K174">
        <v>1</v>
      </c>
      <c r="L174">
        <v>1</v>
      </c>
      <c r="M174">
        <v>1</v>
      </c>
      <c r="N174">
        <v>1</v>
      </c>
      <c r="P174">
        <v>13.769443988800051</v>
      </c>
    </row>
    <row r="175" spans="1:16" x14ac:dyDescent="0.25">
      <c r="A175" t="s">
        <v>107</v>
      </c>
      <c r="B175" t="s">
        <v>105</v>
      </c>
      <c r="C175">
        <v>0</v>
      </c>
      <c r="D175">
        <v>1</v>
      </c>
      <c r="E175">
        <v>1</v>
      </c>
      <c r="F175">
        <v>1</v>
      </c>
      <c r="G175">
        <v>1</v>
      </c>
      <c r="H175">
        <v>1</v>
      </c>
      <c r="I175">
        <v>1</v>
      </c>
      <c r="J175">
        <v>1</v>
      </c>
      <c r="K175">
        <v>1</v>
      </c>
      <c r="L175">
        <v>1</v>
      </c>
      <c r="M175">
        <v>1</v>
      </c>
      <c r="N175">
        <v>1</v>
      </c>
      <c r="P175">
        <v>1.5588715076446531</v>
      </c>
    </row>
    <row r="176" spans="1:16" x14ac:dyDescent="0.25">
      <c r="A176" t="s">
        <v>107</v>
      </c>
      <c r="B176" t="s">
        <v>106</v>
      </c>
      <c r="C176">
        <v>0</v>
      </c>
      <c r="D176">
        <v>1</v>
      </c>
      <c r="E176">
        <v>1</v>
      </c>
      <c r="F176">
        <v>1</v>
      </c>
      <c r="G176">
        <v>1</v>
      </c>
      <c r="H176">
        <v>1</v>
      </c>
      <c r="I176">
        <v>1</v>
      </c>
      <c r="J176">
        <v>1</v>
      </c>
      <c r="K176">
        <v>1</v>
      </c>
      <c r="L176">
        <v>1</v>
      </c>
      <c r="M176">
        <v>1</v>
      </c>
      <c r="N176">
        <v>1</v>
      </c>
      <c r="P176">
        <v>1.756658792495728</v>
      </c>
    </row>
    <row r="177" spans="1:16" x14ac:dyDescent="0.25">
      <c r="A177" t="s">
        <v>107</v>
      </c>
      <c r="B177" t="s">
        <v>126</v>
      </c>
      <c r="C177">
        <v>0</v>
      </c>
      <c r="D177">
        <v>1</v>
      </c>
      <c r="E177">
        <v>1</v>
      </c>
      <c r="F177">
        <v>1</v>
      </c>
      <c r="G177">
        <v>1</v>
      </c>
      <c r="H177">
        <v>1</v>
      </c>
      <c r="I177">
        <v>1</v>
      </c>
      <c r="J177">
        <v>1</v>
      </c>
      <c r="K177">
        <v>1</v>
      </c>
      <c r="L177">
        <v>1</v>
      </c>
      <c r="M177">
        <v>1</v>
      </c>
      <c r="N177">
        <v>1</v>
      </c>
      <c r="P177">
        <v>1.6712493896484379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v>
      </c>
      <c r="E2">
        <v>1</v>
      </c>
      <c r="F2">
        <v>1</v>
      </c>
      <c r="G2">
        <v>1</v>
      </c>
      <c r="H2">
        <v>1</v>
      </c>
      <c r="I2">
        <v>1</v>
      </c>
      <c r="J2">
        <v>1</v>
      </c>
      <c r="K2">
        <v>1</v>
      </c>
      <c r="L2">
        <v>1</v>
      </c>
      <c r="M2">
        <v>1</v>
      </c>
      <c r="N2">
        <v>1</v>
      </c>
      <c r="P2">
        <v>1.8203520774841311</v>
      </c>
    </row>
    <row r="3" spans="1:16" x14ac:dyDescent="0.25">
      <c r="A3" t="s">
        <v>16</v>
      </c>
      <c r="B3" t="s">
        <v>18</v>
      </c>
      <c r="C3">
        <v>0</v>
      </c>
      <c r="D3">
        <v>1</v>
      </c>
      <c r="E3">
        <v>1</v>
      </c>
      <c r="F3">
        <v>1</v>
      </c>
      <c r="G3">
        <v>1</v>
      </c>
      <c r="H3">
        <v>1</v>
      </c>
      <c r="I3">
        <v>1</v>
      </c>
      <c r="J3">
        <v>1</v>
      </c>
      <c r="K3">
        <v>1</v>
      </c>
      <c r="L3">
        <v>1</v>
      </c>
      <c r="M3">
        <v>1</v>
      </c>
      <c r="N3">
        <v>1</v>
      </c>
      <c r="P3">
        <v>1.465165376663208</v>
      </c>
    </row>
    <row r="4" spans="1:16" x14ac:dyDescent="0.25">
      <c r="A4" t="s">
        <v>16</v>
      </c>
      <c r="B4" t="s">
        <v>19</v>
      </c>
      <c r="C4">
        <v>0</v>
      </c>
      <c r="D4">
        <v>1</v>
      </c>
      <c r="E4">
        <v>1</v>
      </c>
      <c r="F4">
        <v>1</v>
      </c>
      <c r="G4">
        <v>1</v>
      </c>
      <c r="H4">
        <v>1</v>
      </c>
      <c r="I4">
        <v>1</v>
      </c>
      <c r="J4">
        <v>1</v>
      </c>
      <c r="K4">
        <v>1</v>
      </c>
      <c r="L4">
        <v>1</v>
      </c>
      <c r="M4">
        <v>1</v>
      </c>
      <c r="N4">
        <v>1</v>
      </c>
      <c r="P4">
        <v>2.0179800987243648</v>
      </c>
    </row>
    <row r="5" spans="1:16" x14ac:dyDescent="0.25">
      <c r="A5" t="s">
        <v>16</v>
      </c>
      <c r="B5" t="s">
        <v>20</v>
      </c>
      <c r="C5">
        <v>0</v>
      </c>
      <c r="D5">
        <v>1</v>
      </c>
      <c r="E5">
        <v>0</v>
      </c>
      <c r="F5">
        <v>1</v>
      </c>
      <c r="G5">
        <v>1</v>
      </c>
      <c r="H5" t="s">
        <v>28</v>
      </c>
      <c r="I5">
        <v>1</v>
      </c>
      <c r="J5" t="s">
        <v>28</v>
      </c>
      <c r="K5">
        <v>1</v>
      </c>
      <c r="L5">
        <v>1</v>
      </c>
      <c r="M5">
        <v>1</v>
      </c>
      <c r="N5">
        <v>1</v>
      </c>
      <c r="O5" t="s">
        <v>168</v>
      </c>
      <c r="P5">
        <v>4.6792073249816886</v>
      </c>
    </row>
    <row r="6" spans="1:16" x14ac:dyDescent="0.25">
      <c r="A6" t="s">
        <v>16</v>
      </c>
      <c r="B6" t="s">
        <v>21</v>
      </c>
      <c r="C6">
        <v>0</v>
      </c>
      <c r="D6">
        <v>1</v>
      </c>
      <c r="E6">
        <v>1</v>
      </c>
      <c r="F6">
        <v>1</v>
      </c>
      <c r="G6">
        <v>1</v>
      </c>
      <c r="H6">
        <v>1</v>
      </c>
      <c r="I6">
        <v>1</v>
      </c>
      <c r="J6">
        <v>1</v>
      </c>
      <c r="K6">
        <v>1</v>
      </c>
      <c r="L6">
        <v>1</v>
      </c>
      <c r="M6">
        <v>1</v>
      </c>
      <c r="N6">
        <v>1</v>
      </c>
      <c r="P6">
        <v>1.6135609149932859</v>
      </c>
    </row>
    <row r="7" spans="1:16" x14ac:dyDescent="0.25">
      <c r="A7" t="s">
        <v>16</v>
      </c>
      <c r="B7" t="s">
        <v>22</v>
      </c>
      <c r="C7">
        <v>0</v>
      </c>
      <c r="D7">
        <v>1</v>
      </c>
      <c r="E7">
        <v>1</v>
      </c>
      <c r="F7">
        <v>1</v>
      </c>
      <c r="G7">
        <v>1</v>
      </c>
      <c r="H7">
        <v>1</v>
      </c>
      <c r="I7">
        <v>1</v>
      </c>
      <c r="J7">
        <v>1</v>
      </c>
      <c r="K7">
        <v>1</v>
      </c>
      <c r="L7">
        <v>1</v>
      </c>
      <c r="M7">
        <v>1</v>
      </c>
      <c r="N7">
        <v>1</v>
      </c>
      <c r="P7">
        <v>2.0261893272399898</v>
      </c>
    </row>
    <row r="8" spans="1:16" x14ac:dyDescent="0.25">
      <c r="A8" t="s">
        <v>16</v>
      </c>
      <c r="B8" t="s">
        <v>23</v>
      </c>
      <c r="C8">
        <v>0</v>
      </c>
      <c r="D8">
        <v>1</v>
      </c>
      <c r="E8">
        <v>1</v>
      </c>
      <c r="F8">
        <v>1</v>
      </c>
      <c r="G8">
        <v>1</v>
      </c>
      <c r="H8">
        <v>1</v>
      </c>
      <c r="I8">
        <v>1</v>
      </c>
      <c r="J8">
        <v>1</v>
      </c>
      <c r="K8">
        <v>1</v>
      </c>
      <c r="L8">
        <v>1</v>
      </c>
      <c r="M8">
        <v>1</v>
      </c>
      <c r="N8">
        <v>1</v>
      </c>
      <c r="P8">
        <v>1.784550666809082</v>
      </c>
    </row>
    <row r="9" spans="1:16" x14ac:dyDescent="0.25">
      <c r="A9" t="s">
        <v>16</v>
      </c>
      <c r="B9" t="s">
        <v>24</v>
      </c>
      <c r="C9">
        <v>0</v>
      </c>
      <c r="D9">
        <v>1</v>
      </c>
      <c r="E9">
        <v>1</v>
      </c>
      <c r="F9">
        <v>1</v>
      </c>
      <c r="G9">
        <v>1</v>
      </c>
      <c r="H9">
        <v>1</v>
      </c>
      <c r="I9">
        <v>1</v>
      </c>
      <c r="J9">
        <v>1</v>
      </c>
      <c r="K9">
        <v>1</v>
      </c>
      <c r="L9">
        <v>1</v>
      </c>
      <c r="M9">
        <v>1</v>
      </c>
      <c r="N9">
        <v>1</v>
      </c>
      <c r="P9">
        <v>1.611258983612061</v>
      </c>
    </row>
    <row r="10" spans="1:16" x14ac:dyDescent="0.25">
      <c r="A10" t="s">
        <v>16</v>
      </c>
      <c r="B10" t="s">
        <v>25</v>
      </c>
      <c r="C10">
        <v>0</v>
      </c>
      <c r="D10">
        <v>1</v>
      </c>
      <c r="E10">
        <v>1</v>
      </c>
      <c r="F10">
        <v>1</v>
      </c>
      <c r="G10">
        <v>1</v>
      </c>
      <c r="H10">
        <v>1</v>
      </c>
      <c r="I10">
        <v>1</v>
      </c>
      <c r="J10">
        <v>1</v>
      </c>
      <c r="K10">
        <v>1</v>
      </c>
      <c r="L10">
        <v>1</v>
      </c>
      <c r="M10">
        <v>1</v>
      </c>
      <c r="N10">
        <v>1</v>
      </c>
      <c r="P10">
        <v>2.010944128036499</v>
      </c>
    </row>
    <row r="11" spans="1:16" x14ac:dyDescent="0.25">
      <c r="A11" t="s">
        <v>16</v>
      </c>
      <c r="B11" t="s">
        <v>26</v>
      </c>
      <c r="C11">
        <v>0</v>
      </c>
      <c r="D11">
        <v>1</v>
      </c>
      <c r="E11">
        <v>1</v>
      </c>
      <c r="F11">
        <v>1</v>
      </c>
      <c r="G11">
        <v>1</v>
      </c>
      <c r="H11">
        <v>1</v>
      </c>
      <c r="I11">
        <v>1</v>
      </c>
      <c r="J11">
        <v>1</v>
      </c>
      <c r="K11">
        <v>1</v>
      </c>
      <c r="L11">
        <v>1</v>
      </c>
      <c r="M11">
        <v>1</v>
      </c>
      <c r="N11">
        <v>1</v>
      </c>
      <c r="P11">
        <v>1.924812793731689</v>
      </c>
    </row>
    <row r="12" spans="1:16" x14ac:dyDescent="0.25">
      <c r="A12" t="s">
        <v>16</v>
      </c>
      <c r="B12" t="s">
        <v>27</v>
      </c>
      <c r="C12">
        <v>0</v>
      </c>
      <c r="D12">
        <v>0</v>
      </c>
      <c r="E12" t="s">
        <v>28</v>
      </c>
      <c r="F12" t="s">
        <v>28</v>
      </c>
      <c r="G12" t="s">
        <v>28</v>
      </c>
      <c r="H12" t="s">
        <v>28</v>
      </c>
      <c r="I12" t="s">
        <v>28</v>
      </c>
      <c r="J12" t="s">
        <v>28</v>
      </c>
      <c r="K12" t="s">
        <v>28</v>
      </c>
      <c r="L12" t="s">
        <v>28</v>
      </c>
      <c r="M12" t="s">
        <v>28</v>
      </c>
      <c r="N12" t="s">
        <v>28</v>
      </c>
      <c r="O12" t="s">
        <v>169</v>
      </c>
      <c r="P12">
        <v>5.7739522457122803</v>
      </c>
    </row>
    <row r="13" spans="1:16" x14ac:dyDescent="0.25">
      <c r="A13" t="s">
        <v>16</v>
      </c>
      <c r="B13" t="s">
        <v>30</v>
      </c>
      <c r="C13">
        <v>0</v>
      </c>
      <c r="D13">
        <v>1</v>
      </c>
      <c r="E13">
        <v>1</v>
      </c>
      <c r="F13">
        <v>1</v>
      </c>
      <c r="G13">
        <v>1</v>
      </c>
      <c r="H13">
        <v>1</v>
      </c>
      <c r="I13">
        <v>1</v>
      </c>
      <c r="J13">
        <v>1</v>
      </c>
      <c r="K13">
        <v>1</v>
      </c>
      <c r="L13">
        <v>1</v>
      </c>
      <c r="M13">
        <v>1</v>
      </c>
      <c r="N13">
        <v>1</v>
      </c>
      <c r="P13">
        <v>1.2935125827789311</v>
      </c>
    </row>
    <row r="14" spans="1:16" x14ac:dyDescent="0.25">
      <c r="A14" t="s">
        <v>16</v>
      </c>
      <c r="B14" t="s">
        <v>31</v>
      </c>
      <c r="C14">
        <v>0</v>
      </c>
      <c r="D14">
        <v>1</v>
      </c>
      <c r="E14">
        <v>0</v>
      </c>
      <c r="F14">
        <v>1</v>
      </c>
      <c r="G14">
        <v>1</v>
      </c>
      <c r="H14" t="s">
        <v>28</v>
      </c>
      <c r="I14">
        <v>1</v>
      </c>
      <c r="J14" t="s">
        <v>28</v>
      </c>
      <c r="K14">
        <v>1</v>
      </c>
      <c r="L14">
        <v>1</v>
      </c>
      <c r="M14">
        <v>1</v>
      </c>
      <c r="N14">
        <v>1</v>
      </c>
      <c r="O14" t="s">
        <v>170</v>
      </c>
      <c r="P14">
        <v>2.5246281623840332</v>
      </c>
    </row>
    <row r="15" spans="1:16" x14ac:dyDescent="0.25">
      <c r="A15" t="s">
        <v>16</v>
      </c>
      <c r="B15" t="s">
        <v>33</v>
      </c>
      <c r="C15">
        <v>0</v>
      </c>
      <c r="D15">
        <v>1</v>
      </c>
      <c r="E15">
        <v>1</v>
      </c>
      <c r="F15">
        <v>1</v>
      </c>
      <c r="G15">
        <v>1</v>
      </c>
      <c r="H15">
        <v>1</v>
      </c>
      <c r="I15">
        <v>1</v>
      </c>
      <c r="J15">
        <v>0</v>
      </c>
      <c r="K15">
        <v>1</v>
      </c>
      <c r="L15">
        <v>1</v>
      </c>
      <c r="M15">
        <v>1</v>
      </c>
      <c r="N15">
        <v>1</v>
      </c>
      <c r="O15" t="s">
        <v>171</v>
      </c>
      <c r="P15">
        <v>3.7796273231506352</v>
      </c>
    </row>
    <row r="16" spans="1:16" x14ac:dyDescent="0.25">
      <c r="A16" t="s">
        <v>16</v>
      </c>
      <c r="B16" t="s">
        <v>34</v>
      </c>
      <c r="C16">
        <v>0</v>
      </c>
      <c r="D16">
        <v>1</v>
      </c>
      <c r="E16">
        <v>0</v>
      </c>
      <c r="F16">
        <v>1</v>
      </c>
      <c r="G16">
        <v>1</v>
      </c>
      <c r="H16" t="s">
        <v>28</v>
      </c>
      <c r="I16">
        <v>1</v>
      </c>
      <c r="J16" t="s">
        <v>28</v>
      </c>
      <c r="K16">
        <v>1</v>
      </c>
      <c r="L16">
        <v>1</v>
      </c>
      <c r="M16">
        <v>1</v>
      </c>
      <c r="N16">
        <v>1</v>
      </c>
      <c r="O16" t="s">
        <v>172</v>
      </c>
      <c r="P16">
        <v>2.3414323329925542</v>
      </c>
    </row>
    <row r="17" spans="1:16" x14ac:dyDescent="0.25">
      <c r="A17" t="s">
        <v>16</v>
      </c>
      <c r="B17" t="s">
        <v>36</v>
      </c>
      <c r="C17">
        <v>0</v>
      </c>
      <c r="D17">
        <v>1</v>
      </c>
      <c r="E17">
        <v>1</v>
      </c>
      <c r="F17">
        <v>1</v>
      </c>
      <c r="G17">
        <v>1</v>
      </c>
      <c r="H17">
        <v>1</v>
      </c>
      <c r="I17">
        <v>1</v>
      </c>
      <c r="J17">
        <v>1</v>
      </c>
      <c r="K17">
        <v>1</v>
      </c>
      <c r="L17">
        <v>1</v>
      </c>
      <c r="M17">
        <v>1</v>
      </c>
      <c r="N17">
        <v>1</v>
      </c>
      <c r="P17">
        <v>1.587714672088623</v>
      </c>
    </row>
    <row r="18" spans="1:16" x14ac:dyDescent="0.25">
      <c r="A18" t="s">
        <v>16</v>
      </c>
      <c r="B18" t="s">
        <v>37</v>
      </c>
      <c r="C18">
        <v>0</v>
      </c>
      <c r="D18">
        <v>1</v>
      </c>
      <c r="E18">
        <v>1</v>
      </c>
      <c r="F18">
        <v>1</v>
      </c>
      <c r="G18">
        <v>1</v>
      </c>
      <c r="H18">
        <v>1</v>
      </c>
      <c r="I18">
        <v>1</v>
      </c>
      <c r="J18">
        <v>1</v>
      </c>
      <c r="K18">
        <v>1</v>
      </c>
      <c r="L18">
        <v>1</v>
      </c>
      <c r="M18">
        <v>1</v>
      </c>
      <c r="N18">
        <v>1</v>
      </c>
      <c r="P18">
        <v>2.2646348476409912</v>
      </c>
    </row>
    <row r="19" spans="1:16" x14ac:dyDescent="0.25">
      <c r="A19" t="s">
        <v>16</v>
      </c>
      <c r="B19" t="s">
        <v>38</v>
      </c>
      <c r="C19">
        <v>0</v>
      </c>
      <c r="D19">
        <v>1</v>
      </c>
      <c r="E19">
        <v>1</v>
      </c>
      <c r="F19">
        <v>1</v>
      </c>
      <c r="G19">
        <v>1</v>
      </c>
      <c r="H19">
        <v>1</v>
      </c>
      <c r="I19">
        <v>1</v>
      </c>
      <c r="J19">
        <v>1</v>
      </c>
      <c r="K19">
        <v>1</v>
      </c>
      <c r="L19">
        <v>1</v>
      </c>
      <c r="M19">
        <v>1</v>
      </c>
      <c r="N19">
        <v>1</v>
      </c>
      <c r="P19">
        <v>1.498360395431519</v>
      </c>
    </row>
    <row r="20" spans="1:16" x14ac:dyDescent="0.25">
      <c r="A20" t="s">
        <v>16</v>
      </c>
      <c r="B20" t="s">
        <v>39</v>
      </c>
      <c r="C20">
        <v>0</v>
      </c>
      <c r="D20">
        <v>1</v>
      </c>
      <c r="E20">
        <v>1</v>
      </c>
      <c r="F20">
        <v>1</v>
      </c>
      <c r="G20">
        <v>1</v>
      </c>
      <c r="H20">
        <v>1</v>
      </c>
      <c r="I20">
        <v>1</v>
      </c>
      <c r="J20">
        <v>1</v>
      </c>
      <c r="K20">
        <v>1</v>
      </c>
      <c r="L20">
        <v>1</v>
      </c>
      <c r="M20">
        <v>1</v>
      </c>
      <c r="N20">
        <v>1</v>
      </c>
      <c r="P20">
        <v>2.85381007194519</v>
      </c>
    </row>
    <row r="21" spans="1:16" x14ac:dyDescent="0.25">
      <c r="A21" t="s">
        <v>16</v>
      </c>
      <c r="B21" t="s">
        <v>40</v>
      </c>
      <c r="C21">
        <v>0</v>
      </c>
      <c r="D21">
        <v>1</v>
      </c>
      <c r="E21">
        <v>1</v>
      </c>
      <c r="F21">
        <v>1</v>
      </c>
      <c r="G21">
        <v>1</v>
      </c>
      <c r="H21">
        <v>1</v>
      </c>
      <c r="I21">
        <v>1</v>
      </c>
      <c r="J21">
        <v>1</v>
      </c>
      <c r="K21">
        <v>1</v>
      </c>
      <c r="L21">
        <v>1</v>
      </c>
      <c r="M21">
        <v>1</v>
      </c>
      <c r="N21">
        <v>1</v>
      </c>
      <c r="P21">
        <v>1.732067823410034</v>
      </c>
    </row>
    <row r="22" spans="1:16" x14ac:dyDescent="0.25">
      <c r="A22" t="s">
        <v>16</v>
      </c>
      <c r="B22" t="s">
        <v>41</v>
      </c>
      <c r="C22">
        <v>0</v>
      </c>
      <c r="D22">
        <v>1</v>
      </c>
      <c r="E22">
        <v>1</v>
      </c>
      <c r="F22">
        <v>1</v>
      </c>
      <c r="G22">
        <v>1</v>
      </c>
      <c r="H22">
        <v>1</v>
      </c>
      <c r="I22">
        <v>1</v>
      </c>
      <c r="J22">
        <v>1</v>
      </c>
      <c r="K22">
        <v>1</v>
      </c>
      <c r="L22">
        <v>1</v>
      </c>
      <c r="M22">
        <v>1</v>
      </c>
      <c r="N22">
        <v>1</v>
      </c>
      <c r="P22">
        <v>1.7492067813873291</v>
      </c>
    </row>
    <row r="23" spans="1:16" x14ac:dyDescent="0.25">
      <c r="A23" t="s">
        <v>16</v>
      </c>
      <c r="B23" t="s">
        <v>42</v>
      </c>
      <c r="C23">
        <v>0</v>
      </c>
      <c r="D23">
        <v>1</v>
      </c>
      <c r="E23">
        <v>1</v>
      </c>
      <c r="F23">
        <v>0</v>
      </c>
      <c r="G23">
        <v>1</v>
      </c>
      <c r="H23">
        <v>1</v>
      </c>
      <c r="I23">
        <v>1</v>
      </c>
      <c r="J23" t="s">
        <v>28</v>
      </c>
      <c r="K23">
        <v>1</v>
      </c>
      <c r="L23">
        <v>1</v>
      </c>
      <c r="M23">
        <v>1</v>
      </c>
      <c r="N23">
        <v>1</v>
      </c>
      <c r="O23" t="s">
        <v>173</v>
      </c>
      <c r="P23">
        <v>2.713173627853394</v>
      </c>
    </row>
    <row r="24" spans="1:16" x14ac:dyDescent="0.25">
      <c r="A24" t="s">
        <v>16</v>
      </c>
      <c r="B24" t="s">
        <v>44</v>
      </c>
      <c r="C24">
        <v>0</v>
      </c>
      <c r="D24">
        <v>1</v>
      </c>
      <c r="E24">
        <v>1</v>
      </c>
      <c r="F24">
        <v>1</v>
      </c>
      <c r="G24">
        <v>1</v>
      </c>
      <c r="H24">
        <v>1</v>
      </c>
      <c r="I24">
        <v>1</v>
      </c>
      <c r="J24">
        <v>1</v>
      </c>
      <c r="K24">
        <v>1</v>
      </c>
      <c r="L24">
        <v>1</v>
      </c>
      <c r="M24">
        <v>1</v>
      </c>
      <c r="N24">
        <v>1</v>
      </c>
      <c r="P24">
        <v>1.377702951431274</v>
      </c>
    </row>
    <row r="25" spans="1:16" x14ac:dyDescent="0.25">
      <c r="A25" t="s">
        <v>16</v>
      </c>
      <c r="B25" t="s">
        <v>45</v>
      </c>
      <c r="C25">
        <v>0</v>
      </c>
      <c r="D25">
        <v>1</v>
      </c>
      <c r="E25">
        <v>1</v>
      </c>
      <c r="F25">
        <v>1</v>
      </c>
      <c r="G25">
        <v>1</v>
      </c>
      <c r="H25">
        <v>1</v>
      </c>
      <c r="I25">
        <v>1</v>
      </c>
      <c r="J25">
        <v>1</v>
      </c>
      <c r="K25">
        <v>1</v>
      </c>
      <c r="L25">
        <v>1</v>
      </c>
      <c r="M25">
        <v>1</v>
      </c>
      <c r="N25">
        <v>1</v>
      </c>
      <c r="P25">
        <v>1.8167746067047119</v>
      </c>
    </row>
    <row r="26" spans="1:16" x14ac:dyDescent="0.25">
      <c r="A26" t="s">
        <v>16</v>
      </c>
      <c r="B26" t="s">
        <v>46</v>
      </c>
      <c r="C26">
        <v>0</v>
      </c>
      <c r="D26">
        <v>1</v>
      </c>
      <c r="E26">
        <v>1</v>
      </c>
      <c r="F26">
        <v>1</v>
      </c>
      <c r="G26">
        <v>1</v>
      </c>
      <c r="H26">
        <v>1</v>
      </c>
      <c r="I26">
        <v>1</v>
      </c>
      <c r="J26">
        <v>1</v>
      </c>
      <c r="K26">
        <v>1</v>
      </c>
      <c r="L26">
        <v>1</v>
      </c>
      <c r="M26">
        <v>1</v>
      </c>
      <c r="N26">
        <v>1</v>
      </c>
      <c r="P26">
        <v>1.3845317363739009</v>
      </c>
    </row>
    <row r="27" spans="1:16" x14ac:dyDescent="0.25">
      <c r="A27" t="s">
        <v>16</v>
      </c>
      <c r="B27" t="s">
        <v>47</v>
      </c>
      <c r="C27">
        <v>0</v>
      </c>
      <c r="D27">
        <v>1</v>
      </c>
      <c r="E27">
        <v>0</v>
      </c>
      <c r="F27">
        <v>1</v>
      </c>
      <c r="G27">
        <v>1</v>
      </c>
      <c r="H27" t="s">
        <v>28</v>
      </c>
      <c r="I27">
        <v>1</v>
      </c>
      <c r="J27" t="s">
        <v>28</v>
      </c>
      <c r="K27">
        <v>1</v>
      </c>
      <c r="L27">
        <v>1</v>
      </c>
      <c r="M27">
        <v>1</v>
      </c>
      <c r="N27">
        <v>1</v>
      </c>
      <c r="O27" t="s">
        <v>174</v>
      </c>
      <c r="P27">
        <v>2.2950491905212398</v>
      </c>
    </row>
    <row r="28" spans="1:16" x14ac:dyDescent="0.25">
      <c r="A28" t="s">
        <v>16</v>
      </c>
      <c r="B28" t="s">
        <v>49</v>
      </c>
      <c r="C28">
        <v>0</v>
      </c>
      <c r="D28">
        <v>1</v>
      </c>
      <c r="E28">
        <v>0</v>
      </c>
      <c r="F28">
        <v>1</v>
      </c>
      <c r="G28">
        <v>1</v>
      </c>
      <c r="H28" t="s">
        <v>28</v>
      </c>
      <c r="I28">
        <v>1</v>
      </c>
      <c r="J28" t="s">
        <v>28</v>
      </c>
      <c r="K28">
        <v>1</v>
      </c>
      <c r="L28">
        <v>1</v>
      </c>
      <c r="M28">
        <v>1</v>
      </c>
      <c r="N28">
        <v>1</v>
      </c>
      <c r="O28" t="s">
        <v>175</v>
      </c>
      <c r="P28">
        <v>2.5486490726470952</v>
      </c>
    </row>
    <row r="29" spans="1:16" x14ac:dyDescent="0.25">
      <c r="A29" t="s">
        <v>16</v>
      </c>
      <c r="B29" t="s">
        <v>51</v>
      </c>
      <c r="C29">
        <v>0</v>
      </c>
      <c r="D29">
        <v>1</v>
      </c>
      <c r="E29">
        <v>1</v>
      </c>
      <c r="F29">
        <v>1</v>
      </c>
      <c r="G29">
        <v>1</v>
      </c>
      <c r="H29">
        <v>1</v>
      </c>
      <c r="I29">
        <v>1</v>
      </c>
      <c r="J29">
        <v>1</v>
      </c>
      <c r="K29">
        <v>1</v>
      </c>
      <c r="L29">
        <v>1</v>
      </c>
      <c r="M29">
        <v>1</v>
      </c>
      <c r="N29">
        <v>1</v>
      </c>
      <c r="P29">
        <v>1.583248376846313</v>
      </c>
    </row>
    <row r="30" spans="1:16" x14ac:dyDescent="0.25">
      <c r="A30" t="s">
        <v>16</v>
      </c>
      <c r="B30" t="s">
        <v>53</v>
      </c>
      <c r="C30">
        <v>0</v>
      </c>
      <c r="D30">
        <v>1</v>
      </c>
      <c r="E30">
        <v>1</v>
      </c>
      <c r="F30">
        <v>1</v>
      </c>
      <c r="G30">
        <v>1</v>
      </c>
      <c r="H30">
        <v>1</v>
      </c>
      <c r="I30">
        <v>1</v>
      </c>
      <c r="J30">
        <v>1</v>
      </c>
      <c r="K30">
        <v>1</v>
      </c>
      <c r="L30">
        <v>1</v>
      </c>
      <c r="M30">
        <v>1</v>
      </c>
      <c r="N30">
        <v>1</v>
      </c>
      <c r="P30">
        <v>1.7773058414459231</v>
      </c>
    </row>
    <row r="31" spans="1:16" x14ac:dyDescent="0.25">
      <c r="A31" t="s">
        <v>16</v>
      </c>
      <c r="B31" t="s">
        <v>54</v>
      </c>
      <c r="C31">
        <v>0</v>
      </c>
      <c r="D31">
        <v>1</v>
      </c>
      <c r="E31">
        <v>0</v>
      </c>
      <c r="F31">
        <v>1</v>
      </c>
      <c r="G31">
        <v>1</v>
      </c>
      <c r="H31" t="s">
        <v>28</v>
      </c>
      <c r="I31">
        <v>1</v>
      </c>
      <c r="J31" t="s">
        <v>28</v>
      </c>
      <c r="K31">
        <v>1</v>
      </c>
      <c r="L31">
        <v>1</v>
      </c>
      <c r="M31">
        <v>1</v>
      </c>
      <c r="N31">
        <v>1</v>
      </c>
      <c r="O31" t="s">
        <v>176</v>
      </c>
      <c r="P31">
        <v>2.415751695632935</v>
      </c>
    </row>
    <row r="32" spans="1:16" x14ac:dyDescent="0.25">
      <c r="A32" t="s">
        <v>16</v>
      </c>
      <c r="B32" t="s">
        <v>56</v>
      </c>
      <c r="C32">
        <v>0</v>
      </c>
      <c r="D32">
        <v>1</v>
      </c>
      <c r="E32">
        <v>0</v>
      </c>
      <c r="F32">
        <v>1</v>
      </c>
      <c r="G32">
        <v>1</v>
      </c>
      <c r="H32" t="s">
        <v>28</v>
      </c>
      <c r="I32">
        <v>1</v>
      </c>
      <c r="J32" t="s">
        <v>28</v>
      </c>
      <c r="K32">
        <v>1</v>
      </c>
      <c r="L32">
        <v>1</v>
      </c>
      <c r="M32">
        <v>1</v>
      </c>
      <c r="N32">
        <v>1</v>
      </c>
      <c r="O32" t="s">
        <v>177</v>
      </c>
      <c r="P32">
        <v>3.1362953186035161</v>
      </c>
    </row>
    <row r="33" spans="1:16" x14ac:dyDescent="0.25">
      <c r="A33" t="s">
        <v>16</v>
      </c>
      <c r="B33" t="s">
        <v>58</v>
      </c>
      <c r="C33">
        <v>0</v>
      </c>
      <c r="D33">
        <v>1</v>
      </c>
      <c r="E33">
        <v>0</v>
      </c>
      <c r="F33">
        <v>1</v>
      </c>
      <c r="G33">
        <v>1</v>
      </c>
      <c r="H33" t="s">
        <v>28</v>
      </c>
      <c r="I33">
        <v>1</v>
      </c>
      <c r="J33" t="s">
        <v>28</v>
      </c>
      <c r="K33">
        <v>1</v>
      </c>
      <c r="L33">
        <v>1</v>
      </c>
      <c r="M33">
        <v>1</v>
      </c>
      <c r="N33">
        <v>1</v>
      </c>
      <c r="O33" t="s">
        <v>178</v>
      </c>
      <c r="P33">
        <v>3.2795112133026119</v>
      </c>
    </row>
    <row r="34" spans="1:16" x14ac:dyDescent="0.25">
      <c r="A34" t="s">
        <v>16</v>
      </c>
      <c r="B34" t="s">
        <v>60</v>
      </c>
      <c r="C34">
        <v>0</v>
      </c>
      <c r="D34">
        <v>0</v>
      </c>
      <c r="E34" t="s">
        <v>28</v>
      </c>
      <c r="F34" t="s">
        <v>28</v>
      </c>
      <c r="G34" t="s">
        <v>28</v>
      </c>
      <c r="H34" t="s">
        <v>28</v>
      </c>
      <c r="I34" t="s">
        <v>28</v>
      </c>
      <c r="J34" t="s">
        <v>28</v>
      </c>
      <c r="K34" t="s">
        <v>28</v>
      </c>
      <c r="L34" t="s">
        <v>28</v>
      </c>
      <c r="M34" t="s">
        <v>28</v>
      </c>
      <c r="N34" t="s">
        <v>28</v>
      </c>
      <c r="O34" t="s">
        <v>179</v>
      </c>
      <c r="P34">
        <v>7.1898410320281982</v>
      </c>
    </row>
    <row r="35" spans="1:16" x14ac:dyDescent="0.25">
      <c r="A35" t="s">
        <v>16</v>
      </c>
      <c r="B35" t="s">
        <v>62</v>
      </c>
      <c r="C35">
        <v>0</v>
      </c>
      <c r="D35">
        <v>1</v>
      </c>
      <c r="E35">
        <v>1</v>
      </c>
      <c r="F35">
        <v>0</v>
      </c>
      <c r="G35">
        <v>1</v>
      </c>
      <c r="H35">
        <v>1</v>
      </c>
      <c r="I35">
        <v>1</v>
      </c>
      <c r="J35" t="s">
        <v>28</v>
      </c>
      <c r="K35">
        <v>1</v>
      </c>
      <c r="L35">
        <v>1</v>
      </c>
      <c r="M35">
        <v>1</v>
      </c>
      <c r="N35">
        <v>1</v>
      </c>
      <c r="O35" t="s">
        <v>180</v>
      </c>
      <c r="P35">
        <v>4.2445356845855713</v>
      </c>
    </row>
    <row r="36" spans="1:16" x14ac:dyDescent="0.25">
      <c r="A36" t="s">
        <v>16</v>
      </c>
      <c r="B36" t="s">
        <v>63</v>
      </c>
      <c r="C36">
        <v>0</v>
      </c>
      <c r="D36">
        <v>1</v>
      </c>
      <c r="E36">
        <v>1</v>
      </c>
      <c r="F36">
        <v>1</v>
      </c>
      <c r="G36">
        <v>1</v>
      </c>
      <c r="H36">
        <v>1</v>
      </c>
      <c r="I36">
        <v>1</v>
      </c>
      <c r="J36">
        <v>1</v>
      </c>
      <c r="K36">
        <v>1</v>
      </c>
      <c r="L36">
        <v>1</v>
      </c>
      <c r="M36">
        <v>1</v>
      </c>
      <c r="N36">
        <v>1</v>
      </c>
      <c r="P36">
        <v>1.8419299125671389</v>
      </c>
    </row>
    <row r="37" spans="1:16" x14ac:dyDescent="0.25">
      <c r="A37" t="s">
        <v>16</v>
      </c>
      <c r="B37" t="s">
        <v>64</v>
      </c>
      <c r="C37">
        <v>0</v>
      </c>
      <c r="D37">
        <v>1</v>
      </c>
      <c r="E37">
        <v>1</v>
      </c>
      <c r="F37">
        <v>1</v>
      </c>
      <c r="G37">
        <v>1</v>
      </c>
      <c r="H37">
        <v>1</v>
      </c>
      <c r="I37">
        <v>1</v>
      </c>
      <c r="J37">
        <v>1</v>
      </c>
      <c r="K37">
        <v>1</v>
      </c>
      <c r="L37">
        <v>1</v>
      </c>
      <c r="M37">
        <v>1</v>
      </c>
      <c r="N37">
        <v>1</v>
      </c>
      <c r="P37">
        <v>1.7716443538665769</v>
      </c>
    </row>
    <row r="38" spans="1:16" x14ac:dyDescent="0.25">
      <c r="A38" t="s">
        <v>16</v>
      </c>
      <c r="B38" t="s">
        <v>65</v>
      </c>
      <c r="C38">
        <v>0</v>
      </c>
      <c r="D38">
        <v>1</v>
      </c>
      <c r="E38">
        <v>1</v>
      </c>
      <c r="F38">
        <v>1</v>
      </c>
      <c r="G38">
        <v>1</v>
      </c>
      <c r="H38">
        <v>1</v>
      </c>
      <c r="I38">
        <v>1</v>
      </c>
      <c r="J38">
        <v>1</v>
      </c>
      <c r="K38">
        <v>1</v>
      </c>
      <c r="L38">
        <v>1</v>
      </c>
      <c r="M38">
        <v>1</v>
      </c>
      <c r="N38">
        <v>1</v>
      </c>
      <c r="P38">
        <v>1.364294290542603</v>
      </c>
    </row>
    <row r="39" spans="1:16" x14ac:dyDescent="0.25">
      <c r="A39" t="s">
        <v>16</v>
      </c>
      <c r="B39" t="s">
        <v>66</v>
      </c>
      <c r="C39">
        <v>0</v>
      </c>
      <c r="D39">
        <v>1</v>
      </c>
      <c r="E39">
        <v>1</v>
      </c>
      <c r="F39">
        <v>1</v>
      </c>
      <c r="G39">
        <v>1</v>
      </c>
      <c r="H39">
        <v>1</v>
      </c>
      <c r="I39">
        <v>1</v>
      </c>
      <c r="J39">
        <v>1</v>
      </c>
      <c r="K39">
        <v>1</v>
      </c>
      <c r="L39">
        <v>1</v>
      </c>
      <c r="M39">
        <v>1</v>
      </c>
      <c r="N39">
        <v>1</v>
      </c>
      <c r="P39">
        <v>2.2429847717285161</v>
      </c>
    </row>
    <row r="40" spans="1:16" x14ac:dyDescent="0.25">
      <c r="A40" t="s">
        <v>16</v>
      </c>
      <c r="B40" t="s">
        <v>67</v>
      </c>
      <c r="C40">
        <v>0</v>
      </c>
      <c r="D40">
        <v>1</v>
      </c>
      <c r="E40">
        <v>1</v>
      </c>
      <c r="F40">
        <v>1</v>
      </c>
      <c r="G40">
        <v>1</v>
      </c>
      <c r="H40">
        <v>1</v>
      </c>
      <c r="I40">
        <v>1</v>
      </c>
      <c r="J40">
        <v>1</v>
      </c>
      <c r="K40">
        <v>1</v>
      </c>
      <c r="L40">
        <v>1</v>
      </c>
      <c r="M40">
        <v>1</v>
      </c>
      <c r="N40">
        <v>1</v>
      </c>
      <c r="P40">
        <v>1.584309339523315</v>
      </c>
    </row>
    <row r="41" spans="1:16" x14ac:dyDescent="0.25">
      <c r="A41" t="s">
        <v>16</v>
      </c>
      <c r="B41" t="s">
        <v>69</v>
      </c>
      <c r="C41">
        <v>0</v>
      </c>
      <c r="D41">
        <v>0</v>
      </c>
      <c r="E41" t="s">
        <v>28</v>
      </c>
      <c r="F41" t="s">
        <v>28</v>
      </c>
      <c r="G41" t="s">
        <v>28</v>
      </c>
      <c r="H41" t="s">
        <v>28</v>
      </c>
      <c r="I41" t="s">
        <v>28</v>
      </c>
      <c r="J41" t="s">
        <v>28</v>
      </c>
      <c r="K41" t="s">
        <v>28</v>
      </c>
      <c r="L41" t="s">
        <v>28</v>
      </c>
      <c r="M41" t="s">
        <v>28</v>
      </c>
      <c r="N41" t="s">
        <v>28</v>
      </c>
      <c r="O41" t="s">
        <v>181</v>
      </c>
      <c r="P41">
        <v>5.2216880321502694</v>
      </c>
    </row>
    <row r="42" spans="1:16" x14ac:dyDescent="0.25">
      <c r="A42" t="s">
        <v>16</v>
      </c>
      <c r="B42" t="s">
        <v>70</v>
      </c>
      <c r="C42">
        <v>0</v>
      </c>
      <c r="D42">
        <v>1</v>
      </c>
      <c r="E42">
        <v>1</v>
      </c>
      <c r="F42">
        <v>1</v>
      </c>
      <c r="G42">
        <v>1</v>
      </c>
      <c r="H42">
        <v>1</v>
      </c>
      <c r="I42">
        <v>1</v>
      </c>
      <c r="J42">
        <v>1</v>
      </c>
      <c r="K42">
        <v>1</v>
      </c>
      <c r="L42">
        <v>1</v>
      </c>
      <c r="M42">
        <v>1</v>
      </c>
      <c r="N42">
        <v>1</v>
      </c>
      <c r="P42">
        <v>1.4699528217315669</v>
      </c>
    </row>
    <row r="43" spans="1:16" x14ac:dyDescent="0.25">
      <c r="A43" t="s">
        <v>16</v>
      </c>
      <c r="B43" t="s">
        <v>71</v>
      </c>
      <c r="C43">
        <v>0</v>
      </c>
      <c r="D43">
        <v>1</v>
      </c>
      <c r="E43">
        <v>1</v>
      </c>
      <c r="F43">
        <v>1</v>
      </c>
      <c r="G43">
        <v>1</v>
      </c>
      <c r="H43">
        <v>1</v>
      </c>
      <c r="I43">
        <v>1</v>
      </c>
      <c r="J43">
        <v>1</v>
      </c>
      <c r="K43">
        <v>1</v>
      </c>
      <c r="L43">
        <v>1</v>
      </c>
      <c r="M43">
        <v>1</v>
      </c>
      <c r="N43">
        <v>1</v>
      </c>
      <c r="P43">
        <v>2.2355794906616211</v>
      </c>
    </row>
    <row r="44" spans="1:16" x14ac:dyDescent="0.25">
      <c r="A44" t="s">
        <v>16</v>
      </c>
      <c r="B44" t="s">
        <v>72</v>
      </c>
      <c r="C44">
        <v>0</v>
      </c>
      <c r="D44">
        <v>1</v>
      </c>
      <c r="E44">
        <v>1</v>
      </c>
      <c r="F44">
        <v>0</v>
      </c>
      <c r="G44">
        <v>1</v>
      </c>
      <c r="H44">
        <v>1</v>
      </c>
      <c r="I44">
        <v>1</v>
      </c>
      <c r="J44" t="s">
        <v>28</v>
      </c>
      <c r="K44">
        <v>1</v>
      </c>
      <c r="L44">
        <v>1</v>
      </c>
      <c r="M44">
        <v>1</v>
      </c>
      <c r="N44">
        <v>1</v>
      </c>
      <c r="O44" t="s">
        <v>182</v>
      </c>
      <c r="P44">
        <v>2.2629237174987789</v>
      </c>
    </row>
    <row r="45" spans="1:16" x14ac:dyDescent="0.25">
      <c r="A45" t="s">
        <v>16</v>
      </c>
      <c r="B45" t="s">
        <v>74</v>
      </c>
      <c r="C45">
        <v>0</v>
      </c>
      <c r="D45">
        <v>1</v>
      </c>
      <c r="E45">
        <v>1</v>
      </c>
      <c r="F45">
        <v>1</v>
      </c>
      <c r="G45">
        <v>1</v>
      </c>
      <c r="H45">
        <v>1</v>
      </c>
      <c r="I45">
        <v>1</v>
      </c>
      <c r="J45">
        <v>1</v>
      </c>
      <c r="K45">
        <v>1</v>
      </c>
      <c r="L45">
        <v>1</v>
      </c>
      <c r="M45">
        <v>1</v>
      </c>
      <c r="N45">
        <v>1</v>
      </c>
      <c r="P45">
        <v>1.743396043777466</v>
      </c>
    </row>
    <row r="46" spans="1:16" x14ac:dyDescent="0.25">
      <c r="A46" t="s">
        <v>16</v>
      </c>
      <c r="B46" t="s">
        <v>75</v>
      </c>
      <c r="C46">
        <v>0</v>
      </c>
      <c r="D46">
        <v>1</v>
      </c>
      <c r="E46">
        <v>1</v>
      </c>
      <c r="F46">
        <v>1</v>
      </c>
      <c r="G46">
        <v>1</v>
      </c>
      <c r="H46">
        <v>1</v>
      </c>
      <c r="I46">
        <v>1</v>
      </c>
      <c r="J46">
        <v>1</v>
      </c>
      <c r="K46">
        <v>1</v>
      </c>
      <c r="L46">
        <v>1</v>
      </c>
      <c r="M46">
        <v>1</v>
      </c>
      <c r="N46">
        <v>1</v>
      </c>
      <c r="P46">
        <v>1.819729328155518</v>
      </c>
    </row>
    <row r="47" spans="1:16" x14ac:dyDescent="0.25">
      <c r="A47" t="s">
        <v>16</v>
      </c>
      <c r="B47" t="s">
        <v>76</v>
      </c>
      <c r="C47">
        <v>0</v>
      </c>
      <c r="D47">
        <v>1</v>
      </c>
      <c r="E47">
        <v>1</v>
      </c>
      <c r="F47">
        <v>1</v>
      </c>
      <c r="G47">
        <v>1</v>
      </c>
      <c r="H47">
        <v>1</v>
      </c>
      <c r="I47">
        <v>1</v>
      </c>
      <c r="J47">
        <v>1</v>
      </c>
      <c r="K47">
        <v>1</v>
      </c>
      <c r="L47">
        <v>1</v>
      </c>
      <c r="M47">
        <v>1</v>
      </c>
      <c r="N47">
        <v>1</v>
      </c>
      <c r="P47">
        <v>1.483489513397217</v>
      </c>
    </row>
    <row r="48" spans="1:16" x14ac:dyDescent="0.25">
      <c r="A48" t="s">
        <v>16</v>
      </c>
      <c r="B48" t="s">
        <v>77</v>
      </c>
      <c r="C48">
        <v>0</v>
      </c>
      <c r="D48">
        <v>1</v>
      </c>
      <c r="E48">
        <v>1</v>
      </c>
      <c r="F48">
        <v>1</v>
      </c>
      <c r="G48">
        <v>1</v>
      </c>
      <c r="H48">
        <v>1</v>
      </c>
      <c r="I48">
        <v>1</v>
      </c>
      <c r="J48">
        <v>1</v>
      </c>
      <c r="K48">
        <v>1</v>
      </c>
      <c r="L48">
        <v>1</v>
      </c>
      <c r="M48">
        <v>1</v>
      </c>
      <c r="N48">
        <v>1</v>
      </c>
      <c r="P48">
        <v>1.453172922134399</v>
      </c>
    </row>
    <row r="49" spans="1:16" x14ac:dyDescent="0.25">
      <c r="A49" t="s">
        <v>16</v>
      </c>
      <c r="B49" t="s">
        <v>78</v>
      </c>
      <c r="C49">
        <v>0</v>
      </c>
      <c r="D49">
        <v>1</v>
      </c>
      <c r="E49">
        <v>1</v>
      </c>
      <c r="F49">
        <v>1</v>
      </c>
      <c r="G49">
        <v>1</v>
      </c>
      <c r="H49">
        <v>1</v>
      </c>
      <c r="I49">
        <v>1</v>
      </c>
      <c r="J49">
        <v>1</v>
      </c>
      <c r="K49">
        <v>1</v>
      </c>
      <c r="L49">
        <v>1</v>
      </c>
      <c r="M49">
        <v>1</v>
      </c>
      <c r="N49">
        <v>1</v>
      </c>
      <c r="P49">
        <v>3.7279846668243408</v>
      </c>
    </row>
    <row r="50" spans="1:16" x14ac:dyDescent="0.25">
      <c r="A50" t="s">
        <v>16</v>
      </c>
      <c r="B50" t="s">
        <v>79</v>
      </c>
      <c r="C50">
        <v>0</v>
      </c>
      <c r="D50">
        <v>1</v>
      </c>
      <c r="E50">
        <v>1</v>
      </c>
      <c r="F50">
        <v>1</v>
      </c>
      <c r="G50">
        <v>1</v>
      </c>
      <c r="H50">
        <v>1</v>
      </c>
      <c r="I50">
        <v>1</v>
      </c>
      <c r="J50">
        <v>1</v>
      </c>
      <c r="K50">
        <v>1</v>
      </c>
      <c r="L50">
        <v>1</v>
      </c>
      <c r="M50">
        <v>1</v>
      </c>
      <c r="N50">
        <v>1</v>
      </c>
      <c r="P50">
        <v>1.70369553565979</v>
      </c>
    </row>
    <row r="51" spans="1:16" x14ac:dyDescent="0.25">
      <c r="A51" t="s">
        <v>80</v>
      </c>
      <c r="B51" t="s">
        <v>17</v>
      </c>
      <c r="C51">
        <v>0</v>
      </c>
      <c r="D51">
        <v>1</v>
      </c>
      <c r="E51">
        <v>1</v>
      </c>
      <c r="F51">
        <v>1</v>
      </c>
      <c r="G51">
        <v>1</v>
      </c>
      <c r="H51">
        <v>1</v>
      </c>
      <c r="I51">
        <v>1</v>
      </c>
      <c r="J51">
        <v>1</v>
      </c>
      <c r="K51">
        <v>1</v>
      </c>
      <c r="L51">
        <v>1</v>
      </c>
      <c r="M51">
        <v>1</v>
      </c>
      <c r="N51">
        <v>1</v>
      </c>
      <c r="P51">
        <v>2.9654891490936279</v>
      </c>
    </row>
    <row r="52" spans="1:16" x14ac:dyDescent="0.25">
      <c r="A52" t="s">
        <v>80</v>
      </c>
      <c r="B52" t="s">
        <v>18</v>
      </c>
      <c r="C52">
        <v>0</v>
      </c>
      <c r="D52">
        <v>0</v>
      </c>
      <c r="E52" t="s">
        <v>28</v>
      </c>
      <c r="F52" t="s">
        <v>28</v>
      </c>
      <c r="G52" t="s">
        <v>28</v>
      </c>
      <c r="H52" t="s">
        <v>28</v>
      </c>
      <c r="I52" t="s">
        <v>28</v>
      </c>
      <c r="J52" t="s">
        <v>28</v>
      </c>
      <c r="K52" t="s">
        <v>28</v>
      </c>
      <c r="L52" t="s">
        <v>28</v>
      </c>
      <c r="M52" t="s">
        <v>28</v>
      </c>
      <c r="N52" t="s">
        <v>28</v>
      </c>
      <c r="O52" t="s">
        <v>183</v>
      </c>
      <c r="P52">
        <v>7.388237476348877</v>
      </c>
    </row>
    <row r="53" spans="1:16" x14ac:dyDescent="0.25">
      <c r="A53" t="s">
        <v>80</v>
      </c>
      <c r="B53" t="s">
        <v>19</v>
      </c>
      <c r="C53">
        <v>0</v>
      </c>
      <c r="D53">
        <v>1</v>
      </c>
      <c r="E53">
        <v>1</v>
      </c>
      <c r="F53">
        <v>1</v>
      </c>
      <c r="G53">
        <v>1</v>
      </c>
      <c r="H53">
        <v>1</v>
      </c>
      <c r="I53">
        <v>1</v>
      </c>
      <c r="J53">
        <v>1</v>
      </c>
      <c r="K53">
        <v>1</v>
      </c>
      <c r="L53">
        <v>1</v>
      </c>
      <c r="M53">
        <v>1</v>
      </c>
      <c r="N53">
        <v>1</v>
      </c>
      <c r="P53">
        <v>1.415414094924927</v>
      </c>
    </row>
    <row r="54" spans="1:16" x14ac:dyDescent="0.25">
      <c r="A54" t="s">
        <v>80</v>
      </c>
      <c r="B54" t="s">
        <v>20</v>
      </c>
      <c r="C54">
        <v>0</v>
      </c>
      <c r="D54">
        <v>1</v>
      </c>
      <c r="E54">
        <v>1</v>
      </c>
      <c r="F54">
        <v>1</v>
      </c>
      <c r="G54">
        <v>1</v>
      </c>
      <c r="H54">
        <v>1</v>
      </c>
      <c r="I54">
        <v>1</v>
      </c>
      <c r="J54">
        <v>0</v>
      </c>
      <c r="K54">
        <v>1</v>
      </c>
      <c r="L54">
        <v>1</v>
      </c>
      <c r="M54">
        <v>1</v>
      </c>
      <c r="N54">
        <v>1</v>
      </c>
      <c r="O54" t="s">
        <v>184</v>
      </c>
      <c r="P54">
        <v>3.8987264633178711</v>
      </c>
    </row>
    <row r="55" spans="1:16" x14ac:dyDescent="0.25">
      <c r="A55" t="s">
        <v>80</v>
      </c>
      <c r="B55" t="s">
        <v>21</v>
      </c>
      <c r="C55">
        <v>0</v>
      </c>
      <c r="D55">
        <v>1</v>
      </c>
      <c r="E55">
        <v>0</v>
      </c>
      <c r="F55">
        <v>1</v>
      </c>
      <c r="G55">
        <v>1</v>
      </c>
      <c r="H55" t="s">
        <v>28</v>
      </c>
      <c r="I55">
        <v>1</v>
      </c>
      <c r="J55" t="s">
        <v>28</v>
      </c>
      <c r="K55">
        <v>1</v>
      </c>
      <c r="L55">
        <v>1</v>
      </c>
      <c r="M55">
        <v>1</v>
      </c>
      <c r="N55">
        <v>1</v>
      </c>
      <c r="O55" t="s">
        <v>185</v>
      </c>
      <c r="P55">
        <v>3.781536340713501</v>
      </c>
    </row>
    <row r="56" spans="1:16" x14ac:dyDescent="0.25">
      <c r="A56" t="s">
        <v>80</v>
      </c>
      <c r="B56" t="s">
        <v>22</v>
      </c>
      <c r="C56">
        <v>0</v>
      </c>
      <c r="D56">
        <v>1</v>
      </c>
      <c r="E56">
        <v>0</v>
      </c>
      <c r="F56">
        <v>1</v>
      </c>
      <c r="G56">
        <v>1</v>
      </c>
      <c r="H56" t="s">
        <v>28</v>
      </c>
      <c r="I56">
        <v>1</v>
      </c>
      <c r="J56" t="s">
        <v>28</v>
      </c>
      <c r="K56">
        <v>1</v>
      </c>
      <c r="L56">
        <v>1</v>
      </c>
      <c r="M56">
        <v>1</v>
      </c>
      <c r="N56">
        <v>1</v>
      </c>
      <c r="O56" t="s">
        <v>186</v>
      </c>
      <c r="P56">
        <v>3.2338485717773442</v>
      </c>
    </row>
    <row r="57" spans="1:16" x14ac:dyDescent="0.25">
      <c r="A57" t="s">
        <v>80</v>
      </c>
      <c r="B57" t="s">
        <v>23</v>
      </c>
      <c r="C57">
        <v>0</v>
      </c>
      <c r="D57">
        <v>1</v>
      </c>
      <c r="E57">
        <v>1</v>
      </c>
      <c r="F57">
        <v>1</v>
      </c>
      <c r="G57">
        <v>1</v>
      </c>
      <c r="H57">
        <v>1</v>
      </c>
      <c r="I57">
        <v>1</v>
      </c>
      <c r="J57">
        <v>1</v>
      </c>
      <c r="K57">
        <v>1</v>
      </c>
      <c r="L57">
        <v>1</v>
      </c>
      <c r="M57">
        <v>1</v>
      </c>
      <c r="N57">
        <v>1</v>
      </c>
      <c r="P57">
        <v>1.954786062240601</v>
      </c>
    </row>
    <row r="58" spans="1:16" x14ac:dyDescent="0.25">
      <c r="A58" t="s">
        <v>80</v>
      </c>
      <c r="B58" t="s">
        <v>24</v>
      </c>
      <c r="C58">
        <v>0</v>
      </c>
      <c r="D58">
        <v>1</v>
      </c>
      <c r="E58">
        <v>1</v>
      </c>
      <c r="F58">
        <v>1</v>
      </c>
      <c r="G58">
        <v>1</v>
      </c>
      <c r="H58">
        <v>1</v>
      </c>
      <c r="I58">
        <v>1</v>
      </c>
      <c r="J58">
        <v>1</v>
      </c>
      <c r="K58">
        <v>1</v>
      </c>
      <c r="L58">
        <v>1</v>
      </c>
      <c r="M58">
        <v>1</v>
      </c>
      <c r="N58">
        <v>1</v>
      </c>
      <c r="P58">
        <v>1.5757608413696289</v>
      </c>
    </row>
    <row r="59" spans="1:16" x14ac:dyDescent="0.25">
      <c r="A59" t="s">
        <v>80</v>
      </c>
      <c r="B59" t="s">
        <v>25</v>
      </c>
      <c r="C59">
        <v>0</v>
      </c>
      <c r="D59">
        <v>1</v>
      </c>
      <c r="E59">
        <v>1</v>
      </c>
      <c r="F59">
        <v>1</v>
      </c>
      <c r="G59">
        <v>1</v>
      </c>
      <c r="H59">
        <v>1</v>
      </c>
      <c r="I59">
        <v>1</v>
      </c>
      <c r="J59">
        <v>1</v>
      </c>
      <c r="K59">
        <v>1</v>
      </c>
      <c r="L59">
        <v>1</v>
      </c>
      <c r="M59">
        <v>1</v>
      </c>
      <c r="N59">
        <v>1</v>
      </c>
      <c r="P59">
        <v>1.600330114364624</v>
      </c>
    </row>
    <row r="60" spans="1:16" x14ac:dyDescent="0.25">
      <c r="A60" t="s">
        <v>80</v>
      </c>
      <c r="B60" t="s">
        <v>26</v>
      </c>
      <c r="C60">
        <v>0</v>
      </c>
      <c r="D60">
        <v>1</v>
      </c>
      <c r="E60">
        <v>1</v>
      </c>
      <c r="F60">
        <v>1</v>
      </c>
      <c r="G60">
        <v>1</v>
      </c>
      <c r="H60">
        <v>1</v>
      </c>
      <c r="I60">
        <v>0</v>
      </c>
      <c r="J60">
        <v>1</v>
      </c>
      <c r="K60">
        <v>1</v>
      </c>
      <c r="L60">
        <v>1</v>
      </c>
      <c r="M60">
        <v>1</v>
      </c>
      <c r="N60">
        <v>1</v>
      </c>
      <c r="O60" t="s">
        <v>187</v>
      </c>
      <c r="P60">
        <v>2.4787473678588872</v>
      </c>
    </row>
    <row r="61" spans="1:16" x14ac:dyDescent="0.25">
      <c r="A61" t="s">
        <v>80</v>
      </c>
      <c r="B61" t="s">
        <v>27</v>
      </c>
      <c r="C61">
        <v>0</v>
      </c>
      <c r="D61">
        <v>1</v>
      </c>
      <c r="E61">
        <v>1</v>
      </c>
      <c r="F61">
        <v>1</v>
      </c>
      <c r="G61">
        <v>1</v>
      </c>
      <c r="H61">
        <v>1</v>
      </c>
      <c r="I61">
        <v>1</v>
      </c>
      <c r="J61">
        <v>1</v>
      </c>
      <c r="K61">
        <v>1</v>
      </c>
      <c r="L61">
        <v>1</v>
      </c>
      <c r="M61">
        <v>1</v>
      </c>
      <c r="N61">
        <v>1</v>
      </c>
      <c r="P61">
        <v>1.8905444145202639</v>
      </c>
    </row>
    <row r="62" spans="1:16" x14ac:dyDescent="0.25">
      <c r="A62" t="s">
        <v>80</v>
      </c>
      <c r="B62" t="s">
        <v>30</v>
      </c>
      <c r="C62">
        <v>0</v>
      </c>
      <c r="D62">
        <v>1</v>
      </c>
      <c r="E62">
        <v>1</v>
      </c>
      <c r="F62">
        <v>1</v>
      </c>
      <c r="G62">
        <v>1</v>
      </c>
      <c r="H62">
        <v>1</v>
      </c>
      <c r="I62">
        <v>1</v>
      </c>
      <c r="J62">
        <v>1</v>
      </c>
      <c r="K62">
        <v>1</v>
      </c>
      <c r="L62">
        <v>1</v>
      </c>
      <c r="M62">
        <v>1</v>
      </c>
      <c r="N62">
        <v>1</v>
      </c>
      <c r="P62">
        <v>1.44939112663269</v>
      </c>
    </row>
    <row r="63" spans="1:16" x14ac:dyDescent="0.25">
      <c r="A63" t="s">
        <v>80</v>
      </c>
      <c r="B63" t="s">
        <v>31</v>
      </c>
      <c r="C63">
        <v>0</v>
      </c>
      <c r="D63">
        <v>1</v>
      </c>
      <c r="E63">
        <v>1</v>
      </c>
      <c r="F63">
        <v>1</v>
      </c>
      <c r="G63">
        <v>1</v>
      </c>
      <c r="H63">
        <v>1</v>
      </c>
      <c r="I63">
        <v>1</v>
      </c>
      <c r="J63">
        <v>1</v>
      </c>
      <c r="K63">
        <v>1</v>
      </c>
      <c r="L63">
        <v>1</v>
      </c>
      <c r="M63">
        <v>1</v>
      </c>
      <c r="N63">
        <v>1</v>
      </c>
      <c r="P63">
        <v>1.5582418441772461</v>
      </c>
    </row>
    <row r="64" spans="1:16" x14ac:dyDescent="0.25">
      <c r="A64" t="s">
        <v>80</v>
      </c>
      <c r="B64" t="s">
        <v>33</v>
      </c>
      <c r="C64">
        <v>0</v>
      </c>
      <c r="D64">
        <v>1</v>
      </c>
      <c r="E64">
        <v>1</v>
      </c>
      <c r="F64">
        <v>1</v>
      </c>
      <c r="G64">
        <v>1</v>
      </c>
      <c r="H64">
        <v>1</v>
      </c>
      <c r="I64">
        <v>1</v>
      </c>
      <c r="J64">
        <v>1</v>
      </c>
      <c r="K64">
        <v>1</v>
      </c>
      <c r="L64">
        <v>1</v>
      </c>
      <c r="M64">
        <v>1</v>
      </c>
      <c r="N64">
        <v>1</v>
      </c>
      <c r="P64">
        <v>1.5059587955474849</v>
      </c>
    </row>
    <row r="65" spans="1:16" x14ac:dyDescent="0.25">
      <c r="A65" t="s">
        <v>80</v>
      </c>
      <c r="B65" t="s">
        <v>34</v>
      </c>
      <c r="C65">
        <v>0</v>
      </c>
      <c r="D65">
        <v>1</v>
      </c>
      <c r="E65">
        <v>0</v>
      </c>
      <c r="F65">
        <v>1</v>
      </c>
      <c r="G65">
        <v>1</v>
      </c>
      <c r="H65" t="s">
        <v>28</v>
      </c>
      <c r="I65">
        <v>1</v>
      </c>
      <c r="J65" t="s">
        <v>28</v>
      </c>
      <c r="K65">
        <v>1</v>
      </c>
      <c r="L65">
        <v>1</v>
      </c>
      <c r="M65">
        <v>1</v>
      </c>
      <c r="N65">
        <v>1</v>
      </c>
      <c r="O65" t="s">
        <v>188</v>
      </c>
      <c r="P65">
        <v>2.2474467754364009</v>
      </c>
    </row>
    <row r="66" spans="1:16" x14ac:dyDescent="0.25">
      <c r="A66" t="s">
        <v>80</v>
      </c>
      <c r="B66" t="s">
        <v>36</v>
      </c>
      <c r="C66">
        <v>0</v>
      </c>
      <c r="D66">
        <v>1</v>
      </c>
      <c r="E66">
        <v>1</v>
      </c>
      <c r="F66">
        <v>1</v>
      </c>
      <c r="G66">
        <v>1</v>
      </c>
      <c r="H66">
        <v>1</v>
      </c>
      <c r="I66">
        <v>1</v>
      </c>
      <c r="J66">
        <v>1</v>
      </c>
      <c r="K66">
        <v>1</v>
      </c>
      <c r="L66">
        <v>1</v>
      </c>
      <c r="M66">
        <v>1</v>
      </c>
      <c r="N66">
        <v>1</v>
      </c>
      <c r="P66">
        <v>1.7626233100891111</v>
      </c>
    </row>
    <row r="67" spans="1:16" x14ac:dyDescent="0.25">
      <c r="A67" t="s">
        <v>80</v>
      </c>
      <c r="B67" t="s">
        <v>37</v>
      </c>
      <c r="C67">
        <v>0</v>
      </c>
      <c r="D67">
        <v>1</v>
      </c>
      <c r="E67">
        <v>1</v>
      </c>
      <c r="F67">
        <v>1</v>
      </c>
      <c r="G67">
        <v>1</v>
      </c>
      <c r="H67">
        <v>1</v>
      </c>
      <c r="I67">
        <v>1</v>
      </c>
      <c r="J67">
        <v>1</v>
      </c>
      <c r="K67">
        <v>1</v>
      </c>
      <c r="L67">
        <v>1</v>
      </c>
      <c r="M67">
        <v>1</v>
      </c>
      <c r="N67">
        <v>1</v>
      </c>
      <c r="P67">
        <v>1.509570837020874</v>
      </c>
    </row>
    <row r="68" spans="1:16" x14ac:dyDescent="0.25">
      <c r="A68" t="s">
        <v>80</v>
      </c>
      <c r="B68" t="s">
        <v>38</v>
      </c>
      <c r="C68">
        <v>0</v>
      </c>
      <c r="D68">
        <v>1</v>
      </c>
      <c r="E68">
        <v>1</v>
      </c>
      <c r="F68">
        <v>1</v>
      </c>
      <c r="G68">
        <v>1</v>
      </c>
      <c r="H68">
        <v>1</v>
      </c>
      <c r="I68">
        <v>1</v>
      </c>
      <c r="J68">
        <v>1</v>
      </c>
      <c r="K68">
        <v>1</v>
      </c>
      <c r="L68">
        <v>1</v>
      </c>
      <c r="M68">
        <v>1</v>
      </c>
      <c r="N68">
        <v>1</v>
      </c>
      <c r="P68">
        <v>1.665571928024292</v>
      </c>
    </row>
    <row r="69" spans="1:16" x14ac:dyDescent="0.25">
      <c r="A69" t="s">
        <v>80</v>
      </c>
      <c r="B69" t="s">
        <v>39</v>
      </c>
      <c r="C69">
        <v>0</v>
      </c>
      <c r="D69">
        <v>1</v>
      </c>
      <c r="E69">
        <v>1</v>
      </c>
      <c r="F69">
        <v>1</v>
      </c>
      <c r="G69">
        <v>1</v>
      </c>
      <c r="H69">
        <v>1</v>
      </c>
      <c r="I69">
        <v>1</v>
      </c>
      <c r="J69">
        <v>1</v>
      </c>
      <c r="K69">
        <v>1</v>
      </c>
      <c r="L69">
        <v>1</v>
      </c>
      <c r="M69">
        <v>1</v>
      </c>
      <c r="N69">
        <v>1</v>
      </c>
      <c r="P69">
        <v>1.3916974067687991</v>
      </c>
    </row>
    <row r="70" spans="1:16" x14ac:dyDescent="0.25">
      <c r="A70" t="s">
        <v>80</v>
      </c>
      <c r="B70" t="s">
        <v>40</v>
      </c>
      <c r="C70">
        <v>0</v>
      </c>
      <c r="D70">
        <v>1</v>
      </c>
      <c r="E70">
        <v>1</v>
      </c>
      <c r="F70">
        <v>1</v>
      </c>
      <c r="G70">
        <v>1</v>
      </c>
      <c r="H70">
        <v>1</v>
      </c>
      <c r="I70">
        <v>1</v>
      </c>
      <c r="J70">
        <v>1</v>
      </c>
      <c r="K70">
        <v>1</v>
      </c>
      <c r="L70">
        <v>1</v>
      </c>
      <c r="M70">
        <v>1</v>
      </c>
      <c r="N70">
        <v>1</v>
      </c>
      <c r="P70">
        <v>2.7801611423492432</v>
      </c>
    </row>
    <row r="71" spans="1:16" x14ac:dyDescent="0.25">
      <c r="A71" t="s">
        <v>80</v>
      </c>
      <c r="B71" t="s">
        <v>41</v>
      </c>
      <c r="C71">
        <v>0</v>
      </c>
      <c r="D71">
        <v>1</v>
      </c>
      <c r="E71">
        <v>0</v>
      </c>
      <c r="F71">
        <v>1</v>
      </c>
      <c r="G71">
        <v>1</v>
      </c>
      <c r="H71" t="s">
        <v>28</v>
      </c>
      <c r="I71">
        <v>1</v>
      </c>
      <c r="J71" t="s">
        <v>28</v>
      </c>
      <c r="K71">
        <v>1</v>
      </c>
      <c r="L71">
        <v>1</v>
      </c>
      <c r="M71">
        <v>1</v>
      </c>
      <c r="N71">
        <v>1</v>
      </c>
      <c r="O71" t="s">
        <v>189</v>
      </c>
      <c r="P71">
        <v>2.7254445552825932</v>
      </c>
    </row>
    <row r="72" spans="1:16" x14ac:dyDescent="0.25">
      <c r="A72" t="s">
        <v>80</v>
      </c>
      <c r="B72" t="s">
        <v>42</v>
      </c>
      <c r="C72">
        <v>0</v>
      </c>
      <c r="D72">
        <v>1</v>
      </c>
      <c r="E72">
        <v>1</v>
      </c>
      <c r="F72">
        <v>1</v>
      </c>
      <c r="G72">
        <v>1</v>
      </c>
      <c r="H72">
        <v>1</v>
      </c>
      <c r="I72">
        <v>1</v>
      </c>
      <c r="J72">
        <v>1</v>
      </c>
      <c r="K72">
        <v>1</v>
      </c>
      <c r="L72">
        <v>1</v>
      </c>
      <c r="M72">
        <v>1</v>
      </c>
      <c r="N72">
        <v>1</v>
      </c>
      <c r="P72">
        <v>1.9034345149993901</v>
      </c>
    </row>
    <row r="73" spans="1:16" x14ac:dyDescent="0.25">
      <c r="A73" t="s">
        <v>80</v>
      </c>
      <c r="B73" t="s">
        <v>44</v>
      </c>
      <c r="C73">
        <v>0</v>
      </c>
      <c r="D73">
        <v>1</v>
      </c>
      <c r="E73">
        <v>1</v>
      </c>
      <c r="F73">
        <v>1</v>
      </c>
      <c r="G73">
        <v>1</v>
      </c>
      <c r="H73">
        <v>1</v>
      </c>
      <c r="I73">
        <v>1</v>
      </c>
      <c r="J73">
        <v>1</v>
      </c>
      <c r="K73">
        <v>1</v>
      </c>
      <c r="L73">
        <v>1</v>
      </c>
      <c r="M73">
        <v>1</v>
      </c>
      <c r="N73">
        <v>1</v>
      </c>
      <c r="P73">
        <v>1.469892024993896</v>
      </c>
    </row>
    <row r="74" spans="1:16" x14ac:dyDescent="0.25">
      <c r="A74" t="s">
        <v>80</v>
      </c>
      <c r="B74" t="s">
        <v>45</v>
      </c>
      <c r="C74">
        <v>0</v>
      </c>
      <c r="D74">
        <v>1</v>
      </c>
      <c r="E74">
        <v>1</v>
      </c>
      <c r="F74">
        <v>1</v>
      </c>
      <c r="G74">
        <v>1</v>
      </c>
      <c r="H74">
        <v>1</v>
      </c>
      <c r="I74">
        <v>1</v>
      </c>
      <c r="J74">
        <v>1</v>
      </c>
      <c r="K74">
        <v>1</v>
      </c>
      <c r="L74">
        <v>1</v>
      </c>
      <c r="M74">
        <v>1</v>
      </c>
      <c r="N74">
        <v>1</v>
      </c>
      <c r="P74">
        <v>1.5829586982727051</v>
      </c>
    </row>
    <row r="75" spans="1:16" x14ac:dyDescent="0.25">
      <c r="A75" t="s">
        <v>80</v>
      </c>
      <c r="B75" t="s">
        <v>46</v>
      </c>
      <c r="C75">
        <v>0</v>
      </c>
      <c r="D75">
        <v>1</v>
      </c>
      <c r="E75">
        <v>1</v>
      </c>
      <c r="F75">
        <v>1</v>
      </c>
      <c r="G75">
        <v>1</v>
      </c>
      <c r="H75">
        <v>1</v>
      </c>
      <c r="I75">
        <v>1</v>
      </c>
      <c r="J75">
        <v>1</v>
      </c>
      <c r="K75">
        <v>1</v>
      </c>
      <c r="L75">
        <v>1</v>
      </c>
      <c r="M75">
        <v>1</v>
      </c>
      <c r="N75">
        <v>1</v>
      </c>
      <c r="P75">
        <v>1.6647646427154541</v>
      </c>
    </row>
    <row r="76" spans="1:16" x14ac:dyDescent="0.25">
      <c r="A76" t="s">
        <v>80</v>
      </c>
      <c r="B76" t="s">
        <v>47</v>
      </c>
      <c r="C76">
        <v>0</v>
      </c>
      <c r="D76">
        <v>1</v>
      </c>
      <c r="E76">
        <v>1</v>
      </c>
      <c r="F76">
        <v>1</v>
      </c>
      <c r="G76">
        <v>1</v>
      </c>
      <c r="H76">
        <v>1</v>
      </c>
      <c r="I76">
        <v>1</v>
      </c>
      <c r="J76">
        <v>1</v>
      </c>
      <c r="K76">
        <v>1</v>
      </c>
      <c r="L76">
        <v>1</v>
      </c>
      <c r="M76">
        <v>1</v>
      </c>
      <c r="N76">
        <v>1</v>
      </c>
      <c r="P76">
        <v>1.437357425689697</v>
      </c>
    </row>
    <row r="77" spans="1:16" x14ac:dyDescent="0.25">
      <c r="A77" t="s">
        <v>80</v>
      </c>
      <c r="B77" t="s">
        <v>49</v>
      </c>
      <c r="C77">
        <v>0</v>
      </c>
      <c r="D77">
        <v>1</v>
      </c>
      <c r="E77">
        <v>0</v>
      </c>
      <c r="F77">
        <v>1</v>
      </c>
      <c r="G77">
        <v>1</v>
      </c>
      <c r="H77" t="s">
        <v>28</v>
      </c>
      <c r="I77">
        <v>1</v>
      </c>
      <c r="J77" t="s">
        <v>28</v>
      </c>
      <c r="K77">
        <v>1</v>
      </c>
      <c r="L77">
        <v>1</v>
      </c>
      <c r="M77">
        <v>1</v>
      </c>
      <c r="N77">
        <v>1</v>
      </c>
      <c r="O77" t="s">
        <v>190</v>
      </c>
      <c r="P77">
        <v>2.9909019470214839</v>
      </c>
    </row>
    <row r="78" spans="1:16" x14ac:dyDescent="0.25">
      <c r="A78" t="s">
        <v>80</v>
      </c>
      <c r="B78" t="s">
        <v>51</v>
      </c>
      <c r="C78">
        <v>0</v>
      </c>
      <c r="D78">
        <v>1</v>
      </c>
      <c r="E78">
        <v>0</v>
      </c>
      <c r="F78">
        <v>1</v>
      </c>
      <c r="G78">
        <v>1</v>
      </c>
      <c r="H78" t="s">
        <v>28</v>
      </c>
      <c r="I78">
        <v>1</v>
      </c>
      <c r="J78" t="s">
        <v>28</v>
      </c>
      <c r="K78">
        <v>1</v>
      </c>
      <c r="L78">
        <v>1</v>
      </c>
      <c r="M78">
        <v>1</v>
      </c>
      <c r="N78">
        <v>1</v>
      </c>
      <c r="O78" t="s">
        <v>191</v>
      </c>
      <c r="P78">
        <v>3.7030875682830811</v>
      </c>
    </row>
    <row r="79" spans="1:16" x14ac:dyDescent="0.25">
      <c r="A79" t="s">
        <v>80</v>
      </c>
      <c r="B79" t="s">
        <v>53</v>
      </c>
      <c r="C79">
        <v>0</v>
      </c>
      <c r="D79">
        <v>1</v>
      </c>
      <c r="E79">
        <v>1</v>
      </c>
      <c r="F79">
        <v>1</v>
      </c>
      <c r="G79">
        <v>1</v>
      </c>
      <c r="H79">
        <v>1</v>
      </c>
      <c r="I79">
        <v>1</v>
      </c>
      <c r="J79">
        <v>1</v>
      </c>
      <c r="K79">
        <v>1</v>
      </c>
      <c r="L79">
        <v>1</v>
      </c>
      <c r="M79">
        <v>1</v>
      </c>
      <c r="N79">
        <v>1</v>
      </c>
      <c r="P79">
        <v>2.6530170440673828</v>
      </c>
    </row>
    <row r="80" spans="1:16" x14ac:dyDescent="0.25">
      <c r="A80" t="s">
        <v>80</v>
      </c>
      <c r="B80" t="s">
        <v>54</v>
      </c>
      <c r="C80">
        <v>0</v>
      </c>
      <c r="D80">
        <v>1</v>
      </c>
      <c r="E80">
        <v>1</v>
      </c>
      <c r="F80">
        <v>1</v>
      </c>
      <c r="G80">
        <v>1</v>
      </c>
      <c r="H80">
        <v>1</v>
      </c>
      <c r="I80">
        <v>1</v>
      </c>
      <c r="J80">
        <v>1</v>
      </c>
      <c r="K80">
        <v>1</v>
      </c>
      <c r="L80">
        <v>1</v>
      </c>
      <c r="M80">
        <v>1</v>
      </c>
      <c r="N80">
        <v>1</v>
      </c>
      <c r="P80">
        <v>1.372686624526978</v>
      </c>
    </row>
    <row r="81" spans="1:16" x14ac:dyDescent="0.25">
      <c r="A81" t="s">
        <v>80</v>
      </c>
      <c r="B81" t="s">
        <v>56</v>
      </c>
      <c r="C81">
        <v>0</v>
      </c>
      <c r="D81">
        <v>1</v>
      </c>
      <c r="E81">
        <v>1</v>
      </c>
      <c r="F81">
        <v>0</v>
      </c>
      <c r="G81">
        <v>1</v>
      </c>
      <c r="H81">
        <v>1</v>
      </c>
      <c r="I81">
        <v>1</v>
      </c>
      <c r="J81" t="s">
        <v>28</v>
      </c>
      <c r="K81">
        <v>1</v>
      </c>
      <c r="L81">
        <v>1</v>
      </c>
      <c r="M81">
        <v>1</v>
      </c>
      <c r="N81">
        <v>1</v>
      </c>
      <c r="O81" t="s">
        <v>192</v>
      </c>
      <c r="P81">
        <v>3.894788265228271</v>
      </c>
    </row>
    <row r="82" spans="1:16" x14ac:dyDescent="0.25">
      <c r="A82" t="s">
        <v>80</v>
      </c>
      <c r="B82" t="s">
        <v>58</v>
      </c>
      <c r="C82">
        <v>0</v>
      </c>
      <c r="D82">
        <v>1</v>
      </c>
      <c r="E82">
        <v>1</v>
      </c>
      <c r="F82">
        <v>0</v>
      </c>
      <c r="G82">
        <v>1</v>
      </c>
      <c r="H82">
        <v>1</v>
      </c>
      <c r="I82">
        <v>1</v>
      </c>
      <c r="J82" t="s">
        <v>28</v>
      </c>
      <c r="K82">
        <v>1</v>
      </c>
      <c r="L82">
        <v>1</v>
      </c>
      <c r="M82">
        <v>1</v>
      </c>
      <c r="N82">
        <v>1</v>
      </c>
      <c r="O82" t="s">
        <v>193</v>
      </c>
      <c r="P82">
        <v>13.689049482345579</v>
      </c>
    </row>
    <row r="83" spans="1:16" x14ac:dyDescent="0.25">
      <c r="A83" t="s">
        <v>80</v>
      </c>
      <c r="B83" t="s">
        <v>60</v>
      </c>
      <c r="C83">
        <v>0</v>
      </c>
      <c r="D83">
        <v>1</v>
      </c>
      <c r="E83">
        <v>1</v>
      </c>
      <c r="F83">
        <v>1</v>
      </c>
      <c r="G83">
        <v>1</v>
      </c>
      <c r="H83">
        <v>1</v>
      </c>
      <c r="I83">
        <v>1</v>
      </c>
      <c r="J83">
        <v>1</v>
      </c>
      <c r="K83">
        <v>1</v>
      </c>
      <c r="L83">
        <v>1</v>
      </c>
      <c r="M83">
        <v>1</v>
      </c>
      <c r="N83">
        <v>1</v>
      </c>
      <c r="P83">
        <v>1.9987273216247561</v>
      </c>
    </row>
    <row r="84" spans="1:16" x14ac:dyDescent="0.25">
      <c r="A84" t="s">
        <v>80</v>
      </c>
      <c r="B84" t="s">
        <v>62</v>
      </c>
      <c r="C84">
        <v>0</v>
      </c>
      <c r="D84">
        <v>1</v>
      </c>
      <c r="E84">
        <v>1</v>
      </c>
      <c r="F84">
        <v>1</v>
      </c>
      <c r="G84">
        <v>1</v>
      </c>
      <c r="H84">
        <v>1</v>
      </c>
      <c r="I84">
        <v>1</v>
      </c>
      <c r="J84">
        <v>1</v>
      </c>
      <c r="K84">
        <v>1</v>
      </c>
      <c r="L84">
        <v>1</v>
      </c>
      <c r="M84">
        <v>1</v>
      </c>
      <c r="N84">
        <v>1</v>
      </c>
      <c r="P84">
        <v>1.568262577056885</v>
      </c>
    </row>
    <row r="85" spans="1:16" x14ac:dyDescent="0.25">
      <c r="A85" t="s">
        <v>80</v>
      </c>
      <c r="B85" t="s">
        <v>63</v>
      </c>
      <c r="C85">
        <v>0</v>
      </c>
      <c r="D85">
        <v>1</v>
      </c>
      <c r="E85">
        <v>1</v>
      </c>
      <c r="F85">
        <v>1</v>
      </c>
      <c r="G85">
        <v>1</v>
      </c>
      <c r="H85">
        <v>1</v>
      </c>
      <c r="I85">
        <v>1</v>
      </c>
      <c r="J85">
        <v>1</v>
      </c>
      <c r="K85">
        <v>1</v>
      </c>
      <c r="L85">
        <v>1</v>
      </c>
      <c r="M85">
        <v>1</v>
      </c>
      <c r="N85">
        <v>1</v>
      </c>
      <c r="P85">
        <v>2.1054244041442871</v>
      </c>
    </row>
    <row r="86" spans="1:16" x14ac:dyDescent="0.25">
      <c r="A86" t="s">
        <v>80</v>
      </c>
      <c r="B86" t="s">
        <v>64</v>
      </c>
      <c r="C86">
        <v>0</v>
      </c>
      <c r="D86">
        <v>1</v>
      </c>
      <c r="E86">
        <v>1</v>
      </c>
      <c r="F86">
        <v>1</v>
      </c>
      <c r="G86">
        <v>1</v>
      </c>
      <c r="H86">
        <v>1</v>
      </c>
      <c r="I86">
        <v>1</v>
      </c>
      <c r="J86">
        <v>1</v>
      </c>
      <c r="K86">
        <v>1</v>
      </c>
      <c r="L86">
        <v>1</v>
      </c>
      <c r="M86">
        <v>1</v>
      </c>
      <c r="N86">
        <v>1</v>
      </c>
      <c r="P86">
        <v>1.705617427825928</v>
      </c>
    </row>
    <row r="87" spans="1:16" x14ac:dyDescent="0.25">
      <c r="A87" t="s">
        <v>80</v>
      </c>
      <c r="B87" t="s">
        <v>65</v>
      </c>
      <c r="C87">
        <v>0</v>
      </c>
      <c r="D87">
        <v>1</v>
      </c>
      <c r="E87">
        <v>1</v>
      </c>
      <c r="F87">
        <v>1</v>
      </c>
      <c r="G87">
        <v>1</v>
      </c>
      <c r="H87">
        <v>1</v>
      </c>
      <c r="I87">
        <v>1</v>
      </c>
      <c r="J87">
        <v>1</v>
      </c>
      <c r="K87">
        <v>1</v>
      </c>
      <c r="L87">
        <v>1</v>
      </c>
      <c r="M87">
        <v>1</v>
      </c>
      <c r="N87">
        <v>1</v>
      </c>
      <c r="P87">
        <v>16.205166101455688</v>
      </c>
    </row>
    <row r="88" spans="1:16" x14ac:dyDescent="0.25">
      <c r="A88" t="s">
        <v>80</v>
      </c>
      <c r="B88" t="s">
        <v>66</v>
      </c>
      <c r="C88">
        <v>0</v>
      </c>
      <c r="D88">
        <v>1</v>
      </c>
      <c r="E88">
        <v>1</v>
      </c>
      <c r="F88">
        <v>1</v>
      </c>
      <c r="G88">
        <v>1</v>
      </c>
      <c r="H88">
        <v>1</v>
      </c>
      <c r="I88">
        <v>1</v>
      </c>
      <c r="J88">
        <v>1</v>
      </c>
      <c r="K88">
        <v>1</v>
      </c>
      <c r="L88">
        <v>1</v>
      </c>
      <c r="M88">
        <v>1</v>
      </c>
      <c r="N88">
        <v>1</v>
      </c>
      <c r="P88">
        <v>1.3637914657592769</v>
      </c>
    </row>
    <row r="89" spans="1:16" x14ac:dyDescent="0.25">
      <c r="A89" t="s">
        <v>80</v>
      </c>
      <c r="B89" t="s">
        <v>67</v>
      </c>
      <c r="C89">
        <v>0</v>
      </c>
      <c r="D89">
        <v>1</v>
      </c>
      <c r="E89">
        <v>1</v>
      </c>
      <c r="F89">
        <v>1</v>
      </c>
      <c r="G89">
        <v>1</v>
      </c>
      <c r="H89">
        <v>1</v>
      </c>
      <c r="I89">
        <v>1</v>
      </c>
      <c r="J89">
        <v>1</v>
      </c>
      <c r="K89">
        <v>1</v>
      </c>
      <c r="L89">
        <v>1</v>
      </c>
      <c r="M89">
        <v>1</v>
      </c>
      <c r="N89">
        <v>1</v>
      </c>
      <c r="P89">
        <v>10.69658255577087</v>
      </c>
    </row>
    <row r="90" spans="1:16" x14ac:dyDescent="0.25">
      <c r="A90" t="s">
        <v>80</v>
      </c>
      <c r="B90" t="s">
        <v>69</v>
      </c>
      <c r="C90">
        <v>0</v>
      </c>
      <c r="D90">
        <v>1</v>
      </c>
      <c r="E90">
        <v>1</v>
      </c>
      <c r="F90">
        <v>1</v>
      </c>
      <c r="G90">
        <v>1</v>
      </c>
      <c r="H90">
        <v>1</v>
      </c>
      <c r="I90">
        <v>1</v>
      </c>
      <c r="J90">
        <v>1</v>
      </c>
      <c r="K90">
        <v>1</v>
      </c>
      <c r="L90">
        <v>1</v>
      </c>
      <c r="M90">
        <v>1</v>
      </c>
      <c r="N90">
        <v>1</v>
      </c>
      <c r="P90">
        <v>1.5051097869873049</v>
      </c>
    </row>
    <row r="91" spans="1:16" x14ac:dyDescent="0.25">
      <c r="A91" t="s">
        <v>80</v>
      </c>
      <c r="B91" t="s">
        <v>70</v>
      </c>
      <c r="C91">
        <v>0</v>
      </c>
      <c r="D91">
        <v>1</v>
      </c>
      <c r="E91">
        <v>1</v>
      </c>
      <c r="F91">
        <v>1</v>
      </c>
      <c r="G91">
        <v>1</v>
      </c>
      <c r="H91">
        <v>1</v>
      </c>
      <c r="I91">
        <v>1</v>
      </c>
      <c r="J91">
        <v>1</v>
      </c>
      <c r="K91">
        <v>1</v>
      </c>
      <c r="L91">
        <v>1</v>
      </c>
      <c r="M91">
        <v>1</v>
      </c>
      <c r="N91">
        <v>1</v>
      </c>
      <c r="P91">
        <v>11.991153717041019</v>
      </c>
    </row>
    <row r="92" spans="1:16" x14ac:dyDescent="0.25">
      <c r="A92" t="s">
        <v>80</v>
      </c>
      <c r="B92" t="s">
        <v>71</v>
      </c>
      <c r="C92">
        <v>0</v>
      </c>
      <c r="D92">
        <v>1</v>
      </c>
      <c r="E92">
        <v>0</v>
      </c>
      <c r="F92">
        <v>1</v>
      </c>
      <c r="G92">
        <v>1</v>
      </c>
      <c r="H92" t="s">
        <v>28</v>
      </c>
      <c r="I92">
        <v>1</v>
      </c>
      <c r="J92" t="s">
        <v>28</v>
      </c>
      <c r="K92">
        <v>1</v>
      </c>
      <c r="L92">
        <v>1</v>
      </c>
      <c r="M92">
        <v>1</v>
      </c>
      <c r="N92">
        <v>1</v>
      </c>
      <c r="O92" t="s">
        <v>194</v>
      </c>
      <c r="P92">
        <v>2.9243710041046138</v>
      </c>
    </row>
    <row r="93" spans="1:16" x14ac:dyDescent="0.25">
      <c r="A93" t="s">
        <v>80</v>
      </c>
      <c r="B93" t="s">
        <v>72</v>
      </c>
      <c r="C93">
        <v>0</v>
      </c>
      <c r="D93">
        <v>1</v>
      </c>
      <c r="E93">
        <v>1</v>
      </c>
      <c r="F93">
        <v>1</v>
      </c>
      <c r="G93">
        <v>1</v>
      </c>
      <c r="H93">
        <v>1</v>
      </c>
      <c r="I93">
        <v>1</v>
      </c>
      <c r="J93">
        <v>1</v>
      </c>
      <c r="K93">
        <v>1</v>
      </c>
      <c r="L93">
        <v>1</v>
      </c>
      <c r="M93">
        <v>1</v>
      </c>
      <c r="N93">
        <v>1</v>
      </c>
      <c r="P93">
        <v>1.8950445652008061</v>
      </c>
    </row>
    <row r="94" spans="1:16" x14ac:dyDescent="0.25">
      <c r="A94" t="s">
        <v>80</v>
      </c>
      <c r="B94" t="s">
        <v>74</v>
      </c>
      <c r="C94">
        <v>0</v>
      </c>
      <c r="D94">
        <v>1</v>
      </c>
      <c r="E94">
        <v>1</v>
      </c>
      <c r="F94">
        <v>1</v>
      </c>
      <c r="G94">
        <v>1</v>
      </c>
      <c r="H94">
        <v>1</v>
      </c>
      <c r="I94">
        <v>1</v>
      </c>
      <c r="J94">
        <v>1</v>
      </c>
      <c r="K94">
        <v>1</v>
      </c>
      <c r="L94">
        <v>1</v>
      </c>
      <c r="M94">
        <v>1</v>
      </c>
      <c r="N94">
        <v>1</v>
      </c>
      <c r="P94">
        <v>3.2539734840393071</v>
      </c>
    </row>
    <row r="95" spans="1:16" x14ac:dyDescent="0.25">
      <c r="A95" t="s">
        <v>80</v>
      </c>
      <c r="B95" t="s">
        <v>75</v>
      </c>
      <c r="C95">
        <v>0</v>
      </c>
      <c r="D95">
        <v>1</v>
      </c>
      <c r="E95">
        <v>1</v>
      </c>
      <c r="F95">
        <v>1</v>
      </c>
      <c r="G95">
        <v>1</v>
      </c>
      <c r="H95">
        <v>1</v>
      </c>
      <c r="I95">
        <v>1</v>
      </c>
      <c r="J95">
        <v>1</v>
      </c>
      <c r="K95">
        <v>1</v>
      </c>
      <c r="L95">
        <v>1</v>
      </c>
      <c r="M95">
        <v>1</v>
      </c>
      <c r="N95">
        <v>1</v>
      </c>
      <c r="P95">
        <v>1.623507499694824</v>
      </c>
    </row>
    <row r="96" spans="1:16" x14ac:dyDescent="0.25">
      <c r="A96" t="s">
        <v>80</v>
      </c>
      <c r="B96" t="s">
        <v>76</v>
      </c>
      <c r="C96">
        <v>0</v>
      </c>
      <c r="D96">
        <v>1</v>
      </c>
      <c r="E96">
        <v>1</v>
      </c>
      <c r="F96">
        <v>1</v>
      </c>
      <c r="G96">
        <v>1</v>
      </c>
      <c r="H96">
        <v>1</v>
      </c>
      <c r="I96">
        <v>1</v>
      </c>
      <c r="J96">
        <v>1</v>
      </c>
      <c r="K96">
        <v>1</v>
      </c>
      <c r="L96">
        <v>1</v>
      </c>
      <c r="M96">
        <v>1</v>
      </c>
      <c r="N96">
        <v>1</v>
      </c>
      <c r="P96">
        <v>2.617479801177979</v>
      </c>
    </row>
    <row r="97" spans="1:16" x14ac:dyDescent="0.25">
      <c r="A97" t="s">
        <v>80</v>
      </c>
      <c r="B97" t="s">
        <v>77</v>
      </c>
      <c r="C97">
        <v>0</v>
      </c>
      <c r="D97">
        <v>1</v>
      </c>
      <c r="E97">
        <v>1</v>
      </c>
      <c r="F97">
        <v>1</v>
      </c>
      <c r="G97">
        <v>1</v>
      </c>
      <c r="H97">
        <v>1</v>
      </c>
      <c r="I97">
        <v>1</v>
      </c>
      <c r="J97">
        <v>1</v>
      </c>
      <c r="K97">
        <v>1</v>
      </c>
      <c r="L97">
        <v>1</v>
      </c>
      <c r="M97">
        <v>1</v>
      </c>
      <c r="N97">
        <v>1</v>
      </c>
      <c r="P97">
        <v>1.370757579803467</v>
      </c>
    </row>
    <row r="98" spans="1:16" x14ac:dyDescent="0.25">
      <c r="A98" t="s">
        <v>80</v>
      </c>
      <c r="B98" t="s">
        <v>78</v>
      </c>
      <c r="C98">
        <v>0</v>
      </c>
      <c r="D98">
        <v>1</v>
      </c>
      <c r="E98">
        <v>1</v>
      </c>
      <c r="F98">
        <v>1</v>
      </c>
      <c r="G98">
        <v>1</v>
      </c>
      <c r="H98">
        <v>1</v>
      </c>
      <c r="I98">
        <v>1</v>
      </c>
      <c r="J98">
        <v>1</v>
      </c>
      <c r="K98">
        <v>1</v>
      </c>
      <c r="L98">
        <v>1</v>
      </c>
      <c r="M98">
        <v>1</v>
      </c>
      <c r="N98">
        <v>1</v>
      </c>
      <c r="P98">
        <v>1.565546989440918</v>
      </c>
    </row>
    <row r="99" spans="1:16" x14ac:dyDescent="0.25">
      <c r="A99" t="s">
        <v>80</v>
      </c>
      <c r="B99" t="s">
        <v>79</v>
      </c>
      <c r="C99">
        <v>0</v>
      </c>
      <c r="D99">
        <v>1</v>
      </c>
      <c r="E99">
        <v>1</v>
      </c>
      <c r="F99">
        <v>1</v>
      </c>
      <c r="G99">
        <v>1</v>
      </c>
      <c r="H99">
        <v>1</v>
      </c>
      <c r="I99">
        <v>1</v>
      </c>
      <c r="J99">
        <v>1</v>
      </c>
      <c r="K99">
        <v>1</v>
      </c>
      <c r="L99">
        <v>1</v>
      </c>
      <c r="M99">
        <v>1</v>
      </c>
      <c r="N99">
        <v>1</v>
      </c>
      <c r="P99">
        <v>2.4096040725708008</v>
      </c>
    </row>
    <row r="100" spans="1:16" x14ac:dyDescent="0.25">
      <c r="A100" t="s">
        <v>80</v>
      </c>
      <c r="B100" t="s">
        <v>91</v>
      </c>
      <c r="C100">
        <v>0</v>
      </c>
      <c r="D100">
        <v>1</v>
      </c>
      <c r="E100">
        <v>1</v>
      </c>
      <c r="F100">
        <v>1</v>
      </c>
      <c r="G100">
        <v>1</v>
      </c>
      <c r="H100">
        <v>1</v>
      </c>
      <c r="I100">
        <v>1</v>
      </c>
      <c r="J100">
        <v>1</v>
      </c>
      <c r="K100">
        <v>1</v>
      </c>
      <c r="L100">
        <v>1</v>
      </c>
      <c r="M100">
        <v>1</v>
      </c>
      <c r="N100">
        <v>1</v>
      </c>
      <c r="P100">
        <v>1.7484631538391111</v>
      </c>
    </row>
    <row r="101" spans="1:16" x14ac:dyDescent="0.25">
      <c r="A101" t="s">
        <v>80</v>
      </c>
      <c r="B101" t="s">
        <v>92</v>
      </c>
      <c r="C101">
        <v>0</v>
      </c>
      <c r="D101">
        <v>1</v>
      </c>
      <c r="E101">
        <v>1</v>
      </c>
      <c r="F101">
        <v>1</v>
      </c>
      <c r="G101">
        <v>1</v>
      </c>
      <c r="H101">
        <v>1</v>
      </c>
      <c r="I101">
        <v>1</v>
      </c>
      <c r="J101">
        <v>1</v>
      </c>
      <c r="K101">
        <v>1</v>
      </c>
      <c r="L101">
        <v>1</v>
      </c>
      <c r="M101">
        <v>1</v>
      </c>
      <c r="N101">
        <v>1</v>
      </c>
      <c r="P101">
        <v>1.445394039154053</v>
      </c>
    </row>
    <row r="102" spans="1:16" x14ac:dyDescent="0.25">
      <c r="A102" t="s">
        <v>80</v>
      </c>
      <c r="B102" t="s">
        <v>93</v>
      </c>
      <c r="C102">
        <v>0</v>
      </c>
      <c r="D102">
        <v>1</v>
      </c>
      <c r="E102">
        <v>1</v>
      </c>
      <c r="F102">
        <v>1</v>
      </c>
      <c r="G102">
        <v>1</v>
      </c>
      <c r="H102">
        <v>1</v>
      </c>
      <c r="I102">
        <v>1</v>
      </c>
      <c r="J102">
        <v>1</v>
      </c>
      <c r="K102">
        <v>1</v>
      </c>
      <c r="L102">
        <v>1</v>
      </c>
      <c r="M102">
        <v>1</v>
      </c>
      <c r="N102">
        <v>1</v>
      </c>
      <c r="P102">
        <v>1.413945198059082</v>
      </c>
    </row>
    <row r="103" spans="1:16" x14ac:dyDescent="0.25">
      <c r="A103" t="s">
        <v>80</v>
      </c>
      <c r="B103" t="s">
        <v>94</v>
      </c>
      <c r="C103">
        <v>0</v>
      </c>
      <c r="D103">
        <v>1</v>
      </c>
      <c r="E103">
        <v>1</v>
      </c>
      <c r="F103">
        <v>1</v>
      </c>
      <c r="G103">
        <v>1</v>
      </c>
      <c r="H103">
        <v>1</v>
      </c>
      <c r="I103">
        <v>1</v>
      </c>
      <c r="J103">
        <v>1</v>
      </c>
      <c r="K103">
        <v>1</v>
      </c>
      <c r="L103">
        <v>1</v>
      </c>
      <c r="M103">
        <v>1</v>
      </c>
      <c r="N103">
        <v>1</v>
      </c>
      <c r="P103">
        <v>1.5321018695831301</v>
      </c>
    </row>
    <row r="104" spans="1:16" x14ac:dyDescent="0.25">
      <c r="A104" t="s">
        <v>80</v>
      </c>
      <c r="B104" t="s">
        <v>95</v>
      </c>
      <c r="C104">
        <v>0</v>
      </c>
      <c r="D104">
        <v>1</v>
      </c>
      <c r="E104">
        <v>1</v>
      </c>
      <c r="F104">
        <v>1</v>
      </c>
      <c r="G104">
        <v>1</v>
      </c>
      <c r="H104">
        <v>1</v>
      </c>
      <c r="I104">
        <v>1</v>
      </c>
      <c r="J104">
        <v>1</v>
      </c>
      <c r="K104">
        <v>1</v>
      </c>
      <c r="L104">
        <v>1</v>
      </c>
      <c r="M104">
        <v>1</v>
      </c>
      <c r="N104">
        <v>1</v>
      </c>
      <c r="P104">
        <v>1.983938455581665</v>
      </c>
    </row>
    <row r="105" spans="1:16" x14ac:dyDescent="0.25">
      <c r="A105" t="s">
        <v>80</v>
      </c>
      <c r="B105" t="s">
        <v>96</v>
      </c>
      <c r="C105">
        <v>0</v>
      </c>
      <c r="D105">
        <v>1</v>
      </c>
      <c r="E105">
        <v>1</v>
      </c>
      <c r="F105">
        <v>1</v>
      </c>
      <c r="G105">
        <v>1</v>
      </c>
      <c r="H105">
        <v>1</v>
      </c>
      <c r="I105">
        <v>1</v>
      </c>
      <c r="J105">
        <v>1</v>
      </c>
      <c r="K105">
        <v>1</v>
      </c>
      <c r="L105">
        <v>1</v>
      </c>
      <c r="M105">
        <v>1</v>
      </c>
      <c r="N105">
        <v>1</v>
      </c>
      <c r="P105">
        <v>1.417066097259521</v>
      </c>
    </row>
    <row r="106" spans="1:16" x14ac:dyDescent="0.25">
      <c r="A106" t="s">
        <v>80</v>
      </c>
      <c r="B106" t="s">
        <v>97</v>
      </c>
      <c r="C106">
        <v>0</v>
      </c>
      <c r="D106">
        <v>1</v>
      </c>
      <c r="E106">
        <v>1</v>
      </c>
      <c r="F106">
        <v>1</v>
      </c>
      <c r="G106">
        <v>1</v>
      </c>
      <c r="H106">
        <v>1</v>
      </c>
      <c r="I106">
        <v>0</v>
      </c>
      <c r="J106">
        <v>1</v>
      </c>
      <c r="K106">
        <v>1</v>
      </c>
      <c r="L106">
        <v>1</v>
      </c>
      <c r="M106">
        <v>1</v>
      </c>
      <c r="N106">
        <v>1</v>
      </c>
      <c r="O106" t="s">
        <v>195</v>
      </c>
      <c r="P106">
        <v>5.0927989482879639</v>
      </c>
    </row>
    <row r="107" spans="1:16" x14ac:dyDescent="0.25">
      <c r="A107" t="s">
        <v>80</v>
      </c>
      <c r="B107" t="s">
        <v>98</v>
      </c>
      <c r="C107">
        <v>0</v>
      </c>
      <c r="D107">
        <v>1</v>
      </c>
      <c r="E107">
        <v>1</v>
      </c>
      <c r="F107">
        <v>1</v>
      </c>
      <c r="G107">
        <v>1</v>
      </c>
      <c r="H107">
        <v>1</v>
      </c>
      <c r="I107">
        <v>1</v>
      </c>
      <c r="J107">
        <v>1</v>
      </c>
      <c r="K107">
        <v>1</v>
      </c>
      <c r="L107">
        <v>1</v>
      </c>
      <c r="M107">
        <v>1</v>
      </c>
      <c r="N107">
        <v>1</v>
      </c>
      <c r="P107">
        <v>5.1385326385498047</v>
      </c>
    </row>
    <row r="108" spans="1:16" x14ac:dyDescent="0.25">
      <c r="A108" t="s">
        <v>80</v>
      </c>
      <c r="B108" t="s">
        <v>100</v>
      </c>
      <c r="C108">
        <v>0</v>
      </c>
      <c r="D108">
        <v>1</v>
      </c>
      <c r="E108">
        <v>1</v>
      </c>
      <c r="F108">
        <v>1</v>
      </c>
      <c r="G108">
        <v>1</v>
      </c>
      <c r="H108">
        <v>1</v>
      </c>
      <c r="I108">
        <v>1</v>
      </c>
      <c r="J108">
        <v>1</v>
      </c>
      <c r="K108">
        <v>1</v>
      </c>
      <c r="L108">
        <v>1</v>
      </c>
      <c r="M108">
        <v>1</v>
      </c>
      <c r="N108">
        <v>1</v>
      </c>
      <c r="P108">
        <v>2.0351321697235112</v>
      </c>
    </row>
    <row r="109" spans="1:16" x14ac:dyDescent="0.25">
      <c r="A109" t="s">
        <v>80</v>
      </c>
      <c r="B109" t="s">
        <v>101</v>
      </c>
      <c r="C109">
        <v>0</v>
      </c>
      <c r="D109">
        <v>1</v>
      </c>
      <c r="E109">
        <v>1</v>
      </c>
      <c r="F109">
        <v>1</v>
      </c>
      <c r="G109">
        <v>1</v>
      </c>
      <c r="H109">
        <v>1</v>
      </c>
      <c r="I109">
        <v>1</v>
      </c>
      <c r="J109">
        <v>1</v>
      </c>
      <c r="K109">
        <v>1</v>
      </c>
      <c r="L109">
        <v>1</v>
      </c>
      <c r="M109">
        <v>1</v>
      </c>
      <c r="N109">
        <v>1</v>
      </c>
      <c r="P109">
        <v>1.374616146087646</v>
      </c>
    </row>
    <row r="110" spans="1:16" x14ac:dyDescent="0.25">
      <c r="A110" t="s">
        <v>80</v>
      </c>
      <c r="B110" t="s">
        <v>102</v>
      </c>
      <c r="C110">
        <v>0</v>
      </c>
      <c r="D110">
        <v>0</v>
      </c>
      <c r="E110" t="s">
        <v>28</v>
      </c>
      <c r="F110" t="s">
        <v>28</v>
      </c>
      <c r="G110" t="s">
        <v>28</v>
      </c>
      <c r="H110" t="s">
        <v>28</v>
      </c>
      <c r="I110" t="s">
        <v>28</v>
      </c>
      <c r="J110" t="s">
        <v>28</v>
      </c>
      <c r="K110" t="s">
        <v>28</v>
      </c>
      <c r="L110" t="s">
        <v>28</v>
      </c>
      <c r="M110" t="s">
        <v>28</v>
      </c>
      <c r="N110" t="s">
        <v>28</v>
      </c>
      <c r="O110" t="s">
        <v>196</v>
      </c>
      <c r="P110">
        <v>14.43875479698181</v>
      </c>
    </row>
    <row r="111" spans="1:16" x14ac:dyDescent="0.25">
      <c r="A111" t="s">
        <v>80</v>
      </c>
      <c r="B111" t="s">
        <v>104</v>
      </c>
      <c r="C111">
        <v>0</v>
      </c>
      <c r="D111">
        <v>1</v>
      </c>
      <c r="E111">
        <v>1</v>
      </c>
      <c r="F111">
        <v>1</v>
      </c>
      <c r="G111">
        <v>1</v>
      </c>
      <c r="H111">
        <v>1</v>
      </c>
      <c r="I111">
        <v>1</v>
      </c>
      <c r="J111">
        <v>1</v>
      </c>
      <c r="K111">
        <v>1</v>
      </c>
      <c r="L111">
        <v>1</v>
      </c>
      <c r="M111">
        <v>1</v>
      </c>
      <c r="N111">
        <v>1</v>
      </c>
      <c r="P111">
        <v>1.7164323329925539</v>
      </c>
    </row>
    <row r="112" spans="1:16" x14ac:dyDescent="0.25">
      <c r="A112" t="s">
        <v>80</v>
      </c>
      <c r="B112" t="s">
        <v>105</v>
      </c>
      <c r="C112">
        <v>0</v>
      </c>
      <c r="D112">
        <v>1</v>
      </c>
      <c r="E112">
        <v>1</v>
      </c>
      <c r="F112">
        <v>1</v>
      </c>
      <c r="G112">
        <v>1</v>
      </c>
      <c r="H112">
        <v>1</v>
      </c>
      <c r="I112">
        <v>1</v>
      </c>
      <c r="J112">
        <v>1</v>
      </c>
      <c r="K112">
        <v>1</v>
      </c>
      <c r="L112">
        <v>1</v>
      </c>
      <c r="M112">
        <v>1</v>
      </c>
      <c r="N112">
        <v>1</v>
      </c>
      <c r="P112">
        <v>1.39875340461731</v>
      </c>
    </row>
    <row r="113" spans="1:16" x14ac:dyDescent="0.25">
      <c r="A113" t="s">
        <v>80</v>
      </c>
      <c r="B113" t="s">
        <v>106</v>
      </c>
      <c r="C113">
        <v>0</v>
      </c>
      <c r="D113">
        <v>1</v>
      </c>
      <c r="E113">
        <v>1</v>
      </c>
      <c r="F113">
        <v>1</v>
      </c>
      <c r="G113">
        <v>1</v>
      </c>
      <c r="H113">
        <v>1</v>
      </c>
      <c r="I113">
        <v>1</v>
      </c>
      <c r="J113">
        <v>1</v>
      </c>
      <c r="K113">
        <v>1</v>
      </c>
      <c r="L113">
        <v>1</v>
      </c>
      <c r="M113">
        <v>1</v>
      </c>
      <c r="N113">
        <v>1</v>
      </c>
      <c r="P113">
        <v>1.663424015045166</v>
      </c>
    </row>
    <row r="114" spans="1:16" x14ac:dyDescent="0.25">
      <c r="A114" t="s">
        <v>107</v>
      </c>
      <c r="B114" t="s">
        <v>17</v>
      </c>
      <c r="C114">
        <v>0</v>
      </c>
      <c r="D114">
        <v>1</v>
      </c>
      <c r="E114">
        <v>1</v>
      </c>
      <c r="F114">
        <v>1</v>
      </c>
      <c r="G114">
        <v>1</v>
      </c>
      <c r="H114">
        <v>1</v>
      </c>
      <c r="I114">
        <v>1</v>
      </c>
      <c r="J114">
        <v>1</v>
      </c>
      <c r="K114">
        <v>1</v>
      </c>
      <c r="L114">
        <v>1</v>
      </c>
      <c r="M114">
        <v>1</v>
      </c>
      <c r="N114">
        <v>1</v>
      </c>
      <c r="P114">
        <v>1.417786836624146</v>
      </c>
    </row>
    <row r="115" spans="1:16" x14ac:dyDescent="0.25">
      <c r="A115" t="s">
        <v>107</v>
      </c>
      <c r="B115" t="s">
        <v>18</v>
      </c>
      <c r="C115">
        <v>0</v>
      </c>
      <c r="D115">
        <v>1</v>
      </c>
      <c r="E115">
        <v>1</v>
      </c>
      <c r="F115">
        <v>1</v>
      </c>
      <c r="G115">
        <v>1</v>
      </c>
      <c r="H115">
        <v>1</v>
      </c>
      <c r="I115">
        <v>1</v>
      </c>
      <c r="J115">
        <v>1</v>
      </c>
      <c r="K115">
        <v>1</v>
      </c>
      <c r="L115">
        <v>1</v>
      </c>
      <c r="M115">
        <v>1</v>
      </c>
      <c r="N115">
        <v>1</v>
      </c>
      <c r="P115">
        <v>1.580426692962646</v>
      </c>
    </row>
    <row r="116" spans="1:16" x14ac:dyDescent="0.25">
      <c r="A116" t="s">
        <v>107</v>
      </c>
      <c r="B116" t="s">
        <v>19</v>
      </c>
      <c r="C116">
        <v>0</v>
      </c>
      <c r="D116">
        <v>1</v>
      </c>
      <c r="E116">
        <v>0</v>
      </c>
      <c r="F116">
        <v>1</v>
      </c>
      <c r="G116">
        <v>1</v>
      </c>
      <c r="H116" t="s">
        <v>28</v>
      </c>
      <c r="I116">
        <v>0</v>
      </c>
      <c r="J116" t="s">
        <v>28</v>
      </c>
      <c r="K116">
        <v>1</v>
      </c>
      <c r="L116">
        <v>1</v>
      </c>
      <c r="M116">
        <v>1</v>
      </c>
      <c r="N116">
        <v>1</v>
      </c>
      <c r="O116" t="s">
        <v>197</v>
      </c>
      <c r="P116">
        <v>3.2295477390289311</v>
      </c>
    </row>
    <row r="117" spans="1:16" x14ac:dyDescent="0.25">
      <c r="A117" t="s">
        <v>107</v>
      </c>
      <c r="B117" t="s">
        <v>20</v>
      </c>
      <c r="C117">
        <v>0</v>
      </c>
      <c r="D117">
        <v>1</v>
      </c>
      <c r="E117">
        <v>1</v>
      </c>
      <c r="F117">
        <v>1</v>
      </c>
      <c r="G117">
        <v>1</v>
      </c>
      <c r="H117">
        <v>1</v>
      </c>
      <c r="I117">
        <v>1</v>
      </c>
      <c r="J117">
        <v>1</v>
      </c>
      <c r="K117">
        <v>1</v>
      </c>
      <c r="L117">
        <v>1</v>
      </c>
      <c r="M117">
        <v>1</v>
      </c>
      <c r="N117">
        <v>1</v>
      </c>
      <c r="P117">
        <v>1.5535726547241211</v>
      </c>
    </row>
    <row r="118" spans="1:16" x14ac:dyDescent="0.25">
      <c r="A118" t="s">
        <v>107</v>
      </c>
      <c r="B118" t="s">
        <v>21</v>
      </c>
      <c r="C118">
        <v>0</v>
      </c>
      <c r="D118">
        <v>1</v>
      </c>
      <c r="E118">
        <v>1</v>
      </c>
      <c r="F118">
        <v>1</v>
      </c>
      <c r="G118">
        <v>1</v>
      </c>
      <c r="H118">
        <v>1</v>
      </c>
      <c r="I118">
        <v>1</v>
      </c>
      <c r="J118">
        <v>1</v>
      </c>
      <c r="K118">
        <v>1</v>
      </c>
      <c r="L118">
        <v>1</v>
      </c>
      <c r="M118">
        <v>1</v>
      </c>
      <c r="N118">
        <v>1</v>
      </c>
      <c r="P118">
        <v>1.9428179264068599</v>
      </c>
    </row>
    <row r="119" spans="1:16" x14ac:dyDescent="0.25">
      <c r="A119" t="s">
        <v>107</v>
      </c>
      <c r="B119" t="s">
        <v>22</v>
      </c>
      <c r="C119">
        <v>0</v>
      </c>
      <c r="D119">
        <v>1</v>
      </c>
      <c r="E119">
        <v>0</v>
      </c>
      <c r="F119">
        <v>1</v>
      </c>
      <c r="G119">
        <v>1</v>
      </c>
      <c r="H119" t="s">
        <v>28</v>
      </c>
      <c r="I119">
        <v>1</v>
      </c>
      <c r="J119" t="s">
        <v>28</v>
      </c>
      <c r="K119">
        <v>1</v>
      </c>
      <c r="L119">
        <v>1</v>
      </c>
      <c r="M119">
        <v>1</v>
      </c>
      <c r="N119">
        <v>1</v>
      </c>
      <c r="O119" t="s">
        <v>198</v>
      </c>
      <c r="P119">
        <v>3.171015739440918</v>
      </c>
    </row>
    <row r="120" spans="1:16" x14ac:dyDescent="0.25">
      <c r="A120" t="s">
        <v>107</v>
      </c>
      <c r="B120" t="s">
        <v>23</v>
      </c>
      <c r="C120">
        <v>0</v>
      </c>
      <c r="D120">
        <v>1</v>
      </c>
      <c r="E120">
        <v>1</v>
      </c>
      <c r="F120">
        <v>1</v>
      </c>
      <c r="G120">
        <v>1</v>
      </c>
      <c r="H120">
        <v>1</v>
      </c>
      <c r="I120">
        <v>1</v>
      </c>
      <c r="J120">
        <v>1</v>
      </c>
      <c r="K120">
        <v>1</v>
      </c>
      <c r="L120">
        <v>1</v>
      </c>
      <c r="M120">
        <v>1</v>
      </c>
      <c r="N120">
        <v>1</v>
      </c>
      <c r="P120">
        <v>2.0964150428771968</v>
      </c>
    </row>
    <row r="121" spans="1:16" x14ac:dyDescent="0.25">
      <c r="A121" t="s">
        <v>107</v>
      </c>
      <c r="B121" t="s">
        <v>24</v>
      </c>
      <c r="C121">
        <v>0</v>
      </c>
      <c r="D121">
        <v>1</v>
      </c>
      <c r="E121">
        <v>1</v>
      </c>
      <c r="F121">
        <v>1</v>
      </c>
      <c r="G121">
        <v>1</v>
      </c>
      <c r="H121">
        <v>1</v>
      </c>
      <c r="I121">
        <v>1</v>
      </c>
      <c r="J121">
        <v>1</v>
      </c>
      <c r="K121">
        <v>1</v>
      </c>
      <c r="L121">
        <v>1</v>
      </c>
      <c r="M121">
        <v>1</v>
      </c>
      <c r="N121">
        <v>1</v>
      </c>
      <c r="P121">
        <v>1.9108307361602781</v>
      </c>
    </row>
    <row r="122" spans="1:16" x14ac:dyDescent="0.25">
      <c r="A122" t="s">
        <v>107</v>
      </c>
      <c r="B122" t="s">
        <v>25</v>
      </c>
      <c r="C122">
        <v>0</v>
      </c>
      <c r="D122">
        <v>1</v>
      </c>
      <c r="E122">
        <v>1</v>
      </c>
      <c r="F122">
        <v>1</v>
      </c>
      <c r="G122">
        <v>1</v>
      </c>
      <c r="H122">
        <v>1</v>
      </c>
      <c r="I122">
        <v>1</v>
      </c>
      <c r="J122">
        <v>1</v>
      </c>
      <c r="K122">
        <v>1</v>
      </c>
      <c r="L122">
        <v>1</v>
      </c>
      <c r="M122">
        <v>1</v>
      </c>
      <c r="N122">
        <v>1</v>
      </c>
      <c r="P122">
        <v>3.2172410488128662</v>
      </c>
    </row>
    <row r="123" spans="1:16" x14ac:dyDescent="0.25">
      <c r="A123" t="s">
        <v>107</v>
      </c>
      <c r="B123" t="s">
        <v>26</v>
      </c>
      <c r="C123">
        <v>0</v>
      </c>
      <c r="D123">
        <v>1</v>
      </c>
      <c r="E123">
        <v>0</v>
      </c>
      <c r="F123">
        <v>1</v>
      </c>
      <c r="G123">
        <v>1</v>
      </c>
      <c r="H123" t="s">
        <v>28</v>
      </c>
      <c r="I123">
        <v>1</v>
      </c>
      <c r="J123" t="s">
        <v>28</v>
      </c>
      <c r="K123">
        <v>1</v>
      </c>
      <c r="L123">
        <v>1</v>
      </c>
      <c r="M123">
        <v>1</v>
      </c>
      <c r="N123">
        <v>1</v>
      </c>
      <c r="O123" t="s">
        <v>199</v>
      </c>
      <c r="P123">
        <v>2.4106817245483398</v>
      </c>
    </row>
    <row r="124" spans="1:16" x14ac:dyDescent="0.25">
      <c r="A124" t="s">
        <v>107</v>
      </c>
      <c r="B124" t="s">
        <v>27</v>
      </c>
      <c r="C124">
        <v>0</v>
      </c>
      <c r="D124">
        <v>1</v>
      </c>
      <c r="E124">
        <v>0</v>
      </c>
      <c r="F124">
        <v>1</v>
      </c>
      <c r="G124">
        <v>1</v>
      </c>
      <c r="H124" t="s">
        <v>28</v>
      </c>
      <c r="I124">
        <v>1</v>
      </c>
      <c r="J124" t="s">
        <v>28</v>
      </c>
      <c r="K124">
        <v>1</v>
      </c>
      <c r="L124">
        <v>1</v>
      </c>
      <c r="M124">
        <v>1</v>
      </c>
      <c r="N124">
        <v>1</v>
      </c>
      <c r="O124" t="s">
        <v>200</v>
      </c>
      <c r="P124">
        <v>5.351313591003418</v>
      </c>
    </row>
    <row r="125" spans="1:16" x14ac:dyDescent="0.25">
      <c r="A125" t="s">
        <v>107</v>
      </c>
      <c r="B125" t="s">
        <v>30</v>
      </c>
      <c r="C125">
        <v>0</v>
      </c>
      <c r="D125">
        <v>1</v>
      </c>
      <c r="E125">
        <v>0</v>
      </c>
      <c r="F125">
        <v>1</v>
      </c>
      <c r="G125">
        <v>1</v>
      </c>
      <c r="H125" t="s">
        <v>28</v>
      </c>
      <c r="I125">
        <v>1</v>
      </c>
      <c r="J125" t="s">
        <v>28</v>
      </c>
      <c r="K125">
        <v>1</v>
      </c>
      <c r="L125">
        <v>1</v>
      </c>
      <c r="M125">
        <v>1</v>
      </c>
      <c r="N125">
        <v>1</v>
      </c>
      <c r="O125" t="s">
        <v>201</v>
      </c>
      <c r="P125">
        <v>2.9627902507781978</v>
      </c>
    </row>
    <row r="126" spans="1:16" x14ac:dyDescent="0.25">
      <c r="A126" t="s">
        <v>107</v>
      </c>
      <c r="B126" t="s">
        <v>31</v>
      </c>
      <c r="C126">
        <v>0</v>
      </c>
      <c r="D126">
        <v>1</v>
      </c>
      <c r="E126">
        <v>1</v>
      </c>
      <c r="F126">
        <v>1</v>
      </c>
      <c r="G126">
        <v>1</v>
      </c>
      <c r="H126">
        <v>1</v>
      </c>
      <c r="I126">
        <v>1</v>
      </c>
      <c r="J126">
        <v>1</v>
      </c>
      <c r="K126">
        <v>1</v>
      </c>
      <c r="L126">
        <v>1</v>
      </c>
      <c r="M126">
        <v>1</v>
      </c>
      <c r="N126">
        <v>1</v>
      </c>
      <c r="P126">
        <v>2.2101366519927979</v>
      </c>
    </row>
    <row r="127" spans="1:16" x14ac:dyDescent="0.25">
      <c r="A127" t="s">
        <v>107</v>
      </c>
      <c r="B127" t="s">
        <v>33</v>
      </c>
      <c r="C127">
        <v>0</v>
      </c>
      <c r="D127">
        <v>1</v>
      </c>
      <c r="E127">
        <v>1</v>
      </c>
      <c r="F127">
        <v>1</v>
      </c>
      <c r="G127">
        <v>1</v>
      </c>
      <c r="H127">
        <v>1</v>
      </c>
      <c r="I127">
        <v>1</v>
      </c>
      <c r="J127">
        <v>1</v>
      </c>
      <c r="K127">
        <v>1</v>
      </c>
      <c r="L127">
        <v>1</v>
      </c>
      <c r="M127">
        <v>1</v>
      </c>
      <c r="N127">
        <v>1</v>
      </c>
      <c r="P127">
        <v>1.7790966033935549</v>
      </c>
    </row>
    <row r="128" spans="1:16" x14ac:dyDescent="0.25">
      <c r="A128" t="s">
        <v>107</v>
      </c>
      <c r="B128" t="s">
        <v>34</v>
      </c>
      <c r="C128">
        <v>0</v>
      </c>
      <c r="D128">
        <v>1</v>
      </c>
      <c r="E128">
        <v>1</v>
      </c>
      <c r="F128">
        <v>1</v>
      </c>
      <c r="G128">
        <v>1</v>
      </c>
      <c r="H128">
        <v>1</v>
      </c>
      <c r="I128">
        <v>1</v>
      </c>
      <c r="J128">
        <v>1</v>
      </c>
      <c r="K128">
        <v>1</v>
      </c>
      <c r="L128">
        <v>1</v>
      </c>
      <c r="M128">
        <v>1</v>
      </c>
      <c r="N128">
        <v>1</v>
      </c>
      <c r="P128">
        <v>1.527770519256592</v>
      </c>
    </row>
    <row r="129" spans="1:16" x14ac:dyDescent="0.25">
      <c r="A129" t="s">
        <v>107</v>
      </c>
      <c r="B129" t="s">
        <v>36</v>
      </c>
      <c r="C129">
        <v>0</v>
      </c>
      <c r="D129">
        <v>1</v>
      </c>
      <c r="E129">
        <v>1</v>
      </c>
      <c r="F129">
        <v>1</v>
      </c>
      <c r="G129">
        <v>1</v>
      </c>
      <c r="H129">
        <v>1</v>
      </c>
      <c r="I129">
        <v>1</v>
      </c>
      <c r="J129">
        <v>1</v>
      </c>
      <c r="K129">
        <v>1</v>
      </c>
      <c r="L129">
        <v>1</v>
      </c>
      <c r="M129">
        <v>1</v>
      </c>
      <c r="N129">
        <v>1</v>
      </c>
      <c r="P129">
        <v>1.7927403450012209</v>
      </c>
    </row>
    <row r="130" spans="1:16" x14ac:dyDescent="0.25">
      <c r="A130" t="s">
        <v>107</v>
      </c>
      <c r="B130" t="s">
        <v>37</v>
      </c>
      <c r="C130">
        <v>0</v>
      </c>
      <c r="D130">
        <v>1</v>
      </c>
      <c r="E130">
        <v>1</v>
      </c>
      <c r="F130">
        <v>1</v>
      </c>
      <c r="G130">
        <v>1</v>
      </c>
      <c r="H130">
        <v>1</v>
      </c>
      <c r="I130">
        <v>1</v>
      </c>
      <c r="J130">
        <v>1</v>
      </c>
      <c r="K130">
        <v>1</v>
      </c>
      <c r="L130">
        <v>1</v>
      </c>
      <c r="M130">
        <v>1</v>
      </c>
      <c r="N130">
        <v>1</v>
      </c>
      <c r="P130">
        <v>1.778814315795898</v>
      </c>
    </row>
    <row r="131" spans="1:16" x14ac:dyDescent="0.25">
      <c r="A131" t="s">
        <v>107</v>
      </c>
      <c r="B131" t="s">
        <v>38</v>
      </c>
      <c r="C131">
        <v>0</v>
      </c>
      <c r="D131">
        <v>1</v>
      </c>
      <c r="E131">
        <v>1</v>
      </c>
      <c r="F131">
        <v>1</v>
      </c>
      <c r="G131">
        <v>1</v>
      </c>
      <c r="H131">
        <v>1</v>
      </c>
      <c r="I131">
        <v>1</v>
      </c>
      <c r="J131">
        <v>1</v>
      </c>
      <c r="K131">
        <v>1</v>
      </c>
      <c r="L131">
        <v>1</v>
      </c>
      <c r="M131">
        <v>1</v>
      </c>
      <c r="N131">
        <v>1</v>
      </c>
      <c r="P131">
        <v>2.6972804069519039</v>
      </c>
    </row>
    <row r="132" spans="1:16" x14ac:dyDescent="0.25">
      <c r="A132" t="s">
        <v>107</v>
      </c>
      <c r="B132" t="s">
        <v>39</v>
      </c>
      <c r="C132">
        <v>0</v>
      </c>
      <c r="D132">
        <v>1</v>
      </c>
      <c r="E132">
        <v>1</v>
      </c>
      <c r="F132">
        <v>1</v>
      </c>
      <c r="G132">
        <v>1</v>
      </c>
      <c r="H132">
        <v>1</v>
      </c>
      <c r="I132">
        <v>1</v>
      </c>
      <c r="J132">
        <v>1</v>
      </c>
      <c r="K132">
        <v>1</v>
      </c>
      <c r="L132">
        <v>1</v>
      </c>
      <c r="M132">
        <v>1</v>
      </c>
      <c r="N132">
        <v>1</v>
      </c>
      <c r="P132">
        <v>2.4960019588470459</v>
      </c>
    </row>
    <row r="133" spans="1:16" x14ac:dyDescent="0.25">
      <c r="A133" t="s">
        <v>107</v>
      </c>
      <c r="B133" t="s">
        <v>40</v>
      </c>
      <c r="C133">
        <v>0</v>
      </c>
      <c r="D133">
        <v>1</v>
      </c>
      <c r="E133">
        <v>1</v>
      </c>
      <c r="F133">
        <v>1</v>
      </c>
      <c r="G133">
        <v>1</v>
      </c>
      <c r="H133">
        <v>1</v>
      </c>
      <c r="I133">
        <v>1</v>
      </c>
      <c r="J133">
        <v>1</v>
      </c>
      <c r="K133">
        <v>1</v>
      </c>
      <c r="L133">
        <v>1</v>
      </c>
      <c r="M133">
        <v>1</v>
      </c>
      <c r="N133">
        <v>1</v>
      </c>
      <c r="P133">
        <v>4.2479507923126221</v>
      </c>
    </row>
    <row r="134" spans="1:16" x14ac:dyDescent="0.25">
      <c r="A134" t="s">
        <v>107</v>
      </c>
      <c r="B134" t="s">
        <v>41</v>
      </c>
      <c r="C134">
        <v>0</v>
      </c>
      <c r="D134">
        <v>1</v>
      </c>
      <c r="E134">
        <v>1</v>
      </c>
      <c r="F134">
        <v>1</v>
      </c>
      <c r="G134">
        <v>1</v>
      </c>
      <c r="H134">
        <v>1</v>
      </c>
      <c r="I134">
        <v>0</v>
      </c>
      <c r="J134">
        <v>1</v>
      </c>
      <c r="K134">
        <v>1</v>
      </c>
      <c r="L134">
        <v>1</v>
      </c>
      <c r="M134">
        <v>1</v>
      </c>
      <c r="N134">
        <v>1</v>
      </c>
      <c r="O134" t="s">
        <v>202</v>
      </c>
      <c r="P134">
        <v>3.0545797348022461</v>
      </c>
    </row>
    <row r="135" spans="1:16" x14ac:dyDescent="0.25">
      <c r="A135" t="s">
        <v>107</v>
      </c>
      <c r="B135" t="s">
        <v>42</v>
      </c>
      <c r="C135">
        <v>0</v>
      </c>
      <c r="D135">
        <v>1</v>
      </c>
      <c r="E135">
        <v>1</v>
      </c>
      <c r="F135">
        <v>1</v>
      </c>
      <c r="G135">
        <v>1</v>
      </c>
      <c r="H135">
        <v>1</v>
      </c>
      <c r="I135">
        <v>1</v>
      </c>
      <c r="J135">
        <v>1</v>
      </c>
      <c r="K135">
        <v>1</v>
      </c>
      <c r="L135">
        <v>1</v>
      </c>
      <c r="M135">
        <v>1</v>
      </c>
      <c r="N135">
        <v>1</v>
      </c>
      <c r="P135">
        <v>1.804205179214478</v>
      </c>
    </row>
    <row r="136" spans="1:16" x14ac:dyDescent="0.25">
      <c r="A136" t="s">
        <v>107</v>
      </c>
      <c r="B136" t="s">
        <v>44</v>
      </c>
      <c r="C136">
        <v>0</v>
      </c>
      <c r="D136">
        <v>1</v>
      </c>
      <c r="E136">
        <v>1</v>
      </c>
      <c r="F136">
        <v>1</v>
      </c>
      <c r="G136">
        <v>1</v>
      </c>
      <c r="H136">
        <v>1</v>
      </c>
      <c r="I136">
        <v>1</v>
      </c>
      <c r="J136">
        <v>1</v>
      </c>
      <c r="K136">
        <v>1</v>
      </c>
      <c r="L136">
        <v>1</v>
      </c>
      <c r="M136">
        <v>1</v>
      </c>
      <c r="N136">
        <v>1</v>
      </c>
      <c r="P136">
        <v>7.4017255306243896</v>
      </c>
    </row>
    <row r="137" spans="1:16" x14ac:dyDescent="0.25">
      <c r="A137" t="s">
        <v>107</v>
      </c>
      <c r="B137" t="s">
        <v>45</v>
      </c>
      <c r="C137">
        <v>0</v>
      </c>
      <c r="D137">
        <v>1</v>
      </c>
      <c r="E137">
        <v>1</v>
      </c>
      <c r="F137">
        <v>1</v>
      </c>
      <c r="G137">
        <v>1</v>
      </c>
      <c r="H137">
        <v>1</v>
      </c>
      <c r="I137">
        <v>0</v>
      </c>
      <c r="J137">
        <v>1</v>
      </c>
      <c r="K137">
        <v>1</v>
      </c>
      <c r="L137">
        <v>1</v>
      </c>
      <c r="M137">
        <v>1</v>
      </c>
      <c r="N137">
        <v>1</v>
      </c>
      <c r="O137" t="s">
        <v>203</v>
      </c>
      <c r="P137">
        <v>4.5729949474334717</v>
      </c>
    </row>
    <row r="138" spans="1:16" x14ac:dyDescent="0.25">
      <c r="A138" t="s">
        <v>107</v>
      </c>
      <c r="B138" t="s">
        <v>46</v>
      </c>
      <c r="C138">
        <v>0</v>
      </c>
      <c r="D138">
        <v>1</v>
      </c>
      <c r="E138">
        <v>0</v>
      </c>
      <c r="F138">
        <v>1</v>
      </c>
      <c r="G138">
        <v>1</v>
      </c>
      <c r="H138" t="s">
        <v>28</v>
      </c>
      <c r="I138">
        <v>1</v>
      </c>
      <c r="J138" t="s">
        <v>28</v>
      </c>
      <c r="K138">
        <v>1</v>
      </c>
      <c r="L138">
        <v>1</v>
      </c>
      <c r="M138">
        <v>1</v>
      </c>
      <c r="N138">
        <v>1</v>
      </c>
      <c r="O138" t="s">
        <v>204</v>
      </c>
      <c r="P138">
        <v>2.9827160835266109</v>
      </c>
    </row>
    <row r="139" spans="1:16" x14ac:dyDescent="0.25">
      <c r="A139" t="s">
        <v>107</v>
      </c>
      <c r="B139" t="s">
        <v>47</v>
      </c>
      <c r="C139">
        <v>0</v>
      </c>
      <c r="D139">
        <v>1</v>
      </c>
      <c r="E139">
        <v>1</v>
      </c>
      <c r="F139">
        <v>1</v>
      </c>
      <c r="G139">
        <v>1</v>
      </c>
      <c r="H139">
        <v>1</v>
      </c>
      <c r="I139">
        <v>0</v>
      </c>
      <c r="J139">
        <v>1</v>
      </c>
      <c r="K139">
        <v>1</v>
      </c>
      <c r="L139">
        <v>1</v>
      </c>
      <c r="M139">
        <v>1</v>
      </c>
      <c r="N139">
        <v>1</v>
      </c>
      <c r="O139" t="s">
        <v>205</v>
      </c>
      <c r="P139">
        <v>2.4952671527862549</v>
      </c>
    </row>
    <row r="140" spans="1:16" x14ac:dyDescent="0.25">
      <c r="A140" t="s">
        <v>107</v>
      </c>
      <c r="B140" t="s">
        <v>49</v>
      </c>
      <c r="C140">
        <v>0</v>
      </c>
      <c r="D140">
        <v>1</v>
      </c>
      <c r="E140">
        <v>0</v>
      </c>
      <c r="F140">
        <v>1</v>
      </c>
      <c r="G140">
        <v>1</v>
      </c>
      <c r="H140" t="s">
        <v>28</v>
      </c>
      <c r="I140">
        <v>1</v>
      </c>
      <c r="J140" t="s">
        <v>28</v>
      </c>
      <c r="K140">
        <v>1</v>
      </c>
      <c r="L140">
        <v>1</v>
      </c>
      <c r="M140">
        <v>1</v>
      </c>
      <c r="N140">
        <v>1</v>
      </c>
      <c r="O140" t="s">
        <v>206</v>
      </c>
      <c r="P140">
        <v>2.3935484886169429</v>
      </c>
    </row>
    <row r="141" spans="1:16" x14ac:dyDescent="0.25">
      <c r="A141" t="s">
        <v>107</v>
      </c>
      <c r="B141" t="s">
        <v>51</v>
      </c>
      <c r="C141">
        <v>0</v>
      </c>
      <c r="D141">
        <v>1</v>
      </c>
      <c r="E141">
        <v>1</v>
      </c>
      <c r="F141">
        <v>1</v>
      </c>
      <c r="G141">
        <v>1</v>
      </c>
      <c r="H141">
        <v>1</v>
      </c>
      <c r="I141">
        <v>1</v>
      </c>
      <c r="J141">
        <v>1</v>
      </c>
      <c r="K141">
        <v>1</v>
      </c>
      <c r="L141">
        <v>1</v>
      </c>
      <c r="M141">
        <v>1</v>
      </c>
      <c r="N141">
        <v>1</v>
      </c>
      <c r="P141">
        <v>2.070264577865601</v>
      </c>
    </row>
    <row r="142" spans="1:16" x14ac:dyDescent="0.25">
      <c r="A142" t="s">
        <v>107</v>
      </c>
      <c r="B142" t="s">
        <v>53</v>
      </c>
      <c r="C142">
        <v>0</v>
      </c>
      <c r="D142">
        <v>1</v>
      </c>
      <c r="E142">
        <v>1</v>
      </c>
      <c r="F142">
        <v>1</v>
      </c>
      <c r="G142">
        <v>1</v>
      </c>
      <c r="H142">
        <v>1</v>
      </c>
      <c r="I142">
        <v>1</v>
      </c>
      <c r="J142">
        <v>1</v>
      </c>
      <c r="K142">
        <v>1</v>
      </c>
      <c r="L142">
        <v>1</v>
      </c>
      <c r="M142">
        <v>1</v>
      </c>
      <c r="N142">
        <v>1</v>
      </c>
      <c r="P142">
        <v>1.9324159622192381</v>
      </c>
    </row>
    <row r="143" spans="1:16" x14ac:dyDescent="0.25">
      <c r="A143" t="s">
        <v>107</v>
      </c>
      <c r="B143" t="s">
        <v>54</v>
      </c>
      <c r="C143">
        <v>0</v>
      </c>
      <c r="D143">
        <v>1</v>
      </c>
      <c r="E143">
        <v>1</v>
      </c>
      <c r="F143">
        <v>0</v>
      </c>
      <c r="G143">
        <v>1</v>
      </c>
      <c r="H143">
        <v>1</v>
      </c>
      <c r="I143">
        <v>1</v>
      </c>
      <c r="J143" t="s">
        <v>28</v>
      </c>
      <c r="K143">
        <v>1</v>
      </c>
      <c r="L143">
        <v>1</v>
      </c>
      <c r="M143">
        <v>1</v>
      </c>
      <c r="N143">
        <v>1</v>
      </c>
      <c r="O143" t="s">
        <v>207</v>
      </c>
      <c r="P143">
        <v>2.069627046585083</v>
      </c>
    </row>
    <row r="144" spans="1:16" x14ac:dyDescent="0.25">
      <c r="A144" t="s">
        <v>107</v>
      </c>
      <c r="B144" t="s">
        <v>56</v>
      </c>
      <c r="C144">
        <v>0</v>
      </c>
      <c r="D144">
        <v>1</v>
      </c>
      <c r="E144">
        <v>1</v>
      </c>
      <c r="F144">
        <v>1</v>
      </c>
      <c r="G144">
        <v>1</v>
      </c>
      <c r="H144">
        <v>1</v>
      </c>
      <c r="I144">
        <v>1</v>
      </c>
      <c r="J144">
        <v>1</v>
      </c>
      <c r="K144">
        <v>1</v>
      </c>
      <c r="L144">
        <v>1</v>
      </c>
      <c r="M144">
        <v>1</v>
      </c>
      <c r="N144">
        <v>1</v>
      </c>
      <c r="P144">
        <v>1.9930398464202881</v>
      </c>
    </row>
    <row r="145" spans="1:16" x14ac:dyDescent="0.25">
      <c r="A145" t="s">
        <v>107</v>
      </c>
      <c r="B145" t="s">
        <v>58</v>
      </c>
      <c r="C145">
        <v>0</v>
      </c>
      <c r="D145">
        <v>1</v>
      </c>
      <c r="E145">
        <v>1</v>
      </c>
      <c r="F145">
        <v>1</v>
      </c>
      <c r="G145">
        <v>1</v>
      </c>
      <c r="H145">
        <v>1</v>
      </c>
      <c r="I145">
        <v>1</v>
      </c>
      <c r="J145">
        <v>1</v>
      </c>
      <c r="K145">
        <v>1</v>
      </c>
      <c r="L145">
        <v>1</v>
      </c>
      <c r="M145">
        <v>1</v>
      </c>
      <c r="N145">
        <v>1</v>
      </c>
      <c r="P145">
        <v>1.5997927188873291</v>
      </c>
    </row>
    <row r="146" spans="1:16" x14ac:dyDescent="0.25">
      <c r="A146" t="s">
        <v>107</v>
      </c>
      <c r="B146" t="s">
        <v>60</v>
      </c>
      <c r="C146">
        <v>0</v>
      </c>
      <c r="D146">
        <v>1</v>
      </c>
      <c r="E146">
        <v>1</v>
      </c>
      <c r="F146">
        <v>1</v>
      </c>
      <c r="G146">
        <v>1</v>
      </c>
      <c r="H146">
        <v>1</v>
      </c>
      <c r="I146">
        <v>1</v>
      </c>
      <c r="J146">
        <v>1</v>
      </c>
      <c r="K146">
        <v>1</v>
      </c>
      <c r="L146">
        <v>1</v>
      </c>
      <c r="M146">
        <v>1</v>
      </c>
      <c r="N146">
        <v>1</v>
      </c>
      <c r="P146">
        <v>1.869317293167114</v>
      </c>
    </row>
    <row r="147" spans="1:16" x14ac:dyDescent="0.25">
      <c r="A147" t="s">
        <v>107</v>
      </c>
      <c r="B147" t="s">
        <v>62</v>
      </c>
      <c r="C147">
        <v>0</v>
      </c>
      <c r="D147">
        <v>1</v>
      </c>
      <c r="E147">
        <v>1</v>
      </c>
      <c r="F147">
        <v>1</v>
      </c>
      <c r="G147">
        <v>1</v>
      </c>
      <c r="H147">
        <v>1</v>
      </c>
      <c r="I147">
        <v>0</v>
      </c>
      <c r="J147">
        <v>1</v>
      </c>
      <c r="K147">
        <v>1</v>
      </c>
      <c r="L147">
        <v>1</v>
      </c>
      <c r="M147">
        <v>1</v>
      </c>
      <c r="N147">
        <v>1</v>
      </c>
      <c r="O147" t="s">
        <v>208</v>
      </c>
      <c r="P147">
        <v>3.3623032569885249</v>
      </c>
    </row>
    <row r="148" spans="1:16" x14ac:dyDescent="0.25">
      <c r="A148" t="s">
        <v>107</v>
      </c>
      <c r="B148" t="s">
        <v>63</v>
      </c>
      <c r="C148">
        <v>0</v>
      </c>
      <c r="D148">
        <v>1</v>
      </c>
      <c r="E148">
        <v>1</v>
      </c>
      <c r="F148">
        <v>1</v>
      </c>
      <c r="G148">
        <v>1</v>
      </c>
      <c r="H148">
        <v>1</v>
      </c>
      <c r="I148">
        <v>1</v>
      </c>
      <c r="J148">
        <v>1</v>
      </c>
      <c r="K148">
        <v>1</v>
      </c>
      <c r="L148">
        <v>1</v>
      </c>
      <c r="M148">
        <v>1</v>
      </c>
      <c r="N148">
        <v>1</v>
      </c>
      <c r="P148">
        <v>1.3986656665802</v>
      </c>
    </row>
    <row r="149" spans="1:16" x14ac:dyDescent="0.25">
      <c r="A149" t="s">
        <v>107</v>
      </c>
      <c r="B149" t="s">
        <v>64</v>
      </c>
      <c r="C149">
        <v>0</v>
      </c>
      <c r="D149">
        <v>1</v>
      </c>
      <c r="E149">
        <v>1</v>
      </c>
      <c r="F149">
        <v>1</v>
      </c>
      <c r="G149">
        <v>1</v>
      </c>
      <c r="H149">
        <v>1</v>
      </c>
      <c r="I149">
        <v>1</v>
      </c>
      <c r="J149">
        <v>1</v>
      </c>
      <c r="K149">
        <v>1</v>
      </c>
      <c r="L149">
        <v>1</v>
      </c>
      <c r="M149">
        <v>1</v>
      </c>
      <c r="N149">
        <v>1</v>
      </c>
      <c r="P149">
        <v>4.8435721397399902</v>
      </c>
    </row>
    <row r="150" spans="1:16" x14ac:dyDescent="0.25">
      <c r="A150" t="s">
        <v>107</v>
      </c>
      <c r="B150" t="s">
        <v>65</v>
      </c>
      <c r="C150">
        <v>0</v>
      </c>
      <c r="D150">
        <v>1</v>
      </c>
      <c r="E150">
        <v>1</v>
      </c>
      <c r="F150">
        <v>1</v>
      </c>
      <c r="G150">
        <v>1</v>
      </c>
      <c r="H150">
        <v>1</v>
      </c>
      <c r="I150">
        <v>1</v>
      </c>
      <c r="J150">
        <v>1</v>
      </c>
      <c r="K150">
        <v>1</v>
      </c>
      <c r="L150">
        <v>1</v>
      </c>
      <c r="M150">
        <v>1</v>
      </c>
      <c r="N150">
        <v>1</v>
      </c>
      <c r="P150">
        <v>1.632939338684082</v>
      </c>
    </row>
    <row r="151" spans="1:16" x14ac:dyDescent="0.25">
      <c r="A151" t="s">
        <v>107</v>
      </c>
      <c r="B151" t="s">
        <v>66</v>
      </c>
      <c r="C151">
        <v>0</v>
      </c>
      <c r="D151">
        <v>1</v>
      </c>
      <c r="E151">
        <v>1</v>
      </c>
      <c r="F151">
        <v>1</v>
      </c>
      <c r="G151">
        <v>1</v>
      </c>
      <c r="H151">
        <v>1</v>
      </c>
      <c r="I151">
        <v>1</v>
      </c>
      <c r="J151">
        <v>1</v>
      </c>
      <c r="K151">
        <v>1</v>
      </c>
      <c r="L151">
        <v>1</v>
      </c>
      <c r="M151">
        <v>1</v>
      </c>
      <c r="N151">
        <v>1</v>
      </c>
      <c r="P151">
        <v>2.0593051910400391</v>
      </c>
    </row>
    <row r="152" spans="1:16" x14ac:dyDescent="0.25">
      <c r="A152" t="s">
        <v>107</v>
      </c>
      <c r="B152" t="s">
        <v>67</v>
      </c>
      <c r="C152">
        <v>0</v>
      </c>
      <c r="D152">
        <v>1</v>
      </c>
      <c r="E152">
        <v>1</v>
      </c>
      <c r="F152">
        <v>1</v>
      </c>
      <c r="G152">
        <v>1</v>
      </c>
      <c r="H152">
        <v>1</v>
      </c>
      <c r="I152">
        <v>1</v>
      </c>
      <c r="J152">
        <v>1</v>
      </c>
      <c r="K152">
        <v>1</v>
      </c>
      <c r="L152">
        <v>1</v>
      </c>
      <c r="M152">
        <v>1</v>
      </c>
      <c r="N152">
        <v>1</v>
      </c>
      <c r="P152">
        <v>8.4618985652923584</v>
      </c>
    </row>
    <row r="153" spans="1:16" x14ac:dyDescent="0.25">
      <c r="A153" t="s">
        <v>107</v>
      </c>
      <c r="B153" t="s">
        <v>69</v>
      </c>
      <c r="C153">
        <v>0</v>
      </c>
      <c r="D153">
        <v>1</v>
      </c>
      <c r="E153">
        <v>1</v>
      </c>
      <c r="F153">
        <v>1</v>
      </c>
      <c r="G153">
        <v>1</v>
      </c>
      <c r="H153">
        <v>1</v>
      </c>
      <c r="I153">
        <v>1</v>
      </c>
      <c r="J153">
        <v>1</v>
      </c>
      <c r="K153">
        <v>1</v>
      </c>
      <c r="L153">
        <v>1</v>
      </c>
      <c r="M153">
        <v>1</v>
      </c>
      <c r="N153">
        <v>1</v>
      </c>
      <c r="P153">
        <v>1.6591823101043699</v>
      </c>
    </row>
    <row r="154" spans="1:16" x14ac:dyDescent="0.25">
      <c r="A154" t="s">
        <v>107</v>
      </c>
      <c r="B154" t="s">
        <v>70</v>
      </c>
      <c r="C154">
        <v>0</v>
      </c>
      <c r="D154">
        <v>1</v>
      </c>
      <c r="E154">
        <v>1</v>
      </c>
      <c r="F154">
        <v>1</v>
      </c>
      <c r="G154">
        <v>1</v>
      </c>
      <c r="H154">
        <v>1</v>
      </c>
      <c r="I154">
        <v>1</v>
      </c>
      <c r="J154">
        <v>1</v>
      </c>
      <c r="K154">
        <v>1</v>
      </c>
      <c r="L154">
        <v>1</v>
      </c>
      <c r="M154">
        <v>1</v>
      </c>
      <c r="N154">
        <v>1</v>
      </c>
      <c r="P154">
        <v>5.1983153820037842</v>
      </c>
    </row>
    <row r="155" spans="1:16" x14ac:dyDescent="0.25">
      <c r="A155" t="s">
        <v>107</v>
      </c>
      <c r="B155" t="s">
        <v>71</v>
      </c>
      <c r="C155">
        <v>0</v>
      </c>
      <c r="D155">
        <v>1</v>
      </c>
      <c r="E155">
        <v>1</v>
      </c>
      <c r="F155">
        <v>1</v>
      </c>
      <c r="G155">
        <v>1</v>
      </c>
      <c r="H155">
        <v>1</v>
      </c>
      <c r="I155">
        <v>1</v>
      </c>
      <c r="J155">
        <v>1</v>
      </c>
      <c r="K155">
        <v>1</v>
      </c>
      <c r="L155">
        <v>1</v>
      </c>
      <c r="M155">
        <v>1</v>
      </c>
      <c r="N155">
        <v>1</v>
      </c>
      <c r="P155">
        <v>3.6034798622131352</v>
      </c>
    </row>
    <row r="156" spans="1:16" x14ac:dyDescent="0.25">
      <c r="A156" t="s">
        <v>107</v>
      </c>
      <c r="B156" t="s">
        <v>72</v>
      </c>
      <c r="C156">
        <v>0</v>
      </c>
      <c r="D156">
        <v>1</v>
      </c>
      <c r="E156">
        <v>1</v>
      </c>
      <c r="F156">
        <v>0</v>
      </c>
      <c r="G156">
        <v>1</v>
      </c>
      <c r="H156">
        <v>1</v>
      </c>
      <c r="I156">
        <v>1</v>
      </c>
      <c r="J156" t="s">
        <v>28</v>
      </c>
      <c r="K156">
        <v>1</v>
      </c>
      <c r="L156">
        <v>1</v>
      </c>
      <c r="M156">
        <v>1</v>
      </c>
      <c r="N156">
        <v>1</v>
      </c>
      <c r="O156" t="s">
        <v>209</v>
      </c>
      <c r="P156">
        <v>2.8392682075500488</v>
      </c>
    </row>
    <row r="157" spans="1:16" x14ac:dyDescent="0.25">
      <c r="A157" t="s">
        <v>107</v>
      </c>
      <c r="B157" t="s">
        <v>74</v>
      </c>
      <c r="C157">
        <v>0</v>
      </c>
      <c r="D157">
        <v>1</v>
      </c>
      <c r="E157">
        <v>1</v>
      </c>
      <c r="F157">
        <v>1</v>
      </c>
      <c r="G157">
        <v>1</v>
      </c>
      <c r="H157">
        <v>1</v>
      </c>
      <c r="I157">
        <v>0</v>
      </c>
      <c r="J157">
        <v>1</v>
      </c>
      <c r="K157">
        <v>1</v>
      </c>
      <c r="L157">
        <v>1</v>
      </c>
      <c r="M157">
        <v>1</v>
      </c>
      <c r="N157">
        <v>1</v>
      </c>
      <c r="O157" t="s">
        <v>210</v>
      </c>
      <c r="P157">
        <v>2.9017889499664311</v>
      </c>
    </row>
    <row r="158" spans="1:16" x14ac:dyDescent="0.25">
      <c r="A158" t="s">
        <v>107</v>
      </c>
      <c r="B158" t="s">
        <v>75</v>
      </c>
      <c r="C158">
        <v>0</v>
      </c>
      <c r="D158">
        <v>1</v>
      </c>
      <c r="E158">
        <v>1</v>
      </c>
      <c r="F158">
        <v>1</v>
      </c>
      <c r="G158">
        <v>1</v>
      </c>
      <c r="H158">
        <v>1</v>
      </c>
      <c r="I158">
        <v>1</v>
      </c>
      <c r="J158">
        <v>1</v>
      </c>
      <c r="K158">
        <v>1</v>
      </c>
      <c r="L158">
        <v>1</v>
      </c>
      <c r="M158">
        <v>1</v>
      </c>
      <c r="N158">
        <v>1</v>
      </c>
      <c r="P158">
        <v>2.2268645763397221</v>
      </c>
    </row>
    <row r="159" spans="1:16" x14ac:dyDescent="0.25">
      <c r="A159" t="s">
        <v>107</v>
      </c>
      <c r="B159" t="s">
        <v>76</v>
      </c>
      <c r="C159">
        <v>0</v>
      </c>
      <c r="D159">
        <v>1</v>
      </c>
      <c r="E159">
        <v>1</v>
      </c>
      <c r="F159">
        <v>1</v>
      </c>
      <c r="G159">
        <v>1</v>
      </c>
      <c r="H159">
        <v>1</v>
      </c>
      <c r="I159">
        <v>1</v>
      </c>
      <c r="J159">
        <v>1</v>
      </c>
      <c r="K159">
        <v>1</v>
      </c>
      <c r="L159">
        <v>1</v>
      </c>
      <c r="M159">
        <v>1</v>
      </c>
      <c r="N159">
        <v>1</v>
      </c>
      <c r="P159">
        <v>1.303195476531982</v>
      </c>
    </row>
    <row r="160" spans="1:16" x14ac:dyDescent="0.25">
      <c r="A160" t="s">
        <v>107</v>
      </c>
      <c r="B160" t="s">
        <v>77</v>
      </c>
      <c r="C160">
        <v>0</v>
      </c>
      <c r="D160">
        <v>1</v>
      </c>
      <c r="E160">
        <v>1</v>
      </c>
      <c r="F160">
        <v>1</v>
      </c>
      <c r="G160">
        <v>1</v>
      </c>
      <c r="H160">
        <v>1</v>
      </c>
      <c r="I160">
        <v>0</v>
      </c>
      <c r="J160">
        <v>1</v>
      </c>
      <c r="K160">
        <v>1</v>
      </c>
      <c r="L160">
        <v>1</v>
      </c>
      <c r="M160">
        <v>1</v>
      </c>
      <c r="N160">
        <v>1</v>
      </c>
      <c r="O160" t="s">
        <v>211</v>
      </c>
      <c r="P160">
        <v>6.8687574863433838</v>
      </c>
    </row>
    <row r="161" spans="1:16" x14ac:dyDescent="0.25">
      <c r="A161" t="s">
        <v>107</v>
      </c>
      <c r="B161" t="s">
        <v>78</v>
      </c>
      <c r="C161">
        <v>0</v>
      </c>
      <c r="D161">
        <v>1</v>
      </c>
      <c r="E161">
        <v>1</v>
      </c>
      <c r="F161">
        <v>1</v>
      </c>
      <c r="G161">
        <v>1</v>
      </c>
      <c r="H161">
        <v>1</v>
      </c>
      <c r="I161">
        <v>1</v>
      </c>
      <c r="J161">
        <v>1</v>
      </c>
      <c r="K161">
        <v>1</v>
      </c>
      <c r="L161">
        <v>1</v>
      </c>
      <c r="M161">
        <v>1</v>
      </c>
      <c r="N161">
        <v>1</v>
      </c>
      <c r="P161">
        <v>1.4913177490234379</v>
      </c>
    </row>
    <row r="162" spans="1:16" x14ac:dyDescent="0.25">
      <c r="A162" t="s">
        <v>107</v>
      </c>
      <c r="B162" t="s">
        <v>79</v>
      </c>
      <c r="C162">
        <v>0</v>
      </c>
      <c r="D162">
        <v>1</v>
      </c>
      <c r="E162">
        <v>1</v>
      </c>
      <c r="F162">
        <v>1</v>
      </c>
      <c r="G162">
        <v>1</v>
      </c>
      <c r="H162">
        <v>1</v>
      </c>
      <c r="I162">
        <v>1</v>
      </c>
      <c r="J162">
        <v>1</v>
      </c>
      <c r="K162">
        <v>1</v>
      </c>
      <c r="L162">
        <v>1</v>
      </c>
      <c r="M162">
        <v>1</v>
      </c>
      <c r="N162">
        <v>1</v>
      </c>
      <c r="P162">
        <v>2.896085262298584</v>
      </c>
    </row>
    <row r="163" spans="1:16" x14ac:dyDescent="0.25">
      <c r="A163" t="s">
        <v>107</v>
      </c>
      <c r="B163" t="s">
        <v>91</v>
      </c>
      <c r="C163">
        <v>0</v>
      </c>
      <c r="D163">
        <v>1</v>
      </c>
      <c r="E163">
        <v>1</v>
      </c>
      <c r="F163">
        <v>1</v>
      </c>
      <c r="G163">
        <v>1</v>
      </c>
      <c r="H163">
        <v>1</v>
      </c>
      <c r="I163">
        <v>1</v>
      </c>
      <c r="J163">
        <v>1</v>
      </c>
      <c r="K163">
        <v>1</v>
      </c>
      <c r="L163">
        <v>1</v>
      </c>
      <c r="M163">
        <v>1</v>
      </c>
      <c r="N163">
        <v>1</v>
      </c>
      <c r="P163">
        <v>1.5417051315307619</v>
      </c>
    </row>
    <row r="164" spans="1:16" x14ac:dyDescent="0.25">
      <c r="A164" t="s">
        <v>107</v>
      </c>
      <c r="B164" t="s">
        <v>92</v>
      </c>
      <c r="C164">
        <v>0</v>
      </c>
      <c r="D164">
        <v>1</v>
      </c>
      <c r="E164">
        <v>1</v>
      </c>
      <c r="F164">
        <v>1</v>
      </c>
      <c r="G164">
        <v>1</v>
      </c>
      <c r="H164">
        <v>1</v>
      </c>
      <c r="I164">
        <v>1</v>
      </c>
      <c r="J164">
        <v>1</v>
      </c>
      <c r="K164">
        <v>1</v>
      </c>
      <c r="L164">
        <v>1</v>
      </c>
      <c r="M164">
        <v>1</v>
      </c>
      <c r="N164">
        <v>1</v>
      </c>
      <c r="P164">
        <v>1.3898534774780269</v>
      </c>
    </row>
    <row r="165" spans="1:16" x14ac:dyDescent="0.25">
      <c r="A165" t="s">
        <v>107</v>
      </c>
      <c r="B165" t="s">
        <v>93</v>
      </c>
      <c r="C165">
        <v>0</v>
      </c>
      <c r="D165">
        <v>1</v>
      </c>
      <c r="E165">
        <v>1</v>
      </c>
      <c r="F165">
        <v>1</v>
      </c>
      <c r="G165">
        <v>1</v>
      </c>
      <c r="H165">
        <v>1</v>
      </c>
      <c r="I165">
        <v>1</v>
      </c>
      <c r="J165">
        <v>1</v>
      </c>
      <c r="K165">
        <v>1</v>
      </c>
      <c r="L165">
        <v>1</v>
      </c>
      <c r="M165">
        <v>1</v>
      </c>
      <c r="N165">
        <v>1</v>
      </c>
      <c r="P165">
        <v>1.5020067691802981</v>
      </c>
    </row>
    <row r="166" spans="1:16" x14ac:dyDescent="0.25">
      <c r="A166" t="s">
        <v>107</v>
      </c>
      <c r="B166" t="s">
        <v>94</v>
      </c>
      <c r="C166">
        <v>0</v>
      </c>
      <c r="D166">
        <v>1</v>
      </c>
      <c r="E166">
        <v>1</v>
      </c>
      <c r="F166">
        <v>1</v>
      </c>
      <c r="G166">
        <v>1</v>
      </c>
      <c r="H166">
        <v>1</v>
      </c>
      <c r="I166">
        <v>1</v>
      </c>
      <c r="J166">
        <v>1</v>
      </c>
      <c r="K166">
        <v>1</v>
      </c>
      <c r="L166">
        <v>1</v>
      </c>
      <c r="M166">
        <v>1</v>
      </c>
      <c r="N166">
        <v>1</v>
      </c>
      <c r="P166">
        <v>2.107815265655518</v>
      </c>
    </row>
    <row r="167" spans="1:16" x14ac:dyDescent="0.25">
      <c r="A167" t="s">
        <v>107</v>
      </c>
      <c r="B167" t="s">
        <v>95</v>
      </c>
      <c r="C167">
        <v>0</v>
      </c>
      <c r="D167">
        <v>1</v>
      </c>
      <c r="E167">
        <v>1</v>
      </c>
      <c r="F167">
        <v>1</v>
      </c>
      <c r="G167">
        <v>1</v>
      </c>
      <c r="H167">
        <v>1</v>
      </c>
      <c r="I167">
        <v>1</v>
      </c>
      <c r="J167">
        <v>1</v>
      </c>
      <c r="K167">
        <v>1</v>
      </c>
      <c r="L167">
        <v>1</v>
      </c>
      <c r="M167">
        <v>1</v>
      </c>
      <c r="N167">
        <v>1</v>
      </c>
      <c r="P167">
        <v>1.5020706653594971</v>
      </c>
    </row>
    <row r="168" spans="1:16" x14ac:dyDescent="0.25">
      <c r="A168" t="s">
        <v>107</v>
      </c>
      <c r="B168" t="s">
        <v>96</v>
      </c>
      <c r="C168">
        <v>0</v>
      </c>
      <c r="D168">
        <v>1</v>
      </c>
      <c r="E168">
        <v>1</v>
      </c>
      <c r="F168">
        <v>1</v>
      </c>
      <c r="G168">
        <v>1</v>
      </c>
      <c r="H168">
        <v>1</v>
      </c>
      <c r="I168">
        <v>1</v>
      </c>
      <c r="J168">
        <v>1</v>
      </c>
      <c r="K168">
        <v>1</v>
      </c>
      <c r="L168">
        <v>1</v>
      </c>
      <c r="M168">
        <v>1</v>
      </c>
      <c r="N168">
        <v>1</v>
      </c>
      <c r="P168">
        <v>2.598183393478394</v>
      </c>
    </row>
    <row r="169" spans="1:16" x14ac:dyDescent="0.25">
      <c r="A169" t="s">
        <v>107</v>
      </c>
      <c r="B169" t="s">
        <v>97</v>
      </c>
      <c r="C169">
        <v>0</v>
      </c>
      <c r="D169">
        <v>1</v>
      </c>
      <c r="E169">
        <v>1</v>
      </c>
      <c r="F169">
        <v>1</v>
      </c>
      <c r="G169">
        <v>1</v>
      </c>
      <c r="H169">
        <v>1</v>
      </c>
      <c r="I169">
        <v>1</v>
      </c>
      <c r="J169">
        <v>1</v>
      </c>
      <c r="K169">
        <v>1</v>
      </c>
      <c r="L169">
        <v>1</v>
      </c>
      <c r="M169">
        <v>1</v>
      </c>
      <c r="N169">
        <v>1</v>
      </c>
      <c r="P169">
        <v>12.739983797073361</v>
      </c>
    </row>
    <row r="170" spans="1:16" x14ac:dyDescent="0.25">
      <c r="A170" t="s">
        <v>107</v>
      </c>
      <c r="B170" t="s">
        <v>98</v>
      </c>
      <c r="C170">
        <v>0</v>
      </c>
      <c r="D170">
        <v>1</v>
      </c>
      <c r="E170">
        <v>1</v>
      </c>
      <c r="F170">
        <v>1</v>
      </c>
      <c r="G170">
        <v>1</v>
      </c>
      <c r="H170">
        <v>1</v>
      </c>
      <c r="I170">
        <v>1</v>
      </c>
      <c r="J170">
        <v>1</v>
      </c>
      <c r="K170">
        <v>1</v>
      </c>
      <c r="L170">
        <v>1</v>
      </c>
      <c r="M170">
        <v>1</v>
      </c>
      <c r="N170">
        <v>1</v>
      </c>
      <c r="P170">
        <v>3.2232704162597661</v>
      </c>
    </row>
    <row r="171" spans="1:16" x14ac:dyDescent="0.25">
      <c r="A171" t="s">
        <v>107</v>
      </c>
      <c r="B171" t="s">
        <v>100</v>
      </c>
      <c r="C171">
        <v>0</v>
      </c>
      <c r="D171">
        <v>1</v>
      </c>
      <c r="E171">
        <v>1</v>
      </c>
      <c r="F171">
        <v>1</v>
      </c>
      <c r="G171">
        <v>1</v>
      </c>
      <c r="H171">
        <v>1</v>
      </c>
      <c r="I171">
        <v>1</v>
      </c>
      <c r="J171">
        <v>1</v>
      </c>
      <c r="K171">
        <v>1</v>
      </c>
      <c r="L171">
        <v>1</v>
      </c>
      <c r="M171">
        <v>1</v>
      </c>
      <c r="N171">
        <v>1</v>
      </c>
      <c r="P171">
        <v>1.466919898986816</v>
      </c>
    </row>
    <row r="172" spans="1:16" x14ac:dyDescent="0.25">
      <c r="A172" t="s">
        <v>107</v>
      </c>
      <c r="B172" t="s">
        <v>101</v>
      </c>
      <c r="C172">
        <v>0</v>
      </c>
      <c r="D172">
        <v>1</v>
      </c>
      <c r="E172">
        <v>1</v>
      </c>
      <c r="F172">
        <v>1</v>
      </c>
      <c r="G172">
        <v>1</v>
      </c>
      <c r="H172">
        <v>1</v>
      </c>
      <c r="I172">
        <v>0</v>
      </c>
      <c r="J172">
        <v>1</v>
      </c>
      <c r="K172">
        <v>1</v>
      </c>
      <c r="L172">
        <v>1</v>
      </c>
      <c r="M172">
        <v>1</v>
      </c>
      <c r="N172">
        <v>1</v>
      </c>
      <c r="O172" t="s">
        <v>212</v>
      </c>
      <c r="P172">
        <v>2.1912021636962891</v>
      </c>
    </row>
    <row r="173" spans="1:16" x14ac:dyDescent="0.25">
      <c r="A173" t="s">
        <v>107</v>
      </c>
      <c r="B173" t="s">
        <v>102</v>
      </c>
      <c r="C173">
        <v>0</v>
      </c>
      <c r="D173">
        <v>1</v>
      </c>
      <c r="E173">
        <v>1</v>
      </c>
      <c r="F173">
        <v>1</v>
      </c>
      <c r="G173">
        <v>1</v>
      </c>
      <c r="H173">
        <v>1</v>
      </c>
      <c r="I173">
        <v>1</v>
      </c>
      <c r="J173">
        <v>1</v>
      </c>
      <c r="K173">
        <v>1</v>
      </c>
      <c r="L173">
        <v>1</v>
      </c>
      <c r="M173">
        <v>1</v>
      </c>
      <c r="N173">
        <v>1</v>
      </c>
      <c r="P173">
        <v>2.2529056072235112</v>
      </c>
    </row>
    <row r="174" spans="1:16" x14ac:dyDescent="0.25">
      <c r="A174" t="s">
        <v>107</v>
      </c>
      <c r="B174" t="s">
        <v>104</v>
      </c>
      <c r="C174">
        <v>0</v>
      </c>
      <c r="D174">
        <v>1</v>
      </c>
      <c r="E174">
        <v>1</v>
      </c>
      <c r="F174">
        <v>1</v>
      </c>
      <c r="G174">
        <v>1</v>
      </c>
      <c r="H174">
        <v>1</v>
      </c>
      <c r="I174">
        <v>1</v>
      </c>
      <c r="J174">
        <v>1</v>
      </c>
      <c r="K174">
        <v>1</v>
      </c>
      <c r="L174">
        <v>1</v>
      </c>
      <c r="M174">
        <v>1</v>
      </c>
      <c r="N174">
        <v>1</v>
      </c>
      <c r="P174">
        <v>6.120563268661499</v>
      </c>
    </row>
    <row r="175" spans="1:16" x14ac:dyDescent="0.25">
      <c r="A175" t="s">
        <v>107</v>
      </c>
      <c r="B175" t="s">
        <v>105</v>
      </c>
      <c r="C175">
        <v>0</v>
      </c>
      <c r="D175">
        <v>1</v>
      </c>
      <c r="E175">
        <v>1</v>
      </c>
      <c r="F175">
        <v>1</v>
      </c>
      <c r="G175">
        <v>1</v>
      </c>
      <c r="H175">
        <v>1</v>
      </c>
      <c r="I175">
        <v>1</v>
      </c>
      <c r="J175">
        <v>0</v>
      </c>
      <c r="K175">
        <v>1</v>
      </c>
      <c r="L175">
        <v>1</v>
      </c>
      <c r="M175">
        <v>1</v>
      </c>
      <c r="N175">
        <v>1</v>
      </c>
      <c r="O175" t="s">
        <v>213</v>
      </c>
      <c r="P175">
        <v>3.4855377674102779</v>
      </c>
    </row>
    <row r="176" spans="1:16" x14ac:dyDescent="0.25">
      <c r="A176" t="s">
        <v>107</v>
      </c>
      <c r="B176" t="s">
        <v>106</v>
      </c>
      <c r="C176">
        <v>0</v>
      </c>
      <c r="D176">
        <v>1</v>
      </c>
      <c r="E176">
        <v>1</v>
      </c>
      <c r="F176">
        <v>1</v>
      </c>
      <c r="G176">
        <v>1</v>
      </c>
      <c r="H176">
        <v>1</v>
      </c>
      <c r="I176">
        <v>1</v>
      </c>
      <c r="J176">
        <v>1</v>
      </c>
      <c r="K176">
        <v>1</v>
      </c>
      <c r="L176">
        <v>1</v>
      </c>
      <c r="M176">
        <v>1</v>
      </c>
      <c r="N176">
        <v>1</v>
      </c>
      <c r="P176">
        <v>1.576322078704834</v>
      </c>
    </row>
    <row r="177" spans="1:16" x14ac:dyDescent="0.25">
      <c r="A177" t="s">
        <v>107</v>
      </c>
      <c r="B177" t="s">
        <v>126</v>
      </c>
      <c r="C177">
        <v>0</v>
      </c>
      <c r="D177">
        <v>1</v>
      </c>
      <c r="E177">
        <v>1</v>
      </c>
      <c r="F177">
        <v>1</v>
      </c>
      <c r="G177">
        <v>1</v>
      </c>
      <c r="H177">
        <v>1</v>
      </c>
      <c r="I177">
        <v>1</v>
      </c>
      <c r="J177">
        <v>1</v>
      </c>
      <c r="K177">
        <v>1</v>
      </c>
      <c r="L177">
        <v>1</v>
      </c>
      <c r="M177">
        <v>1</v>
      </c>
      <c r="N177">
        <v>1</v>
      </c>
      <c r="P177">
        <v>2.4133222103118901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v>
      </c>
      <c r="E2">
        <v>1</v>
      </c>
      <c r="F2">
        <v>1</v>
      </c>
      <c r="G2">
        <v>1</v>
      </c>
      <c r="H2">
        <v>1</v>
      </c>
      <c r="I2">
        <v>1</v>
      </c>
      <c r="J2">
        <v>1</v>
      </c>
      <c r="K2">
        <v>1</v>
      </c>
      <c r="L2">
        <v>1</v>
      </c>
      <c r="M2">
        <v>1</v>
      </c>
      <c r="N2">
        <v>1</v>
      </c>
      <c r="P2">
        <v>3.9570202827453609</v>
      </c>
    </row>
    <row r="3" spans="1:16" x14ac:dyDescent="0.25">
      <c r="A3" t="s">
        <v>16</v>
      </c>
      <c r="B3" t="s">
        <v>18</v>
      </c>
      <c r="C3">
        <v>0</v>
      </c>
      <c r="D3">
        <v>1</v>
      </c>
      <c r="E3">
        <v>1</v>
      </c>
      <c r="F3">
        <v>1</v>
      </c>
      <c r="G3">
        <v>1</v>
      </c>
      <c r="H3">
        <v>1</v>
      </c>
      <c r="I3">
        <v>1</v>
      </c>
      <c r="J3">
        <v>1</v>
      </c>
      <c r="K3">
        <v>1</v>
      </c>
      <c r="L3">
        <v>1</v>
      </c>
      <c r="M3">
        <v>1</v>
      </c>
      <c r="N3">
        <v>1</v>
      </c>
      <c r="P3">
        <v>1.820147037506104</v>
      </c>
    </row>
    <row r="4" spans="1:16" x14ac:dyDescent="0.25">
      <c r="A4" t="s">
        <v>16</v>
      </c>
      <c r="B4" t="s">
        <v>19</v>
      </c>
      <c r="C4">
        <v>0</v>
      </c>
      <c r="D4">
        <v>1</v>
      </c>
      <c r="E4">
        <v>1</v>
      </c>
      <c r="F4">
        <v>1</v>
      </c>
      <c r="G4">
        <v>1</v>
      </c>
      <c r="H4">
        <v>1</v>
      </c>
      <c r="I4">
        <v>1</v>
      </c>
      <c r="J4">
        <v>1</v>
      </c>
      <c r="K4">
        <v>1</v>
      </c>
      <c r="L4">
        <v>1</v>
      </c>
      <c r="M4">
        <v>1</v>
      </c>
      <c r="N4">
        <v>1</v>
      </c>
      <c r="P4">
        <v>1.609204053878784</v>
      </c>
    </row>
    <row r="5" spans="1:16" x14ac:dyDescent="0.25">
      <c r="A5" t="s">
        <v>16</v>
      </c>
      <c r="B5" t="s">
        <v>20</v>
      </c>
      <c r="C5">
        <v>0</v>
      </c>
      <c r="D5">
        <v>1</v>
      </c>
      <c r="E5">
        <v>1</v>
      </c>
      <c r="F5">
        <v>1</v>
      </c>
      <c r="G5">
        <v>1</v>
      </c>
      <c r="H5">
        <v>1</v>
      </c>
      <c r="I5">
        <v>1</v>
      </c>
      <c r="J5">
        <v>1</v>
      </c>
      <c r="K5">
        <v>1</v>
      </c>
      <c r="L5">
        <v>1</v>
      </c>
      <c r="M5">
        <v>1</v>
      </c>
      <c r="N5">
        <v>1</v>
      </c>
      <c r="P5">
        <v>2.30487060546875</v>
      </c>
    </row>
    <row r="6" spans="1:16" x14ac:dyDescent="0.25">
      <c r="A6" t="s">
        <v>16</v>
      </c>
      <c r="B6" t="s">
        <v>21</v>
      </c>
      <c r="C6">
        <v>0</v>
      </c>
      <c r="D6">
        <v>1</v>
      </c>
      <c r="E6">
        <v>1</v>
      </c>
      <c r="F6">
        <v>1</v>
      </c>
      <c r="G6">
        <v>1</v>
      </c>
      <c r="H6">
        <v>1</v>
      </c>
      <c r="I6">
        <v>1</v>
      </c>
      <c r="J6">
        <v>1</v>
      </c>
      <c r="K6">
        <v>1</v>
      </c>
      <c r="L6">
        <v>1</v>
      </c>
      <c r="M6">
        <v>1</v>
      </c>
      <c r="N6">
        <v>1</v>
      </c>
      <c r="P6">
        <v>1.890830278396606</v>
      </c>
    </row>
    <row r="7" spans="1:16" x14ac:dyDescent="0.25">
      <c r="A7" t="s">
        <v>16</v>
      </c>
      <c r="B7" t="s">
        <v>22</v>
      </c>
      <c r="C7">
        <v>0</v>
      </c>
      <c r="D7">
        <v>1</v>
      </c>
      <c r="E7">
        <v>1</v>
      </c>
      <c r="F7">
        <v>1</v>
      </c>
      <c r="G7">
        <v>1</v>
      </c>
      <c r="H7">
        <v>1</v>
      </c>
      <c r="I7">
        <v>1</v>
      </c>
      <c r="J7">
        <v>1</v>
      </c>
      <c r="K7">
        <v>1</v>
      </c>
      <c r="L7">
        <v>1</v>
      </c>
      <c r="M7">
        <v>1</v>
      </c>
      <c r="N7">
        <v>1</v>
      </c>
      <c r="P7">
        <v>1.919273376464844</v>
      </c>
    </row>
    <row r="8" spans="1:16" x14ac:dyDescent="0.25">
      <c r="A8" t="s">
        <v>16</v>
      </c>
      <c r="B8" t="s">
        <v>23</v>
      </c>
      <c r="C8">
        <v>0</v>
      </c>
      <c r="D8">
        <v>1</v>
      </c>
      <c r="E8">
        <v>1</v>
      </c>
      <c r="F8">
        <v>1</v>
      </c>
      <c r="G8">
        <v>1</v>
      </c>
      <c r="H8">
        <v>1</v>
      </c>
      <c r="I8">
        <v>1</v>
      </c>
      <c r="J8">
        <v>1</v>
      </c>
      <c r="K8">
        <v>1</v>
      </c>
      <c r="L8">
        <v>1</v>
      </c>
      <c r="M8">
        <v>1</v>
      </c>
      <c r="N8">
        <v>1</v>
      </c>
      <c r="P8">
        <v>2.325529813766479</v>
      </c>
    </row>
    <row r="9" spans="1:16" x14ac:dyDescent="0.25">
      <c r="A9" t="s">
        <v>16</v>
      </c>
      <c r="B9" t="s">
        <v>24</v>
      </c>
      <c r="C9">
        <v>0</v>
      </c>
      <c r="D9">
        <v>1</v>
      </c>
      <c r="E9">
        <v>1</v>
      </c>
      <c r="F9">
        <v>1</v>
      </c>
      <c r="G9">
        <v>1</v>
      </c>
      <c r="H9">
        <v>1</v>
      </c>
      <c r="I9">
        <v>1</v>
      </c>
      <c r="J9">
        <v>1</v>
      </c>
      <c r="K9">
        <v>1</v>
      </c>
      <c r="L9">
        <v>1</v>
      </c>
      <c r="M9">
        <v>1</v>
      </c>
      <c r="N9">
        <v>1</v>
      </c>
      <c r="P9">
        <v>1.4570159912109379</v>
      </c>
    </row>
    <row r="10" spans="1:16" x14ac:dyDescent="0.25">
      <c r="A10" t="s">
        <v>16</v>
      </c>
      <c r="B10" t="s">
        <v>25</v>
      </c>
      <c r="C10">
        <v>0</v>
      </c>
      <c r="D10">
        <v>1</v>
      </c>
      <c r="E10">
        <v>1</v>
      </c>
      <c r="F10">
        <v>1</v>
      </c>
      <c r="G10">
        <v>1</v>
      </c>
      <c r="H10">
        <v>1</v>
      </c>
      <c r="I10">
        <v>1</v>
      </c>
      <c r="J10">
        <v>1</v>
      </c>
      <c r="K10">
        <v>1</v>
      </c>
      <c r="L10">
        <v>1</v>
      </c>
      <c r="M10">
        <v>1</v>
      </c>
      <c r="N10">
        <v>1</v>
      </c>
      <c r="P10">
        <v>2.486825704574585</v>
      </c>
    </row>
    <row r="11" spans="1:16" x14ac:dyDescent="0.25">
      <c r="A11" t="s">
        <v>16</v>
      </c>
      <c r="B11" t="s">
        <v>26</v>
      </c>
      <c r="C11">
        <v>0</v>
      </c>
      <c r="D11">
        <v>1</v>
      </c>
      <c r="E11">
        <v>1</v>
      </c>
      <c r="F11">
        <v>1</v>
      </c>
      <c r="G11">
        <v>1</v>
      </c>
      <c r="H11">
        <v>1</v>
      </c>
      <c r="I11">
        <v>1</v>
      </c>
      <c r="J11">
        <v>1</v>
      </c>
      <c r="K11">
        <v>1</v>
      </c>
      <c r="L11">
        <v>1</v>
      </c>
      <c r="M11">
        <v>1</v>
      </c>
      <c r="N11">
        <v>1</v>
      </c>
      <c r="P11">
        <v>9.8724210262298584</v>
      </c>
    </row>
    <row r="12" spans="1:16" x14ac:dyDescent="0.25">
      <c r="A12" t="s">
        <v>16</v>
      </c>
      <c r="B12" t="s">
        <v>27</v>
      </c>
      <c r="C12">
        <v>0</v>
      </c>
      <c r="D12">
        <v>0</v>
      </c>
      <c r="E12" t="s">
        <v>28</v>
      </c>
      <c r="F12" t="s">
        <v>28</v>
      </c>
      <c r="G12" t="s">
        <v>28</v>
      </c>
      <c r="H12" t="s">
        <v>28</v>
      </c>
      <c r="I12" t="s">
        <v>28</v>
      </c>
      <c r="J12" t="s">
        <v>28</v>
      </c>
      <c r="K12" t="s">
        <v>28</v>
      </c>
      <c r="L12" t="s">
        <v>28</v>
      </c>
      <c r="M12" t="s">
        <v>28</v>
      </c>
      <c r="N12" t="s">
        <v>28</v>
      </c>
      <c r="O12" t="s">
        <v>214</v>
      </c>
      <c r="P12">
        <v>7.7523458003997803</v>
      </c>
    </row>
    <row r="13" spans="1:16" x14ac:dyDescent="0.25">
      <c r="A13" t="s">
        <v>16</v>
      </c>
      <c r="B13" t="s">
        <v>30</v>
      </c>
      <c r="C13">
        <v>0</v>
      </c>
      <c r="D13">
        <v>1</v>
      </c>
      <c r="E13">
        <v>1</v>
      </c>
      <c r="F13">
        <v>1</v>
      </c>
      <c r="G13">
        <v>1</v>
      </c>
      <c r="H13">
        <v>1</v>
      </c>
      <c r="I13">
        <v>1</v>
      </c>
      <c r="J13">
        <v>1</v>
      </c>
      <c r="K13">
        <v>1</v>
      </c>
      <c r="L13">
        <v>1</v>
      </c>
      <c r="M13">
        <v>1</v>
      </c>
      <c r="N13">
        <v>1</v>
      </c>
      <c r="P13">
        <v>1.580896854400635</v>
      </c>
    </row>
    <row r="14" spans="1:16" x14ac:dyDescent="0.25">
      <c r="A14" t="s">
        <v>16</v>
      </c>
      <c r="B14" t="s">
        <v>31</v>
      </c>
      <c r="C14">
        <v>0</v>
      </c>
      <c r="D14">
        <v>1</v>
      </c>
      <c r="E14">
        <v>0</v>
      </c>
      <c r="F14">
        <v>1</v>
      </c>
      <c r="G14">
        <v>1</v>
      </c>
      <c r="H14" t="s">
        <v>28</v>
      </c>
      <c r="I14">
        <v>1</v>
      </c>
      <c r="J14" t="s">
        <v>28</v>
      </c>
      <c r="K14">
        <v>1</v>
      </c>
      <c r="L14">
        <v>1</v>
      </c>
      <c r="M14">
        <v>1</v>
      </c>
      <c r="N14">
        <v>1</v>
      </c>
      <c r="O14" t="s">
        <v>215</v>
      </c>
      <c r="P14">
        <v>2.700600147247314</v>
      </c>
    </row>
    <row r="15" spans="1:16" x14ac:dyDescent="0.25">
      <c r="A15" t="s">
        <v>16</v>
      </c>
      <c r="B15" t="s">
        <v>33</v>
      </c>
      <c r="C15">
        <v>0</v>
      </c>
      <c r="D15">
        <v>1</v>
      </c>
      <c r="E15">
        <v>1</v>
      </c>
      <c r="F15">
        <v>1</v>
      </c>
      <c r="G15">
        <v>1</v>
      </c>
      <c r="H15">
        <v>1</v>
      </c>
      <c r="I15">
        <v>1</v>
      </c>
      <c r="J15">
        <v>1</v>
      </c>
      <c r="K15">
        <v>1</v>
      </c>
      <c r="L15">
        <v>1</v>
      </c>
      <c r="M15">
        <v>1</v>
      </c>
      <c r="N15">
        <v>1</v>
      </c>
      <c r="P15">
        <v>1.3662140369415281</v>
      </c>
    </row>
    <row r="16" spans="1:16" x14ac:dyDescent="0.25">
      <c r="A16" t="s">
        <v>16</v>
      </c>
      <c r="B16" t="s">
        <v>34</v>
      </c>
      <c r="C16">
        <v>0</v>
      </c>
      <c r="D16">
        <v>1</v>
      </c>
      <c r="E16">
        <v>0</v>
      </c>
      <c r="F16">
        <v>1</v>
      </c>
      <c r="G16">
        <v>1</v>
      </c>
      <c r="H16" t="s">
        <v>28</v>
      </c>
      <c r="I16">
        <v>1</v>
      </c>
      <c r="J16" t="s">
        <v>28</v>
      </c>
      <c r="K16">
        <v>1</v>
      </c>
      <c r="L16">
        <v>1</v>
      </c>
      <c r="M16">
        <v>1</v>
      </c>
      <c r="N16">
        <v>1</v>
      </c>
      <c r="O16" t="s">
        <v>216</v>
      </c>
      <c r="P16">
        <v>11.95024967193604</v>
      </c>
    </row>
    <row r="17" spans="1:16" x14ac:dyDescent="0.25">
      <c r="A17" t="s">
        <v>16</v>
      </c>
      <c r="B17" t="s">
        <v>36</v>
      </c>
      <c r="C17">
        <v>0</v>
      </c>
      <c r="D17">
        <v>1</v>
      </c>
      <c r="E17">
        <v>1</v>
      </c>
      <c r="F17">
        <v>1</v>
      </c>
      <c r="G17">
        <v>1</v>
      </c>
      <c r="H17">
        <v>1</v>
      </c>
      <c r="I17">
        <v>1</v>
      </c>
      <c r="J17">
        <v>1</v>
      </c>
      <c r="K17">
        <v>1</v>
      </c>
      <c r="L17">
        <v>1</v>
      </c>
      <c r="M17">
        <v>1</v>
      </c>
      <c r="N17">
        <v>1</v>
      </c>
      <c r="P17">
        <v>1.580627918243408</v>
      </c>
    </row>
    <row r="18" spans="1:16" x14ac:dyDescent="0.25">
      <c r="A18" t="s">
        <v>16</v>
      </c>
      <c r="B18" t="s">
        <v>37</v>
      </c>
      <c r="C18">
        <v>0</v>
      </c>
      <c r="D18">
        <v>1</v>
      </c>
      <c r="E18">
        <v>1</v>
      </c>
      <c r="F18">
        <v>1</v>
      </c>
      <c r="G18">
        <v>1</v>
      </c>
      <c r="H18">
        <v>1</v>
      </c>
      <c r="I18">
        <v>1</v>
      </c>
      <c r="J18">
        <v>1</v>
      </c>
      <c r="K18">
        <v>1</v>
      </c>
      <c r="L18">
        <v>1</v>
      </c>
      <c r="M18">
        <v>1</v>
      </c>
      <c r="N18">
        <v>1</v>
      </c>
      <c r="P18">
        <v>1.55760645866394</v>
      </c>
    </row>
    <row r="19" spans="1:16" x14ac:dyDescent="0.25">
      <c r="A19" t="s">
        <v>16</v>
      </c>
      <c r="B19" t="s">
        <v>38</v>
      </c>
      <c r="C19">
        <v>0</v>
      </c>
      <c r="D19">
        <v>1</v>
      </c>
      <c r="E19">
        <v>1</v>
      </c>
      <c r="F19">
        <v>1</v>
      </c>
      <c r="G19">
        <v>1</v>
      </c>
      <c r="H19">
        <v>1</v>
      </c>
      <c r="I19">
        <v>1</v>
      </c>
      <c r="J19">
        <v>1</v>
      </c>
      <c r="K19">
        <v>1</v>
      </c>
      <c r="L19">
        <v>1</v>
      </c>
      <c r="M19">
        <v>1</v>
      </c>
      <c r="N19">
        <v>1</v>
      </c>
      <c r="P19">
        <v>1.458756685256958</v>
      </c>
    </row>
    <row r="20" spans="1:16" x14ac:dyDescent="0.25">
      <c r="A20" t="s">
        <v>16</v>
      </c>
      <c r="B20" t="s">
        <v>39</v>
      </c>
      <c r="C20">
        <v>0</v>
      </c>
      <c r="D20">
        <v>1</v>
      </c>
      <c r="E20">
        <v>1</v>
      </c>
      <c r="F20">
        <v>1</v>
      </c>
      <c r="G20">
        <v>1</v>
      </c>
      <c r="H20">
        <v>1</v>
      </c>
      <c r="I20">
        <v>1</v>
      </c>
      <c r="J20">
        <v>1</v>
      </c>
      <c r="K20">
        <v>1</v>
      </c>
      <c r="L20">
        <v>1</v>
      </c>
      <c r="M20">
        <v>1</v>
      </c>
      <c r="N20">
        <v>1</v>
      </c>
      <c r="P20">
        <v>1.4519345760345459</v>
      </c>
    </row>
    <row r="21" spans="1:16" x14ac:dyDescent="0.25">
      <c r="A21" t="s">
        <v>16</v>
      </c>
      <c r="B21" t="s">
        <v>40</v>
      </c>
      <c r="C21">
        <v>0</v>
      </c>
      <c r="D21">
        <v>1</v>
      </c>
      <c r="E21">
        <v>1</v>
      </c>
      <c r="F21">
        <v>1</v>
      </c>
      <c r="G21">
        <v>1</v>
      </c>
      <c r="H21">
        <v>1</v>
      </c>
      <c r="I21">
        <v>1</v>
      </c>
      <c r="J21">
        <v>1</v>
      </c>
      <c r="K21">
        <v>1</v>
      </c>
      <c r="L21">
        <v>1</v>
      </c>
      <c r="M21">
        <v>1</v>
      </c>
      <c r="N21">
        <v>1</v>
      </c>
      <c r="P21">
        <v>1.372980117797852</v>
      </c>
    </row>
    <row r="22" spans="1:16" x14ac:dyDescent="0.25">
      <c r="A22" t="s">
        <v>16</v>
      </c>
      <c r="B22" t="s">
        <v>41</v>
      </c>
      <c r="C22">
        <v>0</v>
      </c>
      <c r="D22">
        <v>1</v>
      </c>
      <c r="E22">
        <v>1</v>
      </c>
      <c r="F22">
        <v>1</v>
      </c>
      <c r="G22">
        <v>1</v>
      </c>
      <c r="H22">
        <v>1</v>
      </c>
      <c r="I22">
        <v>1</v>
      </c>
      <c r="J22">
        <v>1</v>
      </c>
      <c r="K22">
        <v>1</v>
      </c>
      <c r="L22">
        <v>1</v>
      </c>
      <c r="M22">
        <v>1</v>
      </c>
      <c r="N22">
        <v>1</v>
      </c>
      <c r="P22">
        <v>2.291977167129517</v>
      </c>
    </row>
    <row r="23" spans="1:16" x14ac:dyDescent="0.25">
      <c r="A23" t="s">
        <v>16</v>
      </c>
      <c r="B23" t="s">
        <v>42</v>
      </c>
      <c r="C23">
        <v>0</v>
      </c>
      <c r="D23">
        <v>1</v>
      </c>
      <c r="E23">
        <v>1</v>
      </c>
      <c r="F23">
        <v>0</v>
      </c>
      <c r="G23">
        <v>1</v>
      </c>
      <c r="H23">
        <v>1</v>
      </c>
      <c r="I23">
        <v>1</v>
      </c>
      <c r="J23" t="s">
        <v>28</v>
      </c>
      <c r="K23">
        <v>1</v>
      </c>
      <c r="L23">
        <v>1</v>
      </c>
      <c r="M23">
        <v>1</v>
      </c>
      <c r="N23">
        <v>1</v>
      </c>
      <c r="O23" t="s">
        <v>217</v>
      </c>
      <c r="P23">
        <v>4.0044119358062744</v>
      </c>
    </row>
    <row r="24" spans="1:16" x14ac:dyDescent="0.25">
      <c r="A24" t="s">
        <v>16</v>
      </c>
      <c r="B24" t="s">
        <v>44</v>
      </c>
      <c r="C24">
        <v>0</v>
      </c>
      <c r="D24">
        <v>1</v>
      </c>
      <c r="E24">
        <v>1</v>
      </c>
      <c r="F24">
        <v>1</v>
      </c>
      <c r="G24">
        <v>1</v>
      </c>
      <c r="H24">
        <v>1</v>
      </c>
      <c r="I24">
        <v>1</v>
      </c>
      <c r="J24">
        <v>1</v>
      </c>
      <c r="K24">
        <v>1</v>
      </c>
      <c r="L24">
        <v>1</v>
      </c>
      <c r="M24">
        <v>1</v>
      </c>
      <c r="N24">
        <v>1</v>
      </c>
      <c r="P24">
        <v>1.773779153823853</v>
      </c>
    </row>
    <row r="25" spans="1:16" x14ac:dyDescent="0.25">
      <c r="A25" t="s">
        <v>16</v>
      </c>
      <c r="B25" t="s">
        <v>45</v>
      </c>
      <c r="C25">
        <v>0</v>
      </c>
      <c r="D25">
        <v>1</v>
      </c>
      <c r="E25">
        <v>1</v>
      </c>
      <c r="F25">
        <v>1</v>
      </c>
      <c r="G25">
        <v>1</v>
      </c>
      <c r="H25">
        <v>1</v>
      </c>
      <c r="I25">
        <v>1</v>
      </c>
      <c r="J25">
        <v>1</v>
      </c>
      <c r="K25">
        <v>1</v>
      </c>
      <c r="L25">
        <v>1</v>
      </c>
      <c r="M25">
        <v>1</v>
      </c>
      <c r="N25">
        <v>1</v>
      </c>
      <c r="P25">
        <v>1.584165096282959</v>
      </c>
    </row>
    <row r="26" spans="1:16" x14ac:dyDescent="0.25">
      <c r="A26" t="s">
        <v>16</v>
      </c>
      <c r="B26" t="s">
        <v>46</v>
      </c>
      <c r="C26">
        <v>0</v>
      </c>
      <c r="D26">
        <v>1</v>
      </c>
      <c r="E26">
        <v>1</v>
      </c>
      <c r="F26">
        <v>1</v>
      </c>
      <c r="G26">
        <v>1</v>
      </c>
      <c r="H26">
        <v>1</v>
      </c>
      <c r="I26">
        <v>1</v>
      </c>
      <c r="J26">
        <v>1</v>
      </c>
      <c r="K26">
        <v>1</v>
      </c>
      <c r="L26">
        <v>1</v>
      </c>
      <c r="M26">
        <v>1</v>
      </c>
      <c r="N26">
        <v>1</v>
      </c>
      <c r="P26">
        <v>1.4347221851348879</v>
      </c>
    </row>
    <row r="27" spans="1:16" x14ac:dyDescent="0.25">
      <c r="A27" t="s">
        <v>16</v>
      </c>
      <c r="B27" t="s">
        <v>47</v>
      </c>
      <c r="C27">
        <v>0</v>
      </c>
      <c r="D27">
        <v>1</v>
      </c>
      <c r="E27">
        <v>0</v>
      </c>
      <c r="F27">
        <v>1</v>
      </c>
      <c r="G27">
        <v>1</v>
      </c>
      <c r="H27" t="s">
        <v>28</v>
      </c>
      <c r="I27">
        <v>1</v>
      </c>
      <c r="J27" t="s">
        <v>28</v>
      </c>
      <c r="K27">
        <v>1</v>
      </c>
      <c r="L27">
        <v>1</v>
      </c>
      <c r="M27">
        <v>1</v>
      </c>
      <c r="N27">
        <v>1</v>
      </c>
      <c r="O27" t="s">
        <v>218</v>
      </c>
      <c r="P27">
        <v>2.7586467266082759</v>
      </c>
    </row>
    <row r="28" spans="1:16" x14ac:dyDescent="0.25">
      <c r="A28" t="s">
        <v>16</v>
      </c>
      <c r="B28" t="s">
        <v>49</v>
      </c>
      <c r="C28">
        <v>0</v>
      </c>
      <c r="D28">
        <v>1</v>
      </c>
      <c r="E28">
        <v>0</v>
      </c>
      <c r="F28">
        <v>1</v>
      </c>
      <c r="G28">
        <v>1</v>
      </c>
      <c r="H28" t="s">
        <v>28</v>
      </c>
      <c r="I28">
        <v>1</v>
      </c>
      <c r="J28" t="s">
        <v>28</v>
      </c>
      <c r="K28">
        <v>1</v>
      </c>
      <c r="L28">
        <v>1</v>
      </c>
      <c r="M28">
        <v>1</v>
      </c>
      <c r="N28">
        <v>1</v>
      </c>
      <c r="O28" t="s">
        <v>219</v>
      </c>
      <c r="P28">
        <v>2.8124089241027832</v>
      </c>
    </row>
    <row r="29" spans="1:16" x14ac:dyDescent="0.25">
      <c r="A29" t="s">
        <v>16</v>
      </c>
      <c r="B29" t="s">
        <v>51</v>
      </c>
      <c r="C29">
        <v>0</v>
      </c>
      <c r="D29">
        <v>1</v>
      </c>
      <c r="E29">
        <v>1</v>
      </c>
      <c r="F29">
        <v>1</v>
      </c>
      <c r="G29">
        <v>1</v>
      </c>
      <c r="H29">
        <v>1</v>
      </c>
      <c r="I29">
        <v>1</v>
      </c>
      <c r="J29">
        <v>1</v>
      </c>
      <c r="K29">
        <v>1</v>
      </c>
      <c r="L29">
        <v>1</v>
      </c>
      <c r="M29">
        <v>1</v>
      </c>
      <c r="N29">
        <v>1</v>
      </c>
      <c r="P29">
        <v>11.797859191894529</v>
      </c>
    </row>
    <row r="30" spans="1:16" x14ac:dyDescent="0.25">
      <c r="A30" t="s">
        <v>16</v>
      </c>
      <c r="B30" t="s">
        <v>53</v>
      </c>
      <c r="C30">
        <v>0</v>
      </c>
      <c r="D30">
        <v>1</v>
      </c>
      <c r="E30">
        <v>1</v>
      </c>
      <c r="F30">
        <v>1</v>
      </c>
      <c r="G30">
        <v>1</v>
      </c>
      <c r="H30">
        <v>1</v>
      </c>
      <c r="I30">
        <v>1</v>
      </c>
      <c r="J30">
        <v>1</v>
      </c>
      <c r="K30">
        <v>1</v>
      </c>
      <c r="L30">
        <v>1</v>
      </c>
      <c r="M30">
        <v>1</v>
      </c>
      <c r="N30">
        <v>1</v>
      </c>
      <c r="P30">
        <v>1.8616945743560791</v>
      </c>
    </row>
    <row r="31" spans="1:16" x14ac:dyDescent="0.25">
      <c r="A31" t="s">
        <v>16</v>
      </c>
      <c r="B31" t="s">
        <v>54</v>
      </c>
      <c r="C31">
        <v>0</v>
      </c>
      <c r="D31">
        <v>1</v>
      </c>
      <c r="E31">
        <v>0</v>
      </c>
      <c r="F31">
        <v>1</v>
      </c>
      <c r="G31">
        <v>1</v>
      </c>
      <c r="H31" t="s">
        <v>28</v>
      </c>
      <c r="I31">
        <v>1</v>
      </c>
      <c r="J31" t="s">
        <v>28</v>
      </c>
      <c r="K31">
        <v>1</v>
      </c>
      <c r="L31">
        <v>1</v>
      </c>
      <c r="M31">
        <v>1</v>
      </c>
      <c r="N31">
        <v>1</v>
      </c>
      <c r="O31" t="s">
        <v>220</v>
      </c>
      <c r="P31">
        <v>3.1261780261993408</v>
      </c>
    </row>
    <row r="32" spans="1:16" x14ac:dyDescent="0.25">
      <c r="A32" t="s">
        <v>16</v>
      </c>
      <c r="B32" t="s">
        <v>56</v>
      </c>
      <c r="C32">
        <v>0</v>
      </c>
      <c r="D32">
        <v>1</v>
      </c>
      <c r="E32">
        <v>0</v>
      </c>
      <c r="F32">
        <v>1</v>
      </c>
      <c r="G32">
        <v>1</v>
      </c>
      <c r="H32" t="s">
        <v>28</v>
      </c>
      <c r="I32">
        <v>1</v>
      </c>
      <c r="J32" t="s">
        <v>28</v>
      </c>
      <c r="K32">
        <v>1</v>
      </c>
      <c r="L32">
        <v>1</v>
      </c>
      <c r="M32">
        <v>1</v>
      </c>
      <c r="N32">
        <v>1</v>
      </c>
      <c r="O32" t="s">
        <v>221</v>
      </c>
      <c r="P32">
        <v>2.105904340744019</v>
      </c>
    </row>
    <row r="33" spans="1:16" x14ac:dyDescent="0.25">
      <c r="A33" t="s">
        <v>16</v>
      </c>
      <c r="B33" t="s">
        <v>58</v>
      </c>
      <c r="C33">
        <v>0</v>
      </c>
      <c r="D33">
        <v>1</v>
      </c>
      <c r="E33">
        <v>0</v>
      </c>
      <c r="F33">
        <v>1</v>
      </c>
      <c r="G33">
        <v>1</v>
      </c>
      <c r="H33" t="s">
        <v>28</v>
      </c>
      <c r="I33">
        <v>1</v>
      </c>
      <c r="J33" t="s">
        <v>28</v>
      </c>
      <c r="K33">
        <v>1</v>
      </c>
      <c r="L33">
        <v>1</v>
      </c>
      <c r="M33">
        <v>1</v>
      </c>
      <c r="N33">
        <v>1</v>
      </c>
      <c r="O33" t="s">
        <v>222</v>
      </c>
      <c r="P33">
        <v>2.3208470344543461</v>
      </c>
    </row>
    <row r="34" spans="1:16" x14ac:dyDescent="0.25">
      <c r="A34" t="s">
        <v>16</v>
      </c>
      <c r="B34" t="s">
        <v>60</v>
      </c>
      <c r="C34">
        <v>0</v>
      </c>
      <c r="D34">
        <v>0</v>
      </c>
      <c r="E34" t="s">
        <v>28</v>
      </c>
      <c r="F34" t="s">
        <v>28</v>
      </c>
      <c r="G34" t="s">
        <v>28</v>
      </c>
      <c r="H34" t="s">
        <v>28</v>
      </c>
      <c r="I34" t="s">
        <v>28</v>
      </c>
      <c r="J34" t="s">
        <v>28</v>
      </c>
      <c r="K34" t="s">
        <v>28</v>
      </c>
      <c r="L34" t="s">
        <v>28</v>
      </c>
      <c r="M34" t="s">
        <v>28</v>
      </c>
      <c r="N34" t="s">
        <v>28</v>
      </c>
      <c r="O34" t="s">
        <v>223</v>
      </c>
      <c r="P34">
        <v>5.3872129917144784</v>
      </c>
    </row>
    <row r="35" spans="1:16" x14ac:dyDescent="0.25">
      <c r="A35" t="s">
        <v>16</v>
      </c>
      <c r="B35" t="s">
        <v>62</v>
      </c>
      <c r="C35">
        <v>0</v>
      </c>
      <c r="D35">
        <v>1</v>
      </c>
      <c r="E35">
        <v>1</v>
      </c>
      <c r="F35">
        <v>1</v>
      </c>
      <c r="G35">
        <v>1</v>
      </c>
      <c r="H35">
        <v>1</v>
      </c>
      <c r="I35">
        <v>1</v>
      </c>
      <c r="J35">
        <v>1</v>
      </c>
      <c r="K35">
        <v>1</v>
      </c>
      <c r="L35">
        <v>1</v>
      </c>
      <c r="M35">
        <v>1</v>
      </c>
      <c r="N35">
        <v>1</v>
      </c>
      <c r="P35">
        <v>2.3252675533294682</v>
      </c>
    </row>
    <row r="36" spans="1:16" x14ac:dyDescent="0.25">
      <c r="A36" t="s">
        <v>16</v>
      </c>
      <c r="B36" t="s">
        <v>63</v>
      </c>
      <c r="C36">
        <v>0</v>
      </c>
      <c r="D36">
        <v>1</v>
      </c>
      <c r="E36">
        <v>1</v>
      </c>
      <c r="F36">
        <v>1</v>
      </c>
      <c r="G36">
        <v>1</v>
      </c>
      <c r="H36">
        <v>1</v>
      </c>
      <c r="I36">
        <v>1</v>
      </c>
      <c r="J36">
        <v>1</v>
      </c>
      <c r="K36">
        <v>1</v>
      </c>
      <c r="L36">
        <v>1</v>
      </c>
      <c r="M36">
        <v>1</v>
      </c>
      <c r="N36">
        <v>1</v>
      </c>
      <c r="P36">
        <v>2.122693538665771</v>
      </c>
    </row>
    <row r="37" spans="1:16" x14ac:dyDescent="0.25">
      <c r="A37" t="s">
        <v>16</v>
      </c>
      <c r="B37" t="s">
        <v>64</v>
      </c>
      <c r="C37">
        <v>0</v>
      </c>
      <c r="D37">
        <v>1</v>
      </c>
      <c r="E37">
        <v>1</v>
      </c>
      <c r="F37">
        <v>1</v>
      </c>
      <c r="G37">
        <v>1</v>
      </c>
      <c r="H37">
        <v>1</v>
      </c>
      <c r="I37">
        <v>1</v>
      </c>
      <c r="J37">
        <v>1</v>
      </c>
      <c r="K37">
        <v>1</v>
      </c>
      <c r="L37">
        <v>1</v>
      </c>
      <c r="M37">
        <v>1</v>
      </c>
      <c r="N37">
        <v>1</v>
      </c>
      <c r="P37">
        <v>1.8131422996521001</v>
      </c>
    </row>
    <row r="38" spans="1:16" x14ac:dyDescent="0.25">
      <c r="A38" t="s">
        <v>16</v>
      </c>
      <c r="B38" t="s">
        <v>65</v>
      </c>
      <c r="C38">
        <v>0</v>
      </c>
      <c r="D38">
        <v>1</v>
      </c>
      <c r="E38">
        <v>1</v>
      </c>
      <c r="F38">
        <v>1</v>
      </c>
      <c r="G38">
        <v>1</v>
      </c>
      <c r="H38">
        <v>1</v>
      </c>
      <c r="I38">
        <v>1</v>
      </c>
      <c r="J38">
        <v>1</v>
      </c>
      <c r="K38">
        <v>1</v>
      </c>
      <c r="L38">
        <v>1</v>
      </c>
      <c r="M38">
        <v>1</v>
      </c>
      <c r="N38">
        <v>1</v>
      </c>
      <c r="P38">
        <v>1.607575416564941</v>
      </c>
    </row>
    <row r="39" spans="1:16" x14ac:dyDescent="0.25">
      <c r="A39" t="s">
        <v>16</v>
      </c>
      <c r="B39" t="s">
        <v>66</v>
      </c>
      <c r="C39">
        <v>0</v>
      </c>
      <c r="D39">
        <v>1</v>
      </c>
      <c r="E39">
        <v>1</v>
      </c>
      <c r="F39">
        <v>1</v>
      </c>
      <c r="G39">
        <v>1</v>
      </c>
      <c r="H39">
        <v>1</v>
      </c>
      <c r="I39">
        <v>1</v>
      </c>
      <c r="J39">
        <v>1</v>
      </c>
      <c r="K39">
        <v>1</v>
      </c>
      <c r="L39">
        <v>1</v>
      </c>
      <c r="M39">
        <v>1</v>
      </c>
      <c r="N39">
        <v>1</v>
      </c>
      <c r="P39">
        <v>7.9369490146636963</v>
      </c>
    </row>
    <row r="40" spans="1:16" x14ac:dyDescent="0.25">
      <c r="A40" t="s">
        <v>16</v>
      </c>
      <c r="B40" t="s">
        <v>67</v>
      </c>
      <c r="C40">
        <v>0</v>
      </c>
      <c r="D40">
        <v>1</v>
      </c>
      <c r="E40">
        <v>0</v>
      </c>
      <c r="F40">
        <v>1</v>
      </c>
      <c r="G40">
        <v>1</v>
      </c>
      <c r="H40" t="s">
        <v>28</v>
      </c>
      <c r="I40">
        <v>1</v>
      </c>
      <c r="J40" t="s">
        <v>28</v>
      </c>
      <c r="K40">
        <v>1</v>
      </c>
      <c r="L40">
        <v>1</v>
      </c>
      <c r="M40">
        <v>1</v>
      </c>
      <c r="N40">
        <v>1</v>
      </c>
      <c r="O40" t="s">
        <v>224</v>
      </c>
      <c r="P40">
        <v>5.7031102180480957</v>
      </c>
    </row>
    <row r="41" spans="1:16" x14ac:dyDescent="0.25">
      <c r="A41" t="s">
        <v>16</v>
      </c>
      <c r="B41" t="s">
        <v>69</v>
      </c>
      <c r="C41">
        <v>0</v>
      </c>
      <c r="D41">
        <v>0</v>
      </c>
      <c r="E41" t="s">
        <v>28</v>
      </c>
      <c r="F41" t="s">
        <v>28</v>
      </c>
      <c r="G41" t="s">
        <v>28</v>
      </c>
      <c r="H41" t="s">
        <v>28</v>
      </c>
      <c r="I41" t="s">
        <v>28</v>
      </c>
      <c r="J41" t="s">
        <v>28</v>
      </c>
      <c r="K41" t="s">
        <v>28</v>
      </c>
      <c r="L41" t="s">
        <v>28</v>
      </c>
      <c r="M41" t="s">
        <v>28</v>
      </c>
      <c r="N41" t="s">
        <v>28</v>
      </c>
      <c r="O41" t="s">
        <v>225</v>
      </c>
      <c r="P41">
        <v>4.4767725467681876</v>
      </c>
    </row>
    <row r="42" spans="1:16" x14ac:dyDescent="0.25">
      <c r="A42" t="s">
        <v>16</v>
      </c>
      <c r="B42" t="s">
        <v>70</v>
      </c>
      <c r="C42">
        <v>0</v>
      </c>
      <c r="D42">
        <v>1</v>
      </c>
      <c r="E42">
        <v>1</v>
      </c>
      <c r="F42">
        <v>1</v>
      </c>
      <c r="G42">
        <v>1</v>
      </c>
      <c r="H42">
        <v>1</v>
      </c>
      <c r="I42">
        <v>1</v>
      </c>
      <c r="J42">
        <v>1</v>
      </c>
      <c r="K42">
        <v>1</v>
      </c>
      <c r="L42">
        <v>1</v>
      </c>
      <c r="M42">
        <v>1</v>
      </c>
      <c r="N42">
        <v>1</v>
      </c>
      <c r="P42">
        <v>1.439907312393188</v>
      </c>
    </row>
    <row r="43" spans="1:16" x14ac:dyDescent="0.25">
      <c r="A43" t="s">
        <v>16</v>
      </c>
      <c r="B43" t="s">
        <v>71</v>
      </c>
      <c r="C43">
        <v>0</v>
      </c>
      <c r="D43">
        <v>1</v>
      </c>
      <c r="E43">
        <v>1</v>
      </c>
      <c r="F43">
        <v>1</v>
      </c>
      <c r="G43">
        <v>1</v>
      </c>
      <c r="H43">
        <v>1</v>
      </c>
      <c r="I43">
        <v>1</v>
      </c>
      <c r="J43">
        <v>1</v>
      </c>
      <c r="K43">
        <v>1</v>
      </c>
      <c r="L43">
        <v>1</v>
      </c>
      <c r="M43">
        <v>1</v>
      </c>
      <c r="N43">
        <v>1</v>
      </c>
      <c r="P43">
        <v>2.0040264129638672</v>
      </c>
    </row>
    <row r="44" spans="1:16" x14ac:dyDescent="0.25">
      <c r="A44" t="s">
        <v>16</v>
      </c>
      <c r="B44" t="s">
        <v>72</v>
      </c>
      <c r="C44">
        <v>0</v>
      </c>
      <c r="D44">
        <v>1</v>
      </c>
      <c r="E44">
        <v>1</v>
      </c>
      <c r="F44">
        <v>0</v>
      </c>
      <c r="G44">
        <v>1</v>
      </c>
      <c r="H44">
        <v>1</v>
      </c>
      <c r="I44">
        <v>1</v>
      </c>
      <c r="J44" t="s">
        <v>28</v>
      </c>
      <c r="K44">
        <v>1</v>
      </c>
      <c r="L44">
        <v>1</v>
      </c>
      <c r="M44">
        <v>1</v>
      </c>
      <c r="N44">
        <v>1</v>
      </c>
      <c r="O44" t="s">
        <v>226</v>
      </c>
      <c r="P44">
        <v>2.0992400646209721</v>
      </c>
    </row>
    <row r="45" spans="1:16" x14ac:dyDescent="0.25">
      <c r="A45" t="s">
        <v>16</v>
      </c>
      <c r="B45" t="s">
        <v>74</v>
      </c>
      <c r="C45">
        <v>0</v>
      </c>
      <c r="D45">
        <v>1</v>
      </c>
      <c r="E45">
        <v>1</v>
      </c>
      <c r="F45">
        <v>1</v>
      </c>
      <c r="G45">
        <v>1</v>
      </c>
      <c r="H45">
        <v>1</v>
      </c>
      <c r="I45">
        <v>1</v>
      </c>
      <c r="J45">
        <v>1</v>
      </c>
      <c r="K45">
        <v>1</v>
      </c>
      <c r="L45">
        <v>1</v>
      </c>
      <c r="M45">
        <v>1</v>
      </c>
      <c r="N45">
        <v>1</v>
      </c>
      <c r="P45">
        <v>1.8419589996337891</v>
      </c>
    </row>
    <row r="46" spans="1:16" x14ac:dyDescent="0.25">
      <c r="A46" t="s">
        <v>16</v>
      </c>
      <c r="B46" t="s">
        <v>75</v>
      </c>
      <c r="C46">
        <v>0</v>
      </c>
      <c r="D46">
        <v>1</v>
      </c>
      <c r="E46">
        <v>1</v>
      </c>
      <c r="F46">
        <v>1</v>
      </c>
      <c r="G46">
        <v>1</v>
      </c>
      <c r="H46">
        <v>1</v>
      </c>
      <c r="I46">
        <v>1</v>
      </c>
      <c r="J46">
        <v>1</v>
      </c>
      <c r="K46">
        <v>1</v>
      </c>
      <c r="L46">
        <v>1</v>
      </c>
      <c r="M46">
        <v>1</v>
      </c>
      <c r="N46">
        <v>1</v>
      </c>
      <c r="P46">
        <v>2.6948423385620122</v>
      </c>
    </row>
    <row r="47" spans="1:16" x14ac:dyDescent="0.25">
      <c r="A47" t="s">
        <v>16</v>
      </c>
      <c r="B47" t="s">
        <v>76</v>
      </c>
      <c r="C47">
        <v>0</v>
      </c>
      <c r="D47">
        <v>1</v>
      </c>
      <c r="E47">
        <v>1</v>
      </c>
      <c r="F47">
        <v>1</v>
      </c>
      <c r="G47">
        <v>1</v>
      </c>
      <c r="H47">
        <v>1</v>
      </c>
      <c r="I47">
        <v>1</v>
      </c>
      <c r="J47">
        <v>1</v>
      </c>
      <c r="K47">
        <v>1</v>
      </c>
      <c r="L47">
        <v>1</v>
      </c>
      <c r="M47">
        <v>1</v>
      </c>
      <c r="N47">
        <v>1</v>
      </c>
      <c r="P47">
        <v>1.4774951934814451</v>
      </c>
    </row>
    <row r="48" spans="1:16" x14ac:dyDescent="0.25">
      <c r="A48" t="s">
        <v>16</v>
      </c>
      <c r="B48" t="s">
        <v>77</v>
      </c>
      <c r="C48">
        <v>0</v>
      </c>
      <c r="D48">
        <v>1</v>
      </c>
      <c r="E48">
        <v>1</v>
      </c>
      <c r="F48">
        <v>1</v>
      </c>
      <c r="G48">
        <v>1</v>
      </c>
      <c r="H48">
        <v>1</v>
      </c>
      <c r="I48">
        <v>1</v>
      </c>
      <c r="J48">
        <v>1</v>
      </c>
      <c r="K48">
        <v>1</v>
      </c>
      <c r="L48">
        <v>1</v>
      </c>
      <c r="M48">
        <v>1</v>
      </c>
      <c r="N48">
        <v>1</v>
      </c>
      <c r="P48">
        <v>1.503911972045898</v>
      </c>
    </row>
    <row r="49" spans="1:16" x14ac:dyDescent="0.25">
      <c r="A49" t="s">
        <v>16</v>
      </c>
      <c r="B49" t="s">
        <v>78</v>
      </c>
      <c r="C49">
        <v>0</v>
      </c>
      <c r="D49">
        <v>1</v>
      </c>
      <c r="E49">
        <v>1</v>
      </c>
      <c r="F49">
        <v>1</v>
      </c>
      <c r="G49">
        <v>1</v>
      </c>
      <c r="H49">
        <v>1</v>
      </c>
      <c r="I49">
        <v>1</v>
      </c>
      <c r="J49">
        <v>1</v>
      </c>
      <c r="K49">
        <v>1</v>
      </c>
      <c r="L49">
        <v>1</v>
      </c>
      <c r="M49">
        <v>1</v>
      </c>
      <c r="N49">
        <v>1</v>
      </c>
      <c r="P49">
        <v>1.719420909881592</v>
      </c>
    </row>
    <row r="50" spans="1:16" x14ac:dyDescent="0.25">
      <c r="A50" t="s">
        <v>16</v>
      </c>
      <c r="B50" t="s">
        <v>79</v>
      </c>
      <c r="C50">
        <v>0</v>
      </c>
      <c r="D50">
        <v>1</v>
      </c>
      <c r="E50">
        <v>1</v>
      </c>
      <c r="F50">
        <v>1</v>
      </c>
      <c r="G50">
        <v>1</v>
      </c>
      <c r="H50">
        <v>1</v>
      </c>
      <c r="I50">
        <v>1</v>
      </c>
      <c r="J50">
        <v>1</v>
      </c>
      <c r="K50">
        <v>1</v>
      </c>
      <c r="L50">
        <v>1</v>
      </c>
      <c r="M50">
        <v>1</v>
      </c>
      <c r="N50">
        <v>1</v>
      </c>
      <c r="P50">
        <v>1.9727268218994141</v>
      </c>
    </row>
    <row r="51" spans="1:16" x14ac:dyDescent="0.25">
      <c r="A51" t="s">
        <v>80</v>
      </c>
      <c r="B51" t="s">
        <v>17</v>
      </c>
      <c r="C51">
        <v>0</v>
      </c>
      <c r="D51">
        <v>1</v>
      </c>
      <c r="E51">
        <v>1</v>
      </c>
      <c r="F51">
        <v>1</v>
      </c>
      <c r="G51">
        <v>1</v>
      </c>
      <c r="H51">
        <v>1</v>
      </c>
      <c r="I51">
        <v>1</v>
      </c>
      <c r="J51">
        <v>1</v>
      </c>
      <c r="K51">
        <v>1</v>
      </c>
      <c r="L51">
        <v>1</v>
      </c>
      <c r="M51">
        <v>1</v>
      </c>
      <c r="N51">
        <v>1</v>
      </c>
      <c r="P51">
        <v>1.521959066390991</v>
      </c>
    </row>
    <row r="52" spans="1:16" x14ac:dyDescent="0.25">
      <c r="A52" t="s">
        <v>80</v>
      </c>
      <c r="B52" t="s">
        <v>18</v>
      </c>
      <c r="C52">
        <v>0</v>
      </c>
      <c r="D52">
        <v>0</v>
      </c>
      <c r="E52" t="s">
        <v>28</v>
      </c>
      <c r="F52" t="s">
        <v>28</v>
      </c>
      <c r="G52" t="s">
        <v>28</v>
      </c>
      <c r="H52" t="s">
        <v>28</v>
      </c>
      <c r="I52" t="s">
        <v>28</v>
      </c>
      <c r="J52" t="s">
        <v>28</v>
      </c>
      <c r="K52" t="s">
        <v>28</v>
      </c>
      <c r="L52" t="s">
        <v>28</v>
      </c>
      <c r="M52" t="s">
        <v>28</v>
      </c>
      <c r="N52" t="s">
        <v>28</v>
      </c>
      <c r="O52" t="s">
        <v>227</v>
      </c>
      <c r="P52">
        <v>5.8120403289794922</v>
      </c>
    </row>
    <row r="53" spans="1:16" x14ac:dyDescent="0.25">
      <c r="A53" t="s">
        <v>80</v>
      </c>
      <c r="B53" t="s">
        <v>19</v>
      </c>
      <c r="C53">
        <v>0</v>
      </c>
      <c r="D53">
        <v>1</v>
      </c>
      <c r="E53">
        <v>1</v>
      </c>
      <c r="F53">
        <v>1</v>
      </c>
      <c r="G53">
        <v>1</v>
      </c>
      <c r="H53">
        <v>1</v>
      </c>
      <c r="I53">
        <v>1</v>
      </c>
      <c r="J53">
        <v>1</v>
      </c>
      <c r="K53">
        <v>1</v>
      </c>
      <c r="L53">
        <v>1</v>
      </c>
      <c r="M53">
        <v>1</v>
      </c>
      <c r="N53">
        <v>1</v>
      </c>
      <c r="P53">
        <v>2.7922837734222412</v>
      </c>
    </row>
    <row r="54" spans="1:16" x14ac:dyDescent="0.25">
      <c r="A54" t="s">
        <v>80</v>
      </c>
      <c r="B54" t="s">
        <v>20</v>
      </c>
      <c r="C54">
        <v>0</v>
      </c>
      <c r="D54">
        <v>1</v>
      </c>
      <c r="E54">
        <v>1</v>
      </c>
      <c r="F54">
        <v>1</v>
      </c>
      <c r="G54">
        <v>1</v>
      </c>
      <c r="H54">
        <v>1</v>
      </c>
      <c r="I54">
        <v>1</v>
      </c>
      <c r="J54">
        <v>0</v>
      </c>
      <c r="K54">
        <v>1</v>
      </c>
      <c r="L54">
        <v>1</v>
      </c>
      <c r="M54">
        <v>1</v>
      </c>
      <c r="N54">
        <v>1</v>
      </c>
      <c r="O54" t="s">
        <v>228</v>
      </c>
      <c r="P54">
        <v>2.767128705978394</v>
      </c>
    </row>
    <row r="55" spans="1:16" x14ac:dyDescent="0.25">
      <c r="A55" t="s">
        <v>80</v>
      </c>
      <c r="B55" t="s">
        <v>21</v>
      </c>
      <c r="C55">
        <v>0</v>
      </c>
      <c r="D55">
        <v>1</v>
      </c>
      <c r="E55">
        <v>0</v>
      </c>
      <c r="F55">
        <v>1</v>
      </c>
      <c r="G55">
        <v>1</v>
      </c>
      <c r="H55" t="s">
        <v>28</v>
      </c>
      <c r="I55">
        <v>1</v>
      </c>
      <c r="J55" t="s">
        <v>28</v>
      </c>
      <c r="K55">
        <v>1</v>
      </c>
      <c r="L55">
        <v>1</v>
      </c>
      <c r="M55">
        <v>1</v>
      </c>
      <c r="N55">
        <v>1</v>
      </c>
      <c r="O55" t="s">
        <v>229</v>
      </c>
      <c r="P55">
        <v>4.3824994564056396</v>
      </c>
    </row>
    <row r="56" spans="1:16" x14ac:dyDescent="0.25">
      <c r="A56" t="s">
        <v>80</v>
      </c>
      <c r="B56" t="s">
        <v>22</v>
      </c>
      <c r="C56">
        <v>0</v>
      </c>
      <c r="D56">
        <v>1</v>
      </c>
      <c r="E56">
        <v>0</v>
      </c>
      <c r="F56">
        <v>0</v>
      </c>
      <c r="G56">
        <v>1</v>
      </c>
      <c r="H56" t="s">
        <v>28</v>
      </c>
      <c r="I56">
        <v>1</v>
      </c>
      <c r="J56" t="s">
        <v>28</v>
      </c>
      <c r="K56">
        <v>1</v>
      </c>
      <c r="L56">
        <v>1</v>
      </c>
      <c r="M56">
        <v>1</v>
      </c>
      <c r="N56">
        <v>1</v>
      </c>
      <c r="O56" t="s">
        <v>230</v>
      </c>
      <c r="P56">
        <v>4.1482744216918954</v>
      </c>
    </row>
    <row r="57" spans="1:16" x14ac:dyDescent="0.25">
      <c r="A57" t="s">
        <v>80</v>
      </c>
      <c r="B57" t="s">
        <v>23</v>
      </c>
      <c r="C57">
        <v>0</v>
      </c>
      <c r="D57">
        <v>1</v>
      </c>
      <c r="E57">
        <v>1</v>
      </c>
      <c r="F57">
        <v>1</v>
      </c>
      <c r="G57">
        <v>1</v>
      </c>
      <c r="H57">
        <v>1</v>
      </c>
      <c r="I57">
        <v>1</v>
      </c>
      <c r="J57">
        <v>1</v>
      </c>
      <c r="K57">
        <v>1</v>
      </c>
      <c r="L57">
        <v>1</v>
      </c>
      <c r="M57">
        <v>1</v>
      </c>
      <c r="N57">
        <v>1</v>
      </c>
      <c r="P57">
        <v>23.71526312828064</v>
      </c>
    </row>
    <row r="58" spans="1:16" x14ac:dyDescent="0.25">
      <c r="A58" t="s">
        <v>80</v>
      </c>
      <c r="B58" t="s">
        <v>24</v>
      </c>
      <c r="C58">
        <v>0</v>
      </c>
      <c r="D58">
        <v>1</v>
      </c>
      <c r="E58">
        <v>0</v>
      </c>
      <c r="F58">
        <v>1</v>
      </c>
      <c r="G58">
        <v>1</v>
      </c>
      <c r="H58" t="s">
        <v>28</v>
      </c>
      <c r="I58">
        <v>1</v>
      </c>
      <c r="J58" t="s">
        <v>28</v>
      </c>
      <c r="K58">
        <v>1</v>
      </c>
      <c r="L58">
        <v>1</v>
      </c>
      <c r="M58">
        <v>1</v>
      </c>
      <c r="N58">
        <v>1</v>
      </c>
      <c r="O58" t="s">
        <v>231</v>
      </c>
      <c r="P58">
        <v>3.1755046844482422</v>
      </c>
    </row>
    <row r="59" spans="1:16" x14ac:dyDescent="0.25">
      <c r="A59" t="s">
        <v>80</v>
      </c>
      <c r="B59" t="s">
        <v>25</v>
      </c>
      <c r="C59">
        <v>0</v>
      </c>
      <c r="D59">
        <v>1</v>
      </c>
      <c r="E59">
        <v>1</v>
      </c>
      <c r="F59">
        <v>1</v>
      </c>
      <c r="G59">
        <v>1</v>
      </c>
      <c r="H59">
        <v>1</v>
      </c>
      <c r="I59">
        <v>1</v>
      </c>
      <c r="J59">
        <v>1</v>
      </c>
      <c r="K59">
        <v>1</v>
      </c>
      <c r="L59">
        <v>1</v>
      </c>
      <c r="M59">
        <v>1</v>
      </c>
      <c r="N59">
        <v>1</v>
      </c>
      <c r="P59">
        <v>1.5934650897979741</v>
      </c>
    </row>
    <row r="60" spans="1:16" x14ac:dyDescent="0.25">
      <c r="A60" t="s">
        <v>80</v>
      </c>
      <c r="B60" t="s">
        <v>26</v>
      </c>
      <c r="C60">
        <v>0</v>
      </c>
      <c r="D60">
        <v>1</v>
      </c>
      <c r="E60">
        <v>1</v>
      </c>
      <c r="F60">
        <v>1</v>
      </c>
      <c r="G60">
        <v>1</v>
      </c>
      <c r="H60">
        <v>1</v>
      </c>
      <c r="I60">
        <v>1</v>
      </c>
      <c r="J60">
        <v>1</v>
      </c>
      <c r="K60">
        <v>1</v>
      </c>
      <c r="L60">
        <v>1</v>
      </c>
      <c r="M60">
        <v>1</v>
      </c>
      <c r="N60">
        <v>1</v>
      </c>
      <c r="P60">
        <v>1.608695268630981</v>
      </c>
    </row>
    <row r="61" spans="1:16" x14ac:dyDescent="0.25">
      <c r="A61" t="s">
        <v>80</v>
      </c>
      <c r="B61" t="s">
        <v>27</v>
      </c>
      <c r="C61">
        <v>0</v>
      </c>
      <c r="D61">
        <v>1</v>
      </c>
      <c r="E61">
        <v>1</v>
      </c>
      <c r="F61">
        <v>1</v>
      </c>
      <c r="G61">
        <v>1</v>
      </c>
      <c r="H61">
        <v>1</v>
      </c>
      <c r="I61">
        <v>1</v>
      </c>
      <c r="J61">
        <v>1</v>
      </c>
      <c r="K61">
        <v>1</v>
      </c>
      <c r="L61">
        <v>1</v>
      </c>
      <c r="M61">
        <v>1</v>
      </c>
      <c r="N61">
        <v>1</v>
      </c>
      <c r="P61">
        <v>3.466335535049438</v>
      </c>
    </row>
    <row r="62" spans="1:16" x14ac:dyDescent="0.25">
      <c r="A62" t="s">
        <v>80</v>
      </c>
      <c r="B62" t="s">
        <v>30</v>
      </c>
      <c r="C62">
        <v>0</v>
      </c>
      <c r="D62">
        <v>1</v>
      </c>
      <c r="E62">
        <v>1</v>
      </c>
      <c r="F62">
        <v>1</v>
      </c>
      <c r="G62">
        <v>1</v>
      </c>
      <c r="H62">
        <v>1</v>
      </c>
      <c r="I62">
        <v>1</v>
      </c>
      <c r="J62">
        <v>1</v>
      </c>
      <c r="K62">
        <v>1</v>
      </c>
      <c r="L62">
        <v>1</v>
      </c>
      <c r="M62">
        <v>1</v>
      </c>
      <c r="N62">
        <v>1</v>
      </c>
      <c r="P62">
        <v>1.529428958892822</v>
      </c>
    </row>
    <row r="63" spans="1:16" x14ac:dyDescent="0.25">
      <c r="A63" t="s">
        <v>80</v>
      </c>
      <c r="B63" t="s">
        <v>31</v>
      </c>
      <c r="C63">
        <v>0</v>
      </c>
      <c r="D63">
        <v>1</v>
      </c>
      <c r="E63">
        <v>1</v>
      </c>
      <c r="F63">
        <v>1</v>
      </c>
      <c r="G63">
        <v>1</v>
      </c>
      <c r="H63">
        <v>1</v>
      </c>
      <c r="I63">
        <v>1</v>
      </c>
      <c r="J63">
        <v>1</v>
      </c>
      <c r="K63">
        <v>1</v>
      </c>
      <c r="L63">
        <v>1</v>
      </c>
      <c r="M63">
        <v>1</v>
      </c>
      <c r="N63">
        <v>1</v>
      </c>
      <c r="P63">
        <v>8.1797850131988525</v>
      </c>
    </row>
    <row r="64" spans="1:16" x14ac:dyDescent="0.25">
      <c r="A64" t="s">
        <v>80</v>
      </c>
      <c r="B64" t="s">
        <v>33</v>
      </c>
      <c r="C64">
        <v>0</v>
      </c>
      <c r="D64">
        <v>1</v>
      </c>
      <c r="E64">
        <v>1</v>
      </c>
      <c r="F64">
        <v>1</v>
      </c>
      <c r="G64">
        <v>1</v>
      </c>
      <c r="H64">
        <v>1</v>
      </c>
      <c r="I64">
        <v>1</v>
      </c>
      <c r="J64">
        <v>1</v>
      </c>
      <c r="K64">
        <v>1</v>
      </c>
      <c r="L64">
        <v>1</v>
      </c>
      <c r="M64">
        <v>1</v>
      </c>
      <c r="N64">
        <v>1</v>
      </c>
      <c r="P64">
        <v>1.4158287048339839</v>
      </c>
    </row>
    <row r="65" spans="1:16" x14ac:dyDescent="0.25">
      <c r="A65" t="s">
        <v>80</v>
      </c>
      <c r="B65" t="s">
        <v>34</v>
      </c>
      <c r="C65">
        <v>0</v>
      </c>
      <c r="D65">
        <v>1</v>
      </c>
      <c r="E65">
        <v>0</v>
      </c>
      <c r="F65">
        <v>1</v>
      </c>
      <c r="G65">
        <v>1</v>
      </c>
      <c r="H65" t="s">
        <v>28</v>
      </c>
      <c r="I65">
        <v>1</v>
      </c>
      <c r="J65" t="s">
        <v>28</v>
      </c>
      <c r="K65">
        <v>1</v>
      </c>
      <c r="L65">
        <v>1</v>
      </c>
      <c r="M65">
        <v>1</v>
      </c>
      <c r="N65">
        <v>1</v>
      </c>
      <c r="O65" t="s">
        <v>232</v>
      </c>
      <c r="P65">
        <v>2.6047921180725102</v>
      </c>
    </row>
    <row r="66" spans="1:16" x14ac:dyDescent="0.25">
      <c r="A66" t="s">
        <v>80</v>
      </c>
      <c r="B66" t="s">
        <v>36</v>
      </c>
      <c r="C66">
        <v>0</v>
      </c>
      <c r="D66">
        <v>1</v>
      </c>
      <c r="E66">
        <v>1</v>
      </c>
      <c r="F66">
        <v>1</v>
      </c>
      <c r="G66">
        <v>1</v>
      </c>
      <c r="H66">
        <v>1</v>
      </c>
      <c r="I66">
        <v>1</v>
      </c>
      <c r="J66">
        <v>1</v>
      </c>
      <c r="K66">
        <v>1</v>
      </c>
      <c r="L66">
        <v>1</v>
      </c>
      <c r="M66">
        <v>1</v>
      </c>
      <c r="N66">
        <v>1</v>
      </c>
      <c r="P66">
        <v>1.2894687652587891</v>
      </c>
    </row>
    <row r="67" spans="1:16" x14ac:dyDescent="0.25">
      <c r="A67" t="s">
        <v>80</v>
      </c>
      <c r="B67" t="s">
        <v>37</v>
      </c>
      <c r="C67">
        <v>0</v>
      </c>
      <c r="D67">
        <v>1</v>
      </c>
      <c r="E67">
        <v>1</v>
      </c>
      <c r="F67">
        <v>1</v>
      </c>
      <c r="G67">
        <v>1</v>
      </c>
      <c r="H67">
        <v>1</v>
      </c>
      <c r="I67">
        <v>1</v>
      </c>
      <c r="J67">
        <v>1</v>
      </c>
      <c r="K67">
        <v>1</v>
      </c>
      <c r="L67">
        <v>1</v>
      </c>
      <c r="M67">
        <v>1</v>
      </c>
      <c r="N67">
        <v>1</v>
      </c>
      <c r="P67">
        <v>2.0146269798278809</v>
      </c>
    </row>
    <row r="68" spans="1:16" x14ac:dyDescent="0.25">
      <c r="A68" t="s">
        <v>80</v>
      </c>
      <c r="B68" t="s">
        <v>38</v>
      </c>
      <c r="C68">
        <v>0</v>
      </c>
      <c r="D68">
        <v>1</v>
      </c>
      <c r="E68">
        <v>1</v>
      </c>
      <c r="F68">
        <v>1</v>
      </c>
      <c r="G68">
        <v>1</v>
      </c>
      <c r="H68">
        <v>1</v>
      </c>
      <c r="I68">
        <v>1</v>
      </c>
      <c r="J68">
        <v>1</v>
      </c>
      <c r="K68">
        <v>1</v>
      </c>
      <c r="L68">
        <v>1</v>
      </c>
      <c r="M68">
        <v>1</v>
      </c>
      <c r="N68">
        <v>1</v>
      </c>
      <c r="P68">
        <v>1.7600352764129641</v>
      </c>
    </row>
    <row r="69" spans="1:16" x14ac:dyDescent="0.25">
      <c r="A69" t="s">
        <v>80</v>
      </c>
      <c r="B69" t="s">
        <v>39</v>
      </c>
      <c r="C69">
        <v>0</v>
      </c>
      <c r="D69">
        <v>1</v>
      </c>
      <c r="E69">
        <v>1</v>
      </c>
      <c r="F69">
        <v>1</v>
      </c>
      <c r="G69">
        <v>1</v>
      </c>
      <c r="H69">
        <v>1</v>
      </c>
      <c r="I69">
        <v>1</v>
      </c>
      <c r="J69">
        <v>1</v>
      </c>
      <c r="K69">
        <v>1</v>
      </c>
      <c r="L69">
        <v>1</v>
      </c>
      <c r="M69">
        <v>1</v>
      </c>
      <c r="N69">
        <v>1</v>
      </c>
      <c r="P69">
        <v>1.6043493747711179</v>
      </c>
    </row>
    <row r="70" spans="1:16" x14ac:dyDescent="0.25">
      <c r="A70" t="s">
        <v>80</v>
      </c>
      <c r="B70" t="s">
        <v>40</v>
      </c>
      <c r="C70">
        <v>0</v>
      </c>
      <c r="D70">
        <v>1</v>
      </c>
      <c r="E70">
        <v>1</v>
      </c>
      <c r="F70">
        <v>1</v>
      </c>
      <c r="G70">
        <v>1</v>
      </c>
      <c r="H70">
        <v>1</v>
      </c>
      <c r="I70">
        <v>1</v>
      </c>
      <c r="J70">
        <v>1</v>
      </c>
      <c r="K70">
        <v>1</v>
      </c>
      <c r="L70">
        <v>1</v>
      </c>
      <c r="M70">
        <v>1</v>
      </c>
      <c r="N70">
        <v>1</v>
      </c>
      <c r="P70">
        <v>1.723761320114136</v>
      </c>
    </row>
    <row r="71" spans="1:16" x14ac:dyDescent="0.25">
      <c r="A71" t="s">
        <v>80</v>
      </c>
      <c r="B71" t="s">
        <v>41</v>
      </c>
      <c r="C71">
        <v>0</v>
      </c>
      <c r="D71">
        <v>1</v>
      </c>
      <c r="E71">
        <v>0</v>
      </c>
      <c r="F71">
        <v>1</v>
      </c>
      <c r="G71">
        <v>1</v>
      </c>
      <c r="H71" t="s">
        <v>28</v>
      </c>
      <c r="I71">
        <v>1</v>
      </c>
      <c r="J71" t="s">
        <v>28</v>
      </c>
      <c r="K71">
        <v>1</v>
      </c>
      <c r="L71">
        <v>1</v>
      </c>
      <c r="M71">
        <v>1</v>
      </c>
      <c r="N71">
        <v>1</v>
      </c>
      <c r="O71" t="s">
        <v>233</v>
      </c>
      <c r="P71">
        <v>2.967764139175415</v>
      </c>
    </row>
    <row r="72" spans="1:16" x14ac:dyDescent="0.25">
      <c r="A72" t="s">
        <v>80</v>
      </c>
      <c r="B72" t="s">
        <v>42</v>
      </c>
      <c r="C72">
        <v>0</v>
      </c>
      <c r="D72">
        <v>1</v>
      </c>
      <c r="E72">
        <v>1</v>
      </c>
      <c r="F72">
        <v>1</v>
      </c>
      <c r="G72">
        <v>1</v>
      </c>
      <c r="H72">
        <v>1</v>
      </c>
      <c r="I72">
        <v>1</v>
      </c>
      <c r="J72">
        <v>1</v>
      </c>
      <c r="K72">
        <v>1</v>
      </c>
      <c r="L72">
        <v>1</v>
      </c>
      <c r="M72">
        <v>1</v>
      </c>
      <c r="N72">
        <v>1</v>
      </c>
      <c r="P72">
        <v>2.9729378223419189</v>
      </c>
    </row>
    <row r="73" spans="1:16" x14ac:dyDescent="0.25">
      <c r="A73" t="s">
        <v>80</v>
      </c>
      <c r="B73" t="s">
        <v>44</v>
      </c>
      <c r="C73">
        <v>0</v>
      </c>
      <c r="D73">
        <v>1</v>
      </c>
      <c r="E73">
        <v>1</v>
      </c>
      <c r="F73">
        <v>1</v>
      </c>
      <c r="G73">
        <v>1</v>
      </c>
      <c r="H73">
        <v>1</v>
      </c>
      <c r="I73">
        <v>1</v>
      </c>
      <c r="J73">
        <v>1</v>
      </c>
      <c r="K73">
        <v>1</v>
      </c>
      <c r="L73">
        <v>1</v>
      </c>
      <c r="M73">
        <v>1</v>
      </c>
      <c r="N73">
        <v>1</v>
      </c>
      <c r="P73">
        <v>1.750934362411499</v>
      </c>
    </row>
    <row r="74" spans="1:16" x14ac:dyDescent="0.25">
      <c r="A74" t="s">
        <v>80</v>
      </c>
      <c r="B74" t="s">
        <v>45</v>
      </c>
      <c r="C74">
        <v>0</v>
      </c>
      <c r="D74">
        <v>1</v>
      </c>
      <c r="E74">
        <v>1</v>
      </c>
      <c r="F74">
        <v>1</v>
      </c>
      <c r="G74">
        <v>1</v>
      </c>
      <c r="H74">
        <v>1</v>
      </c>
      <c r="I74">
        <v>1</v>
      </c>
      <c r="J74">
        <v>1</v>
      </c>
      <c r="K74">
        <v>1</v>
      </c>
      <c r="L74">
        <v>1</v>
      </c>
      <c r="M74">
        <v>1</v>
      </c>
      <c r="N74">
        <v>1</v>
      </c>
      <c r="P74">
        <v>1.5975263118743901</v>
      </c>
    </row>
    <row r="75" spans="1:16" x14ac:dyDescent="0.25">
      <c r="A75" t="s">
        <v>80</v>
      </c>
      <c r="B75" t="s">
        <v>46</v>
      </c>
      <c r="C75">
        <v>0</v>
      </c>
      <c r="D75">
        <v>1</v>
      </c>
      <c r="E75">
        <v>1</v>
      </c>
      <c r="F75">
        <v>1</v>
      </c>
      <c r="G75">
        <v>1</v>
      </c>
      <c r="H75">
        <v>1</v>
      </c>
      <c r="I75">
        <v>1</v>
      </c>
      <c r="J75">
        <v>1</v>
      </c>
      <c r="K75">
        <v>1</v>
      </c>
      <c r="L75">
        <v>1</v>
      </c>
      <c r="M75">
        <v>1</v>
      </c>
      <c r="N75">
        <v>1</v>
      </c>
      <c r="P75">
        <v>1.6361668109893801</v>
      </c>
    </row>
    <row r="76" spans="1:16" x14ac:dyDescent="0.25">
      <c r="A76" t="s">
        <v>80</v>
      </c>
      <c r="B76" t="s">
        <v>47</v>
      </c>
      <c r="C76">
        <v>0</v>
      </c>
      <c r="D76">
        <v>1</v>
      </c>
      <c r="E76">
        <v>1</v>
      </c>
      <c r="F76">
        <v>1</v>
      </c>
      <c r="G76">
        <v>1</v>
      </c>
      <c r="H76">
        <v>1</v>
      </c>
      <c r="I76">
        <v>1</v>
      </c>
      <c r="J76">
        <v>1</v>
      </c>
      <c r="K76">
        <v>1</v>
      </c>
      <c r="L76">
        <v>1</v>
      </c>
      <c r="M76">
        <v>1</v>
      </c>
      <c r="N76">
        <v>1</v>
      </c>
      <c r="P76">
        <v>1.7505314350128169</v>
      </c>
    </row>
    <row r="77" spans="1:16" x14ac:dyDescent="0.25">
      <c r="A77" t="s">
        <v>80</v>
      </c>
      <c r="B77" t="s">
        <v>49</v>
      </c>
      <c r="C77">
        <v>0</v>
      </c>
      <c r="D77">
        <v>1</v>
      </c>
      <c r="E77">
        <v>0</v>
      </c>
      <c r="F77">
        <v>1</v>
      </c>
      <c r="G77">
        <v>1</v>
      </c>
      <c r="H77" t="s">
        <v>28</v>
      </c>
      <c r="I77">
        <v>1</v>
      </c>
      <c r="J77" t="s">
        <v>28</v>
      </c>
      <c r="K77">
        <v>1</v>
      </c>
      <c r="L77">
        <v>1</v>
      </c>
      <c r="M77">
        <v>1</v>
      </c>
      <c r="N77">
        <v>1</v>
      </c>
      <c r="O77" t="s">
        <v>234</v>
      </c>
      <c r="P77">
        <v>2.6500413417816162</v>
      </c>
    </row>
    <row r="78" spans="1:16" x14ac:dyDescent="0.25">
      <c r="A78" t="s">
        <v>80</v>
      </c>
      <c r="B78" t="s">
        <v>51</v>
      </c>
      <c r="C78">
        <v>0</v>
      </c>
      <c r="D78">
        <v>1</v>
      </c>
      <c r="E78">
        <v>0</v>
      </c>
      <c r="F78">
        <v>1</v>
      </c>
      <c r="G78">
        <v>1</v>
      </c>
      <c r="H78" t="s">
        <v>28</v>
      </c>
      <c r="I78">
        <v>1</v>
      </c>
      <c r="J78" t="s">
        <v>28</v>
      </c>
      <c r="K78">
        <v>1</v>
      </c>
      <c r="L78">
        <v>1</v>
      </c>
      <c r="M78">
        <v>1</v>
      </c>
      <c r="N78">
        <v>1</v>
      </c>
      <c r="O78" t="s">
        <v>235</v>
      </c>
      <c r="P78">
        <v>4.5456602573394784</v>
      </c>
    </row>
    <row r="79" spans="1:16" x14ac:dyDescent="0.25">
      <c r="A79" t="s">
        <v>80</v>
      </c>
      <c r="B79" t="s">
        <v>53</v>
      </c>
      <c r="C79">
        <v>0</v>
      </c>
      <c r="D79">
        <v>1</v>
      </c>
      <c r="E79">
        <v>1</v>
      </c>
      <c r="F79">
        <v>1</v>
      </c>
      <c r="G79">
        <v>1</v>
      </c>
      <c r="H79">
        <v>1</v>
      </c>
      <c r="I79">
        <v>1</v>
      </c>
      <c r="J79">
        <v>1</v>
      </c>
      <c r="K79">
        <v>1</v>
      </c>
      <c r="L79">
        <v>1</v>
      </c>
      <c r="M79">
        <v>1</v>
      </c>
      <c r="N79">
        <v>1</v>
      </c>
      <c r="P79">
        <v>2.252578496932983</v>
      </c>
    </row>
    <row r="80" spans="1:16" x14ac:dyDescent="0.25">
      <c r="A80" t="s">
        <v>80</v>
      </c>
      <c r="B80" t="s">
        <v>54</v>
      </c>
      <c r="C80">
        <v>0</v>
      </c>
      <c r="D80">
        <v>1</v>
      </c>
      <c r="E80">
        <v>1</v>
      </c>
      <c r="F80">
        <v>1</v>
      </c>
      <c r="G80">
        <v>1</v>
      </c>
      <c r="H80">
        <v>1</v>
      </c>
      <c r="I80">
        <v>1</v>
      </c>
      <c r="J80">
        <v>1</v>
      </c>
      <c r="K80">
        <v>1</v>
      </c>
      <c r="L80">
        <v>1</v>
      </c>
      <c r="M80">
        <v>1</v>
      </c>
      <c r="N80">
        <v>1</v>
      </c>
      <c r="P80">
        <v>1.8118772506713869</v>
      </c>
    </row>
    <row r="81" spans="1:16" x14ac:dyDescent="0.25">
      <c r="A81" t="s">
        <v>80</v>
      </c>
      <c r="B81" t="s">
        <v>56</v>
      </c>
      <c r="C81">
        <v>0</v>
      </c>
      <c r="D81">
        <v>1</v>
      </c>
      <c r="E81">
        <v>1</v>
      </c>
      <c r="F81">
        <v>0</v>
      </c>
      <c r="G81">
        <v>1</v>
      </c>
      <c r="H81">
        <v>1</v>
      </c>
      <c r="I81">
        <v>1</v>
      </c>
      <c r="J81" t="s">
        <v>28</v>
      </c>
      <c r="K81">
        <v>1</v>
      </c>
      <c r="L81">
        <v>1</v>
      </c>
      <c r="M81">
        <v>1</v>
      </c>
      <c r="N81">
        <v>1</v>
      </c>
      <c r="O81" t="s">
        <v>236</v>
      </c>
      <c r="P81">
        <v>3.1959769725799561</v>
      </c>
    </row>
    <row r="82" spans="1:16" x14ac:dyDescent="0.25">
      <c r="A82" t="s">
        <v>80</v>
      </c>
      <c r="B82" t="s">
        <v>58</v>
      </c>
      <c r="C82">
        <v>0</v>
      </c>
      <c r="D82">
        <v>1</v>
      </c>
      <c r="E82">
        <v>1</v>
      </c>
      <c r="F82">
        <v>0</v>
      </c>
      <c r="G82">
        <v>1</v>
      </c>
      <c r="H82">
        <v>1</v>
      </c>
      <c r="I82">
        <v>1</v>
      </c>
      <c r="J82" t="s">
        <v>28</v>
      </c>
      <c r="K82">
        <v>1</v>
      </c>
      <c r="L82">
        <v>1</v>
      </c>
      <c r="M82">
        <v>1</v>
      </c>
      <c r="N82">
        <v>1</v>
      </c>
      <c r="O82" t="s">
        <v>237</v>
      </c>
      <c r="P82">
        <v>3.5824072360992432</v>
      </c>
    </row>
    <row r="83" spans="1:16" x14ac:dyDescent="0.25">
      <c r="A83" t="s">
        <v>80</v>
      </c>
      <c r="B83" t="s">
        <v>60</v>
      </c>
      <c r="C83">
        <v>0</v>
      </c>
      <c r="D83">
        <v>1</v>
      </c>
      <c r="E83">
        <v>1</v>
      </c>
      <c r="F83">
        <v>1</v>
      </c>
      <c r="G83">
        <v>1</v>
      </c>
      <c r="H83">
        <v>1</v>
      </c>
      <c r="I83">
        <v>1</v>
      </c>
      <c r="J83">
        <v>1</v>
      </c>
      <c r="K83">
        <v>1</v>
      </c>
      <c r="L83">
        <v>1</v>
      </c>
      <c r="M83">
        <v>1</v>
      </c>
      <c r="N83">
        <v>1</v>
      </c>
      <c r="P83">
        <v>1.5759589672088621</v>
      </c>
    </row>
    <row r="84" spans="1:16" x14ac:dyDescent="0.25">
      <c r="A84" t="s">
        <v>80</v>
      </c>
      <c r="B84" t="s">
        <v>62</v>
      </c>
      <c r="C84">
        <v>0</v>
      </c>
      <c r="D84">
        <v>1</v>
      </c>
      <c r="E84">
        <v>1</v>
      </c>
      <c r="F84">
        <v>1</v>
      </c>
      <c r="G84">
        <v>1</v>
      </c>
      <c r="H84">
        <v>1</v>
      </c>
      <c r="I84">
        <v>1</v>
      </c>
      <c r="J84">
        <v>1</v>
      </c>
      <c r="K84">
        <v>1</v>
      </c>
      <c r="L84">
        <v>1</v>
      </c>
      <c r="M84">
        <v>1</v>
      </c>
      <c r="N84">
        <v>1</v>
      </c>
      <c r="P84">
        <v>2.3953261375427251</v>
      </c>
    </row>
    <row r="85" spans="1:16" x14ac:dyDescent="0.25">
      <c r="A85" t="s">
        <v>80</v>
      </c>
      <c r="B85" t="s">
        <v>63</v>
      </c>
      <c r="C85">
        <v>0</v>
      </c>
      <c r="D85">
        <v>1</v>
      </c>
      <c r="E85">
        <v>1</v>
      </c>
      <c r="F85">
        <v>1</v>
      </c>
      <c r="G85">
        <v>1</v>
      </c>
      <c r="H85">
        <v>1</v>
      </c>
      <c r="I85">
        <v>1</v>
      </c>
      <c r="J85">
        <v>1</v>
      </c>
      <c r="K85">
        <v>1</v>
      </c>
      <c r="L85">
        <v>1</v>
      </c>
      <c r="M85">
        <v>1</v>
      </c>
      <c r="N85">
        <v>1</v>
      </c>
      <c r="P85">
        <v>1.375325679779053</v>
      </c>
    </row>
    <row r="86" spans="1:16" x14ac:dyDescent="0.25">
      <c r="A86" t="s">
        <v>80</v>
      </c>
      <c r="B86" t="s">
        <v>64</v>
      </c>
      <c r="C86">
        <v>0</v>
      </c>
      <c r="D86">
        <v>1</v>
      </c>
      <c r="E86">
        <v>1</v>
      </c>
      <c r="F86">
        <v>1</v>
      </c>
      <c r="G86">
        <v>1</v>
      </c>
      <c r="H86">
        <v>1</v>
      </c>
      <c r="I86">
        <v>1</v>
      </c>
      <c r="J86">
        <v>1</v>
      </c>
      <c r="K86">
        <v>1</v>
      </c>
      <c r="L86">
        <v>1</v>
      </c>
      <c r="M86">
        <v>1</v>
      </c>
      <c r="N86">
        <v>1</v>
      </c>
      <c r="P86">
        <v>1.9802613258361821</v>
      </c>
    </row>
    <row r="87" spans="1:16" x14ac:dyDescent="0.25">
      <c r="A87" t="s">
        <v>80</v>
      </c>
      <c r="B87" t="s">
        <v>65</v>
      </c>
      <c r="C87">
        <v>0</v>
      </c>
      <c r="D87">
        <v>1</v>
      </c>
      <c r="E87">
        <v>1</v>
      </c>
      <c r="F87">
        <v>1</v>
      </c>
      <c r="G87">
        <v>1</v>
      </c>
      <c r="H87">
        <v>1</v>
      </c>
      <c r="I87">
        <v>1</v>
      </c>
      <c r="J87">
        <v>1</v>
      </c>
      <c r="K87">
        <v>1</v>
      </c>
      <c r="L87">
        <v>1</v>
      </c>
      <c r="M87">
        <v>1</v>
      </c>
      <c r="N87">
        <v>1</v>
      </c>
      <c r="P87">
        <v>1.41746997833252</v>
      </c>
    </row>
    <row r="88" spans="1:16" x14ac:dyDescent="0.25">
      <c r="A88" t="s">
        <v>80</v>
      </c>
      <c r="B88" t="s">
        <v>66</v>
      </c>
      <c r="C88">
        <v>0</v>
      </c>
      <c r="D88">
        <v>1</v>
      </c>
      <c r="E88">
        <v>1</v>
      </c>
      <c r="F88">
        <v>1</v>
      </c>
      <c r="G88">
        <v>1</v>
      </c>
      <c r="H88">
        <v>1</v>
      </c>
      <c r="I88">
        <v>1</v>
      </c>
      <c r="J88">
        <v>1</v>
      </c>
      <c r="K88">
        <v>1</v>
      </c>
      <c r="L88">
        <v>1</v>
      </c>
      <c r="M88">
        <v>1</v>
      </c>
      <c r="N88">
        <v>1</v>
      </c>
      <c r="P88">
        <v>1.7992556095123291</v>
      </c>
    </row>
    <row r="89" spans="1:16" x14ac:dyDescent="0.25">
      <c r="A89" t="s">
        <v>80</v>
      </c>
      <c r="B89" t="s">
        <v>67</v>
      </c>
      <c r="C89">
        <v>0</v>
      </c>
      <c r="D89">
        <v>1</v>
      </c>
      <c r="E89">
        <v>1</v>
      </c>
      <c r="F89">
        <v>1</v>
      </c>
      <c r="G89">
        <v>1</v>
      </c>
      <c r="H89">
        <v>1</v>
      </c>
      <c r="I89">
        <v>1</v>
      </c>
      <c r="J89">
        <v>1</v>
      </c>
      <c r="K89">
        <v>1</v>
      </c>
      <c r="L89">
        <v>1</v>
      </c>
      <c r="M89">
        <v>1</v>
      </c>
      <c r="N89">
        <v>1</v>
      </c>
      <c r="P89">
        <v>1.6499984264373779</v>
      </c>
    </row>
    <row r="90" spans="1:16" x14ac:dyDescent="0.25">
      <c r="A90" t="s">
        <v>80</v>
      </c>
      <c r="B90" t="s">
        <v>69</v>
      </c>
      <c r="C90">
        <v>0</v>
      </c>
      <c r="D90">
        <v>1</v>
      </c>
      <c r="E90">
        <v>1</v>
      </c>
      <c r="F90">
        <v>1</v>
      </c>
      <c r="G90">
        <v>1</v>
      </c>
      <c r="H90">
        <v>1</v>
      </c>
      <c r="I90">
        <v>1</v>
      </c>
      <c r="J90">
        <v>1</v>
      </c>
      <c r="K90">
        <v>1</v>
      </c>
      <c r="L90">
        <v>1</v>
      </c>
      <c r="M90">
        <v>1</v>
      </c>
      <c r="N90">
        <v>1</v>
      </c>
      <c r="P90">
        <v>2.087440967559814</v>
      </c>
    </row>
    <row r="91" spans="1:16" x14ac:dyDescent="0.25">
      <c r="A91" t="s">
        <v>80</v>
      </c>
      <c r="B91" t="s">
        <v>70</v>
      </c>
      <c r="C91">
        <v>0</v>
      </c>
      <c r="D91">
        <v>1</v>
      </c>
      <c r="E91">
        <v>1</v>
      </c>
      <c r="F91">
        <v>1</v>
      </c>
      <c r="G91">
        <v>1</v>
      </c>
      <c r="H91">
        <v>1</v>
      </c>
      <c r="I91">
        <v>1</v>
      </c>
      <c r="J91">
        <v>1</v>
      </c>
      <c r="K91">
        <v>1</v>
      </c>
      <c r="L91">
        <v>1</v>
      </c>
      <c r="M91">
        <v>1</v>
      </c>
      <c r="N91">
        <v>1</v>
      </c>
      <c r="P91">
        <v>2.0332682132720952</v>
      </c>
    </row>
    <row r="92" spans="1:16" x14ac:dyDescent="0.25">
      <c r="A92" t="s">
        <v>80</v>
      </c>
      <c r="B92" t="s">
        <v>71</v>
      </c>
      <c r="C92">
        <v>0</v>
      </c>
      <c r="D92">
        <v>1</v>
      </c>
      <c r="E92">
        <v>0</v>
      </c>
      <c r="F92">
        <v>1</v>
      </c>
      <c r="G92">
        <v>1</v>
      </c>
      <c r="H92" t="s">
        <v>28</v>
      </c>
      <c r="I92">
        <v>1</v>
      </c>
      <c r="J92" t="s">
        <v>28</v>
      </c>
      <c r="K92">
        <v>1</v>
      </c>
      <c r="L92">
        <v>1</v>
      </c>
      <c r="M92">
        <v>1</v>
      </c>
      <c r="N92">
        <v>1</v>
      </c>
      <c r="O92" t="s">
        <v>238</v>
      </c>
      <c r="P92">
        <v>3.260926485061646</v>
      </c>
    </row>
    <row r="93" spans="1:16" x14ac:dyDescent="0.25">
      <c r="A93" t="s">
        <v>80</v>
      </c>
      <c r="B93" t="s">
        <v>72</v>
      </c>
      <c r="C93">
        <v>0</v>
      </c>
      <c r="D93">
        <v>1</v>
      </c>
      <c r="E93">
        <v>1</v>
      </c>
      <c r="F93">
        <v>1</v>
      </c>
      <c r="G93">
        <v>1</v>
      </c>
      <c r="H93">
        <v>1</v>
      </c>
      <c r="I93">
        <v>1</v>
      </c>
      <c r="J93">
        <v>1</v>
      </c>
      <c r="K93">
        <v>1</v>
      </c>
      <c r="L93">
        <v>1</v>
      </c>
      <c r="M93">
        <v>1</v>
      </c>
      <c r="N93">
        <v>1</v>
      </c>
      <c r="P93">
        <v>1.522239685058594</v>
      </c>
    </row>
    <row r="94" spans="1:16" x14ac:dyDescent="0.25">
      <c r="A94" t="s">
        <v>80</v>
      </c>
      <c r="B94" t="s">
        <v>74</v>
      </c>
      <c r="C94">
        <v>0</v>
      </c>
      <c r="D94">
        <v>1</v>
      </c>
      <c r="E94">
        <v>1</v>
      </c>
      <c r="F94">
        <v>1</v>
      </c>
      <c r="G94">
        <v>1</v>
      </c>
      <c r="H94">
        <v>1</v>
      </c>
      <c r="I94">
        <v>1</v>
      </c>
      <c r="J94">
        <v>1</v>
      </c>
      <c r="K94">
        <v>1</v>
      </c>
      <c r="L94">
        <v>1</v>
      </c>
      <c r="M94">
        <v>1</v>
      </c>
      <c r="N94">
        <v>1</v>
      </c>
      <c r="P94">
        <v>2.340792179107666</v>
      </c>
    </row>
    <row r="95" spans="1:16" x14ac:dyDescent="0.25">
      <c r="A95" t="s">
        <v>80</v>
      </c>
      <c r="B95" t="s">
        <v>75</v>
      </c>
      <c r="C95">
        <v>0</v>
      </c>
      <c r="D95">
        <v>1</v>
      </c>
      <c r="E95">
        <v>1</v>
      </c>
      <c r="F95">
        <v>1</v>
      </c>
      <c r="G95">
        <v>1</v>
      </c>
      <c r="H95">
        <v>1</v>
      </c>
      <c r="I95">
        <v>1</v>
      </c>
      <c r="J95">
        <v>1</v>
      </c>
      <c r="K95">
        <v>1</v>
      </c>
      <c r="L95">
        <v>1</v>
      </c>
      <c r="M95">
        <v>1</v>
      </c>
      <c r="N95">
        <v>1</v>
      </c>
      <c r="P95">
        <v>1.716477155685425</v>
      </c>
    </row>
    <row r="96" spans="1:16" x14ac:dyDescent="0.25">
      <c r="A96" t="s">
        <v>80</v>
      </c>
      <c r="B96" t="s">
        <v>76</v>
      </c>
      <c r="C96">
        <v>0</v>
      </c>
      <c r="D96">
        <v>1</v>
      </c>
      <c r="E96">
        <v>1</v>
      </c>
      <c r="F96">
        <v>1</v>
      </c>
      <c r="G96">
        <v>1</v>
      </c>
      <c r="H96">
        <v>1</v>
      </c>
      <c r="I96">
        <v>1</v>
      </c>
      <c r="J96">
        <v>1</v>
      </c>
      <c r="K96">
        <v>1</v>
      </c>
      <c r="L96">
        <v>1</v>
      </c>
      <c r="M96">
        <v>1</v>
      </c>
      <c r="N96">
        <v>1</v>
      </c>
      <c r="P96">
        <v>2.710625171661377</v>
      </c>
    </row>
    <row r="97" spans="1:16" x14ac:dyDescent="0.25">
      <c r="A97" t="s">
        <v>80</v>
      </c>
      <c r="B97" t="s">
        <v>77</v>
      </c>
      <c r="C97">
        <v>0</v>
      </c>
      <c r="D97">
        <v>1</v>
      </c>
      <c r="E97">
        <v>1</v>
      </c>
      <c r="F97">
        <v>1</v>
      </c>
      <c r="G97">
        <v>1</v>
      </c>
      <c r="H97">
        <v>1</v>
      </c>
      <c r="I97">
        <v>1</v>
      </c>
      <c r="J97">
        <v>1</v>
      </c>
      <c r="K97">
        <v>1</v>
      </c>
      <c r="L97">
        <v>1</v>
      </c>
      <c r="M97">
        <v>1</v>
      </c>
      <c r="N97">
        <v>1</v>
      </c>
      <c r="P97">
        <v>1.6545267105102539</v>
      </c>
    </row>
    <row r="98" spans="1:16" x14ac:dyDescent="0.25">
      <c r="A98" t="s">
        <v>80</v>
      </c>
      <c r="B98" t="s">
        <v>78</v>
      </c>
      <c r="C98">
        <v>0</v>
      </c>
      <c r="D98">
        <v>1</v>
      </c>
      <c r="E98">
        <v>1</v>
      </c>
      <c r="F98">
        <v>1</v>
      </c>
      <c r="G98">
        <v>1</v>
      </c>
      <c r="H98">
        <v>1</v>
      </c>
      <c r="I98">
        <v>1</v>
      </c>
      <c r="J98">
        <v>1</v>
      </c>
      <c r="K98">
        <v>1</v>
      </c>
      <c r="L98">
        <v>1</v>
      </c>
      <c r="M98">
        <v>1</v>
      </c>
      <c r="N98">
        <v>1</v>
      </c>
      <c r="P98">
        <v>1.8865864276885991</v>
      </c>
    </row>
    <row r="99" spans="1:16" x14ac:dyDescent="0.25">
      <c r="A99" t="s">
        <v>80</v>
      </c>
      <c r="B99" t="s">
        <v>79</v>
      </c>
      <c r="C99">
        <v>0</v>
      </c>
      <c r="D99">
        <v>1</v>
      </c>
      <c r="E99">
        <v>1</v>
      </c>
      <c r="F99">
        <v>1</v>
      </c>
      <c r="G99">
        <v>1</v>
      </c>
      <c r="H99">
        <v>1</v>
      </c>
      <c r="I99">
        <v>1</v>
      </c>
      <c r="J99">
        <v>1</v>
      </c>
      <c r="K99">
        <v>1</v>
      </c>
      <c r="L99">
        <v>1</v>
      </c>
      <c r="M99">
        <v>1</v>
      </c>
      <c r="N99">
        <v>1</v>
      </c>
      <c r="P99">
        <v>2.6611571311950679</v>
      </c>
    </row>
    <row r="100" spans="1:16" x14ac:dyDescent="0.25">
      <c r="A100" t="s">
        <v>80</v>
      </c>
      <c r="B100" t="s">
        <v>91</v>
      </c>
      <c r="C100">
        <v>0</v>
      </c>
      <c r="D100">
        <v>1</v>
      </c>
      <c r="E100">
        <v>1</v>
      </c>
      <c r="F100">
        <v>1</v>
      </c>
      <c r="G100">
        <v>1</v>
      </c>
      <c r="H100">
        <v>1</v>
      </c>
      <c r="I100">
        <v>1</v>
      </c>
      <c r="J100">
        <v>1</v>
      </c>
      <c r="K100">
        <v>1</v>
      </c>
      <c r="L100">
        <v>1</v>
      </c>
      <c r="M100">
        <v>1</v>
      </c>
      <c r="N100">
        <v>1</v>
      </c>
      <c r="P100">
        <v>2.142365455627441</v>
      </c>
    </row>
    <row r="101" spans="1:16" x14ac:dyDescent="0.25">
      <c r="A101" t="s">
        <v>80</v>
      </c>
      <c r="B101" t="s">
        <v>92</v>
      </c>
      <c r="C101">
        <v>0</v>
      </c>
      <c r="D101">
        <v>1</v>
      </c>
      <c r="E101">
        <v>1</v>
      </c>
      <c r="F101">
        <v>1</v>
      </c>
      <c r="G101">
        <v>1</v>
      </c>
      <c r="H101">
        <v>1</v>
      </c>
      <c r="I101">
        <v>1</v>
      </c>
      <c r="J101">
        <v>1</v>
      </c>
      <c r="K101">
        <v>1</v>
      </c>
      <c r="L101">
        <v>1</v>
      </c>
      <c r="M101">
        <v>1</v>
      </c>
      <c r="N101">
        <v>1</v>
      </c>
      <c r="P101">
        <v>2.2262623310089111</v>
      </c>
    </row>
    <row r="102" spans="1:16" x14ac:dyDescent="0.25">
      <c r="A102" t="s">
        <v>80</v>
      </c>
      <c r="B102" t="s">
        <v>93</v>
      </c>
      <c r="C102">
        <v>0</v>
      </c>
      <c r="D102">
        <v>1</v>
      </c>
      <c r="E102">
        <v>1</v>
      </c>
      <c r="F102">
        <v>1</v>
      </c>
      <c r="G102">
        <v>1</v>
      </c>
      <c r="H102">
        <v>1</v>
      </c>
      <c r="I102">
        <v>1</v>
      </c>
      <c r="J102">
        <v>1</v>
      </c>
      <c r="K102">
        <v>1</v>
      </c>
      <c r="L102">
        <v>1</v>
      </c>
      <c r="M102">
        <v>1</v>
      </c>
      <c r="N102">
        <v>1</v>
      </c>
      <c r="P102">
        <v>4.1463463306427002</v>
      </c>
    </row>
    <row r="103" spans="1:16" x14ac:dyDescent="0.25">
      <c r="A103" t="s">
        <v>80</v>
      </c>
      <c r="B103" t="s">
        <v>94</v>
      </c>
      <c r="C103">
        <v>0</v>
      </c>
      <c r="D103">
        <v>1</v>
      </c>
      <c r="E103">
        <v>1</v>
      </c>
      <c r="F103">
        <v>1</v>
      </c>
      <c r="G103">
        <v>1</v>
      </c>
      <c r="H103">
        <v>1</v>
      </c>
      <c r="I103">
        <v>1</v>
      </c>
      <c r="J103">
        <v>1</v>
      </c>
      <c r="K103">
        <v>1</v>
      </c>
      <c r="L103">
        <v>1</v>
      </c>
      <c r="M103">
        <v>1</v>
      </c>
      <c r="N103">
        <v>1</v>
      </c>
      <c r="P103">
        <v>2.5983729362487789</v>
      </c>
    </row>
    <row r="104" spans="1:16" x14ac:dyDescent="0.25">
      <c r="A104" t="s">
        <v>80</v>
      </c>
      <c r="B104" t="s">
        <v>95</v>
      </c>
      <c r="C104">
        <v>0</v>
      </c>
      <c r="D104">
        <v>1</v>
      </c>
      <c r="E104">
        <v>1</v>
      </c>
      <c r="F104">
        <v>1</v>
      </c>
      <c r="G104">
        <v>1</v>
      </c>
      <c r="H104">
        <v>1</v>
      </c>
      <c r="I104">
        <v>1</v>
      </c>
      <c r="J104">
        <v>1</v>
      </c>
      <c r="K104">
        <v>1</v>
      </c>
      <c r="L104">
        <v>1</v>
      </c>
      <c r="M104">
        <v>1</v>
      </c>
      <c r="N104">
        <v>1</v>
      </c>
      <c r="P104">
        <v>1.602033138275146</v>
      </c>
    </row>
    <row r="105" spans="1:16" x14ac:dyDescent="0.25">
      <c r="A105" t="s">
        <v>80</v>
      </c>
      <c r="B105" t="s">
        <v>96</v>
      </c>
      <c r="C105">
        <v>0</v>
      </c>
      <c r="D105">
        <v>1</v>
      </c>
      <c r="E105">
        <v>1</v>
      </c>
      <c r="F105">
        <v>1</v>
      </c>
      <c r="G105">
        <v>1</v>
      </c>
      <c r="H105">
        <v>1</v>
      </c>
      <c r="I105">
        <v>1</v>
      </c>
      <c r="J105">
        <v>1</v>
      </c>
      <c r="K105">
        <v>1</v>
      </c>
      <c r="L105">
        <v>1</v>
      </c>
      <c r="M105">
        <v>1</v>
      </c>
      <c r="N105">
        <v>1</v>
      </c>
      <c r="P105">
        <v>1.55517578125</v>
      </c>
    </row>
    <row r="106" spans="1:16" x14ac:dyDescent="0.25">
      <c r="A106" t="s">
        <v>80</v>
      </c>
      <c r="B106" t="s">
        <v>97</v>
      </c>
      <c r="C106">
        <v>0</v>
      </c>
      <c r="D106">
        <v>1</v>
      </c>
      <c r="E106">
        <v>1</v>
      </c>
      <c r="F106">
        <v>1</v>
      </c>
      <c r="G106">
        <v>1</v>
      </c>
      <c r="H106">
        <v>1</v>
      </c>
      <c r="I106">
        <v>0</v>
      </c>
      <c r="J106">
        <v>1</v>
      </c>
      <c r="K106">
        <v>1</v>
      </c>
      <c r="L106">
        <v>1</v>
      </c>
      <c r="M106">
        <v>1</v>
      </c>
      <c r="N106">
        <v>1</v>
      </c>
      <c r="O106" t="s">
        <v>239</v>
      </c>
      <c r="P106">
        <v>2.8042998313903809</v>
      </c>
    </row>
    <row r="107" spans="1:16" x14ac:dyDescent="0.25">
      <c r="A107" t="s">
        <v>80</v>
      </c>
      <c r="B107" t="s">
        <v>98</v>
      </c>
      <c r="C107">
        <v>0</v>
      </c>
      <c r="D107">
        <v>1</v>
      </c>
      <c r="E107">
        <v>1</v>
      </c>
      <c r="F107">
        <v>1</v>
      </c>
      <c r="G107">
        <v>1</v>
      </c>
      <c r="H107">
        <v>1</v>
      </c>
      <c r="I107">
        <v>1</v>
      </c>
      <c r="J107">
        <v>1</v>
      </c>
      <c r="K107">
        <v>1</v>
      </c>
      <c r="L107">
        <v>1</v>
      </c>
      <c r="M107">
        <v>1</v>
      </c>
      <c r="N107">
        <v>1</v>
      </c>
      <c r="P107">
        <v>2.3105096817016602</v>
      </c>
    </row>
    <row r="108" spans="1:16" x14ac:dyDescent="0.25">
      <c r="A108" t="s">
        <v>80</v>
      </c>
      <c r="B108" t="s">
        <v>100</v>
      </c>
      <c r="C108">
        <v>0</v>
      </c>
      <c r="D108">
        <v>1</v>
      </c>
      <c r="E108">
        <v>1</v>
      </c>
      <c r="F108">
        <v>1</v>
      </c>
      <c r="G108">
        <v>1</v>
      </c>
      <c r="H108">
        <v>1</v>
      </c>
      <c r="I108">
        <v>1</v>
      </c>
      <c r="J108">
        <v>1</v>
      </c>
      <c r="K108">
        <v>1</v>
      </c>
      <c r="L108">
        <v>1</v>
      </c>
      <c r="M108">
        <v>1</v>
      </c>
      <c r="N108">
        <v>1</v>
      </c>
      <c r="P108">
        <v>1.541674852371216</v>
      </c>
    </row>
    <row r="109" spans="1:16" x14ac:dyDescent="0.25">
      <c r="A109" t="s">
        <v>80</v>
      </c>
      <c r="B109" t="s">
        <v>101</v>
      </c>
      <c r="C109">
        <v>0</v>
      </c>
      <c r="D109">
        <v>1</v>
      </c>
      <c r="E109">
        <v>1</v>
      </c>
      <c r="F109">
        <v>1</v>
      </c>
      <c r="G109">
        <v>1</v>
      </c>
      <c r="H109">
        <v>1</v>
      </c>
      <c r="I109">
        <v>1</v>
      </c>
      <c r="J109">
        <v>1</v>
      </c>
      <c r="K109">
        <v>1</v>
      </c>
      <c r="L109">
        <v>1</v>
      </c>
      <c r="M109">
        <v>1</v>
      </c>
      <c r="N109">
        <v>1</v>
      </c>
      <c r="P109">
        <v>1.522511959075928</v>
      </c>
    </row>
    <row r="110" spans="1:16" x14ac:dyDescent="0.25">
      <c r="A110" t="s">
        <v>80</v>
      </c>
      <c r="B110" t="s">
        <v>102</v>
      </c>
      <c r="C110">
        <v>0</v>
      </c>
      <c r="D110">
        <v>0</v>
      </c>
      <c r="E110" t="s">
        <v>28</v>
      </c>
      <c r="F110" t="s">
        <v>28</v>
      </c>
      <c r="G110" t="s">
        <v>28</v>
      </c>
      <c r="H110" t="s">
        <v>28</v>
      </c>
      <c r="I110" t="s">
        <v>28</v>
      </c>
      <c r="J110" t="s">
        <v>28</v>
      </c>
      <c r="K110" t="s">
        <v>28</v>
      </c>
      <c r="L110" t="s">
        <v>28</v>
      </c>
      <c r="M110" t="s">
        <v>28</v>
      </c>
      <c r="N110" t="s">
        <v>28</v>
      </c>
      <c r="O110" t="s">
        <v>240</v>
      </c>
      <c r="P110">
        <v>4.3117382526397714</v>
      </c>
    </row>
    <row r="111" spans="1:16" x14ac:dyDescent="0.25">
      <c r="A111" t="s">
        <v>80</v>
      </c>
      <c r="B111" t="s">
        <v>104</v>
      </c>
      <c r="C111">
        <v>0</v>
      </c>
      <c r="D111">
        <v>1</v>
      </c>
      <c r="E111">
        <v>0</v>
      </c>
      <c r="F111">
        <v>1</v>
      </c>
      <c r="G111">
        <v>1</v>
      </c>
      <c r="H111" t="s">
        <v>28</v>
      </c>
      <c r="I111">
        <v>1</v>
      </c>
      <c r="J111" t="s">
        <v>28</v>
      </c>
      <c r="K111">
        <v>1</v>
      </c>
      <c r="L111">
        <v>0</v>
      </c>
      <c r="M111">
        <v>1</v>
      </c>
      <c r="N111">
        <v>1</v>
      </c>
      <c r="O111" t="s">
        <v>241</v>
      </c>
      <c r="P111">
        <v>3.1620311737060551</v>
      </c>
    </row>
    <row r="112" spans="1:16" x14ac:dyDescent="0.25">
      <c r="A112" t="s">
        <v>80</v>
      </c>
      <c r="B112" t="s">
        <v>105</v>
      </c>
      <c r="C112">
        <v>0</v>
      </c>
      <c r="D112">
        <v>1</v>
      </c>
      <c r="E112">
        <v>1</v>
      </c>
      <c r="F112">
        <v>1</v>
      </c>
      <c r="G112">
        <v>1</v>
      </c>
      <c r="H112">
        <v>1</v>
      </c>
      <c r="I112">
        <v>1</v>
      </c>
      <c r="J112">
        <v>1</v>
      </c>
      <c r="K112">
        <v>1</v>
      </c>
      <c r="L112">
        <v>1</v>
      </c>
      <c r="M112">
        <v>1</v>
      </c>
      <c r="N112">
        <v>1</v>
      </c>
      <c r="P112">
        <v>1.56635046005249</v>
      </c>
    </row>
    <row r="113" spans="1:16" x14ac:dyDescent="0.25">
      <c r="A113" t="s">
        <v>80</v>
      </c>
      <c r="B113" t="s">
        <v>106</v>
      </c>
      <c r="C113">
        <v>0</v>
      </c>
      <c r="D113">
        <v>1</v>
      </c>
      <c r="E113">
        <v>1</v>
      </c>
      <c r="F113">
        <v>1</v>
      </c>
      <c r="G113">
        <v>1</v>
      </c>
      <c r="H113">
        <v>1</v>
      </c>
      <c r="I113">
        <v>1</v>
      </c>
      <c r="J113">
        <v>1</v>
      </c>
      <c r="K113">
        <v>1</v>
      </c>
      <c r="L113">
        <v>1</v>
      </c>
      <c r="M113">
        <v>1</v>
      </c>
      <c r="N113">
        <v>1</v>
      </c>
      <c r="P113">
        <v>1.460509300231934</v>
      </c>
    </row>
    <row r="114" spans="1:16" x14ac:dyDescent="0.25">
      <c r="A114" t="s">
        <v>107</v>
      </c>
      <c r="B114" t="s">
        <v>17</v>
      </c>
      <c r="C114">
        <v>0</v>
      </c>
      <c r="D114">
        <v>1</v>
      </c>
      <c r="E114">
        <v>1</v>
      </c>
      <c r="F114">
        <v>1</v>
      </c>
      <c r="G114">
        <v>1</v>
      </c>
      <c r="H114">
        <v>1</v>
      </c>
      <c r="I114">
        <v>1</v>
      </c>
      <c r="J114">
        <v>1</v>
      </c>
      <c r="K114">
        <v>1</v>
      </c>
      <c r="L114">
        <v>1</v>
      </c>
      <c r="M114">
        <v>1</v>
      </c>
      <c r="N114">
        <v>1</v>
      </c>
      <c r="P114">
        <v>2.1334953308105469</v>
      </c>
    </row>
    <row r="115" spans="1:16" x14ac:dyDescent="0.25">
      <c r="A115" t="s">
        <v>107</v>
      </c>
      <c r="B115" t="s">
        <v>18</v>
      </c>
      <c r="C115">
        <v>0</v>
      </c>
      <c r="D115">
        <v>1</v>
      </c>
      <c r="E115">
        <v>1</v>
      </c>
      <c r="F115">
        <v>1</v>
      </c>
      <c r="G115">
        <v>1</v>
      </c>
      <c r="H115">
        <v>1</v>
      </c>
      <c r="I115">
        <v>1</v>
      </c>
      <c r="J115">
        <v>1</v>
      </c>
      <c r="K115">
        <v>1</v>
      </c>
      <c r="L115">
        <v>1</v>
      </c>
      <c r="M115">
        <v>1</v>
      </c>
      <c r="N115">
        <v>1</v>
      </c>
      <c r="P115">
        <v>1.4987471103668211</v>
      </c>
    </row>
    <row r="116" spans="1:16" x14ac:dyDescent="0.25">
      <c r="A116" t="s">
        <v>107</v>
      </c>
      <c r="B116" t="s">
        <v>19</v>
      </c>
      <c r="C116">
        <v>0</v>
      </c>
      <c r="D116">
        <v>1</v>
      </c>
      <c r="E116">
        <v>0</v>
      </c>
      <c r="F116">
        <v>1</v>
      </c>
      <c r="G116">
        <v>1</v>
      </c>
      <c r="H116" t="s">
        <v>28</v>
      </c>
      <c r="I116">
        <v>1</v>
      </c>
      <c r="J116" t="s">
        <v>28</v>
      </c>
      <c r="K116">
        <v>1</v>
      </c>
      <c r="L116">
        <v>1</v>
      </c>
      <c r="M116">
        <v>1</v>
      </c>
      <c r="N116">
        <v>1</v>
      </c>
      <c r="O116" t="s">
        <v>242</v>
      </c>
      <c r="P116">
        <v>3.27714991569519</v>
      </c>
    </row>
    <row r="117" spans="1:16" x14ac:dyDescent="0.25">
      <c r="A117" t="s">
        <v>107</v>
      </c>
      <c r="B117" t="s">
        <v>20</v>
      </c>
      <c r="C117">
        <v>0</v>
      </c>
      <c r="D117">
        <v>1</v>
      </c>
      <c r="E117">
        <v>1</v>
      </c>
      <c r="F117">
        <v>1</v>
      </c>
      <c r="G117">
        <v>1</v>
      </c>
      <c r="H117">
        <v>1</v>
      </c>
      <c r="I117">
        <v>1</v>
      </c>
      <c r="J117">
        <v>1</v>
      </c>
      <c r="K117">
        <v>1</v>
      </c>
      <c r="L117">
        <v>1</v>
      </c>
      <c r="M117">
        <v>1</v>
      </c>
      <c r="N117">
        <v>1</v>
      </c>
      <c r="P117">
        <v>1.981481790542603</v>
      </c>
    </row>
    <row r="118" spans="1:16" x14ac:dyDescent="0.25">
      <c r="A118" t="s">
        <v>107</v>
      </c>
      <c r="B118" t="s">
        <v>21</v>
      </c>
      <c r="C118">
        <v>0</v>
      </c>
      <c r="D118">
        <v>1</v>
      </c>
      <c r="E118">
        <v>1</v>
      </c>
      <c r="F118">
        <v>1</v>
      </c>
      <c r="G118">
        <v>1</v>
      </c>
      <c r="H118">
        <v>1</v>
      </c>
      <c r="I118">
        <v>1</v>
      </c>
      <c r="J118">
        <v>1</v>
      </c>
      <c r="K118">
        <v>1</v>
      </c>
      <c r="L118">
        <v>1</v>
      </c>
      <c r="M118">
        <v>1</v>
      </c>
      <c r="N118">
        <v>1</v>
      </c>
      <c r="P118">
        <v>1.688329696655273</v>
      </c>
    </row>
    <row r="119" spans="1:16" x14ac:dyDescent="0.25">
      <c r="A119" t="s">
        <v>107</v>
      </c>
      <c r="B119" t="s">
        <v>22</v>
      </c>
      <c r="C119">
        <v>0</v>
      </c>
      <c r="D119">
        <v>1</v>
      </c>
      <c r="E119">
        <v>0</v>
      </c>
      <c r="F119">
        <v>1</v>
      </c>
      <c r="G119">
        <v>1</v>
      </c>
      <c r="H119" t="s">
        <v>28</v>
      </c>
      <c r="I119">
        <v>1</v>
      </c>
      <c r="J119" t="s">
        <v>28</v>
      </c>
      <c r="K119">
        <v>1</v>
      </c>
      <c r="L119">
        <v>1</v>
      </c>
      <c r="M119">
        <v>1</v>
      </c>
      <c r="N119">
        <v>1</v>
      </c>
      <c r="O119" t="s">
        <v>243</v>
      </c>
      <c r="P119">
        <v>3.0296368598937988</v>
      </c>
    </row>
    <row r="120" spans="1:16" x14ac:dyDescent="0.25">
      <c r="A120" t="s">
        <v>107</v>
      </c>
      <c r="B120" t="s">
        <v>23</v>
      </c>
      <c r="C120">
        <v>0</v>
      </c>
      <c r="D120">
        <v>1</v>
      </c>
      <c r="E120">
        <v>1</v>
      </c>
      <c r="F120">
        <v>1</v>
      </c>
      <c r="G120">
        <v>1</v>
      </c>
      <c r="H120">
        <v>1</v>
      </c>
      <c r="I120">
        <v>1</v>
      </c>
      <c r="J120">
        <v>1</v>
      </c>
      <c r="K120">
        <v>1</v>
      </c>
      <c r="L120">
        <v>1</v>
      </c>
      <c r="M120">
        <v>1</v>
      </c>
      <c r="N120">
        <v>1</v>
      </c>
      <c r="P120">
        <v>1.525271415710449</v>
      </c>
    </row>
    <row r="121" spans="1:16" x14ac:dyDescent="0.25">
      <c r="A121" t="s">
        <v>107</v>
      </c>
      <c r="B121" t="s">
        <v>24</v>
      </c>
      <c r="C121">
        <v>0</v>
      </c>
      <c r="D121">
        <v>1</v>
      </c>
      <c r="E121">
        <v>1</v>
      </c>
      <c r="F121">
        <v>1</v>
      </c>
      <c r="G121">
        <v>1</v>
      </c>
      <c r="H121">
        <v>1</v>
      </c>
      <c r="I121">
        <v>1</v>
      </c>
      <c r="J121">
        <v>1</v>
      </c>
      <c r="K121">
        <v>1</v>
      </c>
      <c r="L121">
        <v>1</v>
      </c>
      <c r="M121">
        <v>1</v>
      </c>
      <c r="N121">
        <v>1</v>
      </c>
      <c r="P121">
        <v>1.60986852645874</v>
      </c>
    </row>
    <row r="122" spans="1:16" x14ac:dyDescent="0.25">
      <c r="A122" t="s">
        <v>107</v>
      </c>
      <c r="B122" t="s">
        <v>25</v>
      </c>
      <c r="C122">
        <v>0</v>
      </c>
      <c r="D122">
        <v>1</v>
      </c>
      <c r="E122">
        <v>1</v>
      </c>
      <c r="F122">
        <v>1</v>
      </c>
      <c r="G122">
        <v>1</v>
      </c>
      <c r="H122">
        <v>1</v>
      </c>
      <c r="I122">
        <v>1</v>
      </c>
      <c r="J122">
        <v>1</v>
      </c>
      <c r="K122">
        <v>1</v>
      </c>
      <c r="L122">
        <v>1</v>
      </c>
      <c r="M122">
        <v>1</v>
      </c>
      <c r="N122">
        <v>1</v>
      </c>
      <c r="P122">
        <v>1.469768285751343</v>
      </c>
    </row>
    <row r="123" spans="1:16" x14ac:dyDescent="0.25">
      <c r="A123" t="s">
        <v>107</v>
      </c>
      <c r="B123" t="s">
        <v>26</v>
      </c>
      <c r="C123">
        <v>0</v>
      </c>
      <c r="D123">
        <v>1</v>
      </c>
      <c r="E123">
        <v>0</v>
      </c>
      <c r="F123">
        <v>1</v>
      </c>
      <c r="G123">
        <v>1</v>
      </c>
      <c r="H123" t="s">
        <v>28</v>
      </c>
      <c r="I123">
        <v>1</v>
      </c>
      <c r="J123" t="s">
        <v>28</v>
      </c>
      <c r="K123">
        <v>1</v>
      </c>
      <c r="L123">
        <v>1</v>
      </c>
      <c r="M123">
        <v>1</v>
      </c>
      <c r="N123">
        <v>1</v>
      </c>
      <c r="O123" t="s">
        <v>244</v>
      </c>
      <c r="P123">
        <v>2.6057121753692631</v>
      </c>
    </row>
    <row r="124" spans="1:16" x14ac:dyDescent="0.25">
      <c r="A124" t="s">
        <v>107</v>
      </c>
      <c r="B124" t="s">
        <v>27</v>
      </c>
      <c r="C124">
        <v>0</v>
      </c>
      <c r="D124">
        <v>1</v>
      </c>
      <c r="E124">
        <v>0</v>
      </c>
      <c r="F124">
        <v>1</v>
      </c>
      <c r="G124">
        <v>1</v>
      </c>
      <c r="H124" t="s">
        <v>28</v>
      </c>
      <c r="I124">
        <v>1</v>
      </c>
      <c r="J124" t="s">
        <v>28</v>
      </c>
      <c r="K124">
        <v>1</v>
      </c>
      <c r="L124">
        <v>1</v>
      </c>
      <c r="M124">
        <v>1</v>
      </c>
      <c r="N124">
        <v>1</v>
      </c>
      <c r="O124" t="s">
        <v>245</v>
      </c>
      <c r="P124">
        <v>2.702996969223022</v>
      </c>
    </row>
    <row r="125" spans="1:16" x14ac:dyDescent="0.25">
      <c r="A125" t="s">
        <v>107</v>
      </c>
      <c r="B125" t="s">
        <v>30</v>
      </c>
      <c r="C125">
        <v>0</v>
      </c>
      <c r="D125">
        <v>1</v>
      </c>
      <c r="E125">
        <v>1</v>
      </c>
      <c r="F125">
        <v>1</v>
      </c>
      <c r="G125">
        <v>1</v>
      </c>
      <c r="H125">
        <v>1</v>
      </c>
      <c r="I125">
        <v>1</v>
      </c>
      <c r="J125">
        <v>1</v>
      </c>
      <c r="K125">
        <v>1</v>
      </c>
      <c r="L125">
        <v>1</v>
      </c>
      <c r="M125">
        <v>1</v>
      </c>
      <c r="N125">
        <v>1</v>
      </c>
      <c r="P125">
        <v>1.7155971527099609</v>
      </c>
    </row>
    <row r="126" spans="1:16" x14ac:dyDescent="0.25">
      <c r="A126" t="s">
        <v>107</v>
      </c>
      <c r="B126" t="s">
        <v>31</v>
      </c>
      <c r="C126">
        <v>0</v>
      </c>
      <c r="D126">
        <v>1</v>
      </c>
      <c r="E126">
        <v>1</v>
      </c>
      <c r="F126">
        <v>1</v>
      </c>
      <c r="G126">
        <v>1</v>
      </c>
      <c r="H126">
        <v>1</v>
      </c>
      <c r="I126">
        <v>1</v>
      </c>
      <c r="J126">
        <v>1</v>
      </c>
      <c r="K126">
        <v>1</v>
      </c>
      <c r="L126">
        <v>1</v>
      </c>
      <c r="M126">
        <v>1</v>
      </c>
      <c r="N126">
        <v>1</v>
      </c>
      <c r="P126">
        <v>2.2110249996185298</v>
      </c>
    </row>
    <row r="127" spans="1:16" x14ac:dyDescent="0.25">
      <c r="A127" t="s">
        <v>107</v>
      </c>
      <c r="B127" t="s">
        <v>33</v>
      </c>
      <c r="C127">
        <v>0</v>
      </c>
      <c r="D127">
        <v>1</v>
      </c>
      <c r="E127">
        <v>1</v>
      </c>
      <c r="F127">
        <v>1</v>
      </c>
      <c r="G127">
        <v>1</v>
      </c>
      <c r="H127">
        <v>1</v>
      </c>
      <c r="I127">
        <v>1</v>
      </c>
      <c r="J127">
        <v>1</v>
      </c>
      <c r="K127">
        <v>1</v>
      </c>
      <c r="L127">
        <v>1</v>
      </c>
      <c r="M127">
        <v>1</v>
      </c>
      <c r="N127">
        <v>1</v>
      </c>
      <c r="P127">
        <v>1.547877311706543</v>
      </c>
    </row>
    <row r="128" spans="1:16" x14ac:dyDescent="0.25">
      <c r="A128" t="s">
        <v>107</v>
      </c>
      <c r="B128" t="s">
        <v>34</v>
      </c>
      <c r="C128">
        <v>0</v>
      </c>
      <c r="D128">
        <v>1</v>
      </c>
      <c r="E128">
        <v>1</v>
      </c>
      <c r="F128">
        <v>1</v>
      </c>
      <c r="G128">
        <v>1</v>
      </c>
      <c r="H128">
        <v>1</v>
      </c>
      <c r="I128">
        <v>1</v>
      </c>
      <c r="J128">
        <v>1</v>
      </c>
      <c r="K128">
        <v>1</v>
      </c>
      <c r="L128">
        <v>1</v>
      </c>
      <c r="M128">
        <v>1</v>
      </c>
      <c r="N128">
        <v>1</v>
      </c>
      <c r="P128">
        <v>1.495846271514893</v>
      </c>
    </row>
    <row r="129" spans="1:16" x14ac:dyDescent="0.25">
      <c r="A129" t="s">
        <v>107</v>
      </c>
      <c r="B129" t="s">
        <v>36</v>
      </c>
      <c r="C129">
        <v>0</v>
      </c>
      <c r="D129">
        <v>1</v>
      </c>
      <c r="E129">
        <v>1</v>
      </c>
      <c r="F129">
        <v>1</v>
      </c>
      <c r="G129">
        <v>1</v>
      </c>
      <c r="H129">
        <v>1</v>
      </c>
      <c r="I129">
        <v>1</v>
      </c>
      <c r="J129">
        <v>1</v>
      </c>
      <c r="K129">
        <v>1</v>
      </c>
      <c r="L129">
        <v>1</v>
      </c>
      <c r="M129">
        <v>1</v>
      </c>
      <c r="N129">
        <v>1</v>
      </c>
      <c r="P129">
        <v>1.620791435241699</v>
      </c>
    </row>
    <row r="130" spans="1:16" x14ac:dyDescent="0.25">
      <c r="A130" t="s">
        <v>107</v>
      </c>
      <c r="B130" t="s">
        <v>37</v>
      </c>
      <c r="C130">
        <v>0</v>
      </c>
      <c r="D130">
        <v>1</v>
      </c>
      <c r="E130">
        <v>1</v>
      </c>
      <c r="F130">
        <v>1</v>
      </c>
      <c r="G130">
        <v>1</v>
      </c>
      <c r="H130">
        <v>1</v>
      </c>
      <c r="I130">
        <v>1</v>
      </c>
      <c r="J130">
        <v>1</v>
      </c>
      <c r="K130">
        <v>1</v>
      </c>
      <c r="L130">
        <v>1</v>
      </c>
      <c r="M130">
        <v>1</v>
      </c>
      <c r="N130">
        <v>1</v>
      </c>
      <c r="P130">
        <v>1.53696608543396</v>
      </c>
    </row>
    <row r="131" spans="1:16" x14ac:dyDescent="0.25">
      <c r="A131" t="s">
        <v>107</v>
      </c>
      <c r="B131" t="s">
        <v>38</v>
      </c>
      <c r="C131">
        <v>0</v>
      </c>
      <c r="D131">
        <v>1</v>
      </c>
      <c r="E131">
        <v>1</v>
      </c>
      <c r="F131">
        <v>1</v>
      </c>
      <c r="G131">
        <v>1</v>
      </c>
      <c r="H131">
        <v>1</v>
      </c>
      <c r="I131">
        <v>1</v>
      </c>
      <c r="J131">
        <v>1</v>
      </c>
      <c r="K131">
        <v>1</v>
      </c>
      <c r="L131">
        <v>1</v>
      </c>
      <c r="M131">
        <v>1</v>
      </c>
      <c r="N131">
        <v>1</v>
      </c>
      <c r="P131">
        <v>1.36859655380249</v>
      </c>
    </row>
    <row r="132" spans="1:16" x14ac:dyDescent="0.25">
      <c r="A132" t="s">
        <v>107</v>
      </c>
      <c r="B132" t="s">
        <v>39</v>
      </c>
      <c r="C132">
        <v>0</v>
      </c>
      <c r="D132">
        <v>1</v>
      </c>
      <c r="E132">
        <v>1</v>
      </c>
      <c r="F132">
        <v>1</v>
      </c>
      <c r="G132">
        <v>1</v>
      </c>
      <c r="H132">
        <v>1</v>
      </c>
      <c r="I132">
        <v>1</v>
      </c>
      <c r="J132">
        <v>1</v>
      </c>
      <c r="K132">
        <v>1</v>
      </c>
      <c r="L132">
        <v>1</v>
      </c>
      <c r="M132">
        <v>1</v>
      </c>
      <c r="N132">
        <v>1</v>
      </c>
      <c r="P132">
        <v>1.861669540405273</v>
      </c>
    </row>
    <row r="133" spans="1:16" x14ac:dyDescent="0.25">
      <c r="A133" t="s">
        <v>107</v>
      </c>
      <c r="B133" t="s">
        <v>40</v>
      </c>
      <c r="C133">
        <v>0</v>
      </c>
      <c r="D133">
        <v>1</v>
      </c>
      <c r="E133">
        <v>1</v>
      </c>
      <c r="F133">
        <v>1</v>
      </c>
      <c r="G133">
        <v>1</v>
      </c>
      <c r="H133">
        <v>1</v>
      </c>
      <c r="I133">
        <v>1</v>
      </c>
      <c r="J133">
        <v>1</v>
      </c>
      <c r="K133">
        <v>1</v>
      </c>
      <c r="L133">
        <v>1</v>
      </c>
      <c r="M133">
        <v>1</v>
      </c>
      <c r="N133">
        <v>1</v>
      </c>
      <c r="P133">
        <v>1.5681576728820801</v>
      </c>
    </row>
    <row r="134" spans="1:16" x14ac:dyDescent="0.25">
      <c r="A134" t="s">
        <v>107</v>
      </c>
      <c r="B134" t="s">
        <v>41</v>
      </c>
      <c r="C134">
        <v>0</v>
      </c>
      <c r="D134">
        <v>1</v>
      </c>
      <c r="E134">
        <v>1</v>
      </c>
      <c r="F134">
        <v>1</v>
      </c>
      <c r="G134">
        <v>1</v>
      </c>
      <c r="H134">
        <v>1</v>
      </c>
      <c r="I134">
        <v>0</v>
      </c>
      <c r="J134">
        <v>1</v>
      </c>
      <c r="K134">
        <v>1</v>
      </c>
      <c r="L134">
        <v>1</v>
      </c>
      <c r="M134">
        <v>1</v>
      </c>
      <c r="N134">
        <v>1</v>
      </c>
      <c r="O134" t="s">
        <v>246</v>
      </c>
      <c r="P134">
        <v>2.1021454334259029</v>
      </c>
    </row>
    <row r="135" spans="1:16" x14ac:dyDescent="0.25">
      <c r="A135" t="s">
        <v>107</v>
      </c>
      <c r="B135" t="s">
        <v>42</v>
      </c>
      <c r="C135">
        <v>0</v>
      </c>
      <c r="D135">
        <v>1</v>
      </c>
      <c r="E135">
        <v>1</v>
      </c>
      <c r="F135">
        <v>1</v>
      </c>
      <c r="G135">
        <v>1</v>
      </c>
      <c r="H135">
        <v>1</v>
      </c>
      <c r="I135">
        <v>1</v>
      </c>
      <c r="J135">
        <v>1</v>
      </c>
      <c r="K135">
        <v>1</v>
      </c>
      <c r="L135">
        <v>1</v>
      </c>
      <c r="M135">
        <v>1</v>
      </c>
      <c r="N135">
        <v>1</v>
      </c>
      <c r="P135">
        <v>1.4388794898986821</v>
      </c>
    </row>
    <row r="136" spans="1:16" x14ac:dyDescent="0.25">
      <c r="A136" t="s">
        <v>107</v>
      </c>
      <c r="B136" t="s">
        <v>44</v>
      </c>
      <c r="C136">
        <v>0</v>
      </c>
      <c r="D136">
        <v>1</v>
      </c>
      <c r="E136">
        <v>1</v>
      </c>
      <c r="F136">
        <v>1</v>
      </c>
      <c r="G136">
        <v>1</v>
      </c>
      <c r="H136">
        <v>1</v>
      </c>
      <c r="I136">
        <v>1</v>
      </c>
      <c r="J136">
        <v>1</v>
      </c>
      <c r="K136">
        <v>1</v>
      </c>
      <c r="L136">
        <v>1</v>
      </c>
      <c r="M136">
        <v>1</v>
      </c>
      <c r="N136">
        <v>1</v>
      </c>
      <c r="P136">
        <v>1.8384697437286379</v>
      </c>
    </row>
    <row r="137" spans="1:16" x14ac:dyDescent="0.25">
      <c r="A137" t="s">
        <v>107</v>
      </c>
      <c r="B137" t="s">
        <v>45</v>
      </c>
      <c r="C137">
        <v>0</v>
      </c>
      <c r="D137">
        <v>1</v>
      </c>
      <c r="E137">
        <v>1</v>
      </c>
      <c r="F137">
        <v>1</v>
      </c>
      <c r="G137">
        <v>1</v>
      </c>
      <c r="H137">
        <v>1</v>
      </c>
      <c r="I137">
        <v>0</v>
      </c>
      <c r="J137">
        <v>1</v>
      </c>
      <c r="K137">
        <v>1</v>
      </c>
      <c r="L137">
        <v>1</v>
      </c>
      <c r="M137">
        <v>1</v>
      </c>
      <c r="N137">
        <v>1</v>
      </c>
      <c r="O137" t="s">
        <v>247</v>
      </c>
      <c r="P137">
        <v>2.3893353939056401</v>
      </c>
    </row>
    <row r="138" spans="1:16" x14ac:dyDescent="0.25">
      <c r="A138" t="s">
        <v>107</v>
      </c>
      <c r="B138" t="s">
        <v>46</v>
      </c>
      <c r="C138">
        <v>0</v>
      </c>
      <c r="D138">
        <v>1</v>
      </c>
      <c r="E138">
        <v>0</v>
      </c>
      <c r="F138">
        <v>1</v>
      </c>
      <c r="G138">
        <v>1</v>
      </c>
      <c r="H138" t="s">
        <v>28</v>
      </c>
      <c r="I138">
        <v>1</v>
      </c>
      <c r="J138" t="s">
        <v>28</v>
      </c>
      <c r="K138">
        <v>1</v>
      </c>
      <c r="L138">
        <v>1</v>
      </c>
      <c r="M138">
        <v>1</v>
      </c>
      <c r="N138">
        <v>1</v>
      </c>
      <c r="O138" t="s">
        <v>248</v>
      </c>
      <c r="P138">
        <v>2.3898355960845952</v>
      </c>
    </row>
    <row r="139" spans="1:16" x14ac:dyDescent="0.25">
      <c r="A139" t="s">
        <v>107</v>
      </c>
      <c r="B139" t="s">
        <v>47</v>
      </c>
      <c r="C139">
        <v>0</v>
      </c>
      <c r="D139">
        <v>1</v>
      </c>
      <c r="E139">
        <v>1</v>
      </c>
      <c r="F139">
        <v>1</v>
      </c>
      <c r="G139">
        <v>1</v>
      </c>
      <c r="H139">
        <v>1</v>
      </c>
      <c r="I139">
        <v>0</v>
      </c>
      <c r="J139">
        <v>1</v>
      </c>
      <c r="K139">
        <v>1</v>
      </c>
      <c r="L139">
        <v>1</v>
      </c>
      <c r="M139">
        <v>1</v>
      </c>
      <c r="N139">
        <v>1</v>
      </c>
      <c r="O139" t="s">
        <v>249</v>
      </c>
      <c r="P139">
        <v>1.99177074432373</v>
      </c>
    </row>
    <row r="140" spans="1:16" x14ac:dyDescent="0.25">
      <c r="A140" t="s">
        <v>107</v>
      </c>
      <c r="B140" t="s">
        <v>49</v>
      </c>
      <c r="C140">
        <v>0</v>
      </c>
      <c r="D140">
        <v>1</v>
      </c>
      <c r="E140">
        <v>0</v>
      </c>
      <c r="F140">
        <v>1</v>
      </c>
      <c r="G140">
        <v>1</v>
      </c>
      <c r="H140" t="s">
        <v>28</v>
      </c>
      <c r="I140">
        <v>1</v>
      </c>
      <c r="J140" t="s">
        <v>28</v>
      </c>
      <c r="K140">
        <v>1</v>
      </c>
      <c r="L140">
        <v>1</v>
      </c>
      <c r="M140">
        <v>1</v>
      </c>
      <c r="N140">
        <v>1</v>
      </c>
      <c r="O140" t="s">
        <v>250</v>
      </c>
      <c r="P140">
        <v>2.8764946460723881</v>
      </c>
    </row>
    <row r="141" spans="1:16" x14ac:dyDescent="0.25">
      <c r="A141" t="s">
        <v>107</v>
      </c>
      <c r="B141" t="s">
        <v>51</v>
      </c>
      <c r="C141">
        <v>0</v>
      </c>
      <c r="D141">
        <v>1</v>
      </c>
      <c r="E141">
        <v>1</v>
      </c>
      <c r="F141">
        <v>1</v>
      </c>
      <c r="G141">
        <v>1</v>
      </c>
      <c r="H141">
        <v>1</v>
      </c>
      <c r="I141">
        <v>1</v>
      </c>
      <c r="J141">
        <v>1</v>
      </c>
      <c r="K141">
        <v>1</v>
      </c>
      <c r="L141">
        <v>1</v>
      </c>
      <c r="M141">
        <v>1</v>
      </c>
      <c r="N141">
        <v>1</v>
      </c>
      <c r="P141">
        <v>1.762769460678101</v>
      </c>
    </row>
    <row r="142" spans="1:16" x14ac:dyDescent="0.25">
      <c r="A142" t="s">
        <v>107</v>
      </c>
      <c r="B142" t="s">
        <v>53</v>
      </c>
      <c r="C142">
        <v>0</v>
      </c>
      <c r="D142">
        <v>1</v>
      </c>
      <c r="E142">
        <v>1</v>
      </c>
      <c r="F142">
        <v>1</v>
      </c>
      <c r="G142">
        <v>1</v>
      </c>
      <c r="H142">
        <v>1</v>
      </c>
      <c r="I142">
        <v>1</v>
      </c>
      <c r="J142">
        <v>1</v>
      </c>
      <c r="K142">
        <v>1</v>
      </c>
      <c r="L142">
        <v>1</v>
      </c>
      <c r="M142">
        <v>1</v>
      </c>
      <c r="N142">
        <v>1</v>
      </c>
      <c r="P142">
        <v>1.7065498828887939</v>
      </c>
    </row>
    <row r="143" spans="1:16" x14ac:dyDescent="0.25">
      <c r="A143" t="s">
        <v>107</v>
      </c>
      <c r="B143" t="s">
        <v>54</v>
      </c>
      <c r="C143">
        <v>0</v>
      </c>
      <c r="D143">
        <v>1</v>
      </c>
      <c r="E143">
        <v>1</v>
      </c>
      <c r="F143">
        <v>0</v>
      </c>
      <c r="G143">
        <v>1</v>
      </c>
      <c r="H143">
        <v>1</v>
      </c>
      <c r="I143">
        <v>1</v>
      </c>
      <c r="J143" t="s">
        <v>28</v>
      </c>
      <c r="K143">
        <v>1</v>
      </c>
      <c r="L143">
        <v>1</v>
      </c>
      <c r="M143">
        <v>1</v>
      </c>
      <c r="N143">
        <v>1</v>
      </c>
      <c r="O143" t="s">
        <v>251</v>
      </c>
      <c r="P143">
        <v>3.211719274520874</v>
      </c>
    </row>
    <row r="144" spans="1:16" x14ac:dyDescent="0.25">
      <c r="A144" t="s">
        <v>107</v>
      </c>
      <c r="B144" t="s">
        <v>56</v>
      </c>
      <c r="C144">
        <v>0</v>
      </c>
      <c r="D144">
        <v>1</v>
      </c>
      <c r="E144">
        <v>1</v>
      </c>
      <c r="F144">
        <v>1</v>
      </c>
      <c r="G144">
        <v>1</v>
      </c>
      <c r="H144">
        <v>1</v>
      </c>
      <c r="I144">
        <v>1</v>
      </c>
      <c r="J144">
        <v>1</v>
      </c>
      <c r="K144">
        <v>1</v>
      </c>
      <c r="L144">
        <v>1</v>
      </c>
      <c r="M144">
        <v>1</v>
      </c>
      <c r="N144">
        <v>1</v>
      </c>
      <c r="P144">
        <v>1.8809158802032471</v>
      </c>
    </row>
    <row r="145" spans="1:16" x14ac:dyDescent="0.25">
      <c r="A145" t="s">
        <v>107</v>
      </c>
      <c r="B145" t="s">
        <v>58</v>
      </c>
      <c r="C145">
        <v>0</v>
      </c>
      <c r="D145">
        <v>1</v>
      </c>
      <c r="E145">
        <v>1</v>
      </c>
      <c r="F145">
        <v>1</v>
      </c>
      <c r="G145">
        <v>1</v>
      </c>
      <c r="H145">
        <v>1</v>
      </c>
      <c r="I145">
        <v>1</v>
      </c>
      <c r="J145">
        <v>1</v>
      </c>
      <c r="K145">
        <v>1</v>
      </c>
      <c r="L145">
        <v>1</v>
      </c>
      <c r="M145">
        <v>1</v>
      </c>
      <c r="N145">
        <v>1</v>
      </c>
      <c r="P145">
        <v>2.3779861927032471</v>
      </c>
    </row>
    <row r="146" spans="1:16" x14ac:dyDescent="0.25">
      <c r="A146" t="s">
        <v>107</v>
      </c>
      <c r="B146" t="s">
        <v>60</v>
      </c>
      <c r="C146">
        <v>0</v>
      </c>
      <c r="D146">
        <v>1</v>
      </c>
      <c r="E146">
        <v>1</v>
      </c>
      <c r="F146">
        <v>1</v>
      </c>
      <c r="G146">
        <v>1</v>
      </c>
      <c r="H146">
        <v>1</v>
      </c>
      <c r="I146">
        <v>1</v>
      </c>
      <c r="J146">
        <v>1</v>
      </c>
      <c r="K146">
        <v>1</v>
      </c>
      <c r="L146">
        <v>1</v>
      </c>
      <c r="M146">
        <v>1</v>
      </c>
      <c r="N146">
        <v>1</v>
      </c>
      <c r="P146">
        <v>2.5723297595977779</v>
      </c>
    </row>
    <row r="147" spans="1:16" x14ac:dyDescent="0.25">
      <c r="A147" t="s">
        <v>107</v>
      </c>
      <c r="B147" t="s">
        <v>62</v>
      </c>
      <c r="C147">
        <v>0</v>
      </c>
      <c r="D147">
        <v>1</v>
      </c>
      <c r="E147">
        <v>1</v>
      </c>
      <c r="F147">
        <v>1</v>
      </c>
      <c r="G147">
        <v>1</v>
      </c>
      <c r="H147">
        <v>1</v>
      </c>
      <c r="I147">
        <v>1</v>
      </c>
      <c r="J147">
        <v>1</v>
      </c>
      <c r="K147">
        <v>1</v>
      </c>
      <c r="L147">
        <v>1</v>
      </c>
      <c r="M147">
        <v>1</v>
      </c>
      <c r="N147">
        <v>1</v>
      </c>
      <c r="P147">
        <v>1.631625652313232</v>
      </c>
    </row>
    <row r="148" spans="1:16" x14ac:dyDescent="0.25">
      <c r="A148" t="s">
        <v>107</v>
      </c>
      <c r="B148" t="s">
        <v>63</v>
      </c>
      <c r="C148">
        <v>0</v>
      </c>
      <c r="D148">
        <v>1</v>
      </c>
      <c r="E148">
        <v>1</v>
      </c>
      <c r="F148">
        <v>1</v>
      </c>
      <c r="G148">
        <v>1</v>
      </c>
      <c r="H148">
        <v>1</v>
      </c>
      <c r="I148">
        <v>1</v>
      </c>
      <c r="J148">
        <v>1</v>
      </c>
      <c r="K148">
        <v>1</v>
      </c>
      <c r="L148">
        <v>1</v>
      </c>
      <c r="M148">
        <v>1</v>
      </c>
      <c r="N148">
        <v>1</v>
      </c>
      <c r="P148">
        <v>1.3574280738830571</v>
      </c>
    </row>
    <row r="149" spans="1:16" x14ac:dyDescent="0.25">
      <c r="A149" t="s">
        <v>107</v>
      </c>
      <c r="B149" t="s">
        <v>64</v>
      </c>
      <c r="C149">
        <v>0</v>
      </c>
      <c r="D149">
        <v>1</v>
      </c>
      <c r="E149">
        <v>1</v>
      </c>
      <c r="F149">
        <v>1</v>
      </c>
      <c r="G149">
        <v>1</v>
      </c>
      <c r="H149">
        <v>1</v>
      </c>
      <c r="I149">
        <v>1</v>
      </c>
      <c r="J149">
        <v>1</v>
      </c>
      <c r="K149">
        <v>1</v>
      </c>
      <c r="L149">
        <v>1</v>
      </c>
      <c r="M149">
        <v>1</v>
      </c>
      <c r="N149">
        <v>1</v>
      </c>
      <c r="P149">
        <v>1.870437383651733</v>
      </c>
    </row>
    <row r="150" spans="1:16" x14ac:dyDescent="0.25">
      <c r="A150" t="s">
        <v>107</v>
      </c>
      <c r="B150" t="s">
        <v>65</v>
      </c>
      <c r="C150">
        <v>0</v>
      </c>
      <c r="D150">
        <v>1</v>
      </c>
      <c r="E150">
        <v>1</v>
      </c>
      <c r="F150">
        <v>1</v>
      </c>
      <c r="G150">
        <v>1</v>
      </c>
      <c r="H150">
        <v>1</v>
      </c>
      <c r="I150">
        <v>1</v>
      </c>
      <c r="J150">
        <v>1</v>
      </c>
      <c r="K150">
        <v>1</v>
      </c>
      <c r="L150">
        <v>1</v>
      </c>
      <c r="M150">
        <v>1</v>
      </c>
      <c r="N150">
        <v>1</v>
      </c>
      <c r="P150">
        <v>1.7383236885070801</v>
      </c>
    </row>
    <row r="151" spans="1:16" x14ac:dyDescent="0.25">
      <c r="A151" t="s">
        <v>107</v>
      </c>
      <c r="B151" t="s">
        <v>66</v>
      </c>
      <c r="C151">
        <v>0</v>
      </c>
      <c r="D151">
        <v>1</v>
      </c>
      <c r="E151">
        <v>1</v>
      </c>
      <c r="F151">
        <v>1</v>
      </c>
      <c r="G151">
        <v>1</v>
      </c>
      <c r="H151">
        <v>1</v>
      </c>
      <c r="I151">
        <v>1</v>
      </c>
      <c r="J151">
        <v>1</v>
      </c>
      <c r="K151">
        <v>1</v>
      </c>
      <c r="L151">
        <v>1</v>
      </c>
      <c r="M151">
        <v>1</v>
      </c>
      <c r="N151">
        <v>1</v>
      </c>
      <c r="P151">
        <v>1.9442052841186519</v>
      </c>
    </row>
    <row r="152" spans="1:16" x14ac:dyDescent="0.25">
      <c r="A152" t="s">
        <v>107</v>
      </c>
      <c r="B152" t="s">
        <v>67</v>
      </c>
      <c r="C152">
        <v>0</v>
      </c>
      <c r="D152">
        <v>1</v>
      </c>
      <c r="E152">
        <v>1</v>
      </c>
      <c r="F152">
        <v>1</v>
      </c>
      <c r="G152">
        <v>1</v>
      </c>
      <c r="H152">
        <v>1</v>
      </c>
      <c r="I152">
        <v>1</v>
      </c>
      <c r="J152">
        <v>1</v>
      </c>
      <c r="K152">
        <v>1</v>
      </c>
      <c r="L152">
        <v>1</v>
      </c>
      <c r="M152">
        <v>1</v>
      </c>
      <c r="N152">
        <v>1</v>
      </c>
      <c r="P152">
        <v>1.4286401271820071</v>
      </c>
    </row>
    <row r="153" spans="1:16" x14ac:dyDescent="0.25">
      <c r="A153" t="s">
        <v>107</v>
      </c>
      <c r="B153" t="s">
        <v>69</v>
      </c>
      <c r="C153">
        <v>0</v>
      </c>
      <c r="D153">
        <v>1</v>
      </c>
      <c r="E153">
        <v>1</v>
      </c>
      <c r="F153">
        <v>1</v>
      </c>
      <c r="G153">
        <v>1</v>
      </c>
      <c r="H153">
        <v>1</v>
      </c>
      <c r="I153">
        <v>1</v>
      </c>
      <c r="J153">
        <v>1</v>
      </c>
      <c r="K153">
        <v>1</v>
      </c>
      <c r="L153">
        <v>1</v>
      </c>
      <c r="M153">
        <v>1</v>
      </c>
      <c r="N153">
        <v>1</v>
      </c>
      <c r="P153">
        <v>2.1457893848419189</v>
      </c>
    </row>
    <row r="154" spans="1:16" x14ac:dyDescent="0.25">
      <c r="A154" t="s">
        <v>107</v>
      </c>
      <c r="B154" t="s">
        <v>70</v>
      </c>
      <c r="C154">
        <v>0</v>
      </c>
      <c r="D154">
        <v>1</v>
      </c>
      <c r="E154">
        <v>1</v>
      </c>
      <c r="F154">
        <v>1</v>
      </c>
      <c r="G154">
        <v>1</v>
      </c>
      <c r="H154">
        <v>1</v>
      </c>
      <c r="I154">
        <v>1</v>
      </c>
      <c r="J154">
        <v>1</v>
      </c>
      <c r="K154">
        <v>1</v>
      </c>
      <c r="L154">
        <v>1</v>
      </c>
      <c r="M154">
        <v>1</v>
      </c>
      <c r="N154">
        <v>1</v>
      </c>
      <c r="P154">
        <v>1.481645822525024</v>
      </c>
    </row>
    <row r="155" spans="1:16" x14ac:dyDescent="0.25">
      <c r="A155" t="s">
        <v>107</v>
      </c>
      <c r="B155" t="s">
        <v>71</v>
      </c>
      <c r="C155">
        <v>0</v>
      </c>
      <c r="D155">
        <v>1</v>
      </c>
      <c r="E155">
        <v>1</v>
      </c>
      <c r="F155">
        <v>1</v>
      </c>
      <c r="G155">
        <v>1</v>
      </c>
      <c r="H155">
        <v>1</v>
      </c>
      <c r="I155">
        <v>1</v>
      </c>
      <c r="J155">
        <v>1</v>
      </c>
      <c r="K155">
        <v>1</v>
      </c>
      <c r="L155">
        <v>1</v>
      </c>
      <c r="M155">
        <v>1</v>
      </c>
      <c r="N155">
        <v>1</v>
      </c>
      <c r="P155">
        <v>1.906286478042603</v>
      </c>
    </row>
    <row r="156" spans="1:16" x14ac:dyDescent="0.25">
      <c r="A156" t="s">
        <v>107</v>
      </c>
      <c r="B156" t="s">
        <v>72</v>
      </c>
      <c r="C156">
        <v>0</v>
      </c>
      <c r="D156">
        <v>0</v>
      </c>
      <c r="E156" t="s">
        <v>28</v>
      </c>
      <c r="F156" t="s">
        <v>28</v>
      </c>
      <c r="G156" t="s">
        <v>28</v>
      </c>
      <c r="H156" t="s">
        <v>28</v>
      </c>
      <c r="I156" t="s">
        <v>28</v>
      </c>
      <c r="J156" t="s">
        <v>28</v>
      </c>
      <c r="K156" t="s">
        <v>28</v>
      </c>
      <c r="L156" t="s">
        <v>28</v>
      </c>
      <c r="M156" t="s">
        <v>28</v>
      </c>
      <c r="N156" t="s">
        <v>28</v>
      </c>
      <c r="O156" t="s">
        <v>252</v>
      </c>
      <c r="P156">
        <v>4.922548770904541</v>
      </c>
    </row>
    <row r="157" spans="1:16" x14ac:dyDescent="0.25">
      <c r="A157" t="s">
        <v>107</v>
      </c>
      <c r="B157" t="s">
        <v>74</v>
      </c>
      <c r="C157">
        <v>0</v>
      </c>
      <c r="D157">
        <v>1</v>
      </c>
      <c r="E157">
        <v>1</v>
      </c>
      <c r="F157">
        <v>1</v>
      </c>
      <c r="G157">
        <v>1</v>
      </c>
      <c r="H157">
        <v>1</v>
      </c>
      <c r="I157">
        <v>1</v>
      </c>
      <c r="J157">
        <v>1</v>
      </c>
      <c r="K157">
        <v>1</v>
      </c>
      <c r="L157">
        <v>1</v>
      </c>
      <c r="M157">
        <v>1</v>
      </c>
      <c r="N157">
        <v>1</v>
      </c>
      <c r="P157">
        <v>1.4533030986785891</v>
      </c>
    </row>
    <row r="158" spans="1:16" x14ac:dyDescent="0.25">
      <c r="A158" t="s">
        <v>107</v>
      </c>
      <c r="B158" t="s">
        <v>75</v>
      </c>
      <c r="C158">
        <v>0</v>
      </c>
      <c r="D158">
        <v>1</v>
      </c>
      <c r="E158">
        <v>1</v>
      </c>
      <c r="F158">
        <v>1</v>
      </c>
      <c r="G158">
        <v>1</v>
      </c>
      <c r="H158">
        <v>1</v>
      </c>
      <c r="I158">
        <v>1</v>
      </c>
      <c r="J158">
        <v>1</v>
      </c>
      <c r="K158">
        <v>1</v>
      </c>
      <c r="L158">
        <v>1</v>
      </c>
      <c r="M158">
        <v>1</v>
      </c>
      <c r="N158">
        <v>1</v>
      </c>
      <c r="P158">
        <v>1.4910576343536379</v>
      </c>
    </row>
    <row r="159" spans="1:16" x14ac:dyDescent="0.25">
      <c r="A159" t="s">
        <v>107</v>
      </c>
      <c r="B159" t="s">
        <v>76</v>
      </c>
      <c r="C159">
        <v>0</v>
      </c>
      <c r="D159">
        <v>1</v>
      </c>
      <c r="E159">
        <v>1</v>
      </c>
      <c r="F159">
        <v>1</v>
      </c>
      <c r="G159">
        <v>1</v>
      </c>
      <c r="H159">
        <v>1</v>
      </c>
      <c r="I159">
        <v>1</v>
      </c>
      <c r="J159">
        <v>1</v>
      </c>
      <c r="K159">
        <v>1</v>
      </c>
      <c r="L159">
        <v>1</v>
      </c>
      <c r="M159">
        <v>1</v>
      </c>
      <c r="N159">
        <v>1</v>
      </c>
      <c r="P159">
        <v>1.6543843746185301</v>
      </c>
    </row>
    <row r="160" spans="1:16" x14ac:dyDescent="0.25">
      <c r="A160" t="s">
        <v>107</v>
      </c>
      <c r="B160" t="s">
        <v>77</v>
      </c>
      <c r="C160">
        <v>0</v>
      </c>
      <c r="D160">
        <v>1</v>
      </c>
      <c r="E160">
        <v>1</v>
      </c>
      <c r="F160">
        <v>1</v>
      </c>
      <c r="G160">
        <v>1</v>
      </c>
      <c r="H160">
        <v>1</v>
      </c>
      <c r="I160">
        <v>0</v>
      </c>
      <c r="J160">
        <v>1</v>
      </c>
      <c r="K160">
        <v>1</v>
      </c>
      <c r="L160">
        <v>1</v>
      </c>
      <c r="M160">
        <v>1</v>
      </c>
      <c r="N160">
        <v>1</v>
      </c>
      <c r="O160" t="s">
        <v>253</v>
      </c>
      <c r="P160">
        <v>3.5650289058685298</v>
      </c>
    </row>
    <row r="161" spans="1:16" x14ac:dyDescent="0.25">
      <c r="A161" t="s">
        <v>107</v>
      </c>
      <c r="B161" t="s">
        <v>78</v>
      </c>
      <c r="C161">
        <v>0</v>
      </c>
      <c r="D161">
        <v>1</v>
      </c>
      <c r="E161">
        <v>1</v>
      </c>
      <c r="F161">
        <v>1</v>
      </c>
      <c r="G161">
        <v>1</v>
      </c>
      <c r="H161">
        <v>1</v>
      </c>
      <c r="I161">
        <v>1</v>
      </c>
      <c r="J161">
        <v>1</v>
      </c>
      <c r="K161">
        <v>1</v>
      </c>
      <c r="L161">
        <v>1</v>
      </c>
      <c r="M161">
        <v>1</v>
      </c>
      <c r="N161">
        <v>1</v>
      </c>
      <c r="P161">
        <v>1.762668132781982</v>
      </c>
    </row>
    <row r="162" spans="1:16" x14ac:dyDescent="0.25">
      <c r="A162" t="s">
        <v>107</v>
      </c>
      <c r="B162" t="s">
        <v>79</v>
      </c>
      <c r="C162">
        <v>0</v>
      </c>
      <c r="D162">
        <v>1</v>
      </c>
      <c r="E162">
        <v>1</v>
      </c>
      <c r="F162">
        <v>1</v>
      </c>
      <c r="G162">
        <v>1</v>
      </c>
      <c r="H162">
        <v>1</v>
      </c>
      <c r="I162">
        <v>1</v>
      </c>
      <c r="J162">
        <v>1</v>
      </c>
      <c r="K162">
        <v>1</v>
      </c>
      <c r="L162">
        <v>1</v>
      </c>
      <c r="M162">
        <v>1</v>
      </c>
      <c r="N162">
        <v>1</v>
      </c>
      <c r="P162">
        <v>1.4869339466094971</v>
      </c>
    </row>
    <row r="163" spans="1:16" x14ac:dyDescent="0.25">
      <c r="A163" t="s">
        <v>107</v>
      </c>
      <c r="B163" t="s">
        <v>91</v>
      </c>
      <c r="C163">
        <v>0</v>
      </c>
      <c r="D163">
        <v>1</v>
      </c>
      <c r="E163">
        <v>1</v>
      </c>
      <c r="F163">
        <v>1</v>
      </c>
      <c r="G163">
        <v>1</v>
      </c>
      <c r="H163">
        <v>1</v>
      </c>
      <c r="I163">
        <v>1</v>
      </c>
      <c r="J163">
        <v>1</v>
      </c>
      <c r="K163">
        <v>1</v>
      </c>
      <c r="L163">
        <v>1</v>
      </c>
      <c r="M163">
        <v>1</v>
      </c>
      <c r="N163">
        <v>1</v>
      </c>
      <c r="P163">
        <v>1.5420854091644289</v>
      </c>
    </row>
    <row r="164" spans="1:16" x14ac:dyDescent="0.25">
      <c r="A164" t="s">
        <v>107</v>
      </c>
      <c r="B164" t="s">
        <v>92</v>
      </c>
      <c r="C164">
        <v>0</v>
      </c>
      <c r="D164">
        <v>1</v>
      </c>
      <c r="E164">
        <v>1</v>
      </c>
      <c r="F164">
        <v>1</v>
      </c>
      <c r="G164">
        <v>1</v>
      </c>
      <c r="H164">
        <v>1</v>
      </c>
      <c r="I164">
        <v>1</v>
      </c>
      <c r="J164">
        <v>1</v>
      </c>
      <c r="K164">
        <v>1</v>
      </c>
      <c r="L164">
        <v>1</v>
      </c>
      <c r="M164">
        <v>1</v>
      </c>
      <c r="N164">
        <v>1</v>
      </c>
      <c r="P164">
        <v>1.3741292953491211</v>
      </c>
    </row>
    <row r="165" spans="1:16" x14ac:dyDescent="0.25">
      <c r="A165" t="s">
        <v>107</v>
      </c>
      <c r="B165" t="s">
        <v>93</v>
      </c>
      <c r="C165">
        <v>0</v>
      </c>
      <c r="D165">
        <v>1</v>
      </c>
      <c r="E165">
        <v>1</v>
      </c>
      <c r="F165">
        <v>1</v>
      </c>
      <c r="G165">
        <v>1</v>
      </c>
      <c r="H165">
        <v>1</v>
      </c>
      <c r="I165">
        <v>1</v>
      </c>
      <c r="J165">
        <v>1</v>
      </c>
      <c r="K165">
        <v>1</v>
      </c>
      <c r="L165">
        <v>1</v>
      </c>
      <c r="M165">
        <v>1</v>
      </c>
      <c r="N165">
        <v>1</v>
      </c>
      <c r="P165">
        <v>2.5591719150543208</v>
      </c>
    </row>
    <row r="166" spans="1:16" x14ac:dyDescent="0.25">
      <c r="A166" t="s">
        <v>107</v>
      </c>
      <c r="B166" t="s">
        <v>94</v>
      </c>
      <c r="C166">
        <v>0</v>
      </c>
      <c r="D166">
        <v>1</v>
      </c>
      <c r="E166">
        <v>1</v>
      </c>
      <c r="F166">
        <v>1</v>
      </c>
      <c r="G166">
        <v>1</v>
      </c>
      <c r="H166">
        <v>1</v>
      </c>
      <c r="I166">
        <v>1</v>
      </c>
      <c r="J166">
        <v>1</v>
      </c>
      <c r="K166">
        <v>1</v>
      </c>
      <c r="L166">
        <v>1</v>
      </c>
      <c r="M166">
        <v>1</v>
      </c>
      <c r="N166">
        <v>1</v>
      </c>
      <c r="P166">
        <v>1.6907956600189209</v>
      </c>
    </row>
    <row r="167" spans="1:16" x14ac:dyDescent="0.25">
      <c r="A167" t="s">
        <v>107</v>
      </c>
      <c r="B167" t="s">
        <v>95</v>
      </c>
      <c r="C167">
        <v>0</v>
      </c>
      <c r="D167">
        <v>1</v>
      </c>
      <c r="E167">
        <v>1</v>
      </c>
      <c r="F167">
        <v>1</v>
      </c>
      <c r="G167">
        <v>1</v>
      </c>
      <c r="H167">
        <v>1</v>
      </c>
      <c r="I167">
        <v>1</v>
      </c>
      <c r="J167">
        <v>1</v>
      </c>
      <c r="K167">
        <v>1</v>
      </c>
      <c r="L167">
        <v>1</v>
      </c>
      <c r="M167">
        <v>1</v>
      </c>
      <c r="N167">
        <v>1</v>
      </c>
      <c r="P167">
        <v>1.8617334365844731</v>
      </c>
    </row>
    <row r="168" spans="1:16" x14ac:dyDescent="0.25">
      <c r="A168" t="s">
        <v>107</v>
      </c>
      <c r="B168" t="s">
        <v>96</v>
      </c>
      <c r="C168">
        <v>0</v>
      </c>
      <c r="D168">
        <v>1</v>
      </c>
      <c r="E168">
        <v>1</v>
      </c>
      <c r="F168">
        <v>1</v>
      </c>
      <c r="G168">
        <v>1</v>
      </c>
      <c r="H168">
        <v>1</v>
      </c>
      <c r="I168">
        <v>1</v>
      </c>
      <c r="J168">
        <v>1</v>
      </c>
      <c r="K168">
        <v>1</v>
      </c>
      <c r="L168">
        <v>1</v>
      </c>
      <c r="M168">
        <v>1</v>
      </c>
      <c r="N168">
        <v>1</v>
      </c>
      <c r="P168">
        <v>2.0682022571563721</v>
      </c>
    </row>
    <row r="169" spans="1:16" x14ac:dyDescent="0.25">
      <c r="A169" t="s">
        <v>107</v>
      </c>
      <c r="B169" t="s">
        <v>97</v>
      </c>
      <c r="C169">
        <v>0</v>
      </c>
      <c r="D169">
        <v>1</v>
      </c>
      <c r="E169">
        <v>1</v>
      </c>
      <c r="F169">
        <v>1</v>
      </c>
      <c r="G169">
        <v>1</v>
      </c>
      <c r="H169">
        <v>1</v>
      </c>
      <c r="I169">
        <v>1</v>
      </c>
      <c r="J169">
        <v>1</v>
      </c>
      <c r="K169">
        <v>1</v>
      </c>
      <c r="L169">
        <v>1</v>
      </c>
      <c r="M169">
        <v>1</v>
      </c>
      <c r="N169">
        <v>1</v>
      </c>
      <c r="P169">
        <v>1.719743490219116</v>
      </c>
    </row>
    <row r="170" spans="1:16" x14ac:dyDescent="0.25">
      <c r="A170" t="s">
        <v>107</v>
      </c>
      <c r="B170" t="s">
        <v>98</v>
      </c>
      <c r="C170">
        <v>0</v>
      </c>
      <c r="D170">
        <v>1</v>
      </c>
      <c r="E170">
        <v>1</v>
      </c>
      <c r="F170">
        <v>1</v>
      </c>
      <c r="G170">
        <v>1</v>
      </c>
      <c r="H170">
        <v>1</v>
      </c>
      <c r="I170">
        <v>1</v>
      </c>
      <c r="J170">
        <v>1</v>
      </c>
      <c r="K170">
        <v>1</v>
      </c>
      <c r="L170">
        <v>1</v>
      </c>
      <c r="M170">
        <v>1</v>
      </c>
      <c r="N170">
        <v>1</v>
      </c>
      <c r="P170">
        <v>1.409817218780518</v>
      </c>
    </row>
    <row r="171" spans="1:16" x14ac:dyDescent="0.25">
      <c r="A171" t="s">
        <v>107</v>
      </c>
      <c r="B171" t="s">
        <v>100</v>
      </c>
      <c r="C171">
        <v>0</v>
      </c>
      <c r="D171">
        <v>1</v>
      </c>
      <c r="E171">
        <v>1</v>
      </c>
      <c r="F171">
        <v>1</v>
      </c>
      <c r="G171">
        <v>1</v>
      </c>
      <c r="H171">
        <v>1</v>
      </c>
      <c r="I171">
        <v>1</v>
      </c>
      <c r="J171">
        <v>1</v>
      </c>
      <c r="K171">
        <v>1</v>
      </c>
      <c r="L171">
        <v>1</v>
      </c>
      <c r="M171">
        <v>1</v>
      </c>
      <c r="N171">
        <v>1</v>
      </c>
      <c r="P171">
        <v>1.9820346832275391</v>
      </c>
    </row>
    <row r="172" spans="1:16" x14ac:dyDescent="0.25">
      <c r="A172" t="s">
        <v>107</v>
      </c>
      <c r="B172" t="s">
        <v>101</v>
      </c>
      <c r="C172">
        <v>0</v>
      </c>
      <c r="D172">
        <v>1</v>
      </c>
      <c r="E172">
        <v>1</v>
      </c>
      <c r="F172">
        <v>1</v>
      </c>
      <c r="G172">
        <v>1</v>
      </c>
      <c r="H172">
        <v>1</v>
      </c>
      <c r="I172">
        <v>0</v>
      </c>
      <c r="J172">
        <v>1</v>
      </c>
      <c r="K172">
        <v>1</v>
      </c>
      <c r="L172">
        <v>1</v>
      </c>
      <c r="M172">
        <v>1</v>
      </c>
      <c r="N172">
        <v>1</v>
      </c>
      <c r="O172" t="s">
        <v>254</v>
      </c>
      <c r="P172">
        <v>2.2851231098175049</v>
      </c>
    </row>
    <row r="173" spans="1:16" x14ac:dyDescent="0.25">
      <c r="A173" t="s">
        <v>107</v>
      </c>
      <c r="B173" t="s">
        <v>102</v>
      </c>
      <c r="C173">
        <v>0</v>
      </c>
      <c r="D173">
        <v>1</v>
      </c>
      <c r="E173">
        <v>1</v>
      </c>
      <c r="F173">
        <v>1</v>
      </c>
      <c r="G173">
        <v>1</v>
      </c>
      <c r="H173">
        <v>1</v>
      </c>
      <c r="I173">
        <v>1</v>
      </c>
      <c r="J173">
        <v>1</v>
      </c>
      <c r="K173">
        <v>1</v>
      </c>
      <c r="L173">
        <v>1</v>
      </c>
      <c r="M173">
        <v>1</v>
      </c>
      <c r="N173">
        <v>1</v>
      </c>
      <c r="P173">
        <v>1.592981815338135</v>
      </c>
    </row>
    <row r="174" spans="1:16" x14ac:dyDescent="0.25">
      <c r="A174" t="s">
        <v>107</v>
      </c>
      <c r="B174" t="s">
        <v>104</v>
      </c>
      <c r="C174">
        <v>0</v>
      </c>
      <c r="D174">
        <v>1</v>
      </c>
      <c r="E174">
        <v>1</v>
      </c>
      <c r="F174">
        <v>1</v>
      </c>
      <c r="G174">
        <v>1</v>
      </c>
      <c r="H174">
        <v>1</v>
      </c>
      <c r="I174">
        <v>1</v>
      </c>
      <c r="J174">
        <v>1</v>
      </c>
      <c r="K174">
        <v>1</v>
      </c>
      <c r="L174">
        <v>1</v>
      </c>
      <c r="M174">
        <v>1</v>
      </c>
      <c r="N174">
        <v>1</v>
      </c>
      <c r="P174">
        <v>1.8103048801422119</v>
      </c>
    </row>
    <row r="175" spans="1:16" x14ac:dyDescent="0.25">
      <c r="A175" t="s">
        <v>107</v>
      </c>
      <c r="B175" t="s">
        <v>105</v>
      </c>
      <c r="C175">
        <v>0</v>
      </c>
      <c r="D175">
        <v>1</v>
      </c>
      <c r="E175">
        <v>1</v>
      </c>
      <c r="F175">
        <v>1</v>
      </c>
      <c r="G175">
        <v>1</v>
      </c>
      <c r="H175">
        <v>1</v>
      </c>
      <c r="I175">
        <v>1</v>
      </c>
      <c r="J175">
        <v>1</v>
      </c>
      <c r="K175">
        <v>1</v>
      </c>
      <c r="L175">
        <v>1</v>
      </c>
      <c r="M175">
        <v>1</v>
      </c>
      <c r="N175">
        <v>1</v>
      </c>
      <c r="P175">
        <v>1.644014358520508</v>
      </c>
    </row>
    <row r="176" spans="1:16" x14ac:dyDescent="0.25">
      <c r="A176" t="s">
        <v>107</v>
      </c>
      <c r="B176" t="s">
        <v>106</v>
      </c>
      <c r="C176">
        <v>0</v>
      </c>
      <c r="D176">
        <v>1</v>
      </c>
      <c r="E176">
        <v>1</v>
      </c>
      <c r="F176">
        <v>1</v>
      </c>
      <c r="G176">
        <v>1</v>
      </c>
      <c r="H176">
        <v>1</v>
      </c>
      <c r="I176">
        <v>1</v>
      </c>
      <c r="J176">
        <v>1</v>
      </c>
      <c r="K176">
        <v>1</v>
      </c>
      <c r="L176">
        <v>1</v>
      </c>
      <c r="M176">
        <v>1</v>
      </c>
      <c r="N176">
        <v>1</v>
      </c>
      <c r="P176">
        <v>1.5555558204650879</v>
      </c>
    </row>
    <row r="177" spans="1:16" x14ac:dyDescent="0.25">
      <c r="A177" t="s">
        <v>107</v>
      </c>
      <c r="B177" t="s">
        <v>126</v>
      </c>
      <c r="C177">
        <v>0</v>
      </c>
      <c r="D177">
        <v>1</v>
      </c>
      <c r="E177">
        <v>1</v>
      </c>
      <c r="F177">
        <v>1</v>
      </c>
      <c r="G177">
        <v>1</v>
      </c>
      <c r="H177">
        <v>1</v>
      </c>
      <c r="I177">
        <v>1</v>
      </c>
      <c r="J177">
        <v>1</v>
      </c>
      <c r="K177">
        <v>1</v>
      </c>
      <c r="L177">
        <v>1</v>
      </c>
      <c r="M177">
        <v>1</v>
      </c>
      <c r="N177">
        <v>1</v>
      </c>
      <c r="P177">
        <v>1.6103196144103999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v>
      </c>
      <c r="E2">
        <v>1</v>
      </c>
      <c r="F2">
        <v>1</v>
      </c>
      <c r="G2">
        <v>1</v>
      </c>
      <c r="H2">
        <v>1</v>
      </c>
      <c r="I2">
        <v>1</v>
      </c>
      <c r="J2">
        <v>1</v>
      </c>
      <c r="K2">
        <v>1</v>
      </c>
      <c r="L2">
        <v>1</v>
      </c>
      <c r="M2">
        <v>1</v>
      </c>
      <c r="N2">
        <v>1</v>
      </c>
      <c r="P2">
        <v>1.5327267646789551</v>
      </c>
    </row>
    <row r="3" spans="1:16" x14ac:dyDescent="0.25">
      <c r="A3" t="s">
        <v>16</v>
      </c>
      <c r="B3" t="s">
        <v>18</v>
      </c>
      <c r="C3">
        <v>0</v>
      </c>
      <c r="D3">
        <v>1</v>
      </c>
      <c r="E3">
        <v>1</v>
      </c>
      <c r="F3">
        <v>1</v>
      </c>
      <c r="G3">
        <v>1</v>
      </c>
      <c r="H3">
        <v>1</v>
      </c>
      <c r="I3">
        <v>1</v>
      </c>
      <c r="J3">
        <v>1</v>
      </c>
      <c r="K3">
        <v>1</v>
      </c>
      <c r="L3">
        <v>1</v>
      </c>
      <c r="M3">
        <v>1</v>
      </c>
      <c r="N3">
        <v>1</v>
      </c>
      <c r="P3">
        <v>1.4091320037841799</v>
      </c>
    </row>
    <row r="4" spans="1:16" x14ac:dyDescent="0.25">
      <c r="A4" t="s">
        <v>16</v>
      </c>
      <c r="B4" t="s">
        <v>19</v>
      </c>
      <c r="C4">
        <v>0</v>
      </c>
      <c r="D4">
        <v>1</v>
      </c>
      <c r="E4">
        <v>1</v>
      </c>
      <c r="F4">
        <v>1</v>
      </c>
      <c r="G4">
        <v>1</v>
      </c>
      <c r="H4">
        <v>1</v>
      </c>
      <c r="I4">
        <v>1</v>
      </c>
      <c r="J4">
        <v>1</v>
      </c>
      <c r="K4">
        <v>1</v>
      </c>
      <c r="L4">
        <v>1</v>
      </c>
      <c r="M4">
        <v>1</v>
      </c>
      <c r="N4">
        <v>1</v>
      </c>
      <c r="P4">
        <v>1.3951513767242429</v>
      </c>
    </row>
    <row r="5" spans="1:16" x14ac:dyDescent="0.25">
      <c r="A5" t="s">
        <v>16</v>
      </c>
      <c r="B5" t="s">
        <v>20</v>
      </c>
      <c r="C5">
        <v>0</v>
      </c>
      <c r="D5">
        <v>1</v>
      </c>
      <c r="E5">
        <v>1</v>
      </c>
      <c r="F5">
        <v>1</v>
      </c>
      <c r="G5">
        <v>1</v>
      </c>
      <c r="H5">
        <v>1</v>
      </c>
      <c r="I5">
        <v>1</v>
      </c>
      <c r="J5">
        <v>1</v>
      </c>
      <c r="K5">
        <v>1</v>
      </c>
      <c r="L5">
        <v>1</v>
      </c>
      <c r="M5">
        <v>1</v>
      </c>
      <c r="N5">
        <v>1</v>
      </c>
      <c r="P5">
        <v>1.5059516429901121</v>
      </c>
    </row>
    <row r="6" spans="1:16" x14ac:dyDescent="0.25">
      <c r="A6" t="s">
        <v>16</v>
      </c>
      <c r="B6" t="s">
        <v>21</v>
      </c>
      <c r="C6">
        <v>0</v>
      </c>
      <c r="D6">
        <v>1</v>
      </c>
      <c r="E6">
        <v>1</v>
      </c>
      <c r="F6">
        <v>1</v>
      </c>
      <c r="G6">
        <v>1</v>
      </c>
      <c r="H6">
        <v>1</v>
      </c>
      <c r="I6">
        <v>1</v>
      </c>
      <c r="J6">
        <v>1</v>
      </c>
      <c r="K6">
        <v>1</v>
      </c>
      <c r="L6">
        <v>1</v>
      </c>
      <c r="M6">
        <v>1</v>
      </c>
      <c r="N6">
        <v>1</v>
      </c>
      <c r="P6">
        <v>1.3763020038604741</v>
      </c>
    </row>
    <row r="7" spans="1:16" x14ac:dyDescent="0.25">
      <c r="A7" t="s">
        <v>16</v>
      </c>
      <c r="B7" t="s">
        <v>22</v>
      </c>
      <c r="C7">
        <v>0</v>
      </c>
      <c r="D7">
        <v>1</v>
      </c>
      <c r="E7">
        <v>1</v>
      </c>
      <c r="F7">
        <v>1</v>
      </c>
      <c r="G7">
        <v>1</v>
      </c>
      <c r="H7">
        <v>1</v>
      </c>
      <c r="I7">
        <v>1</v>
      </c>
      <c r="J7">
        <v>1</v>
      </c>
      <c r="K7">
        <v>1</v>
      </c>
      <c r="L7">
        <v>1</v>
      </c>
      <c r="M7">
        <v>1</v>
      </c>
      <c r="N7">
        <v>1</v>
      </c>
      <c r="P7">
        <v>1.631776094436646</v>
      </c>
    </row>
    <row r="8" spans="1:16" x14ac:dyDescent="0.25">
      <c r="A8" t="s">
        <v>16</v>
      </c>
      <c r="B8" t="s">
        <v>23</v>
      </c>
      <c r="C8">
        <v>0</v>
      </c>
      <c r="D8">
        <v>1</v>
      </c>
      <c r="E8">
        <v>1</v>
      </c>
      <c r="F8">
        <v>1</v>
      </c>
      <c r="G8">
        <v>1</v>
      </c>
      <c r="H8">
        <v>1</v>
      </c>
      <c r="I8">
        <v>1</v>
      </c>
      <c r="J8">
        <v>1</v>
      </c>
      <c r="K8">
        <v>1</v>
      </c>
      <c r="L8">
        <v>1</v>
      </c>
      <c r="M8">
        <v>1</v>
      </c>
      <c r="N8">
        <v>1</v>
      </c>
      <c r="P8">
        <v>1.4838733673095701</v>
      </c>
    </row>
    <row r="9" spans="1:16" x14ac:dyDescent="0.25">
      <c r="A9" t="s">
        <v>16</v>
      </c>
      <c r="B9" t="s">
        <v>24</v>
      </c>
      <c r="C9">
        <v>0</v>
      </c>
      <c r="D9">
        <v>1</v>
      </c>
      <c r="E9">
        <v>1</v>
      </c>
      <c r="F9">
        <v>1</v>
      </c>
      <c r="G9">
        <v>1</v>
      </c>
      <c r="H9">
        <v>1</v>
      </c>
      <c r="I9">
        <v>1</v>
      </c>
      <c r="J9">
        <v>1</v>
      </c>
      <c r="K9">
        <v>1</v>
      </c>
      <c r="L9">
        <v>1</v>
      </c>
      <c r="M9">
        <v>1</v>
      </c>
      <c r="N9">
        <v>1</v>
      </c>
      <c r="P9">
        <v>1.909751176834106</v>
      </c>
    </row>
    <row r="10" spans="1:16" x14ac:dyDescent="0.25">
      <c r="A10" t="s">
        <v>16</v>
      </c>
      <c r="B10" t="s">
        <v>25</v>
      </c>
      <c r="C10">
        <v>0</v>
      </c>
      <c r="D10">
        <v>1</v>
      </c>
      <c r="E10">
        <v>1</v>
      </c>
      <c r="F10">
        <v>1</v>
      </c>
      <c r="G10">
        <v>1</v>
      </c>
      <c r="H10">
        <v>1</v>
      </c>
      <c r="I10">
        <v>1</v>
      </c>
      <c r="J10">
        <v>1</v>
      </c>
      <c r="K10">
        <v>1</v>
      </c>
      <c r="L10">
        <v>1</v>
      </c>
      <c r="M10">
        <v>1</v>
      </c>
      <c r="N10">
        <v>1</v>
      </c>
      <c r="P10">
        <v>3.0059342384338379</v>
      </c>
    </row>
    <row r="11" spans="1:16" x14ac:dyDescent="0.25">
      <c r="A11" t="s">
        <v>16</v>
      </c>
      <c r="B11" t="s">
        <v>26</v>
      </c>
      <c r="C11">
        <v>0</v>
      </c>
      <c r="D11">
        <v>1</v>
      </c>
      <c r="E11">
        <v>1</v>
      </c>
      <c r="F11">
        <v>1</v>
      </c>
      <c r="G11">
        <v>1</v>
      </c>
      <c r="H11">
        <v>1</v>
      </c>
      <c r="I11">
        <v>1</v>
      </c>
      <c r="J11">
        <v>1</v>
      </c>
      <c r="K11">
        <v>1</v>
      </c>
      <c r="L11">
        <v>1</v>
      </c>
      <c r="M11">
        <v>1</v>
      </c>
      <c r="N11">
        <v>1</v>
      </c>
      <c r="P11">
        <v>2.8931038379669189</v>
      </c>
    </row>
    <row r="12" spans="1:16" x14ac:dyDescent="0.25">
      <c r="A12" t="s">
        <v>16</v>
      </c>
      <c r="B12" t="s">
        <v>27</v>
      </c>
      <c r="C12">
        <v>0</v>
      </c>
      <c r="D12">
        <v>1</v>
      </c>
      <c r="E12">
        <v>0</v>
      </c>
      <c r="F12">
        <v>0</v>
      </c>
      <c r="G12">
        <v>1</v>
      </c>
      <c r="H12" t="s">
        <v>28</v>
      </c>
      <c r="I12">
        <v>1</v>
      </c>
      <c r="J12" t="s">
        <v>28</v>
      </c>
      <c r="K12">
        <v>1</v>
      </c>
      <c r="L12">
        <v>1</v>
      </c>
      <c r="M12">
        <v>1</v>
      </c>
      <c r="N12">
        <v>1</v>
      </c>
      <c r="O12" t="s">
        <v>255</v>
      </c>
      <c r="P12">
        <v>3.160272359848022</v>
      </c>
    </row>
    <row r="13" spans="1:16" x14ac:dyDescent="0.25">
      <c r="A13" t="s">
        <v>16</v>
      </c>
      <c r="B13" t="s">
        <v>30</v>
      </c>
      <c r="C13">
        <v>0</v>
      </c>
      <c r="D13">
        <v>1</v>
      </c>
      <c r="E13">
        <v>1</v>
      </c>
      <c r="F13">
        <v>1</v>
      </c>
      <c r="G13">
        <v>1</v>
      </c>
      <c r="H13">
        <v>1</v>
      </c>
      <c r="I13">
        <v>1</v>
      </c>
      <c r="J13">
        <v>1</v>
      </c>
      <c r="K13">
        <v>1</v>
      </c>
      <c r="L13">
        <v>1</v>
      </c>
      <c r="M13">
        <v>1</v>
      </c>
      <c r="N13">
        <v>1</v>
      </c>
      <c r="P13">
        <v>2.0225906372070308</v>
      </c>
    </row>
    <row r="14" spans="1:16" x14ac:dyDescent="0.25">
      <c r="A14" t="s">
        <v>16</v>
      </c>
      <c r="B14" t="s">
        <v>31</v>
      </c>
      <c r="C14">
        <v>0</v>
      </c>
      <c r="D14">
        <v>1</v>
      </c>
      <c r="E14">
        <v>0</v>
      </c>
      <c r="F14">
        <v>1</v>
      </c>
      <c r="G14">
        <v>1</v>
      </c>
      <c r="H14" t="s">
        <v>28</v>
      </c>
      <c r="I14">
        <v>1</v>
      </c>
      <c r="J14" t="s">
        <v>28</v>
      </c>
      <c r="K14">
        <v>1</v>
      </c>
      <c r="L14">
        <v>1</v>
      </c>
      <c r="M14">
        <v>1</v>
      </c>
      <c r="N14">
        <v>1</v>
      </c>
      <c r="O14" t="s">
        <v>256</v>
      </c>
      <c r="P14">
        <v>3.0325369834899898</v>
      </c>
    </row>
    <row r="15" spans="1:16" x14ac:dyDescent="0.25">
      <c r="A15" t="s">
        <v>16</v>
      </c>
      <c r="B15" t="s">
        <v>33</v>
      </c>
      <c r="C15">
        <v>0</v>
      </c>
      <c r="D15">
        <v>1</v>
      </c>
      <c r="E15">
        <v>1</v>
      </c>
      <c r="F15">
        <v>1</v>
      </c>
      <c r="G15">
        <v>1</v>
      </c>
      <c r="H15">
        <v>1</v>
      </c>
      <c r="I15">
        <v>1</v>
      </c>
      <c r="J15">
        <v>1</v>
      </c>
      <c r="K15">
        <v>1</v>
      </c>
      <c r="L15">
        <v>1</v>
      </c>
      <c r="M15">
        <v>1</v>
      </c>
      <c r="N15">
        <v>1</v>
      </c>
      <c r="P15">
        <v>1.559806823730469</v>
      </c>
    </row>
    <row r="16" spans="1:16" x14ac:dyDescent="0.25">
      <c r="A16" t="s">
        <v>16</v>
      </c>
      <c r="B16" t="s">
        <v>34</v>
      </c>
      <c r="C16">
        <v>0</v>
      </c>
      <c r="D16">
        <v>1</v>
      </c>
      <c r="E16">
        <v>0</v>
      </c>
      <c r="F16">
        <v>1</v>
      </c>
      <c r="G16">
        <v>1</v>
      </c>
      <c r="H16" t="s">
        <v>28</v>
      </c>
      <c r="I16">
        <v>1</v>
      </c>
      <c r="J16" t="s">
        <v>28</v>
      </c>
      <c r="K16">
        <v>1</v>
      </c>
      <c r="L16">
        <v>1</v>
      </c>
      <c r="M16">
        <v>1</v>
      </c>
      <c r="N16">
        <v>1</v>
      </c>
      <c r="O16" t="s">
        <v>257</v>
      </c>
      <c r="P16">
        <v>2.9002542495727539</v>
      </c>
    </row>
    <row r="17" spans="1:16" x14ac:dyDescent="0.25">
      <c r="A17" t="s">
        <v>16</v>
      </c>
      <c r="B17" t="s">
        <v>36</v>
      </c>
      <c r="C17">
        <v>0</v>
      </c>
      <c r="D17">
        <v>1</v>
      </c>
      <c r="E17">
        <v>1</v>
      </c>
      <c r="F17">
        <v>1</v>
      </c>
      <c r="G17">
        <v>1</v>
      </c>
      <c r="H17">
        <v>1</v>
      </c>
      <c r="I17">
        <v>1</v>
      </c>
      <c r="J17">
        <v>1</v>
      </c>
      <c r="K17">
        <v>1</v>
      </c>
      <c r="L17">
        <v>1</v>
      </c>
      <c r="M17">
        <v>1</v>
      </c>
      <c r="N17">
        <v>1</v>
      </c>
      <c r="P17">
        <v>1.820769309997559</v>
      </c>
    </row>
    <row r="18" spans="1:16" x14ac:dyDescent="0.25">
      <c r="A18" t="s">
        <v>16</v>
      </c>
      <c r="B18" t="s">
        <v>37</v>
      </c>
      <c r="C18">
        <v>0</v>
      </c>
      <c r="D18">
        <v>1</v>
      </c>
      <c r="E18">
        <v>1</v>
      </c>
      <c r="F18">
        <v>1</v>
      </c>
      <c r="G18">
        <v>1</v>
      </c>
      <c r="H18">
        <v>1</v>
      </c>
      <c r="I18">
        <v>1</v>
      </c>
      <c r="J18">
        <v>1</v>
      </c>
      <c r="K18">
        <v>1</v>
      </c>
      <c r="L18">
        <v>1</v>
      </c>
      <c r="M18">
        <v>1</v>
      </c>
      <c r="N18">
        <v>1</v>
      </c>
      <c r="P18">
        <v>1.6901149749755859</v>
      </c>
    </row>
    <row r="19" spans="1:16" x14ac:dyDescent="0.25">
      <c r="A19" t="s">
        <v>16</v>
      </c>
      <c r="B19" t="s">
        <v>38</v>
      </c>
      <c r="C19">
        <v>0</v>
      </c>
      <c r="D19">
        <v>1</v>
      </c>
      <c r="E19">
        <v>1</v>
      </c>
      <c r="F19">
        <v>1</v>
      </c>
      <c r="G19">
        <v>1</v>
      </c>
      <c r="H19">
        <v>1</v>
      </c>
      <c r="I19">
        <v>1</v>
      </c>
      <c r="J19">
        <v>1</v>
      </c>
      <c r="K19">
        <v>1</v>
      </c>
      <c r="L19">
        <v>1</v>
      </c>
      <c r="M19">
        <v>1</v>
      </c>
      <c r="N19">
        <v>1</v>
      </c>
      <c r="P19">
        <v>1.408278703689575</v>
      </c>
    </row>
    <row r="20" spans="1:16" x14ac:dyDescent="0.25">
      <c r="A20" t="s">
        <v>16</v>
      </c>
      <c r="B20" t="s">
        <v>39</v>
      </c>
      <c r="C20">
        <v>0</v>
      </c>
      <c r="D20">
        <v>1</v>
      </c>
      <c r="E20">
        <v>1</v>
      </c>
      <c r="F20">
        <v>1</v>
      </c>
      <c r="G20">
        <v>1</v>
      </c>
      <c r="H20">
        <v>1</v>
      </c>
      <c r="I20">
        <v>1</v>
      </c>
      <c r="J20">
        <v>1</v>
      </c>
      <c r="K20">
        <v>1</v>
      </c>
      <c r="L20">
        <v>1</v>
      </c>
      <c r="M20">
        <v>1</v>
      </c>
      <c r="N20">
        <v>1</v>
      </c>
      <c r="P20">
        <v>1.5024082660675051</v>
      </c>
    </row>
    <row r="21" spans="1:16" x14ac:dyDescent="0.25">
      <c r="A21" t="s">
        <v>16</v>
      </c>
      <c r="B21" t="s">
        <v>40</v>
      </c>
      <c r="C21">
        <v>0</v>
      </c>
      <c r="D21">
        <v>1</v>
      </c>
      <c r="E21">
        <v>1</v>
      </c>
      <c r="F21">
        <v>1</v>
      </c>
      <c r="G21">
        <v>1</v>
      </c>
      <c r="H21">
        <v>1</v>
      </c>
      <c r="I21">
        <v>1</v>
      </c>
      <c r="J21">
        <v>1</v>
      </c>
      <c r="K21">
        <v>1</v>
      </c>
      <c r="L21">
        <v>1</v>
      </c>
      <c r="M21">
        <v>1</v>
      </c>
      <c r="N21">
        <v>1</v>
      </c>
      <c r="P21">
        <v>1.7656233310699461</v>
      </c>
    </row>
    <row r="22" spans="1:16" x14ac:dyDescent="0.25">
      <c r="A22" t="s">
        <v>16</v>
      </c>
      <c r="B22" t="s">
        <v>41</v>
      </c>
      <c r="C22">
        <v>0</v>
      </c>
      <c r="D22">
        <v>1</v>
      </c>
      <c r="E22">
        <v>1</v>
      </c>
      <c r="F22">
        <v>1</v>
      </c>
      <c r="G22">
        <v>1</v>
      </c>
      <c r="H22">
        <v>1</v>
      </c>
      <c r="I22">
        <v>1</v>
      </c>
      <c r="J22">
        <v>1</v>
      </c>
      <c r="K22">
        <v>1</v>
      </c>
      <c r="L22">
        <v>1</v>
      </c>
      <c r="M22">
        <v>1</v>
      </c>
      <c r="N22">
        <v>1</v>
      </c>
      <c r="P22">
        <v>1.872632503509521</v>
      </c>
    </row>
    <row r="23" spans="1:16" x14ac:dyDescent="0.25">
      <c r="A23" t="s">
        <v>16</v>
      </c>
      <c r="B23" t="s">
        <v>42</v>
      </c>
      <c r="C23">
        <v>0</v>
      </c>
      <c r="D23">
        <v>1</v>
      </c>
      <c r="E23">
        <v>1</v>
      </c>
      <c r="F23">
        <v>0</v>
      </c>
      <c r="G23">
        <v>1</v>
      </c>
      <c r="H23">
        <v>1</v>
      </c>
      <c r="I23">
        <v>1</v>
      </c>
      <c r="J23" t="s">
        <v>28</v>
      </c>
      <c r="K23">
        <v>1</v>
      </c>
      <c r="L23">
        <v>1</v>
      </c>
      <c r="M23">
        <v>1</v>
      </c>
      <c r="N23">
        <v>1</v>
      </c>
      <c r="O23" t="s">
        <v>258</v>
      </c>
      <c r="P23">
        <v>2.492073774337769</v>
      </c>
    </row>
    <row r="24" spans="1:16" x14ac:dyDescent="0.25">
      <c r="A24" t="s">
        <v>16</v>
      </c>
      <c r="B24" t="s">
        <v>44</v>
      </c>
      <c r="C24">
        <v>0</v>
      </c>
      <c r="D24">
        <v>1</v>
      </c>
      <c r="E24">
        <v>1</v>
      </c>
      <c r="F24">
        <v>1</v>
      </c>
      <c r="G24">
        <v>1</v>
      </c>
      <c r="H24">
        <v>1</v>
      </c>
      <c r="I24">
        <v>1</v>
      </c>
      <c r="J24">
        <v>1</v>
      </c>
      <c r="K24">
        <v>1</v>
      </c>
      <c r="L24">
        <v>1</v>
      </c>
      <c r="M24">
        <v>1</v>
      </c>
      <c r="N24">
        <v>1</v>
      </c>
      <c r="P24">
        <v>3.2480814456939702</v>
      </c>
    </row>
    <row r="25" spans="1:16" x14ac:dyDescent="0.25">
      <c r="A25" t="s">
        <v>16</v>
      </c>
      <c r="B25" t="s">
        <v>45</v>
      </c>
      <c r="C25">
        <v>0</v>
      </c>
      <c r="D25">
        <v>1</v>
      </c>
      <c r="E25">
        <v>1</v>
      </c>
      <c r="F25">
        <v>1</v>
      </c>
      <c r="G25">
        <v>1</v>
      </c>
      <c r="H25">
        <v>1</v>
      </c>
      <c r="I25">
        <v>1</v>
      </c>
      <c r="J25">
        <v>1</v>
      </c>
      <c r="K25">
        <v>1</v>
      </c>
      <c r="L25">
        <v>1</v>
      </c>
      <c r="M25">
        <v>1</v>
      </c>
      <c r="N25">
        <v>1</v>
      </c>
      <c r="P25">
        <v>1.4430527687072749</v>
      </c>
    </row>
    <row r="26" spans="1:16" x14ac:dyDescent="0.25">
      <c r="A26" t="s">
        <v>16</v>
      </c>
      <c r="B26" t="s">
        <v>46</v>
      </c>
      <c r="C26">
        <v>0</v>
      </c>
      <c r="D26">
        <v>1</v>
      </c>
      <c r="E26">
        <v>1</v>
      </c>
      <c r="F26">
        <v>1</v>
      </c>
      <c r="G26">
        <v>1</v>
      </c>
      <c r="H26">
        <v>1</v>
      </c>
      <c r="I26">
        <v>1</v>
      </c>
      <c r="J26">
        <v>1</v>
      </c>
      <c r="K26">
        <v>1</v>
      </c>
      <c r="L26">
        <v>1</v>
      </c>
      <c r="M26">
        <v>1</v>
      </c>
      <c r="N26">
        <v>1</v>
      </c>
      <c r="P26">
        <v>1.8304817676544189</v>
      </c>
    </row>
    <row r="27" spans="1:16" x14ac:dyDescent="0.25">
      <c r="A27" t="s">
        <v>16</v>
      </c>
      <c r="B27" t="s">
        <v>47</v>
      </c>
      <c r="C27">
        <v>0</v>
      </c>
      <c r="D27">
        <v>1</v>
      </c>
      <c r="E27">
        <v>0</v>
      </c>
      <c r="F27">
        <v>1</v>
      </c>
      <c r="G27">
        <v>1</v>
      </c>
      <c r="H27" t="s">
        <v>28</v>
      </c>
      <c r="I27">
        <v>1</v>
      </c>
      <c r="J27" t="s">
        <v>28</v>
      </c>
      <c r="K27">
        <v>1</v>
      </c>
      <c r="L27">
        <v>1</v>
      </c>
      <c r="M27">
        <v>1</v>
      </c>
      <c r="N27">
        <v>1</v>
      </c>
      <c r="O27" t="s">
        <v>259</v>
      </c>
      <c r="P27">
        <v>2.2676432132720952</v>
      </c>
    </row>
    <row r="28" spans="1:16" x14ac:dyDescent="0.25">
      <c r="A28" t="s">
        <v>16</v>
      </c>
      <c r="B28" t="s">
        <v>49</v>
      </c>
      <c r="C28">
        <v>0</v>
      </c>
      <c r="D28">
        <v>1</v>
      </c>
      <c r="E28">
        <v>0</v>
      </c>
      <c r="F28">
        <v>1</v>
      </c>
      <c r="G28">
        <v>1</v>
      </c>
      <c r="H28" t="s">
        <v>28</v>
      </c>
      <c r="I28">
        <v>1</v>
      </c>
      <c r="J28" t="s">
        <v>28</v>
      </c>
      <c r="K28">
        <v>1</v>
      </c>
      <c r="L28">
        <v>1</v>
      </c>
      <c r="M28">
        <v>1</v>
      </c>
      <c r="N28">
        <v>1</v>
      </c>
      <c r="O28" t="s">
        <v>260</v>
      </c>
      <c r="P28">
        <v>8.0838897228240967</v>
      </c>
    </row>
    <row r="29" spans="1:16" x14ac:dyDescent="0.25">
      <c r="A29" t="s">
        <v>16</v>
      </c>
      <c r="B29" t="s">
        <v>51</v>
      </c>
      <c r="C29">
        <v>0</v>
      </c>
      <c r="D29">
        <v>1</v>
      </c>
      <c r="E29">
        <v>0</v>
      </c>
      <c r="F29">
        <v>1</v>
      </c>
      <c r="G29">
        <v>1</v>
      </c>
      <c r="H29" t="s">
        <v>28</v>
      </c>
      <c r="I29">
        <v>1</v>
      </c>
      <c r="J29" t="s">
        <v>28</v>
      </c>
      <c r="K29">
        <v>1</v>
      </c>
      <c r="L29">
        <v>1</v>
      </c>
      <c r="M29">
        <v>1</v>
      </c>
      <c r="N29">
        <v>1</v>
      </c>
      <c r="O29" t="s">
        <v>261</v>
      </c>
      <c r="P29">
        <v>2.481645822525024</v>
      </c>
    </row>
    <row r="30" spans="1:16" x14ac:dyDescent="0.25">
      <c r="A30" t="s">
        <v>16</v>
      </c>
      <c r="B30" t="s">
        <v>53</v>
      </c>
      <c r="C30">
        <v>0</v>
      </c>
      <c r="D30">
        <v>1</v>
      </c>
      <c r="E30">
        <v>1</v>
      </c>
      <c r="F30">
        <v>1</v>
      </c>
      <c r="G30">
        <v>1</v>
      </c>
      <c r="H30">
        <v>1</v>
      </c>
      <c r="I30">
        <v>1</v>
      </c>
      <c r="J30">
        <v>1</v>
      </c>
      <c r="K30">
        <v>1</v>
      </c>
      <c r="L30">
        <v>1</v>
      </c>
      <c r="M30">
        <v>1</v>
      </c>
      <c r="N30">
        <v>1</v>
      </c>
      <c r="P30">
        <v>1.5346324443817141</v>
      </c>
    </row>
    <row r="31" spans="1:16" x14ac:dyDescent="0.25">
      <c r="A31" t="s">
        <v>16</v>
      </c>
      <c r="B31" t="s">
        <v>54</v>
      </c>
      <c r="C31">
        <v>0</v>
      </c>
      <c r="D31">
        <v>1</v>
      </c>
      <c r="E31">
        <v>0</v>
      </c>
      <c r="F31">
        <v>1</v>
      </c>
      <c r="G31">
        <v>1</v>
      </c>
      <c r="H31" t="s">
        <v>28</v>
      </c>
      <c r="I31">
        <v>1</v>
      </c>
      <c r="J31" t="s">
        <v>28</v>
      </c>
      <c r="K31">
        <v>1</v>
      </c>
      <c r="L31">
        <v>1</v>
      </c>
      <c r="M31">
        <v>1</v>
      </c>
      <c r="N31">
        <v>1</v>
      </c>
      <c r="O31" t="s">
        <v>262</v>
      </c>
      <c r="P31">
        <v>3.828675270080566</v>
      </c>
    </row>
    <row r="32" spans="1:16" x14ac:dyDescent="0.25">
      <c r="A32" t="s">
        <v>16</v>
      </c>
      <c r="B32" t="s">
        <v>56</v>
      </c>
      <c r="C32">
        <v>0</v>
      </c>
      <c r="D32">
        <v>1</v>
      </c>
      <c r="E32">
        <v>0</v>
      </c>
      <c r="F32">
        <v>1</v>
      </c>
      <c r="G32">
        <v>1</v>
      </c>
      <c r="H32" t="s">
        <v>28</v>
      </c>
      <c r="I32">
        <v>1</v>
      </c>
      <c r="J32" t="s">
        <v>28</v>
      </c>
      <c r="K32">
        <v>1</v>
      </c>
      <c r="L32">
        <v>1</v>
      </c>
      <c r="M32">
        <v>1</v>
      </c>
      <c r="N32">
        <v>1</v>
      </c>
      <c r="O32" t="s">
        <v>263</v>
      </c>
      <c r="P32">
        <v>12.90193605422974</v>
      </c>
    </row>
    <row r="33" spans="1:16" x14ac:dyDescent="0.25">
      <c r="A33" t="s">
        <v>16</v>
      </c>
      <c r="B33" t="s">
        <v>58</v>
      </c>
      <c r="C33">
        <v>0</v>
      </c>
      <c r="D33">
        <v>1</v>
      </c>
      <c r="E33">
        <v>0</v>
      </c>
      <c r="F33">
        <v>1</v>
      </c>
      <c r="G33">
        <v>1</v>
      </c>
      <c r="H33" t="s">
        <v>28</v>
      </c>
      <c r="I33">
        <v>1</v>
      </c>
      <c r="J33" t="s">
        <v>28</v>
      </c>
      <c r="K33">
        <v>1</v>
      </c>
      <c r="L33">
        <v>1</v>
      </c>
      <c r="M33">
        <v>1</v>
      </c>
      <c r="N33">
        <v>1</v>
      </c>
      <c r="O33" t="s">
        <v>264</v>
      </c>
      <c r="P33">
        <v>2.4364192485809331</v>
      </c>
    </row>
    <row r="34" spans="1:16" x14ac:dyDescent="0.25">
      <c r="A34" t="s">
        <v>16</v>
      </c>
      <c r="B34" t="s">
        <v>60</v>
      </c>
      <c r="C34">
        <v>0</v>
      </c>
      <c r="D34">
        <v>0</v>
      </c>
      <c r="E34" t="s">
        <v>28</v>
      </c>
      <c r="F34" t="s">
        <v>28</v>
      </c>
      <c r="G34" t="s">
        <v>28</v>
      </c>
      <c r="H34" t="s">
        <v>28</v>
      </c>
      <c r="I34" t="s">
        <v>28</v>
      </c>
      <c r="J34" t="s">
        <v>28</v>
      </c>
      <c r="K34" t="s">
        <v>28</v>
      </c>
      <c r="L34" t="s">
        <v>28</v>
      </c>
      <c r="M34" t="s">
        <v>28</v>
      </c>
      <c r="N34" t="s">
        <v>28</v>
      </c>
      <c r="O34" t="s">
        <v>265</v>
      </c>
      <c r="P34">
        <v>6.0536391735076904</v>
      </c>
    </row>
    <row r="35" spans="1:16" x14ac:dyDescent="0.25">
      <c r="A35" t="s">
        <v>16</v>
      </c>
      <c r="B35" t="s">
        <v>62</v>
      </c>
      <c r="C35">
        <v>0</v>
      </c>
      <c r="D35">
        <v>1</v>
      </c>
      <c r="E35">
        <v>1</v>
      </c>
      <c r="F35">
        <v>0</v>
      </c>
      <c r="G35">
        <v>1</v>
      </c>
      <c r="H35">
        <v>1</v>
      </c>
      <c r="I35">
        <v>1</v>
      </c>
      <c r="J35" t="s">
        <v>28</v>
      </c>
      <c r="K35">
        <v>1</v>
      </c>
      <c r="L35">
        <v>1</v>
      </c>
      <c r="M35">
        <v>1</v>
      </c>
      <c r="N35">
        <v>1</v>
      </c>
      <c r="O35" t="s">
        <v>266</v>
      </c>
      <c r="P35">
        <v>2.0178208351135249</v>
      </c>
    </row>
    <row r="36" spans="1:16" x14ac:dyDescent="0.25">
      <c r="A36" t="s">
        <v>16</v>
      </c>
      <c r="B36" t="s">
        <v>63</v>
      </c>
      <c r="C36">
        <v>0</v>
      </c>
      <c r="D36">
        <v>1</v>
      </c>
      <c r="E36">
        <v>1</v>
      </c>
      <c r="F36">
        <v>1</v>
      </c>
      <c r="G36">
        <v>1</v>
      </c>
      <c r="H36">
        <v>1</v>
      </c>
      <c r="I36">
        <v>1</v>
      </c>
      <c r="J36">
        <v>1</v>
      </c>
      <c r="K36">
        <v>1</v>
      </c>
      <c r="L36">
        <v>1</v>
      </c>
      <c r="M36">
        <v>1</v>
      </c>
      <c r="N36">
        <v>1</v>
      </c>
      <c r="P36">
        <v>2.9505314826965332</v>
      </c>
    </row>
    <row r="37" spans="1:16" x14ac:dyDescent="0.25">
      <c r="A37" t="s">
        <v>16</v>
      </c>
      <c r="B37" t="s">
        <v>64</v>
      </c>
      <c r="C37">
        <v>0</v>
      </c>
      <c r="D37">
        <v>1</v>
      </c>
      <c r="E37">
        <v>1</v>
      </c>
      <c r="F37">
        <v>1</v>
      </c>
      <c r="G37">
        <v>1</v>
      </c>
      <c r="H37">
        <v>1</v>
      </c>
      <c r="I37">
        <v>1</v>
      </c>
      <c r="J37">
        <v>1</v>
      </c>
      <c r="K37">
        <v>1</v>
      </c>
      <c r="L37">
        <v>1</v>
      </c>
      <c r="M37">
        <v>1</v>
      </c>
      <c r="N37">
        <v>1</v>
      </c>
      <c r="P37">
        <v>2.6276178359985352</v>
      </c>
    </row>
    <row r="38" spans="1:16" x14ac:dyDescent="0.25">
      <c r="A38" t="s">
        <v>16</v>
      </c>
      <c r="B38" t="s">
        <v>65</v>
      </c>
      <c r="C38">
        <v>0</v>
      </c>
      <c r="D38">
        <v>1</v>
      </c>
      <c r="E38">
        <v>1</v>
      </c>
      <c r="F38">
        <v>1</v>
      </c>
      <c r="G38">
        <v>1</v>
      </c>
      <c r="H38">
        <v>1</v>
      </c>
      <c r="I38">
        <v>1</v>
      </c>
      <c r="J38">
        <v>1</v>
      </c>
      <c r="K38">
        <v>1</v>
      </c>
      <c r="L38">
        <v>1</v>
      </c>
      <c r="M38">
        <v>1</v>
      </c>
      <c r="N38">
        <v>1</v>
      </c>
      <c r="P38">
        <v>1.755567312240601</v>
      </c>
    </row>
    <row r="39" spans="1:16" x14ac:dyDescent="0.25">
      <c r="A39" t="s">
        <v>16</v>
      </c>
      <c r="B39" t="s">
        <v>66</v>
      </c>
      <c r="C39">
        <v>0</v>
      </c>
      <c r="D39">
        <v>1</v>
      </c>
      <c r="E39">
        <v>1</v>
      </c>
      <c r="F39">
        <v>1</v>
      </c>
      <c r="G39">
        <v>1</v>
      </c>
      <c r="H39">
        <v>1</v>
      </c>
      <c r="I39">
        <v>1</v>
      </c>
      <c r="J39">
        <v>1</v>
      </c>
      <c r="K39">
        <v>1</v>
      </c>
      <c r="L39">
        <v>1</v>
      </c>
      <c r="M39">
        <v>1</v>
      </c>
      <c r="N39">
        <v>1</v>
      </c>
      <c r="P39">
        <v>2.0269827842712398</v>
      </c>
    </row>
    <row r="40" spans="1:16" x14ac:dyDescent="0.25">
      <c r="A40" t="s">
        <v>16</v>
      </c>
      <c r="B40" t="s">
        <v>67</v>
      </c>
      <c r="C40">
        <v>0</v>
      </c>
      <c r="D40">
        <v>1</v>
      </c>
      <c r="E40">
        <v>1</v>
      </c>
      <c r="F40">
        <v>1</v>
      </c>
      <c r="G40">
        <v>1</v>
      </c>
      <c r="H40">
        <v>1</v>
      </c>
      <c r="I40">
        <v>0</v>
      </c>
      <c r="J40">
        <v>1</v>
      </c>
      <c r="K40">
        <v>1</v>
      </c>
      <c r="L40">
        <v>1</v>
      </c>
      <c r="M40">
        <v>1</v>
      </c>
      <c r="N40">
        <v>1</v>
      </c>
      <c r="O40" t="s">
        <v>267</v>
      </c>
      <c r="P40">
        <v>3.2056784629821782</v>
      </c>
    </row>
    <row r="41" spans="1:16" x14ac:dyDescent="0.25">
      <c r="A41" t="s">
        <v>16</v>
      </c>
      <c r="B41" t="s">
        <v>69</v>
      </c>
      <c r="C41">
        <v>0</v>
      </c>
      <c r="D41">
        <v>0</v>
      </c>
      <c r="E41" t="s">
        <v>28</v>
      </c>
      <c r="F41" t="s">
        <v>28</v>
      </c>
      <c r="G41" t="s">
        <v>28</v>
      </c>
      <c r="H41" t="s">
        <v>28</v>
      </c>
      <c r="I41" t="s">
        <v>28</v>
      </c>
      <c r="J41" t="s">
        <v>28</v>
      </c>
      <c r="K41" t="s">
        <v>28</v>
      </c>
      <c r="L41" t="s">
        <v>28</v>
      </c>
      <c r="M41" t="s">
        <v>28</v>
      </c>
      <c r="N41" t="s">
        <v>28</v>
      </c>
      <c r="O41" t="s">
        <v>268</v>
      </c>
      <c r="P41">
        <v>3.5132255554199219</v>
      </c>
    </row>
    <row r="42" spans="1:16" x14ac:dyDescent="0.25">
      <c r="A42" t="s">
        <v>16</v>
      </c>
      <c r="B42" t="s">
        <v>70</v>
      </c>
      <c r="C42">
        <v>0</v>
      </c>
      <c r="D42">
        <v>1</v>
      </c>
      <c r="E42">
        <v>1</v>
      </c>
      <c r="F42">
        <v>1</v>
      </c>
      <c r="G42">
        <v>1</v>
      </c>
      <c r="H42">
        <v>1</v>
      </c>
      <c r="I42">
        <v>1</v>
      </c>
      <c r="J42">
        <v>1</v>
      </c>
      <c r="K42">
        <v>1</v>
      </c>
      <c r="L42">
        <v>1</v>
      </c>
      <c r="M42">
        <v>1</v>
      </c>
      <c r="N42">
        <v>1</v>
      </c>
      <c r="P42">
        <v>1.8133871555328369</v>
      </c>
    </row>
    <row r="43" spans="1:16" x14ac:dyDescent="0.25">
      <c r="A43" t="s">
        <v>16</v>
      </c>
      <c r="B43" t="s">
        <v>71</v>
      </c>
      <c r="C43">
        <v>0</v>
      </c>
      <c r="D43">
        <v>1</v>
      </c>
      <c r="E43">
        <v>1</v>
      </c>
      <c r="F43">
        <v>1</v>
      </c>
      <c r="G43">
        <v>1</v>
      </c>
      <c r="H43">
        <v>1</v>
      </c>
      <c r="I43">
        <v>1</v>
      </c>
      <c r="J43">
        <v>1</v>
      </c>
      <c r="K43">
        <v>1</v>
      </c>
      <c r="L43">
        <v>1</v>
      </c>
      <c r="M43">
        <v>1</v>
      </c>
      <c r="N43">
        <v>1</v>
      </c>
      <c r="P43">
        <v>1.436041593551636</v>
      </c>
    </row>
    <row r="44" spans="1:16" x14ac:dyDescent="0.25">
      <c r="A44" t="s">
        <v>16</v>
      </c>
      <c r="B44" t="s">
        <v>72</v>
      </c>
      <c r="C44">
        <v>0</v>
      </c>
      <c r="D44">
        <v>1</v>
      </c>
      <c r="E44">
        <v>1</v>
      </c>
      <c r="F44">
        <v>0</v>
      </c>
      <c r="G44">
        <v>1</v>
      </c>
      <c r="H44">
        <v>1</v>
      </c>
      <c r="I44">
        <v>1</v>
      </c>
      <c r="J44" t="s">
        <v>28</v>
      </c>
      <c r="K44">
        <v>1</v>
      </c>
      <c r="L44">
        <v>1</v>
      </c>
      <c r="M44">
        <v>1</v>
      </c>
      <c r="N44">
        <v>1</v>
      </c>
      <c r="O44" t="s">
        <v>269</v>
      </c>
      <c r="P44">
        <v>3.4327347278594971</v>
      </c>
    </row>
    <row r="45" spans="1:16" x14ac:dyDescent="0.25">
      <c r="A45" t="s">
        <v>16</v>
      </c>
      <c r="B45" t="s">
        <v>74</v>
      </c>
      <c r="C45">
        <v>0</v>
      </c>
      <c r="D45">
        <v>1</v>
      </c>
      <c r="E45">
        <v>1</v>
      </c>
      <c r="F45">
        <v>1</v>
      </c>
      <c r="G45">
        <v>1</v>
      </c>
      <c r="H45">
        <v>1</v>
      </c>
      <c r="I45">
        <v>1</v>
      </c>
      <c r="J45">
        <v>1</v>
      </c>
      <c r="K45">
        <v>1</v>
      </c>
      <c r="L45">
        <v>1</v>
      </c>
      <c r="M45">
        <v>1</v>
      </c>
      <c r="N45">
        <v>1</v>
      </c>
      <c r="P45">
        <v>1.737818717956543</v>
      </c>
    </row>
    <row r="46" spans="1:16" x14ac:dyDescent="0.25">
      <c r="A46" t="s">
        <v>16</v>
      </c>
      <c r="B46" t="s">
        <v>75</v>
      </c>
      <c r="C46">
        <v>0</v>
      </c>
      <c r="D46">
        <v>1</v>
      </c>
      <c r="E46">
        <v>1</v>
      </c>
      <c r="F46">
        <v>1</v>
      </c>
      <c r="G46">
        <v>1</v>
      </c>
      <c r="H46">
        <v>1</v>
      </c>
      <c r="I46">
        <v>1</v>
      </c>
      <c r="J46">
        <v>1</v>
      </c>
      <c r="K46">
        <v>1</v>
      </c>
      <c r="L46">
        <v>1</v>
      </c>
      <c r="M46">
        <v>1</v>
      </c>
      <c r="N46">
        <v>1</v>
      </c>
      <c r="P46">
        <v>2.2602818012237549</v>
      </c>
    </row>
    <row r="47" spans="1:16" x14ac:dyDescent="0.25">
      <c r="A47" t="s">
        <v>16</v>
      </c>
      <c r="B47" t="s">
        <v>76</v>
      </c>
      <c r="C47">
        <v>0</v>
      </c>
      <c r="D47">
        <v>1</v>
      </c>
      <c r="E47">
        <v>1</v>
      </c>
      <c r="F47">
        <v>1</v>
      </c>
      <c r="G47">
        <v>1</v>
      </c>
      <c r="H47">
        <v>1</v>
      </c>
      <c r="I47">
        <v>1</v>
      </c>
      <c r="J47">
        <v>1</v>
      </c>
      <c r="K47">
        <v>1</v>
      </c>
      <c r="L47">
        <v>1</v>
      </c>
      <c r="M47">
        <v>1</v>
      </c>
      <c r="N47">
        <v>1</v>
      </c>
      <c r="P47">
        <v>1.570260286331177</v>
      </c>
    </row>
    <row r="48" spans="1:16" x14ac:dyDescent="0.25">
      <c r="A48" t="s">
        <v>16</v>
      </c>
      <c r="B48" t="s">
        <v>77</v>
      </c>
      <c r="C48">
        <v>0</v>
      </c>
      <c r="D48">
        <v>1</v>
      </c>
      <c r="E48">
        <v>1</v>
      </c>
      <c r="F48">
        <v>1</v>
      </c>
      <c r="G48">
        <v>1</v>
      </c>
      <c r="H48">
        <v>1</v>
      </c>
      <c r="I48">
        <v>1</v>
      </c>
      <c r="J48">
        <v>1</v>
      </c>
      <c r="K48">
        <v>1</v>
      </c>
      <c r="L48">
        <v>1</v>
      </c>
      <c r="M48">
        <v>1</v>
      </c>
      <c r="N48">
        <v>1</v>
      </c>
      <c r="P48">
        <v>1.5371191501617429</v>
      </c>
    </row>
    <row r="49" spans="1:16" x14ac:dyDescent="0.25">
      <c r="A49" t="s">
        <v>16</v>
      </c>
      <c r="B49" t="s">
        <v>78</v>
      </c>
      <c r="C49">
        <v>0</v>
      </c>
      <c r="D49">
        <v>1</v>
      </c>
      <c r="E49">
        <v>1</v>
      </c>
      <c r="F49">
        <v>1</v>
      </c>
      <c r="G49">
        <v>1</v>
      </c>
      <c r="H49">
        <v>1</v>
      </c>
      <c r="I49">
        <v>1</v>
      </c>
      <c r="J49">
        <v>1</v>
      </c>
      <c r="K49">
        <v>1</v>
      </c>
      <c r="L49">
        <v>1</v>
      </c>
      <c r="M49">
        <v>1</v>
      </c>
      <c r="N49">
        <v>1</v>
      </c>
      <c r="P49">
        <v>2.0201289653778081</v>
      </c>
    </row>
    <row r="50" spans="1:16" x14ac:dyDescent="0.25">
      <c r="A50" t="s">
        <v>16</v>
      </c>
      <c r="B50" t="s">
        <v>79</v>
      </c>
      <c r="C50">
        <v>0</v>
      </c>
      <c r="D50">
        <v>1</v>
      </c>
      <c r="E50">
        <v>1</v>
      </c>
      <c r="F50">
        <v>1</v>
      </c>
      <c r="G50">
        <v>1</v>
      </c>
      <c r="H50">
        <v>1</v>
      </c>
      <c r="I50">
        <v>1</v>
      </c>
      <c r="J50">
        <v>1</v>
      </c>
      <c r="K50">
        <v>1</v>
      </c>
      <c r="L50">
        <v>1</v>
      </c>
      <c r="M50">
        <v>1</v>
      </c>
      <c r="N50">
        <v>1</v>
      </c>
      <c r="P50">
        <v>1.937965393066406</v>
      </c>
    </row>
    <row r="51" spans="1:16" x14ac:dyDescent="0.25">
      <c r="A51" t="s">
        <v>80</v>
      </c>
      <c r="B51" t="s">
        <v>17</v>
      </c>
      <c r="C51">
        <v>0</v>
      </c>
      <c r="D51">
        <v>1</v>
      </c>
      <c r="E51">
        <v>1</v>
      </c>
      <c r="F51">
        <v>1</v>
      </c>
      <c r="G51">
        <v>1</v>
      </c>
      <c r="H51">
        <v>1</v>
      </c>
      <c r="I51">
        <v>1</v>
      </c>
      <c r="J51">
        <v>1</v>
      </c>
      <c r="K51">
        <v>1</v>
      </c>
      <c r="L51">
        <v>1</v>
      </c>
      <c r="M51">
        <v>1</v>
      </c>
      <c r="N51">
        <v>1</v>
      </c>
      <c r="P51">
        <v>1.454644918441772</v>
      </c>
    </row>
    <row r="52" spans="1:16" x14ac:dyDescent="0.25">
      <c r="A52" t="s">
        <v>80</v>
      </c>
      <c r="B52" t="s">
        <v>18</v>
      </c>
      <c r="C52">
        <v>0</v>
      </c>
      <c r="D52">
        <v>1</v>
      </c>
      <c r="E52">
        <v>0</v>
      </c>
      <c r="F52">
        <v>1</v>
      </c>
      <c r="G52">
        <v>1</v>
      </c>
      <c r="H52" t="s">
        <v>28</v>
      </c>
      <c r="I52">
        <v>1</v>
      </c>
      <c r="J52" t="s">
        <v>28</v>
      </c>
      <c r="K52">
        <v>1</v>
      </c>
      <c r="L52">
        <v>1</v>
      </c>
      <c r="M52">
        <v>1</v>
      </c>
      <c r="N52">
        <v>1</v>
      </c>
      <c r="O52" t="s">
        <v>270</v>
      </c>
      <c r="P52">
        <v>9.9163782596588135</v>
      </c>
    </row>
    <row r="53" spans="1:16" x14ac:dyDescent="0.25">
      <c r="A53" t="s">
        <v>80</v>
      </c>
      <c r="B53" t="s">
        <v>19</v>
      </c>
      <c r="C53">
        <v>0</v>
      </c>
      <c r="D53">
        <v>1</v>
      </c>
      <c r="E53">
        <v>1</v>
      </c>
      <c r="F53">
        <v>1</v>
      </c>
      <c r="G53">
        <v>1</v>
      </c>
      <c r="H53">
        <v>1</v>
      </c>
      <c r="I53">
        <v>1</v>
      </c>
      <c r="J53">
        <v>1</v>
      </c>
      <c r="K53">
        <v>1</v>
      </c>
      <c r="L53">
        <v>1</v>
      </c>
      <c r="M53">
        <v>1</v>
      </c>
      <c r="N53">
        <v>1</v>
      </c>
      <c r="P53">
        <v>1.7404839992523189</v>
      </c>
    </row>
    <row r="54" spans="1:16" x14ac:dyDescent="0.25">
      <c r="A54" t="s">
        <v>80</v>
      </c>
      <c r="B54" t="s">
        <v>20</v>
      </c>
      <c r="C54">
        <v>0</v>
      </c>
      <c r="D54">
        <v>1</v>
      </c>
      <c r="E54">
        <v>0</v>
      </c>
      <c r="F54">
        <v>0</v>
      </c>
      <c r="G54">
        <v>1</v>
      </c>
      <c r="H54" t="s">
        <v>28</v>
      </c>
      <c r="I54">
        <v>0</v>
      </c>
      <c r="J54" t="s">
        <v>28</v>
      </c>
      <c r="K54">
        <v>1</v>
      </c>
      <c r="L54">
        <v>1</v>
      </c>
      <c r="M54">
        <v>1</v>
      </c>
      <c r="N54">
        <v>1</v>
      </c>
      <c r="O54" t="s">
        <v>271</v>
      </c>
      <c r="P54">
        <v>3.5001957416534419</v>
      </c>
    </row>
    <row r="55" spans="1:16" x14ac:dyDescent="0.25">
      <c r="A55" t="s">
        <v>80</v>
      </c>
      <c r="B55" t="s">
        <v>21</v>
      </c>
      <c r="C55">
        <v>0</v>
      </c>
      <c r="D55">
        <v>1</v>
      </c>
      <c r="E55">
        <v>0</v>
      </c>
      <c r="F55">
        <v>1</v>
      </c>
      <c r="G55">
        <v>1</v>
      </c>
      <c r="H55" t="s">
        <v>28</v>
      </c>
      <c r="I55">
        <v>1</v>
      </c>
      <c r="J55" t="s">
        <v>28</v>
      </c>
      <c r="K55">
        <v>1</v>
      </c>
      <c r="L55">
        <v>1</v>
      </c>
      <c r="M55">
        <v>1</v>
      </c>
      <c r="N55">
        <v>1</v>
      </c>
      <c r="O55" t="s">
        <v>272</v>
      </c>
      <c r="P55">
        <v>5.598207950592041</v>
      </c>
    </row>
    <row r="56" spans="1:16" x14ac:dyDescent="0.25">
      <c r="A56" t="s">
        <v>80</v>
      </c>
      <c r="B56" t="s">
        <v>22</v>
      </c>
      <c r="C56">
        <v>0</v>
      </c>
      <c r="D56">
        <v>1</v>
      </c>
      <c r="E56">
        <v>0</v>
      </c>
      <c r="F56">
        <v>1</v>
      </c>
      <c r="G56">
        <v>1</v>
      </c>
      <c r="H56" t="s">
        <v>28</v>
      </c>
      <c r="I56">
        <v>1</v>
      </c>
      <c r="J56" t="s">
        <v>28</v>
      </c>
      <c r="K56">
        <v>1</v>
      </c>
      <c r="L56">
        <v>1</v>
      </c>
      <c r="M56">
        <v>1</v>
      </c>
      <c r="N56">
        <v>1</v>
      </c>
      <c r="O56" t="s">
        <v>273</v>
      </c>
      <c r="P56">
        <v>5.1461265087127694</v>
      </c>
    </row>
    <row r="57" spans="1:16" x14ac:dyDescent="0.25">
      <c r="A57" t="s">
        <v>80</v>
      </c>
      <c r="B57" t="s">
        <v>23</v>
      </c>
      <c r="C57">
        <v>0</v>
      </c>
      <c r="D57">
        <v>1</v>
      </c>
      <c r="E57">
        <v>1</v>
      </c>
      <c r="F57">
        <v>1</v>
      </c>
      <c r="G57">
        <v>1</v>
      </c>
      <c r="H57">
        <v>1</v>
      </c>
      <c r="I57">
        <v>1</v>
      </c>
      <c r="J57">
        <v>1</v>
      </c>
      <c r="K57">
        <v>1</v>
      </c>
      <c r="L57">
        <v>1</v>
      </c>
      <c r="M57">
        <v>1</v>
      </c>
      <c r="N57">
        <v>1</v>
      </c>
      <c r="P57">
        <v>1.6088545322418211</v>
      </c>
    </row>
    <row r="58" spans="1:16" x14ac:dyDescent="0.25">
      <c r="A58" t="s">
        <v>80</v>
      </c>
      <c r="B58" t="s">
        <v>24</v>
      </c>
      <c r="C58">
        <v>0</v>
      </c>
      <c r="D58">
        <v>1</v>
      </c>
      <c r="E58">
        <v>0</v>
      </c>
      <c r="F58">
        <v>1</v>
      </c>
      <c r="G58">
        <v>1</v>
      </c>
      <c r="H58" t="s">
        <v>28</v>
      </c>
      <c r="I58">
        <v>1</v>
      </c>
      <c r="J58" t="s">
        <v>28</v>
      </c>
      <c r="K58">
        <v>1</v>
      </c>
      <c r="L58">
        <v>1</v>
      </c>
      <c r="M58">
        <v>1</v>
      </c>
      <c r="N58">
        <v>1</v>
      </c>
      <c r="O58" t="s">
        <v>274</v>
      </c>
      <c r="P58">
        <v>2.5645911693572998</v>
      </c>
    </row>
    <row r="59" spans="1:16" x14ac:dyDescent="0.25">
      <c r="A59" t="s">
        <v>80</v>
      </c>
      <c r="B59" t="s">
        <v>25</v>
      </c>
      <c r="C59">
        <v>0</v>
      </c>
      <c r="D59">
        <v>1</v>
      </c>
      <c r="E59">
        <v>1</v>
      </c>
      <c r="F59">
        <v>1</v>
      </c>
      <c r="G59">
        <v>1</v>
      </c>
      <c r="H59">
        <v>1</v>
      </c>
      <c r="I59">
        <v>1</v>
      </c>
      <c r="J59">
        <v>1</v>
      </c>
      <c r="K59">
        <v>1</v>
      </c>
      <c r="L59">
        <v>1</v>
      </c>
      <c r="M59">
        <v>1</v>
      </c>
      <c r="N59">
        <v>1</v>
      </c>
      <c r="P59">
        <v>1.805429935455322</v>
      </c>
    </row>
    <row r="60" spans="1:16" x14ac:dyDescent="0.25">
      <c r="A60" t="s">
        <v>80</v>
      </c>
      <c r="B60" t="s">
        <v>26</v>
      </c>
      <c r="C60">
        <v>0</v>
      </c>
      <c r="D60">
        <v>1</v>
      </c>
      <c r="E60">
        <v>1</v>
      </c>
      <c r="F60">
        <v>1</v>
      </c>
      <c r="G60">
        <v>1</v>
      </c>
      <c r="H60">
        <v>1</v>
      </c>
      <c r="I60">
        <v>1</v>
      </c>
      <c r="J60">
        <v>1</v>
      </c>
      <c r="K60">
        <v>1</v>
      </c>
      <c r="L60">
        <v>1</v>
      </c>
      <c r="M60">
        <v>1</v>
      </c>
      <c r="N60">
        <v>1</v>
      </c>
      <c r="P60">
        <v>1.5329263210296631</v>
      </c>
    </row>
    <row r="61" spans="1:16" x14ac:dyDescent="0.25">
      <c r="A61" t="s">
        <v>80</v>
      </c>
      <c r="B61" t="s">
        <v>27</v>
      </c>
      <c r="C61">
        <v>0</v>
      </c>
      <c r="D61">
        <v>1</v>
      </c>
      <c r="E61">
        <v>1</v>
      </c>
      <c r="F61">
        <v>1</v>
      </c>
      <c r="G61">
        <v>1</v>
      </c>
      <c r="H61">
        <v>1</v>
      </c>
      <c r="I61">
        <v>1</v>
      </c>
      <c r="J61">
        <v>1</v>
      </c>
      <c r="K61">
        <v>1</v>
      </c>
      <c r="L61">
        <v>1</v>
      </c>
      <c r="M61">
        <v>1</v>
      </c>
      <c r="N61">
        <v>1</v>
      </c>
      <c r="P61">
        <v>4.5312502384185791</v>
      </c>
    </row>
    <row r="62" spans="1:16" x14ac:dyDescent="0.25">
      <c r="A62" t="s">
        <v>80</v>
      </c>
      <c r="B62" t="s">
        <v>30</v>
      </c>
      <c r="C62">
        <v>0</v>
      </c>
      <c r="D62">
        <v>1</v>
      </c>
      <c r="E62">
        <v>1</v>
      </c>
      <c r="F62">
        <v>1</v>
      </c>
      <c r="G62">
        <v>1</v>
      </c>
      <c r="H62">
        <v>1</v>
      </c>
      <c r="I62">
        <v>1</v>
      </c>
      <c r="J62">
        <v>1</v>
      </c>
      <c r="K62">
        <v>1</v>
      </c>
      <c r="L62">
        <v>1</v>
      </c>
      <c r="M62">
        <v>1</v>
      </c>
      <c r="N62">
        <v>1</v>
      </c>
      <c r="P62">
        <v>1.38013768196106</v>
      </c>
    </row>
    <row r="63" spans="1:16" x14ac:dyDescent="0.25">
      <c r="A63" t="s">
        <v>80</v>
      </c>
      <c r="B63" t="s">
        <v>31</v>
      </c>
      <c r="C63">
        <v>0</v>
      </c>
      <c r="D63">
        <v>1</v>
      </c>
      <c r="E63">
        <v>1</v>
      </c>
      <c r="F63">
        <v>1</v>
      </c>
      <c r="G63">
        <v>1</v>
      </c>
      <c r="H63">
        <v>1</v>
      </c>
      <c r="I63">
        <v>1</v>
      </c>
      <c r="J63">
        <v>1</v>
      </c>
      <c r="K63">
        <v>1</v>
      </c>
      <c r="L63">
        <v>1</v>
      </c>
      <c r="M63">
        <v>1</v>
      </c>
      <c r="N63">
        <v>1</v>
      </c>
      <c r="P63">
        <v>1.7302296161651609</v>
      </c>
    </row>
    <row r="64" spans="1:16" x14ac:dyDescent="0.25">
      <c r="A64" t="s">
        <v>80</v>
      </c>
      <c r="B64" t="s">
        <v>33</v>
      </c>
      <c r="C64">
        <v>0</v>
      </c>
      <c r="D64">
        <v>1</v>
      </c>
      <c r="E64">
        <v>1</v>
      </c>
      <c r="F64">
        <v>1</v>
      </c>
      <c r="G64">
        <v>1</v>
      </c>
      <c r="H64">
        <v>1</v>
      </c>
      <c r="I64">
        <v>1</v>
      </c>
      <c r="J64">
        <v>1</v>
      </c>
      <c r="K64">
        <v>1</v>
      </c>
      <c r="L64">
        <v>1</v>
      </c>
      <c r="M64">
        <v>1</v>
      </c>
      <c r="N64">
        <v>1</v>
      </c>
      <c r="P64">
        <v>1.7123863697052</v>
      </c>
    </row>
    <row r="65" spans="1:16" x14ac:dyDescent="0.25">
      <c r="A65" t="s">
        <v>80</v>
      </c>
      <c r="B65" t="s">
        <v>34</v>
      </c>
      <c r="C65">
        <v>0</v>
      </c>
      <c r="D65">
        <v>1</v>
      </c>
      <c r="E65">
        <v>0</v>
      </c>
      <c r="F65">
        <v>1</v>
      </c>
      <c r="G65">
        <v>1</v>
      </c>
      <c r="H65" t="s">
        <v>28</v>
      </c>
      <c r="I65">
        <v>1</v>
      </c>
      <c r="J65" t="s">
        <v>28</v>
      </c>
      <c r="K65">
        <v>1</v>
      </c>
      <c r="L65">
        <v>1</v>
      </c>
      <c r="M65">
        <v>1</v>
      </c>
      <c r="N65">
        <v>1</v>
      </c>
      <c r="O65" t="s">
        <v>275</v>
      </c>
      <c r="P65">
        <v>2.2937431335449219</v>
      </c>
    </row>
    <row r="66" spans="1:16" x14ac:dyDescent="0.25">
      <c r="A66" t="s">
        <v>80</v>
      </c>
      <c r="B66" t="s">
        <v>36</v>
      </c>
      <c r="C66">
        <v>0</v>
      </c>
      <c r="D66">
        <v>1</v>
      </c>
      <c r="E66">
        <v>1</v>
      </c>
      <c r="F66">
        <v>1</v>
      </c>
      <c r="G66">
        <v>1</v>
      </c>
      <c r="H66">
        <v>1</v>
      </c>
      <c r="I66">
        <v>1</v>
      </c>
      <c r="J66">
        <v>1</v>
      </c>
      <c r="K66">
        <v>1</v>
      </c>
      <c r="L66">
        <v>1</v>
      </c>
      <c r="M66">
        <v>1</v>
      </c>
      <c r="N66">
        <v>1</v>
      </c>
      <c r="P66">
        <v>1.770322799682617</v>
      </c>
    </row>
    <row r="67" spans="1:16" x14ac:dyDescent="0.25">
      <c r="A67" t="s">
        <v>80</v>
      </c>
      <c r="B67" t="s">
        <v>37</v>
      </c>
      <c r="C67">
        <v>0</v>
      </c>
      <c r="D67">
        <v>1</v>
      </c>
      <c r="E67">
        <v>1</v>
      </c>
      <c r="F67">
        <v>1</v>
      </c>
      <c r="G67">
        <v>1</v>
      </c>
      <c r="H67">
        <v>1</v>
      </c>
      <c r="I67">
        <v>1</v>
      </c>
      <c r="J67">
        <v>1</v>
      </c>
      <c r="K67">
        <v>1</v>
      </c>
      <c r="L67">
        <v>1</v>
      </c>
      <c r="M67">
        <v>1</v>
      </c>
      <c r="N67">
        <v>1</v>
      </c>
      <c r="P67">
        <v>1.910922527313232</v>
      </c>
    </row>
    <row r="68" spans="1:16" x14ac:dyDescent="0.25">
      <c r="A68" t="s">
        <v>80</v>
      </c>
      <c r="B68" t="s">
        <v>38</v>
      </c>
      <c r="C68">
        <v>0</v>
      </c>
      <c r="D68">
        <v>1</v>
      </c>
      <c r="E68">
        <v>1</v>
      </c>
      <c r="F68">
        <v>1</v>
      </c>
      <c r="G68">
        <v>1</v>
      </c>
      <c r="H68">
        <v>1</v>
      </c>
      <c r="I68">
        <v>1</v>
      </c>
      <c r="J68">
        <v>1</v>
      </c>
      <c r="K68">
        <v>1</v>
      </c>
      <c r="L68">
        <v>1</v>
      </c>
      <c r="M68">
        <v>1</v>
      </c>
      <c r="N68">
        <v>1</v>
      </c>
      <c r="P68">
        <v>4.6764857769012451</v>
      </c>
    </row>
    <row r="69" spans="1:16" x14ac:dyDescent="0.25">
      <c r="A69" t="s">
        <v>80</v>
      </c>
      <c r="B69" t="s">
        <v>39</v>
      </c>
      <c r="C69">
        <v>0</v>
      </c>
      <c r="D69">
        <v>1</v>
      </c>
      <c r="E69">
        <v>1</v>
      </c>
      <c r="F69">
        <v>1</v>
      </c>
      <c r="G69">
        <v>1</v>
      </c>
      <c r="H69">
        <v>1</v>
      </c>
      <c r="I69">
        <v>1</v>
      </c>
      <c r="J69">
        <v>1</v>
      </c>
      <c r="K69">
        <v>1</v>
      </c>
      <c r="L69">
        <v>1</v>
      </c>
      <c r="M69">
        <v>1</v>
      </c>
      <c r="N69">
        <v>1</v>
      </c>
      <c r="P69">
        <v>6.0419878959655762</v>
      </c>
    </row>
    <row r="70" spans="1:16" x14ac:dyDescent="0.25">
      <c r="A70" t="s">
        <v>80</v>
      </c>
      <c r="B70" t="s">
        <v>40</v>
      </c>
      <c r="C70">
        <v>0</v>
      </c>
      <c r="D70">
        <v>1</v>
      </c>
      <c r="E70">
        <v>1</v>
      </c>
      <c r="F70">
        <v>1</v>
      </c>
      <c r="G70">
        <v>1</v>
      </c>
      <c r="H70">
        <v>1</v>
      </c>
      <c r="I70">
        <v>1</v>
      </c>
      <c r="J70">
        <v>1</v>
      </c>
      <c r="K70">
        <v>1</v>
      </c>
      <c r="L70">
        <v>1</v>
      </c>
      <c r="M70">
        <v>1</v>
      </c>
      <c r="N70">
        <v>1</v>
      </c>
      <c r="P70">
        <v>1.4240820407867429</v>
      </c>
    </row>
    <row r="71" spans="1:16" x14ac:dyDescent="0.25">
      <c r="A71" t="s">
        <v>80</v>
      </c>
      <c r="B71" t="s">
        <v>41</v>
      </c>
      <c r="C71">
        <v>0</v>
      </c>
      <c r="D71">
        <v>1</v>
      </c>
      <c r="E71">
        <v>0</v>
      </c>
      <c r="F71">
        <v>1</v>
      </c>
      <c r="G71">
        <v>1</v>
      </c>
      <c r="H71" t="s">
        <v>28</v>
      </c>
      <c r="I71">
        <v>1</v>
      </c>
      <c r="J71" t="s">
        <v>28</v>
      </c>
      <c r="K71">
        <v>1</v>
      </c>
      <c r="L71">
        <v>1</v>
      </c>
      <c r="M71">
        <v>1</v>
      </c>
      <c r="N71">
        <v>1</v>
      </c>
      <c r="O71" t="s">
        <v>276</v>
      </c>
      <c r="P71">
        <v>2.443510770797729</v>
      </c>
    </row>
    <row r="72" spans="1:16" x14ac:dyDescent="0.25">
      <c r="A72" t="s">
        <v>80</v>
      </c>
      <c r="B72" t="s">
        <v>42</v>
      </c>
      <c r="C72">
        <v>0</v>
      </c>
      <c r="D72">
        <v>1</v>
      </c>
      <c r="E72">
        <v>1</v>
      </c>
      <c r="F72">
        <v>1</v>
      </c>
      <c r="G72">
        <v>1</v>
      </c>
      <c r="H72">
        <v>1</v>
      </c>
      <c r="I72">
        <v>1</v>
      </c>
      <c r="J72">
        <v>1</v>
      </c>
      <c r="K72">
        <v>1</v>
      </c>
      <c r="L72">
        <v>1</v>
      </c>
      <c r="M72">
        <v>1</v>
      </c>
      <c r="N72">
        <v>1</v>
      </c>
      <c r="P72">
        <v>1.8219654560089109</v>
      </c>
    </row>
    <row r="73" spans="1:16" x14ac:dyDescent="0.25">
      <c r="A73" t="s">
        <v>80</v>
      </c>
      <c r="B73" t="s">
        <v>44</v>
      </c>
      <c r="C73">
        <v>0</v>
      </c>
      <c r="D73">
        <v>1</v>
      </c>
      <c r="E73">
        <v>1</v>
      </c>
      <c r="F73">
        <v>1</v>
      </c>
      <c r="G73">
        <v>1</v>
      </c>
      <c r="H73">
        <v>1</v>
      </c>
      <c r="I73">
        <v>1</v>
      </c>
      <c r="J73">
        <v>1</v>
      </c>
      <c r="K73">
        <v>1</v>
      </c>
      <c r="L73">
        <v>1</v>
      </c>
      <c r="M73">
        <v>1</v>
      </c>
      <c r="N73">
        <v>1</v>
      </c>
      <c r="P73">
        <v>1.735793352127075</v>
      </c>
    </row>
    <row r="74" spans="1:16" x14ac:dyDescent="0.25">
      <c r="A74" t="s">
        <v>80</v>
      </c>
      <c r="B74" t="s">
        <v>45</v>
      </c>
      <c r="C74">
        <v>0</v>
      </c>
      <c r="D74">
        <v>1</v>
      </c>
      <c r="E74">
        <v>1</v>
      </c>
      <c r="F74">
        <v>1</v>
      </c>
      <c r="G74">
        <v>1</v>
      </c>
      <c r="H74">
        <v>1</v>
      </c>
      <c r="I74">
        <v>1</v>
      </c>
      <c r="J74">
        <v>1</v>
      </c>
      <c r="K74">
        <v>1</v>
      </c>
      <c r="L74">
        <v>1</v>
      </c>
      <c r="M74">
        <v>1</v>
      </c>
      <c r="N74">
        <v>1</v>
      </c>
      <c r="P74">
        <v>1.509884834289551</v>
      </c>
    </row>
    <row r="75" spans="1:16" x14ac:dyDescent="0.25">
      <c r="A75" t="s">
        <v>80</v>
      </c>
      <c r="B75" t="s">
        <v>46</v>
      </c>
      <c r="C75">
        <v>0</v>
      </c>
      <c r="D75">
        <v>1</v>
      </c>
      <c r="E75">
        <v>1</v>
      </c>
      <c r="F75">
        <v>1</v>
      </c>
      <c r="G75">
        <v>1</v>
      </c>
      <c r="H75">
        <v>1</v>
      </c>
      <c r="I75">
        <v>1</v>
      </c>
      <c r="J75">
        <v>1</v>
      </c>
      <c r="K75">
        <v>1</v>
      </c>
      <c r="L75">
        <v>1</v>
      </c>
      <c r="M75">
        <v>1</v>
      </c>
      <c r="N75">
        <v>1</v>
      </c>
      <c r="P75">
        <v>2.1741702556610112</v>
      </c>
    </row>
    <row r="76" spans="1:16" x14ac:dyDescent="0.25">
      <c r="A76" t="s">
        <v>80</v>
      </c>
      <c r="B76" t="s">
        <v>47</v>
      </c>
      <c r="C76">
        <v>0</v>
      </c>
      <c r="D76">
        <v>1</v>
      </c>
      <c r="E76">
        <v>1</v>
      </c>
      <c r="F76">
        <v>1</v>
      </c>
      <c r="G76">
        <v>1</v>
      </c>
      <c r="H76">
        <v>1</v>
      </c>
      <c r="I76">
        <v>1</v>
      </c>
      <c r="J76">
        <v>1</v>
      </c>
      <c r="K76">
        <v>1</v>
      </c>
      <c r="L76">
        <v>1</v>
      </c>
      <c r="M76">
        <v>1</v>
      </c>
      <c r="N76">
        <v>1</v>
      </c>
      <c r="P76">
        <v>1.8489270210266111</v>
      </c>
    </row>
    <row r="77" spans="1:16" x14ac:dyDescent="0.25">
      <c r="A77" t="s">
        <v>80</v>
      </c>
      <c r="B77" t="s">
        <v>49</v>
      </c>
      <c r="C77">
        <v>0</v>
      </c>
      <c r="D77">
        <v>1</v>
      </c>
      <c r="E77">
        <v>0</v>
      </c>
      <c r="F77">
        <v>1</v>
      </c>
      <c r="G77">
        <v>1</v>
      </c>
      <c r="H77" t="s">
        <v>28</v>
      </c>
      <c r="I77">
        <v>1</v>
      </c>
      <c r="J77" t="s">
        <v>28</v>
      </c>
      <c r="K77">
        <v>1</v>
      </c>
      <c r="L77">
        <v>1</v>
      </c>
      <c r="M77">
        <v>1</v>
      </c>
      <c r="N77">
        <v>1</v>
      </c>
      <c r="O77" t="s">
        <v>277</v>
      </c>
      <c r="P77">
        <v>2.812183141708374</v>
      </c>
    </row>
    <row r="78" spans="1:16" x14ac:dyDescent="0.25">
      <c r="A78" t="s">
        <v>80</v>
      </c>
      <c r="B78" t="s">
        <v>51</v>
      </c>
      <c r="C78">
        <v>0</v>
      </c>
      <c r="D78">
        <v>1</v>
      </c>
      <c r="E78">
        <v>0</v>
      </c>
      <c r="F78">
        <v>1</v>
      </c>
      <c r="G78">
        <v>1</v>
      </c>
      <c r="H78" t="s">
        <v>28</v>
      </c>
      <c r="I78">
        <v>1</v>
      </c>
      <c r="J78" t="s">
        <v>28</v>
      </c>
      <c r="K78">
        <v>1</v>
      </c>
      <c r="L78">
        <v>1</v>
      </c>
      <c r="M78">
        <v>1</v>
      </c>
      <c r="N78">
        <v>1</v>
      </c>
      <c r="O78" t="s">
        <v>278</v>
      </c>
      <c r="P78">
        <v>4.0050132274627694</v>
      </c>
    </row>
    <row r="79" spans="1:16" x14ac:dyDescent="0.25">
      <c r="A79" t="s">
        <v>80</v>
      </c>
      <c r="B79" t="s">
        <v>53</v>
      </c>
      <c r="C79">
        <v>0</v>
      </c>
      <c r="D79">
        <v>1</v>
      </c>
      <c r="E79">
        <v>1</v>
      </c>
      <c r="F79">
        <v>1</v>
      </c>
      <c r="G79">
        <v>1</v>
      </c>
      <c r="H79">
        <v>1</v>
      </c>
      <c r="I79">
        <v>1</v>
      </c>
      <c r="J79">
        <v>1</v>
      </c>
      <c r="K79">
        <v>1</v>
      </c>
      <c r="L79">
        <v>1</v>
      </c>
      <c r="M79">
        <v>1</v>
      </c>
      <c r="N79">
        <v>1</v>
      </c>
      <c r="P79">
        <v>1.9825353622436519</v>
      </c>
    </row>
    <row r="80" spans="1:16" x14ac:dyDescent="0.25">
      <c r="A80" t="s">
        <v>80</v>
      </c>
      <c r="B80" t="s">
        <v>54</v>
      </c>
      <c r="C80">
        <v>0</v>
      </c>
      <c r="D80">
        <v>1</v>
      </c>
      <c r="E80">
        <v>1</v>
      </c>
      <c r="F80">
        <v>1</v>
      </c>
      <c r="G80">
        <v>1</v>
      </c>
      <c r="H80">
        <v>1</v>
      </c>
      <c r="I80">
        <v>1</v>
      </c>
      <c r="J80">
        <v>1</v>
      </c>
      <c r="K80">
        <v>1</v>
      </c>
      <c r="L80">
        <v>1</v>
      </c>
      <c r="M80">
        <v>1</v>
      </c>
      <c r="N80">
        <v>1</v>
      </c>
      <c r="P80">
        <v>1.817901611328125</v>
      </c>
    </row>
    <row r="81" spans="1:16" x14ac:dyDescent="0.25">
      <c r="A81" t="s">
        <v>80</v>
      </c>
      <c r="B81" t="s">
        <v>56</v>
      </c>
      <c r="C81">
        <v>0</v>
      </c>
      <c r="D81">
        <v>1</v>
      </c>
      <c r="E81">
        <v>1</v>
      </c>
      <c r="F81">
        <v>0</v>
      </c>
      <c r="G81">
        <v>1</v>
      </c>
      <c r="H81">
        <v>1</v>
      </c>
      <c r="I81">
        <v>1</v>
      </c>
      <c r="J81" t="s">
        <v>28</v>
      </c>
      <c r="K81">
        <v>1</v>
      </c>
      <c r="L81">
        <v>1</v>
      </c>
      <c r="M81">
        <v>1</v>
      </c>
      <c r="N81">
        <v>1</v>
      </c>
      <c r="O81" t="s">
        <v>279</v>
      </c>
      <c r="P81">
        <v>2.4598748683929439</v>
      </c>
    </row>
    <row r="82" spans="1:16" x14ac:dyDescent="0.25">
      <c r="A82" t="s">
        <v>80</v>
      </c>
      <c r="B82" t="s">
        <v>58</v>
      </c>
      <c r="C82">
        <v>0</v>
      </c>
      <c r="D82">
        <v>1</v>
      </c>
      <c r="E82">
        <v>1</v>
      </c>
      <c r="F82">
        <v>0</v>
      </c>
      <c r="G82">
        <v>1</v>
      </c>
      <c r="H82">
        <v>1</v>
      </c>
      <c r="I82">
        <v>1</v>
      </c>
      <c r="J82" t="s">
        <v>28</v>
      </c>
      <c r="K82">
        <v>1</v>
      </c>
      <c r="L82">
        <v>1</v>
      </c>
      <c r="M82">
        <v>1</v>
      </c>
      <c r="N82">
        <v>1</v>
      </c>
      <c r="O82" t="s">
        <v>280</v>
      </c>
      <c r="P82">
        <v>2.3328621387481689</v>
      </c>
    </row>
    <row r="83" spans="1:16" x14ac:dyDescent="0.25">
      <c r="A83" t="s">
        <v>80</v>
      </c>
      <c r="B83" t="s">
        <v>60</v>
      </c>
      <c r="C83">
        <v>0</v>
      </c>
      <c r="D83">
        <v>1</v>
      </c>
      <c r="E83">
        <v>1</v>
      </c>
      <c r="F83">
        <v>1</v>
      </c>
      <c r="G83">
        <v>1</v>
      </c>
      <c r="H83">
        <v>1</v>
      </c>
      <c r="I83">
        <v>1</v>
      </c>
      <c r="J83">
        <v>1</v>
      </c>
      <c r="K83">
        <v>1</v>
      </c>
      <c r="L83">
        <v>1</v>
      </c>
      <c r="M83">
        <v>1</v>
      </c>
      <c r="N83">
        <v>1</v>
      </c>
      <c r="P83">
        <v>1.681292772293091</v>
      </c>
    </row>
    <row r="84" spans="1:16" x14ac:dyDescent="0.25">
      <c r="A84" t="s">
        <v>80</v>
      </c>
      <c r="B84" t="s">
        <v>62</v>
      </c>
      <c r="C84">
        <v>0</v>
      </c>
      <c r="D84">
        <v>1</v>
      </c>
      <c r="E84">
        <v>1</v>
      </c>
      <c r="F84">
        <v>1</v>
      </c>
      <c r="G84">
        <v>1</v>
      </c>
      <c r="H84">
        <v>1</v>
      </c>
      <c r="I84">
        <v>1</v>
      </c>
      <c r="J84">
        <v>1</v>
      </c>
      <c r="K84">
        <v>1</v>
      </c>
      <c r="L84">
        <v>1</v>
      </c>
      <c r="M84">
        <v>1</v>
      </c>
      <c r="N84">
        <v>1</v>
      </c>
      <c r="P84">
        <v>1.3697013854980471</v>
      </c>
    </row>
    <row r="85" spans="1:16" x14ac:dyDescent="0.25">
      <c r="A85" t="s">
        <v>80</v>
      </c>
      <c r="B85" t="s">
        <v>63</v>
      </c>
      <c r="C85">
        <v>0</v>
      </c>
      <c r="D85">
        <v>1</v>
      </c>
      <c r="E85">
        <v>1</v>
      </c>
      <c r="F85">
        <v>1</v>
      </c>
      <c r="G85">
        <v>1</v>
      </c>
      <c r="H85">
        <v>1</v>
      </c>
      <c r="I85">
        <v>1</v>
      </c>
      <c r="J85">
        <v>1</v>
      </c>
      <c r="K85">
        <v>1</v>
      </c>
      <c r="L85">
        <v>1</v>
      </c>
      <c r="M85">
        <v>1</v>
      </c>
      <c r="N85">
        <v>1</v>
      </c>
      <c r="P85">
        <v>1.676153898239136</v>
      </c>
    </row>
    <row r="86" spans="1:16" x14ac:dyDescent="0.25">
      <c r="A86" t="s">
        <v>80</v>
      </c>
      <c r="B86" t="s">
        <v>64</v>
      </c>
      <c r="C86">
        <v>0</v>
      </c>
      <c r="D86">
        <v>1</v>
      </c>
      <c r="E86">
        <v>1</v>
      </c>
      <c r="F86">
        <v>1</v>
      </c>
      <c r="G86">
        <v>1</v>
      </c>
      <c r="H86">
        <v>1</v>
      </c>
      <c r="I86">
        <v>1</v>
      </c>
      <c r="J86">
        <v>1</v>
      </c>
      <c r="K86">
        <v>1</v>
      </c>
      <c r="L86">
        <v>1</v>
      </c>
      <c r="M86">
        <v>1</v>
      </c>
      <c r="N86">
        <v>1</v>
      </c>
      <c r="P86">
        <v>1.3565521240234379</v>
      </c>
    </row>
    <row r="87" spans="1:16" x14ac:dyDescent="0.25">
      <c r="A87" t="s">
        <v>80</v>
      </c>
      <c r="B87" t="s">
        <v>65</v>
      </c>
      <c r="C87">
        <v>0</v>
      </c>
      <c r="D87">
        <v>1</v>
      </c>
      <c r="E87">
        <v>1</v>
      </c>
      <c r="F87">
        <v>1</v>
      </c>
      <c r="G87">
        <v>1</v>
      </c>
      <c r="H87">
        <v>1</v>
      </c>
      <c r="I87">
        <v>1</v>
      </c>
      <c r="J87">
        <v>1</v>
      </c>
      <c r="K87">
        <v>1</v>
      </c>
      <c r="L87">
        <v>1</v>
      </c>
      <c r="M87">
        <v>1</v>
      </c>
      <c r="N87">
        <v>1</v>
      </c>
      <c r="P87">
        <v>1.270396947860718</v>
      </c>
    </row>
    <row r="88" spans="1:16" x14ac:dyDescent="0.25">
      <c r="A88" t="s">
        <v>80</v>
      </c>
      <c r="B88" t="s">
        <v>66</v>
      </c>
      <c r="C88">
        <v>0</v>
      </c>
      <c r="D88">
        <v>1</v>
      </c>
      <c r="E88">
        <v>1</v>
      </c>
      <c r="F88">
        <v>1</v>
      </c>
      <c r="G88">
        <v>1</v>
      </c>
      <c r="H88">
        <v>1</v>
      </c>
      <c r="I88">
        <v>1</v>
      </c>
      <c r="J88">
        <v>1</v>
      </c>
      <c r="K88">
        <v>1</v>
      </c>
      <c r="L88">
        <v>1</v>
      </c>
      <c r="M88">
        <v>1</v>
      </c>
      <c r="N88">
        <v>1</v>
      </c>
      <c r="P88">
        <v>1.3186402320861821</v>
      </c>
    </row>
    <row r="89" spans="1:16" x14ac:dyDescent="0.25">
      <c r="A89" t="s">
        <v>80</v>
      </c>
      <c r="B89" t="s">
        <v>67</v>
      </c>
      <c r="C89">
        <v>0</v>
      </c>
      <c r="D89">
        <v>1</v>
      </c>
      <c r="E89">
        <v>1</v>
      </c>
      <c r="F89">
        <v>1</v>
      </c>
      <c r="G89">
        <v>1</v>
      </c>
      <c r="H89">
        <v>1</v>
      </c>
      <c r="I89">
        <v>1</v>
      </c>
      <c r="J89">
        <v>1</v>
      </c>
      <c r="K89">
        <v>1</v>
      </c>
      <c r="L89">
        <v>1</v>
      </c>
      <c r="M89">
        <v>1</v>
      </c>
      <c r="N89">
        <v>1</v>
      </c>
      <c r="P89">
        <v>2.6342778205871582</v>
      </c>
    </row>
    <row r="90" spans="1:16" x14ac:dyDescent="0.25">
      <c r="A90" t="s">
        <v>80</v>
      </c>
      <c r="B90" t="s">
        <v>69</v>
      </c>
      <c r="C90">
        <v>0</v>
      </c>
      <c r="D90">
        <v>1</v>
      </c>
      <c r="E90">
        <v>1</v>
      </c>
      <c r="F90">
        <v>1</v>
      </c>
      <c r="G90">
        <v>1</v>
      </c>
      <c r="H90">
        <v>1</v>
      </c>
      <c r="I90">
        <v>1</v>
      </c>
      <c r="J90">
        <v>1</v>
      </c>
      <c r="K90">
        <v>1</v>
      </c>
      <c r="L90">
        <v>1</v>
      </c>
      <c r="M90">
        <v>1</v>
      </c>
      <c r="N90">
        <v>1</v>
      </c>
      <c r="P90">
        <v>1.408392667770386</v>
      </c>
    </row>
    <row r="91" spans="1:16" x14ac:dyDescent="0.25">
      <c r="A91" t="s">
        <v>80</v>
      </c>
      <c r="B91" t="s">
        <v>70</v>
      </c>
      <c r="C91">
        <v>0</v>
      </c>
      <c r="D91">
        <v>1</v>
      </c>
      <c r="E91">
        <v>1</v>
      </c>
      <c r="F91">
        <v>1</v>
      </c>
      <c r="G91">
        <v>1</v>
      </c>
      <c r="H91">
        <v>1</v>
      </c>
      <c r="I91">
        <v>1</v>
      </c>
      <c r="J91">
        <v>1</v>
      </c>
      <c r="K91">
        <v>1</v>
      </c>
      <c r="L91">
        <v>1</v>
      </c>
      <c r="M91">
        <v>1</v>
      </c>
      <c r="N91">
        <v>1</v>
      </c>
      <c r="P91">
        <v>1.7403032779693599</v>
      </c>
    </row>
    <row r="92" spans="1:16" x14ac:dyDescent="0.25">
      <c r="A92" t="s">
        <v>80</v>
      </c>
      <c r="B92" t="s">
        <v>71</v>
      </c>
      <c r="C92">
        <v>0</v>
      </c>
      <c r="D92">
        <v>1</v>
      </c>
      <c r="E92">
        <v>1</v>
      </c>
      <c r="F92">
        <v>1</v>
      </c>
      <c r="G92">
        <v>1</v>
      </c>
      <c r="H92">
        <v>1</v>
      </c>
      <c r="I92">
        <v>1</v>
      </c>
      <c r="J92">
        <v>1</v>
      </c>
      <c r="K92">
        <v>1</v>
      </c>
      <c r="L92">
        <v>1</v>
      </c>
      <c r="M92">
        <v>1</v>
      </c>
      <c r="N92">
        <v>1</v>
      </c>
      <c r="P92">
        <v>2.1041522026062012</v>
      </c>
    </row>
    <row r="93" spans="1:16" x14ac:dyDescent="0.25">
      <c r="A93" t="s">
        <v>80</v>
      </c>
      <c r="B93" t="s">
        <v>72</v>
      </c>
      <c r="C93">
        <v>0</v>
      </c>
      <c r="D93">
        <v>1</v>
      </c>
      <c r="E93">
        <v>1</v>
      </c>
      <c r="F93">
        <v>1</v>
      </c>
      <c r="G93">
        <v>1</v>
      </c>
      <c r="H93">
        <v>1</v>
      </c>
      <c r="I93">
        <v>1</v>
      </c>
      <c r="J93">
        <v>1</v>
      </c>
      <c r="K93">
        <v>1</v>
      </c>
      <c r="L93">
        <v>1</v>
      </c>
      <c r="M93">
        <v>1</v>
      </c>
      <c r="N93">
        <v>1</v>
      </c>
      <c r="P93">
        <v>1.5436661243438721</v>
      </c>
    </row>
    <row r="94" spans="1:16" x14ac:dyDescent="0.25">
      <c r="A94" t="s">
        <v>80</v>
      </c>
      <c r="B94" t="s">
        <v>74</v>
      </c>
      <c r="C94">
        <v>0</v>
      </c>
      <c r="D94">
        <v>1</v>
      </c>
      <c r="E94">
        <v>1</v>
      </c>
      <c r="F94">
        <v>1</v>
      </c>
      <c r="G94">
        <v>1</v>
      </c>
      <c r="H94">
        <v>1</v>
      </c>
      <c r="I94">
        <v>1</v>
      </c>
      <c r="J94">
        <v>1</v>
      </c>
      <c r="K94">
        <v>1</v>
      </c>
      <c r="L94">
        <v>1</v>
      </c>
      <c r="M94">
        <v>1</v>
      </c>
      <c r="N94">
        <v>1</v>
      </c>
      <c r="P94">
        <v>4.3577041625976563</v>
      </c>
    </row>
    <row r="95" spans="1:16" x14ac:dyDescent="0.25">
      <c r="A95" t="s">
        <v>80</v>
      </c>
      <c r="B95" t="s">
        <v>75</v>
      </c>
      <c r="C95">
        <v>0</v>
      </c>
      <c r="D95">
        <v>1</v>
      </c>
      <c r="E95">
        <v>1</v>
      </c>
      <c r="F95">
        <v>1</v>
      </c>
      <c r="G95">
        <v>1</v>
      </c>
      <c r="H95">
        <v>1</v>
      </c>
      <c r="I95">
        <v>1</v>
      </c>
      <c r="J95">
        <v>1</v>
      </c>
      <c r="K95">
        <v>1</v>
      </c>
      <c r="L95">
        <v>1</v>
      </c>
      <c r="M95">
        <v>1</v>
      </c>
      <c r="N95">
        <v>1</v>
      </c>
      <c r="P95">
        <v>1.45753002166748</v>
      </c>
    </row>
    <row r="96" spans="1:16" x14ac:dyDescent="0.25">
      <c r="A96" t="s">
        <v>80</v>
      </c>
      <c r="B96" t="s">
        <v>76</v>
      </c>
      <c r="C96">
        <v>0</v>
      </c>
      <c r="D96">
        <v>1</v>
      </c>
      <c r="E96">
        <v>1</v>
      </c>
      <c r="F96">
        <v>1</v>
      </c>
      <c r="G96">
        <v>1</v>
      </c>
      <c r="H96">
        <v>1</v>
      </c>
      <c r="I96">
        <v>1</v>
      </c>
      <c r="J96">
        <v>1</v>
      </c>
      <c r="K96">
        <v>1</v>
      </c>
      <c r="L96">
        <v>1</v>
      </c>
      <c r="M96">
        <v>1</v>
      </c>
      <c r="N96">
        <v>1</v>
      </c>
      <c r="P96">
        <v>1.3416962623596189</v>
      </c>
    </row>
    <row r="97" spans="1:16" x14ac:dyDescent="0.25">
      <c r="A97" t="s">
        <v>80</v>
      </c>
      <c r="B97" t="s">
        <v>77</v>
      </c>
      <c r="C97">
        <v>0</v>
      </c>
      <c r="D97">
        <v>1</v>
      </c>
      <c r="E97">
        <v>1</v>
      </c>
      <c r="F97">
        <v>1</v>
      </c>
      <c r="G97">
        <v>1</v>
      </c>
      <c r="H97">
        <v>1</v>
      </c>
      <c r="I97">
        <v>1</v>
      </c>
      <c r="J97">
        <v>1</v>
      </c>
      <c r="K97">
        <v>1</v>
      </c>
      <c r="L97">
        <v>1</v>
      </c>
      <c r="M97">
        <v>1</v>
      </c>
      <c r="N97">
        <v>1</v>
      </c>
      <c r="P97">
        <v>1.550399541854858</v>
      </c>
    </row>
    <row r="98" spans="1:16" x14ac:dyDescent="0.25">
      <c r="A98" t="s">
        <v>80</v>
      </c>
      <c r="B98" t="s">
        <v>78</v>
      </c>
      <c r="C98">
        <v>0</v>
      </c>
      <c r="D98">
        <v>1</v>
      </c>
      <c r="E98">
        <v>1</v>
      </c>
      <c r="F98">
        <v>1</v>
      </c>
      <c r="G98">
        <v>1</v>
      </c>
      <c r="H98">
        <v>1</v>
      </c>
      <c r="I98">
        <v>1</v>
      </c>
      <c r="J98">
        <v>1</v>
      </c>
      <c r="K98">
        <v>1</v>
      </c>
      <c r="L98">
        <v>1</v>
      </c>
      <c r="M98">
        <v>1</v>
      </c>
      <c r="N98">
        <v>1</v>
      </c>
      <c r="P98">
        <v>1.8313338756561279</v>
      </c>
    </row>
    <row r="99" spans="1:16" x14ac:dyDescent="0.25">
      <c r="A99" t="s">
        <v>80</v>
      </c>
      <c r="B99" t="s">
        <v>79</v>
      </c>
      <c r="C99">
        <v>0</v>
      </c>
      <c r="D99">
        <v>1</v>
      </c>
      <c r="E99">
        <v>1</v>
      </c>
      <c r="F99">
        <v>1</v>
      </c>
      <c r="G99">
        <v>1</v>
      </c>
      <c r="H99">
        <v>1</v>
      </c>
      <c r="I99">
        <v>1</v>
      </c>
      <c r="J99">
        <v>1</v>
      </c>
      <c r="K99">
        <v>1</v>
      </c>
      <c r="L99">
        <v>1</v>
      </c>
      <c r="M99">
        <v>1</v>
      </c>
      <c r="N99">
        <v>1</v>
      </c>
      <c r="P99">
        <v>1.412904739379883</v>
      </c>
    </row>
    <row r="100" spans="1:16" x14ac:dyDescent="0.25">
      <c r="A100" t="s">
        <v>80</v>
      </c>
      <c r="B100" t="s">
        <v>91</v>
      </c>
      <c r="C100">
        <v>0</v>
      </c>
      <c r="D100">
        <v>1</v>
      </c>
      <c r="E100">
        <v>1</v>
      </c>
      <c r="F100">
        <v>1</v>
      </c>
      <c r="G100">
        <v>1</v>
      </c>
      <c r="H100">
        <v>1</v>
      </c>
      <c r="I100">
        <v>1</v>
      </c>
      <c r="J100">
        <v>1</v>
      </c>
      <c r="K100">
        <v>1</v>
      </c>
      <c r="L100">
        <v>1</v>
      </c>
      <c r="M100">
        <v>1</v>
      </c>
      <c r="N100">
        <v>1</v>
      </c>
      <c r="P100">
        <v>6.8049759864807129</v>
      </c>
    </row>
    <row r="101" spans="1:16" x14ac:dyDescent="0.25">
      <c r="A101" t="s">
        <v>80</v>
      </c>
      <c r="B101" t="s">
        <v>92</v>
      </c>
      <c r="C101">
        <v>0</v>
      </c>
      <c r="D101">
        <v>1</v>
      </c>
      <c r="E101">
        <v>1</v>
      </c>
      <c r="F101">
        <v>1</v>
      </c>
      <c r="G101">
        <v>1</v>
      </c>
      <c r="H101">
        <v>1</v>
      </c>
      <c r="I101">
        <v>1</v>
      </c>
      <c r="J101">
        <v>1</v>
      </c>
      <c r="K101">
        <v>1</v>
      </c>
      <c r="L101">
        <v>1</v>
      </c>
      <c r="M101">
        <v>1</v>
      </c>
      <c r="N101">
        <v>1</v>
      </c>
      <c r="P101">
        <v>1.536841869354248</v>
      </c>
    </row>
    <row r="102" spans="1:16" x14ac:dyDescent="0.25">
      <c r="A102" t="s">
        <v>80</v>
      </c>
      <c r="B102" t="s">
        <v>93</v>
      </c>
      <c r="C102">
        <v>0</v>
      </c>
      <c r="D102">
        <v>1</v>
      </c>
      <c r="E102">
        <v>1</v>
      </c>
      <c r="F102">
        <v>1</v>
      </c>
      <c r="G102">
        <v>1</v>
      </c>
      <c r="H102">
        <v>1</v>
      </c>
      <c r="I102">
        <v>1</v>
      </c>
      <c r="J102">
        <v>1</v>
      </c>
      <c r="K102">
        <v>1</v>
      </c>
      <c r="L102">
        <v>1</v>
      </c>
      <c r="M102">
        <v>1</v>
      </c>
      <c r="N102">
        <v>1</v>
      </c>
      <c r="P102">
        <v>1.7912635803222661</v>
      </c>
    </row>
    <row r="103" spans="1:16" x14ac:dyDescent="0.25">
      <c r="A103" t="s">
        <v>80</v>
      </c>
      <c r="B103" t="s">
        <v>94</v>
      </c>
      <c r="C103">
        <v>0</v>
      </c>
      <c r="D103">
        <v>1</v>
      </c>
      <c r="E103">
        <v>1</v>
      </c>
      <c r="F103">
        <v>1</v>
      </c>
      <c r="G103">
        <v>1</v>
      </c>
      <c r="H103">
        <v>1</v>
      </c>
      <c r="I103">
        <v>1</v>
      </c>
      <c r="J103">
        <v>1</v>
      </c>
      <c r="K103">
        <v>1</v>
      </c>
      <c r="L103">
        <v>1</v>
      </c>
      <c r="M103">
        <v>1</v>
      </c>
      <c r="N103">
        <v>1</v>
      </c>
      <c r="P103">
        <v>1.390973806381226</v>
      </c>
    </row>
    <row r="104" spans="1:16" x14ac:dyDescent="0.25">
      <c r="A104" t="s">
        <v>80</v>
      </c>
      <c r="B104" t="s">
        <v>95</v>
      </c>
      <c r="C104">
        <v>0</v>
      </c>
      <c r="D104">
        <v>1</v>
      </c>
      <c r="E104">
        <v>1</v>
      </c>
      <c r="F104">
        <v>1</v>
      </c>
      <c r="G104">
        <v>1</v>
      </c>
      <c r="H104">
        <v>1</v>
      </c>
      <c r="I104">
        <v>1</v>
      </c>
      <c r="J104">
        <v>1</v>
      </c>
      <c r="K104">
        <v>1</v>
      </c>
      <c r="L104">
        <v>1</v>
      </c>
      <c r="M104">
        <v>1</v>
      </c>
      <c r="N104">
        <v>1</v>
      </c>
      <c r="P104">
        <v>1.4743659496307371</v>
      </c>
    </row>
    <row r="105" spans="1:16" x14ac:dyDescent="0.25">
      <c r="A105" t="s">
        <v>80</v>
      </c>
      <c r="B105" t="s">
        <v>96</v>
      </c>
      <c r="C105">
        <v>0</v>
      </c>
      <c r="D105">
        <v>1</v>
      </c>
      <c r="E105">
        <v>1</v>
      </c>
      <c r="F105">
        <v>1</v>
      </c>
      <c r="G105">
        <v>1</v>
      </c>
      <c r="H105">
        <v>1</v>
      </c>
      <c r="I105">
        <v>1</v>
      </c>
      <c r="J105">
        <v>1</v>
      </c>
      <c r="K105">
        <v>1</v>
      </c>
      <c r="L105">
        <v>1</v>
      </c>
      <c r="M105">
        <v>1</v>
      </c>
      <c r="N105">
        <v>1</v>
      </c>
      <c r="P105">
        <v>1.5000650882720949</v>
      </c>
    </row>
    <row r="106" spans="1:16" x14ac:dyDescent="0.25">
      <c r="A106" t="s">
        <v>80</v>
      </c>
      <c r="B106" t="s">
        <v>97</v>
      </c>
      <c r="C106">
        <v>0</v>
      </c>
      <c r="D106">
        <v>1</v>
      </c>
      <c r="E106">
        <v>1</v>
      </c>
      <c r="F106">
        <v>1</v>
      </c>
      <c r="G106">
        <v>1</v>
      </c>
      <c r="H106">
        <v>1</v>
      </c>
      <c r="I106">
        <v>1</v>
      </c>
      <c r="J106">
        <v>1</v>
      </c>
      <c r="K106">
        <v>1</v>
      </c>
      <c r="L106">
        <v>1</v>
      </c>
      <c r="M106">
        <v>1</v>
      </c>
      <c r="N106">
        <v>1</v>
      </c>
      <c r="P106">
        <v>2.262891292572021</v>
      </c>
    </row>
    <row r="107" spans="1:16" x14ac:dyDescent="0.25">
      <c r="A107" t="s">
        <v>80</v>
      </c>
      <c r="B107" t="s">
        <v>98</v>
      </c>
      <c r="C107">
        <v>0</v>
      </c>
      <c r="D107">
        <v>1</v>
      </c>
      <c r="E107">
        <v>1</v>
      </c>
      <c r="F107">
        <v>1</v>
      </c>
      <c r="G107">
        <v>1</v>
      </c>
      <c r="H107">
        <v>1</v>
      </c>
      <c r="I107">
        <v>1</v>
      </c>
      <c r="J107">
        <v>1</v>
      </c>
      <c r="K107">
        <v>1</v>
      </c>
      <c r="L107">
        <v>1</v>
      </c>
      <c r="M107">
        <v>1</v>
      </c>
      <c r="N107">
        <v>1</v>
      </c>
      <c r="P107">
        <v>1.7034280300140381</v>
      </c>
    </row>
    <row r="108" spans="1:16" x14ac:dyDescent="0.25">
      <c r="A108" t="s">
        <v>80</v>
      </c>
      <c r="B108" t="s">
        <v>100</v>
      </c>
      <c r="C108">
        <v>0</v>
      </c>
      <c r="D108">
        <v>1</v>
      </c>
      <c r="E108">
        <v>1</v>
      </c>
      <c r="F108">
        <v>1</v>
      </c>
      <c r="G108">
        <v>1</v>
      </c>
      <c r="H108">
        <v>1</v>
      </c>
      <c r="I108">
        <v>1</v>
      </c>
      <c r="J108">
        <v>1</v>
      </c>
      <c r="K108">
        <v>1</v>
      </c>
      <c r="L108">
        <v>1</v>
      </c>
      <c r="M108">
        <v>1</v>
      </c>
      <c r="N108">
        <v>1</v>
      </c>
      <c r="P108">
        <v>1.507635831832886</v>
      </c>
    </row>
    <row r="109" spans="1:16" x14ac:dyDescent="0.25">
      <c r="A109" t="s">
        <v>80</v>
      </c>
      <c r="B109" t="s">
        <v>101</v>
      </c>
      <c r="C109">
        <v>0</v>
      </c>
      <c r="D109">
        <v>1</v>
      </c>
      <c r="E109">
        <v>1</v>
      </c>
      <c r="F109">
        <v>1</v>
      </c>
      <c r="G109">
        <v>1</v>
      </c>
      <c r="H109">
        <v>1</v>
      </c>
      <c r="I109">
        <v>1</v>
      </c>
      <c r="J109">
        <v>1</v>
      </c>
      <c r="K109">
        <v>1</v>
      </c>
      <c r="L109">
        <v>1</v>
      </c>
      <c r="M109">
        <v>1</v>
      </c>
      <c r="N109">
        <v>1</v>
      </c>
      <c r="P109">
        <v>2.1417233943939209</v>
      </c>
    </row>
    <row r="110" spans="1:16" x14ac:dyDescent="0.25">
      <c r="A110" t="s">
        <v>80</v>
      </c>
      <c r="B110" t="s">
        <v>102</v>
      </c>
      <c r="C110">
        <v>0</v>
      </c>
      <c r="D110">
        <v>0</v>
      </c>
      <c r="E110" t="s">
        <v>28</v>
      </c>
      <c r="F110" t="s">
        <v>28</v>
      </c>
      <c r="G110" t="s">
        <v>28</v>
      </c>
      <c r="H110" t="s">
        <v>28</v>
      </c>
      <c r="I110" t="s">
        <v>28</v>
      </c>
      <c r="J110" t="s">
        <v>28</v>
      </c>
      <c r="K110" t="s">
        <v>28</v>
      </c>
      <c r="L110" t="s">
        <v>28</v>
      </c>
      <c r="M110" t="s">
        <v>28</v>
      </c>
      <c r="N110" t="s">
        <v>28</v>
      </c>
      <c r="O110" t="s">
        <v>281</v>
      </c>
      <c r="P110">
        <v>6.0499148368835449</v>
      </c>
    </row>
    <row r="111" spans="1:16" x14ac:dyDescent="0.25">
      <c r="A111" t="s">
        <v>80</v>
      </c>
      <c r="B111" t="s">
        <v>104</v>
      </c>
      <c r="C111">
        <v>0</v>
      </c>
      <c r="D111">
        <v>0</v>
      </c>
      <c r="E111" t="s">
        <v>28</v>
      </c>
      <c r="F111" t="s">
        <v>28</v>
      </c>
      <c r="G111" t="s">
        <v>28</v>
      </c>
      <c r="H111" t="s">
        <v>28</v>
      </c>
      <c r="I111" t="s">
        <v>28</v>
      </c>
      <c r="J111" t="s">
        <v>28</v>
      </c>
      <c r="K111" t="s">
        <v>28</v>
      </c>
      <c r="L111" t="s">
        <v>28</v>
      </c>
      <c r="M111" t="s">
        <v>28</v>
      </c>
      <c r="N111" t="s">
        <v>28</v>
      </c>
      <c r="O111" t="s">
        <v>282</v>
      </c>
      <c r="P111">
        <v>4.8618416786193848</v>
      </c>
    </row>
    <row r="112" spans="1:16" x14ac:dyDescent="0.25">
      <c r="A112" t="s">
        <v>80</v>
      </c>
      <c r="B112" t="s">
        <v>105</v>
      </c>
      <c r="C112">
        <v>0</v>
      </c>
      <c r="D112">
        <v>1</v>
      </c>
      <c r="E112">
        <v>1</v>
      </c>
      <c r="F112">
        <v>1</v>
      </c>
      <c r="G112">
        <v>1</v>
      </c>
      <c r="H112">
        <v>1</v>
      </c>
      <c r="I112">
        <v>1</v>
      </c>
      <c r="J112">
        <v>1</v>
      </c>
      <c r="K112">
        <v>1</v>
      </c>
      <c r="L112">
        <v>1</v>
      </c>
      <c r="M112">
        <v>1</v>
      </c>
      <c r="N112">
        <v>1</v>
      </c>
      <c r="P112">
        <v>1.845596075057983</v>
      </c>
    </row>
    <row r="113" spans="1:16" x14ac:dyDescent="0.25">
      <c r="A113" t="s">
        <v>80</v>
      </c>
      <c r="B113" t="s">
        <v>106</v>
      </c>
      <c r="C113">
        <v>0</v>
      </c>
      <c r="D113">
        <v>1</v>
      </c>
      <c r="E113">
        <v>1</v>
      </c>
      <c r="F113">
        <v>1</v>
      </c>
      <c r="G113">
        <v>1</v>
      </c>
      <c r="H113">
        <v>1</v>
      </c>
      <c r="I113">
        <v>1</v>
      </c>
      <c r="J113">
        <v>1</v>
      </c>
      <c r="K113">
        <v>1</v>
      </c>
      <c r="L113">
        <v>1</v>
      </c>
      <c r="M113">
        <v>1</v>
      </c>
      <c r="N113">
        <v>1</v>
      </c>
      <c r="P113">
        <v>1.5075569152832029</v>
      </c>
    </row>
    <row r="114" spans="1:16" x14ac:dyDescent="0.25">
      <c r="A114" t="s">
        <v>107</v>
      </c>
      <c r="B114" t="s">
        <v>17</v>
      </c>
      <c r="C114">
        <v>0</v>
      </c>
      <c r="D114">
        <v>1</v>
      </c>
      <c r="E114">
        <v>1</v>
      </c>
      <c r="F114">
        <v>1</v>
      </c>
      <c r="G114">
        <v>1</v>
      </c>
      <c r="H114">
        <v>1</v>
      </c>
      <c r="I114">
        <v>1</v>
      </c>
      <c r="J114">
        <v>1</v>
      </c>
      <c r="K114">
        <v>1</v>
      </c>
      <c r="L114">
        <v>1</v>
      </c>
      <c r="M114">
        <v>1</v>
      </c>
      <c r="N114">
        <v>1</v>
      </c>
      <c r="P114">
        <v>2.2025454044342041</v>
      </c>
    </row>
    <row r="115" spans="1:16" x14ac:dyDescent="0.25">
      <c r="A115" t="s">
        <v>107</v>
      </c>
      <c r="B115" t="s">
        <v>18</v>
      </c>
      <c r="C115">
        <v>0</v>
      </c>
      <c r="D115">
        <v>1</v>
      </c>
      <c r="E115">
        <v>1</v>
      </c>
      <c r="F115">
        <v>1</v>
      </c>
      <c r="G115">
        <v>1</v>
      </c>
      <c r="H115">
        <v>1</v>
      </c>
      <c r="I115">
        <v>1</v>
      </c>
      <c r="J115">
        <v>1</v>
      </c>
      <c r="K115">
        <v>1</v>
      </c>
      <c r="L115">
        <v>1</v>
      </c>
      <c r="M115">
        <v>1</v>
      </c>
      <c r="N115">
        <v>1</v>
      </c>
      <c r="P115">
        <v>1.9464783668518071</v>
      </c>
    </row>
    <row r="116" spans="1:16" x14ac:dyDescent="0.25">
      <c r="A116" t="s">
        <v>107</v>
      </c>
      <c r="B116" t="s">
        <v>19</v>
      </c>
      <c r="C116">
        <v>0</v>
      </c>
      <c r="D116">
        <v>1</v>
      </c>
      <c r="E116">
        <v>0</v>
      </c>
      <c r="F116">
        <v>1</v>
      </c>
      <c r="G116">
        <v>1</v>
      </c>
      <c r="H116" t="s">
        <v>28</v>
      </c>
      <c r="I116">
        <v>0</v>
      </c>
      <c r="J116" t="s">
        <v>28</v>
      </c>
      <c r="K116">
        <v>1</v>
      </c>
      <c r="L116">
        <v>1</v>
      </c>
      <c r="M116">
        <v>1</v>
      </c>
      <c r="N116">
        <v>1</v>
      </c>
      <c r="O116" t="s">
        <v>283</v>
      </c>
      <c r="P116">
        <v>3.8464488983154301</v>
      </c>
    </row>
    <row r="117" spans="1:16" x14ac:dyDescent="0.25">
      <c r="A117" t="s">
        <v>107</v>
      </c>
      <c r="B117" t="s">
        <v>20</v>
      </c>
      <c r="C117">
        <v>0</v>
      </c>
      <c r="D117">
        <v>1</v>
      </c>
      <c r="E117">
        <v>1</v>
      </c>
      <c r="F117">
        <v>1</v>
      </c>
      <c r="G117">
        <v>1</v>
      </c>
      <c r="H117">
        <v>1</v>
      </c>
      <c r="I117">
        <v>1</v>
      </c>
      <c r="J117">
        <v>1</v>
      </c>
      <c r="K117">
        <v>1</v>
      </c>
      <c r="L117">
        <v>1</v>
      </c>
      <c r="M117">
        <v>1</v>
      </c>
      <c r="N117">
        <v>1</v>
      </c>
      <c r="P117">
        <v>2.1197235584259029</v>
      </c>
    </row>
    <row r="118" spans="1:16" x14ac:dyDescent="0.25">
      <c r="A118" t="s">
        <v>107</v>
      </c>
      <c r="B118" t="s">
        <v>21</v>
      </c>
      <c r="C118">
        <v>0</v>
      </c>
      <c r="D118">
        <v>1</v>
      </c>
      <c r="E118">
        <v>1</v>
      </c>
      <c r="F118">
        <v>1</v>
      </c>
      <c r="G118">
        <v>1</v>
      </c>
      <c r="H118">
        <v>1</v>
      </c>
      <c r="I118">
        <v>1</v>
      </c>
      <c r="J118">
        <v>1</v>
      </c>
      <c r="K118">
        <v>1</v>
      </c>
      <c r="L118">
        <v>1</v>
      </c>
      <c r="M118">
        <v>1</v>
      </c>
      <c r="N118">
        <v>1</v>
      </c>
      <c r="P118">
        <v>2.1166026592254639</v>
      </c>
    </row>
    <row r="119" spans="1:16" x14ac:dyDescent="0.25">
      <c r="A119" t="s">
        <v>107</v>
      </c>
      <c r="B119" t="s">
        <v>22</v>
      </c>
      <c r="C119">
        <v>0</v>
      </c>
      <c r="D119">
        <v>1</v>
      </c>
      <c r="E119">
        <v>0</v>
      </c>
      <c r="F119">
        <v>0</v>
      </c>
      <c r="G119">
        <v>1</v>
      </c>
      <c r="H119" t="s">
        <v>28</v>
      </c>
      <c r="I119">
        <v>1</v>
      </c>
      <c r="J119" t="s">
        <v>28</v>
      </c>
      <c r="K119">
        <v>1</v>
      </c>
      <c r="L119">
        <v>1</v>
      </c>
      <c r="M119">
        <v>1</v>
      </c>
      <c r="N119">
        <v>1</v>
      </c>
      <c r="O119" t="s">
        <v>284</v>
      </c>
      <c r="P119">
        <v>2.4438292980194092</v>
      </c>
    </row>
    <row r="120" spans="1:16" x14ac:dyDescent="0.25">
      <c r="A120" t="s">
        <v>107</v>
      </c>
      <c r="B120" t="s">
        <v>23</v>
      </c>
      <c r="C120">
        <v>0</v>
      </c>
      <c r="D120">
        <v>1</v>
      </c>
      <c r="E120">
        <v>1</v>
      </c>
      <c r="F120">
        <v>1</v>
      </c>
      <c r="G120">
        <v>1</v>
      </c>
      <c r="H120">
        <v>1</v>
      </c>
      <c r="I120">
        <v>1</v>
      </c>
      <c r="J120">
        <v>1</v>
      </c>
      <c r="K120">
        <v>1</v>
      </c>
      <c r="L120">
        <v>1</v>
      </c>
      <c r="M120">
        <v>1</v>
      </c>
      <c r="N120">
        <v>1</v>
      </c>
      <c r="P120">
        <v>2.0682075023651119</v>
      </c>
    </row>
    <row r="121" spans="1:16" x14ac:dyDescent="0.25">
      <c r="A121" t="s">
        <v>107</v>
      </c>
      <c r="B121" t="s">
        <v>24</v>
      </c>
      <c r="C121">
        <v>0</v>
      </c>
      <c r="D121">
        <v>1</v>
      </c>
      <c r="E121">
        <v>1</v>
      </c>
      <c r="F121">
        <v>1</v>
      </c>
      <c r="G121">
        <v>1</v>
      </c>
      <c r="H121">
        <v>1</v>
      </c>
      <c r="I121">
        <v>1</v>
      </c>
      <c r="J121">
        <v>1</v>
      </c>
      <c r="K121">
        <v>1</v>
      </c>
      <c r="L121">
        <v>1</v>
      </c>
      <c r="M121">
        <v>1</v>
      </c>
      <c r="N121">
        <v>1</v>
      </c>
      <c r="P121">
        <v>1.75822901725769</v>
      </c>
    </row>
    <row r="122" spans="1:16" x14ac:dyDescent="0.25">
      <c r="A122" t="s">
        <v>107</v>
      </c>
      <c r="B122" t="s">
        <v>25</v>
      </c>
      <c r="C122">
        <v>0</v>
      </c>
      <c r="D122">
        <v>1</v>
      </c>
      <c r="E122">
        <v>1</v>
      </c>
      <c r="F122">
        <v>1</v>
      </c>
      <c r="G122">
        <v>1</v>
      </c>
      <c r="H122">
        <v>1</v>
      </c>
      <c r="I122">
        <v>1</v>
      </c>
      <c r="J122">
        <v>1</v>
      </c>
      <c r="K122">
        <v>1</v>
      </c>
      <c r="L122">
        <v>1</v>
      </c>
      <c r="M122">
        <v>1</v>
      </c>
      <c r="N122">
        <v>1</v>
      </c>
      <c r="P122">
        <v>2.4558336734771729</v>
      </c>
    </row>
    <row r="123" spans="1:16" x14ac:dyDescent="0.25">
      <c r="A123" t="s">
        <v>107</v>
      </c>
      <c r="B123" t="s">
        <v>26</v>
      </c>
      <c r="C123">
        <v>0</v>
      </c>
      <c r="D123">
        <v>1</v>
      </c>
      <c r="E123">
        <v>0</v>
      </c>
      <c r="F123">
        <v>1</v>
      </c>
      <c r="G123">
        <v>1</v>
      </c>
      <c r="H123" t="s">
        <v>28</v>
      </c>
      <c r="I123">
        <v>1</v>
      </c>
      <c r="J123" t="s">
        <v>28</v>
      </c>
      <c r="K123">
        <v>1</v>
      </c>
      <c r="L123">
        <v>1</v>
      </c>
      <c r="M123">
        <v>1</v>
      </c>
      <c r="N123">
        <v>1</v>
      </c>
      <c r="O123" t="s">
        <v>285</v>
      </c>
      <c r="P123">
        <v>3.106138944625854</v>
      </c>
    </row>
    <row r="124" spans="1:16" x14ac:dyDescent="0.25">
      <c r="A124" t="s">
        <v>107</v>
      </c>
      <c r="B124" t="s">
        <v>27</v>
      </c>
      <c r="C124">
        <v>0</v>
      </c>
      <c r="D124">
        <v>1</v>
      </c>
      <c r="E124">
        <v>0</v>
      </c>
      <c r="F124">
        <v>1</v>
      </c>
      <c r="G124">
        <v>1</v>
      </c>
      <c r="H124" t="s">
        <v>28</v>
      </c>
      <c r="I124">
        <v>1</v>
      </c>
      <c r="J124" t="s">
        <v>28</v>
      </c>
      <c r="K124">
        <v>1</v>
      </c>
      <c r="L124">
        <v>1</v>
      </c>
      <c r="M124">
        <v>1</v>
      </c>
      <c r="N124">
        <v>1</v>
      </c>
      <c r="O124" t="s">
        <v>286</v>
      </c>
      <c r="P124">
        <v>6.3891870975494376</v>
      </c>
    </row>
    <row r="125" spans="1:16" x14ac:dyDescent="0.25">
      <c r="A125" t="s">
        <v>107</v>
      </c>
      <c r="B125" t="s">
        <v>30</v>
      </c>
      <c r="C125">
        <v>0</v>
      </c>
      <c r="D125">
        <v>1</v>
      </c>
      <c r="E125">
        <v>1</v>
      </c>
      <c r="F125">
        <v>1</v>
      </c>
      <c r="G125">
        <v>1</v>
      </c>
      <c r="H125">
        <v>1</v>
      </c>
      <c r="I125">
        <v>1</v>
      </c>
      <c r="J125">
        <v>1</v>
      </c>
      <c r="K125">
        <v>1</v>
      </c>
      <c r="L125">
        <v>1</v>
      </c>
      <c r="M125">
        <v>1</v>
      </c>
      <c r="N125">
        <v>1</v>
      </c>
      <c r="P125">
        <v>1.7100234031677251</v>
      </c>
    </row>
    <row r="126" spans="1:16" x14ac:dyDescent="0.25">
      <c r="A126" t="s">
        <v>107</v>
      </c>
      <c r="B126" t="s">
        <v>31</v>
      </c>
      <c r="C126">
        <v>0</v>
      </c>
      <c r="D126">
        <v>1</v>
      </c>
      <c r="E126">
        <v>1</v>
      </c>
      <c r="F126">
        <v>1</v>
      </c>
      <c r="G126">
        <v>1</v>
      </c>
      <c r="H126">
        <v>1</v>
      </c>
      <c r="I126">
        <v>1</v>
      </c>
      <c r="J126">
        <v>1</v>
      </c>
      <c r="K126">
        <v>1</v>
      </c>
      <c r="L126">
        <v>1</v>
      </c>
      <c r="M126">
        <v>1</v>
      </c>
      <c r="N126">
        <v>1</v>
      </c>
      <c r="P126">
        <v>2.0568609237670898</v>
      </c>
    </row>
    <row r="127" spans="1:16" x14ac:dyDescent="0.25">
      <c r="A127" t="s">
        <v>107</v>
      </c>
      <c r="B127" t="s">
        <v>33</v>
      </c>
      <c r="C127">
        <v>0</v>
      </c>
      <c r="D127">
        <v>1</v>
      </c>
      <c r="E127">
        <v>1</v>
      </c>
      <c r="F127">
        <v>1</v>
      </c>
      <c r="G127">
        <v>1</v>
      </c>
      <c r="H127">
        <v>1</v>
      </c>
      <c r="I127">
        <v>1</v>
      </c>
      <c r="J127">
        <v>1</v>
      </c>
      <c r="K127">
        <v>1</v>
      </c>
      <c r="L127">
        <v>1</v>
      </c>
      <c r="M127">
        <v>1</v>
      </c>
      <c r="N127">
        <v>1</v>
      </c>
      <c r="P127">
        <v>2.0161573886871338</v>
      </c>
    </row>
    <row r="128" spans="1:16" x14ac:dyDescent="0.25">
      <c r="A128" t="s">
        <v>107</v>
      </c>
      <c r="B128" t="s">
        <v>34</v>
      </c>
      <c r="C128">
        <v>0</v>
      </c>
      <c r="D128">
        <v>1</v>
      </c>
      <c r="E128">
        <v>1</v>
      </c>
      <c r="F128">
        <v>1</v>
      </c>
      <c r="G128">
        <v>1</v>
      </c>
      <c r="H128">
        <v>1</v>
      </c>
      <c r="I128">
        <v>1</v>
      </c>
      <c r="J128">
        <v>1</v>
      </c>
      <c r="K128">
        <v>1</v>
      </c>
      <c r="L128">
        <v>1</v>
      </c>
      <c r="M128">
        <v>1</v>
      </c>
      <c r="N128">
        <v>1</v>
      </c>
      <c r="P128">
        <v>1.4201006889343259</v>
      </c>
    </row>
    <row r="129" spans="1:16" x14ac:dyDescent="0.25">
      <c r="A129" t="s">
        <v>107</v>
      </c>
      <c r="B129" t="s">
        <v>36</v>
      </c>
      <c r="C129">
        <v>0</v>
      </c>
      <c r="D129">
        <v>1</v>
      </c>
      <c r="E129">
        <v>1</v>
      </c>
      <c r="F129">
        <v>1</v>
      </c>
      <c r="G129">
        <v>1</v>
      </c>
      <c r="H129">
        <v>1</v>
      </c>
      <c r="I129">
        <v>1</v>
      </c>
      <c r="J129">
        <v>1</v>
      </c>
      <c r="K129">
        <v>1</v>
      </c>
      <c r="L129">
        <v>1</v>
      </c>
      <c r="M129">
        <v>1</v>
      </c>
      <c r="N129">
        <v>1</v>
      </c>
      <c r="P129">
        <v>1.640966653823853</v>
      </c>
    </row>
    <row r="130" spans="1:16" x14ac:dyDescent="0.25">
      <c r="A130" t="s">
        <v>107</v>
      </c>
      <c r="B130" t="s">
        <v>37</v>
      </c>
      <c r="C130">
        <v>0</v>
      </c>
      <c r="D130">
        <v>1</v>
      </c>
      <c r="E130">
        <v>1</v>
      </c>
      <c r="F130">
        <v>1</v>
      </c>
      <c r="G130">
        <v>1</v>
      </c>
      <c r="H130">
        <v>1</v>
      </c>
      <c r="I130">
        <v>1</v>
      </c>
      <c r="J130">
        <v>1</v>
      </c>
      <c r="K130">
        <v>1</v>
      </c>
      <c r="L130">
        <v>1</v>
      </c>
      <c r="M130">
        <v>1</v>
      </c>
      <c r="N130">
        <v>1</v>
      </c>
      <c r="P130">
        <v>2.477810382843018</v>
      </c>
    </row>
    <row r="131" spans="1:16" x14ac:dyDescent="0.25">
      <c r="A131" t="s">
        <v>107</v>
      </c>
      <c r="B131" t="s">
        <v>38</v>
      </c>
      <c r="C131">
        <v>0</v>
      </c>
      <c r="D131">
        <v>1</v>
      </c>
      <c r="E131">
        <v>1</v>
      </c>
      <c r="F131">
        <v>1</v>
      </c>
      <c r="G131">
        <v>1</v>
      </c>
      <c r="H131">
        <v>1</v>
      </c>
      <c r="I131">
        <v>1</v>
      </c>
      <c r="J131">
        <v>1</v>
      </c>
      <c r="K131">
        <v>1</v>
      </c>
      <c r="L131">
        <v>1</v>
      </c>
      <c r="M131">
        <v>1</v>
      </c>
      <c r="N131">
        <v>1</v>
      </c>
      <c r="P131">
        <v>1.575514078140259</v>
      </c>
    </row>
    <row r="132" spans="1:16" x14ac:dyDescent="0.25">
      <c r="A132" t="s">
        <v>107</v>
      </c>
      <c r="B132" t="s">
        <v>39</v>
      </c>
      <c r="C132">
        <v>0</v>
      </c>
      <c r="D132">
        <v>1</v>
      </c>
      <c r="E132">
        <v>1</v>
      </c>
      <c r="F132">
        <v>1</v>
      </c>
      <c r="G132">
        <v>1</v>
      </c>
      <c r="H132">
        <v>1</v>
      </c>
      <c r="I132">
        <v>1</v>
      </c>
      <c r="J132">
        <v>1</v>
      </c>
      <c r="K132">
        <v>1</v>
      </c>
      <c r="L132">
        <v>1</v>
      </c>
      <c r="M132">
        <v>1</v>
      </c>
      <c r="N132">
        <v>1</v>
      </c>
      <c r="P132">
        <v>1.5680263042449949</v>
      </c>
    </row>
    <row r="133" spans="1:16" x14ac:dyDescent="0.25">
      <c r="A133" t="s">
        <v>107</v>
      </c>
      <c r="B133" t="s">
        <v>40</v>
      </c>
      <c r="C133">
        <v>0</v>
      </c>
      <c r="D133">
        <v>1</v>
      </c>
      <c r="E133">
        <v>1</v>
      </c>
      <c r="F133">
        <v>1</v>
      </c>
      <c r="G133">
        <v>1</v>
      </c>
      <c r="H133">
        <v>1</v>
      </c>
      <c r="I133">
        <v>1</v>
      </c>
      <c r="J133">
        <v>1</v>
      </c>
      <c r="K133">
        <v>1</v>
      </c>
      <c r="L133">
        <v>1</v>
      </c>
      <c r="M133">
        <v>1</v>
      </c>
      <c r="N133">
        <v>1</v>
      </c>
      <c r="P133">
        <v>1.8472955226898189</v>
      </c>
    </row>
    <row r="134" spans="1:16" x14ac:dyDescent="0.25">
      <c r="A134" t="s">
        <v>107</v>
      </c>
      <c r="B134" t="s">
        <v>41</v>
      </c>
      <c r="C134">
        <v>0</v>
      </c>
      <c r="D134">
        <v>1</v>
      </c>
      <c r="E134">
        <v>1</v>
      </c>
      <c r="F134">
        <v>1</v>
      </c>
      <c r="G134">
        <v>1</v>
      </c>
      <c r="H134">
        <v>1</v>
      </c>
      <c r="I134">
        <v>0</v>
      </c>
      <c r="J134">
        <v>1</v>
      </c>
      <c r="K134">
        <v>1</v>
      </c>
      <c r="L134">
        <v>1</v>
      </c>
      <c r="M134">
        <v>1</v>
      </c>
      <c r="N134">
        <v>1</v>
      </c>
      <c r="O134" t="s">
        <v>287</v>
      </c>
      <c r="P134">
        <v>2.4004275798797612</v>
      </c>
    </row>
    <row r="135" spans="1:16" x14ac:dyDescent="0.25">
      <c r="A135" t="s">
        <v>107</v>
      </c>
      <c r="B135" t="s">
        <v>42</v>
      </c>
      <c r="C135">
        <v>0</v>
      </c>
      <c r="D135">
        <v>1</v>
      </c>
      <c r="E135">
        <v>1</v>
      </c>
      <c r="F135">
        <v>1</v>
      </c>
      <c r="G135">
        <v>1</v>
      </c>
      <c r="H135">
        <v>1</v>
      </c>
      <c r="I135">
        <v>1</v>
      </c>
      <c r="J135">
        <v>1</v>
      </c>
      <c r="K135">
        <v>1</v>
      </c>
      <c r="L135">
        <v>1</v>
      </c>
      <c r="M135">
        <v>1</v>
      </c>
      <c r="N135">
        <v>1</v>
      </c>
      <c r="P135">
        <v>1.418047428131104</v>
      </c>
    </row>
    <row r="136" spans="1:16" x14ac:dyDescent="0.25">
      <c r="A136" t="s">
        <v>107</v>
      </c>
      <c r="B136" t="s">
        <v>44</v>
      </c>
      <c r="C136">
        <v>0</v>
      </c>
      <c r="D136">
        <v>1</v>
      </c>
      <c r="E136">
        <v>1</v>
      </c>
      <c r="F136">
        <v>1</v>
      </c>
      <c r="G136">
        <v>1</v>
      </c>
      <c r="H136">
        <v>1</v>
      </c>
      <c r="I136">
        <v>1</v>
      </c>
      <c r="J136">
        <v>1</v>
      </c>
      <c r="K136">
        <v>1</v>
      </c>
      <c r="L136">
        <v>1</v>
      </c>
      <c r="M136">
        <v>1</v>
      </c>
      <c r="N136">
        <v>1</v>
      </c>
      <c r="P136">
        <v>1.643211841583252</v>
      </c>
    </row>
    <row r="137" spans="1:16" x14ac:dyDescent="0.25">
      <c r="A137" t="s">
        <v>107</v>
      </c>
      <c r="B137" t="s">
        <v>45</v>
      </c>
      <c r="C137">
        <v>0</v>
      </c>
      <c r="D137">
        <v>0</v>
      </c>
      <c r="E137" t="s">
        <v>28</v>
      </c>
      <c r="F137" t="s">
        <v>28</v>
      </c>
      <c r="G137" t="s">
        <v>28</v>
      </c>
      <c r="H137" t="s">
        <v>28</v>
      </c>
      <c r="I137" t="s">
        <v>28</v>
      </c>
      <c r="J137" t="s">
        <v>28</v>
      </c>
      <c r="K137" t="s">
        <v>28</v>
      </c>
      <c r="L137" t="s">
        <v>28</v>
      </c>
      <c r="M137" t="s">
        <v>28</v>
      </c>
      <c r="N137" t="s">
        <v>28</v>
      </c>
      <c r="O137" t="s">
        <v>288</v>
      </c>
      <c r="P137">
        <v>15.421229362487789</v>
      </c>
    </row>
    <row r="138" spans="1:16" x14ac:dyDescent="0.25">
      <c r="A138" t="s">
        <v>107</v>
      </c>
      <c r="B138" t="s">
        <v>46</v>
      </c>
      <c r="C138">
        <v>0</v>
      </c>
      <c r="D138">
        <v>1</v>
      </c>
      <c r="E138">
        <v>0</v>
      </c>
      <c r="F138">
        <v>1</v>
      </c>
      <c r="G138">
        <v>1</v>
      </c>
      <c r="H138" t="s">
        <v>28</v>
      </c>
      <c r="I138">
        <v>1</v>
      </c>
      <c r="J138" t="s">
        <v>28</v>
      </c>
      <c r="K138">
        <v>1</v>
      </c>
      <c r="L138">
        <v>1</v>
      </c>
      <c r="M138">
        <v>1</v>
      </c>
      <c r="N138">
        <v>1</v>
      </c>
      <c r="O138" t="s">
        <v>289</v>
      </c>
      <c r="P138">
        <v>2.5837380886077881</v>
      </c>
    </row>
    <row r="139" spans="1:16" x14ac:dyDescent="0.25">
      <c r="A139" t="s">
        <v>107</v>
      </c>
      <c r="B139" t="s">
        <v>47</v>
      </c>
      <c r="C139">
        <v>0</v>
      </c>
      <c r="D139">
        <v>1</v>
      </c>
      <c r="E139">
        <v>1</v>
      </c>
      <c r="F139">
        <v>1</v>
      </c>
      <c r="G139">
        <v>1</v>
      </c>
      <c r="H139">
        <v>1</v>
      </c>
      <c r="I139">
        <v>0</v>
      </c>
      <c r="J139">
        <v>1</v>
      </c>
      <c r="K139">
        <v>1</v>
      </c>
      <c r="L139">
        <v>1</v>
      </c>
      <c r="M139">
        <v>1</v>
      </c>
      <c r="N139">
        <v>1</v>
      </c>
      <c r="O139" t="s">
        <v>290</v>
      </c>
      <c r="P139">
        <v>2.6109883785247798</v>
      </c>
    </row>
    <row r="140" spans="1:16" x14ac:dyDescent="0.25">
      <c r="A140" t="s">
        <v>107</v>
      </c>
      <c r="B140" t="s">
        <v>49</v>
      </c>
      <c r="C140">
        <v>0</v>
      </c>
      <c r="D140">
        <v>1</v>
      </c>
      <c r="E140">
        <v>0</v>
      </c>
      <c r="F140">
        <v>1</v>
      </c>
      <c r="G140">
        <v>1</v>
      </c>
      <c r="H140" t="s">
        <v>28</v>
      </c>
      <c r="I140">
        <v>1</v>
      </c>
      <c r="J140" t="s">
        <v>28</v>
      </c>
      <c r="K140">
        <v>1</v>
      </c>
      <c r="L140">
        <v>1</v>
      </c>
      <c r="M140">
        <v>1</v>
      </c>
      <c r="N140">
        <v>1</v>
      </c>
      <c r="O140" t="s">
        <v>291</v>
      </c>
      <c r="P140">
        <v>4.9806637763977051</v>
      </c>
    </row>
    <row r="141" spans="1:16" x14ac:dyDescent="0.25">
      <c r="A141" t="s">
        <v>107</v>
      </c>
      <c r="B141" t="s">
        <v>51</v>
      </c>
      <c r="C141">
        <v>0</v>
      </c>
      <c r="D141">
        <v>1</v>
      </c>
      <c r="E141">
        <v>1</v>
      </c>
      <c r="F141">
        <v>1</v>
      </c>
      <c r="G141">
        <v>1</v>
      </c>
      <c r="H141">
        <v>1</v>
      </c>
      <c r="I141">
        <v>1</v>
      </c>
      <c r="J141">
        <v>1</v>
      </c>
      <c r="K141">
        <v>1</v>
      </c>
      <c r="L141">
        <v>1</v>
      </c>
      <c r="M141">
        <v>1</v>
      </c>
      <c r="N141">
        <v>1</v>
      </c>
      <c r="P141">
        <v>1.4626119136810301</v>
      </c>
    </row>
    <row r="142" spans="1:16" x14ac:dyDescent="0.25">
      <c r="A142" t="s">
        <v>107</v>
      </c>
      <c r="B142" t="s">
        <v>53</v>
      </c>
      <c r="C142">
        <v>0</v>
      </c>
      <c r="D142">
        <v>1</v>
      </c>
      <c r="E142">
        <v>1</v>
      </c>
      <c r="F142">
        <v>1</v>
      </c>
      <c r="G142">
        <v>1</v>
      </c>
      <c r="H142">
        <v>1</v>
      </c>
      <c r="I142">
        <v>1</v>
      </c>
      <c r="J142">
        <v>1</v>
      </c>
      <c r="K142">
        <v>1</v>
      </c>
      <c r="L142">
        <v>1</v>
      </c>
      <c r="M142">
        <v>1</v>
      </c>
      <c r="N142">
        <v>1</v>
      </c>
      <c r="P142">
        <v>1.783387422561646</v>
      </c>
    </row>
    <row r="143" spans="1:16" x14ac:dyDescent="0.25">
      <c r="A143" t="s">
        <v>107</v>
      </c>
      <c r="B143" t="s">
        <v>54</v>
      </c>
      <c r="C143">
        <v>0</v>
      </c>
      <c r="D143">
        <v>1</v>
      </c>
      <c r="E143">
        <v>1</v>
      </c>
      <c r="F143">
        <v>0</v>
      </c>
      <c r="G143">
        <v>1</v>
      </c>
      <c r="H143">
        <v>1</v>
      </c>
      <c r="I143">
        <v>1</v>
      </c>
      <c r="J143" t="s">
        <v>28</v>
      </c>
      <c r="K143">
        <v>1</v>
      </c>
      <c r="L143">
        <v>1</v>
      </c>
      <c r="M143">
        <v>1</v>
      </c>
      <c r="N143">
        <v>1</v>
      </c>
      <c r="O143" t="s">
        <v>292</v>
      </c>
      <c r="P143">
        <v>2.8748030662536621</v>
      </c>
    </row>
    <row r="144" spans="1:16" x14ac:dyDescent="0.25">
      <c r="A144" t="s">
        <v>107</v>
      </c>
      <c r="B144" t="s">
        <v>56</v>
      </c>
      <c r="C144">
        <v>0</v>
      </c>
      <c r="D144">
        <v>1</v>
      </c>
      <c r="E144">
        <v>1</v>
      </c>
      <c r="F144">
        <v>1</v>
      </c>
      <c r="G144">
        <v>1</v>
      </c>
      <c r="H144">
        <v>1</v>
      </c>
      <c r="I144">
        <v>1</v>
      </c>
      <c r="J144">
        <v>1</v>
      </c>
      <c r="K144">
        <v>1</v>
      </c>
      <c r="L144">
        <v>1</v>
      </c>
      <c r="M144">
        <v>1</v>
      </c>
      <c r="N144">
        <v>1</v>
      </c>
      <c r="P144">
        <v>1.81267261505127</v>
      </c>
    </row>
    <row r="145" spans="1:16" x14ac:dyDescent="0.25">
      <c r="A145" t="s">
        <v>107</v>
      </c>
      <c r="B145" t="s">
        <v>58</v>
      </c>
      <c r="C145">
        <v>0</v>
      </c>
      <c r="D145">
        <v>1</v>
      </c>
      <c r="E145">
        <v>1</v>
      </c>
      <c r="F145">
        <v>1</v>
      </c>
      <c r="G145">
        <v>1</v>
      </c>
      <c r="H145">
        <v>1</v>
      </c>
      <c r="I145">
        <v>1</v>
      </c>
      <c r="J145">
        <v>1</v>
      </c>
      <c r="K145">
        <v>1</v>
      </c>
      <c r="L145">
        <v>1</v>
      </c>
      <c r="M145">
        <v>1</v>
      </c>
      <c r="N145">
        <v>1</v>
      </c>
      <c r="P145">
        <v>1.735543966293335</v>
      </c>
    </row>
    <row r="146" spans="1:16" x14ac:dyDescent="0.25">
      <c r="A146" t="s">
        <v>107</v>
      </c>
      <c r="B146" t="s">
        <v>60</v>
      </c>
      <c r="C146">
        <v>0</v>
      </c>
      <c r="D146">
        <v>1</v>
      </c>
      <c r="E146">
        <v>1</v>
      </c>
      <c r="F146">
        <v>1</v>
      </c>
      <c r="G146">
        <v>1</v>
      </c>
      <c r="H146">
        <v>1</v>
      </c>
      <c r="I146">
        <v>1</v>
      </c>
      <c r="J146">
        <v>1</v>
      </c>
      <c r="K146">
        <v>1</v>
      </c>
      <c r="L146">
        <v>1</v>
      </c>
      <c r="M146">
        <v>1</v>
      </c>
      <c r="N146">
        <v>1</v>
      </c>
      <c r="P146">
        <v>1.588043689727783</v>
      </c>
    </row>
    <row r="147" spans="1:16" x14ac:dyDescent="0.25">
      <c r="A147" t="s">
        <v>107</v>
      </c>
      <c r="B147" t="s">
        <v>62</v>
      </c>
      <c r="C147">
        <v>0</v>
      </c>
      <c r="D147">
        <v>1</v>
      </c>
      <c r="E147">
        <v>1</v>
      </c>
      <c r="F147">
        <v>1</v>
      </c>
      <c r="G147">
        <v>1</v>
      </c>
      <c r="H147">
        <v>1</v>
      </c>
      <c r="I147">
        <v>1</v>
      </c>
      <c r="J147">
        <v>1</v>
      </c>
      <c r="K147">
        <v>1</v>
      </c>
      <c r="L147">
        <v>1</v>
      </c>
      <c r="M147">
        <v>1</v>
      </c>
      <c r="N147">
        <v>1</v>
      </c>
      <c r="P147">
        <v>1.4134507179260249</v>
      </c>
    </row>
    <row r="148" spans="1:16" x14ac:dyDescent="0.25">
      <c r="A148" t="s">
        <v>107</v>
      </c>
      <c r="B148" t="s">
        <v>63</v>
      </c>
      <c r="C148">
        <v>0</v>
      </c>
      <c r="D148">
        <v>1</v>
      </c>
      <c r="E148">
        <v>1</v>
      </c>
      <c r="F148">
        <v>1</v>
      </c>
      <c r="G148">
        <v>1</v>
      </c>
      <c r="H148">
        <v>1</v>
      </c>
      <c r="I148">
        <v>1</v>
      </c>
      <c r="J148">
        <v>1</v>
      </c>
      <c r="K148">
        <v>1</v>
      </c>
      <c r="L148">
        <v>1</v>
      </c>
      <c r="M148">
        <v>1</v>
      </c>
      <c r="N148">
        <v>1</v>
      </c>
      <c r="P148">
        <v>1.5820751190185549</v>
      </c>
    </row>
    <row r="149" spans="1:16" x14ac:dyDescent="0.25">
      <c r="A149" t="s">
        <v>107</v>
      </c>
      <c r="B149" t="s">
        <v>64</v>
      </c>
      <c r="C149">
        <v>0</v>
      </c>
      <c r="D149">
        <v>1</v>
      </c>
      <c r="E149">
        <v>1</v>
      </c>
      <c r="F149">
        <v>1</v>
      </c>
      <c r="G149">
        <v>1</v>
      </c>
      <c r="H149">
        <v>1</v>
      </c>
      <c r="I149">
        <v>1</v>
      </c>
      <c r="J149">
        <v>1</v>
      </c>
      <c r="K149">
        <v>1</v>
      </c>
      <c r="L149">
        <v>1</v>
      </c>
      <c r="M149">
        <v>1</v>
      </c>
      <c r="N149">
        <v>1</v>
      </c>
      <c r="P149">
        <v>1.4880766868591311</v>
      </c>
    </row>
    <row r="150" spans="1:16" x14ac:dyDescent="0.25">
      <c r="A150" t="s">
        <v>107</v>
      </c>
      <c r="B150" t="s">
        <v>65</v>
      </c>
      <c r="C150">
        <v>0</v>
      </c>
      <c r="D150">
        <v>1</v>
      </c>
      <c r="E150">
        <v>1</v>
      </c>
      <c r="F150">
        <v>1</v>
      </c>
      <c r="G150">
        <v>1</v>
      </c>
      <c r="H150">
        <v>1</v>
      </c>
      <c r="I150">
        <v>1</v>
      </c>
      <c r="J150">
        <v>1</v>
      </c>
      <c r="K150">
        <v>1</v>
      </c>
      <c r="L150">
        <v>1</v>
      </c>
      <c r="M150">
        <v>1</v>
      </c>
      <c r="N150">
        <v>1</v>
      </c>
      <c r="P150">
        <v>2.4281020164489751</v>
      </c>
    </row>
    <row r="151" spans="1:16" x14ac:dyDescent="0.25">
      <c r="A151" t="s">
        <v>107</v>
      </c>
      <c r="B151" t="s">
        <v>66</v>
      </c>
      <c r="C151">
        <v>0</v>
      </c>
      <c r="D151">
        <v>1</v>
      </c>
      <c r="E151">
        <v>1</v>
      </c>
      <c r="F151">
        <v>1</v>
      </c>
      <c r="G151">
        <v>1</v>
      </c>
      <c r="H151">
        <v>1</v>
      </c>
      <c r="I151">
        <v>1</v>
      </c>
      <c r="J151">
        <v>1</v>
      </c>
      <c r="K151">
        <v>1</v>
      </c>
      <c r="L151">
        <v>1</v>
      </c>
      <c r="M151">
        <v>1</v>
      </c>
      <c r="N151">
        <v>1</v>
      </c>
      <c r="P151">
        <v>1.8421614170074461</v>
      </c>
    </row>
    <row r="152" spans="1:16" x14ac:dyDescent="0.25">
      <c r="A152" t="s">
        <v>107</v>
      </c>
      <c r="B152" t="s">
        <v>67</v>
      </c>
      <c r="C152">
        <v>0</v>
      </c>
      <c r="D152">
        <v>1</v>
      </c>
      <c r="E152">
        <v>1</v>
      </c>
      <c r="F152">
        <v>1</v>
      </c>
      <c r="G152">
        <v>1</v>
      </c>
      <c r="H152">
        <v>1</v>
      </c>
      <c r="I152">
        <v>1</v>
      </c>
      <c r="J152">
        <v>1</v>
      </c>
      <c r="K152">
        <v>1</v>
      </c>
      <c r="L152">
        <v>1</v>
      </c>
      <c r="M152">
        <v>1</v>
      </c>
      <c r="N152">
        <v>1</v>
      </c>
      <c r="P152">
        <v>1.5146574974060061</v>
      </c>
    </row>
    <row r="153" spans="1:16" x14ac:dyDescent="0.25">
      <c r="A153" t="s">
        <v>107</v>
      </c>
      <c r="B153" t="s">
        <v>69</v>
      </c>
      <c r="C153">
        <v>0</v>
      </c>
      <c r="D153">
        <v>1</v>
      </c>
      <c r="E153">
        <v>1</v>
      </c>
      <c r="F153">
        <v>1</v>
      </c>
      <c r="G153">
        <v>1</v>
      </c>
      <c r="H153">
        <v>1</v>
      </c>
      <c r="I153">
        <v>1</v>
      </c>
      <c r="J153">
        <v>1</v>
      </c>
      <c r="K153">
        <v>1</v>
      </c>
      <c r="L153">
        <v>1</v>
      </c>
      <c r="M153">
        <v>1</v>
      </c>
      <c r="N153">
        <v>1</v>
      </c>
      <c r="P153">
        <v>2.3927991390228271</v>
      </c>
    </row>
    <row r="154" spans="1:16" x14ac:dyDescent="0.25">
      <c r="A154" t="s">
        <v>107</v>
      </c>
      <c r="B154" t="s">
        <v>70</v>
      </c>
      <c r="C154">
        <v>0</v>
      </c>
      <c r="D154">
        <v>1</v>
      </c>
      <c r="E154">
        <v>1</v>
      </c>
      <c r="F154">
        <v>1</v>
      </c>
      <c r="G154">
        <v>1</v>
      </c>
      <c r="H154">
        <v>1</v>
      </c>
      <c r="I154">
        <v>1</v>
      </c>
      <c r="J154">
        <v>1</v>
      </c>
      <c r="K154">
        <v>1</v>
      </c>
      <c r="L154">
        <v>1</v>
      </c>
      <c r="M154">
        <v>1</v>
      </c>
      <c r="N154">
        <v>1</v>
      </c>
      <c r="P154">
        <v>3.010907649993896</v>
      </c>
    </row>
    <row r="155" spans="1:16" x14ac:dyDescent="0.25">
      <c r="A155" t="s">
        <v>107</v>
      </c>
      <c r="B155" t="s">
        <v>71</v>
      </c>
      <c r="C155">
        <v>0</v>
      </c>
      <c r="D155">
        <v>1</v>
      </c>
      <c r="E155">
        <v>1</v>
      </c>
      <c r="F155">
        <v>1</v>
      </c>
      <c r="G155">
        <v>1</v>
      </c>
      <c r="H155">
        <v>1</v>
      </c>
      <c r="I155">
        <v>1</v>
      </c>
      <c r="J155">
        <v>1</v>
      </c>
      <c r="K155">
        <v>1</v>
      </c>
      <c r="L155">
        <v>1</v>
      </c>
      <c r="M155">
        <v>1</v>
      </c>
      <c r="N155">
        <v>1</v>
      </c>
      <c r="P155">
        <v>1.806102514266968</v>
      </c>
    </row>
    <row r="156" spans="1:16" x14ac:dyDescent="0.25">
      <c r="A156" t="s">
        <v>107</v>
      </c>
      <c r="B156" t="s">
        <v>72</v>
      </c>
      <c r="C156">
        <v>0</v>
      </c>
      <c r="D156">
        <v>1</v>
      </c>
      <c r="E156">
        <v>1</v>
      </c>
      <c r="F156">
        <v>0</v>
      </c>
      <c r="G156">
        <v>1</v>
      </c>
      <c r="H156">
        <v>1</v>
      </c>
      <c r="I156">
        <v>1</v>
      </c>
      <c r="J156" t="s">
        <v>28</v>
      </c>
      <c r="K156">
        <v>1</v>
      </c>
      <c r="L156">
        <v>1</v>
      </c>
      <c r="M156">
        <v>1</v>
      </c>
      <c r="N156">
        <v>1</v>
      </c>
      <c r="O156" t="s">
        <v>293</v>
      </c>
      <c r="P156">
        <v>2.6940841674804692</v>
      </c>
    </row>
    <row r="157" spans="1:16" x14ac:dyDescent="0.25">
      <c r="A157" t="s">
        <v>107</v>
      </c>
      <c r="B157" t="s">
        <v>74</v>
      </c>
      <c r="C157">
        <v>0</v>
      </c>
      <c r="D157">
        <v>1</v>
      </c>
      <c r="E157">
        <v>1</v>
      </c>
      <c r="F157">
        <v>1</v>
      </c>
      <c r="G157">
        <v>1</v>
      </c>
      <c r="H157">
        <v>1</v>
      </c>
      <c r="I157">
        <v>1</v>
      </c>
      <c r="J157">
        <v>1</v>
      </c>
      <c r="K157">
        <v>1</v>
      </c>
      <c r="L157">
        <v>1</v>
      </c>
      <c r="M157">
        <v>1</v>
      </c>
      <c r="N157">
        <v>1</v>
      </c>
      <c r="P157">
        <v>1.5040936470031741</v>
      </c>
    </row>
    <row r="158" spans="1:16" x14ac:dyDescent="0.25">
      <c r="A158" t="s">
        <v>107</v>
      </c>
      <c r="B158" t="s">
        <v>75</v>
      </c>
      <c r="C158">
        <v>0</v>
      </c>
      <c r="D158">
        <v>1</v>
      </c>
      <c r="E158">
        <v>1</v>
      </c>
      <c r="F158">
        <v>1</v>
      </c>
      <c r="G158">
        <v>1</v>
      </c>
      <c r="H158">
        <v>1</v>
      </c>
      <c r="I158">
        <v>1</v>
      </c>
      <c r="J158">
        <v>1</v>
      </c>
      <c r="K158">
        <v>1</v>
      </c>
      <c r="L158">
        <v>1</v>
      </c>
      <c r="M158">
        <v>1</v>
      </c>
      <c r="N158">
        <v>1</v>
      </c>
      <c r="P158">
        <v>1.7891907691955571</v>
      </c>
    </row>
    <row r="159" spans="1:16" x14ac:dyDescent="0.25">
      <c r="A159" t="s">
        <v>107</v>
      </c>
      <c r="B159" t="s">
        <v>76</v>
      </c>
      <c r="C159">
        <v>0</v>
      </c>
      <c r="D159">
        <v>1</v>
      </c>
      <c r="E159">
        <v>1</v>
      </c>
      <c r="F159">
        <v>1</v>
      </c>
      <c r="G159">
        <v>1</v>
      </c>
      <c r="H159">
        <v>1</v>
      </c>
      <c r="I159">
        <v>1</v>
      </c>
      <c r="J159">
        <v>1</v>
      </c>
      <c r="K159">
        <v>1</v>
      </c>
      <c r="L159">
        <v>1</v>
      </c>
      <c r="M159">
        <v>1</v>
      </c>
      <c r="N159">
        <v>1</v>
      </c>
      <c r="P159">
        <v>1.4955763816833501</v>
      </c>
    </row>
    <row r="160" spans="1:16" x14ac:dyDescent="0.25">
      <c r="A160" t="s">
        <v>107</v>
      </c>
      <c r="B160" t="s">
        <v>77</v>
      </c>
      <c r="C160">
        <v>0</v>
      </c>
      <c r="D160">
        <v>0</v>
      </c>
      <c r="E160" t="s">
        <v>28</v>
      </c>
      <c r="F160" t="s">
        <v>28</v>
      </c>
      <c r="G160" t="s">
        <v>28</v>
      </c>
      <c r="H160" t="s">
        <v>28</v>
      </c>
      <c r="I160" t="s">
        <v>28</v>
      </c>
      <c r="J160" t="s">
        <v>28</v>
      </c>
      <c r="K160" t="s">
        <v>28</v>
      </c>
      <c r="L160" t="s">
        <v>28</v>
      </c>
      <c r="M160" t="s">
        <v>28</v>
      </c>
      <c r="N160" t="s">
        <v>28</v>
      </c>
      <c r="O160" t="s">
        <v>294</v>
      </c>
      <c r="P160">
        <v>2.9006674289703369</v>
      </c>
    </row>
    <row r="161" spans="1:16" x14ac:dyDescent="0.25">
      <c r="A161" t="s">
        <v>107</v>
      </c>
      <c r="B161" t="s">
        <v>78</v>
      </c>
      <c r="C161">
        <v>0</v>
      </c>
      <c r="D161">
        <v>1</v>
      </c>
      <c r="E161">
        <v>1</v>
      </c>
      <c r="F161">
        <v>1</v>
      </c>
      <c r="G161">
        <v>1</v>
      </c>
      <c r="H161">
        <v>1</v>
      </c>
      <c r="I161">
        <v>1</v>
      </c>
      <c r="J161">
        <v>1</v>
      </c>
      <c r="K161">
        <v>1</v>
      </c>
      <c r="L161">
        <v>1</v>
      </c>
      <c r="M161">
        <v>1</v>
      </c>
      <c r="N161">
        <v>1</v>
      </c>
      <c r="P161">
        <v>1.458144426345825</v>
      </c>
    </row>
    <row r="162" spans="1:16" x14ac:dyDescent="0.25">
      <c r="A162" t="s">
        <v>107</v>
      </c>
      <c r="B162" t="s">
        <v>79</v>
      </c>
      <c r="C162">
        <v>0</v>
      </c>
      <c r="D162">
        <v>1</v>
      </c>
      <c r="E162">
        <v>1</v>
      </c>
      <c r="F162">
        <v>1</v>
      </c>
      <c r="G162">
        <v>1</v>
      </c>
      <c r="H162">
        <v>1</v>
      </c>
      <c r="I162">
        <v>1</v>
      </c>
      <c r="J162">
        <v>1</v>
      </c>
      <c r="K162">
        <v>1</v>
      </c>
      <c r="L162">
        <v>1</v>
      </c>
      <c r="M162">
        <v>1</v>
      </c>
      <c r="N162">
        <v>1</v>
      </c>
      <c r="P162">
        <v>1.3428149223327639</v>
      </c>
    </row>
    <row r="163" spans="1:16" x14ac:dyDescent="0.25">
      <c r="A163" t="s">
        <v>107</v>
      </c>
      <c r="B163" t="s">
        <v>91</v>
      </c>
      <c r="C163">
        <v>0</v>
      </c>
      <c r="D163">
        <v>1</v>
      </c>
      <c r="E163">
        <v>1</v>
      </c>
      <c r="F163">
        <v>1</v>
      </c>
      <c r="G163">
        <v>1</v>
      </c>
      <c r="H163">
        <v>1</v>
      </c>
      <c r="I163">
        <v>1</v>
      </c>
      <c r="J163">
        <v>1</v>
      </c>
      <c r="K163">
        <v>1</v>
      </c>
      <c r="L163">
        <v>1</v>
      </c>
      <c r="M163">
        <v>1</v>
      </c>
      <c r="N163">
        <v>1</v>
      </c>
      <c r="P163">
        <v>1.6045083999633789</v>
      </c>
    </row>
    <row r="164" spans="1:16" x14ac:dyDescent="0.25">
      <c r="A164" t="s">
        <v>107</v>
      </c>
      <c r="B164" t="s">
        <v>92</v>
      </c>
      <c r="C164">
        <v>0</v>
      </c>
      <c r="D164">
        <v>1</v>
      </c>
      <c r="E164">
        <v>1</v>
      </c>
      <c r="F164">
        <v>1</v>
      </c>
      <c r="G164">
        <v>1</v>
      </c>
      <c r="H164">
        <v>1</v>
      </c>
      <c r="I164">
        <v>1</v>
      </c>
      <c r="J164">
        <v>1</v>
      </c>
      <c r="K164">
        <v>1</v>
      </c>
      <c r="L164">
        <v>1</v>
      </c>
      <c r="M164">
        <v>1</v>
      </c>
      <c r="N164">
        <v>1</v>
      </c>
      <c r="P164">
        <v>1.622463464736938</v>
      </c>
    </row>
    <row r="165" spans="1:16" x14ac:dyDescent="0.25">
      <c r="A165" t="s">
        <v>107</v>
      </c>
      <c r="B165" t="s">
        <v>93</v>
      </c>
      <c r="C165">
        <v>0</v>
      </c>
      <c r="D165">
        <v>1</v>
      </c>
      <c r="E165">
        <v>1</v>
      </c>
      <c r="F165">
        <v>1</v>
      </c>
      <c r="G165">
        <v>1</v>
      </c>
      <c r="H165">
        <v>1</v>
      </c>
      <c r="I165">
        <v>1</v>
      </c>
      <c r="J165">
        <v>1</v>
      </c>
      <c r="K165">
        <v>1</v>
      </c>
      <c r="L165">
        <v>1</v>
      </c>
      <c r="M165">
        <v>1</v>
      </c>
      <c r="N165">
        <v>1</v>
      </c>
      <c r="P165">
        <v>2.0808994770050049</v>
      </c>
    </row>
    <row r="166" spans="1:16" x14ac:dyDescent="0.25">
      <c r="A166" t="s">
        <v>107</v>
      </c>
      <c r="B166" t="s">
        <v>94</v>
      </c>
      <c r="C166">
        <v>0</v>
      </c>
      <c r="D166">
        <v>1</v>
      </c>
      <c r="E166">
        <v>1</v>
      </c>
      <c r="F166">
        <v>1</v>
      </c>
      <c r="G166">
        <v>1</v>
      </c>
      <c r="H166">
        <v>1</v>
      </c>
      <c r="I166">
        <v>1</v>
      </c>
      <c r="J166">
        <v>1</v>
      </c>
      <c r="K166">
        <v>1</v>
      </c>
      <c r="L166">
        <v>1</v>
      </c>
      <c r="M166">
        <v>1</v>
      </c>
      <c r="N166">
        <v>1</v>
      </c>
      <c r="P166">
        <v>1.377440214157104</v>
      </c>
    </row>
    <row r="167" spans="1:16" x14ac:dyDescent="0.25">
      <c r="A167" t="s">
        <v>107</v>
      </c>
      <c r="B167" t="s">
        <v>95</v>
      </c>
      <c r="C167">
        <v>0</v>
      </c>
      <c r="D167">
        <v>1</v>
      </c>
      <c r="E167">
        <v>1</v>
      </c>
      <c r="F167">
        <v>1</v>
      </c>
      <c r="G167">
        <v>1</v>
      </c>
      <c r="H167">
        <v>1</v>
      </c>
      <c r="I167">
        <v>1</v>
      </c>
      <c r="J167">
        <v>1</v>
      </c>
      <c r="K167">
        <v>1</v>
      </c>
      <c r="L167">
        <v>1</v>
      </c>
      <c r="M167">
        <v>1</v>
      </c>
      <c r="N167">
        <v>1</v>
      </c>
      <c r="P167">
        <v>1.3451716899871831</v>
      </c>
    </row>
    <row r="168" spans="1:16" x14ac:dyDescent="0.25">
      <c r="A168" t="s">
        <v>107</v>
      </c>
      <c r="B168" t="s">
        <v>96</v>
      </c>
      <c r="C168">
        <v>0</v>
      </c>
      <c r="D168">
        <v>1</v>
      </c>
      <c r="E168">
        <v>1</v>
      </c>
      <c r="F168">
        <v>1</v>
      </c>
      <c r="G168">
        <v>1</v>
      </c>
      <c r="H168">
        <v>1</v>
      </c>
      <c r="I168">
        <v>1</v>
      </c>
      <c r="J168">
        <v>1</v>
      </c>
      <c r="K168">
        <v>1</v>
      </c>
      <c r="L168">
        <v>1</v>
      </c>
      <c r="M168">
        <v>1</v>
      </c>
      <c r="N168">
        <v>1</v>
      </c>
      <c r="P168">
        <v>1.964451789855957</v>
      </c>
    </row>
    <row r="169" spans="1:16" x14ac:dyDescent="0.25">
      <c r="A169" t="s">
        <v>107</v>
      </c>
      <c r="B169" t="s">
        <v>97</v>
      </c>
      <c r="C169">
        <v>0</v>
      </c>
      <c r="D169">
        <v>1</v>
      </c>
      <c r="E169">
        <v>1</v>
      </c>
      <c r="F169">
        <v>1</v>
      </c>
      <c r="G169">
        <v>1</v>
      </c>
      <c r="H169">
        <v>1</v>
      </c>
      <c r="I169">
        <v>1</v>
      </c>
      <c r="J169">
        <v>1</v>
      </c>
      <c r="K169">
        <v>1</v>
      </c>
      <c r="L169">
        <v>1</v>
      </c>
      <c r="M169">
        <v>1</v>
      </c>
      <c r="N169">
        <v>1</v>
      </c>
      <c r="P169">
        <v>2.0905814170837398</v>
      </c>
    </row>
    <row r="170" spans="1:16" x14ac:dyDescent="0.25">
      <c r="A170" t="s">
        <v>107</v>
      </c>
      <c r="B170" t="s">
        <v>98</v>
      </c>
      <c r="C170">
        <v>0</v>
      </c>
      <c r="D170">
        <v>1</v>
      </c>
      <c r="E170">
        <v>1</v>
      </c>
      <c r="F170">
        <v>1</v>
      </c>
      <c r="G170">
        <v>1</v>
      </c>
      <c r="H170">
        <v>1</v>
      </c>
      <c r="I170">
        <v>1</v>
      </c>
      <c r="J170">
        <v>1</v>
      </c>
      <c r="K170">
        <v>1</v>
      </c>
      <c r="L170">
        <v>1</v>
      </c>
      <c r="M170">
        <v>1</v>
      </c>
      <c r="N170">
        <v>1</v>
      </c>
      <c r="P170">
        <v>1.816516637802124</v>
      </c>
    </row>
    <row r="171" spans="1:16" x14ac:dyDescent="0.25">
      <c r="A171" t="s">
        <v>107</v>
      </c>
      <c r="B171" t="s">
        <v>100</v>
      </c>
      <c r="C171">
        <v>0</v>
      </c>
      <c r="D171">
        <v>1</v>
      </c>
      <c r="E171">
        <v>1</v>
      </c>
      <c r="F171">
        <v>1</v>
      </c>
      <c r="G171">
        <v>1</v>
      </c>
      <c r="H171">
        <v>1</v>
      </c>
      <c r="I171">
        <v>1</v>
      </c>
      <c r="J171">
        <v>1</v>
      </c>
      <c r="K171">
        <v>1</v>
      </c>
      <c r="L171">
        <v>1</v>
      </c>
      <c r="M171">
        <v>1</v>
      </c>
      <c r="N171">
        <v>1</v>
      </c>
      <c r="P171">
        <v>1.7934849262237551</v>
      </c>
    </row>
    <row r="172" spans="1:16" x14ac:dyDescent="0.25">
      <c r="A172" t="s">
        <v>107</v>
      </c>
      <c r="B172" t="s">
        <v>101</v>
      </c>
      <c r="C172">
        <v>0</v>
      </c>
      <c r="D172">
        <v>1</v>
      </c>
      <c r="E172">
        <v>1</v>
      </c>
      <c r="F172">
        <v>1</v>
      </c>
      <c r="G172">
        <v>1</v>
      </c>
      <c r="H172">
        <v>1</v>
      </c>
      <c r="I172">
        <v>0</v>
      </c>
      <c r="J172">
        <v>1</v>
      </c>
      <c r="K172">
        <v>1</v>
      </c>
      <c r="L172">
        <v>1</v>
      </c>
      <c r="M172">
        <v>1</v>
      </c>
      <c r="N172">
        <v>1</v>
      </c>
      <c r="O172" t="s">
        <v>295</v>
      </c>
      <c r="P172">
        <v>5.4075989723205566</v>
      </c>
    </row>
    <row r="173" spans="1:16" x14ac:dyDescent="0.25">
      <c r="A173" t="s">
        <v>107</v>
      </c>
      <c r="B173" t="s">
        <v>102</v>
      </c>
      <c r="C173">
        <v>0</v>
      </c>
      <c r="D173">
        <v>1</v>
      </c>
      <c r="E173">
        <v>1</v>
      </c>
      <c r="F173">
        <v>1</v>
      </c>
      <c r="G173">
        <v>1</v>
      </c>
      <c r="H173">
        <v>1</v>
      </c>
      <c r="I173">
        <v>1</v>
      </c>
      <c r="J173">
        <v>1</v>
      </c>
      <c r="K173">
        <v>1</v>
      </c>
      <c r="L173">
        <v>1</v>
      </c>
      <c r="M173">
        <v>1</v>
      </c>
      <c r="N173">
        <v>1</v>
      </c>
      <c r="P173">
        <v>1.6944911479949949</v>
      </c>
    </row>
    <row r="174" spans="1:16" x14ac:dyDescent="0.25">
      <c r="A174" t="s">
        <v>107</v>
      </c>
      <c r="B174" t="s">
        <v>104</v>
      </c>
      <c r="C174">
        <v>0</v>
      </c>
      <c r="D174">
        <v>1</v>
      </c>
      <c r="E174">
        <v>1</v>
      </c>
      <c r="F174">
        <v>1</v>
      </c>
      <c r="G174">
        <v>1</v>
      </c>
      <c r="H174">
        <v>1</v>
      </c>
      <c r="I174">
        <v>1</v>
      </c>
      <c r="J174">
        <v>1</v>
      </c>
      <c r="K174">
        <v>1</v>
      </c>
      <c r="L174">
        <v>1</v>
      </c>
      <c r="M174">
        <v>1</v>
      </c>
      <c r="N174">
        <v>1</v>
      </c>
      <c r="P174">
        <v>1.2900834083557129</v>
      </c>
    </row>
    <row r="175" spans="1:16" x14ac:dyDescent="0.25">
      <c r="A175" t="s">
        <v>107</v>
      </c>
      <c r="B175" t="s">
        <v>105</v>
      </c>
      <c r="C175">
        <v>0</v>
      </c>
      <c r="D175">
        <v>1</v>
      </c>
      <c r="E175">
        <v>1</v>
      </c>
      <c r="F175">
        <v>1</v>
      </c>
      <c r="G175">
        <v>1</v>
      </c>
      <c r="H175">
        <v>1</v>
      </c>
      <c r="I175">
        <v>1</v>
      </c>
      <c r="J175">
        <v>1</v>
      </c>
      <c r="K175">
        <v>1</v>
      </c>
      <c r="L175">
        <v>1</v>
      </c>
      <c r="M175">
        <v>1</v>
      </c>
      <c r="N175">
        <v>1</v>
      </c>
      <c r="P175">
        <v>1.686005115509033</v>
      </c>
    </row>
    <row r="176" spans="1:16" x14ac:dyDescent="0.25">
      <c r="A176" t="s">
        <v>107</v>
      </c>
      <c r="B176" t="s">
        <v>106</v>
      </c>
      <c r="C176">
        <v>0</v>
      </c>
      <c r="D176">
        <v>1</v>
      </c>
      <c r="E176">
        <v>1</v>
      </c>
      <c r="F176">
        <v>1</v>
      </c>
      <c r="G176">
        <v>1</v>
      </c>
      <c r="H176">
        <v>1</v>
      </c>
      <c r="I176">
        <v>1</v>
      </c>
      <c r="J176">
        <v>1</v>
      </c>
      <c r="K176">
        <v>1</v>
      </c>
      <c r="L176">
        <v>1</v>
      </c>
      <c r="M176">
        <v>1</v>
      </c>
      <c r="N176">
        <v>1</v>
      </c>
      <c r="P176">
        <v>1.4823658466339109</v>
      </c>
    </row>
    <row r="177" spans="1:16" x14ac:dyDescent="0.25">
      <c r="A177" t="s">
        <v>107</v>
      </c>
      <c r="B177" t="s">
        <v>126</v>
      </c>
      <c r="C177">
        <v>0</v>
      </c>
      <c r="D177">
        <v>1</v>
      </c>
      <c r="E177">
        <v>1</v>
      </c>
      <c r="F177">
        <v>1</v>
      </c>
      <c r="G177">
        <v>1</v>
      </c>
      <c r="H177">
        <v>1</v>
      </c>
      <c r="I177">
        <v>1</v>
      </c>
      <c r="J177">
        <v>1</v>
      </c>
      <c r="K177">
        <v>1</v>
      </c>
      <c r="L177">
        <v>1</v>
      </c>
      <c r="M177">
        <v>1</v>
      </c>
      <c r="N177">
        <v>1</v>
      </c>
      <c r="P177">
        <v>1.826567649841309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DA8B-6958-4D02-BBC6-D010EFBAE36B}">
  <dimension ref="A1:O177"/>
  <sheetViews>
    <sheetView tabSelected="1" topLeftCell="A135" workbookViewId="0">
      <selection activeCell="D114" sqref="D114:N177"/>
    </sheetView>
  </sheetViews>
  <sheetFormatPr defaultRowHeight="13.8"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15</v>
      </c>
    </row>
    <row r="2" spans="1:15" x14ac:dyDescent="0.25">
      <c r="A2" t="s">
        <v>16</v>
      </c>
      <c r="B2" t="s">
        <v>17</v>
      </c>
      <c r="C2">
        <v>0</v>
      </c>
      <c r="D2">
        <f>ROUND(SUM(recreation_claude_v2_5!D2,recreation_claude_v2_4!D2,recreation_claude_v2_3!D2,recreation_claude_v2_2!D2,recreation_claude_v2_1!D2)/COUNT(recreation_claude_v2_5!D2,recreation_claude_v2_4!D2,recreation_claude_v2_3!D2,recreation_claude_v2_2!D2,recreation_claude_v2_1!D2),0)</f>
        <v>1</v>
      </c>
      <c r="E2">
        <f>IF($D2 = 1, ROUND(SUM(recreation_claude_v2_5!E2,recreation_claude_v2_4!E2,recreation_claude_v2_3!E2,recreation_claude_v2_2!E2,recreation_claude_v2_1!E2)/COUNT(recreation_claude_v2_5!E2,recreation_claude_v2_4!E2,recreation_claude_v2_3!E2,recreation_claude_v2_2!E2,recreation_claude_v2_1!E2),0), "NA")</f>
        <v>1</v>
      </c>
      <c r="F2">
        <f>IF($D2 = 1, ROUND(SUM(recreation_claude_v2_5!F2,recreation_claude_v2_4!F2,recreation_claude_v2_3!F2,recreation_claude_v2_2!F2,recreation_claude_v2_1!F2)/COUNT(recreation_claude_v2_5!F2,recreation_claude_v2_4!F2,recreation_claude_v2_3!F2,recreation_claude_v2_2!F2,recreation_claude_v2_1!F2),0), "NA")</f>
        <v>1</v>
      </c>
      <c r="G2">
        <f>IF($D2 = 1, ROUND(SUM(recreation_claude_v2_5!G2,recreation_claude_v2_4!G2,recreation_claude_v2_3!G2,recreation_claude_v2_2!G2,recreation_claude_v2_1!G2)/COUNT(recreation_claude_v2_5!G2,recreation_claude_v2_4!G2,recreation_claude_v2_3!G2,recreation_claude_v2_2!G2,recreation_claude_v2_1!G2),0), "NA")</f>
        <v>1</v>
      </c>
      <c r="H2">
        <f>IF($E2 = 1, ROUND(SUM(recreation_claude_v2_5!H2,recreation_claude_v2_4!H2,recreation_claude_v2_3!H2,recreation_claude_v2_2!H2,recreation_claude_v2_1!H2)/COUNT(recreation_claude_v2_5!H2,recreation_claude_v2_4!H2,recreation_claude_v2_3!H2,recreation_claude_v2_2!H2,recreation_claude_v2_1!H2),0), "NA")</f>
        <v>1</v>
      </c>
      <c r="I2">
        <f>IF($D2 = 1, ROUND(SUM(recreation_claude_v2_5!I2,recreation_claude_v2_4!I2,recreation_claude_v2_3!I2,recreation_claude_v2_2!I2,recreation_claude_v2_1!I2)/COUNT(recreation_claude_v2_5!I2,recreation_claude_v2_4!I2,recreation_claude_v2_3!I2,recreation_claude_v2_2!I2,recreation_claude_v2_1!I2),0), "NA")</f>
        <v>1</v>
      </c>
      <c r="J2">
        <f>IF(AND($E2 = 1, $F2 = 1), ROUND(SUM(recreation_claude_v2_5!J2,recreation_claude_v2_4!J2,recreation_claude_v2_3!J2,recreation_claude_v2_2!J2,recreation_claude_v2_1!J2)/COUNT(recreation_claude_v2_5!J2,recreation_claude_v2_4!J2,recreation_claude_v2_3!J2,recreation_claude_v2_2!J2,recreation_claude_v2_1!J2),0), "NA")</f>
        <v>1</v>
      </c>
      <c r="K2">
        <f>IF($D2 = 1, ROUND(SUM(recreation_claude_v2_5!K2,recreation_claude_v2_4!K2,recreation_claude_v2_3!K2,recreation_claude_v2_2!K2,recreation_claude_v2_1!K2)/COUNT(recreation_claude_v2_5!K2,recreation_claude_v2_4!K2,recreation_claude_v2_3!K2,recreation_claude_v2_2!K2,recreation_claude_v2_1!K2),0), "NA")</f>
        <v>1</v>
      </c>
      <c r="L2">
        <f>IF($D2 = 1, ROUND(SUM(recreation_claude_v2_5!L2,recreation_claude_v2_4!L2,recreation_claude_v2_3!L2,recreation_claude_v2_2!L2,recreation_claude_v2_1!L2)/COUNT(recreation_claude_v2_5!L2,recreation_claude_v2_4!L2,recreation_claude_v2_3!L2,recreation_claude_v2_2!L2,recreation_claude_v2_1!L2),0), "NA")</f>
        <v>1</v>
      </c>
      <c r="M2">
        <f>IF($D2 = 1, ROUND(SUM(recreation_claude_v2_5!M2,recreation_claude_v2_4!M2,recreation_claude_v2_3!M2,recreation_claude_v2_2!M2,recreation_claude_v2_1!M2)/COUNT(recreation_claude_v2_5!M2,recreation_claude_v2_4!M2,recreation_claude_v2_3!M2,recreation_claude_v2_2!M2,recreation_claude_v2_1!M2),0), "NA")</f>
        <v>1</v>
      </c>
      <c r="N2">
        <f>IF($D2 = 1, ROUND(SUM(recreation_claude_v2_5!N2,recreation_claude_v2_4!N2,recreation_claude_v2_3!N2,recreation_claude_v2_2!N2,recreation_claude_v2_1!N2)/COUNT(recreation_claude_v2_5!N2,recreation_claude_v2_4!N2,recreation_claude_v2_3!N2,recreation_claude_v2_2!N2,recreation_claude_v2_1!N2),0), "NA")</f>
        <v>1</v>
      </c>
      <c r="O2">
        <v>1.5327267646789551</v>
      </c>
    </row>
    <row r="3" spans="1:15" x14ac:dyDescent="0.25">
      <c r="A3" t="s">
        <v>16</v>
      </c>
      <c r="B3" t="s">
        <v>18</v>
      </c>
      <c r="C3">
        <v>0</v>
      </c>
      <c r="D3">
        <f>ROUND(SUM(recreation_claude_v2_5!D3,recreation_claude_v2_4!D3,recreation_claude_v2_3!D3,recreation_claude_v2_2!D3,recreation_claude_v2_1!D3)/COUNT(recreation_claude_v2_5!D3,recreation_claude_v2_4!D3,recreation_claude_v2_3!D3,recreation_claude_v2_2!D3,recreation_claude_v2_1!D3),0)</f>
        <v>1</v>
      </c>
      <c r="E3">
        <f>IF($D3 = 1, ROUND(SUM(recreation_claude_v2_5!E3,recreation_claude_v2_4!E3,recreation_claude_v2_3!E3,recreation_claude_v2_2!E3,recreation_claude_v2_1!E3)/COUNT(recreation_claude_v2_5!E3,recreation_claude_v2_4!E3,recreation_claude_v2_3!E3,recreation_claude_v2_2!E3,recreation_claude_v2_1!E3),0), "NA")</f>
        <v>1</v>
      </c>
      <c r="F3">
        <f>IF($D3 = 1, ROUND(SUM(recreation_claude_v2_5!F3,recreation_claude_v2_4!F3,recreation_claude_v2_3!F3,recreation_claude_v2_2!F3,recreation_claude_v2_1!F3)/COUNT(recreation_claude_v2_5!F3,recreation_claude_v2_4!F3,recreation_claude_v2_3!F3,recreation_claude_v2_2!F3,recreation_claude_v2_1!F3),0), "NA")</f>
        <v>1</v>
      </c>
      <c r="G3">
        <f>IF($D3 = 1, ROUND(SUM(recreation_claude_v2_5!G3,recreation_claude_v2_4!G3,recreation_claude_v2_3!G3,recreation_claude_v2_2!G3,recreation_claude_v2_1!G3)/COUNT(recreation_claude_v2_5!G3,recreation_claude_v2_4!G3,recreation_claude_v2_3!G3,recreation_claude_v2_2!G3,recreation_claude_v2_1!G3),0), "NA")</f>
        <v>1</v>
      </c>
      <c r="H3">
        <f>IF($E3 = 1, ROUND(SUM(recreation_claude_v2_5!H3,recreation_claude_v2_4!H3,recreation_claude_v2_3!H3,recreation_claude_v2_2!H3,recreation_claude_v2_1!H3)/COUNT(recreation_claude_v2_5!H3,recreation_claude_v2_4!H3,recreation_claude_v2_3!H3,recreation_claude_v2_2!H3,recreation_claude_v2_1!H3),0), "NA")</f>
        <v>1</v>
      </c>
      <c r="I3">
        <f>IF($D3 = 1, ROUND(SUM(recreation_claude_v2_5!I3,recreation_claude_v2_4!I3,recreation_claude_v2_3!I3,recreation_claude_v2_2!I3,recreation_claude_v2_1!I3)/COUNT(recreation_claude_v2_5!I3,recreation_claude_v2_4!I3,recreation_claude_v2_3!I3,recreation_claude_v2_2!I3,recreation_claude_v2_1!I3),0), "NA")</f>
        <v>1</v>
      </c>
      <c r="J3">
        <f>IF(AND($E3 = 1, $F3 = 1), ROUND(SUM(recreation_claude_v2_5!J3,recreation_claude_v2_4!J3,recreation_claude_v2_3!J3,recreation_claude_v2_2!J3,recreation_claude_v2_1!J3)/COUNT(recreation_claude_v2_5!J3,recreation_claude_v2_4!J3,recreation_claude_v2_3!J3,recreation_claude_v2_2!J3,recreation_claude_v2_1!J3),0), "NA")</f>
        <v>1</v>
      </c>
      <c r="K3">
        <f>IF($D3 = 1, ROUND(SUM(recreation_claude_v2_5!K3,recreation_claude_v2_4!K3,recreation_claude_v2_3!K3,recreation_claude_v2_2!K3,recreation_claude_v2_1!K3)/COUNT(recreation_claude_v2_5!K3,recreation_claude_v2_4!K3,recreation_claude_v2_3!K3,recreation_claude_v2_2!K3,recreation_claude_v2_1!K3),0), "NA")</f>
        <v>1</v>
      </c>
      <c r="L3">
        <f>IF($D3 = 1, ROUND(SUM(recreation_claude_v2_5!L3,recreation_claude_v2_4!L3,recreation_claude_v2_3!L3,recreation_claude_v2_2!L3,recreation_claude_v2_1!L3)/COUNT(recreation_claude_v2_5!L3,recreation_claude_v2_4!L3,recreation_claude_v2_3!L3,recreation_claude_v2_2!L3,recreation_claude_v2_1!L3),0), "NA")</f>
        <v>1</v>
      </c>
      <c r="M3">
        <f>IF($D3 = 1, ROUND(SUM(recreation_claude_v2_5!M3,recreation_claude_v2_4!M3,recreation_claude_v2_3!M3,recreation_claude_v2_2!M3,recreation_claude_v2_1!M3)/COUNT(recreation_claude_v2_5!M3,recreation_claude_v2_4!M3,recreation_claude_v2_3!M3,recreation_claude_v2_2!M3,recreation_claude_v2_1!M3),0), "NA")</f>
        <v>1</v>
      </c>
      <c r="N3">
        <f>IF($D3 = 1, ROUND(SUM(recreation_claude_v2_5!N3,recreation_claude_v2_4!N3,recreation_claude_v2_3!N3,recreation_claude_v2_2!N3,recreation_claude_v2_1!N3)/COUNT(recreation_claude_v2_5!N3,recreation_claude_v2_4!N3,recreation_claude_v2_3!N3,recreation_claude_v2_2!N3,recreation_claude_v2_1!N3),0), "NA")</f>
        <v>1</v>
      </c>
      <c r="O3">
        <v>1.4091320037841799</v>
      </c>
    </row>
    <row r="4" spans="1:15" x14ac:dyDescent="0.25">
      <c r="A4" t="s">
        <v>16</v>
      </c>
      <c r="B4" t="s">
        <v>19</v>
      </c>
      <c r="C4">
        <v>0</v>
      </c>
      <c r="D4">
        <f>ROUND(SUM(recreation_claude_v2_5!D4,recreation_claude_v2_4!D4,recreation_claude_v2_3!D4,recreation_claude_v2_2!D4,recreation_claude_v2_1!D4)/COUNT(recreation_claude_v2_5!D4,recreation_claude_v2_4!D4,recreation_claude_v2_3!D4,recreation_claude_v2_2!D4,recreation_claude_v2_1!D4),0)</f>
        <v>1</v>
      </c>
      <c r="E4">
        <f>IF($D4 = 1, ROUND(SUM(recreation_claude_v2_5!E4,recreation_claude_v2_4!E4,recreation_claude_v2_3!E4,recreation_claude_v2_2!E4,recreation_claude_v2_1!E4)/COUNT(recreation_claude_v2_5!E4,recreation_claude_v2_4!E4,recreation_claude_v2_3!E4,recreation_claude_v2_2!E4,recreation_claude_v2_1!E4),0), "NA")</f>
        <v>1</v>
      </c>
      <c r="F4">
        <f>IF($D4 = 1, ROUND(SUM(recreation_claude_v2_5!F4,recreation_claude_v2_4!F4,recreation_claude_v2_3!F4,recreation_claude_v2_2!F4,recreation_claude_v2_1!F4)/COUNT(recreation_claude_v2_5!F4,recreation_claude_v2_4!F4,recreation_claude_v2_3!F4,recreation_claude_v2_2!F4,recreation_claude_v2_1!F4),0), "NA")</f>
        <v>1</v>
      </c>
      <c r="G4">
        <f>IF($D4 = 1, ROUND(SUM(recreation_claude_v2_5!G4,recreation_claude_v2_4!G4,recreation_claude_v2_3!G4,recreation_claude_v2_2!G4,recreation_claude_v2_1!G4)/COUNT(recreation_claude_v2_5!G4,recreation_claude_v2_4!G4,recreation_claude_v2_3!G4,recreation_claude_v2_2!G4,recreation_claude_v2_1!G4),0), "NA")</f>
        <v>1</v>
      </c>
      <c r="H4">
        <f>IF($E4 = 1, ROUND(SUM(recreation_claude_v2_5!H4,recreation_claude_v2_4!H4,recreation_claude_v2_3!H4,recreation_claude_v2_2!H4,recreation_claude_v2_1!H4)/COUNT(recreation_claude_v2_5!H4,recreation_claude_v2_4!H4,recreation_claude_v2_3!H4,recreation_claude_v2_2!H4,recreation_claude_v2_1!H4),0), "NA")</f>
        <v>1</v>
      </c>
      <c r="I4">
        <f>IF($D4 = 1, ROUND(SUM(recreation_claude_v2_5!I4,recreation_claude_v2_4!I4,recreation_claude_v2_3!I4,recreation_claude_v2_2!I4,recreation_claude_v2_1!I4)/COUNT(recreation_claude_v2_5!I4,recreation_claude_v2_4!I4,recreation_claude_v2_3!I4,recreation_claude_v2_2!I4,recreation_claude_v2_1!I4),0), "NA")</f>
        <v>1</v>
      </c>
      <c r="J4">
        <f>IF(AND($E4 = 1, $F4 = 1), ROUND(SUM(recreation_claude_v2_5!J4,recreation_claude_v2_4!J4,recreation_claude_v2_3!J4,recreation_claude_v2_2!J4,recreation_claude_v2_1!J4)/COUNT(recreation_claude_v2_5!J4,recreation_claude_v2_4!J4,recreation_claude_v2_3!J4,recreation_claude_v2_2!J4,recreation_claude_v2_1!J4),0), "NA")</f>
        <v>1</v>
      </c>
      <c r="K4">
        <f>IF($D4 = 1, ROUND(SUM(recreation_claude_v2_5!K4,recreation_claude_v2_4!K4,recreation_claude_v2_3!K4,recreation_claude_v2_2!K4,recreation_claude_v2_1!K4)/COUNT(recreation_claude_v2_5!K4,recreation_claude_v2_4!K4,recreation_claude_v2_3!K4,recreation_claude_v2_2!K4,recreation_claude_v2_1!K4),0), "NA")</f>
        <v>1</v>
      </c>
      <c r="L4">
        <f>IF($D4 = 1, ROUND(SUM(recreation_claude_v2_5!L4,recreation_claude_v2_4!L4,recreation_claude_v2_3!L4,recreation_claude_v2_2!L4,recreation_claude_v2_1!L4)/COUNT(recreation_claude_v2_5!L4,recreation_claude_v2_4!L4,recreation_claude_v2_3!L4,recreation_claude_v2_2!L4,recreation_claude_v2_1!L4),0), "NA")</f>
        <v>1</v>
      </c>
      <c r="M4">
        <f>IF($D4 = 1, ROUND(SUM(recreation_claude_v2_5!M4,recreation_claude_v2_4!M4,recreation_claude_v2_3!M4,recreation_claude_v2_2!M4,recreation_claude_v2_1!M4)/COUNT(recreation_claude_v2_5!M4,recreation_claude_v2_4!M4,recreation_claude_v2_3!M4,recreation_claude_v2_2!M4,recreation_claude_v2_1!M4),0), "NA")</f>
        <v>1</v>
      </c>
      <c r="N4">
        <f>IF($D4 = 1, ROUND(SUM(recreation_claude_v2_5!N4,recreation_claude_v2_4!N4,recreation_claude_v2_3!N4,recreation_claude_v2_2!N4,recreation_claude_v2_1!N4)/COUNT(recreation_claude_v2_5!N4,recreation_claude_v2_4!N4,recreation_claude_v2_3!N4,recreation_claude_v2_2!N4,recreation_claude_v2_1!N4),0), "NA")</f>
        <v>1</v>
      </c>
      <c r="O4">
        <v>1.3951513767242429</v>
      </c>
    </row>
    <row r="5" spans="1:15" x14ac:dyDescent="0.25">
      <c r="A5" t="s">
        <v>16</v>
      </c>
      <c r="B5" t="s">
        <v>20</v>
      </c>
      <c r="C5">
        <v>0</v>
      </c>
      <c r="D5">
        <f>ROUND(SUM(recreation_claude_v2_5!D5,recreation_claude_v2_4!D5,recreation_claude_v2_3!D5,recreation_claude_v2_2!D5,recreation_claude_v2_1!D5)/COUNT(recreation_claude_v2_5!D5,recreation_claude_v2_4!D5,recreation_claude_v2_3!D5,recreation_claude_v2_2!D5,recreation_claude_v2_1!D5),0)</f>
        <v>1</v>
      </c>
      <c r="E5">
        <f>IF($D5 = 1, ROUND(SUM(recreation_claude_v2_5!E5,recreation_claude_v2_4!E5,recreation_claude_v2_3!E5,recreation_claude_v2_2!E5,recreation_claude_v2_1!E5)/COUNT(recreation_claude_v2_5!E5,recreation_claude_v2_4!E5,recreation_claude_v2_3!E5,recreation_claude_v2_2!E5,recreation_claude_v2_1!E5),0), "NA")</f>
        <v>1</v>
      </c>
      <c r="F5">
        <f>IF($D5 = 1, ROUND(SUM(recreation_claude_v2_5!F5,recreation_claude_v2_4!F5,recreation_claude_v2_3!F5,recreation_claude_v2_2!F5,recreation_claude_v2_1!F5)/COUNT(recreation_claude_v2_5!F5,recreation_claude_v2_4!F5,recreation_claude_v2_3!F5,recreation_claude_v2_2!F5,recreation_claude_v2_1!F5),0), "NA")</f>
        <v>1</v>
      </c>
      <c r="G5">
        <f>IF($D5 = 1, ROUND(SUM(recreation_claude_v2_5!G5,recreation_claude_v2_4!G5,recreation_claude_v2_3!G5,recreation_claude_v2_2!G5,recreation_claude_v2_1!G5)/COUNT(recreation_claude_v2_5!G5,recreation_claude_v2_4!G5,recreation_claude_v2_3!G5,recreation_claude_v2_2!G5,recreation_claude_v2_1!G5),0), "NA")</f>
        <v>1</v>
      </c>
      <c r="H5">
        <f>IF($E5 = 1, ROUND(SUM(recreation_claude_v2_5!H5,recreation_claude_v2_4!H5,recreation_claude_v2_3!H5,recreation_claude_v2_2!H5,recreation_claude_v2_1!H5)/COUNT(recreation_claude_v2_5!H5,recreation_claude_v2_4!H5,recreation_claude_v2_3!H5,recreation_claude_v2_2!H5,recreation_claude_v2_1!H5),0), "NA")</f>
        <v>1</v>
      </c>
      <c r="I5">
        <f>IF($D5 = 1, ROUND(SUM(recreation_claude_v2_5!I5,recreation_claude_v2_4!I5,recreation_claude_v2_3!I5,recreation_claude_v2_2!I5,recreation_claude_v2_1!I5)/COUNT(recreation_claude_v2_5!I5,recreation_claude_v2_4!I5,recreation_claude_v2_3!I5,recreation_claude_v2_2!I5,recreation_claude_v2_1!I5),0), "NA")</f>
        <v>1</v>
      </c>
      <c r="J5">
        <f>IF(AND($E5 = 1, $F5 = 1), ROUND(SUM(recreation_claude_v2_5!J5,recreation_claude_v2_4!J5,recreation_claude_v2_3!J5,recreation_claude_v2_2!J5,recreation_claude_v2_1!J5)/COUNT(recreation_claude_v2_5!J5,recreation_claude_v2_4!J5,recreation_claude_v2_3!J5,recreation_claude_v2_2!J5,recreation_claude_v2_1!J5),0), "NA")</f>
        <v>1</v>
      </c>
      <c r="K5">
        <f>IF($D5 = 1, ROUND(SUM(recreation_claude_v2_5!K5,recreation_claude_v2_4!K5,recreation_claude_v2_3!K5,recreation_claude_v2_2!K5,recreation_claude_v2_1!K5)/COUNT(recreation_claude_v2_5!K5,recreation_claude_v2_4!K5,recreation_claude_v2_3!K5,recreation_claude_v2_2!K5,recreation_claude_v2_1!K5),0), "NA")</f>
        <v>1</v>
      </c>
      <c r="L5">
        <f>IF($D5 = 1, ROUND(SUM(recreation_claude_v2_5!L5,recreation_claude_v2_4!L5,recreation_claude_v2_3!L5,recreation_claude_v2_2!L5,recreation_claude_v2_1!L5)/COUNT(recreation_claude_v2_5!L5,recreation_claude_v2_4!L5,recreation_claude_v2_3!L5,recreation_claude_v2_2!L5,recreation_claude_v2_1!L5),0), "NA")</f>
        <v>1</v>
      </c>
      <c r="M5">
        <f>IF($D5 = 1, ROUND(SUM(recreation_claude_v2_5!M5,recreation_claude_v2_4!M5,recreation_claude_v2_3!M5,recreation_claude_v2_2!M5,recreation_claude_v2_1!M5)/COUNT(recreation_claude_v2_5!M5,recreation_claude_v2_4!M5,recreation_claude_v2_3!M5,recreation_claude_v2_2!M5,recreation_claude_v2_1!M5),0), "NA")</f>
        <v>1</v>
      </c>
      <c r="N5">
        <f>IF($D5 = 1, ROUND(SUM(recreation_claude_v2_5!N5,recreation_claude_v2_4!N5,recreation_claude_v2_3!N5,recreation_claude_v2_2!N5,recreation_claude_v2_1!N5)/COUNT(recreation_claude_v2_5!N5,recreation_claude_v2_4!N5,recreation_claude_v2_3!N5,recreation_claude_v2_2!N5,recreation_claude_v2_1!N5),0), "NA")</f>
        <v>1</v>
      </c>
      <c r="O5">
        <v>1.5059516429901121</v>
      </c>
    </row>
    <row r="6" spans="1:15" x14ac:dyDescent="0.25">
      <c r="A6" t="s">
        <v>16</v>
      </c>
      <c r="B6" t="s">
        <v>21</v>
      </c>
      <c r="C6">
        <v>0</v>
      </c>
      <c r="D6">
        <f>ROUND(SUM(recreation_claude_v2_5!D6,recreation_claude_v2_4!D6,recreation_claude_v2_3!D6,recreation_claude_v2_2!D6,recreation_claude_v2_1!D6)/COUNT(recreation_claude_v2_5!D6,recreation_claude_v2_4!D6,recreation_claude_v2_3!D6,recreation_claude_v2_2!D6,recreation_claude_v2_1!D6),0)</f>
        <v>1</v>
      </c>
      <c r="E6">
        <f>IF($D6 = 1, ROUND(SUM(recreation_claude_v2_5!E6,recreation_claude_v2_4!E6,recreation_claude_v2_3!E6,recreation_claude_v2_2!E6,recreation_claude_v2_1!E6)/COUNT(recreation_claude_v2_5!E6,recreation_claude_v2_4!E6,recreation_claude_v2_3!E6,recreation_claude_v2_2!E6,recreation_claude_v2_1!E6),0), "NA")</f>
        <v>1</v>
      </c>
      <c r="F6">
        <f>IF($D6 = 1, ROUND(SUM(recreation_claude_v2_5!F6,recreation_claude_v2_4!F6,recreation_claude_v2_3!F6,recreation_claude_v2_2!F6,recreation_claude_v2_1!F6)/COUNT(recreation_claude_v2_5!F6,recreation_claude_v2_4!F6,recreation_claude_v2_3!F6,recreation_claude_v2_2!F6,recreation_claude_v2_1!F6),0), "NA")</f>
        <v>1</v>
      </c>
      <c r="G6">
        <f>IF($D6 = 1, ROUND(SUM(recreation_claude_v2_5!G6,recreation_claude_v2_4!G6,recreation_claude_v2_3!G6,recreation_claude_v2_2!G6,recreation_claude_v2_1!G6)/COUNT(recreation_claude_v2_5!G6,recreation_claude_v2_4!G6,recreation_claude_v2_3!G6,recreation_claude_v2_2!G6,recreation_claude_v2_1!G6),0), "NA")</f>
        <v>1</v>
      </c>
      <c r="H6">
        <f>IF($E6 = 1, ROUND(SUM(recreation_claude_v2_5!H6,recreation_claude_v2_4!H6,recreation_claude_v2_3!H6,recreation_claude_v2_2!H6,recreation_claude_v2_1!H6)/COUNT(recreation_claude_v2_5!H6,recreation_claude_v2_4!H6,recreation_claude_v2_3!H6,recreation_claude_v2_2!H6,recreation_claude_v2_1!H6),0), "NA")</f>
        <v>1</v>
      </c>
      <c r="I6">
        <f>IF($D6 = 1, ROUND(SUM(recreation_claude_v2_5!I6,recreation_claude_v2_4!I6,recreation_claude_v2_3!I6,recreation_claude_v2_2!I6,recreation_claude_v2_1!I6)/COUNT(recreation_claude_v2_5!I6,recreation_claude_v2_4!I6,recreation_claude_v2_3!I6,recreation_claude_v2_2!I6,recreation_claude_v2_1!I6),0), "NA")</f>
        <v>1</v>
      </c>
      <c r="J6">
        <f>IF(AND($E6 = 1, $F6 = 1), ROUND(SUM(recreation_claude_v2_5!J6,recreation_claude_v2_4!J6,recreation_claude_v2_3!J6,recreation_claude_v2_2!J6,recreation_claude_v2_1!J6)/COUNT(recreation_claude_v2_5!J6,recreation_claude_v2_4!J6,recreation_claude_v2_3!J6,recreation_claude_v2_2!J6,recreation_claude_v2_1!J6),0), "NA")</f>
        <v>1</v>
      </c>
      <c r="K6">
        <f>IF($D6 = 1, ROUND(SUM(recreation_claude_v2_5!K6,recreation_claude_v2_4!K6,recreation_claude_v2_3!K6,recreation_claude_v2_2!K6,recreation_claude_v2_1!K6)/COUNT(recreation_claude_v2_5!K6,recreation_claude_v2_4!K6,recreation_claude_v2_3!K6,recreation_claude_v2_2!K6,recreation_claude_v2_1!K6),0), "NA")</f>
        <v>1</v>
      </c>
      <c r="L6">
        <f>IF($D6 = 1, ROUND(SUM(recreation_claude_v2_5!L6,recreation_claude_v2_4!L6,recreation_claude_v2_3!L6,recreation_claude_v2_2!L6,recreation_claude_v2_1!L6)/COUNT(recreation_claude_v2_5!L6,recreation_claude_v2_4!L6,recreation_claude_v2_3!L6,recreation_claude_v2_2!L6,recreation_claude_v2_1!L6),0), "NA")</f>
        <v>1</v>
      </c>
      <c r="M6">
        <f>IF($D6 = 1, ROUND(SUM(recreation_claude_v2_5!M6,recreation_claude_v2_4!M6,recreation_claude_v2_3!M6,recreation_claude_v2_2!M6,recreation_claude_v2_1!M6)/COUNT(recreation_claude_v2_5!M6,recreation_claude_v2_4!M6,recreation_claude_v2_3!M6,recreation_claude_v2_2!M6,recreation_claude_v2_1!M6),0), "NA")</f>
        <v>1</v>
      </c>
      <c r="N6">
        <f>IF($D6 = 1, ROUND(SUM(recreation_claude_v2_5!N6,recreation_claude_v2_4!N6,recreation_claude_v2_3!N6,recreation_claude_v2_2!N6,recreation_claude_v2_1!N6)/COUNT(recreation_claude_v2_5!N6,recreation_claude_v2_4!N6,recreation_claude_v2_3!N6,recreation_claude_v2_2!N6,recreation_claude_v2_1!N6),0), "NA")</f>
        <v>1</v>
      </c>
      <c r="O6">
        <v>1.3763020038604741</v>
      </c>
    </row>
    <row r="7" spans="1:15" x14ac:dyDescent="0.25">
      <c r="A7" t="s">
        <v>16</v>
      </c>
      <c r="B7" t="s">
        <v>22</v>
      </c>
      <c r="C7">
        <v>0</v>
      </c>
      <c r="D7">
        <f>ROUND(SUM(recreation_claude_v2_5!D7,recreation_claude_v2_4!D7,recreation_claude_v2_3!D7,recreation_claude_v2_2!D7,recreation_claude_v2_1!D7)/COUNT(recreation_claude_v2_5!D7,recreation_claude_v2_4!D7,recreation_claude_v2_3!D7,recreation_claude_v2_2!D7,recreation_claude_v2_1!D7),0)</f>
        <v>1</v>
      </c>
      <c r="E7">
        <f>IF($D7 = 1, ROUND(SUM(recreation_claude_v2_5!E7,recreation_claude_v2_4!E7,recreation_claude_v2_3!E7,recreation_claude_v2_2!E7,recreation_claude_v2_1!E7)/COUNT(recreation_claude_v2_5!E7,recreation_claude_v2_4!E7,recreation_claude_v2_3!E7,recreation_claude_v2_2!E7,recreation_claude_v2_1!E7),0), "NA")</f>
        <v>1</v>
      </c>
      <c r="F7">
        <f>IF($D7 = 1, ROUND(SUM(recreation_claude_v2_5!F7,recreation_claude_v2_4!F7,recreation_claude_v2_3!F7,recreation_claude_v2_2!F7,recreation_claude_v2_1!F7)/COUNT(recreation_claude_v2_5!F7,recreation_claude_v2_4!F7,recreation_claude_v2_3!F7,recreation_claude_v2_2!F7,recreation_claude_v2_1!F7),0), "NA")</f>
        <v>1</v>
      </c>
      <c r="G7">
        <f>IF($D7 = 1, ROUND(SUM(recreation_claude_v2_5!G7,recreation_claude_v2_4!G7,recreation_claude_v2_3!G7,recreation_claude_v2_2!G7,recreation_claude_v2_1!G7)/COUNT(recreation_claude_v2_5!G7,recreation_claude_v2_4!G7,recreation_claude_v2_3!G7,recreation_claude_v2_2!G7,recreation_claude_v2_1!G7),0), "NA")</f>
        <v>1</v>
      </c>
      <c r="H7">
        <f>IF($E7 = 1, ROUND(SUM(recreation_claude_v2_5!H7,recreation_claude_v2_4!H7,recreation_claude_v2_3!H7,recreation_claude_v2_2!H7,recreation_claude_v2_1!H7)/COUNT(recreation_claude_v2_5!H7,recreation_claude_v2_4!H7,recreation_claude_v2_3!H7,recreation_claude_v2_2!H7,recreation_claude_v2_1!H7),0), "NA")</f>
        <v>1</v>
      </c>
      <c r="I7">
        <f>IF($D7 = 1, ROUND(SUM(recreation_claude_v2_5!I7,recreation_claude_v2_4!I7,recreation_claude_v2_3!I7,recreation_claude_v2_2!I7,recreation_claude_v2_1!I7)/COUNT(recreation_claude_v2_5!I7,recreation_claude_v2_4!I7,recreation_claude_v2_3!I7,recreation_claude_v2_2!I7,recreation_claude_v2_1!I7),0), "NA")</f>
        <v>1</v>
      </c>
      <c r="J7">
        <f>IF(AND($E7 = 1, $F7 = 1), ROUND(SUM(recreation_claude_v2_5!J7,recreation_claude_v2_4!J7,recreation_claude_v2_3!J7,recreation_claude_v2_2!J7,recreation_claude_v2_1!J7)/COUNT(recreation_claude_v2_5!J7,recreation_claude_v2_4!J7,recreation_claude_v2_3!J7,recreation_claude_v2_2!J7,recreation_claude_v2_1!J7),0), "NA")</f>
        <v>1</v>
      </c>
      <c r="K7">
        <f>IF($D7 = 1, ROUND(SUM(recreation_claude_v2_5!K7,recreation_claude_v2_4!K7,recreation_claude_v2_3!K7,recreation_claude_v2_2!K7,recreation_claude_v2_1!K7)/COUNT(recreation_claude_v2_5!K7,recreation_claude_v2_4!K7,recreation_claude_v2_3!K7,recreation_claude_v2_2!K7,recreation_claude_v2_1!K7),0), "NA")</f>
        <v>1</v>
      </c>
      <c r="L7">
        <f>IF($D7 = 1, ROUND(SUM(recreation_claude_v2_5!L7,recreation_claude_v2_4!L7,recreation_claude_v2_3!L7,recreation_claude_v2_2!L7,recreation_claude_v2_1!L7)/COUNT(recreation_claude_v2_5!L7,recreation_claude_v2_4!L7,recreation_claude_v2_3!L7,recreation_claude_v2_2!L7,recreation_claude_v2_1!L7),0), "NA")</f>
        <v>1</v>
      </c>
      <c r="M7">
        <f>IF($D7 = 1, ROUND(SUM(recreation_claude_v2_5!M7,recreation_claude_v2_4!M7,recreation_claude_v2_3!M7,recreation_claude_v2_2!M7,recreation_claude_v2_1!M7)/COUNT(recreation_claude_v2_5!M7,recreation_claude_v2_4!M7,recreation_claude_v2_3!M7,recreation_claude_v2_2!M7,recreation_claude_v2_1!M7),0), "NA")</f>
        <v>1</v>
      </c>
      <c r="N7">
        <f>IF($D7 = 1, ROUND(SUM(recreation_claude_v2_5!N7,recreation_claude_v2_4!N7,recreation_claude_v2_3!N7,recreation_claude_v2_2!N7,recreation_claude_v2_1!N7)/COUNT(recreation_claude_v2_5!N7,recreation_claude_v2_4!N7,recreation_claude_v2_3!N7,recreation_claude_v2_2!N7,recreation_claude_v2_1!N7),0), "NA")</f>
        <v>1</v>
      </c>
      <c r="O7">
        <v>1.631776094436646</v>
      </c>
    </row>
    <row r="8" spans="1:15" x14ac:dyDescent="0.25">
      <c r="A8" t="s">
        <v>16</v>
      </c>
      <c r="B8" t="s">
        <v>23</v>
      </c>
      <c r="C8">
        <v>0</v>
      </c>
      <c r="D8">
        <f>ROUND(SUM(recreation_claude_v2_5!D8,recreation_claude_v2_4!D8,recreation_claude_v2_3!D8,recreation_claude_v2_2!D8,recreation_claude_v2_1!D8)/COUNT(recreation_claude_v2_5!D8,recreation_claude_v2_4!D8,recreation_claude_v2_3!D8,recreation_claude_v2_2!D8,recreation_claude_v2_1!D8),0)</f>
        <v>1</v>
      </c>
      <c r="E8">
        <f>IF($D8 = 1, ROUND(SUM(recreation_claude_v2_5!E8,recreation_claude_v2_4!E8,recreation_claude_v2_3!E8,recreation_claude_v2_2!E8,recreation_claude_v2_1!E8)/COUNT(recreation_claude_v2_5!E8,recreation_claude_v2_4!E8,recreation_claude_v2_3!E8,recreation_claude_v2_2!E8,recreation_claude_v2_1!E8),0), "NA")</f>
        <v>1</v>
      </c>
      <c r="F8">
        <f>IF($D8 = 1, ROUND(SUM(recreation_claude_v2_5!F8,recreation_claude_v2_4!F8,recreation_claude_v2_3!F8,recreation_claude_v2_2!F8,recreation_claude_v2_1!F8)/COUNT(recreation_claude_v2_5!F8,recreation_claude_v2_4!F8,recreation_claude_v2_3!F8,recreation_claude_v2_2!F8,recreation_claude_v2_1!F8),0), "NA")</f>
        <v>1</v>
      </c>
      <c r="G8">
        <f>IF($D8 = 1, ROUND(SUM(recreation_claude_v2_5!G8,recreation_claude_v2_4!G8,recreation_claude_v2_3!G8,recreation_claude_v2_2!G8,recreation_claude_v2_1!G8)/COUNT(recreation_claude_v2_5!G8,recreation_claude_v2_4!G8,recreation_claude_v2_3!G8,recreation_claude_v2_2!G8,recreation_claude_v2_1!G8),0), "NA")</f>
        <v>1</v>
      </c>
      <c r="H8">
        <f>IF($E8 = 1, ROUND(SUM(recreation_claude_v2_5!H8,recreation_claude_v2_4!H8,recreation_claude_v2_3!H8,recreation_claude_v2_2!H8,recreation_claude_v2_1!H8)/COUNT(recreation_claude_v2_5!H8,recreation_claude_v2_4!H8,recreation_claude_v2_3!H8,recreation_claude_v2_2!H8,recreation_claude_v2_1!H8),0), "NA")</f>
        <v>1</v>
      </c>
      <c r="I8">
        <f>IF($D8 = 1, ROUND(SUM(recreation_claude_v2_5!I8,recreation_claude_v2_4!I8,recreation_claude_v2_3!I8,recreation_claude_v2_2!I8,recreation_claude_v2_1!I8)/COUNT(recreation_claude_v2_5!I8,recreation_claude_v2_4!I8,recreation_claude_v2_3!I8,recreation_claude_v2_2!I8,recreation_claude_v2_1!I8),0), "NA")</f>
        <v>1</v>
      </c>
      <c r="J8">
        <f>IF(AND($E8 = 1, $F8 = 1), ROUND(SUM(recreation_claude_v2_5!J8,recreation_claude_v2_4!J8,recreation_claude_v2_3!J8,recreation_claude_v2_2!J8,recreation_claude_v2_1!J8)/COUNT(recreation_claude_v2_5!J8,recreation_claude_v2_4!J8,recreation_claude_v2_3!J8,recreation_claude_v2_2!J8,recreation_claude_v2_1!J8),0), "NA")</f>
        <v>1</v>
      </c>
      <c r="K8">
        <f>IF($D8 = 1, ROUND(SUM(recreation_claude_v2_5!K8,recreation_claude_v2_4!K8,recreation_claude_v2_3!K8,recreation_claude_v2_2!K8,recreation_claude_v2_1!K8)/COUNT(recreation_claude_v2_5!K8,recreation_claude_v2_4!K8,recreation_claude_v2_3!K8,recreation_claude_v2_2!K8,recreation_claude_v2_1!K8),0), "NA")</f>
        <v>1</v>
      </c>
      <c r="L8">
        <f>IF($D8 = 1, ROUND(SUM(recreation_claude_v2_5!L8,recreation_claude_v2_4!L8,recreation_claude_v2_3!L8,recreation_claude_v2_2!L8,recreation_claude_v2_1!L8)/COUNT(recreation_claude_v2_5!L8,recreation_claude_v2_4!L8,recreation_claude_v2_3!L8,recreation_claude_v2_2!L8,recreation_claude_v2_1!L8),0), "NA")</f>
        <v>1</v>
      </c>
      <c r="M8">
        <f>IF($D8 = 1, ROUND(SUM(recreation_claude_v2_5!M8,recreation_claude_v2_4!M8,recreation_claude_v2_3!M8,recreation_claude_v2_2!M8,recreation_claude_v2_1!M8)/COUNT(recreation_claude_v2_5!M8,recreation_claude_v2_4!M8,recreation_claude_v2_3!M8,recreation_claude_v2_2!M8,recreation_claude_v2_1!M8),0), "NA")</f>
        <v>1</v>
      </c>
      <c r="N8">
        <f>IF($D8 = 1, ROUND(SUM(recreation_claude_v2_5!N8,recreation_claude_v2_4!N8,recreation_claude_v2_3!N8,recreation_claude_v2_2!N8,recreation_claude_v2_1!N8)/COUNT(recreation_claude_v2_5!N8,recreation_claude_v2_4!N8,recreation_claude_v2_3!N8,recreation_claude_v2_2!N8,recreation_claude_v2_1!N8),0), "NA")</f>
        <v>1</v>
      </c>
      <c r="O8">
        <v>1.4838733673095701</v>
      </c>
    </row>
    <row r="9" spans="1:15" x14ac:dyDescent="0.25">
      <c r="A9" t="s">
        <v>16</v>
      </c>
      <c r="B9" t="s">
        <v>24</v>
      </c>
      <c r="C9">
        <v>0</v>
      </c>
      <c r="D9">
        <f>ROUND(SUM(recreation_claude_v2_5!D9,recreation_claude_v2_4!D9,recreation_claude_v2_3!D9,recreation_claude_v2_2!D9,recreation_claude_v2_1!D9)/COUNT(recreation_claude_v2_5!D9,recreation_claude_v2_4!D9,recreation_claude_v2_3!D9,recreation_claude_v2_2!D9,recreation_claude_v2_1!D9),0)</f>
        <v>1</v>
      </c>
      <c r="E9">
        <f>IF($D9 = 1, ROUND(SUM(recreation_claude_v2_5!E9,recreation_claude_v2_4!E9,recreation_claude_v2_3!E9,recreation_claude_v2_2!E9,recreation_claude_v2_1!E9)/COUNT(recreation_claude_v2_5!E9,recreation_claude_v2_4!E9,recreation_claude_v2_3!E9,recreation_claude_v2_2!E9,recreation_claude_v2_1!E9),0), "NA")</f>
        <v>1</v>
      </c>
      <c r="F9">
        <f>IF($D9 = 1, ROUND(SUM(recreation_claude_v2_5!F9,recreation_claude_v2_4!F9,recreation_claude_v2_3!F9,recreation_claude_v2_2!F9,recreation_claude_v2_1!F9)/COUNT(recreation_claude_v2_5!F9,recreation_claude_v2_4!F9,recreation_claude_v2_3!F9,recreation_claude_v2_2!F9,recreation_claude_v2_1!F9),0), "NA")</f>
        <v>1</v>
      </c>
      <c r="G9">
        <f>IF($D9 = 1, ROUND(SUM(recreation_claude_v2_5!G9,recreation_claude_v2_4!G9,recreation_claude_v2_3!G9,recreation_claude_v2_2!G9,recreation_claude_v2_1!G9)/COUNT(recreation_claude_v2_5!G9,recreation_claude_v2_4!G9,recreation_claude_v2_3!G9,recreation_claude_v2_2!G9,recreation_claude_v2_1!G9),0), "NA")</f>
        <v>1</v>
      </c>
      <c r="H9">
        <f>IF($E9 = 1, ROUND(SUM(recreation_claude_v2_5!H9,recreation_claude_v2_4!H9,recreation_claude_v2_3!H9,recreation_claude_v2_2!H9,recreation_claude_v2_1!H9)/COUNT(recreation_claude_v2_5!H9,recreation_claude_v2_4!H9,recreation_claude_v2_3!H9,recreation_claude_v2_2!H9,recreation_claude_v2_1!H9),0), "NA")</f>
        <v>1</v>
      </c>
      <c r="I9">
        <f>IF($D9 = 1, ROUND(SUM(recreation_claude_v2_5!I9,recreation_claude_v2_4!I9,recreation_claude_v2_3!I9,recreation_claude_v2_2!I9,recreation_claude_v2_1!I9)/COUNT(recreation_claude_v2_5!I9,recreation_claude_v2_4!I9,recreation_claude_v2_3!I9,recreation_claude_v2_2!I9,recreation_claude_v2_1!I9),0), "NA")</f>
        <v>1</v>
      </c>
      <c r="J9">
        <f>IF(AND($E9 = 1, $F9 = 1), ROUND(SUM(recreation_claude_v2_5!J9,recreation_claude_v2_4!J9,recreation_claude_v2_3!J9,recreation_claude_v2_2!J9,recreation_claude_v2_1!J9)/COUNT(recreation_claude_v2_5!J9,recreation_claude_v2_4!J9,recreation_claude_v2_3!J9,recreation_claude_v2_2!J9,recreation_claude_v2_1!J9),0), "NA")</f>
        <v>1</v>
      </c>
      <c r="K9">
        <f>IF($D9 = 1, ROUND(SUM(recreation_claude_v2_5!K9,recreation_claude_v2_4!K9,recreation_claude_v2_3!K9,recreation_claude_v2_2!K9,recreation_claude_v2_1!K9)/COUNT(recreation_claude_v2_5!K9,recreation_claude_v2_4!K9,recreation_claude_v2_3!K9,recreation_claude_v2_2!K9,recreation_claude_v2_1!K9),0), "NA")</f>
        <v>1</v>
      </c>
      <c r="L9">
        <f>IF($D9 = 1, ROUND(SUM(recreation_claude_v2_5!L9,recreation_claude_v2_4!L9,recreation_claude_v2_3!L9,recreation_claude_v2_2!L9,recreation_claude_v2_1!L9)/COUNT(recreation_claude_v2_5!L9,recreation_claude_v2_4!L9,recreation_claude_v2_3!L9,recreation_claude_v2_2!L9,recreation_claude_v2_1!L9),0), "NA")</f>
        <v>1</v>
      </c>
      <c r="M9">
        <f>IF($D9 = 1, ROUND(SUM(recreation_claude_v2_5!M9,recreation_claude_v2_4!M9,recreation_claude_v2_3!M9,recreation_claude_v2_2!M9,recreation_claude_v2_1!M9)/COUNT(recreation_claude_v2_5!M9,recreation_claude_v2_4!M9,recreation_claude_v2_3!M9,recreation_claude_v2_2!M9,recreation_claude_v2_1!M9),0), "NA")</f>
        <v>1</v>
      </c>
      <c r="N9">
        <f>IF($D9 = 1, ROUND(SUM(recreation_claude_v2_5!N9,recreation_claude_v2_4!N9,recreation_claude_v2_3!N9,recreation_claude_v2_2!N9,recreation_claude_v2_1!N9)/COUNT(recreation_claude_v2_5!N9,recreation_claude_v2_4!N9,recreation_claude_v2_3!N9,recreation_claude_v2_2!N9,recreation_claude_v2_1!N9),0), "NA")</f>
        <v>1</v>
      </c>
      <c r="O9">
        <v>1.909751176834106</v>
      </c>
    </row>
    <row r="10" spans="1:15" x14ac:dyDescent="0.25">
      <c r="A10" t="s">
        <v>16</v>
      </c>
      <c r="B10" t="s">
        <v>25</v>
      </c>
      <c r="C10">
        <v>0</v>
      </c>
      <c r="D10">
        <f>ROUND(SUM(recreation_claude_v2_5!D10,recreation_claude_v2_4!D10,recreation_claude_v2_3!D10,recreation_claude_v2_2!D10,recreation_claude_v2_1!D10)/COUNT(recreation_claude_v2_5!D10,recreation_claude_v2_4!D10,recreation_claude_v2_3!D10,recreation_claude_v2_2!D10,recreation_claude_v2_1!D10),0)</f>
        <v>1</v>
      </c>
      <c r="E10">
        <f>IF($D10 = 1, ROUND(SUM(recreation_claude_v2_5!E10,recreation_claude_v2_4!E10,recreation_claude_v2_3!E10,recreation_claude_v2_2!E10,recreation_claude_v2_1!E10)/COUNT(recreation_claude_v2_5!E10,recreation_claude_v2_4!E10,recreation_claude_v2_3!E10,recreation_claude_v2_2!E10,recreation_claude_v2_1!E10),0), "NA")</f>
        <v>1</v>
      </c>
      <c r="F10">
        <f>IF($D10 = 1, ROUND(SUM(recreation_claude_v2_5!F10,recreation_claude_v2_4!F10,recreation_claude_v2_3!F10,recreation_claude_v2_2!F10,recreation_claude_v2_1!F10)/COUNT(recreation_claude_v2_5!F10,recreation_claude_v2_4!F10,recreation_claude_v2_3!F10,recreation_claude_v2_2!F10,recreation_claude_v2_1!F10),0), "NA")</f>
        <v>1</v>
      </c>
      <c r="G10">
        <f>IF($D10 = 1, ROUND(SUM(recreation_claude_v2_5!G10,recreation_claude_v2_4!G10,recreation_claude_v2_3!G10,recreation_claude_v2_2!G10,recreation_claude_v2_1!G10)/COUNT(recreation_claude_v2_5!G10,recreation_claude_v2_4!G10,recreation_claude_v2_3!G10,recreation_claude_v2_2!G10,recreation_claude_v2_1!G10),0), "NA")</f>
        <v>1</v>
      </c>
      <c r="H10">
        <f>IF($E10 = 1, ROUND(SUM(recreation_claude_v2_5!H10,recreation_claude_v2_4!H10,recreation_claude_v2_3!H10,recreation_claude_v2_2!H10,recreation_claude_v2_1!H10)/COUNT(recreation_claude_v2_5!H10,recreation_claude_v2_4!H10,recreation_claude_v2_3!H10,recreation_claude_v2_2!H10,recreation_claude_v2_1!H10),0), "NA")</f>
        <v>1</v>
      </c>
      <c r="I10">
        <f>IF($D10 = 1, ROUND(SUM(recreation_claude_v2_5!I10,recreation_claude_v2_4!I10,recreation_claude_v2_3!I10,recreation_claude_v2_2!I10,recreation_claude_v2_1!I10)/COUNT(recreation_claude_v2_5!I10,recreation_claude_v2_4!I10,recreation_claude_v2_3!I10,recreation_claude_v2_2!I10,recreation_claude_v2_1!I10),0), "NA")</f>
        <v>1</v>
      </c>
      <c r="J10">
        <f>IF(AND($E10 = 1, $F10 = 1), ROUND(SUM(recreation_claude_v2_5!J10,recreation_claude_v2_4!J10,recreation_claude_v2_3!J10,recreation_claude_v2_2!J10,recreation_claude_v2_1!J10)/COUNT(recreation_claude_v2_5!J10,recreation_claude_v2_4!J10,recreation_claude_v2_3!J10,recreation_claude_v2_2!J10,recreation_claude_v2_1!J10),0), "NA")</f>
        <v>1</v>
      </c>
      <c r="K10">
        <f>IF($D10 = 1, ROUND(SUM(recreation_claude_v2_5!K10,recreation_claude_v2_4!K10,recreation_claude_v2_3!K10,recreation_claude_v2_2!K10,recreation_claude_v2_1!K10)/COUNT(recreation_claude_v2_5!K10,recreation_claude_v2_4!K10,recreation_claude_v2_3!K10,recreation_claude_v2_2!K10,recreation_claude_v2_1!K10),0), "NA")</f>
        <v>1</v>
      </c>
      <c r="L10">
        <f>IF($D10 = 1, ROUND(SUM(recreation_claude_v2_5!L10,recreation_claude_v2_4!L10,recreation_claude_v2_3!L10,recreation_claude_v2_2!L10,recreation_claude_v2_1!L10)/COUNT(recreation_claude_v2_5!L10,recreation_claude_v2_4!L10,recreation_claude_v2_3!L10,recreation_claude_v2_2!L10,recreation_claude_v2_1!L10),0), "NA")</f>
        <v>1</v>
      </c>
      <c r="M10">
        <f>IF($D10 = 1, ROUND(SUM(recreation_claude_v2_5!M10,recreation_claude_v2_4!M10,recreation_claude_v2_3!M10,recreation_claude_v2_2!M10,recreation_claude_v2_1!M10)/COUNT(recreation_claude_v2_5!M10,recreation_claude_v2_4!M10,recreation_claude_v2_3!M10,recreation_claude_v2_2!M10,recreation_claude_v2_1!M10),0), "NA")</f>
        <v>1</v>
      </c>
      <c r="N10">
        <f>IF($D10 = 1, ROUND(SUM(recreation_claude_v2_5!N10,recreation_claude_v2_4!N10,recreation_claude_v2_3!N10,recreation_claude_v2_2!N10,recreation_claude_v2_1!N10)/COUNT(recreation_claude_v2_5!N10,recreation_claude_v2_4!N10,recreation_claude_v2_3!N10,recreation_claude_v2_2!N10,recreation_claude_v2_1!N10),0), "NA")</f>
        <v>1</v>
      </c>
      <c r="O10">
        <v>3.0059342384338379</v>
      </c>
    </row>
    <row r="11" spans="1:15" x14ac:dyDescent="0.25">
      <c r="A11" t="s">
        <v>16</v>
      </c>
      <c r="B11" t="s">
        <v>26</v>
      </c>
      <c r="C11">
        <v>0</v>
      </c>
      <c r="D11">
        <f>ROUND(SUM(recreation_claude_v2_5!D11,recreation_claude_v2_4!D11,recreation_claude_v2_3!D11,recreation_claude_v2_2!D11,recreation_claude_v2_1!D11)/COUNT(recreation_claude_v2_5!D11,recreation_claude_v2_4!D11,recreation_claude_v2_3!D11,recreation_claude_v2_2!D11,recreation_claude_v2_1!D11),0)</f>
        <v>1</v>
      </c>
      <c r="E11">
        <f>IF($D11 = 1, ROUND(SUM(recreation_claude_v2_5!E11,recreation_claude_v2_4!E11,recreation_claude_v2_3!E11,recreation_claude_v2_2!E11,recreation_claude_v2_1!E11)/COUNT(recreation_claude_v2_5!E11,recreation_claude_v2_4!E11,recreation_claude_v2_3!E11,recreation_claude_v2_2!E11,recreation_claude_v2_1!E11),0), "NA")</f>
        <v>1</v>
      </c>
      <c r="F11">
        <f>IF($D11 = 1, ROUND(SUM(recreation_claude_v2_5!F11,recreation_claude_v2_4!F11,recreation_claude_v2_3!F11,recreation_claude_v2_2!F11,recreation_claude_v2_1!F11)/COUNT(recreation_claude_v2_5!F11,recreation_claude_v2_4!F11,recreation_claude_v2_3!F11,recreation_claude_v2_2!F11,recreation_claude_v2_1!F11),0), "NA")</f>
        <v>1</v>
      </c>
      <c r="G11">
        <f>IF($D11 = 1, ROUND(SUM(recreation_claude_v2_5!G11,recreation_claude_v2_4!G11,recreation_claude_v2_3!G11,recreation_claude_v2_2!G11,recreation_claude_v2_1!G11)/COUNT(recreation_claude_v2_5!G11,recreation_claude_v2_4!G11,recreation_claude_v2_3!G11,recreation_claude_v2_2!G11,recreation_claude_v2_1!G11),0), "NA")</f>
        <v>1</v>
      </c>
      <c r="H11">
        <f>IF($E11 = 1, ROUND(SUM(recreation_claude_v2_5!H11,recreation_claude_v2_4!H11,recreation_claude_v2_3!H11,recreation_claude_v2_2!H11,recreation_claude_v2_1!H11)/COUNT(recreation_claude_v2_5!H11,recreation_claude_v2_4!H11,recreation_claude_v2_3!H11,recreation_claude_v2_2!H11,recreation_claude_v2_1!H11),0), "NA")</f>
        <v>1</v>
      </c>
      <c r="I11">
        <f>IF($D11 = 1, ROUND(SUM(recreation_claude_v2_5!I11,recreation_claude_v2_4!I11,recreation_claude_v2_3!I11,recreation_claude_v2_2!I11,recreation_claude_v2_1!I11)/COUNT(recreation_claude_v2_5!I11,recreation_claude_v2_4!I11,recreation_claude_v2_3!I11,recreation_claude_v2_2!I11,recreation_claude_v2_1!I11),0), "NA")</f>
        <v>1</v>
      </c>
      <c r="J11">
        <f>IF(AND($E11 = 1, $F11 = 1), ROUND(SUM(recreation_claude_v2_5!J11,recreation_claude_v2_4!J11,recreation_claude_v2_3!J11,recreation_claude_v2_2!J11,recreation_claude_v2_1!J11)/COUNT(recreation_claude_v2_5!J11,recreation_claude_v2_4!J11,recreation_claude_v2_3!J11,recreation_claude_v2_2!J11,recreation_claude_v2_1!J11),0), "NA")</f>
        <v>1</v>
      </c>
      <c r="K11">
        <f>IF($D11 = 1, ROUND(SUM(recreation_claude_v2_5!K11,recreation_claude_v2_4!K11,recreation_claude_v2_3!K11,recreation_claude_v2_2!K11,recreation_claude_v2_1!K11)/COUNT(recreation_claude_v2_5!K11,recreation_claude_v2_4!K11,recreation_claude_v2_3!K11,recreation_claude_v2_2!K11,recreation_claude_v2_1!K11),0), "NA")</f>
        <v>1</v>
      </c>
      <c r="L11">
        <f>IF($D11 = 1, ROUND(SUM(recreation_claude_v2_5!L11,recreation_claude_v2_4!L11,recreation_claude_v2_3!L11,recreation_claude_v2_2!L11,recreation_claude_v2_1!L11)/COUNT(recreation_claude_v2_5!L11,recreation_claude_v2_4!L11,recreation_claude_v2_3!L11,recreation_claude_v2_2!L11,recreation_claude_v2_1!L11),0), "NA")</f>
        <v>1</v>
      </c>
      <c r="M11">
        <f>IF($D11 = 1, ROUND(SUM(recreation_claude_v2_5!M11,recreation_claude_v2_4!M11,recreation_claude_v2_3!M11,recreation_claude_v2_2!M11,recreation_claude_v2_1!M11)/COUNT(recreation_claude_v2_5!M11,recreation_claude_v2_4!M11,recreation_claude_v2_3!M11,recreation_claude_v2_2!M11,recreation_claude_v2_1!M11),0), "NA")</f>
        <v>1</v>
      </c>
      <c r="N11">
        <f>IF($D11 = 1, ROUND(SUM(recreation_claude_v2_5!N11,recreation_claude_v2_4!N11,recreation_claude_v2_3!N11,recreation_claude_v2_2!N11,recreation_claude_v2_1!N11)/COUNT(recreation_claude_v2_5!N11,recreation_claude_v2_4!N11,recreation_claude_v2_3!N11,recreation_claude_v2_2!N11,recreation_claude_v2_1!N11),0), "NA")</f>
        <v>1</v>
      </c>
      <c r="O11">
        <v>2.8931038379669189</v>
      </c>
    </row>
    <row r="12" spans="1:15" x14ac:dyDescent="0.25">
      <c r="A12" t="s">
        <v>16</v>
      </c>
      <c r="B12" t="s">
        <v>27</v>
      </c>
      <c r="C12">
        <v>0</v>
      </c>
      <c r="D12">
        <f>ROUND(SUM(recreation_claude_v2_5!D12,recreation_claude_v2_4!D12,recreation_claude_v2_3!D12,recreation_claude_v2_2!D12,recreation_claude_v2_1!D12)/COUNT(recreation_claude_v2_5!D12,recreation_claude_v2_4!D12,recreation_claude_v2_3!D12,recreation_claude_v2_2!D12,recreation_claude_v2_1!D12),0)</f>
        <v>0</v>
      </c>
      <c r="E12" t="str">
        <f>IF($D12 = 1, ROUND(SUM(recreation_claude_v2_5!E12,recreation_claude_v2_4!E12,recreation_claude_v2_3!E12,recreation_claude_v2_2!E12,recreation_claude_v2_1!E12)/COUNT(recreation_claude_v2_5!E12,recreation_claude_v2_4!E12,recreation_claude_v2_3!E12,recreation_claude_v2_2!E12,recreation_claude_v2_1!E12),0), "NA")</f>
        <v>NA</v>
      </c>
      <c r="F12" t="str">
        <f>IF($D12 = 1, ROUND(SUM(recreation_claude_v2_5!F12,recreation_claude_v2_4!F12,recreation_claude_v2_3!F12,recreation_claude_v2_2!F12,recreation_claude_v2_1!F12)/COUNT(recreation_claude_v2_5!F12,recreation_claude_v2_4!F12,recreation_claude_v2_3!F12,recreation_claude_v2_2!F12,recreation_claude_v2_1!F12),0), "NA")</f>
        <v>NA</v>
      </c>
      <c r="G12" t="str">
        <f>IF($D12 = 1, ROUND(SUM(recreation_claude_v2_5!G12,recreation_claude_v2_4!G12,recreation_claude_v2_3!G12,recreation_claude_v2_2!G12,recreation_claude_v2_1!G12)/COUNT(recreation_claude_v2_5!G12,recreation_claude_v2_4!G12,recreation_claude_v2_3!G12,recreation_claude_v2_2!G12,recreation_claude_v2_1!G12),0), "NA")</f>
        <v>NA</v>
      </c>
      <c r="H12" t="str">
        <f>IF($E12 = 1, ROUND(SUM(recreation_claude_v2_5!H12,recreation_claude_v2_4!H12,recreation_claude_v2_3!H12,recreation_claude_v2_2!H12,recreation_claude_v2_1!H12)/COUNT(recreation_claude_v2_5!H12,recreation_claude_v2_4!H12,recreation_claude_v2_3!H12,recreation_claude_v2_2!H12,recreation_claude_v2_1!H12),0), "NA")</f>
        <v>NA</v>
      </c>
      <c r="I12" t="str">
        <f>IF($D12 = 1, ROUND(SUM(recreation_claude_v2_5!I12,recreation_claude_v2_4!I12,recreation_claude_v2_3!I12,recreation_claude_v2_2!I12,recreation_claude_v2_1!I12)/COUNT(recreation_claude_v2_5!I12,recreation_claude_v2_4!I12,recreation_claude_v2_3!I12,recreation_claude_v2_2!I12,recreation_claude_v2_1!I12),0), "NA")</f>
        <v>NA</v>
      </c>
      <c r="J12" t="str">
        <f>IF(AND($E12 = 1, $F12 = 1), ROUND(SUM(recreation_claude_v2_5!J12,recreation_claude_v2_4!J12,recreation_claude_v2_3!J12,recreation_claude_v2_2!J12,recreation_claude_v2_1!J12)/COUNT(recreation_claude_v2_5!J12,recreation_claude_v2_4!J12,recreation_claude_v2_3!J12,recreation_claude_v2_2!J12,recreation_claude_v2_1!J12),0), "NA")</f>
        <v>NA</v>
      </c>
      <c r="K12" t="str">
        <f>IF($D12 = 1, ROUND(SUM(recreation_claude_v2_5!K12,recreation_claude_v2_4!K12,recreation_claude_v2_3!K12,recreation_claude_v2_2!K12,recreation_claude_v2_1!K12)/COUNT(recreation_claude_v2_5!K12,recreation_claude_v2_4!K12,recreation_claude_v2_3!K12,recreation_claude_v2_2!K12,recreation_claude_v2_1!K12),0), "NA")</f>
        <v>NA</v>
      </c>
      <c r="L12" t="str">
        <f>IF($D12 = 1, ROUND(SUM(recreation_claude_v2_5!L12,recreation_claude_v2_4!L12,recreation_claude_v2_3!L12,recreation_claude_v2_2!L12,recreation_claude_v2_1!L12)/COUNT(recreation_claude_v2_5!L12,recreation_claude_v2_4!L12,recreation_claude_v2_3!L12,recreation_claude_v2_2!L12,recreation_claude_v2_1!L12),0), "NA")</f>
        <v>NA</v>
      </c>
      <c r="M12" t="str">
        <f>IF($D12 = 1, ROUND(SUM(recreation_claude_v2_5!M12,recreation_claude_v2_4!M12,recreation_claude_v2_3!M12,recreation_claude_v2_2!M12,recreation_claude_v2_1!M12)/COUNT(recreation_claude_v2_5!M12,recreation_claude_v2_4!M12,recreation_claude_v2_3!M12,recreation_claude_v2_2!M12,recreation_claude_v2_1!M12),0), "NA")</f>
        <v>NA</v>
      </c>
      <c r="N12" t="str">
        <f>IF($D12 = 1, ROUND(SUM(recreation_claude_v2_5!N12,recreation_claude_v2_4!N12,recreation_claude_v2_3!N12,recreation_claude_v2_2!N12,recreation_claude_v2_1!N12)/COUNT(recreation_claude_v2_5!N12,recreation_claude_v2_4!N12,recreation_claude_v2_3!N12,recreation_claude_v2_2!N12,recreation_claude_v2_1!N12),0), "NA")</f>
        <v>NA</v>
      </c>
      <c r="O12">
        <v>3.160272359848022</v>
      </c>
    </row>
    <row r="13" spans="1:15" x14ac:dyDescent="0.25">
      <c r="A13" t="s">
        <v>16</v>
      </c>
      <c r="B13" t="s">
        <v>30</v>
      </c>
      <c r="C13">
        <v>0</v>
      </c>
      <c r="D13">
        <f>ROUND(SUM(recreation_claude_v2_5!D13,recreation_claude_v2_4!D13,recreation_claude_v2_3!D13,recreation_claude_v2_2!D13,recreation_claude_v2_1!D13)/COUNT(recreation_claude_v2_5!D13,recreation_claude_v2_4!D13,recreation_claude_v2_3!D13,recreation_claude_v2_2!D13,recreation_claude_v2_1!D13),0)</f>
        <v>1</v>
      </c>
      <c r="E13">
        <f>IF($D13 = 1, ROUND(SUM(recreation_claude_v2_5!E13,recreation_claude_v2_4!E13,recreation_claude_v2_3!E13,recreation_claude_v2_2!E13,recreation_claude_v2_1!E13)/COUNT(recreation_claude_v2_5!E13,recreation_claude_v2_4!E13,recreation_claude_v2_3!E13,recreation_claude_v2_2!E13,recreation_claude_v2_1!E13),0), "NA")</f>
        <v>1</v>
      </c>
      <c r="F13">
        <f>IF($D13 = 1, ROUND(SUM(recreation_claude_v2_5!F13,recreation_claude_v2_4!F13,recreation_claude_v2_3!F13,recreation_claude_v2_2!F13,recreation_claude_v2_1!F13)/COUNT(recreation_claude_v2_5!F13,recreation_claude_v2_4!F13,recreation_claude_v2_3!F13,recreation_claude_v2_2!F13,recreation_claude_v2_1!F13),0), "NA")</f>
        <v>1</v>
      </c>
      <c r="G13">
        <f>IF($D13 = 1, ROUND(SUM(recreation_claude_v2_5!G13,recreation_claude_v2_4!G13,recreation_claude_v2_3!G13,recreation_claude_v2_2!G13,recreation_claude_v2_1!G13)/COUNT(recreation_claude_v2_5!G13,recreation_claude_v2_4!G13,recreation_claude_v2_3!G13,recreation_claude_v2_2!G13,recreation_claude_v2_1!G13),0), "NA")</f>
        <v>1</v>
      </c>
      <c r="H13">
        <f>IF($E13 = 1, ROUND(SUM(recreation_claude_v2_5!H13,recreation_claude_v2_4!H13,recreation_claude_v2_3!H13,recreation_claude_v2_2!H13,recreation_claude_v2_1!H13)/COUNT(recreation_claude_v2_5!H13,recreation_claude_v2_4!H13,recreation_claude_v2_3!H13,recreation_claude_v2_2!H13,recreation_claude_v2_1!H13),0), "NA")</f>
        <v>1</v>
      </c>
      <c r="I13">
        <f>IF($D13 = 1, ROUND(SUM(recreation_claude_v2_5!I13,recreation_claude_v2_4!I13,recreation_claude_v2_3!I13,recreation_claude_v2_2!I13,recreation_claude_v2_1!I13)/COUNT(recreation_claude_v2_5!I13,recreation_claude_v2_4!I13,recreation_claude_v2_3!I13,recreation_claude_v2_2!I13,recreation_claude_v2_1!I13),0), "NA")</f>
        <v>1</v>
      </c>
      <c r="J13">
        <f>IF(AND($E13 = 1, $F13 = 1), ROUND(SUM(recreation_claude_v2_5!J13,recreation_claude_v2_4!J13,recreation_claude_v2_3!J13,recreation_claude_v2_2!J13,recreation_claude_v2_1!J13)/COUNT(recreation_claude_v2_5!J13,recreation_claude_v2_4!J13,recreation_claude_v2_3!J13,recreation_claude_v2_2!J13,recreation_claude_v2_1!J13),0), "NA")</f>
        <v>1</v>
      </c>
      <c r="K13">
        <f>IF($D13 = 1, ROUND(SUM(recreation_claude_v2_5!K13,recreation_claude_v2_4!K13,recreation_claude_v2_3!K13,recreation_claude_v2_2!K13,recreation_claude_v2_1!K13)/COUNT(recreation_claude_v2_5!K13,recreation_claude_v2_4!K13,recreation_claude_v2_3!K13,recreation_claude_v2_2!K13,recreation_claude_v2_1!K13),0), "NA")</f>
        <v>1</v>
      </c>
      <c r="L13">
        <f>IF($D13 = 1, ROUND(SUM(recreation_claude_v2_5!L13,recreation_claude_v2_4!L13,recreation_claude_v2_3!L13,recreation_claude_v2_2!L13,recreation_claude_v2_1!L13)/COUNT(recreation_claude_v2_5!L13,recreation_claude_v2_4!L13,recreation_claude_v2_3!L13,recreation_claude_v2_2!L13,recreation_claude_v2_1!L13),0), "NA")</f>
        <v>1</v>
      </c>
      <c r="M13">
        <f>IF($D13 = 1, ROUND(SUM(recreation_claude_v2_5!M13,recreation_claude_v2_4!M13,recreation_claude_v2_3!M13,recreation_claude_v2_2!M13,recreation_claude_v2_1!M13)/COUNT(recreation_claude_v2_5!M13,recreation_claude_v2_4!M13,recreation_claude_v2_3!M13,recreation_claude_v2_2!M13,recreation_claude_v2_1!M13),0), "NA")</f>
        <v>1</v>
      </c>
      <c r="N13">
        <f>IF($D13 = 1, ROUND(SUM(recreation_claude_v2_5!N13,recreation_claude_v2_4!N13,recreation_claude_v2_3!N13,recreation_claude_v2_2!N13,recreation_claude_v2_1!N13)/COUNT(recreation_claude_v2_5!N13,recreation_claude_v2_4!N13,recreation_claude_v2_3!N13,recreation_claude_v2_2!N13,recreation_claude_v2_1!N13),0), "NA")</f>
        <v>1</v>
      </c>
      <c r="O13">
        <v>2.0225906372070308</v>
      </c>
    </row>
    <row r="14" spans="1:15" x14ac:dyDescent="0.25">
      <c r="A14" t="s">
        <v>16</v>
      </c>
      <c r="B14" t="s">
        <v>31</v>
      </c>
      <c r="C14">
        <v>0</v>
      </c>
      <c r="D14">
        <f>ROUND(SUM(recreation_claude_v2_5!D14,recreation_claude_v2_4!D14,recreation_claude_v2_3!D14,recreation_claude_v2_2!D14,recreation_claude_v2_1!D14)/COUNT(recreation_claude_v2_5!D14,recreation_claude_v2_4!D14,recreation_claude_v2_3!D14,recreation_claude_v2_2!D14,recreation_claude_v2_1!D14),0)</f>
        <v>1</v>
      </c>
      <c r="E14">
        <f>IF($D14 = 1, ROUND(SUM(recreation_claude_v2_5!E14,recreation_claude_v2_4!E14,recreation_claude_v2_3!E14,recreation_claude_v2_2!E14,recreation_claude_v2_1!E14)/COUNT(recreation_claude_v2_5!E14,recreation_claude_v2_4!E14,recreation_claude_v2_3!E14,recreation_claude_v2_2!E14,recreation_claude_v2_1!E14),0), "NA")</f>
        <v>0</v>
      </c>
      <c r="F14">
        <f>IF($D14 = 1, ROUND(SUM(recreation_claude_v2_5!F14,recreation_claude_v2_4!F14,recreation_claude_v2_3!F14,recreation_claude_v2_2!F14,recreation_claude_v2_1!F14)/COUNT(recreation_claude_v2_5!F14,recreation_claude_v2_4!F14,recreation_claude_v2_3!F14,recreation_claude_v2_2!F14,recreation_claude_v2_1!F14),0), "NA")</f>
        <v>1</v>
      </c>
      <c r="G14">
        <f>IF($D14 = 1, ROUND(SUM(recreation_claude_v2_5!G14,recreation_claude_v2_4!G14,recreation_claude_v2_3!G14,recreation_claude_v2_2!G14,recreation_claude_v2_1!G14)/COUNT(recreation_claude_v2_5!G14,recreation_claude_v2_4!G14,recreation_claude_v2_3!G14,recreation_claude_v2_2!G14,recreation_claude_v2_1!G14),0), "NA")</f>
        <v>1</v>
      </c>
      <c r="H14" t="str">
        <f>IF($E14 = 1, ROUND(SUM(recreation_claude_v2_5!H14,recreation_claude_v2_4!H14,recreation_claude_v2_3!H14,recreation_claude_v2_2!H14,recreation_claude_v2_1!H14)/COUNT(recreation_claude_v2_5!H14,recreation_claude_v2_4!H14,recreation_claude_v2_3!H14,recreation_claude_v2_2!H14,recreation_claude_v2_1!H14),0), "NA")</f>
        <v>NA</v>
      </c>
      <c r="I14">
        <f>IF($D14 = 1, ROUND(SUM(recreation_claude_v2_5!I14,recreation_claude_v2_4!I14,recreation_claude_v2_3!I14,recreation_claude_v2_2!I14,recreation_claude_v2_1!I14)/COUNT(recreation_claude_v2_5!I14,recreation_claude_v2_4!I14,recreation_claude_v2_3!I14,recreation_claude_v2_2!I14,recreation_claude_v2_1!I14),0), "NA")</f>
        <v>1</v>
      </c>
      <c r="J14" t="str">
        <f>IF(AND($E14 = 1, $F14 = 1), ROUND(SUM(recreation_claude_v2_5!J14,recreation_claude_v2_4!J14,recreation_claude_v2_3!J14,recreation_claude_v2_2!J14,recreation_claude_v2_1!J14)/COUNT(recreation_claude_v2_5!J14,recreation_claude_v2_4!J14,recreation_claude_v2_3!J14,recreation_claude_v2_2!J14,recreation_claude_v2_1!J14),0), "NA")</f>
        <v>NA</v>
      </c>
      <c r="K14">
        <f>IF($D14 = 1, ROUND(SUM(recreation_claude_v2_5!K14,recreation_claude_v2_4!K14,recreation_claude_v2_3!K14,recreation_claude_v2_2!K14,recreation_claude_v2_1!K14)/COUNT(recreation_claude_v2_5!K14,recreation_claude_v2_4!K14,recreation_claude_v2_3!K14,recreation_claude_v2_2!K14,recreation_claude_v2_1!K14),0), "NA")</f>
        <v>1</v>
      </c>
      <c r="L14">
        <f>IF($D14 = 1, ROUND(SUM(recreation_claude_v2_5!L14,recreation_claude_v2_4!L14,recreation_claude_v2_3!L14,recreation_claude_v2_2!L14,recreation_claude_v2_1!L14)/COUNT(recreation_claude_v2_5!L14,recreation_claude_v2_4!L14,recreation_claude_v2_3!L14,recreation_claude_v2_2!L14,recreation_claude_v2_1!L14),0), "NA")</f>
        <v>1</v>
      </c>
      <c r="M14">
        <f>IF($D14 = 1, ROUND(SUM(recreation_claude_v2_5!M14,recreation_claude_v2_4!M14,recreation_claude_v2_3!M14,recreation_claude_v2_2!M14,recreation_claude_v2_1!M14)/COUNT(recreation_claude_v2_5!M14,recreation_claude_v2_4!M14,recreation_claude_v2_3!M14,recreation_claude_v2_2!M14,recreation_claude_v2_1!M14),0), "NA")</f>
        <v>1</v>
      </c>
      <c r="N14">
        <f>IF($D14 = 1, ROUND(SUM(recreation_claude_v2_5!N14,recreation_claude_v2_4!N14,recreation_claude_v2_3!N14,recreation_claude_v2_2!N14,recreation_claude_v2_1!N14)/COUNT(recreation_claude_v2_5!N14,recreation_claude_v2_4!N14,recreation_claude_v2_3!N14,recreation_claude_v2_2!N14,recreation_claude_v2_1!N14),0), "NA")</f>
        <v>1</v>
      </c>
      <c r="O14">
        <v>3.0325369834899898</v>
      </c>
    </row>
    <row r="15" spans="1:15" x14ac:dyDescent="0.25">
      <c r="A15" t="s">
        <v>16</v>
      </c>
      <c r="B15" t="s">
        <v>33</v>
      </c>
      <c r="C15">
        <v>0</v>
      </c>
      <c r="D15">
        <f>ROUND(SUM(recreation_claude_v2_5!D15,recreation_claude_v2_4!D15,recreation_claude_v2_3!D15,recreation_claude_v2_2!D15,recreation_claude_v2_1!D15)/COUNT(recreation_claude_v2_5!D15,recreation_claude_v2_4!D15,recreation_claude_v2_3!D15,recreation_claude_v2_2!D15,recreation_claude_v2_1!D15),0)</f>
        <v>1</v>
      </c>
      <c r="E15">
        <f>IF($D15 = 1, ROUND(SUM(recreation_claude_v2_5!E15,recreation_claude_v2_4!E15,recreation_claude_v2_3!E15,recreation_claude_v2_2!E15,recreation_claude_v2_1!E15)/COUNT(recreation_claude_v2_5!E15,recreation_claude_v2_4!E15,recreation_claude_v2_3!E15,recreation_claude_v2_2!E15,recreation_claude_v2_1!E15),0), "NA")</f>
        <v>1</v>
      </c>
      <c r="F15">
        <f>IF($D15 = 1, ROUND(SUM(recreation_claude_v2_5!F15,recreation_claude_v2_4!F15,recreation_claude_v2_3!F15,recreation_claude_v2_2!F15,recreation_claude_v2_1!F15)/COUNT(recreation_claude_v2_5!F15,recreation_claude_v2_4!F15,recreation_claude_v2_3!F15,recreation_claude_v2_2!F15,recreation_claude_v2_1!F15),0), "NA")</f>
        <v>1</v>
      </c>
      <c r="G15">
        <f>IF($D15 = 1, ROUND(SUM(recreation_claude_v2_5!G15,recreation_claude_v2_4!G15,recreation_claude_v2_3!G15,recreation_claude_v2_2!G15,recreation_claude_v2_1!G15)/COUNT(recreation_claude_v2_5!G15,recreation_claude_v2_4!G15,recreation_claude_v2_3!G15,recreation_claude_v2_2!G15,recreation_claude_v2_1!G15),0), "NA")</f>
        <v>1</v>
      </c>
      <c r="H15">
        <f>IF($E15 = 1, ROUND(SUM(recreation_claude_v2_5!H15,recreation_claude_v2_4!H15,recreation_claude_v2_3!H15,recreation_claude_v2_2!H15,recreation_claude_v2_1!H15)/COUNT(recreation_claude_v2_5!H15,recreation_claude_v2_4!H15,recreation_claude_v2_3!H15,recreation_claude_v2_2!H15,recreation_claude_v2_1!H15),0), "NA")</f>
        <v>1</v>
      </c>
      <c r="I15">
        <f>IF($D15 = 1, ROUND(SUM(recreation_claude_v2_5!I15,recreation_claude_v2_4!I15,recreation_claude_v2_3!I15,recreation_claude_v2_2!I15,recreation_claude_v2_1!I15)/COUNT(recreation_claude_v2_5!I15,recreation_claude_v2_4!I15,recreation_claude_v2_3!I15,recreation_claude_v2_2!I15,recreation_claude_v2_1!I15),0), "NA")</f>
        <v>1</v>
      </c>
      <c r="J15">
        <f>IF(AND($E15 = 1, $F15 = 1), ROUND(SUM(recreation_claude_v2_5!J15,recreation_claude_v2_4!J15,recreation_claude_v2_3!J15,recreation_claude_v2_2!J15,recreation_claude_v2_1!J15)/COUNT(recreation_claude_v2_5!J15,recreation_claude_v2_4!J15,recreation_claude_v2_3!J15,recreation_claude_v2_2!J15,recreation_claude_v2_1!J15),0), "NA")</f>
        <v>1</v>
      </c>
      <c r="K15">
        <f>IF($D15 = 1, ROUND(SUM(recreation_claude_v2_5!K15,recreation_claude_v2_4!K15,recreation_claude_v2_3!K15,recreation_claude_v2_2!K15,recreation_claude_v2_1!K15)/COUNT(recreation_claude_v2_5!K15,recreation_claude_v2_4!K15,recreation_claude_v2_3!K15,recreation_claude_v2_2!K15,recreation_claude_v2_1!K15),0), "NA")</f>
        <v>1</v>
      </c>
      <c r="L15">
        <f>IF($D15 = 1, ROUND(SUM(recreation_claude_v2_5!L15,recreation_claude_v2_4!L15,recreation_claude_v2_3!L15,recreation_claude_v2_2!L15,recreation_claude_v2_1!L15)/COUNT(recreation_claude_v2_5!L15,recreation_claude_v2_4!L15,recreation_claude_v2_3!L15,recreation_claude_v2_2!L15,recreation_claude_v2_1!L15),0), "NA")</f>
        <v>1</v>
      </c>
      <c r="M15">
        <f>IF($D15 = 1, ROUND(SUM(recreation_claude_v2_5!M15,recreation_claude_v2_4!M15,recreation_claude_v2_3!M15,recreation_claude_v2_2!M15,recreation_claude_v2_1!M15)/COUNT(recreation_claude_v2_5!M15,recreation_claude_v2_4!M15,recreation_claude_v2_3!M15,recreation_claude_v2_2!M15,recreation_claude_v2_1!M15),0), "NA")</f>
        <v>1</v>
      </c>
      <c r="N15">
        <f>IF($D15 = 1, ROUND(SUM(recreation_claude_v2_5!N15,recreation_claude_v2_4!N15,recreation_claude_v2_3!N15,recreation_claude_v2_2!N15,recreation_claude_v2_1!N15)/COUNT(recreation_claude_v2_5!N15,recreation_claude_v2_4!N15,recreation_claude_v2_3!N15,recreation_claude_v2_2!N15,recreation_claude_v2_1!N15),0), "NA")</f>
        <v>1</v>
      </c>
      <c r="O15">
        <v>1.559806823730469</v>
      </c>
    </row>
    <row r="16" spans="1:15" x14ac:dyDescent="0.25">
      <c r="A16" t="s">
        <v>16</v>
      </c>
      <c r="B16" t="s">
        <v>34</v>
      </c>
      <c r="C16">
        <v>0</v>
      </c>
      <c r="D16">
        <f>ROUND(SUM(recreation_claude_v2_5!D16,recreation_claude_v2_4!D16,recreation_claude_v2_3!D16,recreation_claude_v2_2!D16,recreation_claude_v2_1!D16)/COUNT(recreation_claude_v2_5!D16,recreation_claude_v2_4!D16,recreation_claude_v2_3!D16,recreation_claude_v2_2!D16,recreation_claude_v2_1!D16),0)</f>
        <v>1</v>
      </c>
      <c r="E16">
        <f>IF($D16 = 1, ROUND(SUM(recreation_claude_v2_5!E16,recreation_claude_v2_4!E16,recreation_claude_v2_3!E16,recreation_claude_v2_2!E16,recreation_claude_v2_1!E16)/COUNT(recreation_claude_v2_5!E16,recreation_claude_v2_4!E16,recreation_claude_v2_3!E16,recreation_claude_v2_2!E16,recreation_claude_v2_1!E16),0), "NA")</f>
        <v>0</v>
      </c>
      <c r="F16">
        <f>IF($D16 = 1, ROUND(SUM(recreation_claude_v2_5!F16,recreation_claude_v2_4!F16,recreation_claude_v2_3!F16,recreation_claude_v2_2!F16,recreation_claude_v2_1!F16)/COUNT(recreation_claude_v2_5!F16,recreation_claude_v2_4!F16,recreation_claude_v2_3!F16,recreation_claude_v2_2!F16,recreation_claude_v2_1!F16),0), "NA")</f>
        <v>1</v>
      </c>
      <c r="G16">
        <f>IF($D16 = 1, ROUND(SUM(recreation_claude_v2_5!G16,recreation_claude_v2_4!G16,recreation_claude_v2_3!G16,recreation_claude_v2_2!G16,recreation_claude_v2_1!G16)/COUNT(recreation_claude_v2_5!G16,recreation_claude_v2_4!G16,recreation_claude_v2_3!G16,recreation_claude_v2_2!G16,recreation_claude_v2_1!G16),0), "NA")</f>
        <v>1</v>
      </c>
      <c r="H16" t="str">
        <f>IF($E16 = 1, ROUND(SUM(recreation_claude_v2_5!H16,recreation_claude_v2_4!H16,recreation_claude_v2_3!H16,recreation_claude_v2_2!H16,recreation_claude_v2_1!H16)/COUNT(recreation_claude_v2_5!H16,recreation_claude_v2_4!H16,recreation_claude_v2_3!H16,recreation_claude_v2_2!H16,recreation_claude_v2_1!H16),0), "NA")</f>
        <v>NA</v>
      </c>
      <c r="I16">
        <f>IF($D16 = 1, ROUND(SUM(recreation_claude_v2_5!I16,recreation_claude_v2_4!I16,recreation_claude_v2_3!I16,recreation_claude_v2_2!I16,recreation_claude_v2_1!I16)/COUNT(recreation_claude_v2_5!I16,recreation_claude_v2_4!I16,recreation_claude_v2_3!I16,recreation_claude_v2_2!I16,recreation_claude_v2_1!I16),0), "NA")</f>
        <v>1</v>
      </c>
      <c r="J16" t="str">
        <f>IF(AND($E16 = 1, $F16 = 1), ROUND(SUM(recreation_claude_v2_5!J16,recreation_claude_v2_4!J16,recreation_claude_v2_3!J16,recreation_claude_v2_2!J16,recreation_claude_v2_1!J16)/COUNT(recreation_claude_v2_5!J16,recreation_claude_v2_4!J16,recreation_claude_v2_3!J16,recreation_claude_v2_2!J16,recreation_claude_v2_1!J16),0), "NA")</f>
        <v>NA</v>
      </c>
      <c r="K16">
        <f>IF($D16 = 1, ROUND(SUM(recreation_claude_v2_5!K16,recreation_claude_v2_4!K16,recreation_claude_v2_3!K16,recreation_claude_v2_2!K16,recreation_claude_v2_1!K16)/COUNT(recreation_claude_v2_5!K16,recreation_claude_v2_4!K16,recreation_claude_v2_3!K16,recreation_claude_v2_2!K16,recreation_claude_v2_1!K16),0), "NA")</f>
        <v>1</v>
      </c>
      <c r="L16">
        <f>IF($D16 = 1, ROUND(SUM(recreation_claude_v2_5!L16,recreation_claude_v2_4!L16,recreation_claude_v2_3!L16,recreation_claude_v2_2!L16,recreation_claude_v2_1!L16)/COUNT(recreation_claude_v2_5!L16,recreation_claude_v2_4!L16,recreation_claude_v2_3!L16,recreation_claude_v2_2!L16,recreation_claude_v2_1!L16),0), "NA")</f>
        <v>1</v>
      </c>
      <c r="M16">
        <f>IF($D16 = 1, ROUND(SUM(recreation_claude_v2_5!M16,recreation_claude_v2_4!M16,recreation_claude_v2_3!M16,recreation_claude_v2_2!M16,recreation_claude_v2_1!M16)/COUNT(recreation_claude_v2_5!M16,recreation_claude_v2_4!M16,recreation_claude_v2_3!M16,recreation_claude_v2_2!M16,recreation_claude_v2_1!M16),0), "NA")</f>
        <v>1</v>
      </c>
      <c r="N16">
        <f>IF($D16 = 1, ROUND(SUM(recreation_claude_v2_5!N16,recreation_claude_v2_4!N16,recreation_claude_v2_3!N16,recreation_claude_v2_2!N16,recreation_claude_v2_1!N16)/COUNT(recreation_claude_v2_5!N16,recreation_claude_v2_4!N16,recreation_claude_v2_3!N16,recreation_claude_v2_2!N16,recreation_claude_v2_1!N16),0), "NA")</f>
        <v>1</v>
      </c>
      <c r="O16">
        <v>2.9002542495727539</v>
      </c>
    </row>
    <row r="17" spans="1:15" x14ac:dyDescent="0.25">
      <c r="A17" t="s">
        <v>16</v>
      </c>
      <c r="B17" t="s">
        <v>36</v>
      </c>
      <c r="C17">
        <v>0</v>
      </c>
      <c r="D17">
        <f>ROUND(SUM(recreation_claude_v2_5!D17,recreation_claude_v2_4!D17,recreation_claude_v2_3!D17,recreation_claude_v2_2!D17,recreation_claude_v2_1!D17)/COUNT(recreation_claude_v2_5!D17,recreation_claude_v2_4!D17,recreation_claude_v2_3!D17,recreation_claude_v2_2!D17,recreation_claude_v2_1!D17),0)</f>
        <v>1</v>
      </c>
      <c r="E17">
        <f>IF($D17 = 1, ROUND(SUM(recreation_claude_v2_5!E17,recreation_claude_v2_4!E17,recreation_claude_v2_3!E17,recreation_claude_v2_2!E17,recreation_claude_v2_1!E17)/COUNT(recreation_claude_v2_5!E17,recreation_claude_v2_4!E17,recreation_claude_v2_3!E17,recreation_claude_v2_2!E17,recreation_claude_v2_1!E17),0), "NA")</f>
        <v>1</v>
      </c>
      <c r="F17">
        <f>IF($D17 = 1, ROUND(SUM(recreation_claude_v2_5!F17,recreation_claude_v2_4!F17,recreation_claude_v2_3!F17,recreation_claude_v2_2!F17,recreation_claude_v2_1!F17)/COUNT(recreation_claude_v2_5!F17,recreation_claude_v2_4!F17,recreation_claude_v2_3!F17,recreation_claude_v2_2!F17,recreation_claude_v2_1!F17),0), "NA")</f>
        <v>1</v>
      </c>
      <c r="G17">
        <f>IF($D17 = 1, ROUND(SUM(recreation_claude_v2_5!G17,recreation_claude_v2_4!G17,recreation_claude_v2_3!G17,recreation_claude_v2_2!G17,recreation_claude_v2_1!G17)/COUNT(recreation_claude_v2_5!G17,recreation_claude_v2_4!G17,recreation_claude_v2_3!G17,recreation_claude_v2_2!G17,recreation_claude_v2_1!G17),0), "NA")</f>
        <v>1</v>
      </c>
      <c r="H17">
        <f>IF($E17 = 1, ROUND(SUM(recreation_claude_v2_5!H17,recreation_claude_v2_4!H17,recreation_claude_v2_3!H17,recreation_claude_v2_2!H17,recreation_claude_v2_1!H17)/COUNT(recreation_claude_v2_5!H17,recreation_claude_v2_4!H17,recreation_claude_v2_3!H17,recreation_claude_v2_2!H17,recreation_claude_v2_1!H17),0), "NA")</f>
        <v>1</v>
      </c>
      <c r="I17">
        <f>IF($D17 = 1, ROUND(SUM(recreation_claude_v2_5!I17,recreation_claude_v2_4!I17,recreation_claude_v2_3!I17,recreation_claude_v2_2!I17,recreation_claude_v2_1!I17)/COUNT(recreation_claude_v2_5!I17,recreation_claude_v2_4!I17,recreation_claude_v2_3!I17,recreation_claude_v2_2!I17,recreation_claude_v2_1!I17),0), "NA")</f>
        <v>1</v>
      </c>
      <c r="J17">
        <f>IF(AND($E17 = 1, $F17 = 1), ROUND(SUM(recreation_claude_v2_5!J17,recreation_claude_v2_4!J17,recreation_claude_v2_3!J17,recreation_claude_v2_2!J17,recreation_claude_v2_1!J17)/COUNT(recreation_claude_v2_5!J17,recreation_claude_v2_4!J17,recreation_claude_v2_3!J17,recreation_claude_v2_2!J17,recreation_claude_v2_1!J17),0), "NA")</f>
        <v>1</v>
      </c>
      <c r="K17">
        <f>IF($D17 = 1, ROUND(SUM(recreation_claude_v2_5!K17,recreation_claude_v2_4!K17,recreation_claude_v2_3!K17,recreation_claude_v2_2!K17,recreation_claude_v2_1!K17)/COUNT(recreation_claude_v2_5!K17,recreation_claude_v2_4!K17,recreation_claude_v2_3!K17,recreation_claude_v2_2!K17,recreation_claude_v2_1!K17),0), "NA")</f>
        <v>1</v>
      </c>
      <c r="L17">
        <f>IF($D17 = 1, ROUND(SUM(recreation_claude_v2_5!L17,recreation_claude_v2_4!L17,recreation_claude_v2_3!L17,recreation_claude_v2_2!L17,recreation_claude_v2_1!L17)/COUNT(recreation_claude_v2_5!L17,recreation_claude_v2_4!L17,recreation_claude_v2_3!L17,recreation_claude_v2_2!L17,recreation_claude_v2_1!L17),0), "NA")</f>
        <v>1</v>
      </c>
      <c r="M17">
        <f>IF($D17 = 1, ROUND(SUM(recreation_claude_v2_5!M17,recreation_claude_v2_4!M17,recreation_claude_v2_3!M17,recreation_claude_v2_2!M17,recreation_claude_v2_1!M17)/COUNT(recreation_claude_v2_5!M17,recreation_claude_v2_4!M17,recreation_claude_v2_3!M17,recreation_claude_v2_2!M17,recreation_claude_v2_1!M17),0), "NA")</f>
        <v>1</v>
      </c>
      <c r="N17">
        <f>IF($D17 = 1, ROUND(SUM(recreation_claude_v2_5!N17,recreation_claude_v2_4!N17,recreation_claude_v2_3!N17,recreation_claude_v2_2!N17,recreation_claude_v2_1!N17)/COUNT(recreation_claude_v2_5!N17,recreation_claude_v2_4!N17,recreation_claude_v2_3!N17,recreation_claude_v2_2!N17,recreation_claude_v2_1!N17),0), "NA")</f>
        <v>1</v>
      </c>
      <c r="O17">
        <v>1.820769309997559</v>
      </c>
    </row>
    <row r="18" spans="1:15" x14ac:dyDescent="0.25">
      <c r="A18" t="s">
        <v>16</v>
      </c>
      <c r="B18" t="s">
        <v>37</v>
      </c>
      <c r="C18">
        <v>0</v>
      </c>
      <c r="D18">
        <f>ROUND(SUM(recreation_claude_v2_5!D18,recreation_claude_v2_4!D18,recreation_claude_v2_3!D18,recreation_claude_v2_2!D18,recreation_claude_v2_1!D18)/COUNT(recreation_claude_v2_5!D18,recreation_claude_v2_4!D18,recreation_claude_v2_3!D18,recreation_claude_v2_2!D18,recreation_claude_v2_1!D18),0)</f>
        <v>1</v>
      </c>
      <c r="E18">
        <f>IF($D18 = 1, ROUND(SUM(recreation_claude_v2_5!E18,recreation_claude_v2_4!E18,recreation_claude_v2_3!E18,recreation_claude_v2_2!E18,recreation_claude_v2_1!E18)/COUNT(recreation_claude_v2_5!E18,recreation_claude_v2_4!E18,recreation_claude_v2_3!E18,recreation_claude_v2_2!E18,recreation_claude_v2_1!E18),0), "NA")</f>
        <v>1</v>
      </c>
      <c r="F18">
        <f>IF($D18 = 1, ROUND(SUM(recreation_claude_v2_5!F18,recreation_claude_v2_4!F18,recreation_claude_v2_3!F18,recreation_claude_v2_2!F18,recreation_claude_v2_1!F18)/COUNT(recreation_claude_v2_5!F18,recreation_claude_v2_4!F18,recreation_claude_v2_3!F18,recreation_claude_v2_2!F18,recreation_claude_v2_1!F18),0), "NA")</f>
        <v>1</v>
      </c>
      <c r="G18">
        <f>IF($D18 = 1, ROUND(SUM(recreation_claude_v2_5!G18,recreation_claude_v2_4!G18,recreation_claude_v2_3!G18,recreation_claude_v2_2!G18,recreation_claude_v2_1!G18)/COUNT(recreation_claude_v2_5!G18,recreation_claude_v2_4!G18,recreation_claude_v2_3!G18,recreation_claude_v2_2!G18,recreation_claude_v2_1!G18),0), "NA")</f>
        <v>1</v>
      </c>
      <c r="H18">
        <f>IF($E18 = 1, ROUND(SUM(recreation_claude_v2_5!H18,recreation_claude_v2_4!H18,recreation_claude_v2_3!H18,recreation_claude_v2_2!H18,recreation_claude_v2_1!H18)/COUNT(recreation_claude_v2_5!H18,recreation_claude_v2_4!H18,recreation_claude_v2_3!H18,recreation_claude_v2_2!H18,recreation_claude_v2_1!H18),0), "NA")</f>
        <v>1</v>
      </c>
      <c r="I18">
        <f>IF($D18 = 1, ROUND(SUM(recreation_claude_v2_5!I18,recreation_claude_v2_4!I18,recreation_claude_v2_3!I18,recreation_claude_v2_2!I18,recreation_claude_v2_1!I18)/COUNT(recreation_claude_v2_5!I18,recreation_claude_v2_4!I18,recreation_claude_v2_3!I18,recreation_claude_v2_2!I18,recreation_claude_v2_1!I18),0), "NA")</f>
        <v>1</v>
      </c>
      <c r="J18">
        <f>IF(AND($E18 = 1, $F18 = 1), ROUND(SUM(recreation_claude_v2_5!J18,recreation_claude_v2_4!J18,recreation_claude_v2_3!J18,recreation_claude_v2_2!J18,recreation_claude_v2_1!J18)/COUNT(recreation_claude_v2_5!J18,recreation_claude_v2_4!J18,recreation_claude_v2_3!J18,recreation_claude_v2_2!J18,recreation_claude_v2_1!J18),0), "NA")</f>
        <v>1</v>
      </c>
      <c r="K18">
        <f>IF($D18 = 1, ROUND(SUM(recreation_claude_v2_5!K18,recreation_claude_v2_4!K18,recreation_claude_v2_3!K18,recreation_claude_v2_2!K18,recreation_claude_v2_1!K18)/COUNT(recreation_claude_v2_5!K18,recreation_claude_v2_4!K18,recreation_claude_v2_3!K18,recreation_claude_v2_2!K18,recreation_claude_v2_1!K18),0), "NA")</f>
        <v>1</v>
      </c>
      <c r="L18">
        <f>IF($D18 = 1, ROUND(SUM(recreation_claude_v2_5!L18,recreation_claude_v2_4!L18,recreation_claude_v2_3!L18,recreation_claude_v2_2!L18,recreation_claude_v2_1!L18)/COUNT(recreation_claude_v2_5!L18,recreation_claude_v2_4!L18,recreation_claude_v2_3!L18,recreation_claude_v2_2!L18,recreation_claude_v2_1!L18),0), "NA")</f>
        <v>1</v>
      </c>
      <c r="M18">
        <f>IF($D18 = 1, ROUND(SUM(recreation_claude_v2_5!M18,recreation_claude_v2_4!M18,recreation_claude_v2_3!M18,recreation_claude_v2_2!M18,recreation_claude_v2_1!M18)/COUNT(recreation_claude_v2_5!M18,recreation_claude_v2_4!M18,recreation_claude_v2_3!M18,recreation_claude_v2_2!M18,recreation_claude_v2_1!M18),0), "NA")</f>
        <v>1</v>
      </c>
      <c r="N18">
        <f>IF($D18 = 1, ROUND(SUM(recreation_claude_v2_5!N18,recreation_claude_v2_4!N18,recreation_claude_v2_3!N18,recreation_claude_v2_2!N18,recreation_claude_v2_1!N18)/COUNT(recreation_claude_v2_5!N18,recreation_claude_v2_4!N18,recreation_claude_v2_3!N18,recreation_claude_v2_2!N18,recreation_claude_v2_1!N18),0), "NA")</f>
        <v>1</v>
      </c>
      <c r="O18">
        <v>1.6901149749755859</v>
      </c>
    </row>
    <row r="19" spans="1:15" x14ac:dyDescent="0.25">
      <c r="A19" t="s">
        <v>16</v>
      </c>
      <c r="B19" t="s">
        <v>38</v>
      </c>
      <c r="C19">
        <v>0</v>
      </c>
      <c r="D19">
        <f>ROUND(SUM(recreation_claude_v2_5!D19,recreation_claude_v2_4!D19,recreation_claude_v2_3!D19,recreation_claude_v2_2!D19,recreation_claude_v2_1!D19)/COUNT(recreation_claude_v2_5!D19,recreation_claude_v2_4!D19,recreation_claude_v2_3!D19,recreation_claude_v2_2!D19,recreation_claude_v2_1!D19),0)</f>
        <v>1</v>
      </c>
      <c r="E19">
        <f>IF($D19 = 1, ROUND(SUM(recreation_claude_v2_5!E19,recreation_claude_v2_4!E19,recreation_claude_v2_3!E19,recreation_claude_v2_2!E19,recreation_claude_v2_1!E19)/COUNT(recreation_claude_v2_5!E19,recreation_claude_v2_4!E19,recreation_claude_v2_3!E19,recreation_claude_v2_2!E19,recreation_claude_v2_1!E19),0), "NA")</f>
        <v>1</v>
      </c>
      <c r="F19">
        <f>IF($D19 = 1, ROUND(SUM(recreation_claude_v2_5!F19,recreation_claude_v2_4!F19,recreation_claude_v2_3!F19,recreation_claude_v2_2!F19,recreation_claude_v2_1!F19)/COUNT(recreation_claude_v2_5!F19,recreation_claude_v2_4!F19,recreation_claude_v2_3!F19,recreation_claude_v2_2!F19,recreation_claude_v2_1!F19),0), "NA")</f>
        <v>1</v>
      </c>
      <c r="G19">
        <f>IF($D19 = 1, ROUND(SUM(recreation_claude_v2_5!G19,recreation_claude_v2_4!G19,recreation_claude_v2_3!G19,recreation_claude_v2_2!G19,recreation_claude_v2_1!G19)/COUNT(recreation_claude_v2_5!G19,recreation_claude_v2_4!G19,recreation_claude_v2_3!G19,recreation_claude_v2_2!G19,recreation_claude_v2_1!G19),0), "NA")</f>
        <v>1</v>
      </c>
      <c r="H19">
        <f>IF($E19 = 1, ROUND(SUM(recreation_claude_v2_5!H19,recreation_claude_v2_4!H19,recreation_claude_v2_3!H19,recreation_claude_v2_2!H19,recreation_claude_v2_1!H19)/COUNT(recreation_claude_v2_5!H19,recreation_claude_v2_4!H19,recreation_claude_v2_3!H19,recreation_claude_v2_2!H19,recreation_claude_v2_1!H19),0), "NA")</f>
        <v>1</v>
      </c>
      <c r="I19">
        <f>IF($D19 = 1, ROUND(SUM(recreation_claude_v2_5!I19,recreation_claude_v2_4!I19,recreation_claude_v2_3!I19,recreation_claude_v2_2!I19,recreation_claude_v2_1!I19)/COUNT(recreation_claude_v2_5!I19,recreation_claude_v2_4!I19,recreation_claude_v2_3!I19,recreation_claude_v2_2!I19,recreation_claude_v2_1!I19),0), "NA")</f>
        <v>1</v>
      </c>
      <c r="J19">
        <f>IF(AND($E19 = 1, $F19 = 1), ROUND(SUM(recreation_claude_v2_5!J19,recreation_claude_v2_4!J19,recreation_claude_v2_3!J19,recreation_claude_v2_2!J19,recreation_claude_v2_1!J19)/COUNT(recreation_claude_v2_5!J19,recreation_claude_v2_4!J19,recreation_claude_v2_3!J19,recreation_claude_v2_2!J19,recreation_claude_v2_1!J19),0), "NA")</f>
        <v>1</v>
      </c>
      <c r="K19">
        <f>IF($D19 = 1, ROUND(SUM(recreation_claude_v2_5!K19,recreation_claude_v2_4!K19,recreation_claude_v2_3!K19,recreation_claude_v2_2!K19,recreation_claude_v2_1!K19)/COUNT(recreation_claude_v2_5!K19,recreation_claude_v2_4!K19,recreation_claude_v2_3!K19,recreation_claude_v2_2!K19,recreation_claude_v2_1!K19),0), "NA")</f>
        <v>1</v>
      </c>
      <c r="L19">
        <f>IF($D19 = 1, ROUND(SUM(recreation_claude_v2_5!L19,recreation_claude_v2_4!L19,recreation_claude_v2_3!L19,recreation_claude_v2_2!L19,recreation_claude_v2_1!L19)/COUNT(recreation_claude_v2_5!L19,recreation_claude_v2_4!L19,recreation_claude_v2_3!L19,recreation_claude_v2_2!L19,recreation_claude_v2_1!L19),0), "NA")</f>
        <v>1</v>
      </c>
      <c r="M19">
        <f>IF($D19 = 1, ROUND(SUM(recreation_claude_v2_5!M19,recreation_claude_v2_4!M19,recreation_claude_v2_3!M19,recreation_claude_v2_2!M19,recreation_claude_v2_1!M19)/COUNT(recreation_claude_v2_5!M19,recreation_claude_v2_4!M19,recreation_claude_v2_3!M19,recreation_claude_v2_2!M19,recreation_claude_v2_1!M19),0), "NA")</f>
        <v>1</v>
      </c>
      <c r="N19">
        <f>IF($D19 = 1, ROUND(SUM(recreation_claude_v2_5!N19,recreation_claude_v2_4!N19,recreation_claude_v2_3!N19,recreation_claude_v2_2!N19,recreation_claude_v2_1!N19)/COUNT(recreation_claude_v2_5!N19,recreation_claude_v2_4!N19,recreation_claude_v2_3!N19,recreation_claude_v2_2!N19,recreation_claude_v2_1!N19),0), "NA")</f>
        <v>1</v>
      </c>
      <c r="O19">
        <v>1.408278703689575</v>
      </c>
    </row>
    <row r="20" spans="1:15" x14ac:dyDescent="0.25">
      <c r="A20" t="s">
        <v>16</v>
      </c>
      <c r="B20" t="s">
        <v>39</v>
      </c>
      <c r="C20">
        <v>0</v>
      </c>
      <c r="D20">
        <f>ROUND(SUM(recreation_claude_v2_5!D20,recreation_claude_v2_4!D20,recreation_claude_v2_3!D20,recreation_claude_v2_2!D20,recreation_claude_v2_1!D20)/COUNT(recreation_claude_v2_5!D20,recreation_claude_v2_4!D20,recreation_claude_v2_3!D20,recreation_claude_v2_2!D20,recreation_claude_v2_1!D20),0)</f>
        <v>1</v>
      </c>
      <c r="E20">
        <f>IF($D20 = 1, ROUND(SUM(recreation_claude_v2_5!E20,recreation_claude_v2_4!E20,recreation_claude_v2_3!E20,recreation_claude_v2_2!E20,recreation_claude_v2_1!E20)/COUNT(recreation_claude_v2_5!E20,recreation_claude_v2_4!E20,recreation_claude_v2_3!E20,recreation_claude_v2_2!E20,recreation_claude_v2_1!E20),0), "NA")</f>
        <v>1</v>
      </c>
      <c r="F20">
        <f>IF($D20 = 1, ROUND(SUM(recreation_claude_v2_5!F20,recreation_claude_v2_4!F20,recreation_claude_v2_3!F20,recreation_claude_v2_2!F20,recreation_claude_v2_1!F20)/COUNT(recreation_claude_v2_5!F20,recreation_claude_v2_4!F20,recreation_claude_v2_3!F20,recreation_claude_v2_2!F20,recreation_claude_v2_1!F20),0), "NA")</f>
        <v>1</v>
      </c>
      <c r="G20">
        <f>IF($D20 = 1, ROUND(SUM(recreation_claude_v2_5!G20,recreation_claude_v2_4!G20,recreation_claude_v2_3!G20,recreation_claude_v2_2!G20,recreation_claude_v2_1!G20)/COUNT(recreation_claude_v2_5!G20,recreation_claude_v2_4!G20,recreation_claude_v2_3!G20,recreation_claude_v2_2!G20,recreation_claude_v2_1!G20),0), "NA")</f>
        <v>1</v>
      </c>
      <c r="H20">
        <f>IF($E20 = 1, ROUND(SUM(recreation_claude_v2_5!H20,recreation_claude_v2_4!H20,recreation_claude_v2_3!H20,recreation_claude_v2_2!H20,recreation_claude_v2_1!H20)/COUNT(recreation_claude_v2_5!H20,recreation_claude_v2_4!H20,recreation_claude_v2_3!H20,recreation_claude_v2_2!H20,recreation_claude_v2_1!H20),0), "NA")</f>
        <v>1</v>
      </c>
      <c r="I20">
        <f>IF($D20 = 1, ROUND(SUM(recreation_claude_v2_5!I20,recreation_claude_v2_4!I20,recreation_claude_v2_3!I20,recreation_claude_v2_2!I20,recreation_claude_v2_1!I20)/COUNT(recreation_claude_v2_5!I20,recreation_claude_v2_4!I20,recreation_claude_v2_3!I20,recreation_claude_v2_2!I20,recreation_claude_v2_1!I20),0), "NA")</f>
        <v>1</v>
      </c>
      <c r="J20">
        <f>IF(AND($E20 = 1, $F20 = 1), ROUND(SUM(recreation_claude_v2_5!J20,recreation_claude_v2_4!J20,recreation_claude_v2_3!J20,recreation_claude_v2_2!J20,recreation_claude_v2_1!J20)/COUNT(recreation_claude_v2_5!J20,recreation_claude_v2_4!J20,recreation_claude_v2_3!J20,recreation_claude_v2_2!J20,recreation_claude_v2_1!J20),0), "NA")</f>
        <v>1</v>
      </c>
      <c r="K20">
        <f>IF($D20 = 1, ROUND(SUM(recreation_claude_v2_5!K20,recreation_claude_v2_4!K20,recreation_claude_v2_3!K20,recreation_claude_v2_2!K20,recreation_claude_v2_1!K20)/COUNT(recreation_claude_v2_5!K20,recreation_claude_v2_4!K20,recreation_claude_v2_3!K20,recreation_claude_v2_2!K20,recreation_claude_v2_1!K20),0), "NA")</f>
        <v>1</v>
      </c>
      <c r="L20">
        <f>IF($D20 = 1, ROUND(SUM(recreation_claude_v2_5!L20,recreation_claude_v2_4!L20,recreation_claude_v2_3!L20,recreation_claude_v2_2!L20,recreation_claude_v2_1!L20)/COUNT(recreation_claude_v2_5!L20,recreation_claude_v2_4!L20,recreation_claude_v2_3!L20,recreation_claude_v2_2!L20,recreation_claude_v2_1!L20),0), "NA")</f>
        <v>1</v>
      </c>
      <c r="M20">
        <f>IF($D20 = 1, ROUND(SUM(recreation_claude_v2_5!M20,recreation_claude_v2_4!M20,recreation_claude_v2_3!M20,recreation_claude_v2_2!M20,recreation_claude_v2_1!M20)/COUNT(recreation_claude_v2_5!M20,recreation_claude_v2_4!M20,recreation_claude_v2_3!M20,recreation_claude_v2_2!M20,recreation_claude_v2_1!M20),0), "NA")</f>
        <v>1</v>
      </c>
      <c r="N20">
        <f>IF($D20 = 1, ROUND(SUM(recreation_claude_v2_5!N20,recreation_claude_v2_4!N20,recreation_claude_v2_3!N20,recreation_claude_v2_2!N20,recreation_claude_v2_1!N20)/COUNT(recreation_claude_v2_5!N20,recreation_claude_v2_4!N20,recreation_claude_v2_3!N20,recreation_claude_v2_2!N20,recreation_claude_v2_1!N20),0), "NA")</f>
        <v>1</v>
      </c>
      <c r="O20">
        <v>1.5024082660675051</v>
      </c>
    </row>
    <row r="21" spans="1:15" x14ac:dyDescent="0.25">
      <c r="A21" t="s">
        <v>16</v>
      </c>
      <c r="B21" t="s">
        <v>40</v>
      </c>
      <c r="C21">
        <v>0</v>
      </c>
      <c r="D21">
        <f>ROUND(SUM(recreation_claude_v2_5!D21,recreation_claude_v2_4!D21,recreation_claude_v2_3!D21,recreation_claude_v2_2!D21,recreation_claude_v2_1!D21)/COUNT(recreation_claude_v2_5!D21,recreation_claude_v2_4!D21,recreation_claude_v2_3!D21,recreation_claude_v2_2!D21,recreation_claude_v2_1!D21),0)</f>
        <v>1</v>
      </c>
      <c r="E21">
        <f>IF($D21 = 1, ROUND(SUM(recreation_claude_v2_5!E21,recreation_claude_v2_4!E21,recreation_claude_v2_3!E21,recreation_claude_v2_2!E21,recreation_claude_v2_1!E21)/COUNT(recreation_claude_v2_5!E21,recreation_claude_v2_4!E21,recreation_claude_v2_3!E21,recreation_claude_v2_2!E21,recreation_claude_v2_1!E21),0), "NA")</f>
        <v>1</v>
      </c>
      <c r="F21">
        <f>IF($D21 = 1, ROUND(SUM(recreation_claude_v2_5!F21,recreation_claude_v2_4!F21,recreation_claude_v2_3!F21,recreation_claude_v2_2!F21,recreation_claude_v2_1!F21)/COUNT(recreation_claude_v2_5!F21,recreation_claude_v2_4!F21,recreation_claude_v2_3!F21,recreation_claude_v2_2!F21,recreation_claude_v2_1!F21),0), "NA")</f>
        <v>1</v>
      </c>
      <c r="G21">
        <f>IF($D21 = 1, ROUND(SUM(recreation_claude_v2_5!G21,recreation_claude_v2_4!G21,recreation_claude_v2_3!G21,recreation_claude_v2_2!G21,recreation_claude_v2_1!G21)/COUNT(recreation_claude_v2_5!G21,recreation_claude_v2_4!G21,recreation_claude_v2_3!G21,recreation_claude_v2_2!G21,recreation_claude_v2_1!G21),0), "NA")</f>
        <v>1</v>
      </c>
      <c r="H21">
        <f>IF($E21 = 1, ROUND(SUM(recreation_claude_v2_5!H21,recreation_claude_v2_4!H21,recreation_claude_v2_3!H21,recreation_claude_v2_2!H21,recreation_claude_v2_1!H21)/COUNT(recreation_claude_v2_5!H21,recreation_claude_v2_4!H21,recreation_claude_v2_3!H21,recreation_claude_v2_2!H21,recreation_claude_v2_1!H21),0), "NA")</f>
        <v>1</v>
      </c>
      <c r="I21">
        <f>IF($D21 = 1, ROUND(SUM(recreation_claude_v2_5!I21,recreation_claude_v2_4!I21,recreation_claude_v2_3!I21,recreation_claude_v2_2!I21,recreation_claude_v2_1!I21)/COUNT(recreation_claude_v2_5!I21,recreation_claude_v2_4!I21,recreation_claude_v2_3!I21,recreation_claude_v2_2!I21,recreation_claude_v2_1!I21),0), "NA")</f>
        <v>1</v>
      </c>
      <c r="J21">
        <f>IF(AND($E21 = 1, $F21 = 1), ROUND(SUM(recreation_claude_v2_5!J21,recreation_claude_v2_4!J21,recreation_claude_v2_3!J21,recreation_claude_v2_2!J21,recreation_claude_v2_1!J21)/COUNT(recreation_claude_v2_5!J21,recreation_claude_v2_4!J21,recreation_claude_v2_3!J21,recreation_claude_v2_2!J21,recreation_claude_v2_1!J21),0), "NA")</f>
        <v>1</v>
      </c>
      <c r="K21">
        <f>IF($D21 = 1, ROUND(SUM(recreation_claude_v2_5!K21,recreation_claude_v2_4!K21,recreation_claude_v2_3!K21,recreation_claude_v2_2!K21,recreation_claude_v2_1!K21)/COUNT(recreation_claude_v2_5!K21,recreation_claude_v2_4!K21,recreation_claude_v2_3!K21,recreation_claude_v2_2!K21,recreation_claude_v2_1!K21),0), "NA")</f>
        <v>1</v>
      </c>
      <c r="L21">
        <f>IF($D21 = 1, ROUND(SUM(recreation_claude_v2_5!L21,recreation_claude_v2_4!L21,recreation_claude_v2_3!L21,recreation_claude_v2_2!L21,recreation_claude_v2_1!L21)/COUNT(recreation_claude_v2_5!L21,recreation_claude_v2_4!L21,recreation_claude_v2_3!L21,recreation_claude_v2_2!L21,recreation_claude_v2_1!L21),0), "NA")</f>
        <v>1</v>
      </c>
      <c r="M21">
        <f>IF($D21 = 1, ROUND(SUM(recreation_claude_v2_5!M21,recreation_claude_v2_4!M21,recreation_claude_v2_3!M21,recreation_claude_v2_2!M21,recreation_claude_v2_1!M21)/COUNT(recreation_claude_v2_5!M21,recreation_claude_v2_4!M21,recreation_claude_v2_3!M21,recreation_claude_v2_2!M21,recreation_claude_v2_1!M21),0), "NA")</f>
        <v>1</v>
      </c>
      <c r="N21">
        <f>IF($D21 = 1, ROUND(SUM(recreation_claude_v2_5!N21,recreation_claude_v2_4!N21,recreation_claude_v2_3!N21,recreation_claude_v2_2!N21,recreation_claude_v2_1!N21)/COUNT(recreation_claude_v2_5!N21,recreation_claude_v2_4!N21,recreation_claude_v2_3!N21,recreation_claude_v2_2!N21,recreation_claude_v2_1!N21),0), "NA")</f>
        <v>1</v>
      </c>
      <c r="O21">
        <v>1.7656233310699461</v>
      </c>
    </row>
    <row r="22" spans="1:15" x14ac:dyDescent="0.25">
      <c r="A22" t="s">
        <v>16</v>
      </c>
      <c r="B22" t="s">
        <v>41</v>
      </c>
      <c r="C22">
        <v>0</v>
      </c>
      <c r="D22">
        <f>ROUND(SUM(recreation_claude_v2_5!D22,recreation_claude_v2_4!D22,recreation_claude_v2_3!D22,recreation_claude_v2_2!D22,recreation_claude_v2_1!D22)/COUNT(recreation_claude_v2_5!D22,recreation_claude_v2_4!D22,recreation_claude_v2_3!D22,recreation_claude_v2_2!D22,recreation_claude_v2_1!D22),0)</f>
        <v>1</v>
      </c>
      <c r="E22">
        <f>IF($D22 = 1, ROUND(SUM(recreation_claude_v2_5!E22,recreation_claude_v2_4!E22,recreation_claude_v2_3!E22,recreation_claude_v2_2!E22,recreation_claude_v2_1!E22)/COUNT(recreation_claude_v2_5!E22,recreation_claude_v2_4!E22,recreation_claude_v2_3!E22,recreation_claude_v2_2!E22,recreation_claude_v2_1!E22),0), "NA")</f>
        <v>1</v>
      </c>
      <c r="F22">
        <f>IF($D22 = 1, ROUND(SUM(recreation_claude_v2_5!F22,recreation_claude_v2_4!F22,recreation_claude_v2_3!F22,recreation_claude_v2_2!F22,recreation_claude_v2_1!F22)/COUNT(recreation_claude_v2_5!F22,recreation_claude_v2_4!F22,recreation_claude_v2_3!F22,recreation_claude_v2_2!F22,recreation_claude_v2_1!F22),0), "NA")</f>
        <v>1</v>
      </c>
      <c r="G22">
        <f>IF($D22 = 1, ROUND(SUM(recreation_claude_v2_5!G22,recreation_claude_v2_4!G22,recreation_claude_v2_3!G22,recreation_claude_v2_2!G22,recreation_claude_v2_1!G22)/COUNT(recreation_claude_v2_5!G22,recreation_claude_v2_4!G22,recreation_claude_v2_3!G22,recreation_claude_v2_2!G22,recreation_claude_v2_1!G22),0), "NA")</f>
        <v>1</v>
      </c>
      <c r="H22">
        <f>IF($E22 = 1, ROUND(SUM(recreation_claude_v2_5!H22,recreation_claude_v2_4!H22,recreation_claude_v2_3!H22,recreation_claude_v2_2!H22,recreation_claude_v2_1!H22)/COUNT(recreation_claude_v2_5!H22,recreation_claude_v2_4!H22,recreation_claude_v2_3!H22,recreation_claude_v2_2!H22,recreation_claude_v2_1!H22),0), "NA")</f>
        <v>1</v>
      </c>
      <c r="I22">
        <f>IF($D22 = 1, ROUND(SUM(recreation_claude_v2_5!I22,recreation_claude_v2_4!I22,recreation_claude_v2_3!I22,recreation_claude_v2_2!I22,recreation_claude_v2_1!I22)/COUNT(recreation_claude_v2_5!I22,recreation_claude_v2_4!I22,recreation_claude_v2_3!I22,recreation_claude_v2_2!I22,recreation_claude_v2_1!I22),0), "NA")</f>
        <v>1</v>
      </c>
      <c r="J22">
        <f>IF(AND($E22 = 1, $F22 = 1), ROUND(SUM(recreation_claude_v2_5!J22,recreation_claude_v2_4!J22,recreation_claude_v2_3!J22,recreation_claude_v2_2!J22,recreation_claude_v2_1!J22)/COUNT(recreation_claude_v2_5!J22,recreation_claude_v2_4!J22,recreation_claude_v2_3!J22,recreation_claude_v2_2!J22,recreation_claude_v2_1!J22),0), "NA")</f>
        <v>1</v>
      </c>
      <c r="K22">
        <f>IF($D22 = 1, ROUND(SUM(recreation_claude_v2_5!K22,recreation_claude_v2_4!K22,recreation_claude_v2_3!K22,recreation_claude_v2_2!K22,recreation_claude_v2_1!K22)/COUNT(recreation_claude_v2_5!K22,recreation_claude_v2_4!K22,recreation_claude_v2_3!K22,recreation_claude_v2_2!K22,recreation_claude_v2_1!K22),0), "NA")</f>
        <v>1</v>
      </c>
      <c r="L22">
        <f>IF($D22 = 1, ROUND(SUM(recreation_claude_v2_5!L22,recreation_claude_v2_4!L22,recreation_claude_v2_3!L22,recreation_claude_v2_2!L22,recreation_claude_v2_1!L22)/COUNT(recreation_claude_v2_5!L22,recreation_claude_v2_4!L22,recreation_claude_v2_3!L22,recreation_claude_v2_2!L22,recreation_claude_v2_1!L22),0), "NA")</f>
        <v>1</v>
      </c>
      <c r="M22">
        <f>IF($D22 = 1, ROUND(SUM(recreation_claude_v2_5!M22,recreation_claude_v2_4!M22,recreation_claude_v2_3!M22,recreation_claude_v2_2!M22,recreation_claude_v2_1!M22)/COUNT(recreation_claude_v2_5!M22,recreation_claude_v2_4!M22,recreation_claude_v2_3!M22,recreation_claude_v2_2!M22,recreation_claude_v2_1!M22),0), "NA")</f>
        <v>1</v>
      </c>
      <c r="N22">
        <f>IF($D22 = 1, ROUND(SUM(recreation_claude_v2_5!N22,recreation_claude_v2_4!N22,recreation_claude_v2_3!N22,recreation_claude_v2_2!N22,recreation_claude_v2_1!N22)/COUNT(recreation_claude_v2_5!N22,recreation_claude_v2_4!N22,recreation_claude_v2_3!N22,recreation_claude_v2_2!N22,recreation_claude_v2_1!N22),0), "NA")</f>
        <v>1</v>
      </c>
      <c r="O22">
        <v>1.872632503509521</v>
      </c>
    </row>
    <row r="23" spans="1:15" x14ac:dyDescent="0.25">
      <c r="A23" t="s">
        <v>16</v>
      </c>
      <c r="B23" t="s">
        <v>42</v>
      </c>
      <c r="C23">
        <v>0</v>
      </c>
      <c r="D23">
        <f>ROUND(SUM(recreation_claude_v2_5!D23,recreation_claude_v2_4!D23,recreation_claude_v2_3!D23,recreation_claude_v2_2!D23,recreation_claude_v2_1!D23)/COUNT(recreation_claude_v2_5!D23,recreation_claude_v2_4!D23,recreation_claude_v2_3!D23,recreation_claude_v2_2!D23,recreation_claude_v2_1!D23),0)</f>
        <v>1</v>
      </c>
      <c r="E23">
        <f>IF($D23 = 1, ROUND(SUM(recreation_claude_v2_5!E23,recreation_claude_v2_4!E23,recreation_claude_v2_3!E23,recreation_claude_v2_2!E23,recreation_claude_v2_1!E23)/COUNT(recreation_claude_v2_5!E23,recreation_claude_v2_4!E23,recreation_claude_v2_3!E23,recreation_claude_v2_2!E23,recreation_claude_v2_1!E23),0), "NA")</f>
        <v>1</v>
      </c>
      <c r="F23">
        <f>IF($D23 = 1, ROUND(SUM(recreation_claude_v2_5!F23,recreation_claude_v2_4!F23,recreation_claude_v2_3!F23,recreation_claude_v2_2!F23,recreation_claude_v2_1!F23)/COUNT(recreation_claude_v2_5!F23,recreation_claude_v2_4!F23,recreation_claude_v2_3!F23,recreation_claude_v2_2!F23,recreation_claude_v2_1!F23),0), "NA")</f>
        <v>0</v>
      </c>
      <c r="G23">
        <f>IF($D23 = 1, ROUND(SUM(recreation_claude_v2_5!G23,recreation_claude_v2_4!G23,recreation_claude_v2_3!G23,recreation_claude_v2_2!G23,recreation_claude_v2_1!G23)/COUNT(recreation_claude_v2_5!G23,recreation_claude_v2_4!G23,recreation_claude_v2_3!G23,recreation_claude_v2_2!G23,recreation_claude_v2_1!G23),0), "NA")</f>
        <v>1</v>
      </c>
      <c r="H23">
        <f>IF($E23 = 1, ROUND(SUM(recreation_claude_v2_5!H23,recreation_claude_v2_4!H23,recreation_claude_v2_3!H23,recreation_claude_v2_2!H23,recreation_claude_v2_1!H23)/COUNT(recreation_claude_v2_5!H23,recreation_claude_v2_4!H23,recreation_claude_v2_3!H23,recreation_claude_v2_2!H23,recreation_claude_v2_1!H23),0), "NA")</f>
        <v>1</v>
      </c>
      <c r="I23">
        <f>IF($D23 = 1, ROUND(SUM(recreation_claude_v2_5!I23,recreation_claude_v2_4!I23,recreation_claude_v2_3!I23,recreation_claude_v2_2!I23,recreation_claude_v2_1!I23)/COUNT(recreation_claude_v2_5!I23,recreation_claude_v2_4!I23,recreation_claude_v2_3!I23,recreation_claude_v2_2!I23,recreation_claude_v2_1!I23),0), "NA")</f>
        <v>1</v>
      </c>
      <c r="J23" t="str">
        <f>IF(AND($E23 = 1, $F23 = 1), ROUND(SUM(recreation_claude_v2_5!J23,recreation_claude_v2_4!J23,recreation_claude_v2_3!J23,recreation_claude_v2_2!J23,recreation_claude_v2_1!J23)/COUNT(recreation_claude_v2_5!J23,recreation_claude_v2_4!J23,recreation_claude_v2_3!J23,recreation_claude_v2_2!J23,recreation_claude_v2_1!J23),0), "NA")</f>
        <v>NA</v>
      </c>
      <c r="K23">
        <f>IF($D23 = 1, ROUND(SUM(recreation_claude_v2_5!K23,recreation_claude_v2_4!K23,recreation_claude_v2_3!K23,recreation_claude_v2_2!K23,recreation_claude_v2_1!K23)/COUNT(recreation_claude_v2_5!K23,recreation_claude_v2_4!K23,recreation_claude_v2_3!K23,recreation_claude_v2_2!K23,recreation_claude_v2_1!K23),0), "NA")</f>
        <v>1</v>
      </c>
      <c r="L23">
        <f>IF($D23 = 1, ROUND(SUM(recreation_claude_v2_5!L23,recreation_claude_v2_4!L23,recreation_claude_v2_3!L23,recreation_claude_v2_2!L23,recreation_claude_v2_1!L23)/COUNT(recreation_claude_v2_5!L23,recreation_claude_v2_4!L23,recreation_claude_v2_3!L23,recreation_claude_v2_2!L23,recreation_claude_v2_1!L23),0), "NA")</f>
        <v>1</v>
      </c>
      <c r="M23">
        <f>IF($D23 = 1, ROUND(SUM(recreation_claude_v2_5!M23,recreation_claude_v2_4!M23,recreation_claude_v2_3!M23,recreation_claude_v2_2!M23,recreation_claude_v2_1!M23)/COUNT(recreation_claude_v2_5!M23,recreation_claude_v2_4!M23,recreation_claude_v2_3!M23,recreation_claude_v2_2!M23,recreation_claude_v2_1!M23),0), "NA")</f>
        <v>1</v>
      </c>
      <c r="N23">
        <f>IF($D23 = 1, ROUND(SUM(recreation_claude_v2_5!N23,recreation_claude_v2_4!N23,recreation_claude_v2_3!N23,recreation_claude_v2_2!N23,recreation_claude_v2_1!N23)/COUNT(recreation_claude_v2_5!N23,recreation_claude_v2_4!N23,recreation_claude_v2_3!N23,recreation_claude_v2_2!N23,recreation_claude_v2_1!N23),0), "NA")</f>
        <v>1</v>
      </c>
      <c r="O23">
        <v>2.492073774337769</v>
      </c>
    </row>
    <row r="24" spans="1:15" x14ac:dyDescent="0.25">
      <c r="A24" t="s">
        <v>16</v>
      </c>
      <c r="B24" t="s">
        <v>44</v>
      </c>
      <c r="C24">
        <v>0</v>
      </c>
      <c r="D24">
        <f>ROUND(SUM(recreation_claude_v2_5!D24,recreation_claude_v2_4!D24,recreation_claude_v2_3!D24,recreation_claude_v2_2!D24,recreation_claude_v2_1!D24)/COUNT(recreation_claude_v2_5!D24,recreation_claude_v2_4!D24,recreation_claude_v2_3!D24,recreation_claude_v2_2!D24,recreation_claude_v2_1!D24),0)</f>
        <v>1</v>
      </c>
      <c r="E24">
        <f>IF($D24 = 1, ROUND(SUM(recreation_claude_v2_5!E24,recreation_claude_v2_4!E24,recreation_claude_v2_3!E24,recreation_claude_v2_2!E24,recreation_claude_v2_1!E24)/COUNT(recreation_claude_v2_5!E24,recreation_claude_v2_4!E24,recreation_claude_v2_3!E24,recreation_claude_v2_2!E24,recreation_claude_v2_1!E24),0), "NA")</f>
        <v>1</v>
      </c>
      <c r="F24">
        <f>IF($D24 = 1, ROUND(SUM(recreation_claude_v2_5!F24,recreation_claude_v2_4!F24,recreation_claude_v2_3!F24,recreation_claude_v2_2!F24,recreation_claude_v2_1!F24)/COUNT(recreation_claude_v2_5!F24,recreation_claude_v2_4!F24,recreation_claude_v2_3!F24,recreation_claude_v2_2!F24,recreation_claude_v2_1!F24),0), "NA")</f>
        <v>1</v>
      </c>
      <c r="G24">
        <f>IF($D24 = 1, ROUND(SUM(recreation_claude_v2_5!G24,recreation_claude_v2_4!G24,recreation_claude_v2_3!G24,recreation_claude_v2_2!G24,recreation_claude_v2_1!G24)/COUNT(recreation_claude_v2_5!G24,recreation_claude_v2_4!G24,recreation_claude_v2_3!G24,recreation_claude_v2_2!G24,recreation_claude_v2_1!G24),0), "NA")</f>
        <v>1</v>
      </c>
      <c r="H24">
        <f>IF($E24 = 1, ROUND(SUM(recreation_claude_v2_5!H24,recreation_claude_v2_4!H24,recreation_claude_v2_3!H24,recreation_claude_v2_2!H24,recreation_claude_v2_1!H24)/COUNT(recreation_claude_v2_5!H24,recreation_claude_v2_4!H24,recreation_claude_v2_3!H24,recreation_claude_v2_2!H24,recreation_claude_v2_1!H24),0), "NA")</f>
        <v>1</v>
      </c>
      <c r="I24">
        <f>IF($D24 = 1, ROUND(SUM(recreation_claude_v2_5!I24,recreation_claude_v2_4!I24,recreation_claude_v2_3!I24,recreation_claude_v2_2!I24,recreation_claude_v2_1!I24)/COUNT(recreation_claude_v2_5!I24,recreation_claude_v2_4!I24,recreation_claude_v2_3!I24,recreation_claude_v2_2!I24,recreation_claude_v2_1!I24),0), "NA")</f>
        <v>1</v>
      </c>
      <c r="J24">
        <f>IF(AND($E24 = 1, $F24 = 1), ROUND(SUM(recreation_claude_v2_5!J24,recreation_claude_v2_4!J24,recreation_claude_v2_3!J24,recreation_claude_v2_2!J24,recreation_claude_v2_1!J24)/COUNT(recreation_claude_v2_5!J24,recreation_claude_v2_4!J24,recreation_claude_v2_3!J24,recreation_claude_v2_2!J24,recreation_claude_v2_1!J24),0), "NA")</f>
        <v>1</v>
      </c>
      <c r="K24">
        <f>IF($D24 = 1, ROUND(SUM(recreation_claude_v2_5!K24,recreation_claude_v2_4!K24,recreation_claude_v2_3!K24,recreation_claude_v2_2!K24,recreation_claude_v2_1!K24)/COUNT(recreation_claude_v2_5!K24,recreation_claude_v2_4!K24,recreation_claude_v2_3!K24,recreation_claude_v2_2!K24,recreation_claude_v2_1!K24),0), "NA")</f>
        <v>1</v>
      </c>
      <c r="L24">
        <f>IF($D24 = 1, ROUND(SUM(recreation_claude_v2_5!L24,recreation_claude_v2_4!L24,recreation_claude_v2_3!L24,recreation_claude_v2_2!L24,recreation_claude_v2_1!L24)/COUNT(recreation_claude_v2_5!L24,recreation_claude_v2_4!L24,recreation_claude_v2_3!L24,recreation_claude_v2_2!L24,recreation_claude_v2_1!L24),0), "NA")</f>
        <v>1</v>
      </c>
      <c r="M24">
        <f>IF($D24 = 1, ROUND(SUM(recreation_claude_v2_5!M24,recreation_claude_v2_4!M24,recreation_claude_v2_3!M24,recreation_claude_v2_2!M24,recreation_claude_v2_1!M24)/COUNT(recreation_claude_v2_5!M24,recreation_claude_v2_4!M24,recreation_claude_v2_3!M24,recreation_claude_v2_2!M24,recreation_claude_v2_1!M24),0), "NA")</f>
        <v>1</v>
      </c>
      <c r="N24">
        <f>IF($D24 = 1, ROUND(SUM(recreation_claude_v2_5!N24,recreation_claude_v2_4!N24,recreation_claude_v2_3!N24,recreation_claude_v2_2!N24,recreation_claude_v2_1!N24)/COUNT(recreation_claude_v2_5!N24,recreation_claude_v2_4!N24,recreation_claude_v2_3!N24,recreation_claude_v2_2!N24,recreation_claude_v2_1!N24),0), "NA")</f>
        <v>1</v>
      </c>
      <c r="O24">
        <v>3.2480814456939702</v>
      </c>
    </row>
    <row r="25" spans="1:15" x14ac:dyDescent="0.25">
      <c r="A25" t="s">
        <v>16</v>
      </c>
      <c r="B25" t="s">
        <v>45</v>
      </c>
      <c r="C25">
        <v>0</v>
      </c>
      <c r="D25">
        <f>ROUND(SUM(recreation_claude_v2_5!D25,recreation_claude_v2_4!D25,recreation_claude_v2_3!D25,recreation_claude_v2_2!D25,recreation_claude_v2_1!D25)/COUNT(recreation_claude_v2_5!D25,recreation_claude_v2_4!D25,recreation_claude_v2_3!D25,recreation_claude_v2_2!D25,recreation_claude_v2_1!D25),0)</f>
        <v>1</v>
      </c>
      <c r="E25">
        <f>IF($D25 = 1, ROUND(SUM(recreation_claude_v2_5!E25,recreation_claude_v2_4!E25,recreation_claude_v2_3!E25,recreation_claude_v2_2!E25,recreation_claude_v2_1!E25)/COUNT(recreation_claude_v2_5!E25,recreation_claude_v2_4!E25,recreation_claude_v2_3!E25,recreation_claude_v2_2!E25,recreation_claude_v2_1!E25),0), "NA")</f>
        <v>1</v>
      </c>
      <c r="F25">
        <f>IF($D25 = 1, ROUND(SUM(recreation_claude_v2_5!F25,recreation_claude_v2_4!F25,recreation_claude_v2_3!F25,recreation_claude_v2_2!F25,recreation_claude_v2_1!F25)/COUNT(recreation_claude_v2_5!F25,recreation_claude_v2_4!F25,recreation_claude_v2_3!F25,recreation_claude_v2_2!F25,recreation_claude_v2_1!F25),0), "NA")</f>
        <v>1</v>
      </c>
      <c r="G25">
        <f>IF($D25 = 1, ROUND(SUM(recreation_claude_v2_5!G25,recreation_claude_v2_4!G25,recreation_claude_v2_3!G25,recreation_claude_v2_2!G25,recreation_claude_v2_1!G25)/COUNT(recreation_claude_v2_5!G25,recreation_claude_v2_4!G25,recreation_claude_v2_3!G25,recreation_claude_v2_2!G25,recreation_claude_v2_1!G25),0), "NA")</f>
        <v>1</v>
      </c>
      <c r="H25">
        <f>IF($E25 = 1, ROUND(SUM(recreation_claude_v2_5!H25,recreation_claude_v2_4!H25,recreation_claude_v2_3!H25,recreation_claude_v2_2!H25,recreation_claude_v2_1!H25)/COUNT(recreation_claude_v2_5!H25,recreation_claude_v2_4!H25,recreation_claude_v2_3!H25,recreation_claude_v2_2!H25,recreation_claude_v2_1!H25),0), "NA")</f>
        <v>1</v>
      </c>
      <c r="I25">
        <f>IF($D25 = 1, ROUND(SUM(recreation_claude_v2_5!I25,recreation_claude_v2_4!I25,recreation_claude_v2_3!I25,recreation_claude_v2_2!I25,recreation_claude_v2_1!I25)/COUNT(recreation_claude_v2_5!I25,recreation_claude_v2_4!I25,recreation_claude_v2_3!I25,recreation_claude_v2_2!I25,recreation_claude_v2_1!I25),0), "NA")</f>
        <v>1</v>
      </c>
      <c r="J25">
        <f>IF(AND($E25 = 1, $F25 = 1), ROUND(SUM(recreation_claude_v2_5!J25,recreation_claude_v2_4!J25,recreation_claude_v2_3!J25,recreation_claude_v2_2!J25,recreation_claude_v2_1!J25)/COUNT(recreation_claude_v2_5!J25,recreation_claude_v2_4!J25,recreation_claude_v2_3!J25,recreation_claude_v2_2!J25,recreation_claude_v2_1!J25),0), "NA")</f>
        <v>1</v>
      </c>
      <c r="K25">
        <f>IF($D25 = 1, ROUND(SUM(recreation_claude_v2_5!K25,recreation_claude_v2_4!K25,recreation_claude_v2_3!K25,recreation_claude_v2_2!K25,recreation_claude_v2_1!K25)/COUNT(recreation_claude_v2_5!K25,recreation_claude_v2_4!K25,recreation_claude_v2_3!K25,recreation_claude_v2_2!K25,recreation_claude_v2_1!K25),0), "NA")</f>
        <v>1</v>
      </c>
      <c r="L25">
        <f>IF($D25 = 1, ROUND(SUM(recreation_claude_v2_5!L25,recreation_claude_v2_4!L25,recreation_claude_v2_3!L25,recreation_claude_v2_2!L25,recreation_claude_v2_1!L25)/COUNT(recreation_claude_v2_5!L25,recreation_claude_v2_4!L25,recreation_claude_v2_3!L25,recreation_claude_v2_2!L25,recreation_claude_v2_1!L25),0), "NA")</f>
        <v>1</v>
      </c>
      <c r="M25">
        <f>IF($D25 = 1, ROUND(SUM(recreation_claude_v2_5!M25,recreation_claude_v2_4!M25,recreation_claude_v2_3!M25,recreation_claude_v2_2!M25,recreation_claude_v2_1!M25)/COUNT(recreation_claude_v2_5!M25,recreation_claude_v2_4!M25,recreation_claude_v2_3!M25,recreation_claude_v2_2!M25,recreation_claude_v2_1!M25),0), "NA")</f>
        <v>1</v>
      </c>
      <c r="N25">
        <f>IF($D25 = 1, ROUND(SUM(recreation_claude_v2_5!N25,recreation_claude_v2_4!N25,recreation_claude_v2_3!N25,recreation_claude_v2_2!N25,recreation_claude_v2_1!N25)/COUNT(recreation_claude_v2_5!N25,recreation_claude_v2_4!N25,recreation_claude_v2_3!N25,recreation_claude_v2_2!N25,recreation_claude_v2_1!N25),0), "NA")</f>
        <v>1</v>
      </c>
      <c r="O25">
        <v>1.4430527687072749</v>
      </c>
    </row>
    <row r="26" spans="1:15" x14ac:dyDescent="0.25">
      <c r="A26" t="s">
        <v>16</v>
      </c>
      <c r="B26" t="s">
        <v>46</v>
      </c>
      <c r="C26">
        <v>0</v>
      </c>
      <c r="D26">
        <f>ROUND(SUM(recreation_claude_v2_5!D26,recreation_claude_v2_4!D26,recreation_claude_v2_3!D26,recreation_claude_v2_2!D26,recreation_claude_v2_1!D26)/COUNT(recreation_claude_v2_5!D26,recreation_claude_v2_4!D26,recreation_claude_v2_3!D26,recreation_claude_v2_2!D26,recreation_claude_v2_1!D26),0)</f>
        <v>1</v>
      </c>
      <c r="E26">
        <f>IF($D26 = 1, ROUND(SUM(recreation_claude_v2_5!E26,recreation_claude_v2_4!E26,recreation_claude_v2_3!E26,recreation_claude_v2_2!E26,recreation_claude_v2_1!E26)/COUNT(recreation_claude_v2_5!E26,recreation_claude_v2_4!E26,recreation_claude_v2_3!E26,recreation_claude_v2_2!E26,recreation_claude_v2_1!E26),0), "NA")</f>
        <v>1</v>
      </c>
      <c r="F26">
        <f>IF($D26 = 1, ROUND(SUM(recreation_claude_v2_5!F26,recreation_claude_v2_4!F26,recreation_claude_v2_3!F26,recreation_claude_v2_2!F26,recreation_claude_v2_1!F26)/COUNT(recreation_claude_v2_5!F26,recreation_claude_v2_4!F26,recreation_claude_v2_3!F26,recreation_claude_v2_2!F26,recreation_claude_v2_1!F26),0), "NA")</f>
        <v>1</v>
      </c>
      <c r="G26">
        <f>IF($D26 = 1, ROUND(SUM(recreation_claude_v2_5!G26,recreation_claude_v2_4!G26,recreation_claude_v2_3!G26,recreation_claude_v2_2!G26,recreation_claude_v2_1!G26)/COUNT(recreation_claude_v2_5!G26,recreation_claude_v2_4!G26,recreation_claude_v2_3!G26,recreation_claude_v2_2!G26,recreation_claude_v2_1!G26),0), "NA")</f>
        <v>1</v>
      </c>
      <c r="H26">
        <f>IF($E26 = 1, ROUND(SUM(recreation_claude_v2_5!H26,recreation_claude_v2_4!H26,recreation_claude_v2_3!H26,recreation_claude_v2_2!H26,recreation_claude_v2_1!H26)/COUNT(recreation_claude_v2_5!H26,recreation_claude_v2_4!H26,recreation_claude_v2_3!H26,recreation_claude_v2_2!H26,recreation_claude_v2_1!H26),0), "NA")</f>
        <v>1</v>
      </c>
      <c r="I26">
        <f>IF($D26 = 1, ROUND(SUM(recreation_claude_v2_5!I26,recreation_claude_v2_4!I26,recreation_claude_v2_3!I26,recreation_claude_v2_2!I26,recreation_claude_v2_1!I26)/COUNT(recreation_claude_v2_5!I26,recreation_claude_v2_4!I26,recreation_claude_v2_3!I26,recreation_claude_v2_2!I26,recreation_claude_v2_1!I26),0), "NA")</f>
        <v>1</v>
      </c>
      <c r="J26">
        <f>IF(AND($E26 = 1, $F26 = 1), ROUND(SUM(recreation_claude_v2_5!J26,recreation_claude_v2_4!J26,recreation_claude_v2_3!J26,recreation_claude_v2_2!J26,recreation_claude_v2_1!J26)/COUNT(recreation_claude_v2_5!J26,recreation_claude_v2_4!J26,recreation_claude_v2_3!J26,recreation_claude_v2_2!J26,recreation_claude_v2_1!J26),0), "NA")</f>
        <v>1</v>
      </c>
      <c r="K26">
        <f>IF($D26 = 1, ROUND(SUM(recreation_claude_v2_5!K26,recreation_claude_v2_4!K26,recreation_claude_v2_3!K26,recreation_claude_v2_2!K26,recreation_claude_v2_1!K26)/COUNT(recreation_claude_v2_5!K26,recreation_claude_v2_4!K26,recreation_claude_v2_3!K26,recreation_claude_v2_2!K26,recreation_claude_v2_1!K26),0), "NA")</f>
        <v>1</v>
      </c>
      <c r="L26">
        <f>IF($D26 = 1, ROUND(SUM(recreation_claude_v2_5!L26,recreation_claude_v2_4!L26,recreation_claude_v2_3!L26,recreation_claude_v2_2!L26,recreation_claude_v2_1!L26)/COUNT(recreation_claude_v2_5!L26,recreation_claude_v2_4!L26,recreation_claude_v2_3!L26,recreation_claude_v2_2!L26,recreation_claude_v2_1!L26),0), "NA")</f>
        <v>1</v>
      </c>
      <c r="M26">
        <f>IF($D26 = 1, ROUND(SUM(recreation_claude_v2_5!M26,recreation_claude_v2_4!M26,recreation_claude_v2_3!M26,recreation_claude_v2_2!M26,recreation_claude_v2_1!M26)/COUNT(recreation_claude_v2_5!M26,recreation_claude_v2_4!M26,recreation_claude_v2_3!M26,recreation_claude_v2_2!M26,recreation_claude_v2_1!M26),0), "NA")</f>
        <v>1</v>
      </c>
      <c r="N26">
        <f>IF($D26 = 1, ROUND(SUM(recreation_claude_v2_5!N26,recreation_claude_v2_4!N26,recreation_claude_v2_3!N26,recreation_claude_v2_2!N26,recreation_claude_v2_1!N26)/COUNT(recreation_claude_v2_5!N26,recreation_claude_v2_4!N26,recreation_claude_v2_3!N26,recreation_claude_v2_2!N26,recreation_claude_v2_1!N26),0), "NA")</f>
        <v>1</v>
      </c>
      <c r="O26">
        <v>1.8304817676544189</v>
      </c>
    </row>
    <row r="27" spans="1:15" x14ac:dyDescent="0.25">
      <c r="A27" t="s">
        <v>16</v>
      </c>
      <c r="B27" t="s">
        <v>47</v>
      </c>
      <c r="C27">
        <v>0</v>
      </c>
      <c r="D27">
        <f>ROUND(SUM(recreation_claude_v2_5!D27,recreation_claude_v2_4!D27,recreation_claude_v2_3!D27,recreation_claude_v2_2!D27,recreation_claude_v2_1!D27)/COUNT(recreation_claude_v2_5!D27,recreation_claude_v2_4!D27,recreation_claude_v2_3!D27,recreation_claude_v2_2!D27,recreation_claude_v2_1!D27),0)</f>
        <v>1</v>
      </c>
      <c r="E27">
        <f>IF($D27 = 1, ROUND(SUM(recreation_claude_v2_5!E27,recreation_claude_v2_4!E27,recreation_claude_v2_3!E27,recreation_claude_v2_2!E27,recreation_claude_v2_1!E27)/COUNT(recreation_claude_v2_5!E27,recreation_claude_v2_4!E27,recreation_claude_v2_3!E27,recreation_claude_v2_2!E27,recreation_claude_v2_1!E27),0), "NA")</f>
        <v>0</v>
      </c>
      <c r="F27">
        <f>IF($D27 = 1, ROUND(SUM(recreation_claude_v2_5!F27,recreation_claude_v2_4!F27,recreation_claude_v2_3!F27,recreation_claude_v2_2!F27,recreation_claude_v2_1!F27)/COUNT(recreation_claude_v2_5!F27,recreation_claude_v2_4!F27,recreation_claude_v2_3!F27,recreation_claude_v2_2!F27,recreation_claude_v2_1!F27),0), "NA")</f>
        <v>1</v>
      </c>
      <c r="G27">
        <f>IF($D27 = 1, ROUND(SUM(recreation_claude_v2_5!G27,recreation_claude_v2_4!G27,recreation_claude_v2_3!G27,recreation_claude_v2_2!G27,recreation_claude_v2_1!G27)/COUNT(recreation_claude_v2_5!G27,recreation_claude_v2_4!G27,recreation_claude_v2_3!G27,recreation_claude_v2_2!G27,recreation_claude_v2_1!G27),0), "NA")</f>
        <v>1</v>
      </c>
      <c r="H27" t="str">
        <f>IF($E27 = 1, ROUND(SUM(recreation_claude_v2_5!H27,recreation_claude_v2_4!H27,recreation_claude_v2_3!H27,recreation_claude_v2_2!H27,recreation_claude_v2_1!H27)/COUNT(recreation_claude_v2_5!H27,recreation_claude_v2_4!H27,recreation_claude_v2_3!H27,recreation_claude_v2_2!H27,recreation_claude_v2_1!H27),0), "NA")</f>
        <v>NA</v>
      </c>
      <c r="I27">
        <f>IF($D27 = 1, ROUND(SUM(recreation_claude_v2_5!I27,recreation_claude_v2_4!I27,recreation_claude_v2_3!I27,recreation_claude_v2_2!I27,recreation_claude_v2_1!I27)/COUNT(recreation_claude_v2_5!I27,recreation_claude_v2_4!I27,recreation_claude_v2_3!I27,recreation_claude_v2_2!I27,recreation_claude_v2_1!I27),0), "NA")</f>
        <v>1</v>
      </c>
      <c r="J27" t="str">
        <f>IF(AND($E27 = 1, $F27 = 1), ROUND(SUM(recreation_claude_v2_5!J27,recreation_claude_v2_4!J27,recreation_claude_v2_3!J27,recreation_claude_v2_2!J27,recreation_claude_v2_1!J27)/COUNT(recreation_claude_v2_5!J27,recreation_claude_v2_4!J27,recreation_claude_v2_3!J27,recreation_claude_v2_2!J27,recreation_claude_v2_1!J27),0), "NA")</f>
        <v>NA</v>
      </c>
      <c r="K27">
        <f>IF($D27 = 1, ROUND(SUM(recreation_claude_v2_5!K27,recreation_claude_v2_4!K27,recreation_claude_v2_3!K27,recreation_claude_v2_2!K27,recreation_claude_v2_1!K27)/COUNT(recreation_claude_v2_5!K27,recreation_claude_v2_4!K27,recreation_claude_v2_3!K27,recreation_claude_v2_2!K27,recreation_claude_v2_1!K27),0), "NA")</f>
        <v>1</v>
      </c>
      <c r="L27">
        <f>IF($D27 = 1, ROUND(SUM(recreation_claude_v2_5!L27,recreation_claude_v2_4!L27,recreation_claude_v2_3!L27,recreation_claude_v2_2!L27,recreation_claude_v2_1!L27)/COUNT(recreation_claude_v2_5!L27,recreation_claude_v2_4!L27,recreation_claude_v2_3!L27,recreation_claude_v2_2!L27,recreation_claude_v2_1!L27),0), "NA")</f>
        <v>1</v>
      </c>
      <c r="M27">
        <f>IF($D27 = 1, ROUND(SUM(recreation_claude_v2_5!M27,recreation_claude_v2_4!M27,recreation_claude_v2_3!M27,recreation_claude_v2_2!M27,recreation_claude_v2_1!M27)/COUNT(recreation_claude_v2_5!M27,recreation_claude_v2_4!M27,recreation_claude_v2_3!M27,recreation_claude_v2_2!M27,recreation_claude_v2_1!M27),0), "NA")</f>
        <v>1</v>
      </c>
      <c r="N27">
        <f>IF($D27 = 1, ROUND(SUM(recreation_claude_v2_5!N27,recreation_claude_v2_4!N27,recreation_claude_v2_3!N27,recreation_claude_v2_2!N27,recreation_claude_v2_1!N27)/COUNT(recreation_claude_v2_5!N27,recreation_claude_v2_4!N27,recreation_claude_v2_3!N27,recreation_claude_v2_2!N27,recreation_claude_v2_1!N27),0), "NA")</f>
        <v>1</v>
      </c>
      <c r="O27">
        <v>2.2676432132720952</v>
      </c>
    </row>
    <row r="28" spans="1:15" x14ac:dyDescent="0.25">
      <c r="A28" t="s">
        <v>16</v>
      </c>
      <c r="B28" t="s">
        <v>49</v>
      </c>
      <c r="C28">
        <v>0</v>
      </c>
      <c r="D28">
        <f>ROUND(SUM(recreation_claude_v2_5!D28,recreation_claude_v2_4!D28,recreation_claude_v2_3!D28,recreation_claude_v2_2!D28,recreation_claude_v2_1!D28)/COUNT(recreation_claude_v2_5!D28,recreation_claude_v2_4!D28,recreation_claude_v2_3!D28,recreation_claude_v2_2!D28,recreation_claude_v2_1!D28),0)</f>
        <v>1</v>
      </c>
      <c r="E28">
        <f>IF($D28 = 1, ROUND(SUM(recreation_claude_v2_5!E28,recreation_claude_v2_4!E28,recreation_claude_v2_3!E28,recreation_claude_v2_2!E28,recreation_claude_v2_1!E28)/COUNT(recreation_claude_v2_5!E28,recreation_claude_v2_4!E28,recreation_claude_v2_3!E28,recreation_claude_v2_2!E28,recreation_claude_v2_1!E28),0), "NA")</f>
        <v>0</v>
      </c>
      <c r="F28">
        <f>IF($D28 = 1, ROUND(SUM(recreation_claude_v2_5!F28,recreation_claude_v2_4!F28,recreation_claude_v2_3!F28,recreation_claude_v2_2!F28,recreation_claude_v2_1!F28)/COUNT(recreation_claude_v2_5!F28,recreation_claude_v2_4!F28,recreation_claude_v2_3!F28,recreation_claude_v2_2!F28,recreation_claude_v2_1!F28),0), "NA")</f>
        <v>1</v>
      </c>
      <c r="G28">
        <f>IF($D28 = 1, ROUND(SUM(recreation_claude_v2_5!G28,recreation_claude_v2_4!G28,recreation_claude_v2_3!G28,recreation_claude_v2_2!G28,recreation_claude_v2_1!G28)/COUNT(recreation_claude_v2_5!G28,recreation_claude_v2_4!G28,recreation_claude_v2_3!G28,recreation_claude_v2_2!G28,recreation_claude_v2_1!G28),0), "NA")</f>
        <v>1</v>
      </c>
      <c r="H28" t="str">
        <f>IF($E28 = 1, ROUND(SUM(recreation_claude_v2_5!H28,recreation_claude_v2_4!H28,recreation_claude_v2_3!H28,recreation_claude_v2_2!H28,recreation_claude_v2_1!H28)/COUNT(recreation_claude_v2_5!H28,recreation_claude_v2_4!H28,recreation_claude_v2_3!H28,recreation_claude_v2_2!H28,recreation_claude_v2_1!H28),0), "NA")</f>
        <v>NA</v>
      </c>
      <c r="I28">
        <f>IF($D28 = 1, ROUND(SUM(recreation_claude_v2_5!I28,recreation_claude_v2_4!I28,recreation_claude_v2_3!I28,recreation_claude_v2_2!I28,recreation_claude_v2_1!I28)/COUNT(recreation_claude_v2_5!I28,recreation_claude_v2_4!I28,recreation_claude_v2_3!I28,recreation_claude_v2_2!I28,recreation_claude_v2_1!I28),0), "NA")</f>
        <v>1</v>
      </c>
      <c r="J28" t="str">
        <f>IF(AND($E28 = 1, $F28 = 1), ROUND(SUM(recreation_claude_v2_5!J28,recreation_claude_v2_4!J28,recreation_claude_v2_3!J28,recreation_claude_v2_2!J28,recreation_claude_v2_1!J28)/COUNT(recreation_claude_v2_5!J28,recreation_claude_v2_4!J28,recreation_claude_v2_3!J28,recreation_claude_v2_2!J28,recreation_claude_v2_1!J28),0), "NA")</f>
        <v>NA</v>
      </c>
      <c r="K28">
        <f>IF($D28 = 1, ROUND(SUM(recreation_claude_v2_5!K28,recreation_claude_v2_4!K28,recreation_claude_v2_3!K28,recreation_claude_v2_2!K28,recreation_claude_v2_1!K28)/COUNT(recreation_claude_v2_5!K28,recreation_claude_v2_4!K28,recreation_claude_v2_3!K28,recreation_claude_v2_2!K28,recreation_claude_v2_1!K28),0), "NA")</f>
        <v>1</v>
      </c>
      <c r="L28">
        <f>IF($D28 = 1, ROUND(SUM(recreation_claude_v2_5!L28,recreation_claude_v2_4!L28,recreation_claude_v2_3!L28,recreation_claude_v2_2!L28,recreation_claude_v2_1!L28)/COUNT(recreation_claude_v2_5!L28,recreation_claude_v2_4!L28,recreation_claude_v2_3!L28,recreation_claude_v2_2!L28,recreation_claude_v2_1!L28),0), "NA")</f>
        <v>1</v>
      </c>
      <c r="M28">
        <f>IF($D28 = 1, ROUND(SUM(recreation_claude_v2_5!M28,recreation_claude_v2_4!M28,recreation_claude_v2_3!M28,recreation_claude_v2_2!M28,recreation_claude_v2_1!M28)/COUNT(recreation_claude_v2_5!M28,recreation_claude_v2_4!M28,recreation_claude_v2_3!M28,recreation_claude_v2_2!M28,recreation_claude_v2_1!M28),0), "NA")</f>
        <v>1</v>
      </c>
      <c r="N28">
        <f>IF($D28 = 1, ROUND(SUM(recreation_claude_v2_5!N28,recreation_claude_v2_4!N28,recreation_claude_v2_3!N28,recreation_claude_v2_2!N28,recreation_claude_v2_1!N28)/COUNT(recreation_claude_v2_5!N28,recreation_claude_v2_4!N28,recreation_claude_v2_3!N28,recreation_claude_v2_2!N28,recreation_claude_v2_1!N28),0), "NA")</f>
        <v>1</v>
      </c>
      <c r="O28">
        <v>8.0838897228240967</v>
      </c>
    </row>
    <row r="29" spans="1:15" x14ac:dyDescent="0.25">
      <c r="A29" t="s">
        <v>16</v>
      </c>
      <c r="B29" t="s">
        <v>51</v>
      </c>
      <c r="C29">
        <v>0</v>
      </c>
      <c r="D29">
        <f>ROUND(SUM(recreation_claude_v2_5!D29,recreation_claude_v2_4!D29,recreation_claude_v2_3!D29,recreation_claude_v2_2!D29,recreation_claude_v2_1!D29)/COUNT(recreation_claude_v2_5!D29,recreation_claude_v2_4!D29,recreation_claude_v2_3!D29,recreation_claude_v2_2!D29,recreation_claude_v2_1!D29),0)</f>
        <v>1</v>
      </c>
      <c r="E29">
        <f>IF($D29 = 1, ROUND(SUM(recreation_claude_v2_5!E29,recreation_claude_v2_4!E29,recreation_claude_v2_3!E29,recreation_claude_v2_2!E29,recreation_claude_v2_1!E29)/COUNT(recreation_claude_v2_5!E29,recreation_claude_v2_4!E29,recreation_claude_v2_3!E29,recreation_claude_v2_2!E29,recreation_claude_v2_1!E29),0), "NA")</f>
        <v>1</v>
      </c>
      <c r="F29">
        <f>IF($D29 = 1, ROUND(SUM(recreation_claude_v2_5!F29,recreation_claude_v2_4!F29,recreation_claude_v2_3!F29,recreation_claude_v2_2!F29,recreation_claude_v2_1!F29)/COUNT(recreation_claude_v2_5!F29,recreation_claude_v2_4!F29,recreation_claude_v2_3!F29,recreation_claude_v2_2!F29,recreation_claude_v2_1!F29),0), "NA")</f>
        <v>1</v>
      </c>
      <c r="G29">
        <f>IF($D29 = 1, ROUND(SUM(recreation_claude_v2_5!G29,recreation_claude_v2_4!G29,recreation_claude_v2_3!G29,recreation_claude_v2_2!G29,recreation_claude_v2_1!G29)/COUNT(recreation_claude_v2_5!G29,recreation_claude_v2_4!G29,recreation_claude_v2_3!G29,recreation_claude_v2_2!G29,recreation_claude_v2_1!G29),0), "NA")</f>
        <v>1</v>
      </c>
      <c r="H29">
        <f>IF($E29 = 1, ROUND(SUM(recreation_claude_v2_5!H29,recreation_claude_v2_4!H29,recreation_claude_v2_3!H29,recreation_claude_v2_2!H29,recreation_claude_v2_1!H29)/COUNT(recreation_claude_v2_5!H29,recreation_claude_v2_4!H29,recreation_claude_v2_3!H29,recreation_claude_v2_2!H29,recreation_claude_v2_1!H29),0), "NA")</f>
        <v>1</v>
      </c>
      <c r="I29">
        <f>IF($D29 = 1, ROUND(SUM(recreation_claude_v2_5!I29,recreation_claude_v2_4!I29,recreation_claude_v2_3!I29,recreation_claude_v2_2!I29,recreation_claude_v2_1!I29)/COUNT(recreation_claude_v2_5!I29,recreation_claude_v2_4!I29,recreation_claude_v2_3!I29,recreation_claude_v2_2!I29,recreation_claude_v2_1!I29),0), "NA")</f>
        <v>1</v>
      </c>
      <c r="J29">
        <f>IF(AND($E29 = 1, $F29 = 1), ROUND(SUM(recreation_claude_v2_5!J29,recreation_claude_v2_4!J29,recreation_claude_v2_3!J29,recreation_claude_v2_2!J29,recreation_claude_v2_1!J29)/COUNT(recreation_claude_v2_5!J29,recreation_claude_v2_4!J29,recreation_claude_v2_3!J29,recreation_claude_v2_2!J29,recreation_claude_v2_1!J29),0), "NA")</f>
        <v>1</v>
      </c>
      <c r="K29">
        <f>IF($D29 = 1, ROUND(SUM(recreation_claude_v2_5!K29,recreation_claude_v2_4!K29,recreation_claude_v2_3!K29,recreation_claude_v2_2!K29,recreation_claude_v2_1!K29)/COUNT(recreation_claude_v2_5!K29,recreation_claude_v2_4!K29,recreation_claude_v2_3!K29,recreation_claude_v2_2!K29,recreation_claude_v2_1!K29),0), "NA")</f>
        <v>1</v>
      </c>
      <c r="L29">
        <f>IF($D29 = 1, ROUND(SUM(recreation_claude_v2_5!L29,recreation_claude_v2_4!L29,recreation_claude_v2_3!L29,recreation_claude_v2_2!L29,recreation_claude_v2_1!L29)/COUNT(recreation_claude_v2_5!L29,recreation_claude_v2_4!L29,recreation_claude_v2_3!L29,recreation_claude_v2_2!L29,recreation_claude_v2_1!L29),0), "NA")</f>
        <v>1</v>
      </c>
      <c r="M29">
        <f>IF($D29 = 1, ROUND(SUM(recreation_claude_v2_5!M29,recreation_claude_v2_4!M29,recreation_claude_v2_3!M29,recreation_claude_v2_2!M29,recreation_claude_v2_1!M29)/COUNT(recreation_claude_v2_5!M29,recreation_claude_v2_4!M29,recreation_claude_v2_3!M29,recreation_claude_v2_2!M29,recreation_claude_v2_1!M29),0), "NA")</f>
        <v>1</v>
      </c>
      <c r="N29">
        <f>IF($D29 = 1, ROUND(SUM(recreation_claude_v2_5!N29,recreation_claude_v2_4!N29,recreation_claude_v2_3!N29,recreation_claude_v2_2!N29,recreation_claude_v2_1!N29)/COUNT(recreation_claude_v2_5!N29,recreation_claude_v2_4!N29,recreation_claude_v2_3!N29,recreation_claude_v2_2!N29,recreation_claude_v2_1!N29),0), "NA")</f>
        <v>1</v>
      </c>
      <c r="O29">
        <v>2.481645822525024</v>
      </c>
    </row>
    <row r="30" spans="1:15" x14ac:dyDescent="0.25">
      <c r="A30" t="s">
        <v>16</v>
      </c>
      <c r="B30" t="s">
        <v>53</v>
      </c>
      <c r="C30">
        <v>0</v>
      </c>
      <c r="D30">
        <f>ROUND(SUM(recreation_claude_v2_5!D30,recreation_claude_v2_4!D30,recreation_claude_v2_3!D30,recreation_claude_v2_2!D30,recreation_claude_v2_1!D30)/COUNT(recreation_claude_v2_5!D30,recreation_claude_v2_4!D30,recreation_claude_v2_3!D30,recreation_claude_v2_2!D30,recreation_claude_v2_1!D30),0)</f>
        <v>1</v>
      </c>
      <c r="E30">
        <f>IF($D30 = 1, ROUND(SUM(recreation_claude_v2_5!E30,recreation_claude_v2_4!E30,recreation_claude_v2_3!E30,recreation_claude_v2_2!E30,recreation_claude_v2_1!E30)/COUNT(recreation_claude_v2_5!E30,recreation_claude_v2_4!E30,recreation_claude_v2_3!E30,recreation_claude_v2_2!E30,recreation_claude_v2_1!E30),0), "NA")</f>
        <v>1</v>
      </c>
      <c r="F30">
        <f>IF($D30 = 1, ROUND(SUM(recreation_claude_v2_5!F30,recreation_claude_v2_4!F30,recreation_claude_v2_3!F30,recreation_claude_v2_2!F30,recreation_claude_v2_1!F30)/COUNT(recreation_claude_v2_5!F30,recreation_claude_v2_4!F30,recreation_claude_v2_3!F30,recreation_claude_v2_2!F30,recreation_claude_v2_1!F30),0), "NA")</f>
        <v>1</v>
      </c>
      <c r="G30">
        <f>IF($D30 = 1, ROUND(SUM(recreation_claude_v2_5!G30,recreation_claude_v2_4!G30,recreation_claude_v2_3!G30,recreation_claude_v2_2!G30,recreation_claude_v2_1!G30)/COUNT(recreation_claude_v2_5!G30,recreation_claude_v2_4!G30,recreation_claude_v2_3!G30,recreation_claude_v2_2!G30,recreation_claude_v2_1!G30),0), "NA")</f>
        <v>1</v>
      </c>
      <c r="H30">
        <f>IF($E30 = 1, ROUND(SUM(recreation_claude_v2_5!H30,recreation_claude_v2_4!H30,recreation_claude_v2_3!H30,recreation_claude_v2_2!H30,recreation_claude_v2_1!H30)/COUNT(recreation_claude_v2_5!H30,recreation_claude_v2_4!H30,recreation_claude_v2_3!H30,recreation_claude_v2_2!H30,recreation_claude_v2_1!H30),0), "NA")</f>
        <v>1</v>
      </c>
      <c r="I30">
        <f>IF($D30 = 1, ROUND(SUM(recreation_claude_v2_5!I30,recreation_claude_v2_4!I30,recreation_claude_v2_3!I30,recreation_claude_v2_2!I30,recreation_claude_v2_1!I30)/COUNT(recreation_claude_v2_5!I30,recreation_claude_v2_4!I30,recreation_claude_v2_3!I30,recreation_claude_v2_2!I30,recreation_claude_v2_1!I30),0), "NA")</f>
        <v>1</v>
      </c>
      <c r="J30">
        <f>IF(AND($E30 = 1, $F30 = 1), ROUND(SUM(recreation_claude_v2_5!J30,recreation_claude_v2_4!J30,recreation_claude_v2_3!J30,recreation_claude_v2_2!J30,recreation_claude_v2_1!J30)/COUNT(recreation_claude_v2_5!J30,recreation_claude_v2_4!J30,recreation_claude_v2_3!J30,recreation_claude_v2_2!J30,recreation_claude_v2_1!J30),0), "NA")</f>
        <v>1</v>
      </c>
      <c r="K30">
        <f>IF($D30 = 1, ROUND(SUM(recreation_claude_v2_5!K30,recreation_claude_v2_4!K30,recreation_claude_v2_3!K30,recreation_claude_v2_2!K30,recreation_claude_v2_1!K30)/COUNT(recreation_claude_v2_5!K30,recreation_claude_v2_4!K30,recreation_claude_v2_3!K30,recreation_claude_v2_2!K30,recreation_claude_v2_1!K30),0), "NA")</f>
        <v>1</v>
      </c>
      <c r="L30">
        <f>IF($D30 = 1, ROUND(SUM(recreation_claude_v2_5!L30,recreation_claude_v2_4!L30,recreation_claude_v2_3!L30,recreation_claude_v2_2!L30,recreation_claude_v2_1!L30)/COUNT(recreation_claude_v2_5!L30,recreation_claude_v2_4!L30,recreation_claude_v2_3!L30,recreation_claude_v2_2!L30,recreation_claude_v2_1!L30),0), "NA")</f>
        <v>1</v>
      </c>
      <c r="M30">
        <f>IF($D30 = 1, ROUND(SUM(recreation_claude_v2_5!M30,recreation_claude_v2_4!M30,recreation_claude_v2_3!M30,recreation_claude_v2_2!M30,recreation_claude_v2_1!M30)/COUNT(recreation_claude_v2_5!M30,recreation_claude_v2_4!M30,recreation_claude_v2_3!M30,recreation_claude_v2_2!M30,recreation_claude_v2_1!M30),0), "NA")</f>
        <v>1</v>
      </c>
      <c r="N30">
        <f>IF($D30 = 1, ROUND(SUM(recreation_claude_v2_5!N30,recreation_claude_v2_4!N30,recreation_claude_v2_3!N30,recreation_claude_v2_2!N30,recreation_claude_v2_1!N30)/COUNT(recreation_claude_v2_5!N30,recreation_claude_v2_4!N30,recreation_claude_v2_3!N30,recreation_claude_v2_2!N30,recreation_claude_v2_1!N30),0), "NA")</f>
        <v>1</v>
      </c>
      <c r="O30">
        <v>1.5346324443817141</v>
      </c>
    </row>
    <row r="31" spans="1:15" x14ac:dyDescent="0.25">
      <c r="A31" t="s">
        <v>16</v>
      </c>
      <c r="B31" t="s">
        <v>54</v>
      </c>
      <c r="C31">
        <v>0</v>
      </c>
      <c r="D31">
        <f>ROUND(SUM(recreation_claude_v2_5!D31,recreation_claude_v2_4!D31,recreation_claude_v2_3!D31,recreation_claude_v2_2!D31,recreation_claude_v2_1!D31)/COUNT(recreation_claude_v2_5!D31,recreation_claude_v2_4!D31,recreation_claude_v2_3!D31,recreation_claude_v2_2!D31,recreation_claude_v2_1!D31),0)</f>
        <v>1</v>
      </c>
      <c r="E31">
        <f>IF($D31 = 1, ROUND(SUM(recreation_claude_v2_5!E31,recreation_claude_v2_4!E31,recreation_claude_v2_3!E31,recreation_claude_v2_2!E31,recreation_claude_v2_1!E31)/COUNT(recreation_claude_v2_5!E31,recreation_claude_v2_4!E31,recreation_claude_v2_3!E31,recreation_claude_v2_2!E31,recreation_claude_v2_1!E31),0), "NA")</f>
        <v>0</v>
      </c>
      <c r="F31">
        <f>IF($D31 = 1, ROUND(SUM(recreation_claude_v2_5!F31,recreation_claude_v2_4!F31,recreation_claude_v2_3!F31,recreation_claude_v2_2!F31,recreation_claude_v2_1!F31)/COUNT(recreation_claude_v2_5!F31,recreation_claude_v2_4!F31,recreation_claude_v2_3!F31,recreation_claude_v2_2!F31,recreation_claude_v2_1!F31),0), "NA")</f>
        <v>1</v>
      </c>
      <c r="G31">
        <f>IF($D31 = 1, ROUND(SUM(recreation_claude_v2_5!G31,recreation_claude_v2_4!G31,recreation_claude_v2_3!G31,recreation_claude_v2_2!G31,recreation_claude_v2_1!G31)/COUNT(recreation_claude_v2_5!G31,recreation_claude_v2_4!G31,recreation_claude_v2_3!G31,recreation_claude_v2_2!G31,recreation_claude_v2_1!G31),0), "NA")</f>
        <v>1</v>
      </c>
      <c r="H31" t="str">
        <f>IF($E31 = 1, ROUND(SUM(recreation_claude_v2_5!H31,recreation_claude_v2_4!H31,recreation_claude_v2_3!H31,recreation_claude_v2_2!H31,recreation_claude_v2_1!H31)/COUNT(recreation_claude_v2_5!H31,recreation_claude_v2_4!H31,recreation_claude_v2_3!H31,recreation_claude_v2_2!H31,recreation_claude_v2_1!H31),0), "NA")</f>
        <v>NA</v>
      </c>
      <c r="I31">
        <f>IF($D31 = 1, ROUND(SUM(recreation_claude_v2_5!I31,recreation_claude_v2_4!I31,recreation_claude_v2_3!I31,recreation_claude_v2_2!I31,recreation_claude_v2_1!I31)/COUNT(recreation_claude_v2_5!I31,recreation_claude_v2_4!I31,recreation_claude_v2_3!I31,recreation_claude_v2_2!I31,recreation_claude_v2_1!I31),0), "NA")</f>
        <v>1</v>
      </c>
      <c r="J31" t="str">
        <f>IF(AND($E31 = 1, $F31 = 1), ROUND(SUM(recreation_claude_v2_5!J31,recreation_claude_v2_4!J31,recreation_claude_v2_3!J31,recreation_claude_v2_2!J31,recreation_claude_v2_1!J31)/COUNT(recreation_claude_v2_5!J31,recreation_claude_v2_4!J31,recreation_claude_v2_3!J31,recreation_claude_v2_2!J31,recreation_claude_v2_1!J31),0), "NA")</f>
        <v>NA</v>
      </c>
      <c r="K31">
        <f>IF($D31 = 1, ROUND(SUM(recreation_claude_v2_5!K31,recreation_claude_v2_4!K31,recreation_claude_v2_3!K31,recreation_claude_v2_2!K31,recreation_claude_v2_1!K31)/COUNT(recreation_claude_v2_5!K31,recreation_claude_v2_4!K31,recreation_claude_v2_3!K31,recreation_claude_v2_2!K31,recreation_claude_v2_1!K31),0), "NA")</f>
        <v>1</v>
      </c>
      <c r="L31">
        <f>IF($D31 = 1, ROUND(SUM(recreation_claude_v2_5!L31,recreation_claude_v2_4!L31,recreation_claude_v2_3!L31,recreation_claude_v2_2!L31,recreation_claude_v2_1!L31)/COUNT(recreation_claude_v2_5!L31,recreation_claude_v2_4!L31,recreation_claude_v2_3!L31,recreation_claude_v2_2!L31,recreation_claude_v2_1!L31),0), "NA")</f>
        <v>1</v>
      </c>
      <c r="M31">
        <f>IF($D31 = 1, ROUND(SUM(recreation_claude_v2_5!M31,recreation_claude_v2_4!M31,recreation_claude_v2_3!M31,recreation_claude_v2_2!M31,recreation_claude_v2_1!M31)/COUNT(recreation_claude_v2_5!M31,recreation_claude_v2_4!M31,recreation_claude_v2_3!M31,recreation_claude_v2_2!M31,recreation_claude_v2_1!M31),0), "NA")</f>
        <v>1</v>
      </c>
      <c r="N31">
        <f>IF($D31 = 1, ROUND(SUM(recreation_claude_v2_5!N31,recreation_claude_v2_4!N31,recreation_claude_v2_3!N31,recreation_claude_v2_2!N31,recreation_claude_v2_1!N31)/COUNT(recreation_claude_v2_5!N31,recreation_claude_v2_4!N31,recreation_claude_v2_3!N31,recreation_claude_v2_2!N31,recreation_claude_v2_1!N31),0), "NA")</f>
        <v>1</v>
      </c>
      <c r="O31">
        <v>3.828675270080566</v>
      </c>
    </row>
    <row r="32" spans="1:15" x14ac:dyDescent="0.25">
      <c r="A32" t="s">
        <v>16</v>
      </c>
      <c r="B32" t="s">
        <v>56</v>
      </c>
      <c r="C32">
        <v>0</v>
      </c>
      <c r="D32">
        <f>ROUND(SUM(recreation_claude_v2_5!D32,recreation_claude_v2_4!D32,recreation_claude_v2_3!D32,recreation_claude_v2_2!D32,recreation_claude_v2_1!D32)/COUNT(recreation_claude_v2_5!D32,recreation_claude_v2_4!D32,recreation_claude_v2_3!D32,recreation_claude_v2_2!D32,recreation_claude_v2_1!D32),0)</f>
        <v>1</v>
      </c>
      <c r="E32">
        <f>IF($D32 = 1, ROUND(SUM(recreation_claude_v2_5!E32,recreation_claude_v2_4!E32,recreation_claude_v2_3!E32,recreation_claude_v2_2!E32,recreation_claude_v2_1!E32)/COUNT(recreation_claude_v2_5!E32,recreation_claude_v2_4!E32,recreation_claude_v2_3!E32,recreation_claude_v2_2!E32,recreation_claude_v2_1!E32),0), "NA")</f>
        <v>0</v>
      </c>
      <c r="F32">
        <f>IF($D32 = 1, ROUND(SUM(recreation_claude_v2_5!F32,recreation_claude_v2_4!F32,recreation_claude_v2_3!F32,recreation_claude_v2_2!F32,recreation_claude_v2_1!F32)/COUNT(recreation_claude_v2_5!F32,recreation_claude_v2_4!F32,recreation_claude_v2_3!F32,recreation_claude_v2_2!F32,recreation_claude_v2_1!F32),0), "NA")</f>
        <v>1</v>
      </c>
      <c r="G32">
        <f>IF($D32 = 1, ROUND(SUM(recreation_claude_v2_5!G32,recreation_claude_v2_4!G32,recreation_claude_v2_3!G32,recreation_claude_v2_2!G32,recreation_claude_v2_1!G32)/COUNT(recreation_claude_v2_5!G32,recreation_claude_v2_4!G32,recreation_claude_v2_3!G32,recreation_claude_v2_2!G32,recreation_claude_v2_1!G32),0), "NA")</f>
        <v>1</v>
      </c>
      <c r="H32" t="str">
        <f>IF($E32 = 1, ROUND(SUM(recreation_claude_v2_5!H32,recreation_claude_v2_4!H32,recreation_claude_v2_3!H32,recreation_claude_v2_2!H32,recreation_claude_v2_1!H32)/COUNT(recreation_claude_v2_5!H32,recreation_claude_v2_4!H32,recreation_claude_v2_3!H32,recreation_claude_v2_2!H32,recreation_claude_v2_1!H32),0), "NA")</f>
        <v>NA</v>
      </c>
      <c r="I32">
        <f>IF($D32 = 1, ROUND(SUM(recreation_claude_v2_5!I32,recreation_claude_v2_4!I32,recreation_claude_v2_3!I32,recreation_claude_v2_2!I32,recreation_claude_v2_1!I32)/COUNT(recreation_claude_v2_5!I32,recreation_claude_v2_4!I32,recreation_claude_v2_3!I32,recreation_claude_v2_2!I32,recreation_claude_v2_1!I32),0), "NA")</f>
        <v>1</v>
      </c>
      <c r="J32" t="str">
        <f>IF(AND($E32 = 1, $F32 = 1), ROUND(SUM(recreation_claude_v2_5!J32,recreation_claude_v2_4!J32,recreation_claude_v2_3!J32,recreation_claude_v2_2!J32,recreation_claude_v2_1!J32)/COUNT(recreation_claude_v2_5!J32,recreation_claude_v2_4!J32,recreation_claude_v2_3!J32,recreation_claude_v2_2!J32,recreation_claude_v2_1!J32),0), "NA")</f>
        <v>NA</v>
      </c>
      <c r="K32">
        <f>IF($D32 = 1, ROUND(SUM(recreation_claude_v2_5!K32,recreation_claude_v2_4!K32,recreation_claude_v2_3!K32,recreation_claude_v2_2!K32,recreation_claude_v2_1!K32)/COUNT(recreation_claude_v2_5!K32,recreation_claude_v2_4!K32,recreation_claude_v2_3!K32,recreation_claude_v2_2!K32,recreation_claude_v2_1!K32),0), "NA")</f>
        <v>1</v>
      </c>
      <c r="L32">
        <f>IF($D32 = 1, ROUND(SUM(recreation_claude_v2_5!L32,recreation_claude_v2_4!L32,recreation_claude_v2_3!L32,recreation_claude_v2_2!L32,recreation_claude_v2_1!L32)/COUNT(recreation_claude_v2_5!L32,recreation_claude_v2_4!L32,recreation_claude_v2_3!L32,recreation_claude_v2_2!L32,recreation_claude_v2_1!L32),0), "NA")</f>
        <v>1</v>
      </c>
      <c r="M32">
        <f>IF($D32 = 1, ROUND(SUM(recreation_claude_v2_5!M32,recreation_claude_v2_4!M32,recreation_claude_v2_3!M32,recreation_claude_v2_2!M32,recreation_claude_v2_1!M32)/COUNT(recreation_claude_v2_5!M32,recreation_claude_v2_4!M32,recreation_claude_v2_3!M32,recreation_claude_v2_2!M32,recreation_claude_v2_1!M32),0), "NA")</f>
        <v>1</v>
      </c>
      <c r="N32">
        <f>IF($D32 = 1, ROUND(SUM(recreation_claude_v2_5!N32,recreation_claude_v2_4!N32,recreation_claude_v2_3!N32,recreation_claude_v2_2!N32,recreation_claude_v2_1!N32)/COUNT(recreation_claude_v2_5!N32,recreation_claude_v2_4!N32,recreation_claude_v2_3!N32,recreation_claude_v2_2!N32,recreation_claude_v2_1!N32),0), "NA")</f>
        <v>1</v>
      </c>
      <c r="O32">
        <v>12.90193605422974</v>
      </c>
    </row>
    <row r="33" spans="1:15" x14ac:dyDescent="0.25">
      <c r="A33" t="s">
        <v>16</v>
      </c>
      <c r="B33" t="s">
        <v>58</v>
      </c>
      <c r="C33">
        <v>0</v>
      </c>
      <c r="D33">
        <f>ROUND(SUM(recreation_claude_v2_5!D33,recreation_claude_v2_4!D33,recreation_claude_v2_3!D33,recreation_claude_v2_2!D33,recreation_claude_v2_1!D33)/COUNT(recreation_claude_v2_5!D33,recreation_claude_v2_4!D33,recreation_claude_v2_3!D33,recreation_claude_v2_2!D33,recreation_claude_v2_1!D33),0)</f>
        <v>1</v>
      </c>
      <c r="E33">
        <f>IF($D33 = 1, ROUND(SUM(recreation_claude_v2_5!E33,recreation_claude_v2_4!E33,recreation_claude_v2_3!E33,recreation_claude_v2_2!E33,recreation_claude_v2_1!E33)/COUNT(recreation_claude_v2_5!E33,recreation_claude_v2_4!E33,recreation_claude_v2_3!E33,recreation_claude_v2_2!E33,recreation_claude_v2_1!E33),0), "NA")</f>
        <v>0</v>
      </c>
      <c r="F33">
        <f>IF($D33 = 1, ROUND(SUM(recreation_claude_v2_5!F33,recreation_claude_v2_4!F33,recreation_claude_v2_3!F33,recreation_claude_v2_2!F33,recreation_claude_v2_1!F33)/COUNT(recreation_claude_v2_5!F33,recreation_claude_v2_4!F33,recreation_claude_v2_3!F33,recreation_claude_v2_2!F33,recreation_claude_v2_1!F33),0), "NA")</f>
        <v>1</v>
      </c>
      <c r="G33">
        <f>IF($D33 = 1, ROUND(SUM(recreation_claude_v2_5!G33,recreation_claude_v2_4!G33,recreation_claude_v2_3!G33,recreation_claude_v2_2!G33,recreation_claude_v2_1!G33)/COUNT(recreation_claude_v2_5!G33,recreation_claude_v2_4!G33,recreation_claude_v2_3!G33,recreation_claude_v2_2!G33,recreation_claude_v2_1!G33),0), "NA")</f>
        <v>1</v>
      </c>
      <c r="H33" t="str">
        <f>IF($E33 = 1, ROUND(SUM(recreation_claude_v2_5!H33,recreation_claude_v2_4!H33,recreation_claude_v2_3!H33,recreation_claude_v2_2!H33,recreation_claude_v2_1!H33)/COUNT(recreation_claude_v2_5!H33,recreation_claude_v2_4!H33,recreation_claude_v2_3!H33,recreation_claude_v2_2!H33,recreation_claude_v2_1!H33),0), "NA")</f>
        <v>NA</v>
      </c>
      <c r="I33">
        <f>IF($D33 = 1, ROUND(SUM(recreation_claude_v2_5!I33,recreation_claude_v2_4!I33,recreation_claude_v2_3!I33,recreation_claude_v2_2!I33,recreation_claude_v2_1!I33)/COUNT(recreation_claude_v2_5!I33,recreation_claude_v2_4!I33,recreation_claude_v2_3!I33,recreation_claude_v2_2!I33,recreation_claude_v2_1!I33),0), "NA")</f>
        <v>1</v>
      </c>
      <c r="J33" t="str">
        <f>IF(AND($E33 = 1, $F33 = 1), ROUND(SUM(recreation_claude_v2_5!J33,recreation_claude_v2_4!J33,recreation_claude_v2_3!J33,recreation_claude_v2_2!J33,recreation_claude_v2_1!J33)/COUNT(recreation_claude_v2_5!J33,recreation_claude_v2_4!J33,recreation_claude_v2_3!J33,recreation_claude_v2_2!J33,recreation_claude_v2_1!J33),0), "NA")</f>
        <v>NA</v>
      </c>
      <c r="K33">
        <f>IF($D33 = 1, ROUND(SUM(recreation_claude_v2_5!K33,recreation_claude_v2_4!K33,recreation_claude_v2_3!K33,recreation_claude_v2_2!K33,recreation_claude_v2_1!K33)/COUNT(recreation_claude_v2_5!K33,recreation_claude_v2_4!K33,recreation_claude_v2_3!K33,recreation_claude_v2_2!K33,recreation_claude_v2_1!K33),0), "NA")</f>
        <v>1</v>
      </c>
      <c r="L33">
        <f>IF($D33 = 1, ROUND(SUM(recreation_claude_v2_5!L33,recreation_claude_v2_4!L33,recreation_claude_v2_3!L33,recreation_claude_v2_2!L33,recreation_claude_v2_1!L33)/COUNT(recreation_claude_v2_5!L33,recreation_claude_v2_4!L33,recreation_claude_v2_3!L33,recreation_claude_v2_2!L33,recreation_claude_v2_1!L33),0), "NA")</f>
        <v>1</v>
      </c>
      <c r="M33">
        <f>IF($D33 = 1, ROUND(SUM(recreation_claude_v2_5!M33,recreation_claude_v2_4!M33,recreation_claude_v2_3!M33,recreation_claude_v2_2!M33,recreation_claude_v2_1!M33)/COUNT(recreation_claude_v2_5!M33,recreation_claude_v2_4!M33,recreation_claude_v2_3!M33,recreation_claude_v2_2!M33,recreation_claude_v2_1!M33),0), "NA")</f>
        <v>1</v>
      </c>
      <c r="N33">
        <f>IF($D33 = 1, ROUND(SUM(recreation_claude_v2_5!N33,recreation_claude_v2_4!N33,recreation_claude_v2_3!N33,recreation_claude_v2_2!N33,recreation_claude_v2_1!N33)/COUNT(recreation_claude_v2_5!N33,recreation_claude_v2_4!N33,recreation_claude_v2_3!N33,recreation_claude_v2_2!N33,recreation_claude_v2_1!N33),0), "NA")</f>
        <v>1</v>
      </c>
      <c r="O33">
        <v>2.4364192485809331</v>
      </c>
    </row>
    <row r="34" spans="1:15" x14ac:dyDescent="0.25">
      <c r="A34" t="s">
        <v>16</v>
      </c>
      <c r="B34" t="s">
        <v>60</v>
      </c>
      <c r="C34">
        <v>0</v>
      </c>
      <c r="D34">
        <f>ROUND(SUM(recreation_claude_v2_5!D34,recreation_claude_v2_4!D34,recreation_claude_v2_3!D34,recreation_claude_v2_2!D34,recreation_claude_v2_1!D34)/COUNT(recreation_claude_v2_5!D34,recreation_claude_v2_4!D34,recreation_claude_v2_3!D34,recreation_claude_v2_2!D34,recreation_claude_v2_1!D34),0)</f>
        <v>0</v>
      </c>
      <c r="E34" t="str">
        <f>IF($D34 = 1, ROUND(SUM(recreation_claude_v2_5!E34,recreation_claude_v2_4!E34,recreation_claude_v2_3!E34,recreation_claude_v2_2!E34,recreation_claude_v2_1!E34)/COUNT(recreation_claude_v2_5!E34,recreation_claude_v2_4!E34,recreation_claude_v2_3!E34,recreation_claude_v2_2!E34,recreation_claude_v2_1!E34),0), "NA")</f>
        <v>NA</v>
      </c>
      <c r="F34" t="str">
        <f>IF($D34 = 1, ROUND(SUM(recreation_claude_v2_5!F34,recreation_claude_v2_4!F34,recreation_claude_v2_3!F34,recreation_claude_v2_2!F34,recreation_claude_v2_1!F34)/COUNT(recreation_claude_v2_5!F34,recreation_claude_v2_4!F34,recreation_claude_v2_3!F34,recreation_claude_v2_2!F34,recreation_claude_v2_1!F34),0), "NA")</f>
        <v>NA</v>
      </c>
      <c r="G34" t="str">
        <f>IF($D34 = 1, ROUND(SUM(recreation_claude_v2_5!G34,recreation_claude_v2_4!G34,recreation_claude_v2_3!G34,recreation_claude_v2_2!G34,recreation_claude_v2_1!G34)/COUNT(recreation_claude_v2_5!G34,recreation_claude_v2_4!G34,recreation_claude_v2_3!G34,recreation_claude_v2_2!G34,recreation_claude_v2_1!G34),0), "NA")</f>
        <v>NA</v>
      </c>
      <c r="H34" t="str">
        <f>IF($E34 = 1, ROUND(SUM(recreation_claude_v2_5!H34,recreation_claude_v2_4!H34,recreation_claude_v2_3!H34,recreation_claude_v2_2!H34,recreation_claude_v2_1!H34)/COUNT(recreation_claude_v2_5!H34,recreation_claude_v2_4!H34,recreation_claude_v2_3!H34,recreation_claude_v2_2!H34,recreation_claude_v2_1!H34),0), "NA")</f>
        <v>NA</v>
      </c>
      <c r="I34" t="str">
        <f>IF($D34 = 1, ROUND(SUM(recreation_claude_v2_5!I34,recreation_claude_v2_4!I34,recreation_claude_v2_3!I34,recreation_claude_v2_2!I34,recreation_claude_v2_1!I34)/COUNT(recreation_claude_v2_5!I34,recreation_claude_v2_4!I34,recreation_claude_v2_3!I34,recreation_claude_v2_2!I34,recreation_claude_v2_1!I34),0), "NA")</f>
        <v>NA</v>
      </c>
      <c r="J34" t="str">
        <f>IF(AND($E34 = 1, $F34 = 1), ROUND(SUM(recreation_claude_v2_5!J34,recreation_claude_v2_4!J34,recreation_claude_v2_3!J34,recreation_claude_v2_2!J34,recreation_claude_v2_1!J34)/COUNT(recreation_claude_v2_5!J34,recreation_claude_v2_4!J34,recreation_claude_v2_3!J34,recreation_claude_v2_2!J34,recreation_claude_v2_1!J34),0), "NA")</f>
        <v>NA</v>
      </c>
      <c r="K34" t="str">
        <f>IF($D34 = 1, ROUND(SUM(recreation_claude_v2_5!K34,recreation_claude_v2_4!K34,recreation_claude_v2_3!K34,recreation_claude_v2_2!K34,recreation_claude_v2_1!K34)/COUNT(recreation_claude_v2_5!K34,recreation_claude_v2_4!K34,recreation_claude_v2_3!K34,recreation_claude_v2_2!K34,recreation_claude_v2_1!K34),0), "NA")</f>
        <v>NA</v>
      </c>
      <c r="L34" t="str">
        <f>IF($D34 = 1, ROUND(SUM(recreation_claude_v2_5!L34,recreation_claude_v2_4!L34,recreation_claude_v2_3!L34,recreation_claude_v2_2!L34,recreation_claude_v2_1!L34)/COUNT(recreation_claude_v2_5!L34,recreation_claude_v2_4!L34,recreation_claude_v2_3!L34,recreation_claude_v2_2!L34,recreation_claude_v2_1!L34),0), "NA")</f>
        <v>NA</v>
      </c>
      <c r="M34" t="str">
        <f>IF($D34 = 1, ROUND(SUM(recreation_claude_v2_5!M34,recreation_claude_v2_4!M34,recreation_claude_v2_3!M34,recreation_claude_v2_2!M34,recreation_claude_v2_1!M34)/COUNT(recreation_claude_v2_5!M34,recreation_claude_v2_4!M34,recreation_claude_v2_3!M34,recreation_claude_v2_2!M34,recreation_claude_v2_1!M34),0), "NA")</f>
        <v>NA</v>
      </c>
      <c r="N34" t="str">
        <f>IF($D34 = 1, ROUND(SUM(recreation_claude_v2_5!N34,recreation_claude_v2_4!N34,recreation_claude_v2_3!N34,recreation_claude_v2_2!N34,recreation_claude_v2_1!N34)/COUNT(recreation_claude_v2_5!N34,recreation_claude_v2_4!N34,recreation_claude_v2_3!N34,recreation_claude_v2_2!N34,recreation_claude_v2_1!N34),0), "NA")</f>
        <v>NA</v>
      </c>
      <c r="O34">
        <v>6.0536391735076904</v>
      </c>
    </row>
    <row r="35" spans="1:15" x14ac:dyDescent="0.25">
      <c r="A35" t="s">
        <v>16</v>
      </c>
      <c r="B35" t="s">
        <v>62</v>
      </c>
      <c r="C35">
        <v>0</v>
      </c>
      <c r="D35">
        <f>ROUND(SUM(recreation_claude_v2_5!D35,recreation_claude_v2_4!D35,recreation_claude_v2_3!D35,recreation_claude_v2_2!D35,recreation_claude_v2_1!D35)/COUNT(recreation_claude_v2_5!D35,recreation_claude_v2_4!D35,recreation_claude_v2_3!D35,recreation_claude_v2_2!D35,recreation_claude_v2_1!D35),0)</f>
        <v>1</v>
      </c>
      <c r="E35">
        <f>IF($D35 = 1, ROUND(SUM(recreation_claude_v2_5!E35,recreation_claude_v2_4!E35,recreation_claude_v2_3!E35,recreation_claude_v2_2!E35,recreation_claude_v2_1!E35)/COUNT(recreation_claude_v2_5!E35,recreation_claude_v2_4!E35,recreation_claude_v2_3!E35,recreation_claude_v2_2!E35,recreation_claude_v2_1!E35),0), "NA")</f>
        <v>1</v>
      </c>
      <c r="F35">
        <f>IF($D35 = 1, ROUND(SUM(recreation_claude_v2_5!F35,recreation_claude_v2_4!F35,recreation_claude_v2_3!F35,recreation_claude_v2_2!F35,recreation_claude_v2_1!F35)/COUNT(recreation_claude_v2_5!F35,recreation_claude_v2_4!F35,recreation_claude_v2_3!F35,recreation_claude_v2_2!F35,recreation_claude_v2_1!F35),0), "NA")</f>
        <v>1</v>
      </c>
      <c r="G35">
        <f>IF($D35 = 1, ROUND(SUM(recreation_claude_v2_5!G35,recreation_claude_v2_4!G35,recreation_claude_v2_3!G35,recreation_claude_v2_2!G35,recreation_claude_v2_1!G35)/COUNT(recreation_claude_v2_5!G35,recreation_claude_v2_4!G35,recreation_claude_v2_3!G35,recreation_claude_v2_2!G35,recreation_claude_v2_1!G35),0), "NA")</f>
        <v>1</v>
      </c>
      <c r="H35">
        <f>IF($E35 = 1, ROUND(SUM(recreation_claude_v2_5!H35,recreation_claude_v2_4!H35,recreation_claude_v2_3!H35,recreation_claude_v2_2!H35,recreation_claude_v2_1!H35)/COUNT(recreation_claude_v2_5!H35,recreation_claude_v2_4!H35,recreation_claude_v2_3!H35,recreation_claude_v2_2!H35,recreation_claude_v2_1!H35),0), "NA")</f>
        <v>1</v>
      </c>
      <c r="I35">
        <f>IF($D35 = 1, ROUND(SUM(recreation_claude_v2_5!I35,recreation_claude_v2_4!I35,recreation_claude_v2_3!I35,recreation_claude_v2_2!I35,recreation_claude_v2_1!I35)/COUNT(recreation_claude_v2_5!I35,recreation_claude_v2_4!I35,recreation_claude_v2_3!I35,recreation_claude_v2_2!I35,recreation_claude_v2_1!I35),0), "NA")</f>
        <v>1</v>
      </c>
      <c r="J35">
        <f>IF(AND($E35 = 1, $F35 = 1), ROUND(SUM(recreation_claude_v2_5!J35,recreation_claude_v2_4!J35,recreation_claude_v2_3!J35,recreation_claude_v2_2!J35,recreation_claude_v2_1!J35)/COUNT(recreation_claude_v2_5!J35,recreation_claude_v2_4!J35,recreation_claude_v2_3!J35,recreation_claude_v2_2!J35,recreation_claude_v2_1!J35),0), "NA")</f>
        <v>1</v>
      </c>
      <c r="K35">
        <f>IF($D35 = 1, ROUND(SUM(recreation_claude_v2_5!K35,recreation_claude_v2_4!K35,recreation_claude_v2_3!K35,recreation_claude_v2_2!K35,recreation_claude_v2_1!K35)/COUNT(recreation_claude_v2_5!K35,recreation_claude_v2_4!K35,recreation_claude_v2_3!K35,recreation_claude_v2_2!K35,recreation_claude_v2_1!K35),0), "NA")</f>
        <v>1</v>
      </c>
      <c r="L35">
        <f>IF($D35 = 1, ROUND(SUM(recreation_claude_v2_5!L35,recreation_claude_v2_4!L35,recreation_claude_v2_3!L35,recreation_claude_v2_2!L35,recreation_claude_v2_1!L35)/COUNT(recreation_claude_v2_5!L35,recreation_claude_v2_4!L35,recreation_claude_v2_3!L35,recreation_claude_v2_2!L35,recreation_claude_v2_1!L35),0), "NA")</f>
        <v>1</v>
      </c>
      <c r="M35">
        <f>IF($D35 = 1, ROUND(SUM(recreation_claude_v2_5!M35,recreation_claude_v2_4!M35,recreation_claude_v2_3!M35,recreation_claude_v2_2!M35,recreation_claude_v2_1!M35)/COUNT(recreation_claude_v2_5!M35,recreation_claude_v2_4!M35,recreation_claude_v2_3!M35,recreation_claude_v2_2!M35,recreation_claude_v2_1!M35),0), "NA")</f>
        <v>1</v>
      </c>
      <c r="N35">
        <f>IF($D35 = 1, ROUND(SUM(recreation_claude_v2_5!N35,recreation_claude_v2_4!N35,recreation_claude_v2_3!N35,recreation_claude_v2_2!N35,recreation_claude_v2_1!N35)/COUNT(recreation_claude_v2_5!N35,recreation_claude_v2_4!N35,recreation_claude_v2_3!N35,recreation_claude_v2_2!N35,recreation_claude_v2_1!N35),0), "NA")</f>
        <v>1</v>
      </c>
      <c r="O35">
        <v>2.0178208351135249</v>
      </c>
    </row>
    <row r="36" spans="1:15" x14ac:dyDescent="0.25">
      <c r="A36" t="s">
        <v>16</v>
      </c>
      <c r="B36" t="s">
        <v>63</v>
      </c>
      <c r="C36">
        <v>0</v>
      </c>
      <c r="D36">
        <f>ROUND(SUM(recreation_claude_v2_5!D36,recreation_claude_v2_4!D36,recreation_claude_v2_3!D36,recreation_claude_v2_2!D36,recreation_claude_v2_1!D36)/COUNT(recreation_claude_v2_5!D36,recreation_claude_v2_4!D36,recreation_claude_v2_3!D36,recreation_claude_v2_2!D36,recreation_claude_v2_1!D36),0)</f>
        <v>1</v>
      </c>
      <c r="E36">
        <f>IF($D36 = 1, ROUND(SUM(recreation_claude_v2_5!E36,recreation_claude_v2_4!E36,recreation_claude_v2_3!E36,recreation_claude_v2_2!E36,recreation_claude_v2_1!E36)/COUNT(recreation_claude_v2_5!E36,recreation_claude_v2_4!E36,recreation_claude_v2_3!E36,recreation_claude_v2_2!E36,recreation_claude_v2_1!E36),0), "NA")</f>
        <v>1</v>
      </c>
      <c r="F36">
        <f>IF($D36 = 1, ROUND(SUM(recreation_claude_v2_5!F36,recreation_claude_v2_4!F36,recreation_claude_v2_3!F36,recreation_claude_v2_2!F36,recreation_claude_v2_1!F36)/COUNT(recreation_claude_v2_5!F36,recreation_claude_v2_4!F36,recreation_claude_v2_3!F36,recreation_claude_v2_2!F36,recreation_claude_v2_1!F36),0), "NA")</f>
        <v>1</v>
      </c>
      <c r="G36">
        <f>IF($D36 = 1, ROUND(SUM(recreation_claude_v2_5!G36,recreation_claude_v2_4!G36,recreation_claude_v2_3!G36,recreation_claude_v2_2!G36,recreation_claude_v2_1!G36)/COUNT(recreation_claude_v2_5!G36,recreation_claude_v2_4!G36,recreation_claude_v2_3!G36,recreation_claude_v2_2!G36,recreation_claude_v2_1!G36),0), "NA")</f>
        <v>1</v>
      </c>
      <c r="H36">
        <f>IF($E36 = 1, ROUND(SUM(recreation_claude_v2_5!H36,recreation_claude_v2_4!H36,recreation_claude_v2_3!H36,recreation_claude_v2_2!H36,recreation_claude_v2_1!H36)/COUNT(recreation_claude_v2_5!H36,recreation_claude_v2_4!H36,recreation_claude_v2_3!H36,recreation_claude_v2_2!H36,recreation_claude_v2_1!H36),0), "NA")</f>
        <v>1</v>
      </c>
      <c r="I36">
        <f>IF($D36 = 1, ROUND(SUM(recreation_claude_v2_5!I36,recreation_claude_v2_4!I36,recreation_claude_v2_3!I36,recreation_claude_v2_2!I36,recreation_claude_v2_1!I36)/COUNT(recreation_claude_v2_5!I36,recreation_claude_v2_4!I36,recreation_claude_v2_3!I36,recreation_claude_v2_2!I36,recreation_claude_v2_1!I36),0), "NA")</f>
        <v>1</v>
      </c>
      <c r="J36">
        <f>IF(AND($E36 = 1, $F36 = 1), ROUND(SUM(recreation_claude_v2_5!J36,recreation_claude_v2_4!J36,recreation_claude_v2_3!J36,recreation_claude_v2_2!J36,recreation_claude_v2_1!J36)/COUNT(recreation_claude_v2_5!J36,recreation_claude_v2_4!J36,recreation_claude_v2_3!J36,recreation_claude_v2_2!J36,recreation_claude_v2_1!J36),0), "NA")</f>
        <v>1</v>
      </c>
      <c r="K36">
        <f>IF($D36 = 1, ROUND(SUM(recreation_claude_v2_5!K36,recreation_claude_v2_4!K36,recreation_claude_v2_3!K36,recreation_claude_v2_2!K36,recreation_claude_v2_1!K36)/COUNT(recreation_claude_v2_5!K36,recreation_claude_v2_4!K36,recreation_claude_v2_3!K36,recreation_claude_v2_2!K36,recreation_claude_v2_1!K36),0), "NA")</f>
        <v>1</v>
      </c>
      <c r="L36">
        <f>IF($D36 = 1, ROUND(SUM(recreation_claude_v2_5!L36,recreation_claude_v2_4!L36,recreation_claude_v2_3!L36,recreation_claude_v2_2!L36,recreation_claude_v2_1!L36)/COUNT(recreation_claude_v2_5!L36,recreation_claude_v2_4!L36,recreation_claude_v2_3!L36,recreation_claude_v2_2!L36,recreation_claude_v2_1!L36),0), "NA")</f>
        <v>1</v>
      </c>
      <c r="M36">
        <f>IF($D36 = 1, ROUND(SUM(recreation_claude_v2_5!M36,recreation_claude_v2_4!M36,recreation_claude_v2_3!M36,recreation_claude_v2_2!M36,recreation_claude_v2_1!M36)/COUNT(recreation_claude_v2_5!M36,recreation_claude_v2_4!M36,recreation_claude_v2_3!M36,recreation_claude_v2_2!M36,recreation_claude_v2_1!M36),0), "NA")</f>
        <v>1</v>
      </c>
      <c r="N36">
        <f>IF($D36 = 1, ROUND(SUM(recreation_claude_v2_5!N36,recreation_claude_v2_4!N36,recreation_claude_v2_3!N36,recreation_claude_v2_2!N36,recreation_claude_v2_1!N36)/COUNT(recreation_claude_v2_5!N36,recreation_claude_v2_4!N36,recreation_claude_v2_3!N36,recreation_claude_v2_2!N36,recreation_claude_v2_1!N36),0), "NA")</f>
        <v>1</v>
      </c>
      <c r="O36">
        <v>2.9505314826965332</v>
      </c>
    </row>
    <row r="37" spans="1:15" x14ac:dyDescent="0.25">
      <c r="A37" t="s">
        <v>16</v>
      </c>
      <c r="B37" t="s">
        <v>64</v>
      </c>
      <c r="C37">
        <v>0</v>
      </c>
      <c r="D37">
        <f>ROUND(SUM(recreation_claude_v2_5!D37,recreation_claude_v2_4!D37,recreation_claude_v2_3!D37,recreation_claude_v2_2!D37,recreation_claude_v2_1!D37)/COUNT(recreation_claude_v2_5!D37,recreation_claude_v2_4!D37,recreation_claude_v2_3!D37,recreation_claude_v2_2!D37,recreation_claude_v2_1!D37),0)</f>
        <v>1</v>
      </c>
      <c r="E37">
        <f>IF($D37 = 1, ROUND(SUM(recreation_claude_v2_5!E37,recreation_claude_v2_4!E37,recreation_claude_v2_3!E37,recreation_claude_v2_2!E37,recreation_claude_v2_1!E37)/COUNT(recreation_claude_v2_5!E37,recreation_claude_v2_4!E37,recreation_claude_v2_3!E37,recreation_claude_v2_2!E37,recreation_claude_v2_1!E37),0), "NA")</f>
        <v>1</v>
      </c>
      <c r="F37">
        <f>IF($D37 = 1, ROUND(SUM(recreation_claude_v2_5!F37,recreation_claude_v2_4!F37,recreation_claude_v2_3!F37,recreation_claude_v2_2!F37,recreation_claude_v2_1!F37)/COUNT(recreation_claude_v2_5!F37,recreation_claude_v2_4!F37,recreation_claude_v2_3!F37,recreation_claude_v2_2!F37,recreation_claude_v2_1!F37),0), "NA")</f>
        <v>1</v>
      </c>
      <c r="G37">
        <f>IF($D37 = 1, ROUND(SUM(recreation_claude_v2_5!G37,recreation_claude_v2_4!G37,recreation_claude_v2_3!G37,recreation_claude_v2_2!G37,recreation_claude_v2_1!G37)/COUNT(recreation_claude_v2_5!G37,recreation_claude_v2_4!G37,recreation_claude_v2_3!G37,recreation_claude_v2_2!G37,recreation_claude_v2_1!G37),0), "NA")</f>
        <v>1</v>
      </c>
      <c r="H37">
        <f>IF($E37 = 1, ROUND(SUM(recreation_claude_v2_5!H37,recreation_claude_v2_4!H37,recreation_claude_v2_3!H37,recreation_claude_v2_2!H37,recreation_claude_v2_1!H37)/COUNT(recreation_claude_v2_5!H37,recreation_claude_v2_4!H37,recreation_claude_v2_3!H37,recreation_claude_v2_2!H37,recreation_claude_v2_1!H37),0), "NA")</f>
        <v>1</v>
      </c>
      <c r="I37">
        <f>IF($D37 = 1, ROUND(SUM(recreation_claude_v2_5!I37,recreation_claude_v2_4!I37,recreation_claude_v2_3!I37,recreation_claude_v2_2!I37,recreation_claude_v2_1!I37)/COUNT(recreation_claude_v2_5!I37,recreation_claude_v2_4!I37,recreation_claude_v2_3!I37,recreation_claude_v2_2!I37,recreation_claude_v2_1!I37),0), "NA")</f>
        <v>1</v>
      </c>
      <c r="J37">
        <f>IF(AND($E37 = 1, $F37 = 1), ROUND(SUM(recreation_claude_v2_5!J37,recreation_claude_v2_4!J37,recreation_claude_v2_3!J37,recreation_claude_v2_2!J37,recreation_claude_v2_1!J37)/COUNT(recreation_claude_v2_5!J37,recreation_claude_v2_4!J37,recreation_claude_v2_3!J37,recreation_claude_v2_2!J37,recreation_claude_v2_1!J37),0), "NA")</f>
        <v>1</v>
      </c>
      <c r="K37">
        <f>IF($D37 = 1, ROUND(SUM(recreation_claude_v2_5!K37,recreation_claude_v2_4!K37,recreation_claude_v2_3!K37,recreation_claude_v2_2!K37,recreation_claude_v2_1!K37)/COUNT(recreation_claude_v2_5!K37,recreation_claude_v2_4!K37,recreation_claude_v2_3!K37,recreation_claude_v2_2!K37,recreation_claude_v2_1!K37),0), "NA")</f>
        <v>1</v>
      </c>
      <c r="L37">
        <f>IF($D37 = 1, ROUND(SUM(recreation_claude_v2_5!L37,recreation_claude_v2_4!L37,recreation_claude_v2_3!L37,recreation_claude_v2_2!L37,recreation_claude_v2_1!L37)/COUNT(recreation_claude_v2_5!L37,recreation_claude_v2_4!L37,recreation_claude_v2_3!L37,recreation_claude_v2_2!L37,recreation_claude_v2_1!L37),0), "NA")</f>
        <v>1</v>
      </c>
      <c r="M37">
        <f>IF($D37 = 1, ROUND(SUM(recreation_claude_v2_5!M37,recreation_claude_v2_4!M37,recreation_claude_v2_3!M37,recreation_claude_v2_2!M37,recreation_claude_v2_1!M37)/COUNT(recreation_claude_v2_5!M37,recreation_claude_v2_4!M37,recreation_claude_v2_3!M37,recreation_claude_v2_2!M37,recreation_claude_v2_1!M37),0), "NA")</f>
        <v>1</v>
      </c>
      <c r="N37">
        <f>IF($D37 = 1, ROUND(SUM(recreation_claude_v2_5!N37,recreation_claude_v2_4!N37,recreation_claude_v2_3!N37,recreation_claude_v2_2!N37,recreation_claude_v2_1!N37)/COUNT(recreation_claude_v2_5!N37,recreation_claude_v2_4!N37,recreation_claude_v2_3!N37,recreation_claude_v2_2!N37,recreation_claude_v2_1!N37),0), "NA")</f>
        <v>1</v>
      </c>
      <c r="O37">
        <v>2.6276178359985352</v>
      </c>
    </row>
    <row r="38" spans="1:15" x14ac:dyDescent="0.25">
      <c r="A38" t="s">
        <v>16</v>
      </c>
      <c r="B38" t="s">
        <v>65</v>
      </c>
      <c r="C38">
        <v>0</v>
      </c>
      <c r="D38">
        <f>ROUND(SUM(recreation_claude_v2_5!D38,recreation_claude_v2_4!D38,recreation_claude_v2_3!D38,recreation_claude_v2_2!D38,recreation_claude_v2_1!D38)/COUNT(recreation_claude_v2_5!D38,recreation_claude_v2_4!D38,recreation_claude_v2_3!D38,recreation_claude_v2_2!D38,recreation_claude_v2_1!D38),0)</f>
        <v>1</v>
      </c>
      <c r="E38">
        <f>IF($D38 = 1, ROUND(SUM(recreation_claude_v2_5!E38,recreation_claude_v2_4!E38,recreation_claude_v2_3!E38,recreation_claude_v2_2!E38,recreation_claude_v2_1!E38)/COUNT(recreation_claude_v2_5!E38,recreation_claude_v2_4!E38,recreation_claude_v2_3!E38,recreation_claude_v2_2!E38,recreation_claude_v2_1!E38),0), "NA")</f>
        <v>1</v>
      </c>
      <c r="F38">
        <f>IF($D38 = 1, ROUND(SUM(recreation_claude_v2_5!F38,recreation_claude_v2_4!F38,recreation_claude_v2_3!F38,recreation_claude_v2_2!F38,recreation_claude_v2_1!F38)/COUNT(recreation_claude_v2_5!F38,recreation_claude_v2_4!F38,recreation_claude_v2_3!F38,recreation_claude_v2_2!F38,recreation_claude_v2_1!F38),0), "NA")</f>
        <v>1</v>
      </c>
      <c r="G38">
        <f>IF($D38 = 1, ROUND(SUM(recreation_claude_v2_5!G38,recreation_claude_v2_4!G38,recreation_claude_v2_3!G38,recreation_claude_v2_2!G38,recreation_claude_v2_1!G38)/COUNT(recreation_claude_v2_5!G38,recreation_claude_v2_4!G38,recreation_claude_v2_3!G38,recreation_claude_v2_2!G38,recreation_claude_v2_1!G38),0), "NA")</f>
        <v>1</v>
      </c>
      <c r="H38">
        <f>IF($E38 = 1, ROUND(SUM(recreation_claude_v2_5!H38,recreation_claude_v2_4!H38,recreation_claude_v2_3!H38,recreation_claude_v2_2!H38,recreation_claude_v2_1!H38)/COUNT(recreation_claude_v2_5!H38,recreation_claude_v2_4!H38,recreation_claude_v2_3!H38,recreation_claude_v2_2!H38,recreation_claude_v2_1!H38),0), "NA")</f>
        <v>1</v>
      </c>
      <c r="I38">
        <f>IF($D38 = 1, ROUND(SUM(recreation_claude_v2_5!I38,recreation_claude_v2_4!I38,recreation_claude_v2_3!I38,recreation_claude_v2_2!I38,recreation_claude_v2_1!I38)/COUNT(recreation_claude_v2_5!I38,recreation_claude_v2_4!I38,recreation_claude_v2_3!I38,recreation_claude_v2_2!I38,recreation_claude_v2_1!I38),0), "NA")</f>
        <v>1</v>
      </c>
      <c r="J38">
        <f>IF(AND($E38 = 1, $F38 = 1), ROUND(SUM(recreation_claude_v2_5!J38,recreation_claude_v2_4!J38,recreation_claude_v2_3!J38,recreation_claude_v2_2!J38,recreation_claude_v2_1!J38)/COUNT(recreation_claude_v2_5!J38,recreation_claude_v2_4!J38,recreation_claude_v2_3!J38,recreation_claude_v2_2!J38,recreation_claude_v2_1!J38),0), "NA")</f>
        <v>1</v>
      </c>
      <c r="K38">
        <f>IF($D38 = 1, ROUND(SUM(recreation_claude_v2_5!K38,recreation_claude_v2_4!K38,recreation_claude_v2_3!K38,recreation_claude_v2_2!K38,recreation_claude_v2_1!K38)/COUNT(recreation_claude_v2_5!K38,recreation_claude_v2_4!K38,recreation_claude_v2_3!K38,recreation_claude_v2_2!K38,recreation_claude_v2_1!K38),0), "NA")</f>
        <v>1</v>
      </c>
      <c r="L38">
        <f>IF($D38 = 1, ROUND(SUM(recreation_claude_v2_5!L38,recreation_claude_v2_4!L38,recreation_claude_v2_3!L38,recreation_claude_v2_2!L38,recreation_claude_v2_1!L38)/COUNT(recreation_claude_v2_5!L38,recreation_claude_v2_4!L38,recreation_claude_v2_3!L38,recreation_claude_v2_2!L38,recreation_claude_v2_1!L38),0), "NA")</f>
        <v>1</v>
      </c>
      <c r="M38">
        <f>IF($D38 = 1, ROUND(SUM(recreation_claude_v2_5!M38,recreation_claude_v2_4!M38,recreation_claude_v2_3!M38,recreation_claude_v2_2!M38,recreation_claude_v2_1!M38)/COUNT(recreation_claude_v2_5!M38,recreation_claude_v2_4!M38,recreation_claude_v2_3!M38,recreation_claude_v2_2!M38,recreation_claude_v2_1!M38),0), "NA")</f>
        <v>1</v>
      </c>
      <c r="N38">
        <f>IF($D38 = 1, ROUND(SUM(recreation_claude_v2_5!N38,recreation_claude_v2_4!N38,recreation_claude_v2_3!N38,recreation_claude_v2_2!N38,recreation_claude_v2_1!N38)/COUNT(recreation_claude_v2_5!N38,recreation_claude_v2_4!N38,recreation_claude_v2_3!N38,recreation_claude_v2_2!N38,recreation_claude_v2_1!N38),0), "NA")</f>
        <v>1</v>
      </c>
      <c r="O38">
        <v>1.755567312240601</v>
      </c>
    </row>
    <row r="39" spans="1:15" x14ac:dyDescent="0.25">
      <c r="A39" t="s">
        <v>16</v>
      </c>
      <c r="B39" t="s">
        <v>66</v>
      </c>
      <c r="C39">
        <v>0</v>
      </c>
      <c r="D39">
        <f>ROUND(SUM(recreation_claude_v2_5!D39,recreation_claude_v2_4!D39,recreation_claude_v2_3!D39,recreation_claude_v2_2!D39,recreation_claude_v2_1!D39)/COUNT(recreation_claude_v2_5!D39,recreation_claude_v2_4!D39,recreation_claude_v2_3!D39,recreation_claude_v2_2!D39,recreation_claude_v2_1!D39),0)</f>
        <v>1</v>
      </c>
      <c r="E39">
        <f>IF($D39 = 1, ROUND(SUM(recreation_claude_v2_5!E39,recreation_claude_v2_4!E39,recreation_claude_v2_3!E39,recreation_claude_v2_2!E39,recreation_claude_v2_1!E39)/COUNT(recreation_claude_v2_5!E39,recreation_claude_v2_4!E39,recreation_claude_v2_3!E39,recreation_claude_v2_2!E39,recreation_claude_v2_1!E39),0), "NA")</f>
        <v>1</v>
      </c>
      <c r="F39">
        <f>IF($D39 = 1, ROUND(SUM(recreation_claude_v2_5!F39,recreation_claude_v2_4!F39,recreation_claude_v2_3!F39,recreation_claude_v2_2!F39,recreation_claude_v2_1!F39)/COUNT(recreation_claude_v2_5!F39,recreation_claude_v2_4!F39,recreation_claude_v2_3!F39,recreation_claude_v2_2!F39,recreation_claude_v2_1!F39),0), "NA")</f>
        <v>1</v>
      </c>
      <c r="G39">
        <f>IF($D39 = 1, ROUND(SUM(recreation_claude_v2_5!G39,recreation_claude_v2_4!G39,recreation_claude_v2_3!G39,recreation_claude_v2_2!G39,recreation_claude_v2_1!G39)/COUNT(recreation_claude_v2_5!G39,recreation_claude_v2_4!G39,recreation_claude_v2_3!G39,recreation_claude_v2_2!G39,recreation_claude_v2_1!G39),0), "NA")</f>
        <v>1</v>
      </c>
      <c r="H39">
        <f>IF($E39 = 1, ROUND(SUM(recreation_claude_v2_5!H39,recreation_claude_v2_4!H39,recreation_claude_v2_3!H39,recreation_claude_v2_2!H39,recreation_claude_v2_1!H39)/COUNT(recreation_claude_v2_5!H39,recreation_claude_v2_4!H39,recreation_claude_v2_3!H39,recreation_claude_v2_2!H39,recreation_claude_v2_1!H39),0), "NA")</f>
        <v>1</v>
      </c>
      <c r="I39">
        <f>IF($D39 = 1, ROUND(SUM(recreation_claude_v2_5!I39,recreation_claude_v2_4!I39,recreation_claude_v2_3!I39,recreation_claude_v2_2!I39,recreation_claude_v2_1!I39)/COUNT(recreation_claude_v2_5!I39,recreation_claude_v2_4!I39,recreation_claude_v2_3!I39,recreation_claude_v2_2!I39,recreation_claude_v2_1!I39),0), "NA")</f>
        <v>1</v>
      </c>
      <c r="J39">
        <f>IF(AND($E39 = 1, $F39 = 1), ROUND(SUM(recreation_claude_v2_5!J39,recreation_claude_v2_4!J39,recreation_claude_v2_3!J39,recreation_claude_v2_2!J39,recreation_claude_v2_1!J39)/COUNT(recreation_claude_v2_5!J39,recreation_claude_v2_4!J39,recreation_claude_v2_3!J39,recreation_claude_v2_2!J39,recreation_claude_v2_1!J39),0), "NA")</f>
        <v>1</v>
      </c>
      <c r="K39">
        <f>IF($D39 = 1, ROUND(SUM(recreation_claude_v2_5!K39,recreation_claude_v2_4!K39,recreation_claude_v2_3!K39,recreation_claude_v2_2!K39,recreation_claude_v2_1!K39)/COUNT(recreation_claude_v2_5!K39,recreation_claude_v2_4!K39,recreation_claude_v2_3!K39,recreation_claude_v2_2!K39,recreation_claude_v2_1!K39),0), "NA")</f>
        <v>1</v>
      </c>
      <c r="L39">
        <f>IF($D39 = 1, ROUND(SUM(recreation_claude_v2_5!L39,recreation_claude_v2_4!L39,recreation_claude_v2_3!L39,recreation_claude_v2_2!L39,recreation_claude_v2_1!L39)/COUNT(recreation_claude_v2_5!L39,recreation_claude_v2_4!L39,recreation_claude_v2_3!L39,recreation_claude_v2_2!L39,recreation_claude_v2_1!L39),0), "NA")</f>
        <v>1</v>
      </c>
      <c r="M39">
        <f>IF($D39 = 1, ROUND(SUM(recreation_claude_v2_5!M39,recreation_claude_v2_4!M39,recreation_claude_v2_3!M39,recreation_claude_v2_2!M39,recreation_claude_v2_1!M39)/COUNT(recreation_claude_v2_5!M39,recreation_claude_v2_4!M39,recreation_claude_v2_3!M39,recreation_claude_v2_2!M39,recreation_claude_v2_1!M39),0), "NA")</f>
        <v>1</v>
      </c>
      <c r="N39">
        <f>IF($D39 = 1, ROUND(SUM(recreation_claude_v2_5!N39,recreation_claude_v2_4!N39,recreation_claude_v2_3!N39,recreation_claude_v2_2!N39,recreation_claude_v2_1!N39)/COUNT(recreation_claude_v2_5!N39,recreation_claude_v2_4!N39,recreation_claude_v2_3!N39,recreation_claude_v2_2!N39,recreation_claude_v2_1!N39),0), "NA")</f>
        <v>1</v>
      </c>
      <c r="O39">
        <v>2.0269827842712398</v>
      </c>
    </row>
    <row r="40" spans="1:15" x14ac:dyDescent="0.25">
      <c r="A40" t="s">
        <v>16</v>
      </c>
      <c r="B40" t="s">
        <v>67</v>
      </c>
      <c r="C40">
        <v>0</v>
      </c>
      <c r="D40">
        <f>ROUND(SUM(recreation_claude_v2_5!D40,recreation_claude_v2_4!D40,recreation_claude_v2_3!D40,recreation_claude_v2_2!D40,recreation_claude_v2_1!D40)/COUNT(recreation_claude_v2_5!D40,recreation_claude_v2_4!D40,recreation_claude_v2_3!D40,recreation_claude_v2_2!D40,recreation_claude_v2_1!D40),0)</f>
        <v>1</v>
      </c>
      <c r="E40">
        <f>IF($D40 = 1, ROUND(SUM(recreation_claude_v2_5!E40,recreation_claude_v2_4!E40,recreation_claude_v2_3!E40,recreation_claude_v2_2!E40,recreation_claude_v2_1!E40)/COUNT(recreation_claude_v2_5!E40,recreation_claude_v2_4!E40,recreation_claude_v2_3!E40,recreation_claude_v2_2!E40,recreation_claude_v2_1!E40),0), "NA")</f>
        <v>1</v>
      </c>
      <c r="F40">
        <f>IF($D40 = 1, ROUND(SUM(recreation_claude_v2_5!F40,recreation_claude_v2_4!F40,recreation_claude_v2_3!F40,recreation_claude_v2_2!F40,recreation_claude_v2_1!F40)/COUNT(recreation_claude_v2_5!F40,recreation_claude_v2_4!F40,recreation_claude_v2_3!F40,recreation_claude_v2_2!F40,recreation_claude_v2_1!F40),0), "NA")</f>
        <v>1</v>
      </c>
      <c r="G40">
        <f>IF($D40 = 1, ROUND(SUM(recreation_claude_v2_5!G40,recreation_claude_v2_4!G40,recreation_claude_v2_3!G40,recreation_claude_v2_2!G40,recreation_claude_v2_1!G40)/COUNT(recreation_claude_v2_5!G40,recreation_claude_v2_4!G40,recreation_claude_v2_3!G40,recreation_claude_v2_2!G40,recreation_claude_v2_1!G40),0), "NA")</f>
        <v>1</v>
      </c>
      <c r="H40">
        <f>IF($E40 = 1, ROUND(SUM(recreation_claude_v2_5!H40,recreation_claude_v2_4!H40,recreation_claude_v2_3!H40,recreation_claude_v2_2!H40,recreation_claude_v2_1!H40)/COUNT(recreation_claude_v2_5!H40,recreation_claude_v2_4!H40,recreation_claude_v2_3!H40,recreation_claude_v2_2!H40,recreation_claude_v2_1!H40),0), "NA")</f>
        <v>1</v>
      </c>
      <c r="I40">
        <f>IF($D40 = 1, ROUND(SUM(recreation_claude_v2_5!I40,recreation_claude_v2_4!I40,recreation_claude_v2_3!I40,recreation_claude_v2_2!I40,recreation_claude_v2_1!I40)/COUNT(recreation_claude_v2_5!I40,recreation_claude_v2_4!I40,recreation_claude_v2_3!I40,recreation_claude_v2_2!I40,recreation_claude_v2_1!I40),0), "NA")</f>
        <v>1</v>
      </c>
      <c r="J40">
        <f>IF(AND($E40 = 1, $F40 = 1), ROUND(SUM(recreation_claude_v2_5!J40,recreation_claude_v2_4!J40,recreation_claude_v2_3!J40,recreation_claude_v2_2!J40,recreation_claude_v2_1!J40)/COUNT(recreation_claude_v2_5!J40,recreation_claude_v2_4!J40,recreation_claude_v2_3!J40,recreation_claude_v2_2!J40,recreation_claude_v2_1!J40),0), "NA")</f>
        <v>1</v>
      </c>
      <c r="K40">
        <f>IF($D40 = 1, ROUND(SUM(recreation_claude_v2_5!K40,recreation_claude_v2_4!K40,recreation_claude_v2_3!K40,recreation_claude_v2_2!K40,recreation_claude_v2_1!K40)/COUNT(recreation_claude_v2_5!K40,recreation_claude_v2_4!K40,recreation_claude_v2_3!K40,recreation_claude_v2_2!K40,recreation_claude_v2_1!K40),0), "NA")</f>
        <v>1</v>
      </c>
      <c r="L40">
        <f>IF($D40 = 1, ROUND(SUM(recreation_claude_v2_5!L40,recreation_claude_v2_4!L40,recreation_claude_v2_3!L40,recreation_claude_v2_2!L40,recreation_claude_v2_1!L40)/COUNT(recreation_claude_v2_5!L40,recreation_claude_v2_4!L40,recreation_claude_v2_3!L40,recreation_claude_v2_2!L40,recreation_claude_v2_1!L40),0), "NA")</f>
        <v>1</v>
      </c>
      <c r="M40">
        <f>IF($D40 = 1, ROUND(SUM(recreation_claude_v2_5!M40,recreation_claude_v2_4!M40,recreation_claude_v2_3!M40,recreation_claude_v2_2!M40,recreation_claude_v2_1!M40)/COUNT(recreation_claude_v2_5!M40,recreation_claude_v2_4!M40,recreation_claude_v2_3!M40,recreation_claude_v2_2!M40,recreation_claude_v2_1!M40),0), "NA")</f>
        <v>1</v>
      </c>
      <c r="N40">
        <f>IF($D40 = 1, ROUND(SUM(recreation_claude_v2_5!N40,recreation_claude_v2_4!N40,recreation_claude_v2_3!N40,recreation_claude_v2_2!N40,recreation_claude_v2_1!N40)/COUNT(recreation_claude_v2_5!N40,recreation_claude_v2_4!N40,recreation_claude_v2_3!N40,recreation_claude_v2_2!N40,recreation_claude_v2_1!N40),0), "NA")</f>
        <v>1</v>
      </c>
      <c r="O40">
        <v>3.2056784629821782</v>
      </c>
    </row>
    <row r="41" spans="1:15" x14ac:dyDescent="0.25">
      <c r="A41" t="s">
        <v>16</v>
      </c>
      <c r="B41" t="s">
        <v>69</v>
      </c>
      <c r="C41">
        <v>0</v>
      </c>
      <c r="D41">
        <f>ROUND(SUM(recreation_claude_v2_5!D41,recreation_claude_v2_4!D41,recreation_claude_v2_3!D41,recreation_claude_v2_2!D41,recreation_claude_v2_1!D41)/COUNT(recreation_claude_v2_5!D41,recreation_claude_v2_4!D41,recreation_claude_v2_3!D41,recreation_claude_v2_2!D41,recreation_claude_v2_1!D41),0)</f>
        <v>0</v>
      </c>
      <c r="E41" t="str">
        <f>IF($D41 = 1, ROUND(SUM(recreation_claude_v2_5!E41,recreation_claude_v2_4!E41,recreation_claude_v2_3!E41,recreation_claude_v2_2!E41,recreation_claude_v2_1!E41)/COUNT(recreation_claude_v2_5!E41,recreation_claude_v2_4!E41,recreation_claude_v2_3!E41,recreation_claude_v2_2!E41,recreation_claude_v2_1!E41),0), "NA")</f>
        <v>NA</v>
      </c>
      <c r="F41" t="str">
        <f>IF($D41 = 1, ROUND(SUM(recreation_claude_v2_5!F41,recreation_claude_v2_4!F41,recreation_claude_v2_3!F41,recreation_claude_v2_2!F41,recreation_claude_v2_1!F41)/COUNT(recreation_claude_v2_5!F41,recreation_claude_v2_4!F41,recreation_claude_v2_3!F41,recreation_claude_v2_2!F41,recreation_claude_v2_1!F41),0), "NA")</f>
        <v>NA</v>
      </c>
      <c r="G41" t="str">
        <f>IF($D41 = 1, ROUND(SUM(recreation_claude_v2_5!G41,recreation_claude_v2_4!G41,recreation_claude_v2_3!G41,recreation_claude_v2_2!G41,recreation_claude_v2_1!G41)/COUNT(recreation_claude_v2_5!G41,recreation_claude_v2_4!G41,recreation_claude_v2_3!G41,recreation_claude_v2_2!G41,recreation_claude_v2_1!G41),0), "NA")</f>
        <v>NA</v>
      </c>
      <c r="H41" t="str">
        <f>IF($E41 = 1, ROUND(SUM(recreation_claude_v2_5!H41,recreation_claude_v2_4!H41,recreation_claude_v2_3!H41,recreation_claude_v2_2!H41,recreation_claude_v2_1!H41)/COUNT(recreation_claude_v2_5!H41,recreation_claude_v2_4!H41,recreation_claude_v2_3!H41,recreation_claude_v2_2!H41,recreation_claude_v2_1!H41),0), "NA")</f>
        <v>NA</v>
      </c>
      <c r="I41" t="str">
        <f>IF($D41 = 1, ROUND(SUM(recreation_claude_v2_5!I41,recreation_claude_v2_4!I41,recreation_claude_v2_3!I41,recreation_claude_v2_2!I41,recreation_claude_v2_1!I41)/COUNT(recreation_claude_v2_5!I41,recreation_claude_v2_4!I41,recreation_claude_v2_3!I41,recreation_claude_v2_2!I41,recreation_claude_v2_1!I41),0), "NA")</f>
        <v>NA</v>
      </c>
      <c r="J41" t="str">
        <f>IF(AND($E41 = 1, $F41 = 1), ROUND(SUM(recreation_claude_v2_5!J41,recreation_claude_v2_4!J41,recreation_claude_v2_3!J41,recreation_claude_v2_2!J41,recreation_claude_v2_1!J41)/COUNT(recreation_claude_v2_5!J41,recreation_claude_v2_4!J41,recreation_claude_v2_3!J41,recreation_claude_v2_2!J41,recreation_claude_v2_1!J41),0), "NA")</f>
        <v>NA</v>
      </c>
      <c r="K41" t="str">
        <f>IF($D41 = 1, ROUND(SUM(recreation_claude_v2_5!K41,recreation_claude_v2_4!K41,recreation_claude_v2_3!K41,recreation_claude_v2_2!K41,recreation_claude_v2_1!K41)/COUNT(recreation_claude_v2_5!K41,recreation_claude_v2_4!K41,recreation_claude_v2_3!K41,recreation_claude_v2_2!K41,recreation_claude_v2_1!K41),0), "NA")</f>
        <v>NA</v>
      </c>
      <c r="L41" t="str">
        <f>IF($D41 = 1, ROUND(SUM(recreation_claude_v2_5!L41,recreation_claude_v2_4!L41,recreation_claude_v2_3!L41,recreation_claude_v2_2!L41,recreation_claude_v2_1!L41)/COUNT(recreation_claude_v2_5!L41,recreation_claude_v2_4!L41,recreation_claude_v2_3!L41,recreation_claude_v2_2!L41,recreation_claude_v2_1!L41),0), "NA")</f>
        <v>NA</v>
      </c>
      <c r="M41" t="str">
        <f>IF($D41 = 1, ROUND(SUM(recreation_claude_v2_5!M41,recreation_claude_v2_4!M41,recreation_claude_v2_3!M41,recreation_claude_v2_2!M41,recreation_claude_v2_1!M41)/COUNT(recreation_claude_v2_5!M41,recreation_claude_v2_4!M41,recreation_claude_v2_3!M41,recreation_claude_v2_2!M41,recreation_claude_v2_1!M41),0), "NA")</f>
        <v>NA</v>
      </c>
      <c r="N41" t="str">
        <f>IF($D41 = 1, ROUND(SUM(recreation_claude_v2_5!N41,recreation_claude_v2_4!N41,recreation_claude_v2_3!N41,recreation_claude_v2_2!N41,recreation_claude_v2_1!N41)/COUNT(recreation_claude_v2_5!N41,recreation_claude_v2_4!N41,recreation_claude_v2_3!N41,recreation_claude_v2_2!N41,recreation_claude_v2_1!N41),0), "NA")</f>
        <v>NA</v>
      </c>
      <c r="O41">
        <v>3.5132255554199219</v>
      </c>
    </row>
    <row r="42" spans="1:15" x14ac:dyDescent="0.25">
      <c r="A42" t="s">
        <v>16</v>
      </c>
      <c r="B42" t="s">
        <v>70</v>
      </c>
      <c r="C42">
        <v>0</v>
      </c>
      <c r="D42">
        <f>ROUND(SUM(recreation_claude_v2_5!D42,recreation_claude_v2_4!D42,recreation_claude_v2_3!D42,recreation_claude_v2_2!D42,recreation_claude_v2_1!D42)/COUNT(recreation_claude_v2_5!D42,recreation_claude_v2_4!D42,recreation_claude_v2_3!D42,recreation_claude_v2_2!D42,recreation_claude_v2_1!D42),0)</f>
        <v>1</v>
      </c>
      <c r="E42">
        <f>IF($D42 = 1, ROUND(SUM(recreation_claude_v2_5!E42,recreation_claude_v2_4!E42,recreation_claude_v2_3!E42,recreation_claude_v2_2!E42,recreation_claude_v2_1!E42)/COUNT(recreation_claude_v2_5!E42,recreation_claude_v2_4!E42,recreation_claude_v2_3!E42,recreation_claude_v2_2!E42,recreation_claude_v2_1!E42),0), "NA")</f>
        <v>1</v>
      </c>
      <c r="F42">
        <f>IF($D42 = 1, ROUND(SUM(recreation_claude_v2_5!F42,recreation_claude_v2_4!F42,recreation_claude_v2_3!F42,recreation_claude_v2_2!F42,recreation_claude_v2_1!F42)/COUNT(recreation_claude_v2_5!F42,recreation_claude_v2_4!F42,recreation_claude_v2_3!F42,recreation_claude_v2_2!F42,recreation_claude_v2_1!F42),0), "NA")</f>
        <v>1</v>
      </c>
      <c r="G42">
        <f>IF($D42 = 1, ROUND(SUM(recreation_claude_v2_5!G42,recreation_claude_v2_4!G42,recreation_claude_v2_3!G42,recreation_claude_v2_2!G42,recreation_claude_v2_1!G42)/COUNT(recreation_claude_v2_5!G42,recreation_claude_v2_4!G42,recreation_claude_v2_3!G42,recreation_claude_v2_2!G42,recreation_claude_v2_1!G42),0), "NA")</f>
        <v>1</v>
      </c>
      <c r="H42">
        <f>IF($E42 = 1, ROUND(SUM(recreation_claude_v2_5!H42,recreation_claude_v2_4!H42,recreation_claude_v2_3!H42,recreation_claude_v2_2!H42,recreation_claude_v2_1!H42)/COUNT(recreation_claude_v2_5!H42,recreation_claude_v2_4!H42,recreation_claude_v2_3!H42,recreation_claude_v2_2!H42,recreation_claude_v2_1!H42),0), "NA")</f>
        <v>1</v>
      </c>
      <c r="I42">
        <f>IF($D42 = 1, ROUND(SUM(recreation_claude_v2_5!I42,recreation_claude_v2_4!I42,recreation_claude_v2_3!I42,recreation_claude_v2_2!I42,recreation_claude_v2_1!I42)/COUNT(recreation_claude_v2_5!I42,recreation_claude_v2_4!I42,recreation_claude_v2_3!I42,recreation_claude_v2_2!I42,recreation_claude_v2_1!I42),0), "NA")</f>
        <v>1</v>
      </c>
      <c r="J42">
        <f>IF(AND($E42 = 1, $F42 = 1), ROUND(SUM(recreation_claude_v2_5!J42,recreation_claude_v2_4!J42,recreation_claude_v2_3!J42,recreation_claude_v2_2!J42,recreation_claude_v2_1!J42)/COUNT(recreation_claude_v2_5!J42,recreation_claude_v2_4!J42,recreation_claude_v2_3!J42,recreation_claude_v2_2!J42,recreation_claude_v2_1!J42),0), "NA")</f>
        <v>1</v>
      </c>
      <c r="K42">
        <f>IF($D42 = 1, ROUND(SUM(recreation_claude_v2_5!K42,recreation_claude_v2_4!K42,recreation_claude_v2_3!K42,recreation_claude_v2_2!K42,recreation_claude_v2_1!K42)/COUNT(recreation_claude_v2_5!K42,recreation_claude_v2_4!K42,recreation_claude_v2_3!K42,recreation_claude_v2_2!K42,recreation_claude_v2_1!K42),0), "NA")</f>
        <v>1</v>
      </c>
      <c r="L42">
        <f>IF($D42 = 1, ROUND(SUM(recreation_claude_v2_5!L42,recreation_claude_v2_4!L42,recreation_claude_v2_3!L42,recreation_claude_v2_2!L42,recreation_claude_v2_1!L42)/COUNT(recreation_claude_v2_5!L42,recreation_claude_v2_4!L42,recreation_claude_v2_3!L42,recreation_claude_v2_2!L42,recreation_claude_v2_1!L42),0), "NA")</f>
        <v>1</v>
      </c>
      <c r="M42">
        <f>IF($D42 = 1, ROUND(SUM(recreation_claude_v2_5!M42,recreation_claude_v2_4!M42,recreation_claude_v2_3!M42,recreation_claude_v2_2!M42,recreation_claude_v2_1!M42)/COUNT(recreation_claude_v2_5!M42,recreation_claude_v2_4!M42,recreation_claude_v2_3!M42,recreation_claude_v2_2!M42,recreation_claude_v2_1!M42),0), "NA")</f>
        <v>1</v>
      </c>
      <c r="N42">
        <f>IF($D42 = 1, ROUND(SUM(recreation_claude_v2_5!N42,recreation_claude_v2_4!N42,recreation_claude_v2_3!N42,recreation_claude_v2_2!N42,recreation_claude_v2_1!N42)/COUNT(recreation_claude_v2_5!N42,recreation_claude_v2_4!N42,recreation_claude_v2_3!N42,recreation_claude_v2_2!N42,recreation_claude_v2_1!N42),0), "NA")</f>
        <v>1</v>
      </c>
      <c r="O42">
        <v>1.8133871555328369</v>
      </c>
    </row>
    <row r="43" spans="1:15" x14ac:dyDescent="0.25">
      <c r="A43" t="s">
        <v>16</v>
      </c>
      <c r="B43" t="s">
        <v>71</v>
      </c>
      <c r="C43">
        <v>0</v>
      </c>
      <c r="D43">
        <f>ROUND(SUM(recreation_claude_v2_5!D43,recreation_claude_v2_4!D43,recreation_claude_v2_3!D43,recreation_claude_v2_2!D43,recreation_claude_v2_1!D43)/COUNT(recreation_claude_v2_5!D43,recreation_claude_v2_4!D43,recreation_claude_v2_3!D43,recreation_claude_v2_2!D43,recreation_claude_v2_1!D43),0)</f>
        <v>1</v>
      </c>
      <c r="E43">
        <f>IF($D43 = 1, ROUND(SUM(recreation_claude_v2_5!E43,recreation_claude_v2_4!E43,recreation_claude_v2_3!E43,recreation_claude_v2_2!E43,recreation_claude_v2_1!E43)/COUNT(recreation_claude_v2_5!E43,recreation_claude_v2_4!E43,recreation_claude_v2_3!E43,recreation_claude_v2_2!E43,recreation_claude_v2_1!E43),0), "NA")</f>
        <v>1</v>
      </c>
      <c r="F43">
        <f>IF($D43 = 1, ROUND(SUM(recreation_claude_v2_5!F43,recreation_claude_v2_4!F43,recreation_claude_v2_3!F43,recreation_claude_v2_2!F43,recreation_claude_v2_1!F43)/COUNT(recreation_claude_v2_5!F43,recreation_claude_v2_4!F43,recreation_claude_v2_3!F43,recreation_claude_v2_2!F43,recreation_claude_v2_1!F43),0), "NA")</f>
        <v>1</v>
      </c>
      <c r="G43">
        <f>IF($D43 = 1, ROUND(SUM(recreation_claude_v2_5!G43,recreation_claude_v2_4!G43,recreation_claude_v2_3!G43,recreation_claude_v2_2!G43,recreation_claude_v2_1!G43)/COUNT(recreation_claude_v2_5!G43,recreation_claude_v2_4!G43,recreation_claude_v2_3!G43,recreation_claude_v2_2!G43,recreation_claude_v2_1!G43),0), "NA")</f>
        <v>1</v>
      </c>
      <c r="H43">
        <f>IF($E43 = 1, ROUND(SUM(recreation_claude_v2_5!H43,recreation_claude_v2_4!H43,recreation_claude_v2_3!H43,recreation_claude_v2_2!H43,recreation_claude_v2_1!H43)/COUNT(recreation_claude_v2_5!H43,recreation_claude_v2_4!H43,recreation_claude_v2_3!H43,recreation_claude_v2_2!H43,recreation_claude_v2_1!H43),0), "NA")</f>
        <v>1</v>
      </c>
      <c r="I43">
        <f>IF($D43 = 1, ROUND(SUM(recreation_claude_v2_5!I43,recreation_claude_v2_4!I43,recreation_claude_v2_3!I43,recreation_claude_v2_2!I43,recreation_claude_v2_1!I43)/COUNT(recreation_claude_v2_5!I43,recreation_claude_v2_4!I43,recreation_claude_v2_3!I43,recreation_claude_v2_2!I43,recreation_claude_v2_1!I43),0), "NA")</f>
        <v>1</v>
      </c>
      <c r="J43">
        <f>IF(AND($E43 = 1, $F43 = 1), ROUND(SUM(recreation_claude_v2_5!J43,recreation_claude_v2_4!J43,recreation_claude_v2_3!J43,recreation_claude_v2_2!J43,recreation_claude_v2_1!J43)/COUNT(recreation_claude_v2_5!J43,recreation_claude_v2_4!J43,recreation_claude_v2_3!J43,recreation_claude_v2_2!J43,recreation_claude_v2_1!J43),0), "NA")</f>
        <v>1</v>
      </c>
      <c r="K43">
        <f>IF($D43 = 1, ROUND(SUM(recreation_claude_v2_5!K43,recreation_claude_v2_4!K43,recreation_claude_v2_3!K43,recreation_claude_v2_2!K43,recreation_claude_v2_1!K43)/COUNT(recreation_claude_v2_5!K43,recreation_claude_v2_4!K43,recreation_claude_v2_3!K43,recreation_claude_v2_2!K43,recreation_claude_v2_1!K43),0), "NA")</f>
        <v>1</v>
      </c>
      <c r="L43">
        <f>IF($D43 = 1, ROUND(SUM(recreation_claude_v2_5!L43,recreation_claude_v2_4!L43,recreation_claude_v2_3!L43,recreation_claude_v2_2!L43,recreation_claude_v2_1!L43)/COUNT(recreation_claude_v2_5!L43,recreation_claude_v2_4!L43,recreation_claude_v2_3!L43,recreation_claude_v2_2!L43,recreation_claude_v2_1!L43),0), "NA")</f>
        <v>1</v>
      </c>
      <c r="M43">
        <f>IF($D43 = 1, ROUND(SUM(recreation_claude_v2_5!M43,recreation_claude_v2_4!M43,recreation_claude_v2_3!M43,recreation_claude_v2_2!M43,recreation_claude_v2_1!M43)/COUNT(recreation_claude_v2_5!M43,recreation_claude_v2_4!M43,recreation_claude_v2_3!M43,recreation_claude_v2_2!M43,recreation_claude_v2_1!M43),0), "NA")</f>
        <v>1</v>
      </c>
      <c r="N43">
        <f>IF($D43 = 1, ROUND(SUM(recreation_claude_v2_5!N43,recreation_claude_v2_4!N43,recreation_claude_v2_3!N43,recreation_claude_v2_2!N43,recreation_claude_v2_1!N43)/COUNT(recreation_claude_v2_5!N43,recreation_claude_v2_4!N43,recreation_claude_v2_3!N43,recreation_claude_v2_2!N43,recreation_claude_v2_1!N43),0), "NA")</f>
        <v>1</v>
      </c>
      <c r="O43">
        <v>1.436041593551636</v>
      </c>
    </row>
    <row r="44" spans="1:15" x14ac:dyDescent="0.25">
      <c r="A44" t="s">
        <v>16</v>
      </c>
      <c r="B44" t="s">
        <v>72</v>
      </c>
      <c r="C44">
        <v>0</v>
      </c>
      <c r="D44">
        <f>ROUND(SUM(recreation_claude_v2_5!D44,recreation_claude_v2_4!D44,recreation_claude_v2_3!D44,recreation_claude_v2_2!D44,recreation_claude_v2_1!D44)/COUNT(recreation_claude_v2_5!D44,recreation_claude_v2_4!D44,recreation_claude_v2_3!D44,recreation_claude_v2_2!D44,recreation_claude_v2_1!D44),0)</f>
        <v>1</v>
      </c>
      <c r="E44">
        <f>IF($D44 = 1, ROUND(SUM(recreation_claude_v2_5!E44,recreation_claude_v2_4!E44,recreation_claude_v2_3!E44,recreation_claude_v2_2!E44,recreation_claude_v2_1!E44)/COUNT(recreation_claude_v2_5!E44,recreation_claude_v2_4!E44,recreation_claude_v2_3!E44,recreation_claude_v2_2!E44,recreation_claude_v2_1!E44),0), "NA")</f>
        <v>1</v>
      </c>
      <c r="F44">
        <f>IF($D44 = 1, ROUND(SUM(recreation_claude_v2_5!F44,recreation_claude_v2_4!F44,recreation_claude_v2_3!F44,recreation_claude_v2_2!F44,recreation_claude_v2_1!F44)/COUNT(recreation_claude_v2_5!F44,recreation_claude_v2_4!F44,recreation_claude_v2_3!F44,recreation_claude_v2_2!F44,recreation_claude_v2_1!F44),0), "NA")</f>
        <v>0</v>
      </c>
      <c r="G44">
        <f>IF($D44 = 1, ROUND(SUM(recreation_claude_v2_5!G44,recreation_claude_v2_4!G44,recreation_claude_v2_3!G44,recreation_claude_v2_2!G44,recreation_claude_v2_1!G44)/COUNT(recreation_claude_v2_5!G44,recreation_claude_v2_4!G44,recreation_claude_v2_3!G44,recreation_claude_v2_2!G44,recreation_claude_v2_1!G44),0), "NA")</f>
        <v>1</v>
      </c>
      <c r="H44">
        <f>IF($E44 = 1, ROUND(SUM(recreation_claude_v2_5!H44,recreation_claude_v2_4!H44,recreation_claude_v2_3!H44,recreation_claude_v2_2!H44,recreation_claude_v2_1!H44)/COUNT(recreation_claude_v2_5!H44,recreation_claude_v2_4!H44,recreation_claude_v2_3!H44,recreation_claude_v2_2!H44,recreation_claude_v2_1!H44),0), "NA")</f>
        <v>1</v>
      </c>
      <c r="I44">
        <f>IF($D44 = 1, ROUND(SUM(recreation_claude_v2_5!I44,recreation_claude_v2_4!I44,recreation_claude_v2_3!I44,recreation_claude_v2_2!I44,recreation_claude_v2_1!I44)/COUNT(recreation_claude_v2_5!I44,recreation_claude_v2_4!I44,recreation_claude_v2_3!I44,recreation_claude_v2_2!I44,recreation_claude_v2_1!I44),0), "NA")</f>
        <v>1</v>
      </c>
      <c r="J44" t="str">
        <f>IF(AND($E44 = 1, $F44 = 1), ROUND(SUM(recreation_claude_v2_5!J44,recreation_claude_v2_4!J44,recreation_claude_v2_3!J44,recreation_claude_v2_2!J44,recreation_claude_v2_1!J44)/COUNT(recreation_claude_v2_5!J44,recreation_claude_v2_4!J44,recreation_claude_v2_3!J44,recreation_claude_v2_2!J44,recreation_claude_v2_1!J44),0), "NA")</f>
        <v>NA</v>
      </c>
      <c r="K44">
        <f>IF($D44 = 1, ROUND(SUM(recreation_claude_v2_5!K44,recreation_claude_v2_4!K44,recreation_claude_v2_3!K44,recreation_claude_v2_2!K44,recreation_claude_v2_1!K44)/COUNT(recreation_claude_v2_5!K44,recreation_claude_v2_4!K44,recreation_claude_v2_3!K44,recreation_claude_v2_2!K44,recreation_claude_v2_1!K44),0), "NA")</f>
        <v>1</v>
      </c>
      <c r="L44">
        <f>IF($D44 = 1, ROUND(SUM(recreation_claude_v2_5!L44,recreation_claude_v2_4!L44,recreation_claude_v2_3!L44,recreation_claude_v2_2!L44,recreation_claude_v2_1!L44)/COUNT(recreation_claude_v2_5!L44,recreation_claude_v2_4!L44,recreation_claude_v2_3!L44,recreation_claude_v2_2!L44,recreation_claude_v2_1!L44),0), "NA")</f>
        <v>1</v>
      </c>
      <c r="M44">
        <f>IF($D44 = 1, ROUND(SUM(recreation_claude_v2_5!M44,recreation_claude_v2_4!M44,recreation_claude_v2_3!M44,recreation_claude_v2_2!M44,recreation_claude_v2_1!M44)/COUNT(recreation_claude_v2_5!M44,recreation_claude_v2_4!M44,recreation_claude_v2_3!M44,recreation_claude_v2_2!M44,recreation_claude_v2_1!M44),0), "NA")</f>
        <v>1</v>
      </c>
      <c r="N44">
        <f>IF($D44 = 1, ROUND(SUM(recreation_claude_v2_5!N44,recreation_claude_v2_4!N44,recreation_claude_v2_3!N44,recreation_claude_v2_2!N44,recreation_claude_v2_1!N44)/COUNT(recreation_claude_v2_5!N44,recreation_claude_v2_4!N44,recreation_claude_v2_3!N44,recreation_claude_v2_2!N44,recreation_claude_v2_1!N44),0), "NA")</f>
        <v>1</v>
      </c>
      <c r="O44">
        <v>3.4327347278594971</v>
      </c>
    </row>
    <row r="45" spans="1:15" x14ac:dyDescent="0.25">
      <c r="A45" t="s">
        <v>16</v>
      </c>
      <c r="B45" t="s">
        <v>74</v>
      </c>
      <c r="C45">
        <v>0</v>
      </c>
      <c r="D45">
        <f>ROUND(SUM(recreation_claude_v2_5!D45,recreation_claude_v2_4!D45,recreation_claude_v2_3!D45,recreation_claude_v2_2!D45,recreation_claude_v2_1!D45)/COUNT(recreation_claude_v2_5!D45,recreation_claude_v2_4!D45,recreation_claude_v2_3!D45,recreation_claude_v2_2!D45,recreation_claude_v2_1!D45),0)</f>
        <v>1</v>
      </c>
      <c r="E45">
        <f>IF($D45 = 1, ROUND(SUM(recreation_claude_v2_5!E45,recreation_claude_v2_4!E45,recreation_claude_v2_3!E45,recreation_claude_v2_2!E45,recreation_claude_v2_1!E45)/COUNT(recreation_claude_v2_5!E45,recreation_claude_v2_4!E45,recreation_claude_v2_3!E45,recreation_claude_v2_2!E45,recreation_claude_v2_1!E45),0), "NA")</f>
        <v>1</v>
      </c>
      <c r="F45">
        <f>IF($D45 = 1, ROUND(SUM(recreation_claude_v2_5!F45,recreation_claude_v2_4!F45,recreation_claude_v2_3!F45,recreation_claude_v2_2!F45,recreation_claude_v2_1!F45)/COUNT(recreation_claude_v2_5!F45,recreation_claude_v2_4!F45,recreation_claude_v2_3!F45,recreation_claude_v2_2!F45,recreation_claude_v2_1!F45),0), "NA")</f>
        <v>1</v>
      </c>
      <c r="G45">
        <f>IF($D45 = 1, ROUND(SUM(recreation_claude_v2_5!G45,recreation_claude_v2_4!G45,recreation_claude_v2_3!G45,recreation_claude_v2_2!G45,recreation_claude_v2_1!G45)/COUNT(recreation_claude_v2_5!G45,recreation_claude_v2_4!G45,recreation_claude_v2_3!G45,recreation_claude_v2_2!G45,recreation_claude_v2_1!G45),0), "NA")</f>
        <v>1</v>
      </c>
      <c r="H45">
        <f>IF($E45 = 1, ROUND(SUM(recreation_claude_v2_5!H45,recreation_claude_v2_4!H45,recreation_claude_v2_3!H45,recreation_claude_v2_2!H45,recreation_claude_v2_1!H45)/COUNT(recreation_claude_v2_5!H45,recreation_claude_v2_4!H45,recreation_claude_v2_3!H45,recreation_claude_v2_2!H45,recreation_claude_v2_1!H45),0), "NA")</f>
        <v>1</v>
      </c>
      <c r="I45">
        <f>IF($D45 = 1, ROUND(SUM(recreation_claude_v2_5!I45,recreation_claude_v2_4!I45,recreation_claude_v2_3!I45,recreation_claude_v2_2!I45,recreation_claude_v2_1!I45)/COUNT(recreation_claude_v2_5!I45,recreation_claude_v2_4!I45,recreation_claude_v2_3!I45,recreation_claude_v2_2!I45,recreation_claude_v2_1!I45),0), "NA")</f>
        <v>1</v>
      </c>
      <c r="J45">
        <f>IF(AND($E45 = 1, $F45 = 1), ROUND(SUM(recreation_claude_v2_5!J45,recreation_claude_v2_4!J45,recreation_claude_v2_3!J45,recreation_claude_v2_2!J45,recreation_claude_v2_1!J45)/COUNT(recreation_claude_v2_5!J45,recreation_claude_v2_4!J45,recreation_claude_v2_3!J45,recreation_claude_v2_2!J45,recreation_claude_v2_1!J45),0), "NA")</f>
        <v>1</v>
      </c>
      <c r="K45">
        <f>IF($D45 = 1, ROUND(SUM(recreation_claude_v2_5!K45,recreation_claude_v2_4!K45,recreation_claude_v2_3!K45,recreation_claude_v2_2!K45,recreation_claude_v2_1!K45)/COUNT(recreation_claude_v2_5!K45,recreation_claude_v2_4!K45,recreation_claude_v2_3!K45,recreation_claude_v2_2!K45,recreation_claude_v2_1!K45),0), "NA")</f>
        <v>1</v>
      </c>
      <c r="L45">
        <f>IF($D45 = 1, ROUND(SUM(recreation_claude_v2_5!L45,recreation_claude_v2_4!L45,recreation_claude_v2_3!L45,recreation_claude_v2_2!L45,recreation_claude_v2_1!L45)/COUNT(recreation_claude_v2_5!L45,recreation_claude_v2_4!L45,recreation_claude_v2_3!L45,recreation_claude_v2_2!L45,recreation_claude_v2_1!L45),0), "NA")</f>
        <v>1</v>
      </c>
      <c r="M45">
        <f>IF($D45 = 1, ROUND(SUM(recreation_claude_v2_5!M45,recreation_claude_v2_4!M45,recreation_claude_v2_3!M45,recreation_claude_v2_2!M45,recreation_claude_v2_1!M45)/COUNT(recreation_claude_v2_5!M45,recreation_claude_v2_4!M45,recreation_claude_v2_3!M45,recreation_claude_v2_2!M45,recreation_claude_v2_1!M45),0), "NA")</f>
        <v>1</v>
      </c>
      <c r="N45">
        <f>IF($D45 = 1, ROUND(SUM(recreation_claude_v2_5!N45,recreation_claude_v2_4!N45,recreation_claude_v2_3!N45,recreation_claude_v2_2!N45,recreation_claude_v2_1!N45)/COUNT(recreation_claude_v2_5!N45,recreation_claude_v2_4!N45,recreation_claude_v2_3!N45,recreation_claude_v2_2!N45,recreation_claude_v2_1!N45),0), "NA")</f>
        <v>1</v>
      </c>
      <c r="O45">
        <v>1.737818717956543</v>
      </c>
    </row>
    <row r="46" spans="1:15" x14ac:dyDescent="0.25">
      <c r="A46" t="s">
        <v>16</v>
      </c>
      <c r="B46" t="s">
        <v>75</v>
      </c>
      <c r="C46">
        <v>0</v>
      </c>
      <c r="D46">
        <f>ROUND(SUM(recreation_claude_v2_5!D46,recreation_claude_v2_4!D46,recreation_claude_v2_3!D46,recreation_claude_v2_2!D46,recreation_claude_v2_1!D46)/COUNT(recreation_claude_v2_5!D46,recreation_claude_v2_4!D46,recreation_claude_v2_3!D46,recreation_claude_v2_2!D46,recreation_claude_v2_1!D46),0)</f>
        <v>1</v>
      </c>
      <c r="E46">
        <f>IF($D46 = 1, ROUND(SUM(recreation_claude_v2_5!E46,recreation_claude_v2_4!E46,recreation_claude_v2_3!E46,recreation_claude_v2_2!E46,recreation_claude_v2_1!E46)/COUNT(recreation_claude_v2_5!E46,recreation_claude_v2_4!E46,recreation_claude_v2_3!E46,recreation_claude_v2_2!E46,recreation_claude_v2_1!E46),0), "NA")</f>
        <v>1</v>
      </c>
      <c r="F46">
        <f>IF($D46 = 1, ROUND(SUM(recreation_claude_v2_5!F46,recreation_claude_v2_4!F46,recreation_claude_v2_3!F46,recreation_claude_v2_2!F46,recreation_claude_v2_1!F46)/COUNT(recreation_claude_v2_5!F46,recreation_claude_v2_4!F46,recreation_claude_v2_3!F46,recreation_claude_v2_2!F46,recreation_claude_v2_1!F46),0), "NA")</f>
        <v>1</v>
      </c>
      <c r="G46">
        <f>IF($D46 = 1, ROUND(SUM(recreation_claude_v2_5!G46,recreation_claude_v2_4!G46,recreation_claude_v2_3!G46,recreation_claude_v2_2!G46,recreation_claude_v2_1!G46)/COUNT(recreation_claude_v2_5!G46,recreation_claude_v2_4!G46,recreation_claude_v2_3!G46,recreation_claude_v2_2!G46,recreation_claude_v2_1!G46),0), "NA")</f>
        <v>1</v>
      </c>
      <c r="H46">
        <f>IF($E46 = 1, ROUND(SUM(recreation_claude_v2_5!H46,recreation_claude_v2_4!H46,recreation_claude_v2_3!H46,recreation_claude_v2_2!H46,recreation_claude_v2_1!H46)/COUNT(recreation_claude_v2_5!H46,recreation_claude_v2_4!H46,recreation_claude_v2_3!H46,recreation_claude_v2_2!H46,recreation_claude_v2_1!H46),0), "NA")</f>
        <v>1</v>
      </c>
      <c r="I46">
        <f>IF($D46 = 1, ROUND(SUM(recreation_claude_v2_5!I46,recreation_claude_v2_4!I46,recreation_claude_v2_3!I46,recreation_claude_v2_2!I46,recreation_claude_v2_1!I46)/COUNT(recreation_claude_v2_5!I46,recreation_claude_v2_4!I46,recreation_claude_v2_3!I46,recreation_claude_v2_2!I46,recreation_claude_v2_1!I46),0), "NA")</f>
        <v>1</v>
      </c>
      <c r="J46">
        <f>IF(AND($E46 = 1, $F46 = 1), ROUND(SUM(recreation_claude_v2_5!J46,recreation_claude_v2_4!J46,recreation_claude_v2_3!J46,recreation_claude_v2_2!J46,recreation_claude_v2_1!J46)/COUNT(recreation_claude_v2_5!J46,recreation_claude_v2_4!J46,recreation_claude_v2_3!J46,recreation_claude_v2_2!J46,recreation_claude_v2_1!J46),0), "NA")</f>
        <v>1</v>
      </c>
      <c r="K46">
        <f>IF($D46 = 1, ROUND(SUM(recreation_claude_v2_5!K46,recreation_claude_v2_4!K46,recreation_claude_v2_3!K46,recreation_claude_v2_2!K46,recreation_claude_v2_1!K46)/COUNT(recreation_claude_v2_5!K46,recreation_claude_v2_4!K46,recreation_claude_v2_3!K46,recreation_claude_v2_2!K46,recreation_claude_v2_1!K46),0), "NA")</f>
        <v>1</v>
      </c>
      <c r="L46">
        <f>IF($D46 = 1, ROUND(SUM(recreation_claude_v2_5!L46,recreation_claude_v2_4!L46,recreation_claude_v2_3!L46,recreation_claude_v2_2!L46,recreation_claude_v2_1!L46)/COUNT(recreation_claude_v2_5!L46,recreation_claude_v2_4!L46,recreation_claude_v2_3!L46,recreation_claude_v2_2!L46,recreation_claude_v2_1!L46),0), "NA")</f>
        <v>1</v>
      </c>
      <c r="M46">
        <f>IF($D46 = 1, ROUND(SUM(recreation_claude_v2_5!M46,recreation_claude_v2_4!M46,recreation_claude_v2_3!M46,recreation_claude_v2_2!M46,recreation_claude_v2_1!M46)/COUNT(recreation_claude_v2_5!M46,recreation_claude_v2_4!M46,recreation_claude_v2_3!M46,recreation_claude_v2_2!M46,recreation_claude_v2_1!M46),0), "NA")</f>
        <v>1</v>
      </c>
      <c r="N46">
        <f>IF($D46 = 1, ROUND(SUM(recreation_claude_v2_5!N46,recreation_claude_v2_4!N46,recreation_claude_v2_3!N46,recreation_claude_v2_2!N46,recreation_claude_v2_1!N46)/COUNT(recreation_claude_v2_5!N46,recreation_claude_v2_4!N46,recreation_claude_v2_3!N46,recreation_claude_v2_2!N46,recreation_claude_v2_1!N46),0), "NA")</f>
        <v>1</v>
      </c>
      <c r="O46">
        <v>2.2602818012237549</v>
      </c>
    </row>
    <row r="47" spans="1:15" x14ac:dyDescent="0.25">
      <c r="A47" t="s">
        <v>16</v>
      </c>
      <c r="B47" t="s">
        <v>76</v>
      </c>
      <c r="C47">
        <v>0</v>
      </c>
      <c r="D47">
        <f>ROUND(SUM(recreation_claude_v2_5!D47,recreation_claude_v2_4!D47,recreation_claude_v2_3!D47,recreation_claude_v2_2!D47,recreation_claude_v2_1!D47)/COUNT(recreation_claude_v2_5!D47,recreation_claude_v2_4!D47,recreation_claude_v2_3!D47,recreation_claude_v2_2!D47,recreation_claude_v2_1!D47),0)</f>
        <v>1</v>
      </c>
      <c r="E47">
        <f>IF($D47 = 1, ROUND(SUM(recreation_claude_v2_5!E47,recreation_claude_v2_4!E47,recreation_claude_v2_3!E47,recreation_claude_v2_2!E47,recreation_claude_v2_1!E47)/COUNT(recreation_claude_v2_5!E47,recreation_claude_v2_4!E47,recreation_claude_v2_3!E47,recreation_claude_v2_2!E47,recreation_claude_v2_1!E47),0), "NA")</f>
        <v>1</v>
      </c>
      <c r="F47">
        <f>IF($D47 = 1, ROUND(SUM(recreation_claude_v2_5!F47,recreation_claude_v2_4!F47,recreation_claude_v2_3!F47,recreation_claude_v2_2!F47,recreation_claude_v2_1!F47)/COUNT(recreation_claude_v2_5!F47,recreation_claude_v2_4!F47,recreation_claude_v2_3!F47,recreation_claude_v2_2!F47,recreation_claude_v2_1!F47),0), "NA")</f>
        <v>1</v>
      </c>
      <c r="G47">
        <f>IF($D47 = 1, ROUND(SUM(recreation_claude_v2_5!G47,recreation_claude_v2_4!G47,recreation_claude_v2_3!G47,recreation_claude_v2_2!G47,recreation_claude_v2_1!G47)/COUNT(recreation_claude_v2_5!G47,recreation_claude_v2_4!G47,recreation_claude_v2_3!G47,recreation_claude_v2_2!G47,recreation_claude_v2_1!G47),0), "NA")</f>
        <v>1</v>
      </c>
      <c r="H47">
        <f>IF($E47 = 1, ROUND(SUM(recreation_claude_v2_5!H47,recreation_claude_v2_4!H47,recreation_claude_v2_3!H47,recreation_claude_v2_2!H47,recreation_claude_v2_1!H47)/COUNT(recreation_claude_v2_5!H47,recreation_claude_v2_4!H47,recreation_claude_v2_3!H47,recreation_claude_v2_2!H47,recreation_claude_v2_1!H47),0), "NA")</f>
        <v>1</v>
      </c>
      <c r="I47">
        <f>IF($D47 = 1, ROUND(SUM(recreation_claude_v2_5!I47,recreation_claude_v2_4!I47,recreation_claude_v2_3!I47,recreation_claude_v2_2!I47,recreation_claude_v2_1!I47)/COUNT(recreation_claude_v2_5!I47,recreation_claude_v2_4!I47,recreation_claude_v2_3!I47,recreation_claude_v2_2!I47,recreation_claude_v2_1!I47),0), "NA")</f>
        <v>1</v>
      </c>
      <c r="J47">
        <f>IF(AND($E47 = 1, $F47 = 1), ROUND(SUM(recreation_claude_v2_5!J47,recreation_claude_v2_4!J47,recreation_claude_v2_3!J47,recreation_claude_v2_2!J47,recreation_claude_v2_1!J47)/COUNT(recreation_claude_v2_5!J47,recreation_claude_v2_4!J47,recreation_claude_v2_3!J47,recreation_claude_v2_2!J47,recreation_claude_v2_1!J47),0), "NA")</f>
        <v>1</v>
      </c>
      <c r="K47">
        <f>IF($D47 = 1, ROUND(SUM(recreation_claude_v2_5!K47,recreation_claude_v2_4!K47,recreation_claude_v2_3!K47,recreation_claude_v2_2!K47,recreation_claude_v2_1!K47)/COUNT(recreation_claude_v2_5!K47,recreation_claude_v2_4!K47,recreation_claude_v2_3!K47,recreation_claude_v2_2!K47,recreation_claude_v2_1!K47),0), "NA")</f>
        <v>1</v>
      </c>
      <c r="L47">
        <f>IF($D47 = 1, ROUND(SUM(recreation_claude_v2_5!L47,recreation_claude_v2_4!L47,recreation_claude_v2_3!L47,recreation_claude_v2_2!L47,recreation_claude_v2_1!L47)/COUNT(recreation_claude_v2_5!L47,recreation_claude_v2_4!L47,recreation_claude_v2_3!L47,recreation_claude_v2_2!L47,recreation_claude_v2_1!L47),0), "NA")</f>
        <v>1</v>
      </c>
      <c r="M47">
        <f>IF($D47 = 1, ROUND(SUM(recreation_claude_v2_5!M47,recreation_claude_v2_4!M47,recreation_claude_v2_3!M47,recreation_claude_v2_2!M47,recreation_claude_v2_1!M47)/COUNT(recreation_claude_v2_5!M47,recreation_claude_v2_4!M47,recreation_claude_v2_3!M47,recreation_claude_v2_2!M47,recreation_claude_v2_1!M47),0), "NA")</f>
        <v>1</v>
      </c>
      <c r="N47">
        <f>IF($D47 = 1, ROUND(SUM(recreation_claude_v2_5!N47,recreation_claude_v2_4!N47,recreation_claude_v2_3!N47,recreation_claude_v2_2!N47,recreation_claude_v2_1!N47)/COUNT(recreation_claude_v2_5!N47,recreation_claude_v2_4!N47,recreation_claude_v2_3!N47,recreation_claude_v2_2!N47,recreation_claude_v2_1!N47),0), "NA")</f>
        <v>1</v>
      </c>
      <c r="O47">
        <v>1.570260286331177</v>
      </c>
    </row>
    <row r="48" spans="1:15" x14ac:dyDescent="0.25">
      <c r="A48" t="s">
        <v>16</v>
      </c>
      <c r="B48" t="s">
        <v>77</v>
      </c>
      <c r="C48">
        <v>0</v>
      </c>
      <c r="D48">
        <f>ROUND(SUM(recreation_claude_v2_5!D48,recreation_claude_v2_4!D48,recreation_claude_v2_3!D48,recreation_claude_v2_2!D48,recreation_claude_v2_1!D48)/COUNT(recreation_claude_v2_5!D48,recreation_claude_v2_4!D48,recreation_claude_v2_3!D48,recreation_claude_v2_2!D48,recreation_claude_v2_1!D48),0)</f>
        <v>1</v>
      </c>
      <c r="E48">
        <f>IF($D48 = 1, ROUND(SUM(recreation_claude_v2_5!E48,recreation_claude_v2_4!E48,recreation_claude_v2_3!E48,recreation_claude_v2_2!E48,recreation_claude_v2_1!E48)/COUNT(recreation_claude_v2_5!E48,recreation_claude_v2_4!E48,recreation_claude_v2_3!E48,recreation_claude_v2_2!E48,recreation_claude_v2_1!E48),0), "NA")</f>
        <v>1</v>
      </c>
      <c r="F48">
        <f>IF($D48 = 1, ROUND(SUM(recreation_claude_v2_5!F48,recreation_claude_v2_4!F48,recreation_claude_v2_3!F48,recreation_claude_v2_2!F48,recreation_claude_v2_1!F48)/COUNT(recreation_claude_v2_5!F48,recreation_claude_v2_4!F48,recreation_claude_v2_3!F48,recreation_claude_v2_2!F48,recreation_claude_v2_1!F48),0), "NA")</f>
        <v>1</v>
      </c>
      <c r="G48">
        <f>IF($D48 = 1, ROUND(SUM(recreation_claude_v2_5!G48,recreation_claude_v2_4!G48,recreation_claude_v2_3!G48,recreation_claude_v2_2!G48,recreation_claude_v2_1!G48)/COUNT(recreation_claude_v2_5!G48,recreation_claude_v2_4!G48,recreation_claude_v2_3!G48,recreation_claude_v2_2!G48,recreation_claude_v2_1!G48),0), "NA")</f>
        <v>1</v>
      </c>
      <c r="H48">
        <f>IF($E48 = 1, ROUND(SUM(recreation_claude_v2_5!H48,recreation_claude_v2_4!H48,recreation_claude_v2_3!H48,recreation_claude_v2_2!H48,recreation_claude_v2_1!H48)/COUNT(recreation_claude_v2_5!H48,recreation_claude_v2_4!H48,recreation_claude_v2_3!H48,recreation_claude_v2_2!H48,recreation_claude_v2_1!H48),0), "NA")</f>
        <v>1</v>
      </c>
      <c r="I48">
        <f>IF($D48 = 1, ROUND(SUM(recreation_claude_v2_5!I48,recreation_claude_v2_4!I48,recreation_claude_v2_3!I48,recreation_claude_v2_2!I48,recreation_claude_v2_1!I48)/COUNT(recreation_claude_v2_5!I48,recreation_claude_v2_4!I48,recreation_claude_v2_3!I48,recreation_claude_v2_2!I48,recreation_claude_v2_1!I48),0), "NA")</f>
        <v>1</v>
      </c>
      <c r="J48">
        <f>IF(AND($E48 = 1, $F48 = 1), ROUND(SUM(recreation_claude_v2_5!J48,recreation_claude_v2_4!J48,recreation_claude_v2_3!J48,recreation_claude_v2_2!J48,recreation_claude_v2_1!J48)/COUNT(recreation_claude_v2_5!J48,recreation_claude_v2_4!J48,recreation_claude_v2_3!J48,recreation_claude_v2_2!J48,recreation_claude_v2_1!J48),0), "NA")</f>
        <v>1</v>
      </c>
      <c r="K48">
        <f>IF($D48 = 1, ROUND(SUM(recreation_claude_v2_5!K48,recreation_claude_v2_4!K48,recreation_claude_v2_3!K48,recreation_claude_v2_2!K48,recreation_claude_v2_1!K48)/COUNT(recreation_claude_v2_5!K48,recreation_claude_v2_4!K48,recreation_claude_v2_3!K48,recreation_claude_v2_2!K48,recreation_claude_v2_1!K48),0), "NA")</f>
        <v>1</v>
      </c>
      <c r="L48">
        <f>IF($D48 = 1, ROUND(SUM(recreation_claude_v2_5!L48,recreation_claude_v2_4!L48,recreation_claude_v2_3!L48,recreation_claude_v2_2!L48,recreation_claude_v2_1!L48)/COUNT(recreation_claude_v2_5!L48,recreation_claude_v2_4!L48,recreation_claude_v2_3!L48,recreation_claude_v2_2!L48,recreation_claude_v2_1!L48),0), "NA")</f>
        <v>1</v>
      </c>
      <c r="M48">
        <f>IF($D48 = 1, ROUND(SUM(recreation_claude_v2_5!M48,recreation_claude_v2_4!M48,recreation_claude_v2_3!M48,recreation_claude_v2_2!M48,recreation_claude_v2_1!M48)/COUNT(recreation_claude_v2_5!M48,recreation_claude_v2_4!M48,recreation_claude_v2_3!M48,recreation_claude_v2_2!M48,recreation_claude_v2_1!M48),0), "NA")</f>
        <v>1</v>
      </c>
      <c r="N48">
        <f>IF($D48 = 1, ROUND(SUM(recreation_claude_v2_5!N48,recreation_claude_v2_4!N48,recreation_claude_v2_3!N48,recreation_claude_v2_2!N48,recreation_claude_v2_1!N48)/COUNT(recreation_claude_v2_5!N48,recreation_claude_v2_4!N48,recreation_claude_v2_3!N48,recreation_claude_v2_2!N48,recreation_claude_v2_1!N48),0), "NA")</f>
        <v>1</v>
      </c>
      <c r="O48">
        <v>1.5371191501617429</v>
      </c>
    </row>
    <row r="49" spans="1:15" x14ac:dyDescent="0.25">
      <c r="A49" t="s">
        <v>16</v>
      </c>
      <c r="B49" t="s">
        <v>78</v>
      </c>
      <c r="C49">
        <v>0</v>
      </c>
      <c r="D49">
        <f>ROUND(SUM(recreation_claude_v2_5!D49,recreation_claude_v2_4!D49,recreation_claude_v2_3!D49,recreation_claude_v2_2!D49,recreation_claude_v2_1!D49)/COUNT(recreation_claude_v2_5!D49,recreation_claude_v2_4!D49,recreation_claude_v2_3!D49,recreation_claude_v2_2!D49,recreation_claude_v2_1!D49),0)</f>
        <v>1</v>
      </c>
      <c r="E49">
        <f>IF($D49 = 1, ROUND(SUM(recreation_claude_v2_5!E49,recreation_claude_v2_4!E49,recreation_claude_v2_3!E49,recreation_claude_v2_2!E49,recreation_claude_v2_1!E49)/COUNT(recreation_claude_v2_5!E49,recreation_claude_v2_4!E49,recreation_claude_v2_3!E49,recreation_claude_v2_2!E49,recreation_claude_v2_1!E49),0), "NA")</f>
        <v>1</v>
      </c>
      <c r="F49">
        <f>IF($D49 = 1, ROUND(SUM(recreation_claude_v2_5!F49,recreation_claude_v2_4!F49,recreation_claude_v2_3!F49,recreation_claude_v2_2!F49,recreation_claude_v2_1!F49)/COUNT(recreation_claude_v2_5!F49,recreation_claude_v2_4!F49,recreation_claude_v2_3!F49,recreation_claude_v2_2!F49,recreation_claude_v2_1!F49),0), "NA")</f>
        <v>1</v>
      </c>
      <c r="G49">
        <f>IF($D49 = 1, ROUND(SUM(recreation_claude_v2_5!G49,recreation_claude_v2_4!G49,recreation_claude_v2_3!G49,recreation_claude_v2_2!G49,recreation_claude_v2_1!G49)/COUNT(recreation_claude_v2_5!G49,recreation_claude_v2_4!G49,recreation_claude_v2_3!G49,recreation_claude_v2_2!G49,recreation_claude_v2_1!G49),0), "NA")</f>
        <v>1</v>
      </c>
      <c r="H49">
        <f>IF($E49 = 1, ROUND(SUM(recreation_claude_v2_5!H49,recreation_claude_v2_4!H49,recreation_claude_v2_3!H49,recreation_claude_v2_2!H49,recreation_claude_v2_1!H49)/COUNT(recreation_claude_v2_5!H49,recreation_claude_v2_4!H49,recreation_claude_v2_3!H49,recreation_claude_v2_2!H49,recreation_claude_v2_1!H49),0), "NA")</f>
        <v>1</v>
      </c>
      <c r="I49">
        <f>IF($D49 = 1, ROUND(SUM(recreation_claude_v2_5!I49,recreation_claude_v2_4!I49,recreation_claude_v2_3!I49,recreation_claude_v2_2!I49,recreation_claude_v2_1!I49)/COUNT(recreation_claude_v2_5!I49,recreation_claude_v2_4!I49,recreation_claude_v2_3!I49,recreation_claude_v2_2!I49,recreation_claude_v2_1!I49),0), "NA")</f>
        <v>1</v>
      </c>
      <c r="J49">
        <f>IF(AND($E49 = 1, $F49 = 1), ROUND(SUM(recreation_claude_v2_5!J49,recreation_claude_v2_4!J49,recreation_claude_v2_3!J49,recreation_claude_v2_2!J49,recreation_claude_v2_1!J49)/COUNT(recreation_claude_v2_5!J49,recreation_claude_v2_4!J49,recreation_claude_v2_3!J49,recreation_claude_v2_2!J49,recreation_claude_v2_1!J49),0), "NA")</f>
        <v>1</v>
      </c>
      <c r="K49">
        <f>IF($D49 = 1, ROUND(SUM(recreation_claude_v2_5!K49,recreation_claude_v2_4!K49,recreation_claude_v2_3!K49,recreation_claude_v2_2!K49,recreation_claude_v2_1!K49)/COUNT(recreation_claude_v2_5!K49,recreation_claude_v2_4!K49,recreation_claude_v2_3!K49,recreation_claude_v2_2!K49,recreation_claude_v2_1!K49),0), "NA")</f>
        <v>1</v>
      </c>
      <c r="L49">
        <f>IF($D49 = 1, ROUND(SUM(recreation_claude_v2_5!L49,recreation_claude_v2_4!L49,recreation_claude_v2_3!L49,recreation_claude_v2_2!L49,recreation_claude_v2_1!L49)/COUNT(recreation_claude_v2_5!L49,recreation_claude_v2_4!L49,recreation_claude_v2_3!L49,recreation_claude_v2_2!L49,recreation_claude_v2_1!L49),0), "NA")</f>
        <v>1</v>
      </c>
      <c r="M49">
        <f>IF($D49 = 1, ROUND(SUM(recreation_claude_v2_5!M49,recreation_claude_v2_4!M49,recreation_claude_v2_3!M49,recreation_claude_v2_2!M49,recreation_claude_v2_1!M49)/COUNT(recreation_claude_v2_5!M49,recreation_claude_v2_4!M49,recreation_claude_v2_3!M49,recreation_claude_v2_2!M49,recreation_claude_v2_1!M49),0), "NA")</f>
        <v>1</v>
      </c>
      <c r="N49">
        <f>IF($D49 = 1, ROUND(SUM(recreation_claude_v2_5!N49,recreation_claude_v2_4!N49,recreation_claude_v2_3!N49,recreation_claude_v2_2!N49,recreation_claude_v2_1!N49)/COUNT(recreation_claude_v2_5!N49,recreation_claude_v2_4!N49,recreation_claude_v2_3!N49,recreation_claude_v2_2!N49,recreation_claude_v2_1!N49),0), "NA")</f>
        <v>1</v>
      </c>
      <c r="O49">
        <v>2.0201289653778081</v>
      </c>
    </row>
    <row r="50" spans="1:15" x14ac:dyDescent="0.25">
      <c r="A50" t="s">
        <v>16</v>
      </c>
      <c r="B50" t="s">
        <v>79</v>
      </c>
      <c r="C50">
        <v>0</v>
      </c>
      <c r="D50">
        <f>ROUND(SUM(recreation_claude_v2_5!D50,recreation_claude_v2_4!D50,recreation_claude_v2_3!D50,recreation_claude_v2_2!D50,recreation_claude_v2_1!D50)/COUNT(recreation_claude_v2_5!D50,recreation_claude_v2_4!D50,recreation_claude_v2_3!D50,recreation_claude_v2_2!D50,recreation_claude_v2_1!D50),0)</f>
        <v>1</v>
      </c>
      <c r="E50">
        <f>IF($D50 = 1, ROUND(SUM(recreation_claude_v2_5!E50,recreation_claude_v2_4!E50,recreation_claude_v2_3!E50,recreation_claude_v2_2!E50,recreation_claude_v2_1!E50)/COUNT(recreation_claude_v2_5!E50,recreation_claude_v2_4!E50,recreation_claude_v2_3!E50,recreation_claude_v2_2!E50,recreation_claude_v2_1!E50),0), "NA")</f>
        <v>1</v>
      </c>
      <c r="F50">
        <f>IF($D50 = 1, ROUND(SUM(recreation_claude_v2_5!F50,recreation_claude_v2_4!F50,recreation_claude_v2_3!F50,recreation_claude_v2_2!F50,recreation_claude_v2_1!F50)/COUNT(recreation_claude_v2_5!F50,recreation_claude_v2_4!F50,recreation_claude_v2_3!F50,recreation_claude_v2_2!F50,recreation_claude_v2_1!F50),0), "NA")</f>
        <v>1</v>
      </c>
      <c r="G50">
        <f>IF($D50 = 1, ROUND(SUM(recreation_claude_v2_5!G50,recreation_claude_v2_4!G50,recreation_claude_v2_3!G50,recreation_claude_v2_2!G50,recreation_claude_v2_1!G50)/COUNT(recreation_claude_v2_5!G50,recreation_claude_v2_4!G50,recreation_claude_v2_3!G50,recreation_claude_v2_2!G50,recreation_claude_v2_1!G50),0), "NA")</f>
        <v>1</v>
      </c>
      <c r="H50">
        <f>IF($E50 = 1, ROUND(SUM(recreation_claude_v2_5!H50,recreation_claude_v2_4!H50,recreation_claude_v2_3!H50,recreation_claude_v2_2!H50,recreation_claude_v2_1!H50)/COUNT(recreation_claude_v2_5!H50,recreation_claude_v2_4!H50,recreation_claude_v2_3!H50,recreation_claude_v2_2!H50,recreation_claude_v2_1!H50),0), "NA")</f>
        <v>1</v>
      </c>
      <c r="I50">
        <f>IF($D50 = 1, ROUND(SUM(recreation_claude_v2_5!I50,recreation_claude_v2_4!I50,recreation_claude_v2_3!I50,recreation_claude_v2_2!I50,recreation_claude_v2_1!I50)/COUNT(recreation_claude_v2_5!I50,recreation_claude_v2_4!I50,recreation_claude_v2_3!I50,recreation_claude_v2_2!I50,recreation_claude_v2_1!I50),0), "NA")</f>
        <v>1</v>
      </c>
      <c r="J50">
        <f>IF(AND($E50 = 1, $F50 = 1), ROUND(SUM(recreation_claude_v2_5!J50,recreation_claude_v2_4!J50,recreation_claude_v2_3!J50,recreation_claude_v2_2!J50,recreation_claude_v2_1!J50)/COUNT(recreation_claude_v2_5!J50,recreation_claude_v2_4!J50,recreation_claude_v2_3!J50,recreation_claude_v2_2!J50,recreation_claude_v2_1!J50),0), "NA")</f>
        <v>1</v>
      </c>
      <c r="K50">
        <f>IF($D50 = 1, ROUND(SUM(recreation_claude_v2_5!K50,recreation_claude_v2_4!K50,recreation_claude_v2_3!K50,recreation_claude_v2_2!K50,recreation_claude_v2_1!K50)/COUNT(recreation_claude_v2_5!K50,recreation_claude_v2_4!K50,recreation_claude_v2_3!K50,recreation_claude_v2_2!K50,recreation_claude_v2_1!K50),0), "NA")</f>
        <v>1</v>
      </c>
      <c r="L50">
        <f>IF($D50 = 1, ROUND(SUM(recreation_claude_v2_5!L50,recreation_claude_v2_4!L50,recreation_claude_v2_3!L50,recreation_claude_v2_2!L50,recreation_claude_v2_1!L50)/COUNT(recreation_claude_v2_5!L50,recreation_claude_v2_4!L50,recreation_claude_v2_3!L50,recreation_claude_v2_2!L50,recreation_claude_v2_1!L50),0), "NA")</f>
        <v>1</v>
      </c>
      <c r="M50">
        <f>IF($D50 = 1, ROUND(SUM(recreation_claude_v2_5!M50,recreation_claude_v2_4!M50,recreation_claude_v2_3!M50,recreation_claude_v2_2!M50,recreation_claude_v2_1!M50)/COUNT(recreation_claude_v2_5!M50,recreation_claude_v2_4!M50,recreation_claude_v2_3!M50,recreation_claude_v2_2!M50,recreation_claude_v2_1!M50),0), "NA")</f>
        <v>1</v>
      </c>
      <c r="N50">
        <f>IF($D50 = 1, ROUND(SUM(recreation_claude_v2_5!N50,recreation_claude_v2_4!N50,recreation_claude_v2_3!N50,recreation_claude_v2_2!N50,recreation_claude_v2_1!N50)/COUNT(recreation_claude_v2_5!N50,recreation_claude_v2_4!N50,recreation_claude_v2_3!N50,recreation_claude_v2_2!N50,recreation_claude_v2_1!N50),0), "NA")</f>
        <v>1</v>
      </c>
      <c r="O50">
        <v>1.937965393066406</v>
      </c>
    </row>
    <row r="51" spans="1:15" x14ac:dyDescent="0.25">
      <c r="A51" t="s">
        <v>80</v>
      </c>
      <c r="B51" t="s">
        <v>17</v>
      </c>
      <c r="C51">
        <v>0</v>
      </c>
      <c r="D51">
        <f>ROUND(SUM(recreation_claude_v2_5!D51,recreation_claude_v2_4!D51,recreation_claude_v2_3!D51,recreation_claude_v2_2!D51,recreation_claude_v2_1!D51)/COUNT(recreation_claude_v2_5!D51,recreation_claude_v2_4!D51,recreation_claude_v2_3!D51,recreation_claude_v2_2!D51,recreation_claude_v2_1!D51),0)</f>
        <v>1</v>
      </c>
      <c r="E51">
        <f>IF($D51 = 1, ROUND(SUM(recreation_claude_v2_5!E51,recreation_claude_v2_4!E51,recreation_claude_v2_3!E51,recreation_claude_v2_2!E51,recreation_claude_v2_1!E51)/COUNT(recreation_claude_v2_5!E51,recreation_claude_v2_4!E51,recreation_claude_v2_3!E51,recreation_claude_v2_2!E51,recreation_claude_v2_1!E51),0), "NA")</f>
        <v>1</v>
      </c>
      <c r="F51">
        <f>IF($D51 = 1, ROUND(SUM(recreation_claude_v2_5!F51,recreation_claude_v2_4!F51,recreation_claude_v2_3!F51,recreation_claude_v2_2!F51,recreation_claude_v2_1!F51)/COUNT(recreation_claude_v2_5!F51,recreation_claude_v2_4!F51,recreation_claude_v2_3!F51,recreation_claude_v2_2!F51,recreation_claude_v2_1!F51),0), "NA")</f>
        <v>1</v>
      </c>
      <c r="G51">
        <f>IF($D51 = 1, ROUND(SUM(recreation_claude_v2_5!G51,recreation_claude_v2_4!G51,recreation_claude_v2_3!G51,recreation_claude_v2_2!G51,recreation_claude_v2_1!G51)/COUNT(recreation_claude_v2_5!G51,recreation_claude_v2_4!G51,recreation_claude_v2_3!G51,recreation_claude_v2_2!G51,recreation_claude_v2_1!G51),0), "NA")</f>
        <v>1</v>
      </c>
      <c r="H51">
        <f>IF($E51 = 1, ROUND(SUM(recreation_claude_v2_5!H51,recreation_claude_v2_4!H51,recreation_claude_v2_3!H51,recreation_claude_v2_2!H51,recreation_claude_v2_1!H51)/COUNT(recreation_claude_v2_5!H51,recreation_claude_v2_4!H51,recreation_claude_v2_3!H51,recreation_claude_v2_2!H51,recreation_claude_v2_1!H51),0), "NA")</f>
        <v>1</v>
      </c>
      <c r="I51">
        <f>IF($D51 = 1, ROUND(SUM(recreation_claude_v2_5!I51,recreation_claude_v2_4!I51,recreation_claude_v2_3!I51,recreation_claude_v2_2!I51,recreation_claude_v2_1!I51)/COUNT(recreation_claude_v2_5!I51,recreation_claude_v2_4!I51,recreation_claude_v2_3!I51,recreation_claude_v2_2!I51,recreation_claude_v2_1!I51),0), "NA")</f>
        <v>1</v>
      </c>
      <c r="J51">
        <f>IF(AND($E51 = 1, $F51 = 1), ROUND(SUM(recreation_claude_v2_5!J51,recreation_claude_v2_4!J51,recreation_claude_v2_3!J51,recreation_claude_v2_2!J51,recreation_claude_v2_1!J51)/COUNT(recreation_claude_v2_5!J51,recreation_claude_v2_4!J51,recreation_claude_v2_3!J51,recreation_claude_v2_2!J51,recreation_claude_v2_1!J51),0), "NA")</f>
        <v>1</v>
      </c>
      <c r="K51">
        <f>IF($D51 = 1, ROUND(SUM(recreation_claude_v2_5!K51,recreation_claude_v2_4!K51,recreation_claude_v2_3!K51,recreation_claude_v2_2!K51,recreation_claude_v2_1!K51)/COUNT(recreation_claude_v2_5!K51,recreation_claude_v2_4!K51,recreation_claude_v2_3!K51,recreation_claude_v2_2!K51,recreation_claude_v2_1!K51),0), "NA")</f>
        <v>1</v>
      </c>
      <c r="L51">
        <f>IF($D51 = 1, ROUND(SUM(recreation_claude_v2_5!L51,recreation_claude_v2_4!L51,recreation_claude_v2_3!L51,recreation_claude_v2_2!L51,recreation_claude_v2_1!L51)/COUNT(recreation_claude_v2_5!L51,recreation_claude_v2_4!L51,recreation_claude_v2_3!L51,recreation_claude_v2_2!L51,recreation_claude_v2_1!L51),0), "NA")</f>
        <v>1</v>
      </c>
      <c r="M51">
        <f>IF($D51 = 1, ROUND(SUM(recreation_claude_v2_5!M51,recreation_claude_v2_4!M51,recreation_claude_v2_3!M51,recreation_claude_v2_2!M51,recreation_claude_v2_1!M51)/COUNT(recreation_claude_v2_5!M51,recreation_claude_v2_4!M51,recreation_claude_v2_3!M51,recreation_claude_v2_2!M51,recreation_claude_v2_1!M51),0), "NA")</f>
        <v>1</v>
      </c>
      <c r="N51">
        <f>IF($D51 = 1, ROUND(SUM(recreation_claude_v2_5!N51,recreation_claude_v2_4!N51,recreation_claude_v2_3!N51,recreation_claude_v2_2!N51,recreation_claude_v2_1!N51)/COUNT(recreation_claude_v2_5!N51,recreation_claude_v2_4!N51,recreation_claude_v2_3!N51,recreation_claude_v2_2!N51,recreation_claude_v2_1!N51),0), "NA")</f>
        <v>1</v>
      </c>
      <c r="O51">
        <v>1.454644918441772</v>
      </c>
    </row>
    <row r="52" spans="1:15" x14ac:dyDescent="0.25">
      <c r="A52" t="s">
        <v>80</v>
      </c>
      <c r="B52" t="s">
        <v>18</v>
      </c>
      <c r="C52">
        <v>0</v>
      </c>
      <c r="D52">
        <f>ROUND(SUM(recreation_claude_v2_5!D52,recreation_claude_v2_4!D52,recreation_claude_v2_3!D52,recreation_claude_v2_2!D52,recreation_claude_v2_1!D52)/COUNT(recreation_claude_v2_5!D52,recreation_claude_v2_4!D52,recreation_claude_v2_3!D52,recreation_claude_v2_2!D52,recreation_claude_v2_1!D52),0)</f>
        <v>0</v>
      </c>
      <c r="E52" t="str">
        <f>IF($D52 = 1, ROUND(SUM(recreation_claude_v2_5!E52,recreation_claude_v2_4!E52,recreation_claude_v2_3!E52,recreation_claude_v2_2!E52,recreation_claude_v2_1!E52)/COUNT(recreation_claude_v2_5!E52,recreation_claude_v2_4!E52,recreation_claude_v2_3!E52,recreation_claude_v2_2!E52,recreation_claude_v2_1!E52),0), "NA")</f>
        <v>NA</v>
      </c>
      <c r="F52" t="str">
        <f>IF($D52 = 1, ROUND(SUM(recreation_claude_v2_5!F52,recreation_claude_v2_4!F52,recreation_claude_v2_3!F52,recreation_claude_v2_2!F52,recreation_claude_v2_1!F52)/COUNT(recreation_claude_v2_5!F52,recreation_claude_v2_4!F52,recreation_claude_v2_3!F52,recreation_claude_v2_2!F52,recreation_claude_v2_1!F52),0), "NA")</f>
        <v>NA</v>
      </c>
      <c r="G52" t="str">
        <f>IF($D52 = 1, ROUND(SUM(recreation_claude_v2_5!G52,recreation_claude_v2_4!G52,recreation_claude_v2_3!G52,recreation_claude_v2_2!G52,recreation_claude_v2_1!G52)/COUNT(recreation_claude_v2_5!G52,recreation_claude_v2_4!G52,recreation_claude_v2_3!G52,recreation_claude_v2_2!G52,recreation_claude_v2_1!G52),0), "NA")</f>
        <v>NA</v>
      </c>
      <c r="H52" t="str">
        <f>IF($E52 = 1, ROUND(SUM(recreation_claude_v2_5!H52,recreation_claude_v2_4!H52,recreation_claude_v2_3!H52,recreation_claude_v2_2!H52,recreation_claude_v2_1!H52)/COUNT(recreation_claude_v2_5!H52,recreation_claude_v2_4!H52,recreation_claude_v2_3!H52,recreation_claude_v2_2!H52,recreation_claude_v2_1!H52),0), "NA")</f>
        <v>NA</v>
      </c>
      <c r="I52" t="str">
        <f>IF($D52 = 1, ROUND(SUM(recreation_claude_v2_5!I52,recreation_claude_v2_4!I52,recreation_claude_v2_3!I52,recreation_claude_v2_2!I52,recreation_claude_v2_1!I52)/COUNT(recreation_claude_v2_5!I52,recreation_claude_v2_4!I52,recreation_claude_v2_3!I52,recreation_claude_v2_2!I52,recreation_claude_v2_1!I52),0), "NA")</f>
        <v>NA</v>
      </c>
      <c r="J52" t="str">
        <f>IF(AND($E52 = 1, $F52 = 1), ROUND(SUM(recreation_claude_v2_5!J52,recreation_claude_v2_4!J52,recreation_claude_v2_3!J52,recreation_claude_v2_2!J52,recreation_claude_v2_1!J52)/COUNT(recreation_claude_v2_5!J52,recreation_claude_v2_4!J52,recreation_claude_v2_3!J52,recreation_claude_v2_2!J52,recreation_claude_v2_1!J52),0), "NA")</f>
        <v>NA</v>
      </c>
      <c r="K52" t="str">
        <f>IF($D52 = 1, ROUND(SUM(recreation_claude_v2_5!K52,recreation_claude_v2_4!K52,recreation_claude_v2_3!K52,recreation_claude_v2_2!K52,recreation_claude_v2_1!K52)/COUNT(recreation_claude_v2_5!K52,recreation_claude_v2_4!K52,recreation_claude_v2_3!K52,recreation_claude_v2_2!K52,recreation_claude_v2_1!K52),0), "NA")</f>
        <v>NA</v>
      </c>
      <c r="L52" t="str">
        <f>IF($D52 = 1, ROUND(SUM(recreation_claude_v2_5!L52,recreation_claude_v2_4!L52,recreation_claude_v2_3!L52,recreation_claude_v2_2!L52,recreation_claude_v2_1!L52)/COUNT(recreation_claude_v2_5!L52,recreation_claude_v2_4!L52,recreation_claude_v2_3!L52,recreation_claude_v2_2!L52,recreation_claude_v2_1!L52),0), "NA")</f>
        <v>NA</v>
      </c>
      <c r="M52" t="str">
        <f>IF($D52 = 1, ROUND(SUM(recreation_claude_v2_5!M52,recreation_claude_v2_4!M52,recreation_claude_v2_3!M52,recreation_claude_v2_2!M52,recreation_claude_v2_1!M52)/COUNT(recreation_claude_v2_5!M52,recreation_claude_v2_4!M52,recreation_claude_v2_3!M52,recreation_claude_v2_2!M52,recreation_claude_v2_1!M52),0), "NA")</f>
        <v>NA</v>
      </c>
      <c r="N52" t="str">
        <f>IF($D52 = 1, ROUND(SUM(recreation_claude_v2_5!N52,recreation_claude_v2_4!N52,recreation_claude_v2_3!N52,recreation_claude_v2_2!N52,recreation_claude_v2_1!N52)/COUNT(recreation_claude_v2_5!N52,recreation_claude_v2_4!N52,recreation_claude_v2_3!N52,recreation_claude_v2_2!N52,recreation_claude_v2_1!N52),0), "NA")</f>
        <v>NA</v>
      </c>
      <c r="O52">
        <v>9.9163782596588135</v>
      </c>
    </row>
    <row r="53" spans="1:15" x14ac:dyDescent="0.25">
      <c r="A53" t="s">
        <v>80</v>
      </c>
      <c r="B53" t="s">
        <v>19</v>
      </c>
      <c r="C53">
        <v>0</v>
      </c>
      <c r="D53">
        <f>ROUND(SUM(recreation_claude_v2_5!D53,recreation_claude_v2_4!D53,recreation_claude_v2_3!D53,recreation_claude_v2_2!D53,recreation_claude_v2_1!D53)/COUNT(recreation_claude_v2_5!D53,recreation_claude_v2_4!D53,recreation_claude_v2_3!D53,recreation_claude_v2_2!D53,recreation_claude_v2_1!D53),0)</f>
        <v>1</v>
      </c>
      <c r="E53">
        <f>IF($D53 = 1, ROUND(SUM(recreation_claude_v2_5!E53,recreation_claude_v2_4!E53,recreation_claude_v2_3!E53,recreation_claude_v2_2!E53,recreation_claude_v2_1!E53)/COUNT(recreation_claude_v2_5!E53,recreation_claude_v2_4!E53,recreation_claude_v2_3!E53,recreation_claude_v2_2!E53,recreation_claude_v2_1!E53),0), "NA")</f>
        <v>1</v>
      </c>
      <c r="F53">
        <f>IF($D53 = 1, ROUND(SUM(recreation_claude_v2_5!F53,recreation_claude_v2_4!F53,recreation_claude_v2_3!F53,recreation_claude_v2_2!F53,recreation_claude_v2_1!F53)/COUNT(recreation_claude_v2_5!F53,recreation_claude_v2_4!F53,recreation_claude_v2_3!F53,recreation_claude_v2_2!F53,recreation_claude_v2_1!F53),0), "NA")</f>
        <v>1</v>
      </c>
      <c r="G53">
        <f>IF($D53 = 1, ROUND(SUM(recreation_claude_v2_5!G53,recreation_claude_v2_4!G53,recreation_claude_v2_3!G53,recreation_claude_v2_2!G53,recreation_claude_v2_1!G53)/COUNT(recreation_claude_v2_5!G53,recreation_claude_v2_4!G53,recreation_claude_v2_3!G53,recreation_claude_v2_2!G53,recreation_claude_v2_1!G53),0), "NA")</f>
        <v>1</v>
      </c>
      <c r="H53">
        <f>IF($E53 = 1, ROUND(SUM(recreation_claude_v2_5!H53,recreation_claude_v2_4!H53,recreation_claude_v2_3!H53,recreation_claude_v2_2!H53,recreation_claude_v2_1!H53)/COUNT(recreation_claude_v2_5!H53,recreation_claude_v2_4!H53,recreation_claude_v2_3!H53,recreation_claude_v2_2!H53,recreation_claude_v2_1!H53),0), "NA")</f>
        <v>1</v>
      </c>
      <c r="I53">
        <f>IF($D53 = 1, ROUND(SUM(recreation_claude_v2_5!I53,recreation_claude_v2_4!I53,recreation_claude_v2_3!I53,recreation_claude_v2_2!I53,recreation_claude_v2_1!I53)/COUNT(recreation_claude_v2_5!I53,recreation_claude_v2_4!I53,recreation_claude_v2_3!I53,recreation_claude_v2_2!I53,recreation_claude_v2_1!I53),0), "NA")</f>
        <v>1</v>
      </c>
      <c r="J53">
        <f>IF(AND($E53 = 1, $F53 = 1), ROUND(SUM(recreation_claude_v2_5!J53,recreation_claude_v2_4!J53,recreation_claude_v2_3!J53,recreation_claude_v2_2!J53,recreation_claude_v2_1!J53)/COUNT(recreation_claude_v2_5!J53,recreation_claude_v2_4!J53,recreation_claude_v2_3!J53,recreation_claude_v2_2!J53,recreation_claude_v2_1!J53),0), "NA")</f>
        <v>1</v>
      </c>
      <c r="K53">
        <f>IF($D53 = 1, ROUND(SUM(recreation_claude_v2_5!K53,recreation_claude_v2_4!K53,recreation_claude_v2_3!K53,recreation_claude_v2_2!K53,recreation_claude_v2_1!K53)/COUNT(recreation_claude_v2_5!K53,recreation_claude_v2_4!K53,recreation_claude_v2_3!K53,recreation_claude_v2_2!K53,recreation_claude_v2_1!K53),0), "NA")</f>
        <v>1</v>
      </c>
      <c r="L53">
        <f>IF($D53 = 1, ROUND(SUM(recreation_claude_v2_5!L53,recreation_claude_v2_4!L53,recreation_claude_v2_3!L53,recreation_claude_v2_2!L53,recreation_claude_v2_1!L53)/COUNT(recreation_claude_v2_5!L53,recreation_claude_v2_4!L53,recreation_claude_v2_3!L53,recreation_claude_v2_2!L53,recreation_claude_v2_1!L53),0), "NA")</f>
        <v>1</v>
      </c>
      <c r="M53">
        <f>IF($D53 = 1, ROUND(SUM(recreation_claude_v2_5!M53,recreation_claude_v2_4!M53,recreation_claude_v2_3!M53,recreation_claude_v2_2!M53,recreation_claude_v2_1!M53)/COUNT(recreation_claude_v2_5!M53,recreation_claude_v2_4!M53,recreation_claude_v2_3!M53,recreation_claude_v2_2!M53,recreation_claude_v2_1!M53),0), "NA")</f>
        <v>1</v>
      </c>
      <c r="N53">
        <f>IF($D53 = 1, ROUND(SUM(recreation_claude_v2_5!N53,recreation_claude_v2_4!N53,recreation_claude_v2_3!N53,recreation_claude_v2_2!N53,recreation_claude_v2_1!N53)/COUNT(recreation_claude_v2_5!N53,recreation_claude_v2_4!N53,recreation_claude_v2_3!N53,recreation_claude_v2_2!N53,recreation_claude_v2_1!N53),0), "NA")</f>
        <v>1</v>
      </c>
      <c r="O53">
        <v>1.7404839992523189</v>
      </c>
    </row>
    <row r="54" spans="1:15" x14ac:dyDescent="0.25">
      <c r="A54" t="s">
        <v>80</v>
      </c>
      <c r="B54" t="s">
        <v>20</v>
      </c>
      <c r="C54">
        <v>0</v>
      </c>
      <c r="D54">
        <f>ROUND(SUM(recreation_claude_v2_5!D54,recreation_claude_v2_4!D54,recreation_claude_v2_3!D54,recreation_claude_v2_2!D54,recreation_claude_v2_1!D54)/COUNT(recreation_claude_v2_5!D54,recreation_claude_v2_4!D54,recreation_claude_v2_3!D54,recreation_claude_v2_2!D54,recreation_claude_v2_1!D54),0)</f>
        <v>1</v>
      </c>
      <c r="E54">
        <f>IF($D54 = 1, ROUND(SUM(recreation_claude_v2_5!E54,recreation_claude_v2_4!E54,recreation_claude_v2_3!E54,recreation_claude_v2_2!E54,recreation_claude_v2_1!E54)/COUNT(recreation_claude_v2_5!E54,recreation_claude_v2_4!E54,recreation_claude_v2_3!E54,recreation_claude_v2_2!E54,recreation_claude_v2_1!E54),0), "NA")</f>
        <v>1</v>
      </c>
      <c r="F54">
        <f>IF($D54 = 1, ROUND(SUM(recreation_claude_v2_5!F54,recreation_claude_v2_4!F54,recreation_claude_v2_3!F54,recreation_claude_v2_2!F54,recreation_claude_v2_1!F54)/COUNT(recreation_claude_v2_5!F54,recreation_claude_v2_4!F54,recreation_claude_v2_3!F54,recreation_claude_v2_2!F54,recreation_claude_v2_1!F54),0), "NA")</f>
        <v>1</v>
      </c>
      <c r="G54">
        <f>IF($D54 = 1, ROUND(SUM(recreation_claude_v2_5!G54,recreation_claude_v2_4!G54,recreation_claude_v2_3!G54,recreation_claude_v2_2!G54,recreation_claude_v2_1!G54)/COUNT(recreation_claude_v2_5!G54,recreation_claude_v2_4!G54,recreation_claude_v2_3!G54,recreation_claude_v2_2!G54,recreation_claude_v2_1!G54),0), "NA")</f>
        <v>1</v>
      </c>
      <c r="H54">
        <f>IF($E54 = 1, ROUND(SUM(recreation_claude_v2_5!H54,recreation_claude_v2_4!H54,recreation_claude_v2_3!H54,recreation_claude_v2_2!H54,recreation_claude_v2_1!H54)/COUNT(recreation_claude_v2_5!H54,recreation_claude_v2_4!H54,recreation_claude_v2_3!H54,recreation_claude_v2_2!H54,recreation_claude_v2_1!H54),0), "NA")</f>
        <v>1</v>
      </c>
      <c r="I54">
        <f>IF($D54 = 1, ROUND(SUM(recreation_claude_v2_5!I54,recreation_claude_v2_4!I54,recreation_claude_v2_3!I54,recreation_claude_v2_2!I54,recreation_claude_v2_1!I54)/COUNT(recreation_claude_v2_5!I54,recreation_claude_v2_4!I54,recreation_claude_v2_3!I54,recreation_claude_v2_2!I54,recreation_claude_v2_1!I54),0), "NA")</f>
        <v>1</v>
      </c>
      <c r="J54">
        <f>IF(AND($E54 = 1, $F54 = 1), ROUND(SUM(recreation_claude_v2_5!J54,recreation_claude_v2_4!J54,recreation_claude_v2_3!J54,recreation_claude_v2_2!J54,recreation_claude_v2_1!J54)/COUNT(recreation_claude_v2_5!J54,recreation_claude_v2_4!J54,recreation_claude_v2_3!J54,recreation_claude_v2_2!J54,recreation_claude_v2_1!J54),0), "NA")</f>
        <v>0</v>
      </c>
      <c r="K54">
        <f>IF($D54 = 1, ROUND(SUM(recreation_claude_v2_5!K54,recreation_claude_v2_4!K54,recreation_claude_v2_3!K54,recreation_claude_v2_2!K54,recreation_claude_v2_1!K54)/COUNT(recreation_claude_v2_5!K54,recreation_claude_v2_4!K54,recreation_claude_v2_3!K54,recreation_claude_v2_2!K54,recreation_claude_v2_1!K54),0), "NA")</f>
        <v>1</v>
      </c>
      <c r="L54">
        <f>IF($D54 = 1, ROUND(SUM(recreation_claude_v2_5!L54,recreation_claude_v2_4!L54,recreation_claude_v2_3!L54,recreation_claude_v2_2!L54,recreation_claude_v2_1!L54)/COUNT(recreation_claude_v2_5!L54,recreation_claude_v2_4!L54,recreation_claude_v2_3!L54,recreation_claude_v2_2!L54,recreation_claude_v2_1!L54),0), "NA")</f>
        <v>1</v>
      </c>
      <c r="M54">
        <f>IF($D54 = 1, ROUND(SUM(recreation_claude_v2_5!M54,recreation_claude_v2_4!M54,recreation_claude_v2_3!M54,recreation_claude_v2_2!M54,recreation_claude_v2_1!M54)/COUNT(recreation_claude_v2_5!M54,recreation_claude_v2_4!M54,recreation_claude_v2_3!M54,recreation_claude_v2_2!M54,recreation_claude_v2_1!M54),0), "NA")</f>
        <v>1</v>
      </c>
      <c r="N54">
        <f>IF($D54 = 1, ROUND(SUM(recreation_claude_v2_5!N54,recreation_claude_v2_4!N54,recreation_claude_v2_3!N54,recreation_claude_v2_2!N54,recreation_claude_v2_1!N54)/COUNT(recreation_claude_v2_5!N54,recreation_claude_v2_4!N54,recreation_claude_v2_3!N54,recreation_claude_v2_2!N54,recreation_claude_v2_1!N54),0), "NA")</f>
        <v>1</v>
      </c>
      <c r="O54">
        <v>3.5001957416534419</v>
      </c>
    </row>
    <row r="55" spans="1:15" x14ac:dyDescent="0.25">
      <c r="A55" t="s">
        <v>80</v>
      </c>
      <c r="B55" t="s">
        <v>21</v>
      </c>
      <c r="C55">
        <v>0</v>
      </c>
      <c r="D55">
        <f>ROUND(SUM(recreation_claude_v2_5!D55,recreation_claude_v2_4!D55,recreation_claude_v2_3!D55,recreation_claude_v2_2!D55,recreation_claude_v2_1!D55)/COUNT(recreation_claude_v2_5!D55,recreation_claude_v2_4!D55,recreation_claude_v2_3!D55,recreation_claude_v2_2!D55,recreation_claude_v2_1!D55),0)</f>
        <v>1</v>
      </c>
      <c r="E55">
        <f>IF($D55 = 1, ROUND(SUM(recreation_claude_v2_5!E55,recreation_claude_v2_4!E55,recreation_claude_v2_3!E55,recreation_claude_v2_2!E55,recreation_claude_v2_1!E55)/COUNT(recreation_claude_v2_5!E55,recreation_claude_v2_4!E55,recreation_claude_v2_3!E55,recreation_claude_v2_2!E55,recreation_claude_v2_1!E55),0), "NA")</f>
        <v>0</v>
      </c>
      <c r="F55">
        <f>IF($D55 = 1, ROUND(SUM(recreation_claude_v2_5!F55,recreation_claude_v2_4!F55,recreation_claude_v2_3!F55,recreation_claude_v2_2!F55,recreation_claude_v2_1!F55)/COUNT(recreation_claude_v2_5!F55,recreation_claude_v2_4!F55,recreation_claude_v2_3!F55,recreation_claude_v2_2!F55,recreation_claude_v2_1!F55),0), "NA")</f>
        <v>1</v>
      </c>
      <c r="G55">
        <f>IF($D55 = 1, ROUND(SUM(recreation_claude_v2_5!G55,recreation_claude_v2_4!G55,recreation_claude_v2_3!G55,recreation_claude_v2_2!G55,recreation_claude_v2_1!G55)/COUNT(recreation_claude_v2_5!G55,recreation_claude_v2_4!G55,recreation_claude_v2_3!G55,recreation_claude_v2_2!G55,recreation_claude_v2_1!G55),0), "NA")</f>
        <v>1</v>
      </c>
      <c r="H55" t="str">
        <f>IF($E55 = 1, ROUND(SUM(recreation_claude_v2_5!H55,recreation_claude_v2_4!H55,recreation_claude_v2_3!H55,recreation_claude_v2_2!H55,recreation_claude_v2_1!H55)/COUNT(recreation_claude_v2_5!H55,recreation_claude_v2_4!H55,recreation_claude_v2_3!H55,recreation_claude_v2_2!H55,recreation_claude_v2_1!H55),0), "NA")</f>
        <v>NA</v>
      </c>
      <c r="I55">
        <f>IF($D55 = 1, ROUND(SUM(recreation_claude_v2_5!I55,recreation_claude_v2_4!I55,recreation_claude_v2_3!I55,recreation_claude_v2_2!I55,recreation_claude_v2_1!I55)/COUNT(recreation_claude_v2_5!I55,recreation_claude_v2_4!I55,recreation_claude_v2_3!I55,recreation_claude_v2_2!I55,recreation_claude_v2_1!I55),0), "NA")</f>
        <v>1</v>
      </c>
      <c r="J55" t="str">
        <f>IF(AND($E55 = 1, $F55 = 1), ROUND(SUM(recreation_claude_v2_5!J55,recreation_claude_v2_4!J55,recreation_claude_v2_3!J55,recreation_claude_v2_2!J55,recreation_claude_v2_1!J55)/COUNT(recreation_claude_v2_5!J55,recreation_claude_v2_4!J55,recreation_claude_v2_3!J55,recreation_claude_v2_2!J55,recreation_claude_v2_1!J55),0), "NA")</f>
        <v>NA</v>
      </c>
      <c r="K55">
        <f>IF($D55 = 1, ROUND(SUM(recreation_claude_v2_5!K55,recreation_claude_v2_4!K55,recreation_claude_v2_3!K55,recreation_claude_v2_2!K55,recreation_claude_v2_1!K55)/COUNT(recreation_claude_v2_5!K55,recreation_claude_v2_4!K55,recreation_claude_v2_3!K55,recreation_claude_v2_2!K55,recreation_claude_v2_1!K55),0), "NA")</f>
        <v>1</v>
      </c>
      <c r="L55">
        <f>IF($D55 = 1, ROUND(SUM(recreation_claude_v2_5!L55,recreation_claude_v2_4!L55,recreation_claude_v2_3!L55,recreation_claude_v2_2!L55,recreation_claude_v2_1!L55)/COUNT(recreation_claude_v2_5!L55,recreation_claude_v2_4!L55,recreation_claude_v2_3!L55,recreation_claude_v2_2!L55,recreation_claude_v2_1!L55),0), "NA")</f>
        <v>1</v>
      </c>
      <c r="M55">
        <f>IF($D55 = 1, ROUND(SUM(recreation_claude_v2_5!M55,recreation_claude_v2_4!M55,recreation_claude_v2_3!M55,recreation_claude_v2_2!M55,recreation_claude_v2_1!M55)/COUNT(recreation_claude_v2_5!M55,recreation_claude_v2_4!M55,recreation_claude_v2_3!M55,recreation_claude_v2_2!M55,recreation_claude_v2_1!M55),0), "NA")</f>
        <v>1</v>
      </c>
      <c r="N55">
        <f>IF($D55 = 1, ROUND(SUM(recreation_claude_v2_5!N55,recreation_claude_v2_4!N55,recreation_claude_v2_3!N55,recreation_claude_v2_2!N55,recreation_claude_v2_1!N55)/COUNT(recreation_claude_v2_5!N55,recreation_claude_v2_4!N55,recreation_claude_v2_3!N55,recreation_claude_v2_2!N55,recreation_claude_v2_1!N55),0), "NA")</f>
        <v>1</v>
      </c>
      <c r="O55">
        <v>5.598207950592041</v>
      </c>
    </row>
    <row r="56" spans="1:15" x14ac:dyDescent="0.25">
      <c r="A56" t="s">
        <v>80</v>
      </c>
      <c r="B56" t="s">
        <v>22</v>
      </c>
      <c r="C56">
        <v>0</v>
      </c>
      <c r="D56">
        <f>ROUND(SUM(recreation_claude_v2_5!D56,recreation_claude_v2_4!D56,recreation_claude_v2_3!D56,recreation_claude_v2_2!D56,recreation_claude_v2_1!D56)/COUNT(recreation_claude_v2_5!D56,recreation_claude_v2_4!D56,recreation_claude_v2_3!D56,recreation_claude_v2_2!D56,recreation_claude_v2_1!D56),0)</f>
        <v>1</v>
      </c>
      <c r="E56">
        <f>IF($D56 = 1, ROUND(SUM(recreation_claude_v2_5!E56,recreation_claude_v2_4!E56,recreation_claude_v2_3!E56,recreation_claude_v2_2!E56,recreation_claude_v2_1!E56)/COUNT(recreation_claude_v2_5!E56,recreation_claude_v2_4!E56,recreation_claude_v2_3!E56,recreation_claude_v2_2!E56,recreation_claude_v2_1!E56),0), "NA")</f>
        <v>0</v>
      </c>
      <c r="F56">
        <f>IF($D56 = 1, ROUND(SUM(recreation_claude_v2_5!F56,recreation_claude_v2_4!F56,recreation_claude_v2_3!F56,recreation_claude_v2_2!F56,recreation_claude_v2_1!F56)/COUNT(recreation_claude_v2_5!F56,recreation_claude_v2_4!F56,recreation_claude_v2_3!F56,recreation_claude_v2_2!F56,recreation_claude_v2_1!F56),0), "NA")</f>
        <v>1</v>
      </c>
      <c r="G56">
        <f>IF($D56 = 1, ROUND(SUM(recreation_claude_v2_5!G56,recreation_claude_v2_4!G56,recreation_claude_v2_3!G56,recreation_claude_v2_2!G56,recreation_claude_v2_1!G56)/COUNT(recreation_claude_v2_5!G56,recreation_claude_v2_4!G56,recreation_claude_v2_3!G56,recreation_claude_v2_2!G56,recreation_claude_v2_1!G56),0), "NA")</f>
        <v>1</v>
      </c>
      <c r="H56" t="str">
        <f>IF($E56 = 1, ROUND(SUM(recreation_claude_v2_5!H56,recreation_claude_v2_4!H56,recreation_claude_v2_3!H56,recreation_claude_v2_2!H56,recreation_claude_v2_1!H56)/COUNT(recreation_claude_v2_5!H56,recreation_claude_v2_4!H56,recreation_claude_v2_3!H56,recreation_claude_v2_2!H56,recreation_claude_v2_1!H56),0), "NA")</f>
        <v>NA</v>
      </c>
      <c r="I56">
        <f>IF($D56 = 1, ROUND(SUM(recreation_claude_v2_5!I56,recreation_claude_v2_4!I56,recreation_claude_v2_3!I56,recreation_claude_v2_2!I56,recreation_claude_v2_1!I56)/COUNT(recreation_claude_v2_5!I56,recreation_claude_v2_4!I56,recreation_claude_v2_3!I56,recreation_claude_v2_2!I56,recreation_claude_v2_1!I56),0), "NA")</f>
        <v>1</v>
      </c>
      <c r="J56" t="str">
        <f>IF(AND($E56 = 1, $F56 = 1), ROUND(SUM(recreation_claude_v2_5!J56,recreation_claude_v2_4!J56,recreation_claude_v2_3!J56,recreation_claude_v2_2!J56,recreation_claude_v2_1!J56)/COUNT(recreation_claude_v2_5!J56,recreation_claude_v2_4!J56,recreation_claude_v2_3!J56,recreation_claude_v2_2!J56,recreation_claude_v2_1!J56),0), "NA")</f>
        <v>NA</v>
      </c>
      <c r="K56">
        <f>IF($D56 = 1, ROUND(SUM(recreation_claude_v2_5!K56,recreation_claude_v2_4!K56,recreation_claude_v2_3!K56,recreation_claude_v2_2!K56,recreation_claude_v2_1!K56)/COUNT(recreation_claude_v2_5!K56,recreation_claude_v2_4!K56,recreation_claude_v2_3!K56,recreation_claude_v2_2!K56,recreation_claude_v2_1!K56),0), "NA")</f>
        <v>1</v>
      </c>
      <c r="L56">
        <f>IF($D56 = 1, ROUND(SUM(recreation_claude_v2_5!L56,recreation_claude_v2_4!L56,recreation_claude_v2_3!L56,recreation_claude_v2_2!L56,recreation_claude_v2_1!L56)/COUNT(recreation_claude_v2_5!L56,recreation_claude_v2_4!L56,recreation_claude_v2_3!L56,recreation_claude_v2_2!L56,recreation_claude_v2_1!L56),0), "NA")</f>
        <v>1</v>
      </c>
      <c r="M56">
        <f>IF($D56 = 1, ROUND(SUM(recreation_claude_v2_5!M56,recreation_claude_v2_4!M56,recreation_claude_v2_3!M56,recreation_claude_v2_2!M56,recreation_claude_v2_1!M56)/COUNT(recreation_claude_v2_5!M56,recreation_claude_v2_4!M56,recreation_claude_v2_3!M56,recreation_claude_v2_2!M56,recreation_claude_v2_1!M56),0), "NA")</f>
        <v>1</v>
      </c>
      <c r="N56">
        <f>IF($D56 = 1, ROUND(SUM(recreation_claude_v2_5!N56,recreation_claude_v2_4!N56,recreation_claude_v2_3!N56,recreation_claude_v2_2!N56,recreation_claude_v2_1!N56)/COUNT(recreation_claude_v2_5!N56,recreation_claude_v2_4!N56,recreation_claude_v2_3!N56,recreation_claude_v2_2!N56,recreation_claude_v2_1!N56),0), "NA")</f>
        <v>1</v>
      </c>
      <c r="O56">
        <v>5.1461265087127694</v>
      </c>
    </row>
    <row r="57" spans="1:15" x14ac:dyDescent="0.25">
      <c r="A57" t="s">
        <v>80</v>
      </c>
      <c r="B57" t="s">
        <v>23</v>
      </c>
      <c r="C57">
        <v>0</v>
      </c>
      <c r="D57">
        <f>ROUND(SUM(recreation_claude_v2_5!D57,recreation_claude_v2_4!D57,recreation_claude_v2_3!D57,recreation_claude_v2_2!D57,recreation_claude_v2_1!D57)/COUNT(recreation_claude_v2_5!D57,recreation_claude_v2_4!D57,recreation_claude_v2_3!D57,recreation_claude_v2_2!D57,recreation_claude_v2_1!D57),0)</f>
        <v>1</v>
      </c>
      <c r="E57">
        <f>IF($D57 = 1, ROUND(SUM(recreation_claude_v2_5!E57,recreation_claude_v2_4!E57,recreation_claude_v2_3!E57,recreation_claude_v2_2!E57,recreation_claude_v2_1!E57)/COUNT(recreation_claude_v2_5!E57,recreation_claude_v2_4!E57,recreation_claude_v2_3!E57,recreation_claude_v2_2!E57,recreation_claude_v2_1!E57),0), "NA")</f>
        <v>1</v>
      </c>
      <c r="F57">
        <f>IF($D57 = 1, ROUND(SUM(recreation_claude_v2_5!F57,recreation_claude_v2_4!F57,recreation_claude_v2_3!F57,recreation_claude_v2_2!F57,recreation_claude_v2_1!F57)/COUNT(recreation_claude_v2_5!F57,recreation_claude_v2_4!F57,recreation_claude_v2_3!F57,recreation_claude_v2_2!F57,recreation_claude_v2_1!F57),0), "NA")</f>
        <v>1</v>
      </c>
      <c r="G57">
        <f>IF($D57 = 1, ROUND(SUM(recreation_claude_v2_5!G57,recreation_claude_v2_4!G57,recreation_claude_v2_3!G57,recreation_claude_v2_2!G57,recreation_claude_v2_1!G57)/COUNT(recreation_claude_v2_5!G57,recreation_claude_v2_4!G57,recreation_claude_v2_3!G57,recreation_claude_v2_2!G57,recreation_claude_v2_1!G57),0), "NA")</f>
        <v>1</v>
      </c>
      <c r="H57">
        <f>IF($E57 = 1, ROUND(SUM(recreation_claude_v2_5!H57,recreation_claude_v2_4!H57,recreation_claude_v2_3!H57,recreation_claude_v2_2!H57,recreation_claude_v2_1!H57)/COUNT(recreation_claude_v2_5!H57,recreation_claude_v2_4!H57,recreation_claude_v2_3!H57,recreation_claude_v2_2!H57,recreation_claude_v2_1!H57),0), "NA")</f>
        <v>1</v>
      </c>
      <c r="I57">
        <f>IF($D57 = 1, ROUND(SUM(recreation_claude_v2_5!I57,recreation_claude_v2_4!I57,recreation_claude_v2_3!I57,recreation_claude_v2_2!I57,recreation_claude_v2_1!I57)/COUNT(recreation_claude_v2_5!I57,recreation_claude_v2_4!I57,recreation_claude_v2_3!I57,recreation_claude_v2_2!I57,recreation_claude_v2_1!I57),0), "NA")</f>
        <v>1</v>
      </c>
      <c r="J57">
        <f>IF(AND($E57 = 1, $F57 = 1), ROUND(SUM(recreation_claude_v2_5!J57,recreation_claude_v2_4!J57,recreation_claude_v2_3!J57,recreation_claude_v2_2!J57,recreation_claude_v2_1!J57)/COUNT(recreation_claude_v2_5!J57,recreation_claude_v2_4!J57,recreation_claude_v2_3!J57,recreation_claude_v2_2!J57,recreation_claude_v2_1!J57),0), "NA")</f>
        <v>1</v>
      </c>
      <c r="K57">
        <f>IF($D57 = 1, ROUND(SUM(recreation_claude_v2_5!K57,recreation_claude_v2_4!K57,recreation_claude_v2_3!K57,recreation_claude_v2_2!K57,recreation_claude_v2_1!K57)/COUNT(recreation_claude_v2_5!K57,recreation_claude_v2_4!K57,recreation_claude_v2_3!K57,recreation_claude_v2_2!K57,recreation_claude_v2_1!K57),0), "NA")</f>
        <v>1</v>
      </c>
      <c r="L57">
        <f>IF($D57 = 1, ROUND(SUM(recreation_claude_v2_5!L57,recreation_claude_v2_4!L57,recreation_claude_v2_3!L57,recreation_claude_v2_2!L57,recreation_claude_v2_1!L57)/COUNT(recreation_claude_v2_5!L57,recreation_claude_v2_4!L57,recreation_claude_v2_3!L57,recreation_claude_v2_2!L57,recreation_claude_v2_1!L57),0), "NA")</f>
        <v>1</v>
      </c>
      <c r="M57">
        <f>IF($D57 = 1, ROUND(SUM(recreation_claude_v2_5!M57,recreation_claude_v2_4!M57,recreation_claude_v2_3!M57,recreation_claude_v2_2!M57,recreation_claude_v2_1!M57)/COUNT(recreation_claude_v2_5!M57,recreation_claude_v2_4!M57,recreation_claude_v2_3!M57,recreation_claude_v2_2!M57,recreation_claude_v2_1!M57),0), "NA")</f>
        <v>1</v>
      </c>
      <c r="N57">
        <f>IF($D57 = 1, ROUND(SUM(recreation_claude_v2_5!N57,recreation_claude_v2_4!N57,recreation_claude_v2_3!N57,recreation_claude_v2_2!N57,recreation_claude_v2_1!N57)/COUNT(recreation_claude_v2_5!N57,recreation_claude_v2_4!N57,recreation_claude_v2_3!N57,recreation_claude_v2_2!N57,recreation_claude_v2_1!N57),0), "NA")</f>
        <v>1</v>
      </c>
      <c r="O57">
        <v>1.6088545322418211</v>
      </c>
    </row>
    <row r="58" spans="1:15" x14ac:dyDescent="0.25">
      <c r="A58" t="s">
        <v>80</v>
      </c>
      <c r="B58" t="s">
        <v>24</v>
      </c>
      <c r="C58">
        <v>0</v>
      </c>
      <c r="D58">
        <f>ROUND(SUM(recreation_claude_v2_5!D58,recreation_claude_v2_4!D58,recreation_claude_v2_3!D58,recreation_claude_v2_2!D58,recreation_claude_v2_1!D58)/COUNT(recreation_claude_v2_5!D58,recreation_claude_v2_4!D58,recreation_claude_v2_3!D58,recreation_claude_v2_2!D58,recreation_claude_v2_1!D58),0)</f>
        <v>1</v>
      </c>
      <c r="E58">
        <f>IF($D58 = 1, ROUND(SUM(recreation_claude_v2_5!E58,recreation_claude_v2_4!E58,recreation_claude_v2_3!E58,recreation_claude_v2_2!E58,recreation_claude_v2_1!E58)/COUNT(recreation_claude_v2_5!E58,recreation_claude_v2_4!E58,recreation_claude_v2_3!E58,recreation_claude_v2_2!E58,recreation_claude_v2_1!E58),0), "NA")</f>
        <v>1</v>
      </c>
      <c r="F58">
        <f>IF($D58 = 1, ROUND(SUM(recreation_claude_v2_5!F58,recreation_claude_v2_4!F58,recreation_claude_v2_3!F58,recreation_claude_v2_2!F58,recreation_claude_v2_1!F58)/COUNT(recreation_claude_v2_5!F58,recreation_claude_v2_4!F58,recreation_claude_v2_3!F58,recreation_claude_v2_2!F58,recreation_claude_v2_1!F58),0), "NA")</f>
        <v>1</v>
      </c>
      <c r="G58">
        <f>IF($D58 = 1, ROUND(SUM(recreation_claude_v2_5!G58,recreation_claude_v2_4!G58,recreation_claude_v2_3!G58,recreation_claude_v2_2!G58,recreation_claude_v2_1!G58)/COUNT(recreation_claude_v2_5!G58,recreation_claude_v2_4!G58,recreation_claude_v2_3!G58,recreation_claude_v2_2!G58,recreation_claude_v2_1!G58),0), "NA")</f>
        <v>1</v>
      </c>
      <c r="H58">
        <f>IF($E58 = 1, ROUND(SUM(recreation_claude_v2_5!H58,recreation_claude_v2_4!H58,recreation_claude_v2_3!H58,recreation_claude_v2_2!H58,recreation_claude_v2_1!H58)/COUNT(recreation_claude_v2_5!H58,recreation_claude_v2_4!H58,recreation_claude_v2_3!H58,recreation_claude_v2_2!H58,recreation_claude_v2_1!H58),0), "NA")</f>
        <v>1</v>
      </c>
      <c r="I58">
        <f>IF($D58 = 1, ROUND(SUM(recreation_claude_v2_5!I58,recreation_claude_v2_4!I58,recreation_claude_v2_3!I58,recreation_claude_v2_2!I58,recreation_claude_v2_1!I58)/COUNT(recreation_claude_v2_5!I58,recreation_claude_v2_4!I58,recreation_claude_v2_3!I58,recreation_claude_v2_2!I58,recreation_claude_v2_1!I58),0), "NA")</f>
        <v>1</v>
      </c>
      <c r="J58">
        <f>IF(AND($E58 = 1, $F58 = 1), ROUND(SUM(recreation_claude_v2_5!J58,recreation_claude_v2_4!J58,recreation_claude_v2_3!J58,recreation_claude_v2_2!J58,recreation_claude_v2_1!J58)/COUNT(recreation_claude_v2_5!J58,recreation_claude_v2_4!J58,recreation_claude_v2_3!J58,recreation_claude_v2_2!J58,recreation_claude_v2_1!J58),0), "NA")</f>
        <v>1</v>
      </c>
      <c r="K58">
        <f>IF($D58 = 1, ROUND(SUM(recreation_claude_v2_5!K58,recreation_claude_v2_4!K58,recreation_claude_v2_3!K58,recreation_claude_v2_2!K58,recreation_claude_v2_1!K58)/COUNT(recreation_claude_v2_5!K58,recreation_claude_v2_4!K58,recreation_claude_v2_3!K58,recreation_claude_v2_2!K58,recreation_claude_v2_1!K58),0), "NA")</f>
        <v>1</v>
      </c>
      <c r="L58">
        <f>IF($D58 = 1, ROUND(SUM(recreation_claude_v2_5!L58,recreation_claude_v2_4!L58,recreation_claude_v2_3!L58,recreation_claude_v2_2!L58,recreation_claude_v2_1!L58)/COUNT(recreation_claude_v2_5!L58,recreation_claude_v2_4!L58,recreation_claude_v2_3!L58,recreation_claude_v2_2!L58,recreation_claude_v2_1!L58),0), "NA")</f>
        <v>1</v>
      </c>
      <c r="M58">
        <f>IF($D58 = 1, ROUND(SUM(recreation_claude_v2_5!M58,recreation_claude_v2_4!M58,recreation_claude_v2_3!M58,recreation_claude_v2_2!M58,recreation_claude_v2_1!M58)/COUNT(recreation_claude_v2_5!M58,recreation_claude_v2_4!M58,recreation_claude_v2_3!M58,recreation_claude_v2_2!M58,recreation_claude_v2_1!M58),0), "NA")</f>
        <v>1</v>
      </c>
      <c r="N58">
        <f>IF($D58 = 1, ROUND(SUM(recreation_claude_v2_5!N58,recreation_claude_v2_4!N58,recreation_claude_v2_3!N58,recreation_claude_v2_2!N58,recreation_claude_v2_1!N58)/COUNT(recreation_claude_v2_5!N58,recreation_claude_v2_4!N58,recreation_claude_v2_3!N58,recreation_claude_v2_2!N58,recreation_claude_v2_1!N58),0), "NA")</f>
        <v>1</v>
      </c>
      <c r="O58">
        <v>2.5645911693572998</v>
      </c>
    </row>
    <row r="59" spans="1:15" x14ac:dyDescent="0.25">
      <c r="A59" t="s">
        <v>80</v>
      </c>
      <c r="B59" t="s">
        <v>25</v>
      </c>
      <c r="C59">
        <v>0</v>
      </c>
      <c r="D59">
        <f>ROUND(SUM(recreation_claude_v2_5!D59,recreation_claude_v2_4!D59,recreation_claude_v2_3!D59,recreation_claude_v2_2!D59,recreation_claude_v2_1!D59)/COUNT(recreation_claude_v2_5!D59,recreation_claude_v2_4!D59,recreation_claude_v2_3!D59,recreation_claude_v2_2!D59,recreation_claude_v2_1!D59),0)</f>
        <v>1</v>
      </c>
      <c r="E59">
        <f>IF($D59 = 1, ROUND(SUM(recreation_claude_v2_5!E59,recreation_claude_v2_4!E59,recreation_claude_v2_3!E59,recreation_claude_v2_2!E59,recreation_claude_v2_1!E59)/COUNT(recreation_claude_v2_5!E59,recreation_claude_v2_4!E59,recreation_claude_v2_3!E59,recreation_claude_v2_2!E59,recreation_claude_v2_1!E59),0), "NA")</f>
        <v>1</v>
      </c>
      <c r="F59">
        <f>IF($D59 = 1, ROUND(SUM(recreation_claude_v2_5!F59,recreation_claude_v2_4!F59,recreation_claude_v2_3!F59,recreation_claude_v2_2!F59,recreation_claude_v2_1!F59)/COUNT(recreation_claude_v2_5!F59,recreation_claude_v2_4!F59,recreation_claude_v2_3!F59,recreation_claude_v2_2!F59,recreation_claude_v2_1!F59),0), "NA")</f>
        <v>1</v>
      </c>
      <c r="G59">
        <f>IF($D59 = 1, ROUND(SUM(recreation_claude_v2_5!G59,recreation_claude_v2_4!G59,recreation_claude_v2_3!G59,recreation_claude_v2_2!G59,recreation_claude_v2_1!G59)/COUNT(recreation_claude_v2_5!G59,recreation_claude_v2_4!G59,recreation_claude_v2_3!G59,recreation_claude_v2_2!G59,recreation_claude_v2_1!G59),0), "NA")</f>
        <v>1</v>
      </c>
      <c r="H59">
        <f>IF($E59 = 1, ROUND(SUM(recreation_claude_v2_5!H59,recreation_claude_v2_4!H59,recreation_claude_v2_3!H59,recreation_claude_v2_2!H59,recreation_claude_v2_1!H59)/COUNT(recreation_claude_v2_5!H59,recreation_claude_v2_4!H59,recreation_claude_v2_3!H59,recreation_claude_v2_2!H59,recreation_claude_v2_1!H59),0), "NA")</f>
        <v>1</v>
      </c>
      <c r="I59">
        <f>IF($D59 = 1, ROUND(SUM(recreation_claude_v2_5!I59,recreation_claude_v2_4!I59,recreation_claude_v2_3!I59,recreation_claude_v2_2!I59,recreation_claude_v2_1!I59)/COUNT(recreation_claude_v2_5!I59,recreation_claude_v2_4!I59,recreation_claude_v2_3!I59,recreation_claude_v2_2!I59,recreation_claude_v2_1!I59),0), "NA")</f>
        <v>1</v>
      </c>
      <c r="J59">
        <f>IF(AND($E59 = 1, $F59 = 1), ROUND(SUM(recreation_claude_v2_5!J59,recreation_claude_v2_4!J59,recreation_claude_v2_3!J59,recreation_claude_v2_2!J59,recreation_claude_v2_1!J59)/COUNT(recreation_claude_v2_5!J59,recreation_claude_v2_4!J59,recreation_claude_v2_3!J59,recreation_claude_v2_2!J59,recreation_claude_v2_1!J59),0), "NA")</f>
        <v>1</v>
      </c>
      <c r="K59">
        <f>IF($D59 = 1, ROUND(SUM(recreation_claude_v2_5!K59,recreation_claude_v2_4!K59,recreation_claude_v2_3!K59,recreation_claude_v2_2!K59,recreation_claude_v2_1!K59)/COUNT(recreation_claude_v2_5!K59,recreation_claude_v2_4!K59,recreation_claude_v2_3!K59,recreation_claude_v2_2!K59,recreation_claude_v2_1!K59),0), "NA")</f>
        <v>1</v>
      </c>
      <c r="L59">
        <f>IF($D59 = 1, ROUND(SUM(recreation_claude_v2_5!L59,recreation_claude_v2_4!L59,recreation_claude_v2_3!L59,recreation_claude_v2_2!L59,recreation_claude_v2_1!L59)/COUNT(recreation_claude_v2_5!L59,recreation_claude_v2_4!L59,recreation_claude_v2_3!L59,recreation_claude_v2_2!L59,recreation_claude_v2_1!L59),0), "NA")</f>
        <v>1</v>
      </c>
      <c r="M59">
        <f>IF($D59 = 1, ROUND(SUM(recreation_claude_v2_5!M59,recreation_claude_v2_4!M59,recreation_claude_v2_3!M59,recreation_claude_v2_2!M59,recreation_claude_v2_1!M59)/COUNT(recreation_claude_v2_5!M59,recreation_claude_v2_4!M59,recreation_claude_v2_3!M59,recreation_claude_v2_2!M59,recreation_claude_v2_1!M59),0), "NA")</f>
        <v>1</v>
      </c>
      <c r="N59">
        <f>IF($D59 = 1, ROUND(SUM(recreation_claude_v2_5!N59,recreation_claude_v2_4!N59,recreation_claude_v2_3!N59,recreation_claude_v2_2!N59,recreation_claude_v2_1!N59)/COUNT(recreation_claude_v2_5!N59,recreation_claude_v2_4!N59,recreation_claude_v2_3!N59,recreation_claude_v2_2!N59,recreation_claude_v2_1!N59),0), "NA")</f>
        <v>1</v>
      </c>
      <c r="O59">
        <v>1.805429935455322</v>
      </c>
    </row>
    <row r="60" spans="1:15" x14ac:dyDescent="0.25">
      <c r="A60" t="s">
        <v>80</v>
      </c>
      <c r="B60" t="s">
        <v>26</v>
      </c>
      <c r="C60">
        <v>0</v>
      </c>
      <c r="D60">
        <f>ROUND(SUM(recreation_claude_v2_5!D60,recreation_claude_v2_4!D60,recreation_claude_v2_3!D60,recreation_claude_v2_2!D60,recreation_claude_v2_1!D60)/COUNT(recreation_claude_v2_5!D60,recreation_claude_v2_4!D60,recreation_claude_v2_3!D60,recreation_claude_v2_2!D60,recreation_claude_v2_1!D60),0)</f>
        <v>1</v>
      </c>
      <c r="E60">
        <f>IF($D60 = 1, ROUND(SUM(recreation_claude_v2_5!E60,recreation_claude_v2_4!E60,recreation_claude_v2_3!E60,recreation_claude_v2_2!E60,recreation_claude_v2_1!E60)/COUNT(recreation_claude_v2_5!E60,recreation_claude_v2_4!E60,recreation_claude_v2_3!E60,recreation_claude_v2_2!E60,recreation_claude_v2_1!E60),0), "NA")</f>
        <v>1</v>
      </c>
      <c r="F60">
        <f>IF($D60 = 1, ROUND(SUM(recreation_claude_v2_5!F60,recreation_claude_v2_4!F60,recreation_claude_v2_3!F60,recreation_claude_v2_2!F60,recreation_claude_v2_1!F60)/COUNT(recreation_claude_v2_5!F60,recreation_claude_v2_4!F60,recreation_claude_v2_3!F60,recreation_claude_v2_2!F60,recreation_claude_v2_1!F60),0), "NA")</f>
        <v>1</v>
      </c>
      <c r="G60">
        <f>IF($D60 = 1, ROUND(SUM(recreation_claude_v2_5!G60,recreation_claude_v2_4!G60,recreation_claude_v2_3!G60,recreation_claude_v2_2!G60,recreation_claude_v2_1!G60)/COUNT(recreation_claude_v2_5!G60,recreation_claude_v2_4!G60,recreation_claude_v2_3!G60,recreation_claude_v2_2!G60,recreation_claude_v2_1!G60),0), "NA")</f>
        <v>1</v>
      </c>
      <c r="H60">
        <f>IF($E60 = 1, ROUND(SUM(recreation_claude_v2_5!H60,recreation_claude_v2_4!H60,recreation_claude_v2_3!H60,recreation_claude_v2_2!H60,recreation_claude_v2_1!H60)/COUNT(recreation_claude_v2_5!H60,recreation_claude_v2_4!H60,recreation_claude_v2_3!H60,recreation_claude_v2_2!H60,recreation_claude_v2_1!H60),0), "NA")</f>
        <v>1</v>
      </c>
      <c r="I60">
        <f>IF($D60 = 1, ROUND(SUM(recreation_claude_v2_5!I60,recreation_claude_v2_4!I60,recreation_claude_v2_3!I60,recreation_claude_v2_2!I60,recreation_claude_v2_1!I60)/COUNT(recreation_claude_v2_5!I60,recreation_claude_v2_4!I60,recreation_claude_v2_3!I60,recreation_claude_v2_2!I60,recreation_claude_v2_1!I60),0), "NA")</f>
        <v>0</v>
      </c>
      <c r="J60">
        <f>IF(AND($E60 = 1, $F60 = 1), ROUND(SUM(recreation_claude_v2_5!J60,recreation_claude_v2_4!J60,recreation_claude_v2_3!J60,recreation_claude_v2_2!J60,recreation_claude_v2_1!J60)/COUNT(recreation_claude_v2_5!J60,recreation_claude_v2_4!J60,recreation_claude_v2_3!J60,recreation_claude_v2_2!J60,recreation_claude_v2_1!J60),0), "NA")</f>
        <v>1</v>
      </c>
      <c r="K60">
        <f>IF($D60 = 1, ROUND(SUM(recreation_claude_v2_5!K60,recreation_claude_v2_4!K60,recreation_claude_v2_3!K60,recreation_claude_v2_2!K60,recreation_claude_v2_1!K60)/COUNT(recreation_claude_v2_5!K60,recreation_claude_v2_4!K60,recreation_claude_v2_3!K60,recreation_claude_v2_2!K60,recreation_claude_v2_1!K60),0), "NA")</f>
        <v>1</v>
      </c>
      <c r="L60">
        <f>IF($D60 = 1, ROUND(SUM(recreation_claude_v2_5!L60,recreation_claude_v2_4!L60,recreation_claude_v2_3!L60,recreation_claude_v2_2!L60,recreation_claude_v2_1!L60)/COUNT(recreation_claude_v2_5!L60,recreation_claude_v2_4!L60,recreation_claude_v2_3!L60,recreation_claude_v2_2!L60,recreation_claude_v2_1!L60),0), "NA")</f>
        <v>1</v>
      </c>
      <c r="M60">
        <f>IF($D60 = 1, ROUND(SUM(recreation_claude_v2_5!M60,recreation_claude_v2_4!M60,recreation_claude_v2_3!M60,recreation_claude_v2_2!M60,recreation_claude_v2_1!M60)/COUNT(recreation_claude_v2_5!M60,recreation_claude_v2_4!M60,recreation_claude_v2_3!M60,recreation_claude_v2_2!M60,recreation_claude_v2_1!M60),0), "NA")</f>
        <v>1</v>
      </c>
      <c r="N60">
        <f>IF($D60 = 1, ROUND(SUM(recreation_claude_v2_5!N60,recreation_claude_v2_4!N60,recreation_claude_v2_3!N60,recreation_claude_v2_2!N60,recreation_claude_v2_1!N60)/COUNT(recreation_claude_v2_5!N60,recreation_claude_v2_4!N60,recreation_claude_v2_3!N60,recreation_claude_v2_2!N60,recreation_claude_v2_1!N60),0), "NA")</f>
        <v>1</v>
      </c>
      <c r="O60">
        <v>1.5329263210296631</v>
      </c>
    </row>
    <row r="61" spans="1:15" x14ac:dyDescent="0.25">
      <c r="A61" t="s">
        <v>80</v>
      </c>
      <c r="B61" t="s">
        <v>27</v>
      </c>
      <c r="C61">
        <v>0</v>
      </c>
      <c r="D61">
        <f>ROUND(SUM(recreation_claude_v2_5!D61,recreation_claude_v2_4!D61,recreation_claude_v2_3!D61,recreation_claude_v2_2!D61,recreation_claude_v2_1!D61)/COUNT(recreation_claude_v2_5!D61,recreation_claude_v2_4!D61,recreation_claude_v2_3!D61,recreation_claude_v2_2!D61,recreation_claude_v2_1!D61),0)</f>
        <v>1</v>
      </c>
      <c r="E61">
        <f>IF($D61 = 1, ROUND(SUM(recreation_claude_v2_5!E61,recreation_claude_v2_4!E61,recreation_claude_v2_3!E61,recreation_claude_v2_2!E61,recreation_claude_v2_1!E61)/COUNT(recreation_claude_v2_5!E61,recreation_claude_v2_4!E61,recreation_claude_v2_3!E61,recreation_claude_v2_2!E61,recreation_claude_v2_1!E61),0), "NA")</f>
        <v>1</v>
      </c>
      <c r="F61">
        <f>IF($D61 = 1, ROUND(SUM(recreation_claude_v2_5!F61,recreation_claude_v2_4!F61,recreation_claude_v2_3!F61,recreation_claude_v2_2!F61,recreation_claude_v2_1!F61)/COUNT(recreation_claude_v2_5!F61,recreation_claude_v2_4!F61,recreation_claude_v2_3!F61,recreation_claude_v2_2!F61,recreation_claude_v2_1!F61),0), "NA")</f>
        <v>1</v>
      </c>
      <c r="G61">
        <f>IF($D61 = 1, ROUND(SUM(recreation_claude_v2_5!G61,recreation_claude_v2_4!G61,recreation_claude_v2_3!G61,recreation_claude_v2_2!G61,recreation_claude_v2_1!G61)/COUNT(recreation_claude_v2_5!G61,recreation_claude_v2_4!G61,recreation_claude_v2_3!G61,recreation_claude_v2_2!G61,recreation_claude_v2_1!G61),0), "NA")</f>
        <v>1</v>
      </c>
      <c r="H61">
        <f>IF($E61 = 1, ROUND(SUM(recreation_claude_v2_5!H61,recreation_claude_v2_4!H61,recreation_claude_v2_3!H61,recreation_claude_v2_2!H61,recreation_claude_v2_1!H61)/COUNT(recreation_claude_v2_5!H61,recreation_claude_v2_4!H61,recreation_claude_v2_3!H61,recreation_claude_v2_2!H61,recreation_claude_v2_1!H61),0), "NA")</f>
        <v>1</v>
      </c>
      <c r="I61">
        <f>IF($D61 = 1, ROUND(SUM(recreation_claude_v2_5!I61,recreation_claude_v2_4!I61,recreation_claude_v2_3!I61,recreation_claude_v2_2!I61,recreation_claude_v2_1!I61)/COUNT(recreation_claude_v2_5!I61,recreation_claude_v2_4!I61,recreation_claude_v2_3!I61,recreation_claude_v2_2!I61,recreation_claude_v2_1!I61),0), "NA")</f>
        <v>1</v>
      </c>
      <c r="J61">
        <f>IF(AND($E61 = 1, $F61 = 1), ROUND(SUM(recreation_claude_v2_5!J61,recreation_claude_v2_4!J61,recreation_claude_v2_3!J61,recreation_claude_v2_2!J61,recreation_claude_v2_1!J61)/COUNT(recreation_claude_v2_5!J61,recreation_claude_v2_4!J61,recreation_claude_v2_3!J61,recreation_claude_v2_2!J61,recreation_claude_v2_1!J61),0), "NA")</f>
        <v>1</v>
      </c>
      <c r="K61">
        <f>IF($D61 = 1, ROUND(SUM(recreation_claude_v2_5!K61,recreation_claude_v2_4!K61,recreation_claude_v2_3!K61,recreation_claude_v2_2!K61,recreation_claude_v2_1!K61)/COUNT(recreation_claude_v2_5!K61,recreation_claude_v2_4!K61,recreation_claude_v2_3!K61,recreation_claude_v2_2!K61,recreation_claude_v2_1!K61),0), "NA")</f>
        <v>1</v>
      </c>
      <c r="L61">
        <f>IF($D61 = 1, ROUND(SUM(recreation_claude_v2_5!L61,recreation_claude_v2_4!L61,recreation_claude_v2_3!L61,recreation_claude_v2_2!L61,recreation_claude_v2_1!L61)/COUNT(recreation_claude_v2_5!L61,recreation_claude_v2_4!L61,recreation_claude_v2_3!L61,recreation_claude_v2_2!L61,recreation_claude_v2_1!L61),0), "NA")</f>
        <v>1</v>
      </c>
      <c r="M61">
        <f>IF($D61 = 1, ROUND(SUM(recreation_claude_v2_5!M61,recreation_claude_v2_4!M61,recreation_claude_v2_3!M61,recreation_claude_v2_2!M61,recreation_claude_v2_1!M61)/COUNT(recreation_claude_v2_5!M61,recreation_claude_v2_4!M61,recreation_claude_v2_3!M61,recreation_claude_v2_2!M61,recreation_claude_v2_1!M61),0), "NA")</f>
        <v>1</v>
      </c>
      <c r="N61">
        <f>IF($D61 = 1, ROUND(SUM(recreation_claude_v2_5!N61,recreation_claude_v2_4!N61,recreation_claude_v2_3!N61,recreation_claude_v2_2!N61,recreation_claude_v2_1!N61)/COUNT(recreation_claude_v2_5!N61,recreation_claude_v2_4!N61,recreation_claude_v2_3!N61,recreation_claude_v2_2!N61,recreation_claude_v2_1!N61),0), "NA")</f>
        <v>1</v>
      </c>
      <c r="O61">
        <v>4.5312502384185791</v>
      </c>
    </row>
    <row r="62" spans="1:15" x14ac:dyDescent="0.25">
      <c r="A62" t="s">
        <v>80</v>
      </c>
      <c r="B62" t="s">
        <v>30</v>
      </c>
      <c r="C62">
        <v>0</v>
      </c>
      <c r="D62">
        <f>ROUND(SUM(recreation_claude_v2_5!D62,recreation_claude_v2_4!D62,recreation_claude_v2_3!D62,recreation_claude_v2_2!D62,recreation_claude_v2_1!D62)/COUNT(recreation_claude_v2_5!D62,recreation_claude_v2_4!D62,recreation_claude_v2_3!D62,recreation_claude_v2_2!D62,recreation_claude_v2_1!D62),0)</f>
        <v>1</v>
      </c>
      <c r="E62">
        <f>IF($D62 = 1, ROUND(SUM(recreation_claude_v2_5!E62,recreation_claude_v2_4!E62,recreation_claude_v2_3!E62,recreation_claude_v2_2!E62,recreation_claude_v2_1!E62)/COUNT(recreation_claude_v2_5!E62,recreation_claude_v2_4!E62,recreation_claude_v2_3!E62,recreation_claude_v2_2!E62,recreation_claude_v2_1!E62),0), "NA")</f>
        <v>1</v>
      </c>
      <c r="F62">
        <f>IF($D62 = 1, ROUND(SUM(recreation_claude_v2_5!F62,recreation_claude_v2_4!F62,recreation_claude_v2_3!F62,recreation_claude_v2_2!F62,recreation_claude_v2_1!F62)/COUNT(recreation_claude_v2_5!F62,recreation_claude_v2_4!F62,recreation_claude_v2_3!F62,recreation_claude_v2_2!F62,recreation_claude_v2_1!F62),0), "NA")</f>
        <v>1</v>
      </c>
      <c r="G62">
        <f>IF($D62 = 1, ROUND(SUM(recreation_claude_v2_5!G62,recreation_claude_v2_4!G62,recreation_claude_v2_3!G62,recreation_claude_v2_2!G62,recreation_claude_v2_1!G62)/COUNT(recreation_claude_v2_5!G62,recreation_claude_v2_4!G62,recreation_claude_v2_3!G62,recreation_claude_v2_2!G62,recreation_claude_v2_1!G62),0), "NA")</f>
        <v>1</v>
      </c>
      <c r="H62">
        <f>IF($E62 = 1, ROUND(SUM(recreation_claude_v2_5!H62,recreation_claude_v2_4!H62,recreation_claude_v2_3!H62,recreation_claude_v2_2!H62,recreation_claude_v2_1!H62)/COUNT(recreation_claude_v2_5!H62,recreation_claude_v2_4!H62,recreation_claude_v2_3!H62,recreation_claude_v2_2!H62,recreation_claude_v2_1!H62),0), "NA")</f>
        <v>1</v>
      </c>
      <c r="I62">
        <f>IF($D62 = 1, ROUND(SUM(recreation_claude_v2_5!I62,recreation_claude_v2_4!I62,recreation_claude_v2_3!I62,recreation_claude_v2_2!I62,recreation_claude_v2_1!I62)/COUNT(recreation_claude_v2_5!I62,recreation_claude_v2_4!I62,recreation_claude_v2_3!I62,recreation_claude_v2_2!I62,recreation_claude_v2_1!I62),0), "NA")</f>
        <v>1</v>
      </c>
      <c r="J62">
        <f>IF(AND($E62 = 1, $F62 = 1), ROUND(SUM(recreation_claude_v2_5!J62,recreation_claude_v2_4!J62,recreation_claude_v2_3!J62,recreation_claude_v2_2!J62,recreation_claude_v2_1!J62)/COUNT(recreation_claude_v2_5!J62,recreation_claude_v2_4!J62,recreation_claude_v2_3!J62,recreation_claude_v2_2!J62,recreation_claude_v2_1!J62),0), "NA")</f>
        <v>1</v>
      </c>
      <c r="K62">
        <f>IF($D62 = 1, ROUND(SUM(recreation_claude_v2_5!K62,recreation_claude_v2_4!K62,recreation_claude_v2_3!K62,recreation_claude_v2_2!K62,recreation_claude_v2_1!K62)/COUNT(recreation_claude_v2_5!K62,recreation_claude_v2_4!K62,recreation_claude_v2_3!K62,recreation_claude_v2_2!K62,recreation_claude_v2_1!K62),0), "NA")</f>
        <v>1</v>
      </c>
      <c r="L62">
        <f>IF($D62 = 1, ROUND(SUM(recreation_claude_v2_5!L62,recreation_claude_v2_4!L62,recreation_claude_v2_3!L62,recreation_claude_v2_2!L62,recreation_claude_v2_1!L62)/COUNT(recreation_claude_v2_5!L62,recreation_claude_v2_4!L62,recreation_claude_v2_3!L62,recreation_claude_v2_2!L62,recreation_claude_v2_1!L62),0), "NA")</f>
        <v>1</v>
      </c>
      <c r="M62">
        <f>IF($D62 = 1, ROUND(SUM(recreation_claude_v2_5!M62,recreation_claude_v2_4!M62,recreation_claude_v2_3!M62,recreation_claude_v2_2!M62,recreation_claude_v2_1!M62)/COUNT(recreation_claude_v2_5!M62,recreation_claude_v2_4!M62,recreation_claude_v2_3!M62,recreation_claude_v2_2!M62,recreation_claude_v2_1!M62),0), "NA")</f>
        <v>1</v>
      </c>
      <c r="N62">
        <f>IF($D62 = 1, ROUND(SUM(recreation_claude_v2_5!N62,recreation_claude_v2_4!N62,recreation_claude_v2_3!N62,recreation_claude_v2_2!N62,recreation_claude_v2_1!N62)/COUNT(recreation_claude_v2_5!N62,recreation_claude_v2_4!N62,recreation_claude_v2_3!N62,recreation_claude_v2_2!N62,recreation_claude_v2_1!N62),0), "NA")</f>
        <v>1</v>
      </c>
      <c r="O62">
        <v>1.38013768196106</v>
      </c>
    </row>
    <row r="63" spans="1:15" x14ac:dyDescent="0.25">
      <c r="A63" t="s">
        <v>80</v>
      </c>
      <c r="B63" t="s">
        <v>31</v>
      </c>
      <c r="C63">
        <v>0</v>
      </c>
      <c r="D63">
        <f>ROUND(SUM(recreation_claude_v2_5!D63,recreation_claude_v2_4!D63,recreation_claude_v2_3!D63,recreation_claude_v2_2!D63,recreation_claude_v2_1!D63)/COUNT(recreation_claude_v2_5!D63,recreation_claude_v2_4!D63,recreation_claude_v2_3!D63,recreation_claude_v2_2!D63,recreation_claude_v2_1!D63),0)</f>
        <v>1</v>
      </c>
      <c r="E63">
        <f>IF($D63 = 1, ROUND(SUM(recreation_claude_v2_5!E63,recreation_claude_v2_4!E63,recreation_claude_v2_3!E63,recreation_claude_v2_2!E63,recreation_claude_v2_1!E63)/COUNT(recreation_claude_v2_5!E63,recreation_claude_v2_4!E63,recreation_claude_v2_3!E63,recreation_claude_v2_2!E63,recreation_claude_v2_1!E63),0), "NA")</f>
        <v>1</v>
      </c>
      <c r="F63">
        <f>IF($D63 = 1, ROUND(SUM(recreation_claude_v2_5!F63,recreation_claude_v2_4!F63,recreation_claude_v2_3!F63,recreation_claude_v2_2!F63,recreation_claude_v2_1!F63)/COUNT(recreation_claude_v2_5!F63,recreation_claude_v2_4!F63,recreation_claude_v2_3!F63,recreation_claude_v2_2!F63,recreation_claude_v2_1!F63),0), "NA")</f>
        <v>1</v>
      </c>
      <c r="G63">
        <f>IF($D63 = 1, ROUND(SUM(recreation_claude_v2_5!G63,recreation_claude_v2_4!G63,recreation_claude_v2_3!G63,recreation_claude_v2_2!G63,recreation_claude_v2_1!G63)/COUNT(recreation_claude_v2_5!G63,recreation_claude_v2_4!G63,recreation_claude_v2_3!G63,recreation_claude_v2_2!G63,recreation_claude_v2_1!G63),0), "NA")</f>
        <v>1</v>
      </c>
      <c r="H63">
        <f>IF($E63 = 1, ROUND(SUM(recreation_claude_v2_5!H63,recreation_claude_v2_4!H63,recreation_claude_v2_3!H63,recreation_claude_v2_2!H63,recreation_claude_v2_1!H63)/COUNT(recreation_claude_v2_5!H63,recreation_claude_v2_4!H63,recreation_claude_v2_3!H63,recreation_claude_v2_2!H63,recreation_claude_v2_1!H63),0), "NA")</f>
        <v>1</v>
      </c>
      <c r="I63">
        <f>IF($D63 = 1, ROUND(SUM(recreation_claude_v2_5!I63,recreation_claude_v2_4!I63,recreation_claude_v2_3!I63,recreation_claude_v2_2!I63,recreation_claude_v2_1!I63)/COUNT(recreation_claude_v2_5!I63,recreation_claude_v2_4!I63,recreation_claude_v2_3!I63,recreation_claude_v2_2!I63,recreation_claude_v2_1!I63),0), "NA")</f>
        <v>1</v>
      </c>
      <c r="J63">
        <f>IF(AND($E63 = 1, $F63 = 1), ROUND(SUM(recreation_claude_v2_5!J63,recreation_claude_v2_4!J63,recreation_claude_v2_3!J63,recreation_claude_v2_2!J63,recreation_claude_v2_1!J63)/COUNT(recreation_claude_v2_5!J63,recreation_claude_v2_4!J63,recreation_claude_v2_3!J63,recreation_claude_v2_2!J63,recreation_claude_v2_1!J63),0), "NA")</f>
        <v>1</v>
      </c>
      <c r="K63">
        <f>IF($D63 = 1, ROUND(SUM(recreation_claude_v2_5!K63,recreation_claude_v2_4!K63,recreation_claude_v2_3!K63,recreation_claude_v2_2!K63,recreation_claude_v2_1!K63)/COUNT(recreation_claude_v2_5!K63,recreation_claude_v2_4!K63,recreation_claude_v2_3!K63,recreation_claude_v2_2!K63,recreation_claude_v2_1!K63),0), "NA")</f>
        <v>1</v>
      </c>
      <c r="L63">
        <f>IF($D63 = 1, ROUND(SUM(recreation_claude_v2_5!L63,recreation_claude_v2_4!L63,recreation_claude_v2_3!L63,recreation_claude_v2_2!L63,recreation_claude_v2_1!L63)/COUNT(recreation_claude_v2_5!L63,recreation_claude_v2_4!L63,recreation_claude_v2_3!L63,recreation_claude_v2_2!L63,recreation_claude_v2_1!L63),0), "NA")</f>
        <v>1</v>
      </c>
      <c r="M63">
        <f>IF($D63 = 1, ROUND(SUM(recreation_claude_v2_5!M63,recreation_claude_v2_4!M63,recreation_claude_v2_3!M63,recreation_claude_v2_2!M63,recreation_claude_v2_1!M63)/COUNT(recreation_claude_v2_5!M63,recreation_claude_v2_4!M63,recreation_claude_v2_3!M63,recreation_claude_v2_2!M63,recreation_claude_v2_1!M63),0), "NA")</f>
        <v>1</v>
      </c>
      <c r="N63">
        <f>IF($D63 = 1, ROUND(SUM(recreation_claude_v2_5!N63,recreation_claude_v2_4!N63,recreation_claude_v2_3!N63,recreation_claude_v2_2!N63,recreation_claude_v2_1!N63)/COUNT(recreation_claude_v2_5!N63,recreation_claude_v2_4!N63,recreation_claude_v2_3!N63,recreation_claude_v2_2!N63,recreation_claude_v2_1!N63),0), "NA")</f>
        <v>1</v>
      </c>
      <c r="O63">
        <v>1.7302296161651609</v>
      </c>
    </row>
    <row r="64" spans="1:15" x14ac:dyDescent="0.25">
      <c r="A64" t="s">
        <v>80</v>
      </c>
      <c r="B64" t="s">
        <v>33</v>
      </c>
      <c r="C64">
        <v>0</v>
      </c>
      <c r="D64">
        <f>ROUND(SUM(recreation_claude_v2_5!D64,recreation_claude_v2_4!D64,recreation_claude_v2_3!D64,recreation_claude_v2_2!D64,recreation_claude_v2_1!D64)/COUNT(recreation_claude_v2_5!D64,recreation_claude_v2_4!D64,recreation_claude_v2_3!D64,recreation_claude_v2_2!D64,recreation_claude_v2_1!D64),0)</f>
        <v>1</v>
      </c>
      <c r="E64">
        <f>IF($D64 = 1, ROUND(SUM(recreation_claude_v2_5!E64,recreation_claude_v2_4!E64,recreation_claude_v2_3!E64,recreation_claude_v2_2!E64,recreation_claude_v2_1!E64)/COUNT(recreation_claude_v2_5!E64,recreation_claude_v2_4!E64,recreation_claude_v2_3!E64,recreation_claude_v2_2!E64,recreation_claude_v2_1!E64),0), "NA")</f>
        <v>1</v>
      </c>
      <c r="F64">
        <f>IF($D64 = 1, ROUND(SUM(recreation_claude_v2_5!F64,recreation_claude_v2_4!F64,recreation_claude_v2_3!F64,recreation_claude_v2_2!F64,recreation_claude_v2_1!F64)/COUNT(recreation_claude_v2_5!F64,recreation_claude_v2_4!F64,recreation_claude_v2_3!F64,recreation_claude_v2_2!F64,recreation_claude_v2_1!F64),0), "NA")</f>
        <v>1</v>
      </c>
      <c r="G64">
        <f>IF($D64 = 1, ROUND(SUM(recreation_claude_v2_5!G64,recreation_claude_v2_4!G64,recreation_claude_v2_3!G64,recreation_claude_v2_2!G64,recreation_claude_v2_1!G64)/COUNT(recreation_claude_v2_5!G64,recreation_claude_v2_4!G64,recreation_claude_v2_3!G64,recreation_claude_v2_2!G64,recreation_claude_v2_1!G64),0), "NA")</f>
        <v>1</v>
      </c>
      <c r="H64">
        <f>IF($E64 = 1, ROUND(SUM(recreation_claude_v2_5!H64,recreation_claude_v2_4!H64,recreation_claude_v2_3!H64,recreation_claude_v2_2!H64,recreation_claude_v2_1!H64)/COUNT(recreation_claude_v2_5!H64,recreation_claude_v2_4!H64,recreation_claude_v2_3!H64,recreation_claude_v2_2!H64,recreation_claude_v2_1!H64),0), "NA")</f>
        <v>1</v>
      </c>
      <c r="I64">
        <f>IF($D64 = 1, ROUND(SUM(recreation_claude_v2_5!I64,recreation_claude_v2_4!I64,recreation_claude_v2_3!I64,recreation_claude_v2_2!I64,recreation_claude_v2_1!I64)/COUNT(recreation_claude_v2_5!I64,recreation_claude_v2_4!I64,recreation_claude_v2_3!I64,recreation_claude_v2_2!I64,recreation_claude_v2_1!I64),0), "NA")</f>
        <v>1</v>
      </c>
      <c r="J64">
        <f>IF(AND($E64 = 1, $F64 = 1), ROUND(SUM(recreation_claude_v2_5!J64,recreation_claude_v2_4!J64,recreation_claude_v2_3!J64,recreation_claude_v2_2!J64,recreation_claude_v2_1!J64)/COUNT(recreation_claude_v2_5!J64,recreation_claude_v2_4!J64,recreation_claude_v2_3!J64,recreation_claude_v2_2!J64,recreation_claude_v2_1!J64),0), "NA")</f>
        <v>1</v>
      </c>
      <c r="K64">
        <f>IF($D64 = 1, ROUND(SUM(recreation_claude_v2_5!K64,recreation_claude_v2_4!K64,recreation_claude_v2_3!K64,recreation_claude_v2_2!K64,recreation_claude_v2_1!K64)/COUNT(recreation_claude_v2_5!K64,recreation_claude_v2_4!K64,recreation_claude_v2_3!K64,recreation_claude_v2_2!K64,recreation_claude_v2_1!K64),0), "NA")</f>
        <v>1</v>
      </c>
      <c r="L64">
        <f>IF($D64 = 1, ROUND(SUM(recreation_claude_v2_5!L64,recreation_claude_v2_4!L64,recreation_claude_v2_3!L64,recreation_claude_v2_2!L64,recreation_claude_v2_1!L64)/COUNT(recreation_claude_v2_5!L64,recreation_claude_v2_4!L64,recreation_claude_v2_3!L64,recreation_claude_v2_2!L64,recreation_claude_v2_1!L64),0), "NA")</f>
        <v>1</v>
      </c>
      <c r="M64">
        <f>IF($D64 = 1, ROUND(SUM(recreation_claude_v2_5!M64,recreation_claude_v2_4!M64,recreation_claude_v2_3!M64,recreation_claude_v2_2!M64,recreation_claude_v2_1!M64)/COUNT(recreation_claude_v2_5!M64,recreation_claude_v2_4!M64,recreation_claude_v2_3!M64,recreation_claude_v2_2!M64,recreation_claude_v2_1!M64),0), "NA")</f>
        <v>1</v>
      </c>
      <c r="N64">
        <f>IF($D64 = 1, ROUND(SUM(recreation_claude_v2_5!N64,recreation_claude_v2_4!N64,recreation_claude_v2_3!N64,recreation_claude_v2_2!N64,recreation_claude_v2_1!N64)/COUNT(recreation_claude_v2_5!N64,recreation_claude_v2_4!N64,recreation_claude_v2_3!N64,recreation_claude_v2_2!N64,recreation_claude_v2_1!N64),0), "NA")</f>
        <v>1</v>
      </c>
      <c r="O64">
        <v>1.7123863697052</v>
      </c>
    </row>
    <row r="65" spans="1:15" x14ac:dyDescent="0.25">
      <c r="A65" t="s">
        <v>80</v>
      </c>
      <c r="B65" t="s">
        <v>34</v>
      </c>
      <c r="C65">
        <v>0</v>
      </c>
      <c r="D65">
        <f>ROUND(SUM(recreation_claude_v2_5!D65,recreation_claude_v2_4!D65,recreation_claude_v2_3!D65,recreation_claude_v2_2!D65,recreation_claude_v2_1!D65)/COUNT(recreation_claude_v2_5!D65,recreation_claude_v2_4!D65,recreation_claude_v2_3!D65,recreation_claude_v2_2!D65,recreation_claude_v2_1!D65),0)</f>
        <v>1</v>
      </c>
      <c r="E65">
        <f>IF($D65 = 1, ROUND(SUM(recreation_claude_v2_5!E65,recreation_claude_v2_4!E65,recreation_claude_v2_3!E65,recreation_claude_v2_2!E65,recreation_claude_v2_1!E65)/COUNT(recreation_claude_v2_5!E65,recreation_claude_v2_4!E65,recreation_claude_v2_3!E65,recreation_claude_v2_2!E65,recreation_claude_v2_1!E65),0), "NA")</f>
        <v>0</v>
      </c>
      <c r="F65">
        <f>IF($D65 = 1, ROUND(SUM(recreation_claude_v2_5!F65,recreation_claude_v2_4!F65,recreation_claude_v2_3!F65,recreation_claude_v2_2!F65,recreation_claude_v2_1!F65)/COUNT(recreation_claude_v2_5!F65,recreation_claude_v2_4!F65,recreation_claude_v2_3!F65,recreation_claude_v2_2!F65,recreation_claude_v2_1!F65),0), "NA")</f>
        <v>1</v>
      </c>
      <c r="G65">
        <f>IF($D65 = 1, ROUND(SUM(recreation_claude_v2_5!G65,recreation_claude_v2_4!G65,recreation_claude_v2_3!G65,recreation_claude_v2_2!G65,recreation_claude_v2_1!G65)/COUNT(recreation_claude_v2_5!G65,recreation_claude_v2_4!G65,recreation_claude_v2_3!G65,recreation_claude_v2_2!G65,recreation_claude_v2_1!G65),0), "NA")</f>
        <v>1</v>
      </c>
      <c r="H65" t="str">
        <f>IF($E65 = 1, ROUND(SUM(recreation_claude_v2_5!H65,recreation_claude_v2_4!H65,recreation_claude_v2_3!H65,recreation_claude_v2_2!H65,recreation_claude_v2_1!H65)/COUNT(recreation_claude_v2_5!H65,recreation_claude_v2_4!H65,recreation_claude_v2_3!H65,recreation_claude_v2_2!H65,recreation_claude_v2_1!H65),0), "NA")</f>
        <v>NA</v>
      </c>
      <c r="I65">
        <f>IF($D65 = 1, ROUND(SUM(recreation_claude_v2_5!I65,recreation_claude_v2_4!I65,recreation_claude_v2_3!I65,recreation_claude_v2_2!I65,recreation_claude_v2_1!I65)/COUNT(recreation_claude_v2_5!I65,recreation_claude_v2_4!I65,recreation_claude_v2_3!I65,recreation_claude_v2_2!I65,recreation_claude_v2_1!I65),0), "NA")</f>
        <v>1</v>
      </c>
      <c r="J65" t="str">
        <f>IF(AND($E65 = 1, $F65 = 1), ROUND(SUM(recreation_claude_v2_5!J65,recreation_claude_v2_4!J65,recreation_claude_v2_3!J65,recreation_claude_v2_2!J65,recreation_claude_v2_1!J65)/COUNT(recreation_claude_v2_5!J65,recreation_claude_v2_4!J65,recreation_claude_v2_3!J65,recreation_claude_v2_2!J65,recreation_claude_v2_1!J65),0), "NA")</f>
        <v>NA</v>
      </c>
      <c r="K65">
        <f>IF($D65 = 1, ROUND(SUM(recreation_claude_v2_5!K65,recreation_claude_v2_4!K65,recreation_claude_v2_3!K65,recreation_claude_v2_2!K65,recreation_claude_v2_1!K65)/COUNT(recreation_claude_v2_5!K65,recreation_claude_v2_4!K65,recreation_claude_v2_3!K65,recreation_claude_v2_2!K65,recreation_claude_v2_1!K65),0), "NA")</f>
        <v>1</v>
      </c>
      <c r="L65">
        <f>IF($D65 = 1, ROUND(SUM(recreation_claude_v2_5!L65,recreation_claude_v2_4!L65,recreation_claude_v2_3!L65,recreation_claude_v2_2!L65,recreation_claude_v2_1!L65)/COUNT(recreation_claude_v2_5!L65,recreation_claude_v2_4!L65,recreation_claude_v2_3!L65,recreation_claude_v2_2!L65,recreation_claude_v2_1!L65),0), "NA")</f>
        <v>1</v>
      </c>
      <c r="M65">
        <f>IF($D65 = 1, ROUND(SUM(recreation_claude_v2_5!M65,recreation_claude_v2_4!M65,recreation_claude_v2_3!M65,recreation_claude_v2_2!M65,recreation_claude_v2_1!M65)/COUNT(recreation_claude_v2_5!M65,recreation_claude_v2_4!M65,recreation_claude_v2_3!M65,recreation_claude_v2_2!M65,recreation_claude_v2_1!M65),0), "NA")</f>
        <v>1</v>
      </c>
      <c r="N65">
        <f>IF($D65 = 1, ROUND(SUM(recreation_claude_v2_5!N65,recreation_claude_v2_4!N65,recreation_claude_v2_3!N65,recreation_claude_v2_2!N65,recreation_claude_v2_1!N65)/COUNT(recreation_claude_v2_5!N65,recreation_claude_v2_4!N65,recreation_claude_v2_3!N65,recreation_claude_v2_2!N65,recreation_claude_v2_1!N65),0), "NA")</f>
        <v>1</v>
      </c>
      <c r="O65">
        <v>2.2937431335449219</v>
      </c>
    </row>
    <row r="66" spans="1:15" x14ac:dyDescent="0.25">
      <c r="A66" t="s">
        <v>80</v>
      </c>
      <c r="B66" t="s">
        <v>36</v>
      </c>
      <c r="C66">
        <v>0</v>
      </c>
      <c r="D66">
        <f>ROUND(SUM(recreation_claude_v2_5!D66,recreation_claude_v2_4!D66,recreation_claude_v2_3!D66,recreation_claude_v2_2!D66,recreation_claude_v2_1!D66)/COUNT(recreation_claude_v2_5!D66,recreation_claude_v2_4!D66,recreation_claude_v2_3!D66,recreation_claude_v2_2!D66,recreation_claude_v2_1!D66),0)</f>
        <v>1</v>
      </c>
      <c r="E66">
        <f>IF($D66 = 1, ROUND(SUM(recreation_claude_v2_5!E66,recreation_claude_v2_4!E66,recreation_claude_v2_3!E66,recreation_claude_v2_2!E66,recreation_claude_v2_1!E66)/COUNT(recreation_claude_v2_5!E66,recreation_claude_v2_4!E66,recreation_claude_v2_3!E66,recreation_claude_v2_2!E66,recreation_claude_v2_1!E66),0), "NA")</f>
        <v>1</v>
      </c>
      <c r="F66">
        <f>IF($D66 = 1, ROUND(SUM(recreation_claude_v2_5!F66,recreation_claude_v2_4!F66,recreation_claude_v2_3!F66,recreation_claude_v2_2!F66,recreation_claude_v2_1!F66)/COUNT(recreation_claude_v2_5!F66,recreation_claude_v2_4!F66,recreation_claude_v2_3!F66,recreation_claude_v2_2!F66,recreation_claude_v2_1!F66),0), "NA")</f>
        <v>1</v>
      </c>
      <c r="G66">
        <f>IF($D66 = 1, ROUND(SUM(recreation_claude_v2_5!G66,recreation_claude_v2_4!G66,recreation_claude_v2_3!G66,recreation_claude_v2_2!G66,recreation_claude_v2_1!G66)/COUNT(recreation_claude_v2_5!G66,recreation_claude_v2_4!G66,recreation_claude_v2_3!G66,recreation_claude_v2_2!G66,recreation_claude_v2_1!G66),0), "NA")</f>
        <v>1</v>
      </c>
      <c r="H66">
        <f>IF($E66 = 1, ROUND(SUM(recreation_claude_v2_5!H66,recreation_claude_v2_4!H66,recreation_claude_v2_3!H66,recreation_claude_v2_2!H66,recreation_claude_v2_1!H66)/COUNT(recreation_claude_v2_5!H66,recreation_claude_v2_4!H66,recreation_claude_v2_3!H66,recreation_claude_v2_2!H66,recreation_claude_v2_1!H66),0), "NA")</f>
        <v>1</v>
      </c>
      <c r="I66">
        <f>IF($D66 = 1, ROUND(SUM(recreation_claude_v2_5!I66,recreation_claude_v2_4!I66,recreation_claude_v2_3!I66,recreation_claude_v2_2!I66,recreation_claude_v2_1!I66)/COUNT(recreation_claude_v2_5!I66,recreation_claude_v2_4!I66,recreation_claude_v2_3!I66,recreation_claude_v2_2!I66,recreation_claude_v2_1!I66),0), "NA")</f>
        <v>1</v>
      </c>
      <c r="J66">
        <f>IF(AND($E66 = 1, $F66 = 1), ROUND(SUM(recreation_claude_v2_5!J66,recreation_claude_v2_4!J66,recreation_claude_v2_3!J66,recreation_claude_v2_2!J66,recreation_claude_v2_1!J66)/COUNT(recreation_claude_v2_5!J66,recreation_claude_v2_4!J66,recreation_claude_v2_3!J66,recreation_claude_v2_2!J66,recreation_claude_v2_1!J66),0), "NA")</f>
        <v>1</v>
      </c>
      <c r="K66">
        <f>IF($D66 = 1, ROUND(SUM(recreation_claude_v2_5!K66,recreation_claude_v2_4!K66,recreation_claude_v2_3!K66,recreation_claude_v2_2!K66,recreation_claude_v2_1!K66)/COUNT(recreation_claude_v2_5!K66,recreation_claude_v2_4!K66,recreation_claude_v2_3!K66,recreation_claude_v2_2!K66,recreation_claude_v2_1!K66),0), "NA")</f>
        <v>1</v>
      </c>
      <c r="L66">
        <f>IF($D66 = 1, ROUND(SUM(recreation_claude_v2_5!L66,recreation_claude_v2_4!L66,recreation_claude_v2_3!L66,recreation_claude_v2_2!L66,recreation_claude_v2_1!L66)/COUNT(recreation_claude_v2_5!L66,recreation_claude_v2_4!L66,recreation_claude_v2_3!L66,recreation_claude_v2_2!L66,recreation_claude_v2_1!L66),0), "NA")</f>
        <v>1</v>
      </c>
      <c r="M66">
        <f>IF($D66 = 1, ROUND(SUM(recreation_claude_v2_5!M66,recreation_claude_v2_4!M66,recreation_claude_v2_3!M66,recreation_claude_v2_2!M66,recreation_claude_v2_1!M66)/COUNT(recreation_claude_v2_5!M66,recreation_claude_v2_4!M66,recreation_claude_v2_3!M66,recreation_claude_v2_2!M66,recreation_claude_v2_1!M66),0), "NA")</f>
        <v>1</v>
      </c>
      <c r="N66">
        <f>IF($D66 = 1, ROUND(SUM(recreation_claude_v2_5!N66,recreation_claude_v2_4!N66,recreation_claude_v2_3!N66,recreation_claude_v2_2!N66,recreation_claude_v2_1!N66)/COUNT(recreation_claude_v2_5!N66,recreation_claude_v2_4!N66,recreation_claude_v2_3!N66,recreation_claude_v2_2!N66,recreation_claude_v2_1!N66),0), "NA")</f>
        <v>1</v>
      </c>
      <c r="O66">
        <v>1.770322799682617</v>
      </c>
    </row>
    <row r="67" spans="1:15" x14ac:dyDescent="0.25">
      <c r="A67" t="s">
        <v>80</v>
      </c>
      <c r="B67" t="s">
        <v>37</v>
      </c>
      <c r="C67">
        <v>0</v>
      </c>
      <c r="D67">
        <f>ROUND(SUM(recreation_claude_v2_5!D67,recreation_claude_v2_4!D67,recreation_claude_v2_3!D67,recreation_claude_v2_2!D67,recreation_claude_v2_1!D67)/COUNT(recreation_claude_v2_5!D67,recreation_claude_v2_4!D67,recreation_claude_v2_3!D67,recreation_claude_v2_2!D67,recreation_claude_v2_1!D67),0)</f>
        <v>1</v>
      </c>
      <c r="E67">
        <f>IF($D67 = 1, ROUND(SUM(recreation_claude_v2_5!E67,recreation_claude_v2_4!E67,recreation_claude_v2_3!E67,recreation_claude_v2_2!E67,recreation_claude_v2_1!E67)/COUNT(recreation_claude_v2_5!E67,recreation_claude_v2_4!E67,recreation_claude_v2_3!E67,recreation_claude_v2_2!E67,recreation_claude_v2_1!E67),0), "NA")</f>
        <v>1</v>
      </c>
      <c r="F67">
        <f>IF($D67 = 1, ROUND(SUM(recreation_claude_v2_5!F67,recreation_claude_v2_4!F67,recreation_claude_v2_3!F67,recreation_claude_v2_2!F67,recreation_claude_v2_1!F67)/COUNT(recreation_claude_v2_5!F67,recreation_claude_v2_4!F67,recreation_claude_v2_3!F67,recreation_claude_v2_2!F67,recreation_claude_v2_1!F67),0), "NA")</f>
        <v>1</v>
      </c>
      <c r="G67">
        <f>IF($D67 = 1, ROUND(SUM(recreation_claude_v2_5!G67,recreation_claude_v2_4!G67,recreation_claude_v2_3!G67,recreation_claude_v2_2!G67,recreation_claude_v2_1!G67)/COUNT(recreation_claude_v2_5!G67,recreation_claude_v2_4!G67,recreation_claude_v2_3!G67,recreation_claude_v2_2!G67,recreation_claude_v2_1!G67),0), "NA")</f>
        <v>1</v>
      </c>
      <c r="H67">
        <f>IF($E67 = 1, ROUND(SUM(recreation_claude_v2_5!H67,recreation_claude_v2_4!H67,recreation_claude_v2_3!H67,recreation_claude_v2_2!H67,recreation_claude_v2_1!H67)/COUNT(recreation_claude_v2_5!H67,recreation_claude_v2_4!H67,recreation_claude_v2_3!H67,recreation_claude_v2_2!H67,recreation_claude_v2_1!H67),0), "NA")</f>
        <v>1</v>
      </c>
      <c r="I67">
        <f>IF($D67 = 1, ROUND(SUM(recreation_claude_v2_5!I67,recreation_claude_v2_4!I67,recreation_claude_v2_3!I67,recreation_claude_v2_2!I67,recreation_claude_v2_1!I67)/COUNT(recreation_claude_v2_5!I67,recreation_claude_v2_4!I67,recreation_claude_v2_3!I67,recreation_claude_v2_2!I67,recreation_claude_v2_1!I67),0), "NA")</f>
        <v>1</v>
      </c>
      <c r="J67">
        <f>IF(AND($E67 = 1, $F67 = 1), ROUND(SUM(recreation_claude_v2_5!J67,recreation_claude_v2_4!J67,recreation_claude_v2_3!J67,recreation_claude_v2_2!J67,recreation_claude_v2_1!J67)/COUNT(recreation_claude_v2_5!J67,recreation_claude_v2_4!J67,recreation_claude_v2_3!J67,recreation_claude_v2_2!J67,recreation_claude_v2_1!J67),0), "NA")</f>
        <v>1</v>
      </c>
      <c r="K67">
        <f>IF($D67 = 1, ROUND(SUM(recreation_claude_v2_5!K67,recreation_claude_v2_4!K67,recreation_claude_v2_3!K67,recreation_claude_v2_2!K67,recreation_claude_v2_1!K67)/COUNT(recreation_claude_v2_5!K67,recreation_claude_v2_4!K67,recreation_claude_v2_3!K67,recreation_claude_v2_2!K67,recreation_claude_v2_1!K67),0), "NA")</f>
        <v>1</v>
      </c>
      <c r="L67">
        <f>IF($D67 = 1, ROUND(SUM(recreation_claude_v2_5!L67,recreation_claude_v2_4!L67,recreation_claude_v2_3!L67,recreation_claude_v2_2!L67,recreation_claude_v2_1!L67)/COUNT(recreation_claude_v2_5!L67,recreation_claude_v2_4!L67,recreation_claude_v2_3!L67,recreation_claude_v2_2!L67,recreation_claude_v2_1!L67),0), "NA")</f>
        <v>1</v>
      </c>
      <c r="M67">
        <f>IF($D67 = 1, ROUND(SUM(recreation_claude_v2_5!M67,recreation_claude_v2_4!M67,recreation_claude_v2_3!M67,recreation_claude_v2_2!M67,recreation_claude_v2_1!M67)/COUNT(recreation_claude_v2_5!M67,recreation_claude_v2_4!M67,recreation_claude_v2_3!M67,recreation_claude_v2_2!M67,recreation_claude_v2_1!M67),0), "NA")</f>
        <v>1</v>
      </c>
      <c r="N67">
        <f>IF($D67 = 1, ROUND(SUM(recreation_claude_v2_5!N67,recreation_claude_v2_4!N67,recreation_claude_v2_3!N67,recreation_claude_v2_2!N67,recreation_claude_v2_1!N67)/COUNT(recreation_claude_v2_5!N67,recreation_claude_v2_4!N67,recreation_claude_v2_3!N67,recreation_claude_v2_2!N67,recreation_claude_v2_1!N67),0), "NA")</f>
        <v>1</v>
      </c>
      <c r="O67">
        <v>1.910922527313232</v>
      </c>
    </row>
    <row r="68" spans="1:15" x14ac:dyDescent="0.25">
      <c r="A68" t="s">
        <v>80</v>
      </c>
      <c r="B68" t="s">
        <v>38</v>
      </c>
      <c r="C68">
        <v>0</v>
      </c>
      <c r="D68">
        <f>ROUND(SUM(recreation_claude_v2_5!D68,recreation_claude_v2_4!D68,recreation_claude_v2_3!D68,recreation_claude_v2_2!D68,recreation_claude_v2_1!D68)/COUNT(recreation_claude_v2_5!D68,recreation_claude_v2_4!D68,recreation_claude_v2_3!D68,recreation_claude_v2_2!D68,recreation_claude_v2_1!D68),0)</f>
        <v>1</v>
      </c>
      <c r="E68">
        <f>IF($D68 = 1, ROUND(SUM(recreation_claude_v2_5!E68,recreation_claude_v2_4!E68,recreation_claude_v2_3!E68,recreation_claude_v2_2!E68,recreation_claude_v2_1!E68)/COUNT(recreation_claude_v2_5!E68,recreation_claude_v2_4!E68,recreation_claude_v2_3!E68,recreation_claude_v2_2!E68,recreation_claude_v2_1!E68),0), "NA")</f>
        <v>1</v>
      </c>
      <c r="F68">
        <f>IF($D68 = 1, ROUND(SUM(recreation_claude_v2_5!F68,recreation_claude_v2_4!F68,recreation_claude_v2_3!F68,recreation_claude_v2_2!F68,recreation_claude_v2_1!F68)/COUNT(recreation_claude_v2_5!F68,recreation_claude_v2_4!F68,recreation_claude_v2_3!F68,recreation_claude_v2_2!F68,recreation_claude_v2_1!F68),0), "NA")</f>
        <v>1</v>
      </c>
      <c r="G68">
        <f>IF($D68 = 1, ROUND(SUM(recreation_claude_v2_5!G68,recreation_claude_v2_4!G68,recreation_claude_v2_3!G68,recreation_claude_v2_2!G68,recreation_claude_v2_1!G68)/COUNT(recreation_claude_v2_5!G68,recreation_claude_v2_4!G68,recreation_claude_v2_3!G68,recreation_claude_v2_2!G68,recreation_claude_v2_1!G68),0), "NA")</f>
        <v>1</v>
      </c>
      <c r="H68">
        <f>IF($E68 = 1, ROUND(SUM(recreation_claude_v2_5!H68,recreation_claude_v2_4!H68,recreation_claude_v2_3!H68,recreation_claude_v2_2!H68,recreation_claude_v2_1!H68)/COUNT(recreation_claude_v2_5!H68,recreation_claude_v2_4!H68,recreation_claude_v2_3!H68,recreation_claude_v2_2!H68,recreation_claude_v2_1!H68),0), "NA")</f>
        <v>1</v>
      </c>
      <c r="I68">
        <f>IF($D68 = 1, ROUND(SUM(recreation_claude_v2_5!I68,recreation_claude_v2_4!I68,recreation_claude_v2_3!I68,recreation_claude_v2_2!I68,recreation_claude_v2_1!I68)/COUNT(recreation_claude_v2_5!I68,recreation_claude_v2_4!I68,recreation_claude_v2_3!I68,recreation_claude_v2_2!I68,recreation_claude_v2_1!I68),0), "NA")</f>
        <v>1</v>
      </c>
      <c r="J68">
        <f>IF(AND($E68 = 1, $F68 = 1), ROUND(SUM(recreation_claude_v2_5!J68,recreation_claude_v2_4!J68,recreation_claude_v2_3!J68,recreation_claude_v2_2!J68,recreation_claude_v2_1!J68)/COUNT(recreation_claude_v2_5!J68,recreation_claude_v2_4!J68,recreation_claude_v2_3!J68,recreation_claude_v2_2!J68,recreation_claude_v2_1!J68),0), "NA")</f>
        <v>1</v>
      </c>
      <c r="K68">
        <f>IF($D68 = 1, ROUND(SUM(recreation_claude_v2_5!K68,recreation_claude_v2_4!K68,recreation_claude_v2_3!K68,recreation_claude_v2_2!K68,recreation_claude_v2_1!K68)/COUNT(recreation_claude_v2_5!K68,recreation_claude_v2_4!K68,recreation_claude_v2_3!K68,recreation_claude_v2_2!K68,recreation_claude_v2_1!K68),0), "NA")</f>
        <v>1</v>
      </c>
      <c r="L68">
        <f>IF($D68 = 1, ROUND(SUM(recreation_claude_v2_5!L68,recreation_claude_v2_4!L68,recreation_claude_v2_3!L68,recreation_claude_v2_2!L68,recreation_claude_v2_1!L68)/COUNT(recreation_claude_v2_5!L68,recreation_claude_v2_4!L68,recreation_claude_v2_3!L68,recreation_claude_v2_2!L68,recreation_claude_v2_1!L68),0), "NA")</f>
        <v>1</v>
      </c>
      <c r="M68">
        <f>IF($D68 = 1, ROUND(SUM(recreation_claude_v2_5!M68,recreation_claude_v2_4!M68,recreation_claude_v2_3!M68,recreation_claude_v2_2!M68,recreation_claude_v2_1!M68)/COUNT(recreation_claude_v2_5!M68,recreation_claude_v2_4!M68,recreation_claude_v2_3!M68,recreation_claude_v2_2!M68,recreation_claude_v2_1!M68),0), "NA")</f>
        <v>1</v>
      </c>
      <c r="N68">
        <f>IF($D68 = 1, ROUND(SUM(recreation_claude_v2_5!N68,recreation_claude_v2_4!N68,recreation_claude_v2_3!N68,recreation_claude_v2_2!N68,recreation_claude_v2_1!N68)/COUNT(recreation_claude_v2_5!N68,recreation_claude_v2_4!N68,recreation_claude_v2_3!N68,recreation_claude_v2_2!N68,recreation_claude_v2_1!N68),0), "NA")</f>
        <v>1</v>
      </c>
      <c r="O68">
        <v>4.6764857769012451</v>
      </c>
    </row>
    <row r="69" spans="1:15" x14ac:dyDescent="0.25">
      <c r="A69" t="s">
        <v>80</v>
      </c>
      <c r="B69" t="s">
        <v>39</v>
      </c>
      <c r="C69">
        <v>0</v>
      </c>
      <c r="D69">
        <f>ROUND(SUM(recreation_claude_v2_5!D69,recreation_claude_v2_4!D69,recreation_claude_v2_3!D69,recreation_claude_v2_2!D69,recreation_claude_v2_1!D69)/COUNT(recreation_claude_v2_5!D69,recreation_claude_v2_4!D69,recreation_claude_v2_3!D69,recreation_claude_v2_2!D69,recreation_claude_v2_1!D69),0)</f>
        <v>1</v>
      </c>
      <c r="E69">
        <f>IF($D69 = 1, ROUND(SUM(recreation_claude_v2_5!E69,recreation_claude_v2_4!E69,recreation_claude_v2_3!E69,recreation_claude_v2_2!E69,recreation_claude_v2_1!E69)/COUNT(recreation_claude_v2_5!E69,recreation_claude_v2_4!E69,recreation_claude_v2_3!E69,recreation_claude_v2_2!E69,recreation_claude_v2_1!E69),0), "NA")</f>
        <v>1</v>
      </c>
      <c r="F69">
        <f>IF($D69 = 1, ROUND(SUM(recreation_claude_v2_5!F69,recreation_claude_v2_4!F69,recreation_claude_v2_3!F69,recreation_claude_v2_2!F69,recreation_claude_v2_1!F69)/COUNT(recreation_claude_v2_5!F69,recreation_claude_v2_4!F69,recreation_claude_v2_3!F69,recreation_claude_v2_2!F69,recreation_claude_v2_1!F69),0), "NA")</f>
        <v>1</v>
      </c>
      <c r="G69">
        <f>IF($D69 = 1, ROUND(SUM(recreation_claude_v2_5!G69,recreation_claude_v2_4!G69,recreation_claude_v2_3!G69,recreation_claude_v2_2!G69,recreation_claude_v2_1!G69)/COUNT(recreation_claude_v2_5!G69,recreation_claude_v2_4!G69,recreation_claude_v2_3!G69,recreation_claude_v2_2!G69,recreation_claude_v2_1!G69),0), "NA")</f>
        <v>1</v>
      </c>
      <c r="H69">
        <f>IF($E69 = 1, ROUND(SUM(recreation_claude_v2_5!H69,recreation_claude_v2_4!H69,recreation_claude_v2_3!H69,recreation_claude_v2_2!H69,recreation_claude_v2_1!H69)/COUNT(recreation_claude_v2_5!H69,recreation_claude_v2_4!H69,recreation_claude_v2_3!H69,recreation_claude_v2_2!H69,recreation_claude_v2_1!H69),0), "NA")</f>
        <v>1</v>
      </c>
      <c r="I69">
        <f>IF($D69 = 1, ROUND(SUM(recreation_claude_v2_5!I69,recreation_claude_v2_4!I69,recreation_claude_v2_3!I69,recreation_claude_v2_2!I69,recreation_claude_v2_1!I69)/COUNT(recreation_claude_v2_5!I69,recreation_claude_v2_4!I69,recreation_claude_v2_3!I69,recreation_claude_v2_2!I69,recreation_claude_v2_1!I69),0), "NA")</f>
        <v>1</v>
      </c>
      <c r="J69">
        <f>IF(AND($E69 = 1, $F69 = 1), ROUND(SUM(recreation_claude_v2_5!J69,recreation_claude_v2_4!J69,recreation_claude_v2_3!J69,recreation_claude_v2_2!J69,recreation_claude_v2_1!J69)/COUNT(recreation_claude_v2_5!J69,recreation_claude_v2_4!J69,recreation_claude_v2_3!J69,recreation_claude_v2_2!J69,recreation_claude_v2_1!J69),0), "NA")</f>
        <v>1</v>
      </c>
      <c r="K69">
        <f>IF($D69 = 1, ROUND(SUM(recreation_claude_v2_5!K69,recreation_claude_v2_4!K69,recreation_claude_v2_3!K69,recreation_claude_v2_2!K69,recreation_claude_v2_1!K69)/COUNT(recreation_claude_v2_5!K69,recreation_claude_v2_4!K69,recreation_claude_v2_3!K69,recreation_claude_v2_2!K69,recreation_claude_v2_1!K69),0), "NA")</f>
        <v>1</v>
      </c>
      <c r="L69">
        <f>IF($D69 = 1, ROUND(SUM(recreation_claude_v2_5!L69,recreation_claude_v2_4!L69,recreation_claude_v2_3!L69,recreation_claude_v2_2!L69,recreation_claude_v2_1!L69)/COUNT(recreation_claude_v2_5!L69,recreation_claude_v2_4!L69,recreation_claude_v2_3!L69,recreation_claude_v2_2!L69,recreation_claude_v2_1!L69),0), "NA")</f>
        <v>1</v>
      </c>
      <c r="M69">
        <f>IF($D69 = 1, ROUND(SUM(recreation_claude_v2_5!M69,recreation_claude_v2_4!M69,recreation_claude_v2_3!M69,recreation_claude_v2_2!M69,recreation_claude_v2_1!M69)/COUNT(recreation_claude_v2_5!M69,recreation_claude_v2_4!M69,recreation_claude_v2_3!M69,recreation_claude_v2_2!M69,recreation_claude_v2_1!M69),0), "NA")</f>
        <v>1</v>
      </c>
      <c r="N69">
        <f>IF($D69 = 1, ROUND(SUM(recreation_claude_v2_5!N69,recreation_claude_v2_4!N69,recreation_claude_v2_3!N69,recreation_claude_v2_2!N69,recreation_claude_v2_1!N69)/COUNT(recreation_claude_v2_5!N69,recreation_claude_v2_4!N69,recreation_claude_v2_3!N69,recreation_claude_v2_2!N69,recreation_claude_v2_1!N69),0), "NA")</f>
        <v>1</v>
      </c>
      <c r="O69">
        <v>6.0419878959655762</v>
      </c>
    </row>
    <row r="70" spans="1:15" x14ac:dyDescent="0.25">
      <c r="A70" t="s">
        <v>80</v>
      </c>
      <c r="B70" t="s">
        <v>40</v>
      </c>
      <c r="C70">
        <v>0</v>
      </c>
      <c r="D70">
        <f>ROUND(SUM(recreation_claude_v2_5!D70,recreation_claude_v2_4!D70,recreation_claude_v2_3!D70,recreation_claude_v2_2!D70,recreation_claude_v2_1!D70)/COUNT(recreation_claude_v2_5!D70,recreation_claude_v2_4!D70,recreation_claude_v2_3!D70,recreation_claude_v2_2!D70,recreation_claude_v2_1!D70),0)</f>
        <v>1</v>
      </c>
      <c r="E70">
        <f>IF($D70 = 1, ROUND(SUM(recreation_claude_v2_5!E70,recreation_claude_v2_4!E70,recreation_claude_v2_3!E70,recreation_claude_v2_2!E70,recreation_claude_v2_1!E70)/COUNT(recreation_claude_v2_5!E70,recreation_claude_v2_4!E70,recreation_claude_v2_3!E70,recreation_claude_v2_2!E70,recreation_claude_v2_1!E70),0), "NA")</f>
        <v>1</v>
      </c>
      <c r="F70">
        <f>IF($D70 = 1, ROUND(SUM(recreation_claude_v2_5!F70,recreation_claude_v2_4!F70,recreation_claude_v2_3!F70,recreation_claude_v2_2!F70,recreation_claude_v2_1!F70)/COUNT(recreation_claude_v2_5!F70,recreation_claude_v2_4!F70,recreation_claude_v2_3!F70,recreation_claude_v2_2!F70,recreation_claude_v2_1!F70),0), "NA")</f>
        <v>1</v>
      </c>
      <c r="G70">
        <f>IF($D70 = 1, ROUND(SUM(recreation_claude_v2_5!G70,recreation_claude_v2_4!G70,recreation_claude_v2_3!G70,recreation_claude_v2_2!G70,recreation_claude_v2_1!G70)/COUNT(recreation_claude_v2_5!G70,recreation_claude_v2_4!G70,recreation_claude_v2_3!G70,recreation_claude_v2_2!G70,recreation_claude_v2_1!G70),0), "NA")</f>
        <v>1</v>
      </c>
      <c r="H70">
        <f>IF($E70 = 1, ROUND(SUM(recreation_claude_v2_5!H70,recreation_claude_v2_4!H70,recreation_claude_v2_3!H70,recreation_claude_v2_2!H70,recreation_claude_v2_1!H70)/COUNT(recreation_claude_v2_5!H70,recreation_claude_v2_4!H70,recreation_claude_v2_3!H70,recreation_claude_v2_2!H70,recreation_claude_v2_1!H70),0), "NA")</f>
        <v>1</v>
      </c>
      <c r="I70">
        <f>IF($D70 = 1, ROUND(SUM(recreation_claude_v2_5!I70,recreation_claude_v2_4!I70,recreation_claude_v2_3!I70,recreation_claude_v2_2!I70,recreation_claude_v2_1!I70)/COUNT(recreation_claude_v2_5!I70,recreation_claude_v2_4!I70,recreation_claude_v2_3!I70,recreation_claude_v2_2!I70,recreation_claude_v2_1!I70),0), "NA")</f>
        <v>1</v>
      </c>
      <c r="J70">
        <f>IF(AND($E70 = 1, $F70 = 1), ROUND(SUM(recreation_claude_v2_5!J70,recreation_claude_v2_4!J70,recreation_claude_v2_3!J70,recreation_claude_v2_2!J70,recreation_claude_v2_1!J70)/COUNT(recreation_claude_v2_5!J70,recreation_claude_v2_4!J70,recreation_claude_v2_3!J70,recreation_claude_v2_2!J70,recreation_claude_v2_1!J70),0), "NA")</f>
        <v>1</v>
      </c>
      <c r="K70">
        <f>IF($D70 = 1, ROUND(SUM(recreation_claude_v2_5!K70,recreation_claude_v2_4!K70,recreation_claude_v2_3!K70,recreation_claude_v2_2!K70,recreation_claude_v2_1!K70)/COUNT(recreation_claude_v2_5!K70,recreation_claude_v2_4!K70,recreation_claude_v2_3!K70,recreation_claude_v2_2!K70,recreation_claude_v2_1!K70),0), "NA")</f>
        <v>1</v>
      </c>
      <c r="L70">
        <f>IF($D70 = 1, ROUND(SUM(recreation_claude_v2_5!L70,recreation_claude_v2_4!L70,recreation_claude_v2_3!L70,recreation_claude_v2_2!L70,recreation_claude_v2_1!L70)/COUNT(recreation_claude_v2_5!L70,recreation_claude_v2_4!L70,recreation_claude_v2_3!L70,recreation_claude_v2_2!L70,recreation_claude_v2_1!L70),0), "NA")</f>
        <v>1</v>
      </c>
      <c r="M70">
        <f>IF($D70 = 1, ROUND(SUM(recreation_claude_v2_5!M70,recreation_claude_v2_4!M70,recreation_claude_v2_3!M70,recreation_claude_v2_2!M70,recreation_claude_v2_1!M70)/COUNT(recreation_claude_v2_5!M70,recreation_claude_v2_4!M70,recreation_claude_v2_3!M70,recreation_claude_v2_2!M70,recreation_claude_v2_1!M70),0), "NA")</f>
        <v>1</v>
      </c>
      <c r="N70">
        <f>IF($D70 = 1, ROUND(SUM(recreation_claude_v2_5!N70,recreation_claude_v2_4!N70,recreation_claude_v2_3!N70,recreation_claude_v2_2!N70,recreation_claude_v2_1!N70)/COUNT(recreation_claude_v2_5!N70,recreation_claude_v2_4!N70,recreation_claude_v2_3!N70,recreation_claude_v2_2!N70,recreation_claude_v2_1!N70),0), "NA")</f>
        <v>1</v>
      </c>
      <c r="O70">
        <v>1.4240820407867429</v>
      </c>
    </row>
    <row r="71" spans="1:15" x14ac:dyDescent="0.25">
      <c r="A71" t="s">
        <v>80</v>
      </c>
      <c r="B71" t="s">
        <v>41</v>
      </c>
      <c r="C71">
        <v>0</v>
      </c>
      <c r="D71">
        <f>ROUND(SUM(recreation_claude_v2_5!D71,recreation_claude_v2_4!D71,recreation_claude_v2_3!D71,recreation_claude_v2_2!D71,recreation_claude_v2_1!D71)/COUNT(recreation_claude_v2_5!D71,recreation_claude_v2_4!D71,recreation_claude_v2_3!D71,recreation_claude_v2_2!D71,recreation_claude_v2_1!D71),0)</f>
        <v>1</v>
      </c>
      <c r="E71">
        <f>IF($D71 = 1, ROUND(SUM(recreation_claude_v2_5!E71,recreation_claude_v2_4!E71,recreation_claude_v2_3!E71,recreation_claude_v2_2!E71,recreation_claude_v2_1!E71)/COUNT(recreation_claude_v2_5!E71,recreation_claude_v2_4!E71,recreation_claude_v2_3!E71,recreation_claude_v2_2!E71,recreation_claude_v2_1!E71),0), "NA")</f>
        <v>0</v>
      </c>
      <c r="F71">
        <f>IF($D71 = 1, ROUND(SUM(recreation_claude_v2_5!F71,recreation_claude_v2_4!F71,recreation_claude_v2_3!F71,recreation_claude_v2_2!F71,recreation_claude_v2_1!F71)/COUNT(recreation_claude_v2_5!F71,recreation_claude_v2_4!F71,recreation_claude_v2_3!F71,recreation_claude_v2_2!F71,recreation_claude_v2_1!F71),0), "NA")</f>
        <v>1</v>
      </c>
      <c r="G71">
        <f>IF($D71 = 1, ROUND(SUM(recreation_claude_v2_5!G71,recreation_claude_v2_4!G71,recreation_claude_v2_3!G71,recreation_claude_v2_2!G71,recreation_claude_v2_1!G71)/COUNT(recreation_claude_v2_5!G71,recreation_claude_v2_4!G71,recreation_claude_v2_3!G71,recreation_claude_v2_2!G71,recreation_claude_v2_1!G71),0), "NA")</f>
        <v>1</v>
      </c>
      <c r="H71" t="str">
        <f>IF($E71 = 1, ROUND(SUM(recreation_claude_v2_5!H71,recreation_claude_v2_4!H71,recreation_claude_v2_3!H71,recreation_claude_v2_2!H71,recreation_claude_v2_1!H71)/COUNT(recreation_claude_v2_5!H71,recreation_claude_v2_4!H71,recreation_claude_v2_3!H71,recreation_claude_v2_2!H71,recreation_claude_v2_1!H71),0), "NA")</f>
        <v>NA</v>
      </c>
      <c r="I71">
        <f>IF($D71 = 1, ROUND(SUM(recreation_claude_v2_5!I71,recreation_claude_v2_4!I71,recreation_claude_v2_3!I71,recreation_claude_v2_2!I71,recreation_claude_v2_1!I71)/COUNT(recreation_claude_v2_5!I71,recreation_claude_v2_4!I71,recreation_claude_v2_3!I71,recreation_claude_v2_2!I71,recreation_claude_v2_1!I71),0), "NA")</f>
        <v>1</v>
      </c>
      <c r="J71" t="str">
        <f>IF(AND($E71 = 1, $F71 = 1), ROUND(SUM(recreation_claude_v2_5!J71,recreation_claude_v2_4!J71,recreation_claude_v2_3!J71,recreation_claude_v2_2!J71,recreation_claude_v2_1!J71)/COUNT(recreation_claude_v2_5!J71,recreation_claude_v2_4!J71,recreation_claude_v2_3!J71,recreation_claude_v2_2!J71,recreation_claude_v2_1!J71),0), "NA")</f>
        <v>NA</v>
      </c>
      <c r="K71">
        <f>IF($D71 = 1, ROUND(SUM(recreation_claude_v2_5!K71,recreation_claude_v2_4!K71,recreation_claude_v2_3!K71,recreation_claude_v2_2!K71,recreation_claude_v2_1!K71)/COUNT(recreation_claude_v2_5!K71,recreation_claude_v2_4!K71,recreation_claude_v2_3!K71,recreation_claude_v2_2!K71,recreation_claude_v2_1!K71),0), "NA")</f>
        <v>1</v>
      </c>
      <c r="L71">
        <f>IF($D71 = 1, ROUND(SUM(recreation_claude_v2_5!L71,recreation_claude_v2_4!L71,recreation_claude_v2_3!L71,recreation_claude_v2_2!L71,recreation_claude_v2_1!L71)/COUNT(recreation_claude_v2_5!L71,recreation_claude_v2_4!L71,recreation_claude_v2_3!L71,recreation_claude_v2_2!L71,recreation_claude_v2_1!L71),0), "NA")</f>
        <v>1</v>
      </c>
      <c r="M71">
        <f>IF($D71 = 1, ROUND(SUM(recreation_claude_v2_5!M71,recreation_claude_v2_4!M71,recreation_claude_v2_3!M71,recreation_claude_v2_2!M71,recreation_claude_v2_1!M71)/COUNT(recreation_claude_v2_5!M71,recreation_claude_v2_4!M71,recreation_claude_v2_3!M71,recreation_claude_v2_2!M71,recreation_claude_v2_1!M71),0), "NA")</f>
        <v>1</v>
      </c>
      <c r="N71">
        <f>IF($D71 = 1, ROUND(SUM(recreation_claude_v2_5!N71,recreation_claude_v2_4!N71,recreation_claude_v2_3!N71,recreation_claude_v2_2!N71,recreation_claude_v2_1!N71)/COUNT(recreation_claude_v2_5!N71,recreation_claude_v2_4!N71,recreation_claude_v2_3!N71,recreation_claude_v2_2!N71,recreation_claude_v2_1!N71),0), "NA")</f>
        <v>1</v>
      </c>
      <c r="O71">
        <v>2.443510770797729</v>
      </c>
    </row>
    <row r="72" spans="1:15" x14ac:dyDescent="0.25">
      <c r="A72" t="s">
        <v>80</v>
      </c>
      <c r="B72" t="s">
        <v>42</v>
      </c>
      <c r="C72">
        <v>0</v>
      </c>
      <c r="D72">
        <f>ROUND(SUM(recreation_claude_v2_5!D72,recreation_claude_v2_4!D72,recreation_claude_v2_3!D72,recreation_claude_v2_2!D72,recreation_claude_v2_1!D72)/COUNT(recreation_claude_v2_5!D72,recreation_claude_v2_4!D72,recreation_claude_v2_3!D72,recreation_claude_v2_2!D72,recreation_claude_v2_1!D72),0)</f>
        <v>1</v>
      </c>
      <c r="E72">
        <f>IF($D72 = 1, ROUND(SUM(recreation_claude_v2_5!E72,recreation_claude_v2_4!E72,recreation_claude_v2_3!E72,recreation_claude_v2_2!E72,recreation_claude_v2_1!E72)/COUNT(recreation_claude_v2_5!E72,recreation_claude_v2_4!E72,recreation_claude_v2_3!E72,recreation_claude_v2_2!E72,recreation_claude_v2_1!E72),0), "NA")</f>
        <v>1</v>
      </c>
      <c r="F72">
        <f>IF($D72 = 1, ROUND(SUM(recreation_claude_v2_5!F72,recreation_claude_v2_4!F72,recreation_claude_v2_3!F72,recreation_claude_v2_2!F72,recreation_claude_v2_1!F72)/COUNT(recreation_claude_v2_5!F72,recreation_claude_v2_4!F72,recreation_claude_v2_3!F72,recreation_claude_v2_2!F72,recreation_claude_v2_1!F72),0), "NA")</f>
        <v>1</v>
      </c>
      <c r="G72">
        <f>IF($D72 = 1, ROUND(SUM(recreation_claude_v2_5!G72,recreation_claude_v2_4!G72,recreation_claude_v2_3!G72,recreation_claude_v2_2!G72,recreation_claude_v2_1!G72)/COUNT(recreation_claude_v2_5!G72,recreation_claude_v2_4!G72,recreation_claude_v2_3!G72,recreation_claude_v2_2!G72,recreation_claude_v2_1!G72),0), "NA")</f>
        <v>1</v>
      </c>
      <c r="H72">
        <f>IF($E72 = 1, ROUND(SUM(recreation_claude_v2_5!H72,recreation_claude_v2_4!H72,recreation_claude_v2_3!H72,recreation_claude_v2_2!H72,recreation_claude_v2_1!H72)/COUNT(recreation_claude_v2_5!H72,recreation_claude_v2_4!H72,recreation_claude_v2_3!H72,recreation_claude_v2_2!H72,recreation_claude_v2_1!H72),0), "NA")</f>
        <v>1</v>
      </c>
      <c r="I72">
        <f>IF($D72 = 1, ROUND(SUM(recreation_claude_v2_5!I72,recreation_claude_v2_4!I72,recreation_claude_v2_3!I72,recreation_claude_v2_2!I72,recreation_claude_v2_1!I72)/COUNT(recreation_claude_v2_5!I72,recreation_claude_v2_4!I72,recreation_claude_v2_3!I72,recreation_claude_v2_2!I72,recreation_claude_v2_1!I72),0), "NA")</f>
        <v>1</v>
      </c>
      <c r="J72">
        <f>IF(AND($E72 = 1, $F72 = 1), ROUND(SUM(recreation_claude_v2_5!J72,recreation_claude_v2_4!J72,recreation_claude_v2_3!J72,recreation_claude_v2_2!J72,recreation_claude_v2_1!J72)/COUNT(recreation_claude_v2_5!J72,recreation_claude_v2_4!J72,recreation_claude_v2_3!J72,recreation_claude_v2_2!J72,recreation_claude_v2_1!J72),0), "NA")</f>
        <v>1</v>
      </c>
      <c r="K72">
        <f>IF($D72 = 1, ROUND(SUM(recreation_claude_v2_5!K72,recreation_claude_v2_4!K72,recreation_claude_v2_3!K72,recreation_claude_v2_2!K72,recreation_claude_v2_1!K72)/COUNT(recreation_claude_v2_5!K72,recreation_claude_v2_4!K72,recreation_claude_v2_3!K72,recreation_claude_v2_2!K72,recreation_claude_v2_1!K72),0), "NA")</f>
        <v>1</v>
      </c>
      <c r="L72">
        <f>IF($D72 = 1, ROUND(SUM(recreation_claude_v2_5!L72,recreation_claude_v2_4!L72,recreation_claude_v2_3!L72,recreation_claude_v2_2!L72,recreation_claude_v2_1!L72)/COUNT(recreation_claude_v2_5!L72,recreation_claude_v2_4!L72,recreation_claude_v2_3!L72,recreation_claude_v2_2!L72,recreation_claude_v2_1!L72),0), "NA")</f>
        <v>1</v>
      </c>
      <c r="M72">
        <f>IF($D72 = 1, ROUND(SUM(recreation_claude_v2_5!M72,recreation_claude_v2_4!M72,recreation_claude_v2_3!M72,recreation_claude_v2_2!M72,recreation_claude_v2_1!M72)/COUNT(recreation_claude_v2_5!M72,recreation_claude_v2_4!M72,recreation_claude_v2_3!M72,recreation_claude_v2_2!M72,recreation_claude_v2_1!M72),0), "NA")</f>
        <v>1</v>
      </c>
      <c r="N72">
        <f>IF($D72 = 1, ROUND(SUM(recreation_claude_v2_5!N72,recreation_claude_v2_4!N72,recreation_claude_v2_3!N72,recreation_claude_v2_2!N72,recreation_claude_v2_1!N72)/COUNT(recreation_claude_v2_5!N72,recreation_claude_v2_4!N72,recreation_claude_v2_3!N72,recreation_claude_v2_2!N72,recreation_claude_v2_1!N72),0), "NA")</f>
        <v>1</v>
      </c>
      <c r="O72">
        <v>1.8219654560089109</v>
      </c>
    </row>
    <row r="73" spans="1:15" x14ac:dyDescent="0.25">
      <c r="A73" t="s">
        <v>80</v>
      </c>
      <c r="B73" t="s">
        <v>44</v>
      </c>
      <c r="C73">
        <v>0</v>
      </c>
      <c r="D73">
        <f>ROUND(SUM(recreation_claude_v2_5!D73,recreation_claude_v2_4!D73,recreation_claude_v2_3!D73,recreation_claude_v2_2!D73,recreation_claude_v2_1!D73)/COUNT(recreation_claude_v2_5!D73,recreation_claude_v2_4!D73,recreation_claude_v2_3!D73,recreation_claude_v2_2!D73,recreation_claude_v2_1!D73),0)</f>
        <v>1</v>
      </c>
      <c r="E73">
        <f>IF($D73 = 1, ROUND(SUM(recreation_claude_v2_5!E73,recreation_claude_v2_4!E73,recreation_claude_v2_3!E73,recreation_claude_v2_2!E73,recreation_claude_v2_1!E73)/COUNT(recreation_claude_v2_5!E73,recreation_claude_v2_4!E73,recreation_claude_v2_3!E73,recreation_claude_v2_2!E73,recreation_claude_v2_1!E73),0), "NA")</f>
        <v>1</v>
      </c>
      <c r="F73">
        <f>IF($D73 = 1, ROUND(SUM(recreation_claude_v2_5!F73,recreation_claude_v2_4!F73,recreation_claude_v2_3!F73,recreation_claude_v2_2!F73,recreation_claude_v2_1!F73)/COUNT(recreation_claude_v2_5!F73,recreation_claude_v2_4!F73,recreation_claude_v2_3!F73,recreation_claude_v2_2!F73,recreation_claude_v2_1!F73),0), "NA")</f>
        <v>1</v>
      </c>
      <c r="G73">
        <f>IF($D73 = 1, ROUND(SUM(recreation_claude_v2_5!G73,recreation_claude_v2_4!G73,recreation_claude_v2_3!G73,recreation_claude_v2_2!G73,recreation_claude_v2_1!G73)/COUNT(recreation_claude_v2_5!G73,recreation_claude_v2_4!G73,recreation_claude_v2_3!G73,recreation_claude_v2_2!G73,recreation_claude_v2_1!G73),0), "NA")</f>
        <v>1</v>
      </c>
      <c r="H73">
        <f>IF($E73 = 1, ROUND(SUM(recreation_claude_v2_5!H73,recreation_claude_v2_4!H73,recreation_claude_v2_3!H73,recreation_claude_v2_2!H73,recreation_claude_v2_1!H73)/COUNT(recreation_claude_v2_5!H73,recreation_claude_v2_4!H73,recreation_claude_v2_3!H73,recreation_claude_v2_2!H73,recreation_claude_v2_1!H73),0), "NA")</f>
        <v>1</v>
      </c>
      <c r="I73">
        <f>IF($D73 = 1, ROUND(SUM(recreation_claude_v2_5!I73,recreation_claude_v2_4!I73,recreation_claude_v2_3!I73,recreation_claude_v2_2!I73,recreation_claude_v2_1!I73)/COUNT(recreation_claude_v2_5!I73,recreation_claude_v2_4!I73,recreation_claude_v2_3!I73,recreation_claude_v2_2!I73,recreation_claude_v2_1!I73),0), "NA")</f>
        <v>1</v>
      </c>
      <c r="J73">
        <f>IF(AND($E73 = 1, $F73 = 1), ROUND(SUM(recreation_claude_v2_5!J73,recreation_claude_v2_4!J73,recreation_claude_v2_3!J73,recreation_claude_v2_2!J73,recreation_claude_v2_1!J73)/COUNT(recreation_claude_v2_5!J73,recreation_claude_v2_4!J73,recreation_claude_v2_3!J73,recreation_claude_v2_2!J73,recreation_claude_v2_1!J73),0), "NA")</f>
        <v>1</v>
      </c>
      <c r="K73">
        <f>IF($D73 = 1, ROUND(SUM(recreation_claude_v2_5!K73,recreation_claude_v2_4!K73,recreation_claude_v2_3!K73,recreation_claude_v2_2!K73,recreation_claude_v2_1!K73)/COUNT(recreation_claude_v2_5!K73,recreation_claude_v2_4!K73,recreation_claude_v2_3!K73,recreation_claude_v2_2!K73,recreation_claude_v2_1!K73),0), "NA")</f>
        <v>1</v>
      </c>
      <c r="L73">
        <f>IF($D73 = 1, ROUND(SUM(recreation_claude_v2_5!L73,recreation_claude_v2_4!L73,recreation_claude_v2_3!L73,recreation_claude_v2_2!L73,recreation_claude_v2_1!L73)/COUNT(recreation_claude_v2_5!L73,recreation_claude_v2_4!L73,recreation_claude_v2_3!L73,recreation_claude_v2_2!L73,recreation_claude_v2_1!L73),0), "NA")</f>
        <v>1</v>
      </c>
      <c r="M73">
        <f>IF($D73 = 1, ROUND(SUM(recreation_claude_v2_5!M73,recreation_claude_v2_4!M73,recreation_claude_v2_3!M73,recreation_claude_v2_2!M73,recreation_claude_v2_1!M73)/COUNT(recreation_claude_v2_5!M73,recreation_claude_v2_4!M73,recreation_claude_v2_3!M73,recreation_claude_v2_2!M73,recreation_claude_v2_1!M73),0), "NA")</f>
        <v>1</v>
      </c>
      <c r="N73">
        <f>IF($D73 = 1, ROUND(SUM(recreation_claude_v2_5!N73,recreation_claude_v2_4!N73,recreation_claude_v2_3!N73,recreation_claude_v2_2!N73,recreation_claude_v2_1!N73)/COUNT(recreation_claude_v2_5!N73,recreation_claude_v2_4!N73,recreation_claude_v2_3!N73,recreation_claude_v2_2!N73,recreation_claude_v2_1!N73),0), "NA")</f>
        <v>1</v>
      </c>
      <c r="O73">
        <v>1.735793352127075</v>
      </c>
    </row>
    <row r="74" spans="1:15" x14ac:dyDescent="0.25">
      <c r="A74" t="s">
        <v>80</v>
      </c>
      <c r="B74" t="s">
        <v>45</v>
      </c>
      <c r="C74">
        <v>0</v>
      </c>
      <c r="D74">
        <f>ROUND(SUM(recreation_claude_v2_5!D74,recreation_claude_v2_4!D74,recreation_claude_v2_3!D74,recreation_claude_v2_2!D74,recreation_claude_v2_1!D74)/COUNT(recreation_claude_v2_5!D74,recreation_claude_v2_4!D74,recreation_claude_v2_3!D74,recreation_claude_v2_2!D74,recreation_claude_v2_1!D74),0)</f>
        <v>1</v>
      </c>
      <c r="E74">
        <f>IF($D74 = 1, ROUND(SUM(recreation_claude_v2_5!E74,recreation_claude_v2_4!E74,recreation_claude_v2_3!E74,recreation_claude_v2_2!E74,recreation_claude_v2_1!E74)/COUNT(recreation_claude_v2_5!E74,recreation_claude_v2_4!E74,recreation_claude_v2_3!E74,recreation_claude_v2_2!E74,recreation_claude_v2_1!E74),0), "NA")</f>
        <v>1</v>
      </c>
      <c r="F74">
        <f>IF($D74 = 1, ROUND(SUM(recreation_claude_v2_5!F74,recreation_claude_v2_4!F74,recreation_claude_v2_3!F74,recreation_claude_v2_2!F74,recreation_claude_v2_1!F74)/COUNT(recreation_claude_v2_5!F74,recreation_claude_v2_4!F74,recreation_claude_v2_3!F74,recreation_claude_v2_2!F74,recreation_claude_v2_1!F74),0), "NA")</f>
        <v>1</v>
      </c>
      <c r="G74">
        <f>IF($D74 = 1, ROUND(SUM(recreation_claude_v2_5!G74,recreation_claude_v2_4!G74,recreation_claude_v2_3!G74,recreation_claude_v2_2!G74,recreation_claude_v2_1!G74)/COUNT(recreation_claude_v2_5!G74,recreation_claude_v2_4!G74,recreation_claude_v2_3!G74,recreation_claude_v2_2!G74,recreation_claude_v2_1!G74),0), "NA")</f>
        <v>1</v>
      </c>
      <c r="H74">
        <f>IF($E74 = 1, ROUND(SUM(recreation_claude_v2_5!H74,recreation_claude_v2_4!H74,recreation_claude_v2_3!H74,recreation_claude_v2_2!H74,recreation_claude_v2_1!H74)/COUNT(recreation_claude_v2_5!H74,recreation_claude_v2_4!H74,recreation_claude_v2_3!H74,recreation_claude_v2_2!H74,recreation_claude_v2_1!H74),0), "NA")</f>
        <v>1</v>
      </c>
      <c r="I74">
        <f>IF($D74 = 1, ROUND(SUM(recreation_claude_v2_5!I74,recreation_claude_v2_4!I74,recreation_claude_v2_3!I74,recreation_claude_v2_2!I74,recreation_claude_v2_1!I74)/COUNT(recreation_claude_v2_5!I74,recreation_claude_v2_4!I74,recreation_claude_v2_3!I74,recreation_claude_v2_2!I74,recreation_claude_v2_1!I74),0), "NA")</f>
        <v>1</v>
      </c>
      <c r="J74">
        <f>IF(AND($E74 = 1, $F74 = 1), ROUND(SUM(recreation_claude_v2_5!J74,recreation_claude_v2_4!J74,recreation_claude_v2_3!J74,recreation_claude_v2_2!J74,recreation_claude_v2_1!J74)/COUNT(recreation_claude_v2_5!J74,recreation_claude_v2_4!J74,recreation_claude_v2_3!J74,recreation_claude_v2_2!J74,recreation_claude_v2_1!J74),0), "NA")</f>
        <v>1</v>
      </c>
      <c r="K74">
        <f>IF($D74 = 1, ROUND(SUM(recreation_claude_v2_5!K74,recreation_claude_v2_4!K74,recreation_claude_v2_3!K74,recreation_claude_v2_2!K74,recreation_claude_v2_1!K74)/COUNT(recreation_claude_v2_5!K74,recreation_claude_v2_4!K74,recreation_claude_v2_3!K74,recreation_claude_v2_2!K74,recreation_claude_v2_1!K74),0), "NA")</f>
        <v>1</v>
      </c>
      <c r="L74">
        <f>IF($D74 = 1, ROUND(SUM(recreation_claude_v2_5!L74,recreation_claude_v2_4!L74,recreation_claude_v2_3!L74,recreation_claude_v2_2!L74,recreation_claude_v2_1!L74)/COUNT(recreation_claude_v2_5!L74,recreation_claude_v2_4!L74,recreation_claude_v2_3!L74,recreation_claude_v2_2!L74,recreation_claude_v2_1!L74),0), "NA")</f>
        <v>1</v>
      </c>
      <c r="M74">
        <f>IF($D74 = 1, ROUND(SUM(recreation_claude_v2_5!M74,recreation_claude_v2_4!M74,recreation_claude_v2_3!M74,recreation_claude_v2_2!M74,recreation_claude_v2_1!M74)/COUNT(recreation_claude_v2_5!M74,recreation_claude_v2_4!M74,recreation_claude_v2_3!M74,recreation_claude_v2_2!M74,recreation_claude_v2_1!M74),0), "NA")</f>
        <v>1</v>
      </c>
      <c r="N74">
        <f>IF($D74 = 1, ROUND(SUM(recreation_claude_v2_5!N74,recreation_claude_v2_4!N74,recreation_claude_v2_3!N74,recreation_claude_v2_2!N74,recreation_claude_v2_1!N74)/COUNT(recreation_claude_v2_5!N74,recreation_claude_v2_4!N74,recreation_claude_v2_3!N74,recreation_claude_v2_2!N74,recreation_claude_v2_1!N74),0), "NA")</f>
        <v>1</v>
      </c>
      <c r="O74">
        <v>1.509884834289551</v>
      </c>
    </row>
    <row r="75" spans="1:15" x14ac:dyDescent="0.25">
      <c r="A75" t="s">
        <v>80</v>
      </c>
      <c r="B75" t="s">
        <v>46</v>
      </c>
      <c r="C75">
        <v>0</v>
      </c>
      <c r="D75">
        <f>ROUND(SUM(recreation_claude_v2_5!D75,recreation_claude_v2_4!D75,recreation_claude_v2_3!D75,recreation_claude_v2_2!D75,recreation_claude_v2_1!D75)/COUNT(recreation_claude_v2_5!D75,recreation_claude_v2_4!D75,recreation_claude_v2_3!D75,recreation_claude_v2_2!D75,recreation_claude_v2_1!D75),0)</f>
        <v>1</v>
      </c>
      <c r="E75">
        <f>IF($D75 = 1, ROUND(SUM(recreation_claude_v2_5!E75,recreation_claude_v2_4!E75,recreation_claude_v2_3!E75,recreation_claude_v2_2!E75,recreation_claude_v2_1!E75)/COUNT(recreation_claude_v2_5!E75,recreation_claude_v2_4!E75,recreation_claude_v2_3!E75,recreation_claude_v2_2!E75,recreation_claude_v2_1!E75),0), "NA")</f>
        <v>1</v>
      </c>
      <c r="F75">
        <f>IF($D75 = 1, ROUND(SUM(recreation_claude_v2_5!F75,recreation_claude_v2_4!F75,recreation_claude_v2_3!F75,recreation_claude_v2_2!F75,recreation_claude_v2_1!F75)/COUNT(recreation_claude_v2_5!F75,recreation_claude_v2_4!F75,recreation_claude_v2_3!F75,recreation_claude_v2_2!F75,recreation_claude_v2_1!F75),0), "NA")</f>
        <v>1</v>
      </c>
      <c r="G75">
        <f>IF($D75 = 1, ROUND(SUM(recreation_claude_v2_5!G75,recreation_claude_v2_4!G75,recreation_claude_v2_3!G75,recreation_claude_v2_2!G75,recreation_claude_v2_1!G75)/COUNT(recreation_claude_v2_5!G75,recreation_claude_v2_4!G75,recreation_claude_v2_3!G75,recreation_claude_v2_2!G75,recreation_claude_v2_1!G75),0), "NA")</f>
        <v>1</v>
      </c>
      <c r="H75">
        <f>IF($E75 = 1, ROUND(SUM(recreation_claude_v2_5!H75,recreation_claude_v2_4!H75,recreation_claude_v2_3!H75,recreation_claude_v2_2!H75,recreation_claude_v2_1!H75)/COUNT(recreation_claude_v2_5!H75,recreation_claude_v2_4!H75,recreation_claude_v2_3!H75,recreation_claude_v2_2!H75,recreation_claude_v2_1!H75),0), "NA")</f>
        <v>1</v>
      </c>
      <c r="I75">
        <f>IF($D75 = 1, ROUND(SUM(recreation_claude_v2_5!I75,recreation_claude_v2_4!I75,recreation_claude_v2_3!I75,recreation_claude_v2_2!I75,recreation_claude_v2_1!I75)/COUNT(recreation_claude_v2_5!I75,recreation_claude_v2_4!I75,recreation_claude_v2_3!I75,recreation_claude_v2_2!I75,recreation_claude_v2_1!I75),0), "NA")</f>
        <v>1</v>
      </c>
      <c r="J75">
        <f>IF(AND($E75 = 1, $F75 = 1), ROUND(SUM(recreation_claude_v2_5!J75,recreation_claude_v2_4!J75,recreation_claude_v2_3!J75,recreation_claude_v2_2!J75,recreation_claude_v2_1!J75)/COUNT(recreation_claude_v2_5!J75,recreation_claude_v2_4!J75,recreation_claude_v2_3!J75,recreation_claude_v2_2!J75,recreation_claude_v2_1!J75),0), "NA")</f>
        <v>1</v>
      </c>
      <c r="K75">
        <f>IF($D75 = 1, ROUND(SUM(recreation_claude_v2_5!K75,recreation_claude_v2_4!K75,recreation_claude_v2_3!K75,recreation_claude_v2_2!K75,recreation_claude_v2_1!K75)/COUNT(recreation_claude_v2_5!K75,recreation_claude_v2_4!K75,recreation_claude_v2_3!K75,recreation_claude_v2_2!K75,recreation_claude_v2_1!K75),0), "NA")</f>
        <v>1</v>
      </c>
      <c r="L75">
        <f>IF($D75 = 1, ROUND(SUM(recreation_claude_v2_5!L75,recreation_claude_v2_4!L75,recreation_claude_v2_3!L75,recreation_claude_v2_2!L75,recreation_claude_v2_1!L75)/COUNT(recreation_claude_v2_5!L75,recreation_claude_v2_4!L75,recreation_claude_v2_3!L75,recreation_claude_v2_2!L75,recreation_claude_v2_1!L75),0), "NA")</f>
        <v>1</v>
      </c>
      <c r="M75">
        <f>IF($D75 = 1, ROUND(SUM(recreation_claude_v2_5!M75,recreation_claude_v2_4!M75,recreation_claude_v2_3!M75,recreation_claude_v2_2!M75,recreation_claude_v2_1!M75)/COUNT(recreation_claude_v2_5!M75,recreation_claude_v2_4!M75,recreation_claude_v2_3!M75,recreation_claude_v2_2!M75,recreation_claude_v2_1!M75),0), "NA")</f>
        <v>1</v>
      </c>
      <c r="N75">
        <f>IF($D75 = 1, ROUND(SUM(recreation_claude_v2_5!N75,recreation_claude_v2_4!N75,recreation_claude_v2_3!N75,recreation_claude_v2_2!N75,recreation_claude_v2_1!N75)/COUNT(recreation_claude_v2_5!N75,recreation_claude_v2_4!N75,recreation_claude_v2_3!N75,recreation_claude_v2_2!N75,recreation_claude_v2_1!N75),0), "NA")</f>
        <v>1</v>
      </c>
      <c r="O75">
        <v>2.1741702556610112</v>
      </c>
    </row>
    <row r="76" spans="1:15" x14ac:dyDescent="0.25">
      <c r="A76" t="s">
        <v>80</v>
      </c>
      <c r="B76" t="s">
        <v>47</v>
      </c>
      <c r="C76">
        <v>0</v>
      </c>
      <c r="D76">
        <f>ROUND(SUM(recreation_claude_v2_5!D76,recreation_claude_v2_4!D76,recreation_claude_v2_3!D76,recreation_claude_v2_2!D76,recreation_claude_v2_1!D76)/COUNT(recreation_claude_v2_5!D76,recreation_claude_v2_4!D76,recreation_claude_v2_3!D76,recreation_claude_v2_2!D76,recreation_claude_v2_1!D76),0)</f>
        <v>1</v>
      </c>
      <c r="E76">
        <f>IF($D76 = 1, ROUND(SUM(recreation_claude_v2_5!E76,recreation_claude_v2_4!E76,recreation_claude_v2_3!E76,recreation_claude_v2_2!E76,recreation_claude_v2_1!E76)/COUNT(recreation_claude_v2_5!E76,recreation_claude_v2_4!E76,recreation_claude_v2_3!E76,recreation_claude_v2_2!E76,recreation_claude_v2_1!E76),0), "NA")</f>
        <v>1</v>
      </c>
      <c r="F76">
        <f>IF($D76 = 1, ROUND(SUM(recreation_claude_v2_5!F76,recreation_claude_v2_4!F76,recreation_claude_v2_3!F76,recreation_claude_v2_2!F76,recreation_claude_v2_1!F76)/COUNT(recreation_claude_v2_5!F76,recreation_claude_v2_4!F76,recreation_claude_v2_3!F76,recreation_claude_v2_2!F76,recreation_claude_v2_1!F76),0), "NA")</f>
        <v>1</v>
      </c>
      <c r="G76">
        <f>IF($D76 = 1, ROUND(SUM(recreation_claude_v2_5!G76,recreation_claude_v2_4!G76,recreation_claude_v2_3!G76,recreation_claude_v2_2!G76,recreation_claude_v2_1!G76)/COUNT(recreation_claude_v2_5!G76,recreation_claude_v2_4!G76,recreation_claude_v2_3!G76,recreation_claude_v2_2!G76,recreation_claude_v2_1!G76),0), "NA")</f>
        <v>1</v>
      </c>
      <c r="H76">
        <f>IF($E76 = 1, ROUND(SUM(recreation_claude_v2_5!H76,recreation_claude_v2_4!H76,recreation_claude_v2_3!H76,recreation_claude_v2_2!H76,recreation_claude_v2_1!H76)/COUNT(recreation_claude_v2_5!H76,recreation_claude_v2_4!H76,recreation_claude_v2_3!H76,recreation_claude_v2_2!H76,recreation_claude_v2_1!H76),0), "NA")</f>
        <v>1</v>
      </c>
      <c r="I76">
        <f>IF($D76 = 1, ROUND(SUM(recreation_claude_v2_5!I76,recreation_claude_v2_4!I76,recreation_claude_v2_3!I76,recreation_claude_v2_2!I76,recreation_claude_v2_1!I76)/COUNT(recreation_claude_v2_5!I76,recreation_claude_v2_4!I76,recreation_claude_v2_3!I76,recreation_claude_v2_2!I76,recreation_claude_v2_1!I76),0), "NA")</f>
        <v>1</v>
      </c>
      <c r="J76">
        <f>IF(AND($E76 = 1, $F76 = 1), ROUND(SUM(recreation_claude_v2_5!J76,recreation_claude_v2_4!J76,recreation_claude_v2_3!J76,recreation_claude_v2_2!J76,recreation_claude_v2_1!J76)/COUNT(recreation_claude_v2_5!J76,recreation_claude_v2_4!J76,recreation_claude_v2_3!J76,recreation_claude_v2_2!J76,recreation_claude_v2_1!J76),0), "NA")</f>
        <v>1</v>
      </c>
      <c r="K76">
        <f>IF($D76 = 1, ROUND(SUM(recreation_claude_v2_5!K76,recreation_claude_v2_4!K76,recreation_claude_v2_3!K76,recreation_claude_v2_2!K76,recreation_claude_v2_1!K76)/COUNT(recreation_claude_v2_5!K76,recreation_claude_v2_4!K76,recreation_claude_v2_3!K76,recreation_claude_v2_2!K76,recreation_claude_v2_1!K76),0), "NA")</f>
        <v>1</v>
      </c>
      <c r="L76">
        <f>IF($D76 = 1, ROUND(SUM(recreation_claude_v2_5!L76,recreation_claude_v2_4!L76,recreation_claude_v2_3!L76,recreation_claude_v2_2!L76,recreation_claude_v2_1!L76)/COUNT(recreation_claude_v2_5!L76,recreation_claude_v2_4!L76,recreation_claude_v2_3!L76,recreation_claude_v2_2!L76,recreation_claude_v2_1!L76),0), "NA")</f>
        <v>1</v>
      </c>
      <c r="M76">
        <f>IF($D76 = 1, ROUND(SUM(recreation_claude_v2_5!M76,recreation_claude_v2_4!M76,recreation_claude_v2_3!M76,recreation_claude_v2_2!M76,recreation_claude_v2_1!M76)/COUNT(recreation_claude_v2_5!M76,recreation_claude_v2_4!M76,recreation_claude_v2_3!M76,recreation_claude_v2_2!M76,recreation_claude_v2_1!M76),0), "NA")</f>
        <v>1</v>
      </c>
      <c r="N76">
        <f>IF($D76 = 1, ROUND(SUM(recreation_claude_v2_5!N76,recreation_claude_v2_4!N76,recreation_claude_v2_3!N76,recreation_claude_v2_2!N76,recreation_claude_v2_1!N76)/COUNT(recreation_claude_v2_5!N76,recreation_claude_v2_4!N76,recreation_claude_v2_3!N76,recreation_claude_v2_2!N76,recreation_claude_v2_1!N76),0), "NA")</f>
        <v>1</v>
      </c>
      <c r="O76">
        <v>1.8489270210266111</v>
      </c>
    </row>
    <row r="77" spans="1:15" x14ac:dyDescent="0.25">
      <c r="A77" t="s">
        <v>80</v>
      </c>
      <c r="B77" t="s">
        <v>49</v>
      </c>
      <c r="C77">
        <v>0</v>
      </c>
      <c r="D77">
        <f>ROUND(SUM(recreation_claude_v2_5!D77,recreation_claude_v2_4!D77,recreation_claude_v2_3!D77,recreation_claude_v2_2!D77,recreation_claude_v2_1!D77)/COUNT(recreation_claude_v2_5!D77,recreation_claude_v2_4!D77,recreation_claude_v2_3!D77,recreation_claude_v2_2!D77,recreation_claude_v2_1!D77),0)</f>
        <v>1</v>
      </c>
      <c r="E77">
        <f>IF($D77 = 1, ROUND(SUM(recreation_claude_v2_5!E77,recreation_claude_v2_4!E77,recreation_claude_v2_3!E77,recreation_claude_v2_2!E77,recreation_claude_v2_1!E77)/COUNT(recreation_claude_v2_5!E77,recreation_claude_v2_4!E77,recreation_claude_v2_3!E77,recreation_claude_v2_2!E77,recreation_claude_v2_1!E77),0), "NA")</f>
        <v>0</v>
      </c>
      <c r="F77">
        <f>IF($D77 = 1, ROUND(SUM(recreation_claude_v2_5!F77,recreation_claude_v2_4!F77,recreation_claude_v2_3!F77,recreation_claude_v2_2!F77,recreation_claude_v2_1!F77)/COUNT(recreation_claude_v2_5!F77,recreation_claude_v2_4!F77,recreation_claude_v2_3!F77,recreation_claude_v2_2!F77,recreation_claude_v2_1!F77),0), "NA")</f>
        <v>1</v>
      </c>
      <c r="G77">
        <f>IF($D77 = 1, ROUND(SUM(recreation_claude_v2_5!G77,recreation_claude_v2_4!G77,recreation_claude_v2_3!G77,recreation_claude_v2_2!G77,recreation_claude_v2_1!G77)/COUNT(recreation_claude_v2_5!G77,recreation_claude_v2_4!G77,recreation_claude_v2_3!G77,recreation_claude_v2_2!G77,recreation_claude_v2_1!G77),0), "NA")</f>
        <v>1</v>
      </c>
      <c r="H77" t="str">
        <f>IF($E77 = 1, ROUND(SUM(recreation_claude_v2_5!H77,recreation_claude_v2_4!H77,recreation_claude_v2_3!H77,recreation_claude_v2_2!H77,recreation_claude_v2_1!H77)/COUNT(recreation_claude_v2_5!H77,recreation_claude_v2_4!H77,recreation_claude_v2_3!H77,recreation_claude_v2_2!H77,recreation_claude_v2_1!H77),0), "NA")</f>
        <v>NA</v>
      </c>
      <c r="I77">
        <f>IF($D77 = 1, ROUND(SUM(recreation_claude_v2_5!I77,recreation_claude_v2_4!I77,recreation_claude_v2_3!I77,recreation_claude_v2_2!I77,recreation_claude_v2_1!I77)/COUNT(recreation_claude_v2_5!I77,recreation_claude_v2_4!I77,recreation_claude_v2_3!I77,recreation_claude_v2_2!I77,recreation_claude_v2_1!I77),0), "NA")</f>
        <v>1</v>
      </c>
      <c r="J77" t="str">
        <f>IF(AND($E77 = 1, $F77 = 1), ROUND(SUM(recreation_claude_v2_5!J77,recreation_claude_v2_4!J77,recreation_claude_v2_3!J77,recreation_claude_v2_2!J77,recreation_claude_v2_1!J77)/COUNT(recreation_claude_v2_5!J77,recreation_claude_v2_4!J77,recreation_claude_v2_3!J77,recreation_claude_v2_2!J77,recreation_claude_v2_1!J77),0), "NA")</f>
        <v>NA</v>
      </c>
      <c r="K77">
        <f>IF($D77 = 1, ROUND(SUM(recreation_claude_v2_5!K77,recreation_claude_v2_4!K77,recreation_claude_v2_3!K77,recreation_claude_v2_2!K77,recreation_claude_v2_1!K77)/COUNT(recreation_claude_v2_5!K77,recreation_claude_v2_4!K77,recreation_claude_v2_3!K77,recreation_claude_v2_2!K77,recreation_claude_v2_1!K77),0), "NA")</f>
        <v>1</v>
      </c>
      <c r="L77">
        <f>IF($D77 = 1, ROUND(SUM(recreation_claude_v2_5!L77,recreation_claude_v2_4!L77,recreation_claude_v2_3!L77,recreation_claude_v2_2!L77,recreation_claude_v2_1!L77)/COUNT(recreation_claude_v2_5!L77,recreation_claude_v2_4!L77,recreation_claude_v2_3!L77,recreation_claude_v2_2!L77,recreation_claude_v2_1!L77),0), "NA")</f>
        <v>1</v>
      </c>
      <c r="M77">
        <f>IF($D77 = 1, ROUND(SUM(recreation_claude_v2_5!M77,recreation_claude_v2_4!M77,recreation_claude_v2_3!M77,recreation_claude_v2_2!M77,recreation_claude_v2_1!M77)/COUNT(recreation_claude_v2_5!M77,recreation_claude_v2_4!M77,recreation_claude_v2_3!M77,recreation_claude_v2_2!M77,recreation_claude_v2_1!M77),0), "NA")</f>
        <v>1</v>
      </c>
      <c r="N77">
        <f>IF($D77 = 1, ROUND(SUM(recreation_claude_v2_5!N77,recreation_claude_v2_4!N77,recreation_claude_v2_3!N77,recreation_claude_v2_2!N77,recreation_claude_v2_1!N77)/COUNT(recreation_claude_v2_5!N77,recreation_claude_v2_4!N77,recreation_claude_v2_3!N77,recreation_claude_v2_2!N77,recreation_claude_v2_1!N77),0), "NA")</f>
        <v>1</v>
      </c>
      <c r="O77">
        <v>2.812183141708374</v>
      </c>
    </row>
    <row r="78" spans="1:15" x14ac:dyDescent="0.25">
      <c r="A78" t="s">
        <v>80</v>
      </c>
      <c r="B78" t="s">
        <v>51</v>
      </c>
      <c r="C78">
        <v>0</v>
      </c>
      <c r="D78">
        <f>ROUND(SUM(recreation_claude_v2_5!D78,recreation_claude_v2_4!D78,recreation_claude_v2_3!D78,recreation_claude_v2_2!D78,recreation_claude_v2_1!D78)/COUNT(recreation_claude_v2_5!D78,recreation_claude_v2_4!D78,recreation_claude_v2_3!D78,recreation_claude_v2_2!D78,recreation_claude_v2_1!D78),0)</f>
        <v>1</v>
      </c>
      <c r="E78">
        <f>IF($D78 = 1, ROUND(SUM(recreation_claude_v2_5!E78,recreation_claude_v2_4!E78,recreation_claude_v2_3!E78,recreation_claude_v2_2!E78,recreation_claude_v2_1!E78)/COUNT(recreation_claude_v2_5!E78,recreation_claude_v2_4!E78,recreation_claude_v2_3!E78,recreation_claude_v2_2!E78,recreation_claude_v2_1!E78),0), "NA")</f>
        <v>0</v>
      </c>
      <c r="F78">
        <f>IF($D78 = 1, ROUND(SUM(recreation_claude_v2_5!F78,recreation_claude_v2_4!F78,recreation_claude_v2_3!F78,recreation_claude_v2_2!F78,recreation_claude_v2_1!F78)/COUNT(recreation_claude_v2_5!F78,recreation_claude_v2_4!F78,recreation_claude_v2_3!F78,recreation_claude_v2_2!F78,recreation_claude_v2_1!F78),0), "NA")</f>
        <v>1</v>
      </c>
      <c r="G78">
        <f>IF($D78 = 1, ROUND(SUM(recreation_claude_v2_5!G78,recreation_claude_v2_4!G78,recreation_claude_v2_3!G78,recreation_claude_v2_2!G78,recreation_claude_v2_1!G78)/COUNT(recreation_claude_v2_5!G78,recreation_claude_v2_4!G78,recreation_claude_v2_3!G78,recreation_claude_v2_2!G78,recreation_claude_v2_1!G78),0), "NA")</f>
        <v>1</v>
      </c>
      <c r="H78" t="str">
        <f>IF($E78 = 1, ROUND(SUM(recreation_claude_v2_5!H78,recreation_claude_v2_4!H78,recreation_claude_v2_3!H78,recreation_claude_v2_2!H78,recreation_claude_v2_1!H78)/COUNT(recreation_claude_v2_5!H78,recreation_claude_v2_4!H78,recreation_claude_v2_3!H78,recreation_claude_v2_2!H78,recreation_claude_v2_1!H78),0), "NA")</f>
        <v>NA</v>
      </c>
      <c r="I78">
        <f>IF($D78 = 1, ROUND(SUM(recreation_claude_v2_5!I78,recreation_claude_v2_4!I78,recreation_claude_v2_3!I78,recreation_claude_v2_2!I78,recreation_claude_v2_1!I78)/COUNT(recreation_claude_v2_5!I78,recreation_claude_v2_4!I78,recreation_claude_v2_3!I78,recreation_claude_v2_2!I78,recreation_claude_v2_1!I78),0), "NA")</f>
        <v>1</v>
      </c>
      <c r="J78" t="str">
        <f>IF(AND($E78 = 1, $F78 = 1), ROUND(SUM(recreation_claude_v2_5!J78,recreation_claude_v2_4!J78,recreation_claude_v2_3!J78,recreation_claude_v2_2!J78,recreation_claude_v2_1!J78)/COUNT(recreation_claude_v2_5!J78,recreation_claude_v2_4!J78,recreation_claude_v2_3!J78,recreation_claude_v2_2!J78,recreation_claude_v2_1!J78),0), "NA")</f>
        <v>NA</v>
      </c>
      <c r="K78">
        <f>IF($D78 = 1, ROUND(SUM(recreation_claude_v2_5!K78,recreation_claude_v2_4!K78,recreation_claude_v2_3!K78,recreation_claude_v2_2!K78,recreation_claude_v2_1!K78)/COUNT(recreation_claude_v2_5!K78,recreation_claude_v2_4!K78,recreation_claude_v2_3!K78,recreation_claude_v2_2!K78,recreation_claude_v2_1!K78),0), "NA")</f>
        <v>1</v>
      </c>
      <c r="L78">
        <f>IF($D78 = 1, ROUND(SUM(recreation_claude_v2_5!L78,recreation_claude_v2_4!L78,recreation_claude_v2_3!L78,recreation_claude_v2_2!L78,recreation_claude_v2_1!L78)/COUNT(recreation_claude_v2_5!L78,recreation_claude_v2_4!L78,recreation_claude_v2_3!L78,recreation_claude_v2_2!L78,recreation_claude_v2_1!L78),0), "NA")</f>
        <v>1</v>
      </c>
      <c r="M78">
        <f>IF($D78 = 1, ROUND(SUM(recreation_claude_v2_5!M78,recreation_claude_v2_4!M78,recreation_claude_v2_3!M78,recreation_claude_v2_2!M78,recreation_claude_v2_1!M78)/COUNT(recreation_claude_v2_5!M78,recreation_claude_v2_4!M78,recreation_claude_v2_3!M78,recreation_claude_v2_2!M78,recreation_claude_v2_1!M78),0), "NA")</f>
        <v>1</v>
      </c>
      <c r="N78">
        <f>IF($D78 = 1, ROUND(SUM(recreation_claude_v2_5!N78,recreation_claude_v2_4!N78,recreation_claude_v2_3!N78,recreation_claude_v2_2!N78,recreation_claude_v2_1!N78)/COUNT(recreation_claude_v2_5!N78,recreation_claude_v2_4!N78,recreation_claude_v2_3!N78,recreation_claude_v2_2!N78,recreation_claude_v2_1!N78),0), "NA")</f>
        <v>1</v>
      </c>
      <c r="O78">
        <v>4.0050132274627694</v>
      </c>
    </row>
    <row r="79" spans="1:15" x14ac:dyDescent="0.25">
      <c r="A79" t="s">
        <v>80</v>
      </c>
      <c r="B79" t="s">
        <v>53</v>
      </c>
      <c r="C79">
        <v>0</v>
      </c>
      <c r="D79">
        <f>ROUND(SUM(recreation_claude_v2_5!D79,recreation_claude_v2_4!D79,recreation_claude_v2_3!D79,recreation_claude_v2_2!D79,recreation_claude_v2_1!D79)/COUNT(recreation_claude_v2_5!D79,recreation_claude_v2_4!D79,recreation_claude_v2_3!D79,recreation_claude_v2_2!D79,recreation_claude_v2_1!D79),0)</f>
        <v>1</v>
      </c>
      <c r="E79">
        <f>IF($D79 = 1, ROUND(SUM(recreation_claude_v2_5!E79,recreation_claude_v2_4!E79,recreation_claude_v2_3!E79,recreation_claude_v2_2!E79,recreation_claude_v2_1!E79)/COUNT(recreation_claude_v2_5!E79,recreation_claude_v2_4!E79,recreation_claude_v2_3!E79,recreation_claude_v2_2!E79,recreation_claude_v2_1!E79),0), "NA")</f>
        <v>1</v>
      </c>
      <c r="F79">
        <f>IF($D79 = 1, ROUND(SUM(recreation_claude_v2_5!F79,recreation_claude_v2_4!F79,recreation_claude_v2_3!F79,recreation_claude_v2_2!F79,recreation_claude_v2_1!F79)/COUNT(recreation_claude_v2_5!F79,recreation_claude_v2_4!F79,recreation_claude_v2_3!F79,recreation_claude_v2_2!F79,recreation_claude_v2_1!F79),0), "NA")</f>
        <v>1</v>
      </c>
      <c r="G79">
        <f>IF($D79 = 1, ROUND(SUM(recreation_claude_v2_5!G79,recreation_claude_v2_4!G79,recreation_claude_v2_3!G79,recreation_claude_v2_2!G79,recreation_claude_v2_1!G79)/COUNT(recreation_claude_v2_5!G79,recreation_claude_v2_4!G79,recreation_claude_v2_3!G79,recreation_claude_v2_2!G79,recreation_claude_v2_1!G79),0), "NA")</f>
        <v>1</v>
      </c>
      <c r="H79">
        <f>IF($E79 = 1, ROUND(SUM(recreation_claude_v2_5!H79,recreation_claude_v2_4!H79,recreation_claude_v2_3!H79,recreation_claude_v2_2!H79,recreation_claude_v2_1!H79)/COUNT(recreation_claude_v2_5!H79,recreation_claude_v2_4!H79,recreation_claude_v2_3!H79,recreation_claude_v2_2!H79,recreation_claude_v2_1!H79),0), "NA")</f>
        <v>1</v>
      </c>
      <c r="I79">
        <f>IF($D79 = 1, ROUND(SUM(recreation_claude_v2_5!I79,recreation_claude_v2_4!I79,recreation_claude_v2_3!I79,recreation_claude_v2_2!I79,recreation_claude_v2_1!I79)/COUNT(recreation_claude_v2_5!I79,recreation_claude_v2_4!I79,recreation_claude_v2_3!I79,recreation_claude_v2_2!I79,recreation_claude_v2_1!I79),0), "NA")</f>
        <v>1</v>
      </c>
      <c r="J79">
        <f>IF(AND($E79 = 1, $F79 = 1), ROUND(SUM(recreation_claude_v2_5!J79,recreation_claude_v2_4!J79,recreation_claude_v2_3!J79,recreation_claude_v2_2!J79,recreation_claude_v2_1!J79)/COUNT(recreation_claude_v2_5!J79,recreation_claude_v2_4!J79,recreation_claude_v2_3!J79,recreation_claude_v2_2!J79,recreation_claude_v2_1!J79),0), "NA")</f>
        <v>1</v>
      </c>
      <c r="K79">
        <f>IF($D79 = 1, ROUND(SUM(recreation_claude_v2_5!K79,recreation_claude_v2_4!K79,recreation_claude_v2_3!K79,recreation_claude_v2_2!K79,recreation_claude_v2_1!K79)/COUNT(recreation_claude_v2_5!K79,recreation_claude_v2_4!K79,recreation_claude_v2_3!K79,recreation_claude_v2_2!K79,recreation_claude_v2_1!K79),0), "NA")</f>
        <v>1</v>
      </c>
      <c r="L79">
        <f>IF($D79 = 1, ROUND(SUM(recreation_claude_v2_5!L79,recreation_claude_v2_4!L79,recreation_claude_v2_3!L79,recreation_claude_v2_2!L79,recreation_claude_v2_1!L79)/COUNT(recreation_claude_v2_5!L79,recreation_claude_v2_4!L79,recreation_claude_v2_3!L79,recreation_claude_v2_2!L79,recreation_claude_v2_1!L79),0), "NA")</f>
        <v>1</v>
      </c>
      <c r="M79">
        <f>IF($D79 = 1, ROUND(SUM(recreation_claude_v2_5!M79,recreation_claude_v2_4!M79,recreation_claude_v2_3!M79,recreation_claude_v2_2!M79,recreation_claude_v2_1!M79)/COUNT(recreation_claude_v2_5!M79,recreation_claude_v2_4!M79,recreation_claude_v2_3!M79,recreation_claude_v2_2!M79,recreation_claude_v2_1!M79),0), "NA")</f>
        <v>1</v>
      </c>
      <c r="N79">
        <f>IF($D79 = 1, ROUND(SUM(recreation_claude_v2_5!N79,recreation_claude_v2_4!N79,recreation_claude_v2_3!N79,recreation_claude_v2_2!N79,recreation_claude_v2_1!N79)/COUNT(recreation_claude_v2_5!N79,recreation_claude_v2_4!N79,recreation_claude_v2_3!N79,recreation_claude_v2_2!N79,recreation_claude_v2_1!N79),0), "NA")</f>
        <v>1</v>
      </c>
      <c r="O79">
        <v>1.9825353622436519</v>
      </c>
    </row>
    <row r="80" spans="1:15" x14ac:dyDescent="0.25">
      <c r="A80" t="s">
        <v>80</v>
      </c>
      <c r="B80" t="s">
        <v>54</v>
      </c>
      <c r="C80">
        <v>0</v>
      </c>
      <c r="D80">
        <f>ROUND(SUM(recreation_claude_v2_5!D80,recreation_claude_v2_4!D80,recreation_claude_v2_3!D80,recreation_claude_v2_2!D80,recreation_claude_v2_1!D80)/COUNT(recreation_claude_v2_5!D80,recreation_claude_v2_4!D80,recreation_claude_v2_3!D80,recreation_claude_v2_2!D80,recreation_claude_v2_1!D80),0)</f>
        <v>1</v>
      </c>
      <c r="E80">
        <f>IF($D80 = 1, ROUND(SUM(recreation_claude_v2_5!E80,recreation_claude_v2_4!E80,recreation_claude_v2_3!E80,recreation_claude_v2_2!E80,recreation_claude_v2_1!E80)/COUNT(recreation_claude_v2_5!E80,recreation_claude_v2_4!E80,recreation_claude_v2_3!E80,recreation_claude_v2_2!E80,recreation_claude_v2_1!E80),0), "NA")</f>
        <v>1</v>
      </c>
      <c r="F80">
        <f>IF($D80 = 1, ROUND(SUM(recreation_claude_v2_5!F80,recreation_claude_v2_4!F80,recreation_claude_v2_3!F80,recreation_claude_v2_2!F80,recreation_claude_v2_1!F80)/COUNT(recreation_claude_v2_5!F80,recreation_claude_v2_4!F80,recreation_claude_v2_3!F80,recreation_claude_v2_2!F80,recreation_claude_v2_1!F80),0), "NA")</f>
        <v>1</v>
      </c>
      <c r="G80">
        <f>IF($D80 = 1, ROUND(SUM(recreation_claude_v2_5!G80,recreation_claude_v2_4!G80,recreation_claude_v2_3!G80,recreation_claude_v2_2!G80,recreation_claude_v2_1!G80)/COUNT(recreation_claude_v2_5!G80,recreation_claude_v2_4!G80,recreation_claude_v2_3!G80,recreation_claude_v2_2!G80,recreation_claude_v2_1!G80),0), "NA")</f>
        <v>1</v>
      </c>
      <c r="H80">
        <f>IF($E80 = 1, ROUND(SUM(recreation_claude_v2_5!H80,recreation_claude_v2_4!H80,recreation_claude_v2_3!H80,recreation_claude_v2_2!H80,recreation_claude_v2_1!H80)/COUNT(recreation_claude_v2_5!H80,recreation_claude_v2_4!H80,recreation_claude_v2_3!H80,recreation_claude_v2_2!H80,recreation_claude_v2_1!H80),0), "NA")</f>
        <v>1</v>
      </c>
      <c r="I80">
        <f>IF($D80 = 1, ROUND(SUM(recreation_claude_v2_5!I80,recreation_claude_v2_4!I80,recreation_claude_v2_3!I80,recreation_claude_v2_2!I80,recreation_claude_v2_1!I80)/COUNT(recreation_claude_v2_5!I80,recreation_claude_v2_4!I80,recreation_claude_v2_3!I80,recreation_claude_v2_2!I80,recreation_claude_v2_1!I80),0), "NA")</f>
        <v>1</v>
      </c>
      <c r="J80">
        <f>IF(AND($E80 = 1, $F80 = 1), ROUND(SUM(recreation_claude_v2_5!J80,recreation_claude_v2_4!J80,recreation_claude_v2_3!J80,recreation_claude_v2_2!J80,recreation_claude_v2_1!J80)/COUNT(recreation_claude_v2_5!J80,recreation_claude_v2_4!J80,recreation_claude_v2_3!J80,recreation_claude_v2_2!J80,recreation_claude_v2_1!J80),0), "NA")</f>
        <v>1</v>
      </c>
      <c r="K80">
        <f>IF($D80 = 1, ROUND(SUM(recreation_claude_v2_5!K80,recreation_claude_v2_4!K80,recreation_claude_v2_3!K80,recreation_claude_v2_2!K80,recreation_claude_v2_1!K80)/COUNT(recreation_claude_v2_5!K80,recreation_claude_v2_4!K80,recreation_claude_v2_3!K80,recreation_claude_v2_2!K80,recreation_claude_v2_1!K80),0), "NA")</f>
        <v>1</v>
      </c>
      <c r="L80">
        <f>IF($D80 = 1, ROUND(SUM(recreation_claude_v2_5!L80,recreation_claude_v2_4!L80,recreation_claude_v2_3!L80,recreation_claude_v2_2!L80,recreation_claude_v2_1!L80)/COUNT(recreation_claude_v2_5!L80,recreation_claude_v2_4!L80,recreation_claude_v2_3!L80,recreation_claude_v2_2!L80,recreation_claude_v2_1!L80),0), "NA")</f>
        <v>1</v>
      </c>
      <c r="M80">
        <f>IF($D80 = 1, ROUND(SUM(recreation_claude_v2_5!M80,recreation_claude_v2_4!M80,recreation_claude_v2_3!M80,recreation_claude_v2_2!M80,recreation_claude_v2_1!M80)/COUNT(recreation_claude_v2_5!M80,recreation_claude_v2_4!M80,recreation_claude_v2_3!M80,recreation_claude_v2_2!M80,recreation_claude_v2_1!M80),0), "NA")</f>
        <v>1</v>
      </c>
      <c r="N80">
        <f>IF($D80 = 1, ROUND(SUM(recreation_claude_v2_5!N80,recreation_claude_v2_4!N80,recreation_claude_v2_3!N80,recreation_claude_v2_2!N80,recreation_claude_v2_1!N80)/COUNT(recreation_claude_v2_5!N80,recreation_claude_v2_4!N80,recreation_claude_v2_3!N80,recreation_claude_v2_2!N80,recreation_claude_v2_1!N80),0), "NA")</f>
        <v>1</v>
      </c>
      <c r="O80">
        <v>1.817901611328125</v>
      </c>
    </row>
    <row r="81" spans="1:15" x14ac:dyDescent="0.25">
      <c r="A81" t="s">
        <v>80</v>
      </c>
      <c r="B81" t="s">
        <v>56</v>
      </c>
      <c r="C81">
        <v>0</v>
      </c>
      <c r="D81">
        <f>ROUND(SUM(recreation_claude_v2_5!D81,recreation_claude_v2_4!D81,recreation_claude_v2_3!D81,recreation_claude_v2_2!D81,recreation_claude_v2_1!D81)/COUNT(recreation_claude_v2_5!D81,recreation_claude_v2_4!D81,recreation_claude_v2_3!D81,recreation_claude_v2_2!D81,recreation_claude_v2_1!D81),0)</f>
        <v>1</v>
      </c>
      <c r="E81">
        <f>IF($D81 = 1, ROUND(SUM(recreation_claude_v2_5!E81,recreation_claude_v2_4!E81,recreation_claude_v2_3!E81,recreation_claude_v2_2!E81,recreation_claude_v2_1!E81)/COUNT(recreation_claude_v2_5!E81,recreation_claude_v2_4!E81,recreation_claude_v2_3!E81,recreation_claude_v2_2!E81,recreation_claude_v2_1!E81),0), "NA")</f>
        <v>1</v>
      </c>
      <c r="F81">
        <f>IF($D81 = 1, ROUND(SUM(recreation_claude_v2_5!F81,recreation_claude_v2_4!F81,recreation_claude_v2_3!F81,recreation_claude_v2_2!F81,recreation_claude_v2_1!F81)/COUNT(recreation_claude_v2_5!F81,recreation_claude_v2_4!F81,recreation_claude_v2_3!F81,recreation_claude_v2_2!F81,recreation_claude_v2_1!F81),0), "NA")</f>
        <v>0</v>
      </c>
      <c r="G81">
        <f>IF($D81 = 1, ROUND(SUM(recreation_claude_v2_5!G81,recreation_claude_v2_4!G81,recreation_claude_v2_3!G81,recreation_claude_v2_2!G81,recreation_claude_v2_1!G81)/COUNT(recreation_claude_v2_5!G81,recreation_claude_v2_4!G81,recreation_claude_v2_3!G81,recreation_claude_v2_2!G81,recreation_claude_v2_1!G81),0), "NA")</f>
        <v>1</v>
      </c>
      <c r="H81">
        <f>IF($E81 = 1, ROUND(SUM(recreation_claude_v2_5!H81,recreation_claude_v2_4!H81,recreation_claude_v2_3!H81,recreation_claude_v2_2!H81,recreation_claude_v2_1!H81)/COUNT(recreation_claude_v2_5!H81,recreation_claude_v2_4!H81,recreation_claude_v2_3!H81,recreation_claude_v2_2!H81,recreation_claude_v2_1!H81),0), "NA")</f>
        <v>1</v>
      </c>
      <c r="I81">
        <f>IF($D81 = 1, ROUND(SUM(recreation_claude_v2_5!I81,recreation_claude_v2_4!I81,recreation_claude_v2_3!I81,recreation_claude_v2_2!I81,recreation_claude_v2_1!I81)/COUNT(recreation_claude_v2_5!I81,recreation_claude_v2_4!I81,recreation_claude_v2_3!I81,recreation_claude_v2_2!I81,recreation_claude_v2_1!I81),0), "NA")</f>
        <v>1</v>
      </c>
      <c r="J81" t="str">
        <f>IF(AND($E81 = 1, $F81 = 1), ROUND(SUM(recreation_claude_v2_5!J81,recreation_claude_v2_4!J81,recreation_claude_v2_3!J81,recreation_claude_v2_2!J81,recreation_claude_v2_1!J81)/COUNT(recreation_claude_v2_5!J81,recreation_claude_v2_4!J81,recreation_claude_v2_3!J81,recreation_claude_v2_2!J81,recreation_claude_v2_1!J81),0), "NA")</f>
        <v>NA</v>
      </c>
      <c r="K81">
        <f>IF($D81 = 1, ROUND(SUM(recreation_claude_v2_5!K81,recreation_claude_v2_4!K81,recreation_claude_v2_3!K81,recreation_claude_v2_2!K81,recreation_claude_v2_1!K81)/COUNT(recreation_claude_v2_5!K81,recreation_claude_v2_4!K81,recreation_claude_v2_3!K81,recreation_claude_v2_2!K81,recreation_claude_v2_1!K81),0), "NA")</f>
        <v>1</v>
      </c>
      <c r="L81">
        <f>IF($D81 = 1, ROUND(SUM(recreation_claude_v2_5!L81,recreation_claude_v2_4!L81,recreation_claude_v2_3!L81,recreation_claude_v2_2!L81,recreation_claude_v2_1!L81)/COUNT(recreation_claude_v2_5!L81,recreation_claude_v2_4!L81,recreation_claude_v2_3!L81,recreation_claude_v2_2!L81,recreation_claude_v2_1!L81),0), "NA")</f>
        <v>1</v>
      </c>
      <c r="M81">
        <f>IF($D81 = 1, ROUND(SUM(recreation_claude_v2_5!M81,recreation_claude_v2_4!M81,recreation_claude_v2_3!M81,recreation_claude_v2_2!M81,recreation_claude_v2_1!M81)/COUNT(recreation_claude_v2_5!M81,recreation_claude_v2_4!M81,recreation_claude_v2_3!M81,recreation_claude_v2_2!M81,recreation_claude_v2_1!M81),0), "NA")</f>
        <v>1</v>
      </c>
      <c r="N81">
        <f>IF($D81 = 1, ROUND(SUM(recreation_claude_v2_5!N81,recreation_claude_v2_4!N81,recreation_claude_v2_3!N81,recreation_claude_v2_2!N81,recreation_claude_v2_1!N81)/COUNT(recreation_claude_v2_5!N81,recreation_claude_v2_4!N81,recreation_claude_v2_3!N81,recreation_claude_v2_2!N81,recreation_claude_v2_1!N81),0), "NA")</f>
        <v>1</v>
      </c>
      <c r="O81">
        <v>2.4598748683929439</v>
      </c>
    </row>
    <row r="82" spans="1:15" x14ac:dyDescent="0.25">
      <c r="A82" t="s">
        <v>80</v>
      </c>
      <c r="B82" t="s">
        <v>58</v>
      </c>
      <c r="C82">
        <v>0</v>
      </c>
      <c r="D82">
        <f>ROUND(SUM(recreation_claude_v2_5!D82,recreation_claude_v2_4!D82,recreation_claude_v2_3!D82,recreation_claude_v2_2!D82,recreation_claude_v2_1!D82)/COUNT(recreation_claude_v2_5!D82,recreation_claude_v2_4!D82,recreation_claude_v2_3!D82,recreation_claude_v2_2!D82,recreation_claude_v2_1!D82),0)</f>
        <v>1</v>
      </c>
      <c r="E82">
        <f>IF($D82 = 1, ROUND(SUM(recreation_claude_v2_5!E82,recreation_claude_v2_4!E82,recreation_claude_v2_3!E82,recreation_claude_v2_2!E82,recreation_claude_v2_1!E82)/COUNT(recreation_claude_v2_5!E82,recreation_claude_v2_4!E82,recreation_claude_v2_3!E82,recreation_claude_v2_2!E82,recreation_claude_v2_1!E82),0), "NA")</f>
        <v>1</v>
      </c>
      <c r="F82">
        <f>IF($D82 = 1, ROUND(SUM(recreation_claude_v2_5!F82,recreation_claude_v2_4!F82,recreation_claude_v2_3!F82,recreation_claude_v2_2!F82,recreation_claude_v2_1!F82)/COUNT(recreation_claude_v2_5!F82,recreation_claude_v2_4!F82,recreation_claude_v2_3!F82,recreation_claude_v2_2!F82,recreation_claude_v2_1!F82),0), "NA")</f>
        <v>0</v>
      </c>
      <c r="G82">
        <f>IF($D82 = 1, ROUND(SUM(recreation_claude_v2_5!G82,recreation_claude_v2_4!G82,recreation_claude_v2_3!G82,recreation_claude_v2_2!G82,recreation_claude_v2_1!G82)/COUNT(recreation_claude_v2_5!G82,recreation_claude_v2_4!G82,recreation_claude_v2_3!G82,recreation_claude_v2_2!G82,recreation_claude_v2_1!G82),0), "NA")</f>
        <v>1</v>
      </c>
      <c r="H82">
        <f>IF($E82 = 1, ROUND(SUM(recreation_claude_v2_5!H82,recreation_claude_v2_4!H82,recreation_claude_v2_3!H82,recreation_claude_v2_2!H82,recreation_claude_v2_1!H82)/COUNT(recreation_claude_v2_5!H82,recreation_claude_v2_4!H82,recreation_claude_v2_3!H82,recreation_claude_v2_2!H82,recreation_claude_v2_1!H82),0), "NA")</f>
        <v>1</v>
      </c>
      <c r="I82">
        <f>IF($D82 = 1, ROUND(SUM(recreation_claude_v2_5!I82,recreation_claude_v2_4!I82,recreation_claude_v2_3!I82,recreation_claude_v2_2!I82,recreation_claude_v2_1!I82)/COUNT(recreation_claude_v2_5!I82,recreation_claude_v2_4!I82,recreation_claude_v2_3!I82,recreation_claude_v2_2!I82,recreation_claude_v2_1!I82),0), "NA")</f>
        <v>1</v>
      </c>
      <c r="J82" t="str">
        <f>IF(AND($E82 = 1, $F82 = 1), ROUND(SUM(recreation_claude_v2_5!J82,recreation_claude_v2_4!J82,recreation_claude_v2_3!J82,recreation_claude_v2_2!J82,recreation_claude_v2_1!J82)/COUNT(recreation_claude_v2_5!J82,recreation_claude_v2_4!J82,recreation_claude_v2_3!J82,recreation_claude_v2_2!J82,recreation_claude_v2_1!J82),0), "NA")</f>
        <v>NA</v>
      </c>
      <c r="K82">
        <f>IF($D82 = 1, ROUND(SUM(recreation_claude_v2_5!K82,recreation_claude_v2_4!K82,recreation_claude_v2_3!K82,recreation_claude_v2_2!K82,recreation_claude_v2_1!K82)/COUNT(recreation_claude_v2_5!K82,recreation_claude_v2_4!K82,recreation_claude_v2_3!K82,recreation_claude_v2_2!K82,recreation_claude_v2_1!K82),0), "NA")</f>
        <v>1</v>
      </c>
      <c r="L82">
        <f>IF($D82 = 1, ROUND(SUM(recreation_claude_v2_5!L82,recreation_claude_v2_4!L82,recreation_claude_v2_3!L82,recreation_claude_v2_2!L82,recreation_claude_v2_1!L82)/COUNT(recreation_claude_v2_5!L82,recreation_claude_v2_4!L82,recreation_claude_v2_3!L82,recreation_claude_v2_2!L82,recreation_claude_v2_1!L82),0), "NA")</f>
        <v>1</v>
      </c>
      <c r="M82">
        <f>IF($D82 = 1, ROUND(SUM(recreation_claude_v2_5!M82,recreation_claude_v2_4!M82,recreation_claude_v2_3!M82,recreation_claude_v2_2!M82,recreation_claude_v2_1!M82)/COUNT(recreation_claude_v2_5!M82,recreation_claude_v2_4!M82,recreation_claude_v2_3!M82,recreation_claude_v2_2!M82,recreation_claude_v2_1!M82),0), "NA")</f>
        <v>1</v>
      </c>
      <c r="N82">
        <f>IF($D82 = 1, ROUND(SUM(recreation_claude_v2_5!N82,recreation_claude_v2_4!N82,recreation_claude_v2_3!N82,recreation_claude_v2_2!N82,recreation_claude_v2_1!N82)/COUNT(recreation_claude_v2_5!N82,recreation_claude_v2_4!N82,recreation_claude_v2_3!N82,recreation_claude_v2_2!N82,recreation_claude_v2_1!N82),0), "NA")</f>
        <v>1</v>
      </c>
      <c r="O82">
        <v>2.3328621387481689</v>
      </c>
    </row>
    <row r="83" spans="1:15" x14ac:dyDescent="0.25">
      <c r="A83" t="s">
        <v>80</v>
      </c>
      <c r="B83" t="s">
        <v>60</v>
      </c>
      <c r="C83">
        <v>0</v>
      </c>
      <c r="D83">
        <f>ROUND(SUM(recreation_claude_v2_5!D83,recreation_claude_v2_4!D83,recreation_claude_v2_3!D83,recreation_claude_v2_2!D83,recreation_claude_v2_1!D83)/COUNT(recreation_claude_v2_5!D83,recreation_claude_v2_4!D83,recreation_claude_v2_3!D83,recreation_claude_v2_2!D83,recreation_claude_v2_1!D83),0)</f>
        <v>1</v>
      </c>
      <c r="E83">
        <f>IF($D83 = 1, ROUND(SUM(recreation_claude_v2_5!E83,recreation_claude_v2_4!E83,recreation_claude_v2_3!E83,recreation_claude_v2_2!E83,recreation_claude_v2_1!E83)/COUNT(recreation_claude_v2_5!E83,recreation_claude_v2_4!E83,recreation_claude_v2_3!E83,recreation_claude_v2_2!E83,recreation_claude_v2_1!E83),0), "NA")</f>
        <v>1</v>
      </c>
      <c r="F83">
        <f>IF($D83 = 1, ROUND(SUM(recreation_claude_v2_5!F83,recreation_claude_v2_4!F83,recreation_claude_v2_3!F83,recreation_claude_v2_2!F83,recreation_claude_v2_1!F83)/COUNT(recreation_claude_v2_5!F83,recreation_claude_v2_4!F83,recreation_claude_v2_3!F83,recreation_claude_v2_2!F83,recreation_claude_v2_1!F83),0), "NA")</f>
        <v>1</v>
      </c>
      <c r="G83">
        <f>IF($D83 = 1, ROUND(SUM(recreation_claude_v2_5!G83,recreation_claude_v2_4!G83,recreation_claude_v2_3!G83,recreation_claude_v2_2!G83,recreation_claude_v2_1!G83)/COUNT(recreation_claude_v2_5!G83,recreation_claude_v2_4!G83,recreation_claude_v2_3!G83,recreation_claude_v2_2!G83,recreation_claude_v2_1!G83),0), "NA")</f>
        <v>1</v>
      </c>
      <c r="H83">
        <f>IF($E83 = 1, ROUND(SUM(recreation_claude_v2_5!H83,recreation_claude_v2_4!H83,recreation_claude_v2_3!H83,recreation_claude_v2_2!H83,recreation_claude_v2_1!H83)/COUNT(recreation_claude_v2_5!H83,recreation_claude_v2_4!H83,recreation_claude_v2_3!H83,recreation_claude_v2_2!H83,recreation_claude_v2_1!H83),0), "NA")</f>
        <v>1</v>
      </c>
      <c r="I83">
        <f>IF($D83 = 1, ROUND(SUM(recreation_claude_v2_5!I83,recreation_claude_v2_4!I83,recreation_claude_v2_3!I83,recreation_claude_v2_2!I83,recreation_claude_v2_1!I83)/COUNT(recreation_claude_v2_5!I83,recreation_claude_v2_4!I83,recreation_claude_v2_3!I83,recreation_claude_v2_2!I83,recreation_claude_v2_1!I83),0), "NA")</f>
        <v>1</v>
      </c>
      <c r="J83">
        <f>IF(AND($E83 = 1, $F83 = 1), ROUND(SUM(recreation_claude_v2_5!J83,recreation_claude_v2_4!J83,recreation_claude_v2_3!J83,recreation_claude_v2_2!J83,recreation_claude_v2_1!J83)/COUNT(recreation_claude_v2_5!J83,recreation_claude_v2_4!J83,recreation_claude_v2_3!J83,recreation_claude_v2_2!J83,recreation_claude_v2_1!J83),0), "NA")</f>
        <v>1</v>
      </c>
      <c r="K83">
        <f>IF($D83 = 1, ROUND(SUM(recreation_claude_v2_5!K83,recreation_claude_v2_4!K83,recreation_claude_v2_3!K83,recreation_claude_v2_2!K83,recreation_claude_v2_1!K83)/COUNT(recreation_claude_v2_5!K83,recreation_claude_v2_4!K83,recreation_claude_v2_3!K83,recreation_claude_v2_2!K83,recreation_claude_v2_1!K83),0), "NA")</f>
        <v>1</v>
      </c>
      <c r="L83">
        <f>IF($D83 = 1, ROUND(SUM(recreation_claude_v2_5!L83,recreation_claude_v2_4!L83,recreation_claude_v2_3!L83,recreation_claude_v2_2!L83,recreation_claude_v2_1!L83)/COUNT(recreation_claude_v2_5!L83,recreation_claude_v2_4!L83,recreation_claude_v2_3!L83,recreation_claude_v2_2!L83,recreation_claude_v2_1!L83),0), "NA")</f>
        <v>1</v>
      </c>
      <c r="M83">
        <f>IF($D83 = 1, ROUND(SUM(recreation_claude_v2_5!M83,recreation_claude_v2_4!M83,recreation_claude_v2_3!M83,recreation_claude_v2_2!M83,recreation_claude_v2_1!M83)/COUNT(recreation_claude_v2_5!M83,recreation_claude_v2_4!M83,recreation_claude_v2_3!M83,recreation_claude_v2_2!M83,recreation_claude_v2_1!M83),0), "NA")</f>
        <v>1</v>
      </c>
      <c r="N83">
        <f>IF($D83 = 1, ROUND(SUM(recreation_claude_v2_5!N83,recreation_claude_v2_4!N83,recreation_claude_v2_3!N83,recreation_claude_v2_2!N83,recreation_claude_v2_1!N83)/COUNT(recreation_claude_v2_5!N83,recreation_claude_v2_4!N83,recreation_claude_v2_3!N83,recreation_claude_v2_2!N83,recreation_claude_v2_1!N83),0), "NA")</f>
        <v>1</v>
      </c>
      <c r="O83">
        <v>1.681292772293091</v>
      </c>
    </row>
    <row r="84" spans="1:15" x14ac:dyDescent="0.25">
      <c r="A84" t="s">
        <v>80</v>
      </c>
      <c r="B84" t="s">
        <v>62</v>
      </c>
      <c r="C84">
        <v>0</v>
      </c>
      <c r="D84">
        <f>ROUND(SUM(recreation_claude_v2_5!D84,recreation_claude_v2_4!D84,recreation_claude_v2_3!D84,recreation_claude_v2_2!D84,recreation_claude_v2_1!D84)/COUNT(recreation_claude_v2_5!D84,recreation_claude_v2_4!D84,recreation_claude_v2_3!D84,recreation_claude_v2_2!D84,recreation_claude_v2_1!D84),0)</f>
        <v>1</v>
      </c>
      <c r="E84">
        <f>IF($D84 = 1, ROUND(SUM(recreation_claude_v2_5!E84,recreation_claude_v2_4!E84,recreation_claude_v2_3!E84,recreation_claude_v2_2!E84,recreation_claude_v2_1!E84)/COUNT(recreation_claude_v2_5!E84,recreation_claude_v2_4!E84,recreation_claude_v2_3!E84,recreation_claude_v2_2!E84,recreation_claude_v2_1!E84),0), "NA")</f>
        <v>1</v>
      </c>
      <c r="F84">
        <f>IF($D84 = 1, ROUND(SUM(recreation_claude_v2_5!F84,recreation_claude_v2_4!F84,recreation_claude_v2_3!F84,recreation_claude_v2_2!F84,recreation_claude_v2_1!F84)/COUNT(recreation_claude_v2_5!F84,recreation_claude_v2_4!F84,recreation_claude_v2_3!F84,recreation_claude_v2_2!F84,recreation_claude_v2_1!F84),0), "NA")</f>
        <v>1</v>
      </c>
      <c r="G84">
        <f>IF($D84 = 1, ROUND(SUM(recreation_claude_v2_5!G84,recreation_claude_v2_4!G84,recreation_claude_v2_3!G84,recreation_claude_v2_2!G84,recreation_claude_v2_1!G84)/COUNT(recreation_claude_v2_5!G84,recreation_claude_v2_4!G84,recreation_claude_v2_3!G84,recreation_claude_v2_2!G84,recreation_claude_v2_1!G84),0), "NA")</f>
        <v>1</v>
      </c>
      <c r="H84">
        <f>IF($E84 = 1, ROUND(SUM(recreation_claude_v2_5!H84,recreation_claude_v2_4!H84,recreation_claude_v2_3!H84,recreation_claude_v2_2!H84,recreation_claude_v2_1!H84)/COUNT(recreation_claude_v2_5!H84,recreation_claude_v2_4!H84,recreation_claude_v2_3!H84,recreation_claude_v2_2!H84,recreation_claude_v2_1!H84),0), "NA")</f>
        <v>1</v>
      </c>
      <c r="I84">
        <f>IF($D84 = 1, ROUND(SUM(recreation_claude_v2_5!I84,recreation_claude_v2_4!I84,recreation_claude_v2_3!I84,recreation_claude_v2_2!I84,recreation_claude_v2_1!I84)/COUNT(recreation_claude_v2_5!I84,recreation_claude_v2_4!I84,recreation_claude_v2_3!I84,recreation_claude_v2_2!I84,recreation_claude_v2_1!I84),0), "NA")</f>
        <v>1</v>
      </c>
      <c r="J84">
        <f>IF(AND($E84 = 1, $F84 = 1), ROUND(SUM(recreation_claude_v2_5!J84,recreation_claude_v2_4!J84,recreation_claude_v2_3!J84,recreation_claude_v2_2!J84,recreation_claude_v2_1!J84)/COUNT(recreation_claude_v2_5!J84,recreation_claude_v2_4!J84,recreation_claude_v2_3!J84,recreation_claude_v2_2!J84,recreation_claude_v2_1!J84),0), "NA")</f>
        <v>1</v>
      </c>
      <c r="K84">
        <f>IF($D84 = 1, ROUND(SUM(recreation_claude_v2_5!K84,recreation_claude_v2_4!K84,recreation_claude_v2_3!K84,recreation_claude_v2_2!K84,recreation_claude_v2_1!K84)/COUNT(recreation_claude_v2_5!K84,recreation_claude_v2_4!K84,recreation_claude_v2_3!K84,recreation_claude_v2_2!K84,recreation_claude_v2_1!K84),0), "NA")</f>
        <v>1</v>
      </c>
      <c r="L84">
        <f>IF($D84 = 1, ROUND(SUM(recreation_claude_v2_5!L84,recreation_claude_v2_4!L84,recreation_claude_v2_3!L84,recreation_claude_v2_2!L84,recreation_claude_v2_1!L84)/COUNT(recreation_claude_v2_5!L84,recreation_claude_v2_4!L84,recreation_claude_v2_3!L84,recreation_claude_v2_2!L84,recreation_claude_v2_1!L84),0), "NA")</f>
        <v>1</v>
      </c>
      <c r="M84">
        <f>IF($D84 = 1, ROUND(SUM(recreation_claude_v2_5!M84,recreation_claude_v2_4!M84,recreation_claude_v2_3!M84,recreation_claude_v2_2!M84,recreation_claude_v2_1!M84)/COUNT(recreation_claude_v2_5!M84,recreation_claude_v2_4!M84,recreation_claude_v2_3!M84,recreation_claude_v2_2!M84,recreation_claude_v2_1!M84),0), "NA")</f>
        <v>1</v>
      </c>
      <c r="N84">
        <f>IF($D84 = 1, ROUND(SUM(recreation_claude_v2_5!N84,recreation_claude_v2_4!N84,recreation_claude_v2_3!N84,recreation_claude_v2_2!N84,recreation_claude_v2_1!N84)/COUNT(recreation_claude_v2_5!N84,recreation_claude_v2_4!N84,recreation_claude_v2_3!N84,recreation_claude_v2_2!N84,recreation_claude_v2_1!N84),0), "NA")</f>
        <v>1</v>
      </c>
      <c r="O84">
        <v>1.3697013854980471</v>
      </c>
    </row>
    <row r="85" spans="1:15" x14ac:dyDescent="0.25">
      <c r="A85" t="s">
        <v>80</v>
      </c>
      <c r="B85" t="s">
        <v>63</v>
      </c>
      <c r="C85">
        <v>0</v>
      </c>
      <c r="D85">
        <f>ROUND(SUM(recreation_claude_v2_5!D85,recreation_claude_v2_4!D85,recreation_claude_v2_3!D85,recreation_claude_v2_2!D85,recreation_claude_v2_1!D85)/COUNT(recreation_claude_v2_5!D85,recreation_claude_v2_4!D85,recreation_claude_v2_3!D85,recreation_claude_v2_2!D85,recreation_claude_v2_1!D85),0)</f>
        <v>1</v>
      </c>
      <c r="E85">
        <f>IF($D85 = 1, ROUND(SUM(recreation_claude_v2_5!E85,recreation_claude_v2_4!E85,recreation_claude_v2_3!E85,recreation_claude_v2_2!E85,recreation_claude_v2_1!E85)/COUNT(recreation_claude_v2_5!E85,recreation_claude_v2_4!E85,recreation_claude_v2_3!E85,recreation_claude_v2_2!E85,recreation_claude_v2_1!E85),0), "NA")</f>
        <v>1</v>
      </c>
      <c r="F85">
        <f>IF($D85 = 1, ROUND(SUM(recreation_claude_v2_5!F85,recreation_claude_v2_4!F85,recreation_claude_v2_3!F85,recreation_claude_v2_2!F85,recreation_claude_v2_1!F85)/COUNT(recreation_claude_v2_5!F85,recreation_claude_v2_4!F85,recreation_claude_v2_3!F85,recreation_claude_v2_2!F85,recreation_claude_v2_1!F85),0), "NA")</f>
        <v>1</v>
      </c>
      <c r="G85">
        <f>IF($D85 = 1, ROUND(SUM(recreation_claude_v2_5!G85,recreation_claude_v2_4!G85,recreation_claude_v2_3!G85,recreation_claude_v2_2!G85,recreation_claude_v2_1!G85)/COUNT(recreation_claude_v2_5!G85,recreation_claude_v2_4!G85,recreation_claude_v2_3!G85,recreation_claude_v2_2!G85,recreation_claude_v2_1!G85),0), "NA")</f>
        <v>1</v>
      </c>
      <c r="H85">
        <f>IF($E85 = 1, ROUND(SUM(recreation_claude_v2_5!H85,recreation_claude_v2_4!H85,recreation_claude_v2_3!H85,recreation_claude_v2_2!H85,recreation_claude_v2_1!H85)/COUNT(recreation_claude_v2_5!H85,recreation_claude_v2_4!H85,recreation_claude_v2_3!H85,recreation_claude_v2_2!H85,recreation_claude_v2_1!H85),0), "NA")</f>
        <v>1</v>
      </c>
      <c r="I85">
        <f>IF($D85 = 1, ROUND(SUM(recreation_claude_v2_5!I85,recreation_claude_v2_4!I85,recreation_claude_v2_3!I85,recreation_claude_v2_2!I85,recreation_claude_v2_1!I85)/COUNT(recreation_claude_v2_5!I85,recreation_claude_v2_4!I85,recreation_claude_v2_3!I85,recreation_claude_v2_2!I85,recreation_claude_v2_1!I85),0), "NA")</f>
        <v>1</v>
      </c>
      <c r="J85">
        <f>IF(AND($E85 = 1, $F85 = 1), ROUND(SUM(recreation_claude_v2_5!J85,recreation_claude_v2_4!J85,recreation_claude_v2_3!J85,recreation_claude_v2_2!J85,recreation_claude_v2_1!J85)/COUNT(recreation_claude_v2_5!J85,recreation_claude_v2_4!J85,recreation_claude_v2_3!J85,recreation_claude_v2_2!J85,recreation_claude_v2_1!J85),0), "NA")</f>
        <v>1</v>
      </c>
      <c r="K85">
        <f>IF($D85 = 1, ROUND(SUM(recreation_claude_v2_5!K85,recreation_claude_v2_4!K85,recreation_claude_v2_3!K85,recreation_claude_v2_2!K85,recreation_claude_v2_1!K85)/COUNT(recreation_claude_v2_5!K85,recreation_claude_v2_4!K85,recreation_claude_v2_3!K85,recreation_claude_v2_2!K85,recreation_claude_v2_1!K85),0), "NA")</f>
        <v>1</v>
      </c>
      <c r="L85">
        <f>IF($D85 = 1, ROUND(SUM(recreation_claude_v2_5!L85,recreation_claude_v2_4!L85,recreation_claude_v2_3!L85,recreation_claude_v2_2!L85,recreation_claude_v2_1!L85)/COUNT(recreation_claude_v2_5!L85,recreation_claude_v2_4!L85,recreation_claude_v2_3!L85,recreation_claude_v2_2!L85,recreation_claude_v2_1!L85),0), "NA")</f>
        <v>1</v>
      </c>
      <c r="M85">
        <f>IF($D85 = 1, ROUND(SUM(recreation_claude_v2_5!M85,recreation_claude_v2_4!M85,recreation_claude_v2_3!M85,recreation_claude_v2_2!M85,recreation_claude_v2_1!M85)/COUNT(recreation_claude_v2_5!M85,recreation_claude_v2_4!M85,recreation_claude_v2_3!M85,recreation_claude_v2_2!M85,recreation_claude_v2_1!M85),0), "NA")</f>
        <v>1</v>
      </c>
      <c r="N85">
        <f>IF($D85 = 1, ROUND(SUM(recreation_claude_v2_5!N85,recreation_claude_v2_4!N85,recreation_claude_v2_3!N85,recreation_claude_v2_2!N85,recreation_claude_v2_1!N85)/COUNT(recreation_claude_v2_5!N85,recreation_claude_v2_4!N85,recreation_claude_v2_3!N85,recreation_claude_v2_2!N85,recreation_claude_v2_1!N85),0), "NA")</f>
        <v>1</v>
      </c>
      <c r="O85">
        <v>1.676153898239136</v>
      </c>
    </row>
    <row r="86" spans="1:15" x14ac:dyDescent="0.25">
      <c r="A86" t="s">
        <v>80</v>
      </c>
      <c r="B86" t="s">
        <v>64</v>
      </c>
      <c r="C86">
        <v>0</v>
      </c>
      <c r="D86">
        <f>ROUND(SUM(recreation_claude_v2_5!D86,recreation_claude_v2_4!D86,recreation_claude_v2_3!D86,recreation_claude_v2_2!D86,recreation_claude_v2_1!D86)/COUNT(recreation_claude_v2_5!D86,recreation_claude_v2_4!D86,recreation_claude_v2_3!D86,recreation_claude_v2_2!D86,recreation_claude_v2_1!D86),0)</f>
        <v>1</v>
      </c>
      <c r="E86">
        <f>IF($D86 = 1, ROUND(SUM(recreation_claude_v2_5!E86,recreation_claude_v2_4!E86,recreation_claude_v2_3!E86,recreation_claude_v2_2!E86,recreation_claude_v2_1!E86)/COUNT(recreation_claude_v2_5!E86,recreation_claude_v2_4!E86,recreation_claude_v2_3!E86,recreation_claude_v2_2!E86,recreation_claude_v2_1!E86),0), "NA")</f>
        <v>1</v>
      </c>
      <c r="F86">
        <f>IF($D86 = 1, ROUND(SUM(recreation_claude_v2_5!F86,recreation_claude_v2_4!F86,recreation_claude_v2_3!F86,recreation_claude_v2_2!F86,recreation_claude_v2_1!F86)/COUNT(recreation_claude_v2_5!F86,recreation_claude_v2_4!F86,recreation_claude_v2_3!F86,recreation_claude_v2_2!F86,recreation_claude_v2_1!F86),0), "NA")</f>
        <v>1</v>
      </c>
      <c r="G86">
        <f>IF($D86 = 1, ROUND(SUM(recreation_claude_v2_5!G86,recreation_claude_v2_4!G86,recreation_claude_v2_3!G86,recreation_claude_v2_2!G86,recreation_claude_v2_1!G86)/COUNT(recreation_claude_v2_5!G86,recreation_claude_v2_4!G86,recreation_claude_v2_3!G86,recreation_claude_v2_2!G86,recreation_claude_v2_1!G86),0), "NA")</f>
        <v>1</v>
      </c>
      <c r="H86">
        <f>IF($E86 = 1, ROUND(SUM(recreation_claude_v2_5!H86,recreation_claude_v2_4!H86,recreation_claude_v2_3!H86,recreation_claude_v2_2!H86,recreation_claude_v2_1!H86)/COUNT(recreation_claude_v2_5!H86,recreation_claude_v2_4!H86,recreation_claude_v2_3!H86,recreation_claude_v2_2!H86,recreation_claude_v2_1!H86),0), "NA")</f>
        <v>1</v>
      </c>
      <c r="I86">
        <f>IF($D86 = 1, ROUND(SUM(recreation_claude_v2_5!I86,recreation_claude_v2_4!I86,recreation_claude_v2_3!I86,recreation_claude_v2_2!I86,recreation_claude_v2_1!I86)/COUNT(recreation_claude_v2_5!I86,recreation_claude_v2_4!I86,recreation_claude_v2_3!I86,recreation_claude_v2_2!I86,recreation_claude_v2_1!I86),0), "NA")</f>
        <v>1</v>
      </c>
      <c r="J86">
        <f>IF(AND($E86 = 1, $F86 = 1), ROUND(SUM(recreation_claude_v2_5!J86,recreation_claude_v2_4!J86,recreation_claude_v2_3!J86,recreation_claude_v2_2!J86,recreation_claude_v2_1!J86)/COUNT(recreation_claude_v2_5!J86,recreation_claude_v2_4!J86,recreation_claude_v2_3!J86,recreation_claude_v2_2!J86,recreation_claude_v2_1!J86),0), "NA")</f>
        <v>1</v>
      </c>
      <c r="K86">
        <f>IF($D86 = 1, ROUND(SUM(recreation_claude_v2_5!K86,recreation_claude_v2_4!K86,recreation_claude_v2_3!K86,recreation_claude_v2_2!K86,recreation_claude_v2_1!K86)/COUNT(recreation_claude_v2_5!K86,recreation_claude_v2_4!K86,recreation_claude_v2_3!K86,recreation_claude_v2_2!K86,recreation_claude_v2_1!K86),0), "NA")</f>
        <v>1</v>
      </c>
      <c r="L86">
        <f>IF($D86 = 1, ROUND(SUM(recreation_claude_v2_5!L86,recreation_claude_v2_4!L86,recreation_claude_v2_3!L86,recreation_claude_v2_2!L86,recreation_claude_v2_1!L86)/COUNT(recreation_claude_v2_5!L86,recreation_claude_v2_4!L86,recreation_claude_v2_3!L86,recreation_claude_v2_2!L86,recreation_claude_v2_1!L86),0), "NA")</f>
        <v>1</v>
      </c>
      <c r="M86">
        <f>IF($D86 = 1, ROUND(SUM(recreation_claude_v2_5!M86,recreation_claude_v2_4!M86,recreation_claude_v2_3!M86,recreation_claude_v2_2!M86,recreation_claude_v2_1!M86)/COUNT(recreation_claude_v2_5!M86,recreation_claude_v2_4!M86,recreation_claude_v2_3!M86,recreation_claude_v2_2!M86,recreation_claude_v2_1!M86),0), "NA")</f>
        <v>1</v>
      </c>
      <c r="N86">
        <f>IF($D86 = 1, ROUND(SUM(recreation_claude_v2_5!N86,recreation_claude_v2_4!N86,recreation_claude_v2_3!N86,recreation_claude_v2_2!N86,recreation_claude_v2_1!N86)/COUNT(recreation_claude_v2_5!N86,recreation_claude_v2_4!N86,recreation_claude_v2_3!N86,recreation_claude_v2_2!N86,recreation_claude_v2_1!N86),0), "NA")</f>
        <v>1</v>
      </c>
      <c r="O86">
        <v>1.3565521240234379</v>
      </c>
    </row>
    <row r="87" spans="1:15" x14ac:dyDescent="0.25">
      <c r="A87" t="s">
        <v>80</v>
      </c>
      <c r="B87" t="s">
        <v>65</v>
      </c>
      <c r="C87">
        <v>0</v>
      </c>
      <c r="D87">
        <f>ROUND(SUM(recreation_claude_v2_5!D87,recreation_claude_v2_4!D87,recreation_claude_v2_3!D87,recreation_claude_v2_2!D87,recreation_claude_v2_1!D87)/COUNT(recreation_claude_v2_5!D87,recreation_claude_v2_4!D87,recreation_claude_v2_3!D87,recreation_claude_v2_2!D87,recreation_claude_v2_1!D87),0)</f>
        <v>1</v>
      </c>
      <c r="E87">
        <f>IF($D87 = 1, ROUND(SUM(recreation_claude_v2_5!E87,recreation_claude_v2_4!E87,recreation_claude_v2_3!E87,recreation_claude_v2_2!E87,recreation_claude_v2_1!E87)/COUNT(recreation_claude_v2_5!E87,recreation_claude_v2_4!E87,recreation_claude_v2_3!E87,recreation_claude_v2_2!E87,recreation_claude_v2_1!E87),0), "NA")</f>
        <v>1</v>
      </c>
      <c r="F87">
        <f>IF($D87 = 1, ROUND(SUM(recreation_claude_v2_5!F87,recreation_claude_v2_4!F87,recreation_claude_v2_3!F87,recreation_claude_v2_2!F87,recreation_claude_v2_1!F87)/COUNT(recreation_claude_v2_5!F87,recreation_claude_v2_4!F87,recreation_claude_v2_3!F87,recreation_claude_v2_2!F87,recreation_claude_v2_1!F87),0), "NA")</f>
        <v>1</v>
      </c>
      <c r="G87">
        <f>IF($D87 = 1, ROUND(SUM(recreation_claude_v2_5!G87,recreation_claude_v2_4!G87,recreation_claude_v2_3!G87,recreation_claude_v2_2!G87,recreation_claude_v2_1!G87)/COUNT(recreation_claude_v2_5!G87,recreation_claude_v2_4!G87,recreation_claude_v2_3!G87,recreation_claude_v2_2!G87,recreation_claude_v2_1!G87),0), "NA")</f>
        <v>1</v>
      </c>
      <c r="H87">
        <f>IF($E87 = 1, ROUND(SUM(recreation_claude_v2_5!H87,recreation_claude_v2_4!H87,recreation_claude_v2_3!H87,recreation_claude_v2_2!H87,recreation_claude_v2_1!H87)/COUNT(recreation_claude_v2_5!H87,recreation_claude_v2_4!H87,recreation_claude_v2_3!H87,recreation_claude_v2_2!H87,recreation_claude_v2_1!H87),0), "NA")</f>
        <v>1</v>
      </c>
      <c r="I87">
        <f>IF($D87 = 1, ROUND(SUM(recreation_claude_v2_5!I87,recreation_claude_v2_4!I87,recreation_claude_v2_3!I87,recreation_claude_v2_2!I87,recreation_claude_v2_1!I87)/COUNT(recreation_claude_v2_5!I87,recreation_claude_v2_4!I87,recreation_claude_v2_3!I87,recreation_claude_v2_2!I87,recreation_claude_v2_1!I87),0), "NA")</f>
        <v>1</v>
      </c>
      <c r="J87">
        <f>IF(AND($E87 = 1, $F87 = 1), ROUND(SUM(recreation_claude_v2_5!J87,recreation_claude_v2_4!J87,recreation_claude_v2_3!J87,recreation_claude_v2_2!J87,recreation_claude_v2_1!J87)/COUNT(recreation_claude_v2_5!J87,recreation_claude_v2_4!J87,recreation_claude_v2_3!J87,recreation_claude_v2_2!J87,recreation_claude_v2_1!J87),0), "NA")</f>
        <v>1</v>
      </c>
      <c r="K87">
        <f>IF($D87 = 1, ROUND(SUM(recreation_claude_v2_5!K87,recreation_claude_v2_4!K87,recreation_claude_v2_3!K87,recreation_claude_v2_2!K87,recreation_claude_v2_1!K87)/COUNT(recreation_claude_v2_5!K87,recreation_claude_v2_4!K87,recreation_claude_v2_3!K87,recreation_claude_v2_2!K87,recreation_claude_v2_1!K87),0), "NA")</f>
        <v>1</v>
      </c>
      <c r="L87">
        <f>IF($D87 = 1, ROUND(SUM(recreation_claude_v2_5!L87,recreation_claude_v2_4!L87,recreation_claude_v2_3!L87,recreation_claude_v2_2!L87,recreation_claude_v2_1!L87)/COUNT(recreation_claude_v2_5!L87,recreation_claude_v2_4!L87,recreation_claude_v2_3!L87,recreation_claude_v2_2!L87,recreation_claude_v2_1!L87),0), "NA")</f>
        <v>1</v>
      </c>
      <c r="M87">
        <f>IF($D87 = 1, ROUND(SUM(recreation_claude_v2_5!M87,recreation_claude_v2_4!M87,recreation_claude_v2_3!M87,recreation_claude_v2_2!M87,recreation_claude_v2_1!M87)/COUNT(recreation_claude_v2_5!M87,recreation_claude_v2_4!M87,recreation_claude_v2_3!M87,recreation_claude_v2_2!M87,recreation_claude_v2_1!M87),0), "NA")</f>
        <v>1</v>
      </c>
      <c r="N87">
        <f>IF($D87 = 1, ROUND(SUM(recreation_claude_v2_5!N87,recreation_claude_v2_4!N87,recreation_claude_v2_3!N87,recreation_claude_v2_2!N87,recreation_claude_v2_1!N87)/COUNT(recreation_claude_v2_5!N87,recreation_claude_v2_4!N87,recreation_claude_v2_3!N87,recreation_claude_v2_2!N87,recreation_claude_v2_1!N87),0), "NA")</f>
        <v>1</v>
      </c>
      <c r="O87">
        <v>1.270396947860718</v>
      </c>
    </row>
    <row r="88" spans="1:15" x14ac:dyDescent="0.25">
      <c r="A88" t="s">
        <v>80</v>
      </c>
      <c r="B88" t="s">
        <v>66</v>
      </c>
      <c r="C88">
        <v>0</v>
      </c>
      <c r="D88">
        <f>ROUND(SUM(recreation_claude_v2_5!D88,recreation_claude_v2_4!D88,recreation_claude_v2_3!D88,recreation_claude_v2_2!D88,recreation_claude_v2_1!D88)/COUNT(recreation_claude_v2_5!D88,recreation_claude_v2_4!D88,recreation_claude_v2_3!D88,recreation_claude_v2_2!D88,recreation_claude_v2_1!D88),0)</f>
        <v>1</v>
      </c>
      <c r="E88">
        <f>IF($D88 = 1, ROUND(SUM(recreation_claude_v2_5!E88,recreation_claude_v2_4!E88,recreation_claude_v2_3!E88,recreation_claude_v2_2!E88,recreation_claude_v2_1!E88)/COUNT(recreation_claude_v2_5!E88,recreation_claude_v2_4!E88,recreation_claude_v2_3!E88,recreation_claude_v2_2!E88,recreation_claude_v2_1!E88),0), "NA")</f>
        <v>1</v>
      </c>
      <c r="F88">
        <f>IF($D88 = 1, ROUND(SUM(recreation_claude_v2_5!F88,recreation_claude_v2_4!F88,recreation_claude_v2_3!F88,recreation_claude_v2_2!F88,recreation_claude_v2_1!F88)/COUNT(recreation_claude_v2_5!F88,recreation_claude_v2_4!F88,recreation_claude_v2_3!F88,recreation_claude_v2_2!F88,recreation_claude_v2_1!F88),0), "NA")</f>
        <v>1</v>
      </c>
      <c r="G88">
        <f>IF($D88 = 1, ROUND(SUM(recreation_claude_v2_5!G88,recreation_claude_v2_4!G88,recreation_claude_v2_3!G88,recreation_claude_v2_2!G88,recreation_claude_v2_1!G88)/COUNT(recreation_claude_v2_5!G88,recreation_claude_v2_4!G88,recreation_claude_v2_3!G88,recreation_claude_v2_2!G88,recreation_claude_v2_1!G88),0), "NA")</f>
        <v>1</v>
      </c>
      <c r="H88">
        <f>IF($E88 = 1, ROUND(SUM(recreation_claude_v2_5!H88,recreation_claude_v2_4!H88,recreation_claude_v2_3!H88,recreation_claude_v2_2!H88,recreation_claude_v2_1!H88)/COUNT(recreation_claude_v2_5!H88,recreation_claude_v2_4!H88,recreation_claude_v2_3!H88,recreation_claude_v2_2!H88,recreation_claude_v2_1!H88),0), "NA")</f>
        <v>1</v>
      </c>
      <c r="I88">
        <f>IF($D88 = 1, ROUND(SUM(recreation_claude_v2_5!I88,recreation_claude_v2_4!I88,recreation_claude_v2_3!I88,recreation_claude_v2_2!I88,recreation_claude_v2_1!I88)/COUNT(recreation_claude_v2_5!I88,recreation_claude_v2_4!I88,recreation_claude_v2_3!I88,recreation_claude_v2_2!I88,recreation_claude_v2_1!I88),0), "NA")</f>
        <v>1</v>
      </c>
      <c r="J88">
        <f>IF(AND($E88 = 1, $F88 = 1), ROUND(SUM(recreation_claude_v2_5!J88,recreation_claude_v2_4!J88,recreation_claude_v2_3!J88,recreation_claude_v2_2!J88,recreation_claude_v2_1!J88)/COUNT(recreation_claude_v2_5!J88,recreation_claude_v2_4!J88,recreation_claude_v2_3!J88,recreation_claude_v2_2!J88,recreation_claude_v2_1!J88),0), "NA")</f>
        <v>1</v>
      </c>
      <c r="K88">
        <f>IF($D88 = 1, ROUND(SUM(recreation_claude_v2_5!K88,recreation_claude_v2_4!K88,recreation_claude_v2_3!K88,recreation_claude_v2_2!K88,recreation_claude_v2_1!K88)/COUNT(recreation_claude_v2_5!K88,recreation_claude_v2_4!K88,recreation_claude_v2_3!K88,recreation_claude_v2_2!K88,recreation_claude_v2_1!K88),0), "NA")</f>
        <v>1</v>
      </c>
      <c r="L88">
        <f>IF($D88 = 1, ROUND(SUM(recreation_claude_v2_5!L88,recreation_claude_v2_4!L88,recreation_claude_v2_3!L88,recreation_claude_v2_2!L88,recreation_claude_v2_1!L88)/COUNT(recreation_claude_v2_5!L88,recreation_claude_v2_4!L88,recreation_claude_v2_3!L88,recreation_claude_v2_2!L88,recreation_claude_v2_1!L88),0), "NA")</f>
        <v>1</v>
      </c>
      <c r="M88">
        <f>IF($D88 = 1, ROUND(SUM(recreation_claude_v2_5!M88,recreation_claude_v2_4!M88,recreation_claude_v2_3!M88,recreation_claude_v2_2!M88,recreation_claude_v2_1!M88)/COUNT(recreation_claude_v2_5!M88,recreation_claude_v2_4!M88,recreation_claude_v2_3!M88,recreation_claude_v2_2!M88,recreation_claude_v2_1!M88),0), "NA")</f>
        <v>1</v>
      </c>
      <c r="N88">
        <f>IF($D88 = 1, ROUND(SUM(recreation_claude_v2_5!N88,recreation_claude_v2_4!N88,recreation_claude_v2_3!N88,recreation_claude_v2_2!N88,recreation_claude_v2_1!N88)/COUNT(recreation_claude_v2_5!N88,recreation_claude_v2_4!N88,recreation_claude_v2_3!N88,recreation_claude_v2_2!N88,recreation_claude_v2_1!N88),0), "NA")</f>
        <v>1</v>
      </c>
      <c r="O88">
        <v>1.3186402320861821</v>
      </c>
    </row>
    <row r="89" spans="1:15" x14ac:dyDescent="0.25">
      <c r="A89" t="s">
        <v>80</v>
      </c>
      <c r="B89" t="s">
        <v>67</v>
      </c>
      <c r="C89">
        <v>0</v>
      </c>
      <c r="D89">
        <f>ROUND(SUM(recreation_claude_v2_5!D89,recreation_claude_v2_4!D89,recreation_claude_v2_3!D89,recreation_claude_v2_2!D89,recreation_claude_v2_1!D89)/COUNT(recreation_claude_v2_5!D89,recreation_claude_v2_4!D89,recreation_claude_v2_3!D89,recreation_claude_v2_2!D89,recreation_claude_v2_1!D89),0)</f>
        <v>1</v>
      </c>
      <c r="E89">
        <f>IF($D89 = 1, ROUND(SUM(recreation_claude_v2_5!E89,recreation_claude_v2_4!E89,recreation_claude_v2_3!E89,recreation_claude_v2_2!E89,recreation_claude_v2_1!E89)/COUNT(recreation_claude_v2_5!E89,recreation_claude_v2_4!E89,recreation_claude_v2_3!E89,recreation_claude_v2_2!E89,recreation_claude_v2_1!E89),0), "NA")</f>
        <v>1</v>
      </c>
      <c r="F89">
        <f>IF($D89 = 1, ROUND(SUM(recreation_claude_v2_5!F89,recreation_claude_v2_4!F89,recreation_claude_v2_3!F89,recreation_claude_v2_2!F89,recreation_claude_v2_1!F89)/COUNT(recreation_claude_v2_5!F89,recreation_claude_v2_4!F89,recreation_claude_v2_3!F89,recreation_claude_v2_2!F89,recreation_claude_v2_1!F89),0), "NA")</f>
        <v>1</v>
      </c>
      <c r="G89">
        <f>IF($D89 = 1, ROUND(SUM(recreation_claude_v2_5!G89,recreation_claude_v2_4!G89,recreation_claude_v2_3!G89,recreation_claude_v2_2!G89,recreation_claude_v2_1!G89)/COUNT(recreation_claude_v2_5!G89,recreation_claude_v2_4!G89,recreation_claude_v2_3!G89,recreation_claude_v2_2!G89,recreation_claude_v2_1!G89),0), "NA")</f>
        <v>1</v>
      </c>
      <c r="H89">
        <f>IF($E89 = 1, ROUND(SUM(recreation_claude_v2_5!H89,recreation_claude_v2_4!H89,recreation_claude_v2_3!H89,recreation_claude_v2_2!H89,recreation_claude_v2_1!H89)/COUNT(recreation_claude_v2_5!H89,recreation_claude_v2_4!H89,recreation_claude_v2_3!H89,recreation_claude_v2_2!H89,recreation_claude_v2_1!H89),0), "NA")</f>
        <v>1</v>
      </c>
      <c r="I89">
        <f>IF($D89 = 1, ROUND(SUM(recreation_claude_v2_5!I89,recreation_claude_v2_4!I89,recreation_claude_v2_3!I89,recreation_claude_v2_2!I89,recreation_claude_v2_1!I89)/COUNT(recreation_claude_v2_5!I89,recreation_claude_v2_4!I89,recreation_claude_v2_3!I89,recreation_claude_v2_2!I89,recreation_claude_v2_1!I89),0), "NA")</f>
        <v>1</v>
      </c>
      <c r="J89">
        <f>IF(AND($E89 = 1, $F89 = 1), ROUND(SUM(recreation_claude_v2_5!J89,recreation_claude_v2_4!J89,recreation_claude_v2_3!J89,recreation_claude_v2_2!J89,recreation_claude_v2_1!J89)/COUNT(recreation_claude_v2_5!J89,recreation_claude_v2_4!J89,recreation_claude_v2_3!J89,recreation_claude_v2_2!J89,recreation_claude_v2_1!J89),0), "NA")</f>
        <v>1</v>
      </c>
      <c r="K89">
        <f>IF($D89 = 1, ROUND(SUM(recreation_claude_v2_5!K89,recreation_claude_v2_4!K89,recreation_claude_v2_3!K89,recreation_claude_v2_2!K89,recreation_claude_v2_1!K89)/COUNT(recreation_claude_v2_5!K89,recreation_claude_v2_4!K89,recreation_claude_v2_3!K89,recreation_claude_v2_2!K89,recreation_claude_v2_1!K89),0), "NA")</f>
        <v>1</v>
      </c>
      <c r="L89">
        <f>IF($D89 = 1, ROUND(SUM(recreation_claude_v2_5!L89,recreation_claude_v2_4!L89,recreation_claude_v2_3!L89,recreation_claude_v2_2!L89,recreation_claude_v2_1!L89)/COUNT(recreation_claude_v2_5!L89,recreation_claude_v2_4!L89,recreation_claude_v2_3!L89,recreation_claude_v2_2!L89,recreation_claude_v2_1!L89),0), "NA")</f>
        <v>1</v>
      </c>
      <c r="M89">
        <f>IF($D89 = 1, ROUND(SUM(recreation_claude_v2_5!M89,recreation_claude_v2_4!M89,recreation_claude_v2_3!M89,recreation_claude_v2_2!M89,recreation_claude_v2_1!M89)/COUNT(recreation_claude_v2_5!M89,recreation_claude_v2_4!M89,recreation_claude_v2_3!M89,recreation_claude_v2_2!M89,recreation_claude_v2_1!M89),0), "NA")</f>
        <v>1</v>
      </c>
      <c r="N89">
        <f>IF($D89 = 1, ROUND(SUM(recreation_claude_v2_5!N89,recreation_claude_v2_4!N89,recreation_claude_v2_3!N89,recreation_claude_v2_2!N89,recreation_claude_v2_1!N89)/COUNT(recreation_claude_v2_5!N89,recreation_claude_v2_4!N89,recreation_claude_v2_3!N89,recreation_claude_v2_2!N89,recreation_claude_v2_1!N89),0), "NA")</f>
        <v>1</v>
      </c>
      <c r="O89">
        <v>2.6342778205871582</v>
      </c>
    </row>
    <row r="90" spans="1:15" x14ac:dyDescent="0.25">
      <c r="A90" t="s">
        <v>80</v>
      </c>
      <c r="B90" t="s">
        <v>69</v>
      </c>
      <c r="C90">
        <v>0</v>
      </c>
      <c r="D90">
        <f>ROUND(SUM(recreation_claude_v2_5!D90,recreation_claude_v2_4!D90,recreation_claude_v2_3!D90,recreation_claude_v2_2!D90,recreation_claude_v2_1!D90)/COUNT(recreation_claude_v2_5!D90,recreation_claude_v2_4!D90,recreation_claude_v2_3!D90,recreation_claude_v2_2!D90,recreation_claude_v2_1!D90),0)</f>
        <v>1</v>
      </c>
      <c r="E90">
        <f>IF($D90 = 1, ROUND(SUM(recreation_claude_v2_5!E90,recreation_claude_v2_4!E90,recreation_claude_v2_3!E90,recreation_claude_v2_2!E90,recreation_claude_v2_1!E90)/COUNT(recreation_claude_v2_5!E90,recreation_claude_v2_4!E90,recreation_claude_v2_3!E90,recreation_claude_v2_2!E90,recreation_claude_v2_1!E90),0), "NA")</f>
        <v>1</v>
      </c>
      <c r="F90">
        <f>IF($D90 = 1, ROUND(SUM(recreation_claude_v2_5!F90,recreation_claude_v2_4!F90,recreation_claude_v2_3!F90,recreation_claude_v2_2!F90,recreation_claude_v2_1!F90)/COUNT(recreation_claude_v2_5!F90,recreation_claude_v2_4!F90,recreation_claude_v2_3!F90,recreation_claude_v2_2!F90,recreation_claude_v2_1!F90),0), "NA")</f>
        <v>1</v>
      </c>
      <c r="G90">
        <f>IF($D90 = 1, ROUND(SUM(recreation_claude_v2_5!G90,recreation_claude_v2_4!G90,recreation_claude_v2_3!G90,recreation_claude_v2_2!G90,recreation_claude_v2_1!G90)/COUNT(recreation_claude_v2_5!G90,recreation_claude_v2_4!G90,recreation_claude_v2_3!G90,recreation_claude_v2_2!G90,recreation_claude_v2_1!G90),0), "NA")</f>
        <v>1</v>
      </c>
      <c r="H90">
        <f>IF($E90 = 1, ROUND(SUM(recreation_claude_v2_5!H90,recreation_claude_v2_4!H90,recreation_claude_v2_3!H90,recreation_claude_v2_2!H90,recreation_claude_v2_1!H90)/COUNT(recreation_claude_v2_5!H90,recreation_claude_v2_4!H90,recreation_claude_v2_3!H90,recreation_claude_v2_2!H90,recreation_claude_v2_1!H90),0), "NA")</f>
        <v>1</v>
      </c>
      <c r="I90">
        <f>IF($D90 = 1, ROUND(SUM(recreation_claude_v2_5!I90,recreation_claude_v2_4!I90,recreation_claude_v2_3!I90,recreation_claude_v2_2!I90,recreation_claude_v2_1!I90)/COUNT(recreation_claude_v2_5!I90,recreation_claude_v2_4!I90,recreation_claude_v2_3!I90,recreation_claude_v2_2!I90,recreation_claude_v2_1!I90),0), "NA")</f>
        <v>1</v>
      </c>
      <c r="J90">
        <f>IF(AND($E90 = 1, $F90 = 1), ROUND(SUM(recreation_claude_v2_5!J90,recreation_claude_v2_4!J90,recreation_claude_v2_3!J90,recreation_claude_v2_2!J90,recreation_claude_v2_1!J90)/COUNT(recreation_claude_v2_5!J90,recreation_claude_v2_4!J90,recreation_claude_v2_3!J90,recreation_claude_v2_2!J90,recreation_claude_v2_1!J90),0), "NA")</f>
        <v>1</v>
      </c>
      <c r="K90">
        <f>IF($D90 = 1, ROUND(SUM(recreation_claude_v2_5!K90,recreation_claude_v2_4!K90,recreation_claude_v2_3!K90,recreation_claude_v2_2!K90,recreation_claude_v2_1!K90)/COUNT(recreation_claude_v2_5!K90,recreation_claude_v2_4!K90,recreation_claude_v2_3!K90,recreation_claude_v2_2!K90,recreation_claude_v2_1!K90),0), "NA")</f>
        <v>1</v>
      </c>
      <c r="L90">
        <f>IF($D90 = 1, ROUND(SUM(recreation_claude_v2_5!L90,recreation_claude_v2_4!L90,recreation_claude_v2_3!L90,recreation_claude_v2_2!L90,recreation_claude_v2_1!L90)/COUNT(recreation_claude_v2_5!L90,recreation_claude_v2_4!L90,recreation_claude_v2_3!L90,recreation_claude_v2_2!L90,recreation_claude_v2_1!L90),0), "NA")</f>
        <v>1</v>
      </c>
      <c r="M90">
        <f>IF($D90 = 1, ROUND(SUM(recreation_claude_v2_5!M90,recreation_claude_v2_4!M90,recreation_claude_v2_3!M90,recreation_claude_v2_2!M90,recreation_claude_v2_1!M90)/COUNT(recreation_claude_v2_5!M90,recreation_claude_v2_4!M90,recreation_claude_v2_3!M90,recreation_claude_v2_2!M90,recreation_claude_v2_1!M90),0), "NA")</f>
        <v>1</v>
      </c>
      <c r="N90">
        <f>IF($D90 = 1, ROUND(SUM(recreation_claude_v2_5!N90,recreation_claude_v2_4!N90,recreation_claude_v2_3!N90,recreation_claude_v2_2!N90,recreation_claude_v2_1!N90)/COUNT(recreation_claude_v2_5!N90,recreation_claude_v2_4!N90,recreation_claude_v2_3!N90,recreation_claude_v2_2!N90,recreation_claude_v2_1!N90),0), "NA")</f>
        <v>1</v>
      </c>
      <c r="O90">
        <v>1.408392667770386</v>
      </c>
    </row>
    <row r="91" spans="1:15" x14ac:dyDescent="0.25">
      <c r="A91" t="s">
        <v>80</v>
      </c>
      <c r="B91" t="s">
        <v>70</v>
      </c>
      <c r="C91">
        <v>0</v>
      </c>
      <c r="D91">
        <f>ROUND(SUM(recreation_claude_v2_5!D91,recreation_claude_v2_4!D91,recreation_claude_v2_3!D91,recreation_claude_v2_2!D91,recreation_claude_v2_1!D91)/COUNT(recreation_claude_v2_5!D91,recreation_claude_v2_4!D91,recreation_claude_v2_3!D91,recreation_claude_v2_2!D91,recreation_claude_v2_1!D91),0)</f>
        <v>1</v>
      </c>
      <c r="E91">
        <f>IF($D91 = 1, ROUND(SUM(recreation_claude_v2_5!E91,recreation_claude_v2_4!E91,recreation_claude_v2_3!E91,recreation_claude_v2_2!E91,recreation_claude_v2_1!E91)/COUNT(recreation_claude_v2_5!E91,recreation_claude_v2_4!E91,recreation_claude_v2_3!E91,recreation_claude_v2_2!E91,recreation_claude_v2_1!E91),0), "NA")</f>
        <v>1</v>
      </c>
      <c r="F91">
        <f>IF($D91 = 1, ROUND(SUM(recreation_claude_v2_5!F91,recreation_claude_v2_4!F91,recreation_claude_v2_3!F91,recreation_claude_v2_2!F91,recreation_claude_v2_1!F91)/COUNT(recreation_claude_v2_5!F91,recreation_claude_v2_4!F91,recreation_claude_v2_3!F91,recreation_claude_v2_2!F91,recreation_claude_v2_1!F91),0), "NA")</f>
        <v>1</v>
      </c>
      <c r="G91">
        <f>IF($D91 = 1, ROUND(SUM(recreation_claude_v2_5!G91,recreation_claude_v2_4!G91,recreation_claude_v2_3!G91,recreation_claude_v2_2!G91,recreation_claude_v2_1!G91)/COUNT(recreation_claude_v2_5!G91,recreation_claude_v2_4!G91,recreation_claude_v2_3!G91,recreation_claude_v2_2!G91,recreation_claude_v2_1!G91),0), "NA")</f>
        <v>1</v>
      </c>
      <c r="H91">
        <f>IF($E91 = 1, ROUND(SUM(recreation_claude_v2_5!H91,recreation_claude_v2_4!H91,recreation_claude_v2_3!H91,recreation_claude_v2_2!H91,recreation_claude_v2_1!H91)/COUNT(recreation_claude_v2_5!H91,recreation_claude_v2_4!H91,recreation_claude_v2_3!H91,recreation_claude_v2_2!H91,recreation_claude_v2_1!H91),0), "NA")</f>
        <v>1</v>
      </c>
      <c r="I91">
        <f>IF($D91 = 1, ROUND(SUM(recreation_claude_v2_5!I91,recreation_claude_v2_4!I91,recreation_claude_v2_3!I91,recreation_claude_v2_2!I91,recreation_claude_v2_1!I91)/COUNT(recreation_claude_v2_5!I91,recreation_claude_v2_4!I91,recreation_claude_v2_3!I91,recreation_claude_v2_2!I91,recreation_claude_v2_1!I91),0), "NA")</f>
        <v>1</v>
      </c>
      <c r="J91">
        <f>IF(AND($E91 = 1, $F91 = 1), ROUND(SUM(recreation_claude_v2_5!J91,recreation_claude_v2_4!J91,recreation_claude_v2_3!J91,recreation_claude_v2_2!J91,recreation_claude_v2_1!J91)/COUNT(recreation_claude_v2_5!J91,recreation_claude_v2_4!J91,recreation_claude_v2_3!J91,recreation_claude_v2_2!J91,recreation_claude_v2_1!J91),0), "NA")</f>
        <v>1</v>
      </c>
      <c r="K91">
        <f>IF($D91 = 1, ROUND(SUM(recreation_claude_v2_5!K91,recreation_claude_v2_4!K91,recreation_claude_v2_3!K91,recreation_claude_v2_2!K91,recreation_claude_v2_1!K91)/COUNT(recreation_claude_v2_5!K91,recreation_claude_v2_4!K91,recreation_claude_v2_3!K91,recreation_claude_v2_2!K91,recreation_claude_v2_1!K91),0), "NA")</f>
        <v>1</v>
      </c>
      <c r="L91">
        <f>IF($D91 = 1, ROUND(SUM(recreation_claude_v2_5!L91,recreation_claude_v2_4!L91,recreation_claude_v2_3!L91,recreation_claude_v2_2!L91,recreation_claude_v2_1!L91)/COUNT(recreation_claude_v2_5!L91,recreation_claude_v2_4!L91,recreation_claude_v2_3!L91,recreation_claude_v2_2!L91,recreation_claude_v2_1!L91),0), "NA")</f>
        <v>1</v>
      </c>
      <c r="M91">
        <f>IF($D91 = 1, ROUND(SUM(recreation_claude_v2_5!M91,recreation_claude_v2_4!M91,recreation_claude_v2_3!M91,recreation_claude_v2_2!M91,recreation_claude_v2_1!M91)/COUNT(recreation_claude_v2_5!M91,recreation_claude_v2_4!M91,recreation_claude_v2_3!M91,recreation_claude_v2_2!M91,recreation_claude_v2_1!M91),0), "NA")</f>
        <v>1</v>
      </c>
      <c r="N91">
        <f>IF($D91 = 1, ROUND(SUM(recreation_claude_v2_5!N91,recreation_claude_v2_4!N91,recreation_claude_v2_3!N91,recreation_claude_v2_2!N91,recreation_claude_v2_1!N91)/COUNT(recreation_claude_v2_5!N91,recreation_claude_v2_4!N91,recreation_claude_v2_3!N91,recreation_claude_v2_2!N91,recreation_claude_v2_1!N91),0), "NA")</f>
        <v>1</v>
      </c>
      <c r="O91">
        <v>1.7403032779693599</v>
      </c>
    </row>
    <row r="92" spans="1:15" x14ac:dyDescent="0.25">
      <c r="A92" t="s">
        <v>80</v>
      </c>
      <c r="B92" t="s">
        <v>71</v>
      </c>
      <c r="C92">
        <v>0</v>
      </c>
      <c r="D92">
        <f>ROUND(SUM(recreation_claude_v2_5!D92,recreation_claude_v2_4!D92,recreation_claude_v2_3!D92,recreation_claude_v2_2!D92,recreation_claude_v2_1!D92)/COUNT(recreation_claude_v2_5!D92,recreation_claude_v2_4!D92,recreation_claude_v2_3!D92,recreation_claude_v2_2!D92,recreation_claude_v2_1!D92),0)</f>
        <v>1</v>
      </c>
      <c r="E92">
        <f>IF($D92 = 1, ROUND(SUM(recreation_claude_v2_5!E92,recreation_claude_v2_4!E92,recreation_claude_v2_3!E92,recreation_claude_v2_2!E92,recreation_claude_v2_1!E92)/COUNT(recreation_claude_v2_5!E92,recreation_claude_v2_4!E92,recreation_claude_v2_3!E92,recreation_claude_v2_2!E92,recreation_claude_v2_1!E92),0), "NA")</f>
        <v>1</v>
      </c>
      <c r="F92">
        <f>IF($D92 = 1, ROUND(SUM(recreation_claude_v2_5!F92,recreation_claude_v2_4!F92,recreation_claude_v2_3!F92,recreation_claude_v2_2!F92,recreation_claude_v2_1!F92)/COUNT(recreation_claude_v2_5!F92,recreation_claude_v2_4!F92,recreation_claude_v2_3!F92,recreation_claude_v2_2!F92,recreation_claude_v2_1!F92),0), "NA")</f>
        <v>1</v>
      </c>
      <c r="G92">
        <f>IF($D92 = 1, ROUND(SUM(recreation_claude_v2_5!G92,recreation_claude_v2_4!G92,recreation_claude_v2_3!G92,recreation_claude_v2_2!G92,recreation_claude_v2_1!G92)/COUNT(recreation_claude_v2_5!G92,recreation_claude_v2_4!G92,recreation_claude_v2_3!G92,recreation_claude_v2_2!G92,recreation_claude_v2_1!G92),0), "NA")</f>
        <v>1</v>
      </c>
      <c r="H92">
        <f>IF($E92 = 1, ROUND(SUM(recreation_claude_v2_5!H92,recreation_claude_v2_4!H92,recreation_claude_v2_3!H92,recreation_claude_v2_2!H92,recreation_claude_v2_1!H92)/COUNT(recreation_claude_v2_5!H92,recreation_claude_v2_4!H92,recreation_claude_v2_3!H92,recreation_claude_v2_2!H92,recreation_claude_v2_1!H92),0), "NA")</f>
        <v>1</v>
      </c>
      <c r="I92">
        <f>IF($D92 = 1, ROUND(SUM(recreation_claude_v2_5!I92,recreation_claude_v2_4!I92,recreation_claude_v2_3!I92,recreation_claude_v2_2!I92,recreation_claude_v2_1!I92)/COUNT(recreation_claude_v2_5!I92,recreation_claude_v2_4!I92,recreation_claude_v2_3!I92,recreation_claude_v2_2!I92,recreation_claude_v2_1!I92),0), "NA")</f>
        <v>1</v>
      </c>
      <c r="J92">
        <f>IF(AND($E92 = 1, $F92 = 1), ROUND(SUM(recreation_claude_v2_5!J92,recreation_claude_v2_4!J92,recreation_claude_v2_3!J92,recreation_claude_v2_2!J92,recreation_claude_v2_1!J92)/COUNT(recreation_claude_v2_5!J92,recreation_claude_v2_4!J92,recreation_claude_v2_3!J92,recreation_claude_v2_2!J92,recreation_claude_v2_1!J92),0), "NA")</f>
        <v>1</v>
      </c>
      <c r="K92">
        <f>IF($D92 = 1, ROUND(SUM(recreation_claude_v2_5!K92,recreation_claude_v2_4!K92,recreation_claude_v2_3!K92,recreation_claude_v2_2!K92,recreation_claude_v2_1!K92)/COUNT(recreation_claude_v2_5!K92,recreation_claude_v2_4!K92,recreation_claude_v2_3!K92,recreation_claude_v2_2!K92,recreation_claude_v2_1!K92),0), "NA")</f>
        <v>1</v>
      </c>
      <c r="L92">
        <f>IF($D92 = 1, ROUND(SUM(recreation_claude_v2_5!L92,recreation_claude_v2_4!L92,recreation_claude_v2_3!L92,recreation_claude_v2_2!L92,recreation_claude_v2_1!L92)/COUNT(recreation_claude_v2_5!L92,recreation_claude_v2_4!L92,recreation_claude_v2_3!L92,recreation_claude_v2_2!L92,recreation_claude_v2_1!L92),0), "NA")</f>
        <v>1</v>
      </c>
      <c r="M92">
        <f>IF($D92 = 1, ROUND(SUM(recreation_claude_v2_5!M92,recreation_claude_v2_4!M92,recreation_claude_v2_3!M92,recreation_claude_v2_2!M92,recreation_claude_v2_1!M92)/COUNT(recreation_claude_v2_5!M92,recreation_claude_v2_4!M92,recreation_claude_v2_3!M92,recreation_claude_v2_2!M92,recreation_claude_v2_1!M92),0), "NA")</f>
        <v>1</v>
      </c>
      <c r="N92">
        <f>IF($D92 = 1, ROUND(SUM(recreation_claude_v2_5!N92,recreation_claude_v2_4!N92,recreation_claude_v2_3!N92,recreation_claude_v2_2!N92,recreation_claude_v2_1!N92)/COUNT(recreation_claude_v2_5!N92,recreation_claude_v2_4!N92,recreation_claude_v2_3!N92,recreation_claude_v2_2!N92,recreation_claude_v2_1!N92),0), "NA")</f>
        <v>1</v>
      </c>
      <c r="O92">
        <v>2.1041522026062012</v>
      </c>
    </row>
    <row r="93" spans="1:15" x14ac:dyDescent="0.25">
      <c r="A93" t="s">
        <v>80</v>
      </c>
      <c r="B93" t="s">
        <v>72</v>
      </c>
      <c r="C93">
        <v>0</v>
      </c>
      <c r="D93">
        <f>ROUND(SUM(recreation_claude_v2_5!D93,recreation_claude_v2_4!D93,recreation_claude_v2_3!D93,recreation_claude_v2_2!D93,recreation_claude_v2_1!D93)/COUNT(recreation_claude_v2_5!D93,recreation_claude_v2_4!D93,recreation_claude_v2_3!D93,recreation_claude_v2_2!D93,recreation_claude_v2_1!D93),0)</f>
        <v>1</v>
      </c>
      <c r="E93">
        <f>IF($D93 = 1, ROUND(SUM(recreation_claude_v2_5!E93,recreation_claude_v2_4!E93,recreation_claude_v2_3!E93,recreation_claude_v2_2!E93,recreation_claude_v2_1!E93)/COUNT(recreation_claude_v2_5!E93,recreation_claude_v2_4!E93,recreation_claude_v2_3!E93,recreation_claude_v2_2!E93,recreation_claude_v2_1!E93),0), "NA")</f>
        <v>1</v>
      </c>
      <c r="F93">
        <f>IF($D93 = 1, ROUND(SUM(recreation_claude_v2_5!F93,recreation_claude_v2_4!F93,recreation_claude_v2_3!F93,recreation_claude_v2_2!F93,recreation_claude_v2_1!F93)/COUNT(recreation_claude_v2_5!F93,recreation_claude_v2_4!F93,recreation_claude_v2_3!F93,recreation_claude_v2_2!F93,recreation_claude_v2_1!F93),0), "NA")</f>
        <v>1</v>
      </c>
      <c r="G93">
        <f>IF($D93 = 1, ROUND(SUM(recreation_claude_v2_5!G93,recreation_claude_v2_4!G93,recreation_claude_v2_3!G93,recreation_claude_v2_2!G93,recreation_claude_v2_1!G93)/COUNT(recreation_claude_v2_5!G93,recreation_claude_v2_4!G93,recreation_claude_v2_3!G93,recreation_claude_v2_2!G93,recreation_claude_v2_1!G93),0), "NA")</f>
        <v>1</v>
      </c>
      <c r="H93">
        <f>IF($E93 = 1, ROUND(SUM(recreation_claude_v2_5!H93,recreation_claude_v2_4!H93,recreation_claude_v2_3!H93,recreation_claude_v2_2!H93,recreation_claude_v2_1!H93)/COUNT(recreation_claude_v2_5!H93,recreation_claude_v2_4!H93,recreation_claude_v2_3!H93,recreation_claude_v2_2!H93,recreation_claude_v2_1!H93),0), "NA")</f>
        <v>1</v>
      </c>
      <c r="I93">
        <f>IF($D93 = 1, ROUND(SUM(recreation_claude_v2_5!I93,recreation_claude_v2_4!I93,recreation_claude_v2_3!I93,recreation_claude_v2_2!I93,recreation_claude_v2_1!I93)/COUNT(recreation_claude_v2_5!I93,recreation_claude_v2_4!I93,recreation_claude_v2_3!I93,recreation_claude_v2_2!I93,recreation_claude_v2_1!I93),0), "NA")</f>
        <v>1</v>
      </c>
      <c r="J93">
        <f>IF(AND($E93 = 1, $F93 = 1), ROUND(SUM(recreation_claude_v2_5!J93,recreation_claude_v2_4!J93,recreation_claude_v2_3!J93,recreation_claude_v2_2!J93,recreation_claude_v2_1!J93)/COUNT(recreation_claude_v2_5!J93,recreation_claude_v2_4!J93,recreation_claude_v2_3!J93,recreation_claude_v2_2!J93,recreation_claude_v2_1!J93),0), "NA")</f>
        <v>1</v>
      </c>
      <c r="K93">
        <f>IF($D93 = 1, ROUND(SUM(recreation_claude_v2_5!K93,recreation_claude_v2_4!K93,recreation_claude_v2_3!K93,recreation_claude_v2_2!K93,recreation_claude_v2_1!K93)/COUNT(recreation_claude_v2_5!K93,recreation_claude_v2_4!K93,recreation_claude_v2_3!K93,recreation_claude_v2_2!K93,recreation_claude_v2_1!K93),0), "NA")</f>
        <v>1</v>
      </c>
      <c r="L93">
        <f>IF($D93 = 1, ROUND(SUM(recreation_claude_v2_5!L93,recreation_claude_v2_4!L93,recreation_claude_v2_3!L93,recreation_claude_v2_2!L93,recreation_claude_v2_1!L93)/COUNT(recreation_claude_v2_5!L93,recreation_claude_v2_4!L93,recreation_claude_v2_3!L93,recreation_claude_v2_2!L93,recreation_claude_v2_1!L93),0), "NA")</f>
        <v>1</v>
      </c>
      <c r="M93">
        <f>IF($D93 = 1, ROUND(SUM(recreation_claude_v2_5!M93,recreation_claude_v2_4!M93,recreation_claude_v2_3!M93,recreation_claude_v2_2!M93,recreation_claude_v2_1!M93)/COUNT(recreation_claude_v2_5!M93,recreation_claude_v2_4!M93,recreation_claude_v2_3!M93,recreation_claude_v2_2!M93,recreation_claude_v2_1!M93),0), "NA")</f>
        <v>1</v>
      </c>
      <c r="N93">
        <f>IF($D93 = 1, ROUND(SUM(recreation_claude_v2_5!N93,recreation_claude_v2_4!N93,recreation_claude_v2_3!N93,recreation_claude_v2_2!N93,recreation_claude_v2_1!N93)/COUNT(recreation_claude_v2_5!N93,recreation_claude_v2_4!N93,recreation_claude_v2_3!N93,recreation_claude_v2_2!N93,recreation_claude_v2_1!N93),0), "NA")</f>
        <v>1</v>
      </c>
      <c r="O93">
        <v>1.5436661243438721</v>
      </c>
    </row>
    <row r="94" spans="1:15" x14ac:dyDescent="0.25">
      <c r="A94" t="s">
        <v>80</v>
      </c>
      <c r="B94" t="s">
        <v>74</v>
      </c>
      <c r="C94">
        <v>0</v>
      </c>
      <c r="D94">
        <f>ROUND(SUM(recreation_claude_v2_5!D94,recreation_claude_v2_4!D94,recreation_claude_v2_3!D94,recreation_claude_v2_2!D94,recreation_claude_v2_1!D94)/COUNT(recreation_claude_v2_5!D94,recreation_claude_v2_4!D94,recreation_claude_v2_3!D94,recreation_claude_v2_2!D94,recreation_claude_v2_1!D94),0)</f>
        <v>1</v>
      </c>
      <c r="E94">
        <f>IF($D94 = 1, ROUND(SUM(recreation_claude_v2_5!E94,recreation_claude_v2_4!E94,recreation_claude_v2_3!E94,recreation_claude_v2_2!E94,recreation_claude_v2_1!E94)/COUNT(recreation_claude_v2_5!E94,recreation_claude_v2_4!E94,recreation_claude_v2_3!E94,recreation_claude_v2_2!E94,recreation_claude_v2_1!E94),0), "NA")</f>
        <v>1</v>
      </c>
      <c r="F94">
        <f>IF($D94 = 1, ROUND(SUM(recreation_claude_v2_5!F94,recreation_claude_v2_4!F94,recreation_claude_v2_3!F94,recreation_claude_v2_2!F94,recreation_claude_v2_1!F94)/COUNT(recreation_claude_v2_5!F94,recreation_claude_v2_4!F94,recreation_claude_v2_3!F94,recreation_claude_v2_2!F94,recreation_claude_v2_1!F94),0), "NA")</f>
        <v>1</v>
      </c>
      <c r="G94">
        <f>IF($D94 = 1, ROUND(SUM(recreation_claude_v2_5!G94,recreation_claude_v2_4!G94,recreation_claude_v2_3!G94,recreation_claude_v2_2!G94,recreation_claude_v2_1!G94)/COUNT(recreation_claude_v2_5!G94,recreation_claude_v2_4!G94,recreation_claude_v2_3!G94,recreation_claude_v2_2!G94,recreation_claude_v2_1!G94),0), "NA")</f>
        <v>1</v>
      </c>
      <c r="H94">
        <f>IF($E94 = 1, ROUND(SUM(recreation_claude_v2_5!H94,recreation_claude_v2_4!H94,recreation_claude_v2_3!H94,recreation_claude_v2_2!H94,recreation_claude_v2_1!H94)/COUNT(recreation_claude_v2_5!H94,recreation_claude_v2_4!H94,recreation_claude_v2_3!H94,recreation_claude_v2_2!H94,recreation_claude_v2_1!H94),0), "NA")</f>
        <v>1</v>
      </c>
      <c r="I94">
        <f>IF($D94 = 1, ROUND(SUM(recreation_claude_v2_5!I94,recreation_claude_v2_4!I94,recreation_claude_v2_3!I94,recreation_claude_v2_2!I94,recreation_claude_v2_1!I94)/COUNT(recreation_claude_v2_5!I94,recreation_claude_v2_4!I94,recreation_claude_v2_3!I94,recreation_claude_v2_2!I94,recreation_claude_v2_1!I94),0), "NA")</f>
        <v>1</v>
      </c>
      <c r="J94">
        <f>IF(AND($E94 = 1, $F94 = 1), ROUND(SUM(recreation_claude_v2_5!J94,recreation_claude_v2_4!J94,recreation_claude_v2_3!J94,recreation_claude_v2_2!J94,recreation_claude_v2_1!J94)/COUNT(recreation_claude_v2_5!J94,recreation_claude_v2_4!J94,recreation_claude_v2_3!J94,recreation_claude_v2_2!J94,recreation_claude_v2_1!J94),0), "NA")</f>
        <v>1</v>
      </c>
      <c r="K94">
        <f>IF($D94 = 1, ROUND(SUM(recreation_claude_v2_5!K94,recreation_claude_v2_4!K94,recreation_claude_v2_3!K94,recreation_claude_v2_2!K94,recreation_claude_v2_1!K94)/COUNT(recreation_claude_v2_5!K94,recreation_claude_v2_4!K94,recreation_claude_v2_3!K94,recreation_claude_v2_2!K94,recreation_claude_v2_1!K94),0), "NA")</f>
        <v>1</v>
      </c>
      <c r="L94">
        <f>IF($D94 = 1, ROUND(SUM(recreation_claude_v2_5!L94,recreation_claude_v2_4!L94,recreation_claude_v2_3!L94,recreation_claude_v2_2!L94,recreation_claude_v2_1!L94)/COUNT(recreation_claude_v2_5!L94,recreation_claude_v2_4!L94,recreation_claude_v2_3!L94,recreation_claude_v2_2!L94,recreation_claude_v2_1!L94),0), "NA")</f>
        <v>1</v>
      </c>
      <c r="M94">
        <f>IF($D94 = 1, ROUND(SUM(recreation_claude_v2_5!M94,recreation_claude_v2_4!M94,recreation_claude_v2_3!M94,recreation_claude_v2_2!M94,recreation_claude_v2_1!M94)/COUNT(recreation_claude_v2_5!M94,recreation_claude_v2_4!M94,recreation_claude_v2_3!M94,recreation_claude_v2_2!M94,recreation_claude_v2_1!M94),0), "NA")</f>
        <v>1</v>
      </c>
      <c r="N94">
        <f>IF($D94 = 1, ROUND(SUM(recreation_claude_v2_5!N94,recreation_claude_v2_4!N94,recreation_claude_v2_3!N94,recreation_claude_v2_2!N94,recreation_claude_v2_1!N94)/COUNT(recreation_claude_v2_5!N94,recreation_claude_v2_4!N94,recreation_claude_v2_3!N94,recreation_claude_v2_2!N94,recreation_claude_v2_1!N94),0), "NA")</f>
        <v>1</v>
      </c>
      <c r="O94">
        <v>4.3577041625976563</v>
      </c>
    </row>
    <row r="95" spans="1:15" x14ac:dyDescent="0.25">
      <c r="A95" t="s">
        <v>80</v>
      </c>
      <c r="B95" t="s">
        <v>75</v>
      </c>
      <c r="C95">
        <v>0</v>
      </c>
      <c r="D95">
        <f>ROUND(SUM(recreation_claude_v2_5!D95,recreation_claude_v2_4!D95,recreation_claude_v2_3!D95,recreation_claude_v2_2!D95,recreation_claude_v2_1!D95)/COUNT(recreation_claude_v2_5!D95,recreation_claude_v2_4!D95,recreation_claude_v2_3!D95,recreation_claude_v2_2!D95,recreation_claude_v2_1!D95),0)</f>
        <v>1</v>
      </c>
      <c r="E95">
        <f>IF($D95 = 1, ROUND(SUM(recreation_claude_v2_5!E95,recreation_claude_v2_4!E95,recreation_claude_v2_3!E95,recreation_claude_v2_2!E95,recreation_claude_v2_1!E95)/COUNT(recreation_claude_v2_5!E95,recreation_claude_v2_4!E95,recreation_claude_v2_3!E95,recreation_claude_v2_2!E95,recreation_claude_v2_1!E95),0), "NA")</f>
        <v>1</v>
      </c>
      <c r="F95">
        <f>IF($D95 = 1, ROUND(SUM(recreation_claude_v2_5!F95,recreation_claude_v2_4!F95,recreation_claude_v2_3!F95,recreation_claude_v2_2!F95,recreation_claude_v2_1!F95)/COUNT(recreation_claude_v2_5!F95,recreation_claude_v2_4!F95,recreation_claude_v2_3!F95,recreation_claude_v2_2!F95,recreation_claude_v2_1!F95),0), "NA")</f>
        <v>1</v>
      </c>
      <c r="G95">
        <f>IF($D95 = 1, ROUND(SUM(recreation_claude_v2_5!G95,recreation_claude_v2_4!G95,recreation_claude_v2_3!G95,recreation_claude_v2_2!G95,recreation_claude_v2_1!G95)/COUNT(recreation_claude_v2_5!G95,recreation_claude_v2_4!G95,recreation_claude_v2_3!G95,recreation_claude_v2_2!G95,recreation_claude_v2_1!G95),0), "NA")</f>
        <v>1</v>
      </c>
      <c r="H95">
        <f>IF($E95 = 1, ROUND(SUM(recreation_claude_v2_5!H95,recreation_claude_v2_4!H95,recreation_claude_v2_3!H95,recreation_claude_v2_2!H95,recreation_claude_v2_1!H95)/COUNT(recreation_claude_v2_5!H95,recreation_claude_v2_4!H95,recreation_claude_v2_3!H95,recreation_claude_v2_2!H95,recreation_claude_v2_1!H95),0), "NA")</f>
        <v>1</v>
      </c>
      <c r="I95">
        <f>IF($D95 = 1, ROUND(SUM(recreation_claude_v2_5!I95,recreation_claude_v2_4!I95,recreation_claude_v2_3!I95,recreation_claude_v2_2!I95,recreation_claude_v2_1!I95)/COUNT(recreation_claude_v2_5!I95,recreation_claude_v2_4!I95,recreation_claude_v2_3!I95,recreation_claude_v2_2!I95,recreation_claude_v2_1!I95),0), "NA")</f>
        <v>1</v>
      </c>
      <c r="J95">
        <f>IF(AND($E95 = 1, $F95 = 1), ROUND(SUM(recreation_claude_v2_5!J95,recreation_claude_v2_4!J95,recreation_claude_v2_3!J95,recreation_claude_v2_2!J95,recreation_claude_v2_1!J95)/COUNT(recreation_claude_v2_5!J95,recreation_claude_v2_4!J95,recreation_claude_v2_3!J95,recreation_claude_v2_2!J95,recreation_claude_v2_1!J95),0), "NA")</f>
        <v>1</v>
      </c>
      <c r="K95">
        <f>IF($D95 = 1, ROUND(SUM(recreation_claude_v2_5!K95,recreation_claude_v2_4!K95,recreation_claude_v2_3!K95,recreation_claude_v2_2!K95,recreation_claude_v2_1!K95)/COUNT(recreation_claude_v2_5!K95,recreation_claude_v2_4!K95,recreation_claude_v2_3!K95,recreation_claude_v2_2!K95,recreation_claude_v2_1!K95),0), "NA")</f>
        <v>1</v>
      </c>
      <c r="L95">
        <f>IF($D95 = 1, ROUND(SUM(recreation_claude_v2_5!L95,recreation_claude_v2_4!L95,recreation_claude_v2_3!L95,recreation_claude_v2_2!L95,recreation_claude_v2_1!L95)/COUNT(recreation_claude_v2_5!L95,recreation_claude_v2_4!L95,recreation_claude_v2_3!L95,recreation_claude_v2_2!L95,recreation_claude_v2_1!L95),0), "NA")</f>
        <v>1</v>
      </c>
      <c r="M95">
        <f>IF($D95 = 1, ROUND(SUM(recreation_claude_v2_5!M95,recreation_claude_v2_4!M95,recreation_claude_v2_3!M95,recreation_claude_v2_2!M95,recreation_claude_v2_1!M95)/COUNT(recreation_claude_v2_5!M95,recreation_claude_v2_4!M95,recreation_claude_v2_3!M95,recreation_claude_v2_2!M95,recreation_claude_v2_1!M95),0), "NA")</f>
        <v>1</v>
      </c>
      <c r="N95">
        <f>IF($D95 = 1, ROUND(SUM(recreation_claude_v2_5!N95,recreation_claude_v2_4!N95,recreation_claude_v2_3!N95,recreation_claude_v2_2!N95,recreation_claude_v2_1!N95)/COUNT(recreation_claude_v2_5!N95,recreation_claude_v2_4!N95,recreation_claude_v2_3!N95,recreation_claude_v2_2!N95,recreation_claude_v2_1!N95),0), "NA")</f>
        <v>1</v>
      </c>
      <c r="O95">
        <v>1.45753002166748</v>
      </c>
    </row>
    <row r="96" spans="1:15" x14ac:dyDescent="0.25">
      <c r="A96" t="s">
        <v>80</v>
      </c>
      <c r="B96" t="s">
        <v>76</v>
      </c>
      <c r="C96">
        <v>0</v>
      </c>
      <c r="D96">
        <f>ROUND(SUM(recreation_claude_v2_5!D96,recreation_claude_v2_4!D96,recreation_claude_v2_3!D96,recreation_claude_v2_2!D96,recreation_claude_v2_1!D96)/COUNT(recreation_claude_v2_5!D96,recreation_claude_v2_4!D96,recreation_claude_v2_3!D96,recreation_claude_v2_2!D96,recreation_claude_v2_1!D96),0)</f>
        <v>1</v>
      </c>
      <c r="E96">
        <f>IF($D96 = 1, ROUND(SUM(recreation_claude_v2_5!E96,recreation_claude_v2_4!E96,recreation_claude_v2_3!E96,recreation_claude_v2_2!E96,recreation_claude_v2_1!E96)/COUNT(recreation_claude_v2_5!E96,recreation_claude_v2_4!E96,recreation_claude_v2_3!E96,recreation_claude_v2_2!E96,recreation_claude_v2_1!E96),0), "NA")</f>
        <v>1</v>
      </c>
      <c r="F96">
        <f>IF($D96 = 1, ROUND(SUM(recreation_claude_v2_5!F96,recreation_claude_v2_4!F96,recreation_claude_v2_3!F96,recreation_claude_v2_2!F96,recreation_claude_v2_1!F96)/COUNT(recreation_claude_v2_5!F96,recreation_claude_v2_4!F96,recreation_claude_v2_3!F96,recreation_claude_v2_2!F96,recreation_claude_v2_1!F96),0), "NA")</f>
        <v>1</v>
      </c>
      <c r="G96">
        <f>IF($D96 = 1, ROUND(SUM(recreation_claude_v2_5!G96,recreation_claude_v2_4!G96,recreation_claude_v2_3!G96,recreation_claude_v2_2!G96,recreation_claude_v2_1!G96)/COUNT(recreation_claude_v2_5!G96,recreation_claude_v2_4!G96,recreation_claude_v2_3!G96,recreation_claude_v2_2!G96,recreation_claude_v2_1!G96),0), "NA")</f>
        <v>1</v>
      </c>
      <c r="H96">
        <f>IF($E96 = 1, ROUND(SUM(recreation_claude_v2_5!H96,recreation_claude_v2_4!H96,recreation_claude_v2_3!H96,recreation_claude_v2_2!H96,recreation_claude_v2_1!H96)/COUNT(recreation_claude_v2_5!H96,recreation_claude_v2_4!H96,recreation_claude_v2_3!H96,recreation_claude_v2_2!H96,recreation_claude_v2_1!H96),0), "NA")</f>
        <v>1</v>
      </c>
      <c r="I96">
        <f>IF($D96 = 1, ROUND(SUM(recreation_claude_v2_5!I96,recreation_claude_v2_4!I96,recreation_claude_v2_3!I96,recreation_claude_v2_2!I96,recreation_claude_v2_1!I96)/COUNT(recreation_claude_v2_5!I96,recreation_claude_v2_4!I96,recreation_claude_v2_3!I96,recreation_claude_v2_2!I96,recreation_claude_v2_1!I96),0), "NA")</f>
        <v>1</v>
      </c>
      <c r="J96">
        <f>IF(AND($E96 = 1, $F96 = 1), ROUND(SUM(recreation_claude_v2_5!J96,recreation_claude_v2_4!J96,recreation_claude_v2_3!J96,recreation_claude_v2_2!J96,recreation_claude_v2_1!J96)/COUNT(recreation_claude_v2_5!J96,recreation_claude_v2_4!J96,recreation_claude_v2_3!J96,recreation_claude_v2_2!J96,recreation_claude_v2_1!J96),0), "NA")</f>
        <v>1</v>
      </c>
      <c r="K96">
        <f>IF($D96 = 1, ROUND(SUM(recreation_claude_v2_5!K96,recreation_claude_v2_4!K96,recreation_claude_v2_3!K96,recreation_claude_v2_2!K96,recreation_claude_v2_1!K96)/COUNT(recreation_claude_v2_5!K96,recreation_claude_v2_4!K96,recreation_claude_v2_3!K96,recreation_claude_v2_2!K96,recreation_claude_v2_1!K96),0), "NA")</f>
        <v>1</v>
      </c>
      <c r="L96">
        <f>IF($D96 = 1, ROUND(SUM(recreation_claude_v2_5!L96,recreation_claude_v2_4!L96,recreation_claude_v2_3!L96,recreation_claude_v2_2!L96,recreation_claude_v2_1!L96)/COUNT(recreation_claude_v2_5!L96,recreation_claude_v2_4!L96,recreation_claude_v2_3!L96,recreation_claude_v2_2!L96,recreation_claude_v2_1!L96),0), "NA")</f>
        <v>1</v>
      </c>
      <c r="M96">
        <f>IF($D96 = 1, ROUND(SUM(recreation_claude_v2_5!M96,recreation_claude_v2_4!M96,recreation_claude_v2_3!M96,recreation_claude_v2_2!M96,recreation_claude_v2_1!M96)/COUNT(recreation_claude_v2_5!M96,recreation_claude_v2_4!M96,recreation_claude_v2_3!M96,recreation_claude_v2_2!M96,recreation_claude_v2_1!M96),0), "NA")</f>
        <v>1</v>
      </c>
      <c r="N96">
        <f>IF($D96 = 1, ROUND(SUM(recreation_claude_v2_5!N96,recreation_claude_v2_4!N96,recreation_claude_v2_3!N96,recreation_claude_v2_2!N96,recreation_claude_v2_1!N96)/COUNT(recreation_claude_v2_5!N96,recreation_claude_v2_4!N96,recreation_claude_v2_3!N96,recreation_claude_v2_2!N96,recreation_claude_v2_1!N96),0), "NA")</f>
        <v>1</v>
      </c>
      <c r="O96">
        <v>1.3416962623596189</v>
      </c>
    </row>
    <row r="97" spans="1:15" x14ac:dyDescent="0.25">
      <c r="A97" t="s">
        <v>80</v>
      </c>
      <c r="B97" t="s">
        <v>77</v>
      </c>
      <c r="C97">
        <v>0</v>
      </c>
      <c r="D97">
        <f>ROUND(SUM(recreation_claude_v2_5!D97,recreation_claude_v2_4!D97,recreation_claude_v2_3!D97,recreation_claude_v2_2!D97,recreation_claude_v2_1!D97)/COUNT(recreation_claude_v2_5!D97,recreation_claude_v2_4!D97,recreation_claude_v2_3!D97,recreation_claude_v2_2!D97,recreation_claude_v2_1!D97),0)</f>
        <v>1</v>
      </c>
      <c r="E97">
        <f>IF($D97 = 1, ROUND(SUM(recreation_claude_v2_5!E97,recreation_claude_v2_4!E97,recreation_claude_v2_3!E97,recreation_claude_v2_2!E97,recreation_claude_v2_1!E97)/COUNT(recreation_claude_v2_5!E97,recreation_claude_v2_4!E97,recreation_claude_v2_3!E97,recreation_claude_v2_2!E97,recreation_claude_v2_1!E97),0), "NA")</f>
        <v>1</v>
      </c>
      <c r="F97">
        <f>IF($D97 = 1, ROUND(SUM(recreation_claude_v2_5!F97,recreation_claude_v2_4!F97,recreation_claude_v2_3!F97,recreation_claude_v2_2!F97,recreation_claude_v2_1!F97)/COUNT(recreation_claude_v2_5!F97,recreation_claude_v2_4!F97,recreation_claude_v2_3!F97,recreation_claude_v2_2!F97,recreation_claude_v2_1!F97),0), "NA")</f>
        <v>1</v>
      </c>
      <c r="G97">
        <f>IF($D97 = 1, ROUND(SUM(recreation_claude_v2_5!G97,recreation_claude_v2_4!G97,recreation_claude_v2_3!G97,recreation_claude_v2_2!G97,recreation_claude_v2_1!G97)/COUNT(recreation_claude_v2_5!G97,recreation_claude_v2_4!G97,recreation_claude_v2_3!G97,recreation_claude_v2_2!G97,recreation_claude_v2_1!G97),0), "NA")</f>
        <v>1</v>
      </c>
      <c r="H97">
        <f>IF($E97 = 1, ROUND(SUM(recreation_claude_v2_5!H97,recreation_claude_v2_4!H97,recreation_claude_v2_3!H97,recreation_claude_v2_2!H97,recreation_claude_v2_1!H97)/COUNT(recreation_claude_v2_5!H97,recreation_claude_v2_4!H97,recreation_claude_v2_3!H97,recreation_claude_v2_2!H97,recreation_claude_v2_1!H97),0), "NA")</f>
        <v>1</v>
      </c>
      <c r="I97">
        <f>IF($D97 = 1, ROUND(SUM(recreation_claude_v2_5!I97,recreation_claude_v2_4!I97,recreation_claude_v2_3!I97,recreation_claude_v2_2!I97,recreation_claude_v2_1!I97)/COUNT(recreation_claude_v2_5!I97,recreation_claude_v2_4!I97,recreation_claude_v2_3!I97,recreation_claude_v2_2!I97,recreation_claude_v2_1!I97),0), "NA")</f>
        <v>1</v>
      </c>
      <c r="J97">
        <f>IF(AND($E97 = 1, $F97 = 1), ROUND(SUM(recreation_claude_v2_5!J97,recreation_claude_v2_4!J97,recreation_claude_v2_3!J97,recreation_claude_v2_2!J97,recreation_claude_v2_1!J97)/COUNT(recreation_claude_v2_5!J97,recreation_claude_v2_4!J97,recreation_claude_v2_3!J97,recreation_claude_v2_2!J97,recreation_claude_v2_1!J97),0), "NA")</f>
        <v>1</v>
      </c>
      <c r="K97">
        <f>IF($D97 = 1, ROUND(SUM(recreation_claude_v2_5!K97,recreation_claude_v2_4!K97,recreation_claude_v2_3!K97,recreation_claude_v2_2!K97,recreation_claude_v2_1!K97)/COUNT(recreation_claude_v2_5!K97,recreation_claude_v2_4!K97,recreation_claude_v2_3!K97,recreation_claude_v2_2!K97,recreation_claude_v2_1!K97),0), "NA")</f>
        <v>1</v>
      </c>
      <c r="L97">
        <f>IF($D97 = 1, ROUND(SUM(recreation_claude_v2_5!L97,recreation_claude_v2_4!L97,recreation_claude_v2_3!L97,recreation_claude_v2_2!L97,recreation_claude_v2_1!L97)/COUNT(recreation_claude_v2_5!L97,recreation_claude_v2_4!L97,recreation_claude_v2_3!L97,recreation_claude_v2_2!L97,recreation_claude_v2_1!L97),0), "NA")</f>
        <v>1</v>
      </c>
      <c r="M97">
        <f>IF($D97 = 1, ROUND(SUM(recreation_claude_v2_5!M97,recreation_claude_v2_4!M97,recreation_claude_v2_3!M97,recreation_claude_v2_2!M97,recreation_claude_v2_1!M97)/COUNT(recreation_claude_v2_5!M97,recreation_claude_v2_4!M97,recreation_claude_v2_3!M97,recreation_claude_v2_2!M97,recreation_claude_v2_1!M97),0), "NA")</f>
        <v>1</v>
      </c>
      <c r="N97">
        <f>IF($D97 = 1, ROUND(SUM(recreation_claude_v2_5!N97,recreation_claude_v2_4!N97,recreation_claude_v2_3!N97,recreation_claude_v2_2!N97,recreation_claude_v2_1!N97)/COUNT(recreation_claude_v2_5!N97,recreation_claude_v2_4!N97,recreation_claude_v2_3!N97,recreation_claude_v2_2!N97,recreation_claude_v2_1!N97),0), "NA")</f>
        <v>1</v>
      </c>
      <c r="O97">
        <v>1.550399541854858</v>
      </c>
    </row>
    <row r="98" spans="1:15" x14ac:dyDescent="0.25">
      <c r="A98" t="s">
        <v>80</v>
      </c>
      <c r="B98" t="s">
        <v>78</v>
      </c>
      <c r="C98">
        <v>0</v>
      </c>
      <c r="D98">
        <f>ROUND(SUM(recreation_claude_v2_5!D98,recreation_claude_v2_4!D98,recreation_claude_v2_3!D98,recreation_claude_v2_2!D98,recreation_claude_v2_1!D98)/COUNT(recreation_claude_v2_5!D98,recreation_claude_v2_4!D98,recreation_claude_v2_3!D98,recreation_claude_v2_2!D98,recreation_claude_v2_1!D98),0)</f>
        <v>1</v>
      </c>
      <c r="E98">
        <f>IF($D98 = 1, ROUND(SUM(recreation_claude_v2_5!E98,recreation_claude_v2_4!E98,recreation_claude_v2_3!E98,recreation_claude_v2_2!E98,recreation_claude_v2_1!E98)/COUNT(recreation_claude_v2_5!E98,recreation_claude_v2_4!E98,recreation_claude_v2_3!E98,recreation_claude_v2_2!E98,recreation_claude_v2_1!E98),0), "NA")</f>
        <v>1</v>
      </c>
      <c r="F98">
        <f>IF($D98 = 1, ROUND(SUM(recreation_claude_v2_5!F98,recreation_claude_v2_4!F98,recreation_claude_v2_3!F98,recreation_claude_v2_2!F98,recreation_claude_v2_1!F98)/COUNT(recreation_claude_v2_5!F98,recreation_claude_v2_4!F98,recreation_claude_v2_3!F98,recreation_claude_v2_2!F98,recreation_claude_v2_1!F98),0), "NA")</f>
        <v>1</v>
      </c>
      <c r="G98">
        <f>IF($D98 = 1, ROUND(SUM(recreation_claude_v2_5!G98,recreation_claude_v2_4!G98,recreation_claude_v2_3!G98,recreation_claude_v2_2!G98,recreation_claude_v2_1!G98)/COUNT(recreation_claude_v2_5!G98,recreation_claude_v2_4!G98,recreation_claude_v2_3!G98,recreation_claude_v2_2!G98,recreation_claude_v2_1!G98),0), "NA")</f>
        <v>1</v>
      </c>
      <c r="H98">
        <f>IF($E98 = 1, ROUND(SUM(recreation_claude_v2_5!H98,recreation_claude_v2_4!H98,recreation_claude_v2_3!H98,recreation_claude_v2_2!H98,recreation_claude_v2_1!H98)/COUNT(recreation_claude_v2_5!H98,recreation_claude_v2_4!H98,recreation_claude_v2_3!H98,recreation_claude_v2_2!H98,recreation_claude_v2_1!H98),0), "NA")</f>
        <v>1</v>
      </c>
      <c r="I98">
        <f>IF($D98 = 1, ROUND(SUM(recreation_claude_v2_5!I98,recreation_claude_v2_4!I98,recreation_claude_v2_3!I98,recreation_claude_v2_2!I98,recreation_claude_v2_1!I98)/COUNT(recreation_claude_v2_5!I98,recreation_claude_v2_4!I98,recreation_claude_v2_3!I98,recreation_claude_v2_2!I98,recreation_claude_v2_1!I98),0), "NA")</f>
        <v>1</v>
      </c>
      <c r="J98">
        <f>IF(AND($E98 = 1, $F98 = 1), ROUND(SUM(recreation_claude_v2_5!J98,recreation_claude_v2_4!J98,recreation_claude_v2_3!J98,recreation_claude_v2_2!J98,recreation_claude_v2_1!J98)/COUNT(recreation_claude_v2_5!J98,recreation_claude_v2_4!J98,recreation_claude_v2_3!J98,recreation_claude_v2_2!J98,recreation_claude_v2_1!J98),0), "NA")</f>
        <v>1</v>
      </c>
      <c r="K98">
        <f>IF($D98 = 1, ROUND(SUM(recreation_claude_v2_5!K98,recreation_claude_v2_4!K98,recreation_claude_v2_3!K98,recreation_claude_v2_2!K98,recreation_claude_v2_1!K98)/COUNT(recreation_claude_v2_5!K98,recreation_claude_v2_4!K98,recreation_claude_v2_3!K98,recreation_claude_v2_2!K98,recreation_claude_v2_1!K98),0), "NA")</f>
        <v>1</v>
      </c>
      <c r="L98">
        <f>IF($D98 = 1, ROUND(SUM(recreation_claude_v2_5!L98,recreation_claude_v2_4!L98,recreation_claude_v2_3!L98,recreation_claude_v2_2!L98,recreation_claude_v2_1!L98)/COUNT(recreation_claude_v2_5!L98,recreation_claude_v2_4!L98,recreation_claude_v2_3!L98,recreation_claude_v2_2!L98,recreation_claude_v2_1!L98),0), "NA")</f>
        <v>1</v>
      </c>
      <c r="M98">
        <f>IF($D98 = 1, ROUND(SUM(recreation_claude_v2_5!M98,recreation_claude_v2_4!M98,recreation_claude_v2_3!M98,recreation_claude_v2_2!M98,recreation_claude_v2_1!M98)/COUNT(recreation_claude_v2_5!M98,recreation_claude_v2_4!M98,recreation_claude_v2_3!M98,recreation_claude_v2_2!M98,recreation_claude_v2_1!M98),0), "NA")</f>
        <v>1</v>
      </c>
      <c r="N98">
        <f>IF($D98 = 1, ROUND(SUM(recreation_claude_v2_5!N98,recreation_claude_v2_4!N98,recreation_claude_v2_3!N98,recreation_claude_v2_2!N98,recreation_claude_v2_1!N98)/COUNT(recreation_claude_v2_5!N98,recreation_claude_v2_4!N98,recreation_claude_v2_3!N98,recreation_claude_v2_2!N98,recreation_claude_v2_1!N98),0), "NA")</f>
        <v>1</v>
      </c>
      <c r="O98">
        <v>1.8313338756561279</v>
      </c>
    </row>
    <row r="99" spans="1:15" x14ac:dyDescent="0.25">
      <c r="A99" t="s">
        <v>80</v>
      </c>
      <c r="B99" t="s">
        <v>79</v>
      </c>
      <c r="C99">
        <v>0</v>
      </c>
      <c r="D99">
        <f>ROUND(SUM(recreation_claude_v2_5!D99,recreation_claude_v2_4!D99,recreation_claude_v2_3!D99,recreation_claude_v2_2!D99,recreation_claude_v2_1!D99)/COUNT(recreation_claude_v2_5!D99,recreation_claude_v2_4!D99,recreation_claude_v2_3!D99,recreation_claude_v2_2!D99,recreation_claude_v2_1!D99),0)</f>
        <v>1</v>
      </c>
      <c r="E99">
        <f>IF($D99 = 1, ROUND(SUM(recreation_claude_v2_5!E99,recreation_claude_v2_4!E99,recreation_claude_v2_3!E99,recreation_claude_v2_2!E99,recreation_claude_v2_1!E99)/COUNT(recreation_claude_v2_5!E99,recreation_claude_v2_4!E99,recreation_claude_v2_3!E99,recreation_claude_v2_2!E99,recreation_claude_v2_1!E99),0), "NA")</f>
        <v>1</v>
      </c>
      <c r="F99">
        <f>IF($D99 = 1, ROUND(SUM(recreation_claude_v2_5!F99,recreation_claude_v2_4!F99,recreation_claude_v2_3!F99,recreation_claude_v2_2!F99,recreation_claude_v2_1!F99)/COUNT(recreation_claude_v2_5!F99,recreation_claude_v2_4!F99,recreation_claude_v2_3!F99,recreation_claude_v2_2!F99,recreation_claude_v2_1!F99),0), "NA")</f>
        <v>1</v>
      </c>
      <c r="G99">
        <f>IF($D99 = 1, ROUND(SUM(recreation_claude_v2_5!G99,recreation_claude_v2_4!G99,recreation_claude_v2_3!G99,recreation_claude_v2_2!G99,recreation_claude_v2_1!G99)/COUNT(recreation_claude_v2_5!G99,recreation_claude_v2_4!G99,recreation_claude_v2_3!G99,recreation_claude_v2_2!G99,recreation_claude_v2_1!G99),0), "NA")</f>
        <v>1</v>
      </c>
      <c r="H99">
        <f>IF($E99 = 1, ROUND(SUM(recreation_claude_v2_5!H99,recreation_claude_v2_4!H99,recreation_claude_v2_3!H99,recreation_claude_v2_2!H99,recreation_claude_v2_1!H99)/COUNT(recreation_claude_v2_5!H99,recreation_claude_v2_4!H99,recreation_claude_v2_3!H99,recreation_claude_v2_2!H99,recreation_claude_v2_1!H99),0), "NA")</f>
        <v>1</v>
      </c>
      <c r="I99">
        <f>IF($D99 = 1, ROUND(SUM(recreation_claude_v2_5!I99,recreation_claude_v2_4!I99,recreation_claude_v2_3!I99,recreation_claude_v2_2!I99,recreation_claude_v2_1!I99)/COUNT(recreation_claude_v2_5!I99,recreation_claude_v2_4!I99,recreation_claude_v2_3!I99,recreation_claude_v2_2!I99,recreation_claude_v2_1!I99),0), "NA")</f>
        <v>1</v>
      </c>
      <c r="J99">
        <f>IF(AND($E99 = 1, $F99 = 1), ROUND(SUM(recreation_claude_v2_5!J99,recreation_claude_v2_4!J99,recreation_claude_v2_3!J99,recreation_claude_v2_2!J99,recreation_claude_v2_1!J99)/COUNT(recreation_claude_v2_5!J99,recreation_claude_v2_4!J99,recreation_claude_v2_3!J99,recreation_claude_v2_2!J99,recreation_claude_v2_1!J99),0), "NA")</f>
        <v>1</v>
      </c>
      <c r="K99">
        <f>IF($D99 = 1, ROUND(SUM(recreation_claude_v2_5!K99,recreation_claude_v2_4!K99,recreation_claude_v2_3!K99,recreation_claude_v2_2!K99,recreation_claude_v2_1!K99)/COUNT(recreation_claude_v2_5!K99,recreation_claude_v2_4!K99,recreation_claude_v2_3!K99,recreation_claude_v2_2!K99,recreation_claude_v2_1!K99),0), "NA")</f>
        <v>1</v>
      </c>
      <c r="L99">
        <f>IF($D99 = 1, ROUND(SUM(recreation_claude_v2_5!L99,recreation_claude_v2_4!L99,recreation_claude_v2_3!L99,recreation_claude_v2_2!L99,recreation_claude_v2_1!L99)/COUNT(recreation_claude_v2_5!L99,recreation_claude_v2_4!L99,recreation_claude_v2_3!L99,recreation_claude_v2_2!L99,recreation_claude_v2_1!L99),0), "NA")</f>
        <v>1</v>
      </c>
      <c r="M99">
        <f>IF($D99 = 1, ROUND(SUM(recreation_claude_v2_5!M99,recreation_claude_v2_4!M99,recreation_claude_v2_3!M99,recreation_claude_v2_2!M99,recreation_claude_v2_1!M99)/COUNT(recreation_claude_v2_5!M99,recreation_claude_v2_4!M99,recreation_claude_v2_3!M99,recreation_claude_v2_2!M99,recreation_claude_v2_1!M99),0), "NA")</f>
        <v>1</v>
      </c>
      <c r="N99">
        <f>IF($D99 = 1, ROUND(SUM(recreation_claude_v2_5!N99,recreation_claude_v2_4!N99,recreation_claude_v2_3!N99,recreation_claude_v2_2!N99,recreation_claude_v2_1!N99)/COUNT(recreation_claude_v2_5!N99,recreation_claude_v2_4!N99,recreation_claude_v2_3!N99,recreation_claude_v2_2!N99,recreation_claude_v2_1!N99),0), "NA")</f>
        <v>1</v>
      </c>
      <c r="O99">
        <v>1.412904739379883</v>
      </c>
    </row>
    <row r="100" spans="1:15" x14ac:dyDescent="0.25">
      <c r="A100" t="s">
        <v>80</v>
      </c>
      <c r="B100" t="s">
        <v>91</v>
      </c>
      <c r="C100">
        <v>0</v>
      </c>
      <c r="D100">
        <f>ROUND(SUM(recreation_claude_v2_5!D100,recreation_claude_v2_4!D100,recreation_claude_v2_3!D100,recreation_claude_v2_2!D100,recreation_claude_v2_1!D100)/COUNT(recreation_claude_v2_5!D100,recreation_claude_v2_4!D100,recreation_claude_v2_3!D100,recreation_claude_v2_2!D100,recreation_claude_v2_1!D100),0)</f>
        <v>1</v>
      </c>
      <c r="E100">
        <f>IF($D100 = 1, ROUND(SUM(recreation_claude_v2_5!E100,recreation_claude_v2_4!E100,recreation_claude_v2_3!E100,recreation_claude_v2_2!E100,recreation_claude_v2_1!E100)/COUNT(recreation_claude_v2_5!E100,recreation_claude_v2_4!E100,recreation_claude_v2_3!E100,recreation_claude_v2_2!E100,recreation_claude_v2_1!E100),0), "NA")</f>
        <v>1</v>
      </c>
      <c r="F100">
        <f>IF($D100 = 1, ROUND(SUM(recreation_claude_v2_5!F100,recreation_claude_v2_4!F100,recreation_claude_v2_3!F100,recreation_claude_v2_2!F100,recreation_claude_v2_1!F100)/COUNT(recreation_claude_v2_5!F100,recreation_claude_v2_4!F100,recreation_claude_v2_3!F100,recreation_claude_v2_2!F100,recreation_claude_v2_1!F100),0), "NA")</f>
        <v>1</v>
      </c>
      <c r="G100">
        <f>IF($D100 = 1, ROUND(SUM(recreation_claude_v2_5!G100,recreation_claude_v2_4!G100,recreation_claude_v2_3!G100,recreation_claude_v2_2!G100,recreation_claude_v2_1!G100)/COUNT(recreation_claude_v2_5!G100,recreation_claude_v2_4!G100,recreation_claude_v2_3!G100,recreation_claude_v2_2!G100,recreation_claude_v2_1!G100),0), "NA")</f>
        <v>1</v>
      </c>
      <c r="H100">
        <f>IF($E100 = 1, ROUND(SUM(recreation_claude_v2_5!H100,recreation_claude_v2_4!H100,recreation_claude_v2_3!H100,recreation_claude_v2_2!H100,recreation_claude_v2_1!H100)/COUNT(recreation_claude_v2_5!H100,recreation_claude_v2_4!H100,recreation_claude_v2_3!H100,recreation_claude_v2_2!H100,recreation_claude_v2_1!H100),0), "NA")</f>
        <v>1</v>
      </c>
      <c r="I100">
        <f>IF($D100 = 1, ROUND(SUM(recreation_claude_v2_5!I100,recreation_claude_v2_4!I100,recreation_claude_v2_3!I100,recreation_claude_v2_2!I100,recreation_claude_v2_1!I100)/COUNT(recreation_claude_v2_5!I100,recreation_claude_v2_4!I100,recreation_claude_v2_3!I100,recreation_claude_v2_2!I100,recreation_claude_v2_1!I100),0), "NA")</f>
        <v>1</v>
      </c>
      <c r="J100">
        <f>IF(AND($E100 = 1, $F100 = 1), ROUND(SUM(recreation_claude_v2_5!J100,recreation_claude_v2_4!J100,recreation_claude_v2_3!J100,recreation_claude_v2_2!J100,recreation_claude_v2_1!J100)/COUNT(recreation_claude_v2_5!J100,recreation_claude_v2_4!J100,recreation_claude_v2_3!J100,recreation_claude_v2_2!J100,recreation_claude_v2_1!J100),0), "NA")</f>
        <v>1</v>
      </c>
      <c r="K100">
        <f>IF($D100 = 1, ROUND(SUM(recreation_claude_v2_5!K100,recreation_claude_v2_4!K100,recreation_claude_v2_3!K100,recreation_claude_v2_2!K100,recreation_claude_v2_1!K100)/COUNT(recreation_claude_v2_5!K100,recreation_claude_v2_4!K100,recreation_claude_v2_3!K100,recreation_claude_v2_2!K100,recreation_claude_v2_1!K100),0), "NA")</f>
        <v>1</v>
      </c>
      <c r="L100">
        <f>IF($D100 = 1, ROUND(SUM(recreation_claude_v2_5!L100,recreation_claude_v2_4!L100,recreation_claude_v2_3!L100,recreation_claude_v2_2!L100,recreation_claude_v2_1!L100)/COUNT(recreation_claude_v2_5!L100,recreation_claude_v2_4!L100,recreation_claude_v2_3!L100,recreation_claude_v2_2!L100,recreation_claude_v2_1!L100),0), "NA")</f>
        <v>1</v>
      </c>
      <c r="M100">
        <f>IF($D100 = 1, ROUND(SUM(recreation_claude_v2_5!M100,recreation_claude_v2_4!M100,recreation_claude_v2_3!M100,recreation_claude_v2_2!M100,recreation_claude_v2_1!M100)/COUNT(recreation_claude_v2_5!M100,recreation_claude_v2_4!M100,recreation_claude_v2_3!M100,recreation_claude_v2_2!M100,recreation_claude_v2_1!M100),0), "NA")</f>
        <v>1</v>
      </c>
      <c r="N100">
        <f>IF($D100 = 1, ROUND(SUM(recreation_claude_v2_5!N100,recreation_claude_v2_4!N100,recreation_claude_v2_3!N100,recreation_claude_v2_2!N100,recreation_claude_v2_1!N100)/COUNT(recreation_claude_v2_5!N100,recreation_claude_v2_4!N100,recreation_claude_v2_3!N100,recreation_claude_v2_2!N100,recreation_claude_v2_1!N100),0), "NA")</f>
        <v>1</v>
      </c>
      <c r="O100">
        <v>6.8049759864807129</v>
      </c>
    </row>
    <row r="101" spans="1:15" x14ac:dyDescent="0.25">
      <c r="A101" t="s">
        <v>80</v>
      </c>
      <c r="B101" t="s">
        <v>92</v>
      </c>
      <c r="C101">
        <v>0</v>
      </c>
      <c r="D101">
        <f>ROUND(SUM(recreation_claude_v2_5!D101,recreation_claude_v2_4!D101,recreation_claude_v2_3!D101,recreation_claude_v2_2!D101,recreation_claude_v2_1!D101)/COUNT(recreation_claude_v2_5!D101,recreation_claude_v2_4!D101,recreation_claude_v2_3!D101,recreation_claude_v2_2!D101,recreation_claude_v2_1!D101),0)</f>
        <v>1</v>
      </c>
      <c r="E101">
        <f>IF($D101 = 1, ROUND(SUM(recreation_claude_v2_5!E101,recreation_claude_v2_4!E101,recreation_claude_v2_3!E101,recreation_claude_v2_2!E101,recreation_claude_v2_1!E101)/COUNT(recreation_claude_v2_5!E101,recreation_claude_v2_4!E101,recreation_claude_v2_3!E101,recreation_claude_v2_2!E101,recreation_claude_v2_1!E101),0), "NA")</f>
        <v>1</v>
      </c>
      <c r="F101">
        <f>IF($D101 = 1, ROUND(SUM(recreation_claude_v2_5!F101,recreation_claude_v2_4!F101,recreation_claude_v2_3!F101,recreation_claude_v2_2!F101,recreation_claude_v2_1!F101)/COUNT(recreation_claude_v2_5!F101,recreation_claude_v2_4!F101,recreation_claude_v2_3!F101,recreation_claude_v2_2!F101,recreation_claude_v2_1!F101),0), "NA")</f>
        <v>1</v>
      </c>
      <c r="G101">
        <f>IF($D101 = 1, ROUND(SUM(recreation_claude_v2_5!G101,recreation_claude_v2_4!G101,recreation_claude_v2_3!G101,recreation_claude_v2_2!G101,recreation_claude_v2_1!G101)/COUNT(recreation_claude_v2_5!G101,recreation_claude_v2_4!G101,recreation_claude_v2_3!G101,recreation_claude_v2_2!G101,recreation_claude_v2_1!G101),0), "NA")</f>
        <v>1</v>
      </c>
      <c r="H101">
        <f>IF($E101 = 1, ROUND(SUM(recreation_claude_v2_5!H101,recreation_claude_v2_4!H101,recreation_claude_v2_3!H101,recreation_claude_v2_2!H101,recreation_claude_v2_1!H101)/COUNT(recreation_claude_v2_5!H101,recreation_claude_v2_4!H101,recreation_claude_v2_3!H101,recreation_claude_v2_2!H101,recreation_claude_v2_1!H101),0), "NA")</f>
        <v>1</v>
      </c>
      <c r="I101">
        <f>IF($D101 = 1, ROUND(SUM(recreation_claude_v2_5!I101,recreation_claude_v2_4!I101,recreation_claude_v2_3!I101,recreation_claude_v2_2!I101,recreation_claude_v2_1!I101)/COUNT(recreation_claude_v2_5!I101,recreation_claude_v2_4!I101,recreation_claude_v2_3!I101,recreation_claude_v2_2!I101,recreation_claude_v2_1!I101),0), "NA")</f>
        <v>1</v>
      </c>
      <c r="J101">
        <f>IF(AND($E101 = 1, $F101 = 1), ROUND(SUM(recreation_claude_v2_5!J101,recreation_claude_v2_4!J101,recreation_claude_v2_3!J101,recreation_claude_v2_2!J101,recreation_claude_v2_1!J101)/COUNT(recreation_claude_v2_5!J101,recreation_claude_v2_4!J101,recreation_claude_v2_3!J101,recreation_claude_v2_2!J101,recreation_claude_v2_1!J101),0), "NA")</f>
        <v>1</v>
      </c>
      <c r="K101">
        <f>IF($D101 = 1, ROUND(SUM(recreation_claude_v2_5!K101,recreation_claude_v2_4!K101,recreation_claude_v2_3!K101,recreation_claude_v2_2!K101,recreation_claude_v2_1!K101)/COUNT(recreation_claude_v2_5!K101,recreation_claude_v2_4!K101,recreation_claude_v2_3!K101,recreation_claude_v2_2!K101,recreation_claude_v2_1!K101),0), "NA")</f>
        <v>1</v>
      </c>
      <c r="L101">
        <f>IF($D101 = 1, ROUND(SUM(recreation_claude_v2_5!L101,recreation_claude_v2_4!L101,recreation_claude_v2_3!L101,recreation_claude_v2_2!L101,recreation_claude_v2_1!L101)/COUNT(recreation_claude_v2_5!L101,recreation_claude_v2_4!L101,recreation_claude_v2_3!L101,recreation_claude_v2_2!L101,recreation_claude_v2_1!L101),0), "NA")</f>
        <v>1</v>
      </c>
      <c r="M101">
        <f>IF($D101 = 1, ROUND(SUM(recreation_claude_v2_5!M101,recreation_claude_v2_4!M101,recreation_claude_v2_3!M101,recreation_claude_v2_2!M101,recreation_claude_v2_1!M101)/COUNT(recreation_claude_v2_5!M101,recreation_claude_v2_4!M101,recreation_claude_v2_3!M101,recreation_claude_v2_2!M101,recreation_claude_v2_1!M101),0), "NA")</f>
        <v>1</v>
      </c>
      <c r="N101">
        <f>IF($D101 = 1, ROUND(SUM(recreation_claude_v2_5!N101,recreation_claude_v2_4!N101,recreation_claude_v2_3!N101,recreation_claude_v2_2!N101,recreation_claude_v2_1!N101)/COUNT(recreation_claude_v2_5!N101,recreation_claude_v2_4!N101,recreation_claude_v2_3!N101,recreation_claude_v2_2!N101,recreation_claude_v2_1!N101),0), "NA")</f>
        <v>1</v>
      </c>
      <c r="O101">
        <v>1.536841869354248</v>
      </c>
    </row>
    <row r="102" spans="1:15" x14ac:dyDescent="0.25">
      <c r="A102" t="s">
        <v>80</v>
      </c>
      <c r="B102" t="s">
        <v>93</v>
      </c>
      <c r="C102">
        <v>0</v>
      </c>
      <c r="D102">
        <f>ROUND(SUM(recreation_claude_v2_5!D102,recreation_claude_v2_4!D102,recreation_claude_v2_3!D102,recreation_claude_v2_2!D102,recreation_claude_v2_1!D102)/COUNT(recreation_claude_v2_5!D102,recreation_claude_v2_4!D102,recreation_claude_v2_3!D102,recreation_claude_v2_2!D102,recreation_claude_v2_1!D102),0)</f>
        <v>1</v>
      </c>
      <c r="E102">
        <f>IF($D102 = 1, ROUND(SUM(recreation_claude_v2_5!E102,recreation_claude_v2_4!E102,recreation_claude_v2_3!E102,recreation_claude_v2_2!E102,recreation_claude_v2_1!E102)/COUNT(recreation_claude_v2_5!E102,recreation_claude_v2_4!E102,recreation_claude_v2_3!E102,recreation_claude_v2_2!E102,recreation_claude_v2_1!E102),0), "NA")</f>
        <v>1</v>
      </c>
      <c r="F102">
        <f>IF($D102 = 1, ROUND(SUM(recreation_claude_v2_5!F102,recreation_claude_v2_4!F102,recreation_claude_v2_3!F102,recreation_claude_v2_2!F102,recreation_claude_v2_1!F102)/COUNT(recreation_claude_v2_5!F102,recreation_claude_v2_4!F102,recreation_claude_v2_3!F102,recreation_claude_v2_2!F102,recreation_claude_v2_1!F102),0), "NA")</f>
        <v>1</v>
      </c>
      <c r="G102">
        <f>IF($D102 = 1, ROUND(SUM(recreation_claude_v2_5!G102,recreation_claude_v2_4!G102,recreation_claude_v2_3!G102,recreation_claude_v2_2!G102,recreation_claude_v2_1!G102)/COUNT(recreation_claude_v2_5!G102,recreation_claude_v2_4!G102,recreation_claude_v2_3!G102,recreation_claude_v2_2!G102,recreation_claude_v2_1!G102),0), "NA")</f>
        <v>1</v>
      </c>
      <c r="H102">
        <f>IF($E102 = 1, ROUND(SUM(recreation_claude_v2_5!H102,recreation_claude_v2_4!H102,recreation_claude_v2_3!H102,recreation_claude_v2_2!H102,recreation_claude_v2_1!H102)/COUNT(recreation_claude_v2_5!H102,recreation_claude_v2_4!H102,recreation_claude_v2_3!H102,recreation_claude_v2_2!H102,recreation_claude_v2_1!H102),0), "NA")</f>
        <v>1</v>
      </c>
      <c r="I102">
        <f>IF($D102 = 1, ROUND(SUM(recreation_claude_v2_5!I102,recreation_claude_v2_4!I102,recreation_claude_v2_3!I102,recreation_claude_v2_2!I102,recreation_claude_v2_1!I102)/COUNT(recreation_claude_v2_5!I102,recreation_claude_v2_4!I102,recreation_claude_v2_3!I102,recreation_claude_v2_2!I102,recreation_claude_v2_1!I102),0), "NA")</f>
        <v>1</v>
      </c>
      <c r="J102">
        <f>IF(AND($E102 = 1, $F102 = 1), ROUND(SUM(recreation_claude_v2_5!J102,recreation_claude_v2_4!J102,recreation_claude_v2_3!J102,recreation_claude_v2_2!J102,recreation_claude_v2_1!J102)/COUNT(recreation_claude_v2_5!J102,recreation_claude_v2_4!J102,recreation_claude_v2_3!J102,recreation_claude_v2_2!J102,recreation_claude_v2_1!J102),0), "NA")</f>
        <v>1</v>
      </c>
      <c r="K102">
        <f>IF($D102 = 1, ROUND(SUM(recreation_claude_v2_5!K102,recreation_claude_v2_4!K102,recreation_claude_v2_3!K102,recreation_claude_v2_2!K102,recreation_claude_v2_1!K102)/COUNT(recreation_claude_v2_5!K102,recreation_claude_v2_4!K102,recreation_claude_v2_3!K102,recreation_claude_v2_2!K102,recreation_claude_v2_1!K102),0), "NA")</f>
        <v>1</v>
      </c>
      <c r="L102">
        <f>IF($D102 = 1, ROUND(SUM(recreation_claude_v2_5!L102,recreation_claude_v2_4!L102,recreation_claude_v2_3!L102,recreation_claude_v2_2!L102,recreation_claude_v2_1!L102)/COUNT(recreation_claude_v2_5!L102,recreation_claude_v2_4!L102,recreation_claude_v2_3!L102,recreation_claude_v2_2!L102,recreation_claude_v2_1!L102),0), "NA")</f>
        <v>1</v>
      </c>
      <c r="M102">
        <f>IF($D102 = 1, ROUND(SUM(recreation_claude_v2_5!M102,recreation_claude_v2_4!M102,recreation_claude_v2_3!M102,recreation_claude_v2_2!M102,recreation_claude_v2_1!M102)/COUNT(recreation_claude_v2_5!M102,recreation_claude_v2_4!M102,recreation_claude_v2_3!M102,recreation_claude_v2_2!M102,recreation_claude_v2_1!M102),0), "NA")</f>
        <v>1</v>
      </c>
      <c r="N102">
        <f>IF($D102 = 1, ROUND(SUM(recreation_claude_v2_5!N102,recreation_claude_v2_4!N102,recreation_claude_v2_3!N102,recreation_claude_v2_2!N102,recreation_claude_v2_1!N102)/COUNT(recreation_claude_v2_5!N102,recreation_claude_v2_4!N102,recreation_claude_v2_3!N102,recreation_claude_v2_2!N102,recreation_claude_v2_1!N102),0), "NA")</f>
        <v>1</v>
      </c>
      <c r="O102">
        <v>1.7912635803222661</v>
      </c>
    </row>
    <row r="103" spans="1:15" x14ac:dyDescent="0.25">
      <c r="A103" t="s">
        <v>80</v>
      </c>
      <c r="B103" t="s">
        <v>94</v>
      </c>
      <c r="C103">
        <v>0</v>
      </c>
      <c r="D103">
        <f>ROUND(SUM(recreation_claude_v2_5!D103,recreation_claude_v2_4!D103,recreation_claude_v2_3!D103,recreation_claude_v2_2!D103,recreation_claude_v2_1!D103)/COUNT(recreation_claude_v2_5!D103,recreation_claude_v2_4!D103,recreation_claude_v2_3!D103,recreation_claude_v2_2!D103,recreation_claude_v2_1!D103),0)</f>
        <v>1</v>
      </c>
      <c r="E103">
        <f>IF($D103 = 1, ROUND(SUM(recreation_claude_v2_5!E103,recreation_claude_v2_4!E103,recreation_claude_v2_3!E103,recreation_claude_v2_2!E103,recreation_claude_v2_1!E103)/COUNT(recreation_claude_v2_5!E103,recreation_claude_v2_4!E103,recreation_claude_v2_3!E103,recreation_claude_v2_2!E103,recreation_claude_v2_1!E103),0), "NA")</f>
        <v>1</v>
      </c>
      <c r="F103">
        <f>IF($D103 = 1, ROUND(SUM(recreation_claude_v2_5!F103,recreation_claude_v2_4!F103,recreation_claude_v2_3!F103,recreation_claude_v2_2!F103,recreation_claude_v2_1!F103)/COUNT(recreation_claude_v2_5!F103,recreation_claude_v2_4!F103,recreation_claude_v2_3!F103,recreation_claude_v2_2!F103,recreation_claude_v2_1!F103),0), "NA")</f>
        <v>1</v>
      </c>
      <c r="G103">
        <f>IF($D103 = 1, ROUND(SUM(recreation_claude_v2_5!G103,recreation_claude_v2_4!G103,recreation_claude_v2_3!G103,recreation_claude_v2_2!G103,recreation_claude_v2_1!G103)/COUNT(recreation_claude_v2_5!G103,recreation_claude_v2_4!G103,recreation_claude_v2_3!G103,recreation_claude_v2_2!G103,recreation_claude_v2_1!G103),0), "NA")</f>
        <v>1</v>
      </c>
      <c r="H103">
        <f>IF($E103 = 1, ROUND(SUM(recreation_claude_v2_5!H103,recreation_claude_v2_4!H103,recreation_claude_v2_3!H103,recreation_claude_v2_2!H103,recreation_claude_v2_1!H103)/COUNT(recreation_claude_v2_5!H103,recreation_claude_v2_4!H103,recreation_claude_v2_3!H103,recreation_claude_v2_2!H103,recreation_claude_v2_1!H103),0), "NA")</f>
        <v>1</v>
      </c>
      <c r="I103">
        <f>IF($D103 = 1, ROUND(SUM(recreation_claude_v2_5!I103,recreation_claude_v2_4!I103,recreation_claude_v2_3!I103,recreation_claude_v2_2!I103,recreation_claude_v2_1!I103)/COUNT(recreation_claude_v2_5!I103,recreation_claude_v2_4!I103,recreation_claude_v2_3!I103,recreation_claude_v2_2!I103,recreation_claude_v2_1!I103),0), "NA")</f>
        <v>1</v>
      </c>
      <c r="J103">
        <f>IF(AND($E103 = 1, $F103 = 1), ROUND(SUM(recreation_claude_v2_5!J103,recreation_claude_v2_4!J103,recreation_claude_v2_3!J103,recreation_claude_v2_2!J103,recreation_claude_v2_1!J103)/COUNT(recreation_claude_v2_5!J103,recreation_claude_v2_4!J103,recreation_claude_v2_3!J103,recreation_claude_v2_2!J103,recreation_claude_v2_1!J103),0), "NA")</f>
        <v>1</v>
      </c>
      <c r="K103">
        <f>IF($D103 = 1, ROUND(SUM(recreation_claude_v2_5!K103,recreation_claude_v2_4!K103,recreation_claude_v2_3!K103,recreation_claude_v2_2!K103,recreation_claude_v2_1!K103)/COUNT(recreation_claude_v2_5!K103,recreation_claude_v2_4!K103,recreation_claude_v2_3!K103,recreation_claude_v2_2!K103,recreation_claude_v2_1!K103),0), "NA")</f>
        <v>1</v>
      </c>
      <c r="L103">
        <f>IF($D103 = 1, ROUND(SUM(recreation_claude_v2_5!L103,recreation_claude_v2_4!L103,recreation_claude_v2_3!L103,recreation_claude_v2_2!L103,recreation_claude_v2_1!L103)/COUNT(recreation_claude_v2_5!L103,recreation_claude_v2_4!L103,recreation_claude_v2_3!L103,recreation_claude_v2_2!L103,recreation_claude_v2_1!L103),0), "NA")</f>
        <v>1</v>
      </c>
      <c r="M103">
        <f>IF($D103 = 1, ROUND(SUM(recreation_claude_v2_5!M103,recreation_claude_v2_4!M103,recreation_claude_v2_3!M103,recreation_claude_v2_2!M103,recreation_claude_v2_1!M103)/COUNT(recreation_claude_v2_5!M103,recreation_claude_v2_4!M103,recreation_claude_v2_3!M103,recreation_claude_v2_2!M103,recreation_claude_v2_1!M103),0), "NA")</f>
        <v>1</v>
      </c>
      <c r="N103">
        <f>IF($D103 = 1, ROUND(SUM(recreation_claude_v2_5!N103,recreation_claude_v2_4!N103,recreation_claude_v2_3!N103,recreation_claude_v2_2!N103,recreation_claude_v2_1!N103)/COUNT(recreation_claude_v2_5!N103,recreation_claude_v2_4!N103,recreation_claude_v2_3!N103,recreation_claude_v2_2!N103,recreation_claude_v2_1!N103),0), "NA")</f>
        <v>1</v>
      </c>
      <c r="O103">
        <v>1.390973806381226</v>
      </c>
    </row>
    <row r="104" spans="1:15" x14ac:dyDescent="0.25">
      <c r="A104" t="s">
        <v>80</v>
      </c>
      <c r="B104" t="s">
        <v>95</v>
      </c>
      <c r="C104">
        <v>0</v>
      </c>
      <c r="D104">
        <f>ROUND(SUM(recreation_claude_v2_5!D104,recreation_claude_v2_4!D104,recreation_claude_v2_3!D104,recreation_claude_v2_2!D104,recreation_claude_v2_1!D104)/COUNT(recreation_claude_v2_5!D104,recreation_claude_v2_4!D104,recreation_claude_v2_3!D104,recreation_claude_v2_2!D104,recreation_claude_v2_1!D104),0)</f>
        <v>1</v>
      </c>
      <c r="E104">
        <f>IF($D104 = 1, ROUND(SUM(recreation_claude_v2_5!E104,recreation_claude_v2_4!E104,recreation_claude_v2_3!E104,recreation_claude_v2_2!E104,recreation_claude_v2_1!E104)/COUNT(recreation_claude_v2_5!E104,recreation_claude_v2_4!E104,recreation_claude_v2_3!E104,recreation_claude_v2_2!E104,recreation_claude_v2_1!E104),0), "NA")</f>
        <v>1</v>
      </c>
      <c r="F104">
        <f>IF($D104 = 1, ROUND(SUM(recreation_claude_v2_5!F104,recreation_claude_v2_4!F104,recreation_claude_v2_3!F104,recreation_claude_v2_2!F104,recreation_claude_v2_1!F104)/COUNT(recreation_claude_v2_5!F104,recreation_claude_v2_4!F104,recreation_claude_v2_3!F104,recreation_claude_v2_2!F104,recreation_claude_v2_1!F104),0), "NA")</f>
        <v>1</v>
      </c>
      <c r="G104">
        <f>IF($D104 = 1, ROUND(SUM(recreation_claude_v2_5!G104,recreation_claude_v2_4!G104,recreation_claude_v2_3!G104,recreation_claude_v2_2!G104,recreation_claude_v2_1!G104)/COUNT(recreation_claude_v2_5!G104,recreation_claude_v2_4!G104,recreation_claude_v2_3!G104,recreation_claude_v2_2!G104,recreation_claude_v2_1!G104),0), "NA")</f>
        <v>1</v>
      </c>
      <c r="H104">
        <f>IF($E104 = 1, ROUND(SUM(recreation_claude_v2_5!H104,recreation_claude_v2_4!H104,recreation_claude_v2_3!H104,recreation_claude_v2_2!H104,recreation_claude_v2_1!H104)/COUNT(recreation_claude_v2_5!H104,recreation_claude_v2_4!H104,recreation_claude_v2_3!H104,recreation_claude_v2_2!H104,recreation_claude_v2_1!H104),0), "NA")</f>
        <v>1</v>
      </c>
      <c r="I104">
        <f>IF($D104 = 1, ROUND(SUM(recreation_claude_v2_5!I104,recreation_claude_v2_4!I104,recreation_claude_v2_3!I104,recreation_claude_v2_2!I104,recreation_claude_v2_1!I104)/COUNT(recreation_claude_v2_5!I104,recreation_claude_v2_4!I104,recreation_claude_v2_3!I104,recreation_claude_v2_2!I104,recreation_claude_v2_1!I104),0), "NA")</f>
        <v>1</v>
      </c>
      <c r="J104">
        <f>IF(AND($E104 = 1, $F104 = 1), ROUND(SUM(recreation_claude_v2_5!J104,recreation_claude_v2_4!J104,recreation_claude_v2_3!J104,recreation_claude_v2_2!J104,recreation_claude_v2_1!J104)/COUNT(recreation_claude_v2_5!J104,recreation_claude_v2_4!J104,recreation_claude_v2_3!J104,recreation_claude_v2_2!J104,recreation_claude_v2_1!J104),0), "NA")</f>
        <v>1</v>
      </c>
      <c r="K104">
        <f>IF($D104 = 1, ROUND(SUM(recreation_claude_v2_5!K104,recreation_claude_v2_4!K104,recreation_claude_v2_3!K104,recreation_claude_v2_2!K104,recreation_claude_v2_1!K104)/COUNT(recreation_claude_v2_5!K104,recreation_claude_v2_4!K104,recreation_claude_v2_3!K104,recreation_claude_v2_2!K104,recreation_claude_v2_1!K104),0), "NA")</f>
        <v>1</v>
      </c>
      <c r="L104">
        <f>IF($D104 = 1, ROUND(SUM(recreation_claude_v2_5!L104,recreation_claude_v2_4!L104,recreation_claude_v2_3!L104,recreation_claude_v2_2!L104,recreation_claude_v2_1!L104)/COUNT(recreation_claude_v2_5!L104,recreation_claude_v2_4!L104,recreation_claude_v2_3!L104,recreation_claude_v2_2!L104,recreation_claude_v2_1!L104),0), "NA")</f>
        <v>1</v>
      </c>
      <c r="M104">
        <f>IF($D104 = 1, ROUND(SUM(recreation_claude_v2_5!M104,recreation_claude_v2_4!M104,recreation_claude_v2_3!M104,recreation_claude_v2_2!M104,recreation_claude_v2_1!M104)/COUNT(recreation_claude_v2_5!M104,recreation_claude_v2_4!M104,recreation_claude_v2_3!M104,recreation_claude_v2_2!M104,recreation_claude_v2_1!M104),0), "NA")</f>
        <v>1</v>
      </c>
      <c r="N104">
        <f>IF($D104 = 1, ROUND(SUM(recreation_claude_v2_5!N104,recreation_claude_v2_4!N104,recreation_claude_v2_3!N104,recreation_claude_v2_2!N104,recreation_claude_v2_1!N104)/COUNT(recreation_claude_v2_5!N104,recreation_claude_v2_4!N104,recreation_claude_v2_3!N104,recreation_claude_v2_2!N104,recreation_claude_v2_1!N104),0), "NA")</f>
        <v>1</v>
      </c>
      <c r="O104">
        <v>1.4743659496307371</v>
      </c>
    </row>
    <row r="105" spans="1:15" x14ac:dyDescent="0.25">
      <c r="A105" t="s">
        <v>80</v>
      </c>
      <c r="B105" t="s">
        <v>96</v>
      </c>
      <c r="C105">
        <v>0</v>
      </c>
      <c r="D105">
        <f>ROUND(SUM(recreation_claude_v2_5!D105,recreation_claude_v2_4!D105,recreation_claude_v2_3!D105,recreation_claude_v2_2!D105,recreation_claude_v2_1!D105)/COUNT(recreation_claude_v2_5!D105,recreation_claude_v2_4!D105,recreation_claude_v2_3!D105,recreation_claude_v2_2!D105,recreation_claude_v2_1!D105),0)</f>
        <v>1</v>
      </c>
      <c r="E105">
        <f>IF($D105 = 1, ROUND(SUM(recreation_claude_v2_5!E105,recreation_claude_v2_4!E105,recreation_claude_v2_3!E105,recreation_claude_v2_2!E105,recreation_claude_v2_1!E105)/COUNT(recreation_claude_v2_5!E105,recreation_claude_v2_4!E105,recreation_claude_v2_3!E105,recreation_claude_v2_2!E105,recreation_claude_v2_1!E105),0), "NA")</f>
        <v>1</v>
      </c>
      <c r="F105">
        <f>IF($D105 = 1, ROUND(SUM(recreation_claude_v2_5!F105,recreation_claude_v2_4!F105,recreation_claude_v2_3!F105,recreation_claude_v2_2!F105,recreation_claude_v2_1!F105)/COUNT(recreation_claude_v2_5!F105,recreation_claude_v2_4!F105,recreation_claude_v2_3!F105,recreation_claude_v2_2!F105,recreation_claude_v2_1!F105),0), "NA")</f>
        <v>1</v>
      </c>
      <c r="G105">
        <f>IF($D105 = 1, ROUND(SUM(recreation_claude_v2_5!G105,recreation_claude_v2_4!G105,recreation_claude_v2_3!G105,recreation_claude_v2_2!G105,recreation_claude_v2_1!G105)/COUNT(recreation_claude_v2_5!G105,recreation_claude_v2_4!G105,recreation_claude_v2_3!G105,recreation_claude_v2_2!G105,recreation_claude_v2_1!G105),0), "NA")</f>
        <v>1</v>
      </c>
      <c r="H105">
        <f>IF($E105 = 1, ROUND(SUM(recreation_claude_v2_5!H105,recreation_claude_v2_4!H105,recreation_claude_v2_3!H105,recreation_claude_v2_2!H105,recreation_claude_v2_1!H105)/COUNT(recreation_claude_v2_5!H105,recreation_claude_v2_4!H105,recreation_claude_v2_3!H105,recreation_claude_v2_2!H105,recreation_claude_v2_1!H105),0), "NA")</f>
        <v>1</v>
      </c>
      <c r="I105">
        <f>IF($D105 = 1, ROUND(SUM(recreation_claude_v2_5!I105,recreation_claude_v2_4!I105,recreation_claude_v2_3!I105,recreation_claude_v2_2!I105,recreation_claude_v2_1!I105)/COUNT(recreation_claude_v2_5!I105,recreation_claude_v2_4!I105,recreation_claude_v2_3!I105,recreation_claude_v2_2!I105,recreation_claude_v2_1!I105),0), "NA")</f>
        <v>1</v>
      </c>
      <c r="J105">
        <f>IF(AND($E105 = 1, $F105 = 1), ROUND(SUM(recreation_claude_v2_5!J105,recreation_claude_v2_4!J105,recreation_claude_v2_3!J105,recreation_claude_v2_2!J105,recreation_claude_v2_1!J105)/COUNT(recreation_claude_v2_5!J105,recreation_claude_v2_4!J105,recreation_claude_v2_3!J105,recreation_claude_v2_2!J105,recreation_claude_v2_1!J105),0), "NA")</f>
        <v>1</v>
      </c>
      <c r="K105">
        <f>IF($D105 = 1, ROUND(SUM(recreation_claude_v2_5!K105,recreation_claude_v2_4!K105,recreation_claude_v2_3!K105,recreation_claude_v2_2!K105,recreation_claude_v2_1!K105)/COUNT(recreation_claude_v2_5!K105,recreation_claude_v2_4!K105,recreation_claude_v2_3!K105,recreation_claude_v2_2!K105,recreation_claude_v2_1!K105),0), "NA")</f>
        <v>1</v>
      </c>
      <c r="L105">
        <f>IF($D105 = 1, ROUND(SUM(recreation_claude_v2_5!L105,recreation_claude_v2_4!L105,recreation_claude_v2_3!L105,recreation_claude_v2_2!L105,recreation_claude_v2_1!L105)/COUNT(recreation_claude_v2_5!L105,recreation_claude_v2_4!L105,recreation_claude_v2_3!L105,recreation_claude_v2_2!L105,recreation_claude_v2_1!L105),0), "NA")</f>
        <v>1</v>
      </c>
      <c r="M105">
        <f>IF($D105 = 1, ROUND(SUM(recreation_claude_v2_5!M105,recreation_claude_v2_4!M105,recreation_claude_v2_3!M105,recreation_claude_v2_2!M105,recreation_claude_v2_1!M105)/COUNT(recreation_claude_v2_5!M105,recreation_claude_v2_4!M105,recreation_claude_v2_3!M105,recreation_claude_v2_2!M105,recreation_claude_v2_1!M105),0), "NA")</f>
        <v>1</v>
      </c>
      <c r="N105">
        <f>IF($D105 = 1, ROUND(SUM(recreation_claude_v2_5!N105,recreation_claude_v2_4!N105,recreation_claude_v2_3!N105,recreation_claude_v2_2!N105,recreation_claude_v2_1!N105)/COUNT(recreation_claude_v2_5!N105,recreation_claude_v2_4!N105,recreation_claude_v2_3!N105,recreation_claude_v2_2!N105,recreation_claude_v2_1!N105),0), "NA")</f>
        <v>1</v>
      </c>
      <c r="O105">
        <v>1.5000650882720949</v>
      </c>
    </row>
    <row r="106" spans="1:15" x14ac:dyDescent="0.25">
      <c r="A106" t="s">
        <v>80</v>
      </c>
      <c r="B106" t="s">
        <v>97</v>
      </c>
      <c r="C106">
        <v>0</v>
      </c>
      <c r="D106">
        <f>ROUND(SUM(recreation_claude_v2_5!D106,recreation_claude_v2_4!D106,recreation_claude_v2_3!D106,recreation_claude_v2_2!D106,recreation_claude_v2_1!D106)/COUNT(recreation_claude_v2_5!D106,recreation_claude_v2_4!D106,recreation_claude_v2_3!D106,recreation_claude_v2_2!D106,recreation_claude_v2_1!D106),0)</f>
        <v>1</v>
      </c>
      <c r="E106">
        <f>IF($D106 = 1, ROUND(SUM(recreation_claude_v2_5!E106,recreation_claude_v2_4!E106,recreation_claude_v2_3!E106,recreation_claude_v2_2!E106,recreation_claude_v2_1!E106)/COUNT(recreation_claude_v2_5!E106,recreation_claude_v2_4!E106,recreation_claude_v2_3!E106,recreation_claude_v2_2!E106,recreation_claude_v2_1!E106),0), "NA")</f>
        <v>1</v>
      </c>
      <c r="F106">
        <f>IF($D106 = 1, ROUND(SUM(recreation_claude_v2_5!F106,recreation_claude_v2_4!F106,recreation_claude_v2_3!F106,recreation_claude_v2_2!F106,recreation_claude_v2_1!F106)/COUNT(recreation_claude_v2_5!F106,recreation_claude_v2_4!F106,recreation_claude_v2_3!F106,recreation_claude_v2_2!F106,recreation_claude_v2_1!F106),0), "NA")</f>
        <v>1</v>
      </c>
      <c r="G106">
        <f>IF($D106 = 1, ROUND(SUM(recreation_claude_v2_5!G106,recreation_claude_v2_4!G106,recreation_claude_v2_3!G106,recreation_claude_v2_2!G106,recreation_claude_v2_1!G106)/COUNT(recreation_claude_v2_5!G106,recreation_claude_v2_4!G106,recreation_claude_v2_3!G106,recreation_claude_v2_2!G106,recreation_claude_v2_1!G106),0), "NA")</f>
        <v>1</v>
      </c>
      <c r="H106">
        <f>IF($E106 = 1, ROUND(SUM(recreation_claude_v2_5!H106,recreation_claude_v2_4!H106,recreation_claude_v2_3!H106,recreation_claude_v2_2!H106,recreation_claude_v2_1!H106)/COUNT(recreation_claude_v2_5!H106,recreation_claude_v2_4!H106,recreation_claude_v2_3!H106,recreation_claude_v2_2!H106,recreation_claude_v2_1!H106),0), "NA")</f>
        <v>1</v>
      </c>
      <c r="I106">
        <f>IF($D106 = 1, ROUND(SUM(recreation_claude_v2_5!I106,recreation_claude_v2_4!I106,recreation_claude_v2_3!I106,recreation_claude_v2_2!I106,recreation_claude_v2_1!I106)/COUNT(recreation_claude_v2_5!I106,recreation_claude_v2_4!I106,recreation_claude_v2_3!I106,recreation_claude_v2_2!I106,recreation_claude_v2_1!I106),0), "NA")</f>
        <v>1</v>
      </c>
      <c r="J106">
        <f>IF(AND($E106 = 1, $F106 = 1), ROUND(SUM(recreation_claude_v2_5!J106,recreation_claude_v2_4!J106,recreation_claude_v2_3!J106,recreation_claude_v2_2!J106,recreation_claude_v2_1!J106)/COUNT(recreation_claude_v2_5!J106,recreation_claude_v2_4!J106,recreation_claude_v2_3!J106,recreation_claude_v2_2!J106,recreation_claude_v2_1!J106),0), "NA")</f>
        <v>1</v>
      </c>
      <c r="K106">
        <f>IF($D106 = 1, ROUND(SUM(recreation_claude_v2_5!K106,recreation_claude_v2_4!K106,recreation_claude_v2_3!K106,recreation_claude_v2_2!K106,recreation_claude_v2_1!K106)/COUNT(recreation_claude_v2_5!K106,recreation_claude_v2_4!K106,recreation_claude_v2_3!K106,recreation_claude_v2_2!K106,recreation_claude_v2_1!K106),0), "NA")</f>
        <v>1</v>
      </c>
      <c r="L106">
        <f>IF($D106 = 1, ROUND(SUM(recreation_claude_v2_5!L106,recreation_claude_v2_4!L106,recreation_claude_v2_3!L106,recreation_claude_v2_2!L106,recreation_claude_v2_1!L106)/COUNT(recreation_claude_v2_5!L106,recreation_claude_v2_4!L106,recreation_claude_v2_3!L106,recreation_claude_v2_2!L106,recreation_claude_v2_1!L106),0), "NA")</f>
        <v>1</v>
      </c>
      <c r="M106">
        <f>IF($D106 = 1, ROUND(SUM(recreation_claude_v2_5!M106,recreation_claude_v2_4!M106,recreation_claude_v2_3!M106,recreation_claude_v2_2!M106,recreation_claude_v2_1!M106)/COUNT(recreation_claude_v2_5!M106,recreation_claude_v2_4!M106,recreation_claude_v2_3!M106,recreation_claude_v2_2!M106,recreation_claude_v2_1!M106),0), "NA")</f>
        <v>1</v>
      </c>
      <c r="N106">
        <f>IF($D106 = 1, ROUND(SUM(recreation_claude_v2_5!N106,recreation_claude_v2_4!N106,recreation_claude_v2_3!N106,recreation_claude_v2_2!N106,recreation_claude_v2_1!N106)/COUNT(recreation_claude_v2_5!N106,recreation_claude_v2_4!N106,recreation_claude_v2_3!N106,recreation_claude_v2_2!N106,recreation_claude_v2_1!N106),0), "NA")</f>
        <v>1</v>
      </c>
      <c r="O106">
        <v>2.262891292572021</v>
      </c>
    </row>
    <row r="107" spans="1:15" x14ac:dyDescent="0.25">
      <c r="A107" t="s">
        <v>80</v>
      </c>
      <c r="B107" t="s">
        <v>98</v>
      </c>
      <c r="C107">
        <v>0</v>
      </c>
      <c r="D107">
        <f>ROUND(SUM(recreation_claude_v2_5!D107,recreation_claude_v2_4!D107,recreation_claude_v2_3!D107,recreation_claude_v2_2!D107,recreation_claude_v2_1!D107)/COUNT(recreation_claude_v2_5!D107,recreation_claude_v2_4!D107,recreation_claude_v2_3!D107,recreation_claude_v2_2!D107,recreation_claude_v2_1!D107),0)</f>
        <v>1</v>
      </c>
      <c r="E107">
        <f>IF($D107 = 1, ROUND(SUM(recreation_claude_v2_5!E107,recreation_claude_v2_4!E107,recreation_claude_v2_3!E107,recreation_claude_v2_2!E107,recreation_claude_v2_1!E107)/COUNT(recreation_claude_v2_5!E107,recreation_claude_v2_4!E107,recreation_claude_v2_3!E107,recreation_claude_v2_2!E107,recreation_claude_v2_1!E107),0), "NA")</f>
        <v>1</v>
      </c>
      <c r="F107">
        <f>IF($D107 = 1, ROUND(SUM(recreation_claude_v2_5!F107,recreation_claude_v2_4!F107,recreation_claude_v2_3!F107,recreation_claude_v2_2!F107,recreation_claude_v2_1!F107)/COUNT(recreation_claude_v2_5!F107,recreation_claude_v2_4!F107,recreation_claude_v2_3!F107,recreation_claude_v2_2!F107,recreation_claude_v2_1!F107),0), "NA")</f>
        <v>1</v>
      </c>
      <c r="G107">
        <f>IF($D107 = 1, ROUND(SUM(recreation_claude_v2_5!G107,recreation_claude_v2_4!G107,recreation_claude_v2_3!G107,recreation_claude_v2_2!G107,recreation_claude_v2_1!G107)/COUNT(recreation_claude_v2_5!G107,recreation_claude_v2_4!G107,recreation_claude_v2_3!G107,recreation_claude_v2_2!G107,recreation_claude_v2_1!G107),0), "NA")</f>
        <v>1</v>
      </c>
      <c r="H107">
        <f>IF($E107 = 1, ROUND(SUM(recreation_claude_v2_5!H107,recreation_claude_v2_4!H107,recreation_claude_v2_3!H107,recreation_claude_v2_2!H107,recreation_claude_v2_1!H107)/COUNT(recreation_claude_v2_5!H107,recreation_claude_v2_4!H107,recreation_claude_v2_3!H107,recreation_claude_v2_2!H107,recreation_claude_v2_1!H107),0), "NA")</f>
        <v>1</v>
      </c>
      <c r="I107">
        <f>IF($D107 = 1, ROUND(SUM(recreation_claude_v2_5!I107,recreation_claude_v2_4!I107,recreation_claude_v2_3!I107,recreation_claude_v2_2!I107,recreation_claude_v2_1!I107)/COUNT(recreation_claude_v2_5!I107,recreation_claude_v2_4!I107,recreation_claude_v2_3!I107,recreation_claude_v2_2!I107,recreation_claude_v2_1!I107),0), "NA")</f>
        <v>1</v>
      </c>
      <c r="J107">
        <f>IF(AND($E107 = 1, $F107 = 1), ROUND(SUM(recreation_claude_v2_5!J107,recreation_claude_v2_4!J107,recreation_claude_v2_3!J107,recreation_claude_v2_2!J107,recreation_claude_v2_1!J107)/COUNT(recreation_claude_v2_5!J107,recreation_claude_v2_4!J107,recreation_claude_v2_3!J107,recreation_claude_v2_2!J107,recreation_claude_v2_1!J107),0), "NA")</f>
        <v>1</v>
      </c>
      <c r="K107">
        <f>IF($D107 = 1, ROUND(SUM(recreation_claude_v2_5!K107,recreation_claude_v2_4!K107,recreation_claude_v2_3!K107,recreation_claude_v2_2!K107,recreation_claude_v2_1!K107)/COUNT(recreation_claude_v2_5!K107,recreation_claude_v2_4!K107,recreation_claude_v2_3!K107,recreation_claude_v2_2!K107,recreation_claude_v2_1!K107),0), "NA")</f>
        <v>1</v>
      </c>
      <c r="L107">
        <f>IF($D107 = 1, ROUND(SUM(recreation_claude_v2_5!L107,recreation_claude_v2_4!L107,recreation_claude_v2_3!L107,recreation_claude_v2_2!L107,recreation_claude_v2_1!L107)/COUNT(recreation_claude_v2_5!L107,recreation_claude_v2_4!L107,recreation_claude_v2_3!L107,recreation_claude_v2_2!L107,recreation_claude_v2_1!L107),0), "NA")</f>
        <v>1</v>
      </c>
      <c r="M107">
        <f>IF($D107 = 1, ROUND(SUM(recreation_claude_v2_5!M107,recreation_claude_v2_4!M107,recreation_claude_v2_3!M107,recreation_claude_v2_2!M107,recreation_claude_v2_1!M107)/COUNT(recreation_claude_v2_5!M107,recreation_claude_v2_4!M107,recreation_claude_v2_3!M107,recreation_claude_v2_2!M107,recreation_claude_v2_1!M107),0), "NA")</f>
        <v>1</v>
      </c>
      <c r="N107">
        <f>IF($D107 = 1, ROUND(SUM(recreation_claude_v2_5!N107,recreation_claude_v2_4!N107,recreation_claude_v2_3!N107,recreation_claude_v2_2!N107,recreation_claude_v2_1!N107)/COUNT(recreation_claude_v2_5!N107,recreation_claude_v2_4!N107,recreation_claude_v2_3!N107,recreation_claude_v2_2!N107,recreation_claude_v2_1!N107),0), "NA")</f>
        <v>1</v>
      </c>
      <c r="O107">
        <v>1.7034280300140381</v>
      </c>
    </row>
    <row r="108" spans="1:15" x14ac:dyDescent="0.25">
      <c r="A108" t="s">
        <v>80</v>
      </c>
      <c r="B108" t="s">
        <v>100</v>
      </c>
      <c r="C108">
        <v>0</v>
      </c>
      <c r="D108">
        <f>ROUND(SUM(recreation_claude_v2_5!D108,recreation_claude_v2_4!D108,recreation_claude_v2_3!D108,recreation_claude_v2_2!D108,recreation_claude_v2_1!D108)/COUNT(recreation_claude_v2_5!D108,recreation_claude_v2_4!D108,recreation_claude_v2_3!D108,recreation_claude_v2_2!D108,recreation_claude_v2_1!D108),0)</f>
        <v>1</v>
      </c>
      <c r="E108">
        <f>IF($D108 = 1, ROUND(SUM(recreation_claude_v2_5!E108,recreation_claude_v2_4!E108,recreation_claude_v2_3!E108,recreation_claude_v2_2!E108,recreation_claude_v2_1!E108)/COUNT(recreation_claude_v2_5!E108,recreation_claude_v2_4!E108,recreation_claude_v2_3!E108,recreation_claude_v2_2!E108,recreation_claude_v2_1!E108),0), "NA")</f>
        <v>1</v>
      </c>
      <c r="F108">
        <f>IF($D108 = 1, ROUND(SUM(recreation_claude_v2_5!F108,recreation_claude_v2_4!F108,recreation_claude_v2_3!F108,recreation_claude_v2_2!F108,recreation_claude_v2_1!F108)/COUNT(recreation_claude_v2_5!F108,recreation_claude_v2_4!F108,recreation_claude_v2_3!F108,recreation_claude_v2_2!F108,recreation_claude_v2_1!F108),0), "NA")</f>
        <v>1</v>
      </c>
      <c r="G108">
        <f>IF($D108 = 1, ROUND(SUM(recreation_claude_v2_5!G108,recreation_claude_v2_4!G108,recreation_claude_v2_3!G108,recreation_claude_v2_2!G108,recreation_claude_v2_1!G108)/COUNT(recreation_claude_v2_5!G108,recreation_claude_v2_4!G108,recreation_claude_v2_3!G108,recreation_claude_v2_2!G108,recreation_claude_v2_1!G108),0), "NA")</f>
        <v>1</v>
      </c>
      <c r="H108">
        <f>IF($E108 = 1, ROUND(SUM(recreation_claude_v2_5!H108,recreation_claude_v2_4!H108,recreation_claude_v2_3!H108,recreation_claude_v2_2!H108,recreation_claude_v2_1!H108)/COUNT(recreation_claude_v2_5!H108,recreation_claude_v2_4!H108,recreation_claude_v2_3!H108,recreation_claude_v2_2!H108,recreation_claude_v2_1!H108),0), "NA")</f>
        <v>1</v>
      </c>
      <c r="I108">
        <f>IF($D108 = 1, ROUND(SUM(recreation_claude_v2_5!I108,recreation_claude_v2_4!I108,recreation_claude_v2_3!I108,recreation_claude_v2_2!I108,recreation_claude_v2_1!I108)/COUNT(recreation_claude_v2_5!I108,recreation_claude_v2_4!I108,recreation_claude_v2_3!I108,recreation_claude_v2_2!I108,recreation_claude_v2_1!I108),0), "NA")</f>
        <v>1</v>
      </c>
      <c r="J108">
        <f>IF(AND($E108 = 1, $F108 = 1), ROUND(SUM(recreation_claude_v2_5!J108,recreation_claude_v2_4!J108,recreation_claude_v2_3!J108,recreation_claude_v2_2!J108,recreation_claude_v2_1!J108)/COUNT(recreation_claude_v2_5!J108,recreation_claude_v2_4!J108,recreation_claude_v2_3!J108,recreation_claude_v2_2!J108,recreation_claude_v2_1!J108),0), "NA")</f>
        <v>1</v>
      </c>
      <c r="K108">
        <f>IF($D108 = 1, ROUND(SUM(recreation_claude_v2_5!K108,recreation_claude_v2_4!K108,recreation_claude_v2_3!K108,recreation_claude_v2_2!K108,recreation_claude_v2_1!K108)/COUNT(recreation_claude_v2_5!K108,recreation_claude_v2_4!K108,recreation_claude_v2_3!K108,recreation_claude_v2_2!K108,recreation_claude_v2_1!K108),0), "NA")</f>
        <v>1</v>
      </c>
      <c r="L108">
        <f>IF($D108 = 1, ROUND(SUM(recreation_claude_v2_5!L108,recreation_claude_v2_4!L108,recreation_claude_v2_3!L108,recreation_claude_v2_2!L108,recreation_claude_v2_1!L108)/COUNT(recreation_claude_v2_5!L108,recreation_claude_v2_4!L108,recreation_claude_v2_3!L108,recreation_claude_v2_2!L108,recreation_claude_v2_1!L108),0), "NA")</f>
        <v>1</v>
      </c>
      <c r="M108">
        <f>IF($D108 = 1, ROUND(SUM(recreation_claude_v2_5!M108,recreation_claude_v2_4!M108,recreation_claude_v2_3!M108,recreation_claude_v2_2!M108,recreation_claude_v2_1!M108)/COUNT(recreation_claude_v2_5!M108,recreation_claude_v2_4!M108,recreation_claude_v2_3!M108,recreation_claude_v2_2!M108,recreation_claude_v2_1!M108),0), "NA")</f>
        <v>1</v>
      </c>
      <c r="N108">
        <f>IF($D108 = 1, ROUND(SUM(recreation_claude_v2_5!N108,recreation_claude_v2_4!N108,recreation_claude_v2_3!N108,recreation_claude_v2_2!N108,recreation_claude_v2_1!N108)/COUNT(recreation_claude_v2_5!N108,recreation_claude_v2_4!N108,recreation_claude_v2_3!N108,recreation_claude_v2_2!N108,recreation_claude_v2_1!N108),0), "NA")</f>
        <v>1</v>
      </c>
      <c r="O108">
        <v>1.507635831832886</v>
      </c>
    </row>
    <row r="109" spans="1:15" x14ac:dyDescent="0.25">
      <c r="A109" t="s">
        <v>80</v>
      </c>
      <c r="B109" t="s">
        <v>101</v>
      </c>
      <c r="C109">
        <v>0</v>
      </c>
      <c r="D109">
        <f>ROUND(SUM(recreation_claude_v2_5!D109,recreation_claude_v2_4!D109,recreation_claude_v2_3!D109,recreation_claude_v2_2!D109,recreation_claude_v2_1!D109)/COUNT(recreation_claude_v2_5!D109,recreation_claude_v2_4!D109,recreation_claude_v2_3!D109,recreation_claude_v2_2!D109,recreation_claude_v2_1!D109),0)</f>
        <v>1</v>
      </c>
      <c r="E109">
        <f>IF($D109 = 1, ROUND(SUM(recreation_claude_v2_5!E109,recreation_claude_v2_4!E109,recreation_claude_v2_3!E109,recreation_claude_v2_2!E109,recreation_claude_v2_1!E109)/COUNT(recreation_claude_v2_5!E109,recreation_claude_v2_4!E109,recreation_claude_v2_3!E109,recreation_claude_v2_2!E109,recreation_claude_v2_1!E109),0), "NA")</f>
        <v>1</v>
      </c>
      <c r="F109">
        <f>IF($D109 = 1, ROUND(SUM(recreation_claude_v2_5!F109,recreation_claude_v2_4!F109,recreation_claude_v2_3!F109,recreation_claude_v2_2!F109,recreation_claude_v2_1!F109)/COUNT(recreation_claude_v2_5!F109,recreation_claude_v2_4!F109,recreation_claude_v2_3!F109,recreation_claude_v2_2!F109,recreation_claude_v2_1!F109),0), "NA")</f>
        <v>1</v>
      </c>
      <c r="G109">
        <f>IF($D109 = 1, ROUND(SUM(recreation_claude_v2_5!G109,recreation_claude_v2_4!G109,recreation_claude_v2_3!G109,recreation_claude_v2_2!G109,recreation_claude_v2_1!G109)/COUNT(recreation_claude_v2_5!G109,recreation_claude_v2_4!G109,recreation_claude_v2_3!G109,recreation_claude_v2_2!G109,recreation_claude_v2_1!G109),0), "NA")</f>
        <v>1</v>
      </c>
      <c r="H109">
        <f>IF($E109 = 1, ROUND(SUM(recreation_claude_v2_5!H109,recreation_claude_v2_4!H109,recreation_claude_v2_3!H109,recreation_claude_v2_2!H109,recreation_claude_v2_1!H109)/COUNT(recreation_claude_v2_5!H109,recreation_claude_v2_4!H109,recreation_claude_v2_3!H109,recreation_claude_v2_2!H109,recreation_claude_v2_1!H109),0), "NA")</f>
        <v>1</v>
      </c>
      <c r="I109">
        <f>IF($D109 = 1, ROUND(SUM(recreation_claude_v2_5!I109,recreation_claude_v2_4!I109,recreation_claude_v2_3!I109,recreation_claude_v2_2!I109,recreation_claude_v2_1!I109)/COUNT(recreation_claude_v2_5!I109,recreation_claude_v2_4!I109,recreation_claude_v2_3!I109,recreation_claude_v2_2!I109,recreation_claude_v2_1!I109),0), "NA")</f>
        <v>1</v>
      </c>
      <c r="J109">
        <f>IF(AND($E109 = 1, $F109 = 1), ROUND(SUM(recreation_claude_v2_5!J109,recreation_claude_v2_4!J109,recreation_claude_v2_3!J109,recreation_claude_v2_2!J109,recreation_claude_v2_1!J109)/COUNT(recreation_claude_v2_5!J109,recreation_claude_v2_4!J109,recreation_claude_v2_3!J109,recreation_claude_v2_2!J109,recreation_claude_v2_1!J109),0), "NA")</f>
        <v>1</v>
      </c>
      <c r="K109">
        <f>IF($D109 = 1, ROUND(SUM(recreation_claude_v2_5!K109,recreation_claude_v2_4!K109,recreation_claude_v2_3!K109,recreation_claude_v2_2!K109,recreation_claude_v2_1!K109)/COUNT(recreation_claude_v2_5!K109,recreation_claude_v2_4!K109,recreation_claude_v2_3!K109,recreation_claude_v2_2!K109,recreation_claude_v2_1!K109),0), "NA")</f>
        <v>1</v>
      </c>
      <c r="L109">
        <f>IF($D109 = 1, ROUND(SUM(recreation_claude_v2_5!L109,recreation_claude_v2_4!L109,recreation_claude_v2_3!L109,recreation_claude_v2_2!L109,recreation_claude_v2_1!L109)/COUNT(recreation_claude_v2_5!L109,recreation_claude_v2_4!L109,recreation_claude_v2_3!L109,recreation_claude_v2_2!L109,recreation_claude_v2_1!L109),0), "NA")</f>
        <v>1</v>
      </c>
      <c r="M109">
        <f>IF($D109 = 1, ROUND(SUM(recreation_claude_v2_5!M109,recreation_claude_v2_4!M109,recreation_claude_v2_3!M109,recreation_claude_v2_2!M109,recreation_claude_v2_1!M109)/COUNT(recreation_claude_v2_5!M109,recreation_claude_v2_4!M109,recreation_claude_v2_3!M109,recreation_claude_v2_2!M109,recreation_claude_v2_1!M109),0), "NA")</f>
        <v>1</v>
      </c>
      <c r="N109">
        <f>IF($D109 = 1, ROUND(SUM(recreation_claude_v2_5!N109,recreation_claude_v2_4!N109,recreation_claude_v2_3!N109,recreation_claude_v2_2!N109,recreation_claude_v2_1!N109)/COUNT(recreation_claude_v2_5!N109,recreation_claude_v2_4!N109,recreation_claude_v2_3!N109,recreation_claude_v2_2!N109,recreation_claude_v2_1!N109),0), "NA")</f>
        <v>1</v>
      </c>
      <c r="O109">
        <v>2.1417233943939209</v>
      </c>
    </row>
    <row r="110" spans="1:15" x14ac:dyDescent="0.25">
      <c r="A110" t="s">
        <v>80</v>
      </c>
      <c r="B110" t="s">
        <v>102</v>
      </c>
      <c r="C110">
        <v>0</v>
      </c>
      <c r="D110">
        <f>ROUND(SUM(recreation_claude_v2_5!D110,recreation_claude_v2_4!D110,recreation_claude_v2_3!D110,recreation_claude_v2_2!D110,recreation_claude_v2_1!D110)/COUNT(recreation_claude_v2_5!D110,recreation_claude_v2_4!D110,recreation_claude_v2_3!D110,recreation_claude_v2_2!D110,recreation_claude_v2_1!D110),0)</f>
        <v>0</v>
      </c>
      <c r="E110" t="str">
        <f>IF($D110 = 1, ROUND(SUM(recreation_claude_v2_5!E110,recreation_claude_v2_4!E110,recreation_claude_v2_3!E110,recreation_claude_v2_2!E110,recreation_claude_v2_1!E110)/COUNT(recreation_claude_v2_5!E110,recreation_claude_v2_4!E110,recreation_claude_v2_3!E110,recreation_claude_v2_2!E110,recreation_claude_v2_1!E110),0), "NA")</f>
        <v>NA</v>
      </c>
      <c r="F110" t="str">
        <f>IF($D110 = 1, ROUND(SUM(recreation_claude_v2_5!F110,recreation_claude_v2_4!F110,recreation_claude_v2_3!F110,recreation_claude_v2_2!F110,recreation_claude_v2_1!F110)/COUNT(recreation_claude_v2_5!F110,recreation_claude_v2_4!F110,recreation_claude_v2_3!F110,recreation_claude_v2_2!F110,recreation_claude_v2_1!F110),0), "NA")</f>
        <v>NA</v>
      </c>
      <c r="G110" t="str">
        <f>IF($D110 = 1, ROUND(SUM(recreation_claude_v2_5!G110,recreation_claude_v2_4!G110,recreation_claude_v2_3!G110,recreation_claude_v2_2!G110,recreation_claude_v2_1!G110)/COUNT(recreation_claude_v2_5!G110,recreation_claude_v2_4!G110,recreation_claude_v2_3!G110,recreation_claude_v2_2!G110,recreation_claude_v2_1!G110),0), "NA")</f>
        <v>NA</v>
      </c>
      <c r="H110" t="str">
        <f>IF($E110 = 1, ROUND(SUM(recreation_claude_v2_5!H110,recreation_claude_v2_4!H110,recreation_claude_v2_3!H110,recreation_claude_v2_2!H110,recreation_claude_v2_1!H110)/COUNT(recreation_claude_v2_5!H110,recreation_claude_v2_4!H110,recreation_claude_v2_3!H110,recreation_claude_v2_2!H110,recreation_claude_v2_1!H110),0), "NA")</f>
        <v>NA</v>
      </c>
      <c r="I110" t="str">
        <f>IF($D110 = 1, ROUND(SUM(recreation_claude_v2_5!I110,recreation_claude_v2_4!I110,recreation_claude_v2_3!I110,recreation_claude_v2_2!I110,recreation_claude_v2_1!I110)/COUNT(recreation_claude_v2_5!I110,recreation_claude_v2_4!I110,recreation_claude_v2_3!I110,recreation_claude_v2_2!I110,recreation_claude_v2_1!I110),0), "NA")</f>
        <v>NA</v>
      </c>
      <c r="J110" t="str">
        <f>IF(AND($E110 = 1, $F110 = 1), ROUND(SUM(recreation_claude_v2_5!J110,recreation_claude_v2_4!J110,recreation_claude_v2_3!J110,recreation_claude_v2_2!J110,recreation_claude_v2_1!J110)/COUNT(recreation_claude_v2_5!J110,recreation_claude_v2_4!J110,recreation_claude_v2_3!J110,recreation_claude_v2_2!J110,recreation_claude_v2_1!J110),0), "NA")</f>
        <v>NA</v>
      </c>
      <c r="K110" t="str">
        <f>IF($D110 = 1, ROUND(SUM(recreation_claude_v2_5!K110,recreation_claude_v2_4!K110,recreation_claude_v2_3!K110,recreation_claude_v2_2!K110,recreation_claude_v2_1!K110)/COUNT(recreation_claude_v2_5!K110,recreation_claude_v2_4!K110,recreation_claude_v2_3!K110,recreation_claude_v2_2!K110,recreation_claude_v2_1!K110),0), "NA")</f>
        <v>NA</v>
      </c>
      <c r="L110" t="str">
        <f>IF($D110 = 1, ROUND(SUM(recreation_claude_v2_5!L110,recreation_claude_v2_4!L110,recreation_claude_v2_3!L110,recreation_claude_v2_2!L110,recreation_claude_v2_1!L110)/COUNT(recreation_claude_v2_5!L110,recreation_claude_v2_4!L110,recreation_claude_v2_3!L110,recreation_claude_v2_2!L110,recreation_claude_v2_1!L110),0), "NA")</f>
        <v>NA</v>
      </c>
      <c r="M110" t="str">
        <f>IF($D110 = 1, ROUND(SUM(recreation_claude_v2_5!M110,recreation_claude_v2_4!M110,recreation_claude_v2_3!M110,recreation_claude_v2_2!M110,recreation_claude_v2_1!M110)/COUNT(recreation_claude_v2_5!M110,recreation_claude_v2_4!M110,recreation_claude_v2_3!M110,recreation_claude_v2_2!M110,recreation_claude_v2_1!M110),0), "NA")</f>
        <v>NA</v>
      </c>
      <c r="N110" t="str">
        <f>IF($D110 = 1, ROUND(SUM(recreation_claude_v2_5!N110,recreation_claude_v2_4!N110,recreation_claude_v2_3!N110,recreation_claude_v2_2!N110,recreation_claude_v2_1!N110)/COUNT(recreation_claude_v2_5!N110,recreation_claude_v2_4!N110,recreation_claude_v2_3!N110,recreation_claude_v2_2!N110,recreation_claude_v2_1!N110),0), "NA")</f>
        <v>NA</v>
      </c>
      <c r="O110">
        <v>6.0499148368835449</v>
      </c>
    </row>
    <row r="111" spans="1:15" x14ac:dyDescent="0.25">
      <c r="A111" t="s">
        <v>80</v>
      </c>
      <c r="B111" t="s">
        <v>104</v>
      </c>
      <c r="C111">
        <v>0</v>
      </c>
      <c r="D111">
        <f>ROUND(SUM(recreation_claude_v2_5!D111,recreation_claude_v2_4!D111,recreation_claude_v2_3!D111,recreation_claude_v2_2!D111,recreation_claude_v2_1!D111)/COUNT(recreation_claude_v2_5!D111,recreation_claude_v2_4!D111,recreation_claude_v2_3!D111,recreation_claude_v2_2!D111,recreation_claude_v2_1!D111),0)</f>
        <v>1</v>
      </c>
      <c r="E111">
        <f>IF($D111 = 1, ROUND(SUM(recreation_claude_v2_5!E111,recreation_claude_v2_4!E111,recreation_claude_v2_3!E111,recreation_claude_v2_2!E111,recreation_claude_v2_1!E111)/COUNT(recreation_claude_v2_5!E111,recreation_claude_v2_4!E111,recreation_claude_v2_3!E111,recreation_claude_v2_2!E111,recreation_claude_v2_1!E111),0), "NA")</f>
        <v>1</v>
      </c>
      <c r="F111">
        <f>IF($D111 = 1, ROUND(SUM(recreation_claude_v2_5!F111,recreation_claude_v2_4!F111,recreation_claude_v2_3!F111,recreation_claude_v2_2!F111,recreation_claude_v2_1!F111)/COUNT(recreation_claude_v2_5!F111,recreation_claude_v2_4!F111,recreation_claude_v2_3!F111,recreation_claude_v2_2!F111,recreation_claude_v2_1!F111),0), "NA")</f>
        <v>1</v>
      </c>
      <c r="G111">
        <f>IF($D111 = 1, ROUND(SUM(recreation_claude_v2_5!G111,recreation_claude_v2_4!G111,recreation_claude_v2_3!G111,recreation_claude_v2_2!G111,recreation_claude_v2_1!G111)/COUNT(recreation_claude_v2_5!G111,recreation_claude_v2_4!G111,recreation_claude_v2_3!G111,recreation_claude_v2_2!G111,recreation_claude_v2_1!G111),0), "NA")</f>
        <v>1</v>
      </c>
      <c r="H111">
        <f>IF($E111 = 1, ROUND(SUM(recreation_claude_v2_5!H111,recreation_claude_v2_4!H111,recreation_claude_v2_3!H111,recreation_claude_v2_2!H111,recreation_claude_v2_1!H111)/COUNT(recreation_claude_v2_5!H111,recreation_claude_v2_4!H111,recreation_claude_v2_3!H111,recreation_claude_v2_2!H111,recreation_claude_v2_1!H111),0), "NA")</f>
        <v>1</v>
      </c>
      <c r="I111">
        <f>IF($D111 = 1, ROUND(SUM(recreation_claude_v2_5!I111,recreation_claude_v2_4!I111,recreation_claude_v2_3!I111,recreation_claude_v2_2!I111,recreation_claude_v2_1!I111)/COUNT(recreation_claude_v2_5!I111,recreation_claude_v2_4!I111,recreation_claude_v2_3!I111,recreation_claude_v2_2!I111,recreation_claude_v2_1!I111),0), "NA")</f>
        <v>1</v>
      </c>
      <c r="J111">
        <f>IF(AND($E111 = 1, $F111 = 1), ROUND(SUM(recreation_claude_v2_5!J111,recreation_claude_v2_4!J111,recreation_claude_v2_3!J111,recreation_claude_v2_2!J111,recreation_claude_v2_1!J111)/COUNT(recreation_claude_v2_5!J111,recreation_claude_v2_4!J111,recreation_claude_v2_3!J111,recreation_claude_v2_2!J111,recreation_claude_v2_1!J111),0), "NA")</f>
        <v>1</v>
      </c>
      <c r="K111">
        <f>IF($D111 = 1, ROUND(SUM(recreation_claude_v2_5!K111,recreation_claude_v2_4!K111,recreation_claude_v2_3!K111,recreation_claude_v2_2!K111,recreation_claude_v2_1!K111)/COUNT(recreation_claude_v2_5!K111,recreation_claude_v2_4!K111,recreation_claude_v2_3!K111,recreation_claude_v2_2!K111,recreation_claude_v2_1!K111),0), "NA")</f>
        <v>1</v>
      </c>
      <c r="L111">
        <f>IF($D111 = 1, ROUND(SUM(recreation_claude_v2_5!L111,recreation_claude_v2_4!L111,recreation_claude_v2_3!L111,recreation_claude_v2_2!L111,recreation_claude_v2_1!L111)/COUNT(recreation_claude_v2_5!L111,recreation_claude_v2_4!L111,recreation_claude_v2_3!L111,recreation_claude_v2_2!L111,recreation_claude_v2_1!L111),0), "NA")</f>
        <v>1</v>
      </c>
      <c r="M111">
        <f>IF($D111 = 1, ROUND(SUM(recreation_claude_v2_5!M111,recreation_claude_v2_4!M111,recreation_claude_v2_3!M111,recreation_claude_v2_2!M111,recreation_claude_v2_1!M111)/COUNT(recreation_claude_v2_5!M111,recreation_claude_v2_4!M111,recreation_claude_v2_3!M111,recreation_claude_v2_2!M111,recreation_claude_v2_1!M111),0), "NA")</f>
        <v>1</v>
      </c>
      <c r="N111">
        <f>IF($D111 = 1, ROUND(SUM(recreation_claude_v2_5!N111,recreation_claude_v2_4!N111,recreation_claude_v2_3!N111,recreation_claude_v2_2!N111,recreation_claude_v2_1!N111)/COUNT(recreation_claude_v2_5!N111,recreation_claude_v2_4!N111,recreation_claude_v2_3!N111,recreation_claude_v2_2!N111,recreation_claude_v2_1!N111),0), "NA")</f>
        <v>1</v>
      </c>
      <c r="O111">
        <v>4.8618416786193848</v>
      </c>
    </row>
    <row r="112" spans="1:15" x14ac:dyDescent="0.25">
      <c r="A112" t="s">
        <v>80</v>
      </c>
      <c r="B112" t="s">
        <v>105</v>
      </c>
      <c r="C112">
        <v>0</v>
      </c>
      <c r="D112">
        <f>ROUND(SUM(recreation_claude_v2_5!D112,recreation_claude_v2_4!D112,recreation_claude_v2_3!D112,recreation_claude_v2_2!D112,recreation_claude_v2_1!D112)/COUNT(recreation_claude_v2_5!D112,recreation_claude_v2_4!D112,recreation_claude_v2_3!D112,recreation_claude_v2_2!D112,recreation_claude_v2_1!D112),0)</f>
        <v>1</v>
      </c>
      <c r="E112">
        <f>IF($D112 = 1, ROUND(SUM(recreation_claude_v2_5!E112,recreation_claude_v2_4!E112,recreation_claude_v2_3!E112,recreation_claude_v2_2!E112,recreation_claude_v2_1!E112)/COUNT(recreation_claude_v2_5!E112,recreation_claude_v2_4!E112,recreation_claude_v2_3!E112,recreation_claude_v2_2!E112,recreation_claude_v2_1!E112),0), "NA")</f>
        <v>1</v>
      </c>
      <c r="F112">
        <f>IF($D112 = 1, ROUND(SUM(recreation_claude_v2_5!F112,recreation_claude_v2_4!F112,recreation_claude_v2_3!F112,recreation_claude_v2_2!F112,recreation_claude_v2_1!F112)/COUNT(recreation_claude_v2_5!F112,recreation_claude_v2_4!F112,recreation_claude_v2_3!F112,recreation_claude_v2_2!F112,recreation_claude_v2_1!F112),0), "NA")</f>
        <v>1</v>
      </c>
      <c r="G112">
        <f>IF($D112 = 1, ROUND(SUM(recreation_claude_v2_5!G112,recreation_claude_v2_4!G112,recreation_claude_v2_3!G112,recreation_claude_v2_2!G112,recreation_claude_v2_1!G112)/COUNT(recreation_claude_v2_5!G112,recreation_claude_v2_4!G112,recreation_claude_v2_3!G112,recreation_claude_v2_2!G112,recreation_claude_v2_1!G112),0), "NA")</f>
        <v>1</v>
      </c>
      <c r="H112">
        <f>IF($E112 = 1, ROUND(SUM(recreation_claude_v2_5!H112,recreation_claude_v2_4!H112,recreation_claude_v2_3!H112,recreation_claude_v2_2!H112,recreation_claude_v2_1!H112)/COUNT(recreation_claude_v2_5!H112,recreation_claude_v2_4!H112,recreation_claude_v2_3!H112,recreation_claude_v2_2!H112,recreation_claude_v2_1!H112),0), "NA")</f>
        <v>1</v>
      </c>
      <c r="I112">
        <f>IF($D112 = 1, ROUND(SUM(recreation_claude_v2_5!I112,recreation_claude_v2_4!I112,recreation_claude_v2_3!I112,recreation_claude_v2_2!I112,recreation_claude_v2_1!I112)/COUNT(recreation_claude_v2_5!I112,recreation_claude_v2_4!I112,recreation_claude_v2_3!I112,recreation_claude_v2_2!I112,recreation_claude_v2_1!I112),0), "NA")</f>
        <v>1</v>
      </c>
      <c r="J112">
        <f>IF(AND($E112 = 1, $F112 = 1), ROUND(SUM(recreation_claude_v2_5!J112,recreation_claude_v2_4!J112,recreation_claude_v2_3!J112,recreation_claude_v2_2!J112,recreation_claude_v2_1!J112)/COUNT(recreation_claude_v2_5!J112,recreation_claude_v2_4!J112,recreation_claude_v2_3!J112,recreation_claude_v2_2!J112,recreation_claude_v2_1!J112),0), "NA")</f>
        <v>1</v>
      </c>
      <c r="K112">
        <f>IF($D112 = 1, ROUND(SUM(recreation_claude_v2_5!K112,recreation_claude_v2_4!K112,recreation_claude_v2_3!K112,recreation_claude_v2_2!K112,recreation_claude_v2_1!K112)/COUNT(recreation_claude_v2_5!K112,recreation_claude_v2_4!K112,recreation_claude_v2_3!K112,recreation_claude_v2_2!K112,recreation_claude_v2_1!K112),0), "NA")</f>
        <v>1</v>
      </c>
      <c r="L112">
        <f>IF($D112 = 1, ROUND(SUM(recreation_claude_v2_5!L112,recreation_claude_v2_4!L112,recreation_claude_v2_3!L112,recreation_claude_v2_2!L112,recreation_claude_v2_1!L112)/COUNT(recreation_claude_v2_5!L112,recreation_claude_v2_4!L112,recreation_claude_v2_3!L112,recreation_claude_v2_2!L112,recreation_claude_v2_1!L112),0), "NA")</f>
        <v>1</v>
      </c>
      <c r="M112">
        <f>IF($D112 = 1, ROUND(SUM(recreation_claude_v2_5!M112,recreation_claude_v2_4!M112,recreation_claude_v2_3!M112,recreation_claude_v2_2!M112,recreation_claude_v2_1!M112)/COUNT(recreation_claude_v2_5!M112,recreation_claude_v2_4!M112,recreation_claude_v2_3!M112,recreation_claude_v2_2!M112,recreation_claude_v2_1!M112),0), "NA")</f>
        <v>1</v>
      </c>
      <c r="N112">
        <f>IF($D112 = 1, ROUND(SUM(recreation_claude_v2_5!N112,recreation_claude_v2_4!N112,recreation_claude_v2_3!N112,recreation_claude_v2_2!N112,recreation_claude_v2_1!N112)/COUNT(recreation_claude_v2_5!N112,recreation_claude_v2_4!N112,recreation_claude_v2_3!N112,recreation_claude_v2_2!N112,recreation_claude_v2_1!N112),0), "NA")</f>
        <v>1</v>
      </c>
      <c r="O112">
        <v>1.845596075057983</v>
      </c>
    </row>
    <row r="113" spans="1:15" x14ac:dyDescent="0.25">
      <c r="A113" t="s">
        <v>80</v>
      </c>
      <c r="B113" t="s">
        <v>106</v>
      </c>
      <c r="C113">
        <v>0</v>
      </c>
      <c r="D113">
        <f>ROUND(SUM(recreation_claude_v2_5!D113,recreation_claude_v2_4!D113,recreation_claude_v2_3!D113,recreation_claude_v2_2!D113,recreation_claude_v2_1!D113)/COUNT(recreation_claude_v2_5!D113,recreation_claude_v2_4!D113,recreation_claude_v2_3!D113,recreation_claude_v2_2!D113,recreation_claude_v2_1!D113),0)</f>
        <v>1</v>
      </c>
      <c r="E113">
        <f>IF($D113 = 1, ROUND(SUM(recreation_claude_v2_5!E113,recreation_claude_v2_4!E113,recreation_claude_v2_3!E113,recreation_claude_v2_2!E113,recreation_claude_v2_1!E113)/COUNT(recreation_claude_v2_5!E113,recreation_claude_v2_4!E113,recreation_claude_v2_3!E113,recreation_claude_v2_2!E113,recreation_claude_v2_1!E113),0), "NA")</f>
        <v>1</v>
      </c>
      <c r="F113">
        <f>IF($D113 = 1, ROUND(SUM(recreation_claude_v2_5!F113,recreation_claude_v2_4!F113,recreation_claude_v2_3!F113,recreation_claude_v2_2!F113,recreation_claude_v2_1!F113)/COUNT(recreation_claude_v2_5!F113,recreation_claude_v2_4!F113,recreation_claude_v2_3!F113,recreation_claude_v2_2!F113,recreation_claude_v2_1!F113),0), "NA")</f>
        <v>1</v>
      </c>
      <c r="G113">
        <f>IF($D113 = 1, ROUND(SUM(recreation_claude_v2_5!G113,recreation_claude_v2_4!G113,recreation_claude_v2_3!G113,recreation_claude_v2_2!G113,recreation_claude_v2_1!G113)/COUNT(recreation_claude_v2_5!G113,recreation_claude_v2_4!G113,recreation_claude_v2_3!G113,recreation_claude_v2_2!G113,recreation_claude_v2_1!G113),0), "NA")</f>
        <v>1</v>
      </c>
      <c r="H113">
        <f>IF($E113 = 1, ROUND(SUM(recreation_claude_v2_5!H113,recreation_claude_v2_4!H113,recreation_claude_v2_3!H113,recreation_claude_v2_2!H113,recreation_claude_v2_1!H113)/COUNT(recreation_claude_v2_5!H113,recreation_claude_v2_4!H113,recreation_claude_v2_3!H113,recreation_claude_v2_2!H113,recreation_claude_v2_1!H113),0), "NA")</f>
        <v>1</v>
      </c>
      <c r="I113">
        <f>IF($D113 = 1, ROUND(SUM(recreation_claude_v2_5!I113,recreation_claude_v2_4!I113,recreation_claude_v2_3!I113,recreation_claude_v2_2!I113,recreation_claude_v2_1!I113)/COUNT(recreation_claude_v2_5!I113,recreation_claude_v2_4!I113,recreation_claude_v2_3!I113,recreation_claude_v2_2!I113,recreation_claude_v2_1!I113),0), "NA")</f>
        <v>1</v>
      </c>
      <c r="J113">
        <f>IF(AND($E113 = 1, $F113 = 1), ROUND(SUM(recreation_claude_v2_5!J113,recreation_claude_v2_4!J113,recreation_claude_v2_3!J113,recreation_claude_v2_2!J113,recreation_claude_v2_1!J113)/COUNT(recreation_claude_v2_5!J113,recreation_claude_v2_4!J113,recreation_claude_v2_3!J113,recreation_claude_v2_2!J113,recreation_claude_v2_1!J113),0), "NA")</f>
        <v>1</v>
      </c>
      <c r="K113">
        <f>IF($D113 = 1, ROUND(SUM(recreation_claude_v2_5!K113,recreation_claude_v2_4!K113,recreation_claude_v2_3!K113,recreation_claude_v2_2!K113,recreation_claude_v2_1!K113)/COUNT(recreation_claude_v2_5!K113,recreation_claude_v2_4!K113,recreation_claude_v2_3!K113,recreation_claude_v2_2!K113,recreation_claude_v2_1!K113),0), "NA")</f>
        <v>1</v>
      </c>
      <c r="L113">
        <f>IF($D113 = 1, ROUND(SUM(recreation_claude_v2_5!L113,recreation_claude_v2_4!L113,recreation_claude_v2_3!L113,recreation_claude_v2_2!L113,recreation_claude_v2_1!L113)/COUNT(recreation_claude_v2_5!L113,recreation_claude_v2_4!L113,recreation_claude_v2_3!L113,recreation_claude_v2_2!L113,recreation_claude_v2_1!L113),0), "NA")</f>
        <v>1</v>
      </c>
      <c r="M113">
        <f>IF($D113 = 1, ROUND(SUM(recreation_claude_v2_5!M113,recreation_claude_v2_4!M113,recreation_claude_v2_3!M113,recreation_claude_v2_2!M113,recreation_claude_v2_1!M113)/COUNT(recreation_claude_v2_5!M113,recreation_claude_v2_4!M113,recreation_claude_v2_3!M113,recreation_claude_v2_2!M113,recreation_claude_v2_1!M113),0), "NA")</f>
        <v>1</v>
      </c>
      <c r="N113">
        <f>IF($D113 = 1, ROUND(SUM(recreation_claude_v2_5!N113,recreation_claude_v2_4!N113,recreation_claude_v2_3!N113,recreation_claude_v2_2!N113,recreation_claude_v2_1!N113)/COUNT(recreation_claude_v2_5!N113,recreation_claude_v2_4!N113,recreation_claude_v2_3!N113,recreation_claude_v2_2!N113,recreation_claude_v2_1!N113),0), "NA")</f>
        <v>1</v>
      </c>
      <c r="O113">
        <v>1.5075569152832029</v>
      </c>
    </row>
    <row r="114" spans="1:15" x14ac:dyDescent="0.25">
      <c r="A114" t="s">
        <v>107</v>
      </c>
      <c r="B114" t="s">
        <v>17</v>
      </c>
      <c r="C114">
        <v>0</v>
      </c>
      <c r="D114">
        <f>ROUND(SUM(recreation_claude_v2_5!D114,recreation_claude_v2_4!D114,recreation_claude_v2_3!D114,recreation_claude_v2_2!D114,recreation_claude_v2_1!D114)/COUNT(recreation_claude_v2_5!D114,recreation_claude_v2_4!D114,recreation_claude_v2_3!D114,recreation_claude_v2_2!D114,recreation_claude_v2_1!D114),0)</f>
        <v>1</v>
      </c>
      <c r="E114">
        <f>IF($D114 = 1, ROUND(SUM(recreation_claude_v2_5!E114,recreation_claude_v2_4!E114,recreation_claude_v2_3!E114,recreation_claude_v2_2!E114,recreation_claude_v2_1!E114)/COUNT(recreation_claude_v2_5!E114,recreation_claude_v2_4!E114,recreation_claude_v2_3!E114,recreation_claude_v2_2!E114,recreation_claude_v2_1!E114),0), "NA")</f>
        <v>1</v>
      </c>
      <c r="F114">
        <f>IF($D114 = 1, ROUND(SUM(recreation_claude_v2_5!F114,recreation_claude_v2_4!F114,recreation_claude_v2_3!F114,recreation_claude_v2_2!F114,recreation_claude_v2_1!F114)/COUNT(recreation_claude_v2_5!F114,recreation_claude_v2_4!F114,recreation_claude_v2_3!F114,recreation_claude_v2_2!F114,recreation_claude_v2_1!F114),0), "NA")</f>
        <v>1</v>
      </c>
      <c r="G114">
        <f>IF($D114 = 1, ROUND(SUM(recreation_claude_v2_5!G114,recreation_claude_v2_4!G114,recreation_claude_v2_3!G114,recreation_claude_v2_2!G114,recreation_claude_v2_1!G114)/COUNT(recreation_claude_v2_5!G114,recreation_claude_v2_4!G114,recreation_claude_v2_3!G114,recreation_claude_v2_2!G114,recreation_claude_v2_1!G114),0), "NA")</f>
        <v>1</v>
      </c>
      <c r="H114">
        <f>IF($E114 = 1, ROUND(SUM(recreation_claude_v2_5!H114,recreation_claude_v2_4!H114,recreation_claude_v2_3!H114,recreation_claude_v2_2!H114,recreation_claude_v2_1!H114)/COUNT(recreation_claude_v2_5!H114,recreation_claude_v2_4!H114,recreation_claude_v2_3!H114,recreation_claude_v2_2!H114,recreation_claude_v2_1!H114),0), "NA")</f>
        <v>1</v>
      </c>
      <c r="I114">
        <f>IF($D114 = 1, ROUND(SUM(recreation_claude_v2_5!I114,recreation_claude_v2_4!I114,recreation_claude_v2_3!I114,recreation_claude_v2_2!I114,recreation_claude_v2_1!I114)/COUNT(recreation_claude_v2_5!I114,recreation_claude_v2_4!I114,recreation_claude_v2_3!I114,recreation_claude_v2_2!I114,recreation_claude_v2_1!I114),0), "NA")</f>
        <v>1</v>
      </c>
      <c r="J114">
        <f>IF(AND($E114 = 1, $F114 = 1), ROUND(SUM(recreation_claude_v2_5!J114,recreation_claude_v2_4!J114,recreation_claude_v2_3!J114,recreation_claude_v2_2!J114,recreation_claude_v2_1!J114)/COUNT(recreation_claude_v2_5!J114,recreation_claude_v2_4!J114,recreation_claude_v2_3!J114,recreation_claude_v2_2!J114,recreation_claude_v2_1!J114),0), "NA")</f>
        <v>1</v>
      </c>
      <c r="K114">
        <f>IF($D114 = 1, ROUND(SUM(recreation_claude_v2_5!K114,recreation_claude_v2_4!K114,recreation_claude_v2_3!K114,recreation_claude_v2_2!K114,recreation_claude_v2_1!K114)/COUNT(recreation_claude_v2_5!K114,recreation_claude_v2_4!K114,recreation_claude_v2_3!K114,recreation_claude_v2_2!K114,recreation_claude_v2_1!K114),0), "NA")</f>
        <v>1</v>
      </c>
      <c r="L114">
        <f>IF($D114 = 1, ROUND(SUM(recreation_claude_v2_5!L114,recreation_claude_v2_4!L114,recreation_claude_v2_3!L114,recreation_claude_v2_2!L114,recreation_claude_v2_1!L114)/COUNT(recreation_claude_v2_5!L114,recreation_claude_v2_4!L114,recreation_claude_v2_3!L114,recreation_claude_v2_2!L114,recreation_claude_v2_1!L114),0), "NA")</f>
        <v>1</v>
      </c>
      <c r="M114">
        <f>IF($D114 = 1, ROUND(SUM(recreation_claude_v2_5!M114,recreation_claude_v2_4!M114,recreation_claude_v2_3!M114,recreation_claude_v2_2!M114,recreation_claude_v2_1!M114)/COUNT(recreation_claude_v2_5!M114,recreation_claude_v2_4!M114,recreation_claude_v2_3!M114,recreation_claude_v2_2!M114,recreation_claude_v2_1!M114),0), "NA")</f>
        <v>1</v>
      </c>
      <c r="N114">
        <f>IF($D114 = 1, ROUND(SUM(recreation_claude_v2_5!N114,recreation_claude_v2_4!N114,recreation_claude_v2_3!N114,recreation_claude_v2_2!N114,recreation_claude_v2_1!N114)/COUNT(recreation_claude_v2_5!N114,recreation_claude_v2_4!N114,recreation_claude_v2_3!N114,recreation_claude_v2_2!N114,recreation_claude_v2_1!N114),0), "NA")</f>
        <v>1</v>
      </c>
      <c r="O114">
        <v>2.2025454044342041</v>
      </c>
    </row>
    <row r="115" spans="1:15" x14ac:dyDescent="0.25">
      <c r="A115" t="s">
        <v>107</v>
      </c>
      <c r="B115" t="s">
        <v>18</v>
      </c>
      <c r="C115">
        <v>0</v>
      </c>
      <c r="D115">
        <f>ROUND(SUM(recreation_claude_v2_5!D115,recreation_claude_v2_4!D115,recreation_claude_v2_3!D115,recreation_claude_v2_2!D115,recreation_claude_v2_1!D115)/COUNT(recreation_claude_v2_5!D115,recreation_claude_v2_4!D115,recreation_claude_v2_3!D115,recreation_claude_v2_2!D115,recreation_claude_v2_1!D115),0)</f>
        <v>1</v>
      </c>
      <c r="E115">
        <f>IF($D115 = 1, ROUND(SUM(recreation_claude_v2_5!E115,recreation_claude_v2_4!E115,recreation_claude_v2_3!E115,recreation_claude_v2_2!E115,recreation_claude_v2_1!E115)/COUNT(recreation_claude_v2_5!E115,recreation_claude_v2_4!E115,recreation_claude_v2_3!E115,recreation_claude_v2_2!E115,recreation_claude_v2_1!E115),0), "NA")</f>
        <v>1</v>
      </c>
      <c r="F115">
        <f>IF($D115 = 1, ROUND(SUM(recreation_claude_v2_5!F115,recreation_claude_v2_4!F115,recreation_claude_v2_3!F115,recreation_claude_v2_2!F115,recreation_claude_v2_1!F115)/COUNT(recreation_claude_v2_5!F115,recreation_claude_v2_4!F115,recreation_claude_v2_3!F115,recreation_claude_v2_2!F115,recreation_claude_v2_1!F115),0), "NA")</f>
        <v>1</v>
      </c>
      <c r="G115">
        <f>IF($D115 = 1, ROUND(SUM(recreation_claude_v2_5!G115,recreation_claude_v2_4!G115,recreation_claude_v2_3!G115,recreation_claude_v2_2!G115,recreation_claude_v2_1!G115)/COUNT(recreation_claude_v2_5!G115,recreation_claude_v2_4!G115,recreation_claude_v2_3!G115,recreation_claude_v2_2!G115,recreation_claude_v2_1!G115),0), "NA")</f>
        <v>1</v>
      </c>
      <c r="H115">
        <f>IF($E115 = 1, ROUND(SUM(recreation_claude_v2_5!H115,recreation_claude_v2_4!H115,recreation_claude_v2_3!H115,recreation_claude_v2_2!H115,recreation_claude_v2_1!H115)/COUNT(recreation_claude_v2_5!H115,recreation_claude_v2_4!H115,recreation_claude_v2_3!H115,recreation_claude_v2_2!H115,recreation_claude_v2_1!H115),0), "NA")</f>
        <v>1</v>
      </c>
      <c r="I115">
        <f>IF($D115 = 1, ROUND(SUM(recreation_claude_v2_5!I115,recreation_claude_v2_4!I115,recreation_claude_v2_3!I115,recreation_claude_v2_2!I115,recreation_claude_v2_1!I115)/COUNT(recreation_claude_v2_5!I115,recreation_claude_v2_4!I115,recreation_claude_v2_3!I115,recreation_claude_v2_2!I115,recreation_claude_v2_1!I115),0), "NA")</f>
        <v>1</v>
      </c>
      <c r="J115">
        <f>IF(AND($E115 = 1, $F115 = 1), ROUND(SUM(recreation_claude_v2_5!J115,recreation_claude_v2_4!J115,recreation_claude_v2_3!J115,recreation_claude_v2_2!J115,recreation_claude_v2_1!J115)/COUNT(recreation_claude_v2_5!J115,recreation_claude_v2_4!J115,recreation_claude_v2_3!J115,recreation_claude_v2_2!J115,recreation_claude_v2_1!J115),0), "NA")</f>
        <v>1</v>
      </c>
      <c r="K115">
        <f>IF($D115 = 1, ROUND(SUM(recreation_claude_v2_5!K115,recreation_claude_v2_4!K115,recreation_claude_v2_3!K115,recreation_claude_v2_2!K115,recreation_claude_v2_1!K115)/COUNT(recreation_claude_v2_5!K115,recreation_claude_v2_4!K115,recreation_claude_v2_3!K115,recreation_claude_v2_2!K115,recreation_claude_v2_1!K115),0), "NA")</f>
        <v>1</v>
      </c>
      <c r="L115">
        <f>IF($D115 = 1, ROUND(SUM(recreation_claude_v2_5!L115,recreation_claude_v2_4!L115,recreation_claude_v2_3!L115,recreation_claude_v2_2!L115,recreation_claude_v2_1!L115)/COUNT(recreation_claude_v2_5!L115,recreation_claude_v2_4!L115,recreation_claude_v2_3!L115,recreation_claude_v2_2!L115,recreation_claude_v2_1!L115),0), "NA")</f>
        <v>1</v>
      </c>
      <c r="M115">
        <f>IF($D115 = 1, ROUND(SUM(recreation_claude_v2_5!M115,recreation_claude_v2_4!M115,recreation_claude_v2_3!M115,recreation_claude_v2_2!M115,recreation_claude_v2_1!M115)/COUNT(recreation_claude_v2_5!M115,recreation_claude_v2_4!M115,recreation_claude_v2_3!M115,recreation_claude_v2_2!M115,recreation_claude_v2_1!M115),0), "NA")</f>
        <v>1</v>
      </c>
      <c r="N115">
        <f>IF($D115 = 1, ROUND(SUM(recreation_claude_v2_5!N115,recreation_claude_v2_4!N115,recreation_claude_v2_3!N115,recreation_claude_v2_2!N115,recreation_claude_v2_1!N115)/COUNT(recreation_claude_v2_5!N115,recreation_claude_v2_4!N115,recreation_claude_v2_3!N115,recreation_claude_v2_2!N115,recreation_claude_v2_1!N115),0), "NA")</f>
        <v>1</v>
      </c>
      <c r="O115">
        <v>1.9464783668518071</v>
      </c>
    </row>
    <row r="116" spans="1:15" x14ac:dyDescent="0.25">
      <c r="A116" t="s">
        <v>107</v>
      </c>
      <c r="B116" t="s">
        <v>19</v>
      </c>
      <c r="C116">
        <v>0</v>
      </c>
      <c r="D116">
        <f>ROUND(SUM(recreation_claude_v2_5!D116,recreation_claude_v2_4!D116,recreation_claude_v2_3!D116,recreation_claude_v2_2!D116,recreation_claude_v2_1!D116)/COUNT(recreation_claude_v2_5!D116,recreation_claude_v2_4!D116,recreation_claude_v2_3!D116,recreation_claude_v2_2!D116,recreation_claude_v2_1!D116),0)</f>
        <v>1</v>
      </c>
      <c r="E116">
        <f>IF($D116 = 1, ROUND(SUM(recreation_claude_v2_5!E116,recreation_claude_v2_4!E116,recreation_claude_v2_3!E116,recreation_claude_v2_2!E116,recreation_claude_v2_1!E116)/COUNT(recreation_claude_v2_5!E116,recreation_claude_v2_4!E116,recreation_claude_v2_3!E116,recreation_claude_v2_2!E116,recreation_claude_v2_1!E116),0), "NA")</f>
        <v>0</v>
      </c>
      <c r="F116">
        <f>IF($D116 = 1, ROUND(SUM(recreation_claude_v2_5!F116,recreation_claude_v2_4!F116,recreation_claude_v2_3!F116,recreation_claude_v2_2!F116,recreation_claude_v2_1!F116)/COUNT(recreation_claude_v2_5!F116,recreation_claude_v2_4!F116,recreation_claude_v2_3!F116,recreation_claude_v2_2!F116,recreation_claude_v2_1!F116),0), "NA")</f>
        <v>1</v>
      </c>
      <c r="G116">
        <f>IF($D116 = 1, ROUND(SUM(recreation_claude_v2_5!G116,recreation_claude_v2_4!G116,recreation_claude_v2_3!G116,recreation_claude_v2_2!G116,recreation_claude_v2_1!G116)/COUNT(recreation_claude_v2_5!G116,recreation_claude_v2_4!G116,recreation_claude_v2_3!G116,recreation_claude_v2_2!G116,recreation_claude_v2_1!G116),0), "NA")</f>
        <v>1</v>
      </c>
      <c r="H116" t="str">
        <f>IF($E116 = 1, ROUND(SUM(recreation_claude_v2_5!H116,recreation_claude_v2_4!H116,recreation_claude_v2_3!H116,recreation_claude_v2_2!H116,recreation_claude_v2_1!H116)/COUNT(recreation_claude_v2_5!H116,recreation_claude_v2_4!H116,recreation_claude_v2_3!H116,recreation_claude_v2_2!H116,recreation_claude_v2_1!H116),0), "NA")</f>
        <v>NA</v>
      </c>
      <c r="I116">
        <f>IF($D116 = 1, ROUND(SUM(recreation_claude_v2_5!I116,recreation_claude_v2_4!I116,recreation_claude_v2_3!I116,recreation_claude_v2_2!I116,recreation_claude_v2_1!I116)/COUNT(recreation_claude_v2_5!I116,recreation_claude_v2_4!I116,recreation_claude_v2_3!I116,recreation_claude_v2_2!I116,recreation_claude_v2_1!I116),0), "NA")</f>
        <v>0</v>
      </c>
      <c r="J116" t="str">
        <f>IF(AND($E116 = 1, $F116 = 1), ROUND(SUM(recreation_claude_v2_5!J116,recreation_claude_v2_4!J116,recreation_claude_v2_3!J116,recreation_claude_v2_2!J116,recreation_claude_v2_1!J116)/COUNT(recreation_claude_v2_5!J116,recreation_claude_v2_4!J116,recreation_claude_v2_3!J116,recreation_claude_v2_2!J116,recreation_claude_v2_1!J116),0), "NA")</f>
        <v>NA</v>
      </c>
      <c r="K116">
        <f>IF($D116 = 1, ROUND(SUM(recreation_claude_v2_5!K116,recreation_claude_v2_4!K116,recreation_claude_v2_3!K116,recreation_claude_v2_2!K116,recreation_claude_v2_1!K116)/COUNT(recreation_claude_v2_5!K116,recreation_claude_v2_4!K116,recreation_claude_v2_3!K116,recreation_claude_v2_2!K116,recreation_claude_v2_1!K116),0), "NA")</f>
        <v>1</v>
      </c>
      <c r="L116">
        <f>IF($D116 = 1, ROUND(SUM(recreation_claude_v2_5!L116,recreation_claude_v2_4!L116,recreation_claude_v2_3!L116,recreation_claude_v2_2!L116,recreation_claude_v2_1!L116)/COUNT(recreation_claude_v2_5!L116,recreation_claude_v2_4!L116,recreation_claude_v2_3!L116,recreation_claude_v2_2!L116,recreation_claude_v2_1!L116),0), "NA")</f>
        <v>1</v>
      </c>
      <c r="M116">
        <f>IF($D116 = 1, ROUND(SUM(recreation_claude_v2_5!M116,recreation_claude_v2_4!M116,recreation_claude_v2_3!M116,recreation_claude_v2_2!M116,recreation_claude_v2_1!M116)/COUNT(recreation_claude_v2_5!M116,recreation_claude_v2_4!M116,recreation_claude_v2_3!M116,recreation_claude_v2_2!M116,recreation_claude_v2_1!M116),0), "NA")</f>
        <v>1</v>
      </c>
      <c r="N116">
        <f>IF($D116 = 1, ROUND(SUM(recreation_claude_v2_5!N116,recreation_claude_v2_4!N116,recreation_claude_v2_3!N116,recreation_claude_v2_2!N116,recreation_claude_v2_1!N116)/COUNT(recreation_claude_v2_5!N116,recreation_claude_v2_4!N116,recreation_claude_v2_3!N116,recreation_claude_v2_2!N116,recreation_claude_v2_1!N116),0), "NA")</f>
        <v>1</v>
      </c>
      <c r="O116">
        <v>3.8464488983154301</v>
      </c>
    </row>
    <row r="117" spans="1:15" x14ac:dyDescent="0.25">
      <c r="A117" t="s">
        <v>107</v>
      </c>
      <c r="B117" t="s">
        <v>20</v>
      </c>
      <c r="C117">
        <v>0</v>
      </c>
      <c r="D117">
        <f>ROUND(SUM(recreation_claude_v2_5!D117,recreation_claude_v2_4!D117,recreation_claude_v2_3!D117,recreation_claude_v2_2!D117,recreation_claude_v2_1!D117)/COUNT(recreation_claude_v2_5!D117,recreation_claude_v2_4!D117,recreation_claude_v2_3!D117,recreation_claude_v2_2!D117,recreation_claude_v2_1!D117),0)</f>
        <v>1</v>
      </c>
      <c r="E117">
        <f>IF($D117 = 1, ROUND(SUM(recreation_claude_v2_5!E117,recreation_claude_v2_4!E117,recreation_claude_v2_3!E117,recreation_claude_v2_2!E117,recreation_claude_v2_1!E117)/COUNT(recreation_claude_v2_5!E117,recreation_claude_v2_4!E117,recreation_claude_v2_3!E117,recreation_claude_v2_2!E117,recreation_claude_v2_1!E117),0), "NA")</f>
        <v>1</v>
      </c>
      <c r="F117">
        <f>IF($D117 = 1, ROUND(SUM(recreation_claude_v2_5!F117,recreation_claude_v2_4!F117,recreation_claude_v2_3!F117,recreation_claude_v2_2!F117,recreation_claude_v2_1!F117)/COUNT(recreation_claude_v2_5!F117,recreation_claude_v2_4!F117,recreation_claude_v2_3!F117,recreation_claude_v2_2!F117,recreation_claude_v2_1!F117),0), "NA")</f>
        <v>1</v>
      </c>
      <c r="G117">
        <f>IF($D117 = 1, ROUND(SUM(recreation_claude_v2_5!G117,recreation_claude_v2_4!G117,recreation_claude_v2_3!G117,recreation_claude_v2_2!G117,recreation_claude_v2_1!G117)/COUNT(recreation_claude_v2_5!G117,recreation_claude_v2_4!G117,recreation_claude_v2_3!G117,recreation_claude_v2_2!G117,recreation_claude_v2_1!G117),0), "NA")</f>
        <v>1</v>
      </c>
      <c r="H117">
        <f>IF($E117 = 1, ROUND(SUM(recreation_claude_v2_5!H117,recreation_claude_v2_4!H117,recreation_claude_v2_3!H117,recreation_claude_v2_2!H117,recreation_claude_v2_1!H117)/COUNT(recreation_claude_v2_5!H117,recreation_claude_v2_4!H117,recreation_claude_v2_3!H117,recreation_claude_v2_2!H117,recreation_claude_v2_1!H117),0), "NA")</f>
        <v>1</v>
      </c>
      <c r="I117">
        <f>IF($D117 = 1, ROUND(SUM(recreation_claude_v2_5!I117,recreation_claude_v2_4!I117,recreation_claude_v2_3!I117,recreation_claude_v2_2!I117,recreation_claude_v2_1!I117)/COUNT(recreation_claude_v2_5!I117,recreation_claude_v2_4!I117,recreation_claude_v2_3!I117,recreation_claude_v2_2!I117,recreation_claude_v2_1!I117),0), "NA")</f>
        <v>1</v>
      </c>
      <c r="J117">
        <f>IF(AND($E117 = 1, $F117 = 1), ROUND(SUM(recreation_claude_v2_5!J117,recreation_claude_v2_4!J117,recreation_claude_v2_3!J117,recreation_claude_v2_2!J117,recreation_claude_v2_1!J117)/COUNT(recreation_claude_v2_5!J117,recreation_claude_v2_4!J117,recreation_claude_v2_3!J117,recreation_claude_v2_2!J117,recreation_claude_v2_1!J117),0), "NA")</f>
        <v>1</v>
      </c>
      <c r="K117">
        <f>IF($D117 = 1, ROUND(SUM(recreation_claude_v2_5!K117,recreation_claude_v2_4!K117,recreation_claude_v2_3!K117,recreation_claude_v2_2!K117,recreation_claude_v2_1!K117)/COUNT(recreation_claude_v2_5!K117,recreation_claude_v2_4!K117,recreation_claude_v2_3!K117,recreation_claude_v2_2!K117,recreation_claude_v2_1!K117),0), "NA")</f>
        <v>1</v>
      </c>
      <c r="L117">
        <f>IF($D117 = 1, ROUND(SUM(recreation_claude_v2_5!L117,recreation_claude_v2_4!L117,recreation_claude_v2_3!L117,recreation_claude_v2_2!L117,recreation_claude_v2_1!L117)/COUNT(recreation_claude_v2_5!L117,recreation_claude_v2_4!L117,recreation_claude_v2_3!L117,recreation_claude_v2_2!L117,recreation_claude_v2_1!L117),0), "NA")</f>
        <v>1</v>
      </c>
      <c r="M117">
        <f>IF($D117 = 1, ROUND(SUM(recreation_claude_v2_5!M117,recreation_claude_v2_4!M117,recreation_claude_v2_3!M117,recreation_claude_v2_2!M117,recreation_claude_v2_1!M117)/COUNT(recreation_claude_v2_5!M117,recreation_claude_v2_4!M117,recreation_claude_v2_3!M117,recreation_claude_v2_2!M117,recreation_claude_v2_1!M117),0), "NA")</f>
        <v>1</v>
      </c>
      <c r="N117">
        <f>IF($D117 = 1, ROUND(SUM(recreation_claude_v2_5!N117,recreation_claude_v2_4!N117,recreation_claude_v2_3!N117,recreation_claude_v2_2!N117,recreation_claude_v2_1!N117)/COUNT(recreation_claude_v2_5!N117,recreation_claude_v2_4!N117,recreation_claude_v2_3!N117,recreation_claude_v2_2!N117,recreation_claude_v2_1!N117),0), "NA")</f>
        <v>1</v>
      </c>
      <c r="O117">
        <v>2.1197235584259029</v>
      </c>
    </row>
    <row r="118" spans="1:15" x14ac:dyDescent="0.25">
      <c r="A118" t="s">
        <v>107</v>
      </c>
      <c r="B118" t="s">
        <v>21</v>
      </c>
      <c r="C118">
        <v>0</v>
      </c>
      <c r="D118">
        <f>ROUND(SUM(recreation_claude_v2_5!D118,recreation_claude_v2_4!D118,recreation_claude_v2_3!D118,recreation_claude_v2_2!D118,recreation_claude_v2_1!D118)/COUNT(recreation_claude_v2_5!D118,recreation_claude_v2_4!D118,recreation_claude_v2_3!D118,recreation_claude_v2_2!D118,recreation_claude_v2_1!D118),0)</f>
        <v>1</v>
      </c>
      <c r="E118">
        <f>IF($D118 = 1, ROUND(SUM(recreation_claude_v2_5!E118,recreation_claude_v2_4!E118,recreation_claude_v2_3!E118,recreation_claude_v2_2!E118,recreation_claude_v2_1!E118)/COUNT(recreation_claude_v2_5!E118,recreation_claude_v2_4!E118,recreation_claude_v2_3!E118,recreation_claude_v2_2!E118,recreation_claude_v2_1!E118),0), "NA")</f>
        <v>1</v>
      </c>
      <c r="F118">
        <f>IF($D118 = 1, ROUND(SUM(recreation_claude_v2_5!F118,recreation_claude_v2_4!F118,recreation_claude_v2_3!F118,recreation_claude_v2_2!F118,recreation_claude_v2_1!F118)/COUNT(recreation_claude_v2_5!F118,recreation_claude_v2_4!F118,recreation_claude_v2_3!F118,recreation_claude_v2_2!F118,recreation_claude_v2_1!F118),0), "NA")</f>
        <v>1</v>
      </c>
      <c r="G118">
        <f>IF($D118 = 1, ROUND(SUM(recreation_claude_v2_5!G118,recreation_claude_v2_4!G118,recreation_claude_v2_3!G118,recreation_claude_v2_2!G118,recreation_claude_v2_1!G118)/COUNT(recreation_claude_v2_5!G118,recreation_claude_v2_4!G118,recreation_claude_v2_3!G118,recreation_claude_v2_2!G118,recreation_claude_v2_1!G118),0), "NA")</f>
        <v>1</v>
      </c>
      <c r="H118">
        <f>IF($E118 = 1, ROUND(SUM(recreation_claude_v2_5!H118,recreation_claude_v2_4!H118,recreation_claude_v2_3!H118,recreation_claude_v2_2!H118,recreation_claude_v2_1!H118)/COUNT(recreation_claude_v2_5!H118,recreation_claude_v2_4!H118,recreation_claude_v2_3!H118,recreation_claude_v2_2!H118,recreation_claude_v2_1!H118),0), "NA")</f>
        <v>1</v>
      </c>
      <c r="I118">
        <f>IF($D118 = 1, ROUND(SUM(recreation_claude_v2_5!I118,recreation_claude_v2_4!I118,recreation_claude_v2_3!I118,recreation_claude_v2_2!I118,recreation_claude_v2_1!I118)/COUNT(recreation_claude_v2_5!I118,recreation_claude_v2_4!I118,recreation_claude_v2_3!I118,recreation_claude_v2_2!I118,recreation_claude_v2_1!I118),0), "NA")</f>
        <v>1</v>
      </c>
      <c r="J118">
        <f>IF(AND($E118 = 1, $F118 = 1), ROUND(SUM(recreation_claude_v2_5!J118,recreation_claude_v2_4!J118,recreation_claude_v2_3!J118,recreation_claude_v2_2!J118,recreation_claude_v2_1!J118)/COUNT(recreation_claude_v2_5!J118,recreation_claude_v2_4!J118,recreation_claude_v2_3!J118,recreation_claude_v2_2!J118,recreation_claude_v2_1!J118),0), "NA")</f>
        <v>1</v>
      </c>
      <c r="K118">
        <f>IF($D118 = 1, ROUND(SUM(recreation_claude_v2_5!K118,recreation_claude_v2_4!K118,recreation_claude_v2_3!K118,recreation_claude_v2_2!K118,recreation_claude_v2_1!K118)/COUNT(recreation_claude_v2_5!K118,recreation_claude_v2_4!K118,recreation_claude_v2_3!K118,recreation_claude_v2_2!K118,recreation_claude_v2_1!K118),0), "NA")</f>
        <v>1</v>
      </c>
      <c r="L118">
        <f>IF($D118 = 1, ROUND(SUM(recreation_claude_v2_5!L118,recreation_claude_v2_4!L118,recreation_claude_v2_3!L118,recreation_claude_v2_2!L118,recreation_claude_v2_1!L118)/COUNT(recreation_claude_v2_5!L118,recreation_claude_v2_4!L118,recreation_claude_v2_3!L118,recreation_claude_v2_2!L118,recreation_claude_v2_1!L118),0), "NA")</f>
        <v>1</v>
      </c>
      <c r="M118">
        <f>IF($D118 = 1, ROUND(SUM(recreation_claude_v2_5!M118,recreation_claude_v2_4!M118,recreation_claude_v2_3!M118,recreation_claude_v2_2!M118,recreation_claude_v2_1!M118)/COUNT(recreation_claude_v2_5!M118,recreation_claude_v2_4!M118,recreation_claude_v2_3!M118,recreation_claude_v2_2!M118,recreation_claude_v2_1!M118),0), "NA")</f>
        <v>1</v>
      </c>
      <c r="N118">
        <f>IF($D118 = 1, ROUND(SUM(recreation_claude_v2_5!N118,recreation_claude_v2_4!N118,recreation_claude_v2_3!N118,recreation_claude_v2_2!N118,recreation_claude_v2_1!N118)/COUNT(recreation_claude_v2_5!N118,recreation_claude_v2_4!N118,recreation_claude_v2_3!N118,recreation_claude_v2_2!N118,recreation_claude_v2_1!N118),0), "NA")</f>
        <v>1</v>
      </c>
      <c r="O118">
        <v>2.1166026592254639</v>
      </c>
    </row>
    <row r="119" spans="1:15" x14ac:dyDescent="0.25">
      <c r="A119" t="s">
        <v>107</v>
      </c>
      <c r="B119" t="s">
        <v>22</v>
      </c>
      <c r="C119">
        <v>0</v>
      </c>
      <c r="D119">
        <f>ROUND(SUM(recreation_claude_v2_5!D119,recreation_claude_v2_4!D119,recreation_claude_v2_3!D119,recreation_claude_v2_2!D119,recreation_claude_v2_1!D119)/COUNT(recreation_claude_v2_5!D119,recreation_claude_v2_4!D119,recreation_claude_v2_3!D119,recreation_claude_v2_2!D119,recreation_claude_v2_1!D119),0)</f>
        <v>1</v>
      </c>
      <c r="E119">
        <f>IF($D119 = 1, ROUND(SUM(recreation_claude_v2_5!E119,recreation_claude_v2_4!E119,recreation_claude_v2_3!E119,recreation_claude_v2_2!E119,recreation_claude_v2_1!E119)/COUNT(recreation_claude_v2_5!E119,recreation_claude_v2_4!E119,recreation_claude_v2_3!E119,recreation_claude_v2_2!E119,recreation_claude_v2_1!E119),0), "NA")</f>
        <v>0</v>
      </c>
      <c r="F119">
        <f>IF($D119 = 1, ROUND(SUM(recreation_claude_v2_5!F119,recreation_claude_v2_4!F119,recreation_claude_v2_3!F119,recreation_claude_v2_2!F119,recreation_claude_v2_1!F119)/COUNT(recreation_claude_v2_5!F119,recreation_claude_v2_4!F119,recreation_claude_v2_3!F119,recreation_claude_v2_2!F119,recreation_claude_v2_1!F119),0), "NA")</f>
        <v>1</v>
      </c>
      <c r="G119">
        <f>IF($D119 = 1, ROUND(SUM(recreation_claude_v2_5!G119,recreation_claude_v2_4!G119,recreation_claude_v2_3!G119,recreation_claude_v2_2!G119,recreation_claude_v2_1!G119)/COUNT(recreation_claude_v2_5!G119,recreation_claude_v2_4!G119,recreation_claude_v2_3!G119,recreation_claude_v2_2!G119,recreation_claude_v2_1!G119),0), "NA")</f>
        <v>1</v>
      </c>
      <c r="H119" t="str">
        <f>IF($E119 = 1, ROUND(SUM(recreation_claude_v2_5!H119,recreation_claude_v2_4!H119,recreation_claude_v2_3!H119,recreation_claude_v2_2!H119,recreation_claude_v2_1!H119)/COUNT(recreation_claude_v2_5!H119,recreation_claude_v2_4!H119,recreation_claude_v2_3!H119,recreation_claude_v2_2!H119,recreation_claude_v2_1!H119),0), "NA")</f>
        <v>NA</v>
      </c>
      <c r="I119">
        <f>IF($D119 = 1, ROUND(SUM(recreation_claude_v2_5!I119,recreation_claude_v2_4!I119,recreation_claude_v2_3!I119,recreation_claude_v2_2!I119,recreation_claude_v2_1!I119)/COUNT(recreation_claude_v2_5!I119,recreation_claude_v2_4!I119,recreation_claude_v2_3!I119,recreation_claude_v2_2!I119,recreation_claude_v2_1!I119),0), "NA")</f>
        <v>1</v>
      </c>
      <c r="J119" t="str">
        <f>IF(AND($E119 = 1, $F119 = 1), ROUND(SUM(recreation_claude_v2_5!J119,recreation_claude_v2_4!J119,recreation_claude_v2_3!J119,recreation_claude_v2_2!J119,recreation_claude_v2_1!J119)/COUNT(recreation_claude_v2_5!J119,recreation_claude_v2_4!J119,recreation_claude_v2_3!J119,recreation_claude_v2_2!J119,recreation_claude_v2_1!J119),0), "NA")</f>
        <v>NA</v>
      </c>
      <c r="K119">
        <f>IF($D119 = 1, ROUND(SUM(recreation_claude_v2_5!K119,recreation_claude_v2_4!K119,recreation_claude_v2_3!K119,recreation_claude_v2_2!K119,recreation_claude_v2_1!K119)/COUNT(recreation_claude_v2_5!K119,recreation_claude_v2_4!K119,recreation_claude_v2_3!K119,recreation_claude_v2_2!K119,recreation_claude_v2_1!K119),0), "NA")</f>
        <v>1</v>
      </c>
      <c r="L119">
        <f>IF($D119 = 1, ROUND(SUM(recreation_claude_v2_5!L119,recreation_claude_v2_4!L119,recreation_claude_v2_3!L119,recreation_claude_v2_2!L119,recreation_claude_v2_1!L119)/COUNT(recreation_claude_v2_5!L119,recreation_claude_v2_4!L119,recreation_claude_v2_3!L119,recreation_claude_v2_2!L119,recreation_claude_v2_1!L119),0), "NA")</f>
        <v>1</v>
      </c>
      <c r="M119">
        <f>IF($D119 = 1, ROUND(SUM(recreation_claude_v2_5!M119,recreation_claude_v2_4!M119,recreation_claude_v2_3!M119,recreation_claude_v2_2!M119,recreation_claude_v2_1!M119)/COUNT(recreation_claude_v2_5!M119,recreation_claude_v2_4!M119,recreation_claude_v2_3!M119,recreation_claude_v2_2!M119,recreation_claude_v2_1!M119),0), "NA")</f>
        <v>1</v>
      </c>
      <c r="N119">
        <f>IF($D119 = 1, ROUND(SUM(recreation_claude_v2_5!N119,recreation_claude_v2_4!N119,recreation_claude_v2_3!N119,recreation_claude_v2_2!N119,recreation_claude_v2_1!N119)/COUNT(recreation_claude_v2_5!N119,recreation_claude_v2_4!N119,recreation_claude_v2_3!N119,recreation_claude_v2_2!N119,recreation_claude_v2_1!N119),0), "NA")</f>
        <v>1</v>
      </c>
      <c r="O119">
        <v>2.4438292980194092</v>
      </c>
    </row>
    <row r="120" spans="1:15" x14ac:dyDescent="0.25">
      <c r="A120" t="s">
        <v>107</v>
      </c>
      <c r="B120" t="s">
        <v>23</v>
      </c>
      <c r="C120">
        <v>0</v>
      </c>
      <c r="D120">
        <f>ROUND(SUM(recreation_claude_v2_5!D120,recreation_claude_v2_4!D120,recreation_claude_v2_3!D120,recreation_claude_v2_2!D120,recreation_claude_v2_1!D120)/COUNT(recreation_claude_v2_5!D120,recreation_claude_v2_4!D120,recreation_claude_v2_3!D120,recreation_claude_v2_2!D120,recreation_claude_v2_1!D120),0)</f>
        <v>1</v>
      </c>
      <c r="E120">
        <f>IF($D120 = 1, ROUND(SUM(recreation_claude_v2_5!E120,recreation_claude_v2_4!E120,recreation_claude_v2_3!E120,recreation_claude_v2_2!E120,recreation_claude_v2_1!E120)/COUNT(recreation_claude_v2_5!E120,recreation_claude_v2_4!E120,recreation_claude_v2_3!E120,recreation_claude_v2_2!E120,recreation_claude_v2_1!E120),0), "NA")</f>
        <v>1</v>
      </c>
      <c r="F120">
        <f>IF($D120 = 1, ROUND(SUM(recreation_claude_v2_5!F120,recreation_claude_v2_4!F120,recreation_claude_v2_3!F120,recreation_claude_v2_2!F120,recreation_claude_v2_1!F120)/COUNT(recreation_claude_v2_5!F120,recreation_claude_v2_4!F120,recreation_claude_v2_3!F120,recreation_claude_v2_2!F120,recreation_claude_v2_1!F120),0), "NA")</f>
        <v>1</v>
      </c>
      <c r="G120">
        <f>IF($D120 = 1, ROUND(SUM(recreation_claude_v2_5!G120,recreation_claude_v2_4!G120,recreation_claude_v2_3!G120,recreation_claude_v2_2!G120,recreation_claude_v2_1!G120)/COUNT(recreation_claude_v2_5!G120,recreation_claude_v2_4!G120,recreation_claude_v2_3!G120,recreation_claude_v2_2!G120,recreation_claude_v2_1!G120),0), "NA")</f>
        <v>1</v>
      </c>
      <c r="H120">
        <f>IF($E120 = 1, ROUND(SUM(recreation_claude_v2_5!H120,recreation_claude_v2_4!H120,recreation_claude_v2_3!H120,recreation_claude_v2_2!H120,recreation_claude_v2_1!H120)/COUNT(recreation_claude_v2_5!H120,recreation_claude_v2_4!H120,recreation_claude_v2_3!H120,recreation_claude_v2_2!H120,recreation_claude_v2_1!H120),0), "NA")</f>
        <v>1</v>
      </c>
      <c r="I120">
        <f>IF($D120 = 1, ROUND(SUM(recreation_claude_v2_5!I120,recreation_claude_v2_4!I120,recreation_claude_v2_3!I120,recreation_claude_v2_2!I120,recreation_claude_v2_1!I120)/COUNT(recreation_claude_v2_5!I120,recreation_claude_v2_4!I120,recreation_claude_v2_3!I120,recreation_claude_v2_2!I120,recreation_claude_v2_1!I120),0), "NA")</f>
        <v>1</v>
      </c>
      <c r="J120">
        <f>IF(AND($E120 = 1, $F120 = 1), ROUND(SUM(recreation_claude_v2_5!J120,recreation_claude_v2_4!J120,recreation_claude_v2_3!J120,recreation_claude_v2_2!J120,recreation_claude_v2_1!J120)/COUNT(recreation_claude_v2_5!J120,recreation_claude_v2_4!J120,recreation_claude_v2_3!J120,recreation_claude_v2_2!J120,recreation_claude_v2_1!J120),0), "NA")</f>
        <v>1</v>
      </c>
      <c r="K120">
        <f>IF($D120 = 1, ROUND(SUM(recreation_claude_v2_5!K120,recreation_claude_v2_4!K120,recreation_claude_v2_3!K120,recreation_claude_v2_2!K120,recreation_claude_v2_1!K120)/COUNT(recreation_claude_v2_5!K120,recreation_claude_v2_4!K120,recreation_claude_v2_3!K120,recreation_claude_v2_2!K120,recreation_claude_v2_1!K120),0), "NA")</f>
        <v>1</v>
      </c>
      <c r="L120">
        <f>IF($D120 = 1, ROUND(SUM(recreation_claude_v2_5!L120,recreation_claude_v2_4!L120,recreation_claude_v2_3!L120,recreation_claude_v2_2!L120,recreation_claude_v2_1!L120)/COUNT(recreation_claude_v2_5!L120,recreation_claude_v2_4!L120,recreation_claude_v2_3!L120,recreation_claude_v2_2!L120,recreation_claude_v2_1!L120),0), "NA")</f>
        <v>1</v>
      </c>
      <c r="M120">
        <f>IF($D120 = 1, ROUND(SUM(recreation_claude_v2_5!M120,recreation_claude_v2_4!M120,recreation_claude_v2_3!M120,recreation_claude_v2_2!M120,recreation_claude_v2_1!M120)/COUNT(recreation_claude_v2_5!M120,recreation_claude_v2_4!M120,recreation_claude_v2_3!M120,recreation_claude_v2_2!M120,recreation_claude_v2_1!M120),0), "NA")</f>
        <v>1</v>
      </c>
      <c r="N120">
        <f>IF($D120 = 1, ROUND(SUM(recreation_claude_v2_5!N120,recreation_claude_v2_4!N120,recreation_claude_v2_3!N120,recreation_claude_v2_2!N120,recreation_claude_v2_1!N120)/COUNT(recreation_claude_v2_5!N120,recreation_claude_v2_4!N120,recreation_claude_v2_3!N120,recreation_claude_v2_2!N120,recreation_claude_v2_1!N120),0), "NA")</f>
        <v>1</v>
      </c>
      <c r="O120">
        <v>2.0682075023651119</v>
      </c>
    </row>
    <row r="121" spans="1:15" x14ac:dyDescent="0.25">
      <c r="A121" t="s">
        <v>107</v>
      </c>
      <c r="B121" t="s">
        <v>24</v>
      </c>
      <c r="C121">
        <v>0</v>
      </c>
      <c r="D121">
        <f>ROUND(SUM(recreation_claude_v2_5!D121,recreation_claude_v2_4!D121,recreation_claude_v2_3!D121,recreation_claude_v2_2!D121,recreation_claude_v2_1!D121)/COUNT(recreation_claude_v2_5!D121,recreation_claude_v2_4!D121,recreation_claude_v2_3!D121,recreation_claude_v2_2!D121,recreation_claude_v2_1!D121),0)</f>
        <v>1</v>
      </c>
      <c r="E121">
        <f>IF($D121 = 1, ROUND(SUM(recreation_claude_v2_5!E121,recreation_claude_v2_4!E121,recreation_claude_v2_3!E121,recreation_claude_v2_2!E121,recreation_claude_v2_1!E121)/COUNT(recreation_claude_v2_5!E121,recreation_claude_v2_4!E121,recreation_claude_v2_3!E121,recreation_claude_v2_2!E121,recreation_claude_v2_1!E121),0), "NA")</f>
        <v>1</v>
      </c>
      <c r="F121">
        <f>IF($D121 = 1, ROUND(SUM(recreation_claude_v2_5!F121,recreation_claude_v2_4!F121,recreation_claude_v2_3!F121,recreation_claude_v2_2!F121,recreation_claude_v2_1!F121)/COUNT(recreation_claude_v2_5!F121,recreation_claude_v2_4!F121,recreation_claude_v2_3!F121,recreation_claude_v2_2!F121,recreation_claude_v2_1!F121),0), "NA")</f>
        <v>1</v>
      </c>
      <c r="G121">
        <f>IF($D121 = 1, ROUND(SUM(recreation_claude_v2_5!G121,recreation_claude_v2_4!G121,recreation_claude_v2_3!G121,recreation_claude_v2_2!G121,recreation_claude_v2_1!G121)/COUNT(recreation_claude_v2_5!G121,recreation_claude_v2_4!G121,recreation_claude_v2_3!G121,recreation_claude_v2_2!G121,recreation_claude_v2_1!G121),0), "NA")</f>
        <v>1</v>
      </c>
      <c r="H121">
        <f>IF($E121 = 1, ROUND(SUM(recreation_claude_v2_5!H121,recreation_claude_v2_4!H121,recreation_claude_v2_3!H121,recreation_claude_v2_2!H121,recreation_claude_v2_1!H121)/COUNT(recreation_claude_v2_5!H121,recreation_claude_v2_4!H121,recreation_claude_v2_3!H121,recreation_claude_v2_2!H121,recreation_claude_v2_1!H121),0), "NA")</f>
        <v>1</v>
      </c>
      <c r="I121">
        <f>IF($D121 = 1, ROUND(SUM(recreation_claude_v2_5!I121,recreation_claude_v2_4!I121,recreation_claude_v2_3!I121,recreation_claude_v2_2!I121,recreation_claude_v2_1!I121)/COUNT(recreation_claude_v2_5!I121,recreation_claude_v2_4!I121,recreation_claude_v2_3!I121,recreation_claude_v2_2!I121,recreation_claude_v2_1!I121),0), "NA")</f>
        <v>1</v>
      </c>
      <c r="J121">
        <f>IF(AND($E121 = 1, $F121 = 1), ROUND(SUM(recreation_claude_v2_5!J121,recreation_claude_v2_4!J121,recreation_claude_v2_3!J121,recreation_claude_v2_2!J121,recreation_claude_v2_1!J121)/COUNT(recreation_claude_v2_5!J121,recreation_claude_v2_4!J121,recreation_claude_v2_3!J121,recreation_claude_v2_2!J121,recreation_claude_v2_1!J121),0), "NA")</f>
        <v>1</v>
      </c>
      <c r="K121">
        <f>IF($D121 = 1, ROUND(SUM(recreation_claude_v2_5!K121,recreation_claude_v2_4!K121,recreation_claude_v2_3!K121,recreation_claude_v2_2!K121,recreation_claude_v2_1!K121)/COUNT(recreation_claude_v2_5!K121,recreation_claude_v2_4!K121,recreation_claude_v2_3!K121,recreation_claude_v2_2!K121,recreation_claude_v2_1!K121),0), "NA")</f>
        <v>1</v>
      </c>
      <c r="L121">
        <f>IF($D121 = 1, ROUND(SUM(recreation_claude_v2_5!L121,recreation_claude_v2_4!L121,recreation_claude_v2_3!L121,recreation_claude_v2_2!L121,recreation_claude_v2_1!L121)/COUNT(recreation_claude_v2_5!L121,recreation_claude_v2_4!L121,recreation_claude_v2_3!L121,recreation_claude_v2_2!L121,recreation_claude_v2_1!L121),0), "NA")</f>
        <v>1</v>
      </c>
      <c r="M121">
        <f>IF($D121 = 1, ROUND(SUM(recreation_claude_v2_5!M121,recreation_claude_v2_4!M121,recreation_claude_v2_3!M121,recreation_claude_v2_2!M121,recreation_claude_v2_1!M121)/COUNT(recreation_claude_v2_5!M121,recreation_claude_v2_4!M121,recreation_claude_v2_3!M121,recreation_claude_v2_2!M121,recreation_claude_v2_1!M121),0), "NA")</f>
        <v>1</v>
      </c>
      <c r="N121">
        <f>IF($D121 = 1, ROUND(SUM(recreation_claude_v2_5!N121,recreation_claude_v2_4!N121,recreation_claude_v2_3!N121,recreation_claude_v2_2!N121,recreation_claude_v2_1!N121)/COUNT(recreation_claude_v2_5!N121,recreation_claude_v2_4!N121,recreation_claude_v2_3!N121,recreation_claude_v2_2!N121,recreation_claude_v2_1!N121),0), "NA")</f>
        <v>1</v>
      </c>
      <c r="O121">
        <v>1.75822901725769</v>
      </c>
    </row>
    <row r="122" spans="1:15" x14ac:dyDescent="0.25">
      <c r="A122" t="s">
        <v>107</v>
      </c>
      <c r="B122" t="s">
        <v>25</v>
      </c>
      <c r="C122">
        <v>0</v>
      </c>
      <c r="D122">
        <f>ROUND(SUM(recreation_claude_v2_5!D122,recreation_claude_v2_4!D122,recreation_claude_v2_3!D122,recreation_claude_v2_2!D122,recreation_claude_v2_1!D122)/COUNT(recreation_claude_v2_5!D122,recreation_claude_v2_4!D122,recreation_claude_v2_3!D122,recreation_claude_v2_2!D122,recreation_claude_v2_1!D122),0)</f>
        <v>1</v>
      </c>
      <c r="E122">
        <f>IF($D122 = 1, ROUND(SUM(recreation_claude_v2_5!E122,recreation_claude_v2_4!E122,recreation_claude_v2_3!E122,recreation_claude_v2_2!E122,recreation_claude_v2_1!E122)/COUNT(recreation_claude_v2_5!E122,recreation_claude_v2_4!E122,recreation_claude_v2_3!E122,recreation_claude_v2_2!E122,recreation_claude_v2_1!E122),0), "NA")</f>
        <v>1</v>
      </c>
      <c r="F122">
        <f>IF($D122 = 1, ROUND(SUM(recreation_claude_v2_5!F122,recreation_claude_v2_4!F122,recreation_claude_v2_3!F122,recreation_claude_v2_2!F122,recreation_claude_v2_1!F122)/COUNT(recreation_claude_v2_5!F122,recreation_claude_v2_4!F122,recreation_claude_v2_3!F122,recreation_claude_v2_2!F122,recreation_claude_v2_1!F122),0), "NA")</f>
        <v>1</v>
      </c>
      <c r="G122">
        <f>IF($D122 = 1, ROUND(SUM(recreation_claude_v2_5!G122,recreation_claude_v2_4!G122,recreation_claude_v2_3!G122,recreation_claude_v2_2!G122,recreation_claude_v2_1!G122)/COUNT(recreation_claude_v2_5!G122,recreation_claude_v2_4!G122,recreation_claude_v2_3!G122,recreation_claude_v2_2!G122,recreation_claude_v2_1!G122),0), "NA")</f>
        <v>1</v>
      </c>
      <c r="H122">
        <f>IF($E122 = 1, ROUND(SUM(recreation_claude_v2_5!H122,recreation_claude_v2_4!H122,recreation_claude_v2_3!H122,recreation_claude_v2_2!H122,recreation_claude_v2_1!H122)/COUNT(recreation_claude_v2_5!H122,recreation_claude_v2_4!H122,recreation_claude_v2_3!H122,recreation_claude_v2_2!H122,recreation_claude_v2_1!H122),0), "NA")</f>
        <v>1</v>
      </c>
      <c r="I122">
        <f>IF($D122 = 1, ROUND(SUM(recreation_claude_v2_5!I122,recreation_claude_v2_4!I122,recreation_claude_v2_3!I122,recreation_claude_v2_2!I122,recreation_claude_v2_1!I122)/COUNT(recreation_claude_v2_5!I122,recreation_claude_v2_4!I122,recreation_claude_v2_3!I122,recreation_claude_v2_2!I122,recreation_claude_v2_1!I122),0), "NA")</f>
        <v>1</v>
      </c>
      <c r="J122">
        <f>IF(AND($E122 = 1, $F122 = 1), ROUND(SUM(recreation_claude_v2_5!J122,recreation_claude_v2_4!J122,recreation_claude_v2_3!J122,recreation_claude_v2_2!J122,recreation_claude_v2_1!J122)/COUNT(recreation_claude_v2_5!J122,recreation_claude_v2_4!J122,recreation_claude_v2_3!J122,recreation_claude_v2_2!J122,recreation_claude_v2_1!J122),0), "NA")</f>
        <v>1</v>
      </c>
      <c r="K122">
        <f>IF($D122 = 1, ROUND(SUM(recreation_claude_v2_5!K122,recreation_claude_v2_4!K122,recreation_claude_v2_3!K122,recreation_claude_v2_2!K122,recreation_claude_v2_1!K122)/COUNT(recreation_claude_v2_5!K122,recreation_claude_v2_4!K122,recreation_claude_v2_3!K122,recreation_claude_v2_2!K122,recreation_claude_v2_1!K122),0), "NA")</f>
        <v>1</v>
      </c>
      <c r="L122">
        <f>IF($D122 = 1, ROUND(SUM(recreation_claude_v2_5!L122,recreation_claude_v2_4!L122,recreation_claude_v2_3!L122,recreation_claude_v2_2!L122,recreation_claude_v2_1!L122)/COUNT(recreation_claude_v2_5!L122,recreation_claude_v2_4!L122,recreation_claude_v2_3!L122,recreation_claude_v2_2!L122,recreation_claude_v2_1!L122),0), "NA")</f>
        <v>1</v>
      </c>
      <c r="M122">
        <f>IF($D122 = 1, ROUND(SUM(recreation_claude_v2_5!M122,recreation_claude_v2_4!M122,recreation_claude_v2_3!M122,recreation_claude_v2_2!M122,recreation_claude_v2_1!M122)/COUNT(recreation_claude_v2_5!M122,recreation_claude_v2_4!M122,recreation_claude_v2_3!M122,recreation_claude_v2_2!M122,recreation_claude_v2_1!M122),0), "NA")</f>
        <v>1</v>
      </c>
      <c r="N122">
        <f>IF($D122 = 1, ROUND(SUM(recreation_claude_v2_5!N122,recreation_claude_v2_4!N122,recreation_claude_v2_3!N122,recreation_claude_v2_2!N122,recreation_claude_v2_1!N122)/COUNT(recreation_claude_v2_5!N122,recreation_claude_v2_4!N122,recreation_claude_v2_3!N122,recreation_claude_v2_2!N122,recreation_claude_v2_1!N122),0), "NA")</f>
        <v>1</v>
      </c>
      <c r="O122">
        <v>2.4558336734771729</v>
      </c>
    </row>
    <row r="123" spans="1:15" x14ac:dyDescent="0.25">
      <c r="A123" t="s">
        <v>107</v>
      </c>
      <c r="B123" t="s">
        <v>26</v>
      </c>
      <c r="C123">
        <v>0</v>
      </c>
      <c r="D123">
        <f>ROUND(SUM(recreation_claude_v2_5!D123,recreation_claude_v2_4!D123,recreation_claude_v2_3!D123,recreation_claude_v2_2!D123,recreation_claude_v2_1!D123)/COUNT(recreation_claude_v2_5!D123,recreation_claude_v2_4!D123,recreation_claude_v2_3!D123,recreation_claude_v2_2!D123,recreation_claude_v2_1!D123),0)</f>
        <v>1</v>
      </c>
      <c r="E123">
        <f>IF($D123 = 1, ROUND(SUM(recreation_claude_v2_5!E123,recreation_claude_v2_4!E123,recreation_claude_v2_3!E123,recreation_claude_v2_2!E123,recreation_claude_v2_1!E123)/COUNT(recreation_claude_v2_5!E123,recreation_claude_v2_4!E123,recreation_claude_v2_3!E123,recreation_claude_v2_2!E123,recreation_claude_v2_1!E123),0), "NA")</f>
        <v>0</v>
      </c>
      <c r="F123">
        <f>IF($D123 = 1, ROUND(SUM(recreation_claude_v2_5!F123,recreation_claude_v2_4!F123,recreation_claude_v2_3!F123,recreation_claude_v2_2!F123,recreation_claude_v2_1!F123)/COUNT(recreation_claude_v2_5!F123,recreation_claude_v2_4!F123,recreation_claude_v2_3!F123,recreation_claude_v2_2!F123,recreation_claude_v2_1!F123),0), "NA")</f>
        <v>1</v>
      </c>
      <c r="G123">
        <f>IF($D123 = 1, ROUND(SUM(recreation_claude_v2_5!G123,recreation_claude_v2_4!G123,recreation_claude_v2_3!G123,recreation_claude_v2_2!G123,recreation_claude_v2_1!G123)/COUNT(recreation_claude_v2_5!G123,recreation_claude_v2_4!G123,recreation_claude_v2_3!G123,recreation_claude_v2_2!G123,recreation_claude_v2_1!G123),0), "NA")</f>
        <v>1</v>
      </c>
      <c r="H123" t="str">
        <f>IF($E123 = 1, ROUND(SUM(recreation_claude_v2_5!H123,recreation_claude_v2_4!H123,recreation_claude_v2_3!H123,recreation_claude_v2_2!H123,recreation_claude_v2_1!H123)/COUNT(recreation_claude_v2_5!H123,recreation_claude_v2_4!H123,recreation_claude_v2_3!H123,recreation_claude_v2_2!H123,recreation_claude_v2_1!H123),0), "NA")</f>
        <v>NA</v>
      </c>
      <c r="I123">
        <f>IF($D123 = 1, ROUND(SUM(recreation_claude_v2_5!I123,recreation_claude_v2_4!I123,recreation_claude_v2_3!I123,recreation_claude_v2_2!I123,recreation_claude_v2_1!I123)/COUNT(recreation_claude_v2_5!I123,recreation_claude_v2_4!I123,recreation_claude_v2_3!I123,recreation_claude_v2_2!I123,recreation_claude_v2_1!I123),0), "NA")</f>
        <v>1</v>
      </c>
      <c r="J123" t="str">
        <f>IF(AND($E123 = 1, $F123 = 1), ROUND(SUM(recreation_claude_v2_5!J123,recreation_claude_v2_4!J123,recreation_claude_v2_3!J123,recreation_claude_v2_2!J123,recreation_claude_v2_1!J123)/COUNT(recreation_claude_v2_5!J123,recreation_claude_v2_4!J123,recreation_claude_v2_3!J123,recreation_claude_v2_2!J123,recreation_claude_v2_1!J123),0), "NA")</f>
        <v>NA</v>
      </c>
      <c r="K123">
        <f>IF($D123 = 1, ROUND(SUM(recreation_claude_v2_5!K123,recreation_claude_v2_4!K123,recreation_claude_v2_3!K123,recreation_claude_v2_2!K123,recreation_claude_v2_1!K123)/COUNT(recreation_claude_v2_5!K123,recreation_claude_v2_4!K123,recreation_claude_v2_3!K123,recreation_claude_v2_2!K123,recreation_claude_v2_1!K123),0), "NA")</f>
        <v>1</v>
      </c>
      <c r="L123">
        <f>IF($D123 = 1, ROUND(SUM(recreation_claude_v2_5!L123,recreation_claude_v2_4!L123,recreation_claude_v2_3!L123,recreation_claude_v2_2!L123,recreation_claude_v2_1!L123)/COUNT(recreation_claude_v2_5!L123,recreation_claude_v2_4!L123,recreation_claude_v2_3!L123,recreation_claude_v2_2!L123,recreation_claude_v2_1!L123),0), "NA")</f>
        <v>1</v>
      </c>
      <c r="M123">
        <f>IF($D123 = 1, ROUND(SUM(recreation_claude_v2_5!M123,recreation_claude_v2_4!M123,recreation_claude_v2_3!M123,recreation_claude_v2_2!M123,recreation_claude_v2_1!M123)/COUNT(recreation_claude_v2_5!M123,recreation_claude_v2_4!M123,recreation_claude_v2_3!M123,recreation_claude_v2_2!M123,recreation_claude_v2_1!M123),0), "NA")</f>
        <v>1</v>
      </c>
      <c r="N123">
        <f>IF($D123 = 1, ROUND(SUM(recreation_claude_v2_5!N123,recreation_claude_v2_4!N123,recreation_claude_v2_3!N123,recreation_claude_v2_2!N123,recreation_claude_v2_1!N123)/COUNT(recreation_claude_v2_5!N123,recreation_claude_v2_4!N123,recreation_claude_v2_3!N123,recreation_claude_v2_2!N123,recreation_claude_v2_1!N123),0), "NA")</f>
        <v>1</v>
      </c>
      <c r="O123">
        <v>3.106138944625854</v>
      </c>
    </row>
    <row r="124" spans="1:15" x14ac:dyDescent="0.25">
      <c r="A124" t="s">
        <v>107</v>
      </c>
      <c r="B124" t="s">
        <v>27</v>
      </c>
      <c r="C124">
        <v>0</v>
      </c>
      <c r="D124">
        <f>ROUND(SUM(recreation_claude_v2_5!D124,recreation_claude_v2_4!D124,recreation_claude_v2_3!D124,recreation_claude_v2_2!D124,recreation_claude_v2_1!D124)/COUNT(recreation_claude_v2_5!D124,recreation_claude_v2_4!D124,recreation_claude_v2_3!D124,recreation_claude_v2_2!D124,recreation_claude_v2_1!D124),0)</f>
        <v>1</v>
      </c>
      <c r="E124">
        <f>IF($D124 = 1, ROUND(SUM(recreation_claude_v2_5!E124,recreation_claude_v2_4!E124,recreation_claude_v2_3!E124,recreation_claude_v2_2!E124,recreation_claude_v2_1!E124)/COUNT(recreation_claude_v2_5!E124,recreation_claude_v2_4!E124,recreation_claude_v2_3!E124,recreation_claude_v2_2!E124,recreation_claude_v2_1!E124),0), "NA")</f>
        <v>0</v>
      </c>
      <c r="F124">
        <f>IF($D124 = 1, ROUND(SUM(recreation_claude_v2_5!F124,recreation_claude_v2_4!F124,recreation_claude_v2_3!F124,recreation_claude_v2_2!F124,recreation_claude_v2_1!F124)/COUNT(recreation_claude_v2_5!F124,recreation_claude_v2_4!F124,recreation_claude_v2_3!F124,recreation_claude_v2_2!F124,recreation_claude_v2_1!F124),0), "NA")</f>
        <v>1</v>
      </c>
      <c r="G124">
        <f>IF($D124 = 1, ROUND(SUM(recreation_claude_v2_5!G124,recreation_claude_v2_4!G124,recreation_claude_v2_3!G124,recreation_claude_v2_2!G124,recreation_claude_v2_1!G124)/COUNT(recreation_claude_v2_5!G124,recreation_claude_v2_4!G124,recreation_claude_v2_3!G124,recreation_claude_v2_2!G124,recreation_claude_v2_1!G124),0), "NA")</f>
        <v>1</v>
      </c>
      <c r="H124" t="str">
        <f>IF($E124 = 1, ROUND(SUM(recreation_claude_v2_5!H124,recreation_claude_v2_4!H124,recreation_claude_v2_3!H124,recreation_claude_v2_2!H124,recreation_claude_v2_1!H124)/COUNT(recreation_claude_v2_5!H124,recreation_claude_v2_4!H124,recreation_claude_v2_3!H124,recreation_claude_v2_2!H124,recreation_claude_v2_1!H124),0), "NA")</f>
        <v>NA</v>
      </c>
      <c r="I124">
        <f>IF($D124 = 1, ROUND(SUM(recreation_claude_v2_5!I124,recreation_claude_v2_4!I124,recreation_claude_v2_3!I124,recreation_claude_v2_2!I124,recreation_claude_v2_1!I124)/COUNT(recreation_claude_v2_5!I124,recreation_claude_v2_4!I124,recreation_claude_v2_3!I124,recreation_claude_v2_2!I124,recreation_claude_v2_1!I124),0), "NA")</f>
        <v>1</v>
      </c>
      <c r="J124" t="str">
        <f>IF(AND($E124 = 1, $F124 = 1), ROUND(SUM(recreation_claude_v2_5!J124,recreation_claude_v2_4!J124,recreation_claude_v2_3!J124,recreation_claude_v2_2!J124,recreation_claude_v2_1!J124)/COUNT(recreation_claude_v2_5!J124,recreation_claude_v2_4!J124,recreation_claude_v2_3!J124,recreation_claude_v2_2!J124,recreation_claude_v2_1!J124),0), "NA")</f>
        <v>NA</v>
      </c>
      <c r="K124">
        <f>IF($D124 = 1, ROUND(SUM(recreation_claude_v2_5!K124,recreation_claude_v2_4!K124,recreation_claude_v2_3!K124,recreation_claude_v2_2!K124,recreation_claude_v2_1!K124)/COUNT(recreation_claude_v2_5!K124,recreation_claude_v2_4!K124,recreation_claude_v2_3!K124,recreation_claude_v2_2!K124,recreation_claude_v2_1!K124),0), "NA")</f>
        <v>1</v>
      </c>
      <c r="L124">
        <f>IF($D124 = 1, ROUND(SUM(recreation_claude_v2_5!L124,recreation_claude_v2_4!L124,recreation_claude_v2_3!L124,recreation_claude_v2_2!L124,recreation_claude_v2_1!L124)/COUNT(recreation_claude_v2_5!L124,recreation_claude_v2_4!L124,recreation_claude_v2_3!L124,recreation_claude_v2_2!L124,recreation_claude_v2_1!L124),0), "NA")</f>
        <v>1</v>
      </c>
      <c r="M124">
        <f>IF($D124 = 1, ROUND(SUM(recreation_claude_v2_5!M124,recreation_claude_v2_4!M124,recreation_claude_v2_3!M124,recreation_claude_v2_2!M124,recreation_claude_v2_1!M124)/COUNT(recreation_claude_v2_5!M124,recreation_claude_v2_4!M124,recreation_claude_v2_3!M124,recreation_claude_v2_2!M124,recreation_claude_v2_1!M124),0), "NA")</f>
        <v>1</v>
      </c>
      <c r="N124">
        <f>IF($D124 = 1, ROUND(SUM(recreation_claude_v2_5!N124,recreation_claude_v2_4!N124,recreation_claude_v2_3!N124,recreation_claude_v2_2!N124,recreation_claude_v2_1!N124)/COUNT(recreation_claude_v2_5!N124,recreation_claude_v2_4!N124,recreation_claude_v2_3!N124,recreation_claude_v2_2!N124,recreation_claude_v2_1!N124),0), "NA")</f>
        <v>1</v>
      </c>
      <c r="O124">
        <v>6.3891870975494376</v>
      </c>
    </row>
    <row r="125" spans="1:15" x14ac:dyDescent="0.25">
      <c r="A125" t="s">
        <v>107</v>
      </c>
      <c r="B125" t="s">
        <v>30</v>
      </c>
      <c r="C125">
        <v>0</v>
      </c>
      <c r="D125">
        <f>ROUND(SUM(recreation_claude_v2_5!D125,recreation_claude_v2_4!D125,recreation_claude_v2_3!D125,recreation_claude_v2_2!D125,recreation_claude_v2_1!D125)/COUNT(recreation_claude_v2_5!D125,recreation_claude_v2_4!D125,recreation_claude_v2_3!D125,recreation_claude_v2_2!D125,recreation_claude_v2_1!D125),0)</f>
        <v>1</v>
      </c>
      <c r="E125">
        <f>IF($D125 = 1, ROUND(SUM(recreation_claude_v2_5!E125,recreation_claude_v2_4!E125,recreation_claude_v2_3!E125,recreation_claude_v2_2!E125,recreation_claude_v2_1!E125)/COUNT(recreation_claude_v2_5!E125,recreation_claude_v2_4!E125,recreation_claude_v2_3!E125,recreation_claude_v2_2!E125,recreation_claude_v2_1!E125),0), "NA")</f>
        <v>1</v>
      </c>
      <c r="F125">
        <f>IF($D125 = 1, ROUND(SUM(recreation_claude_v2_5!F125,recreation_claude_v2_4!F125,recreation_claude_v2_3!F125,recreation_claude_v2_2!F125,recreation_claude_v2_1!F125)/COUNT(recreation_claude_v2_5!F125,recreation_claude_v2_4!F125,recreation_claude_v2_3!F125,recreation_claude_v2_2!F125,recreation_claude_v2_1!F125),0), "NA")</f>
        <v>1</v>
      </c>
      <c r="G125">
        <f>IF($D125 = 1, ROUND(SUM(recreation_claude_v2_5!G125,recreation_claude_v2_4!G125,recreation_claude_v2_3!G125,recreation_claude_v2_2!G125,recreation_claude_v2_1!G125)/COUNT(recreation_claude_v2_5!G125,recreation_claude_v2_4!G125,recreation_claude_v2_3!G125,recreation_claude_v2_2!G125,recreation_claude_v2_1!G125),0), "NA")</f>
        <v>1</v>
      </c>
      <c r="H125">
        <f>IF($E125 = 1, ROUND(SUM(recreation_claude_v2_5!H125,recreation_claude_v2_4!H125,recreation_claude_v2_3!H125,recreation_claude_v2_2!H125,recreation_claude_v2_1!H125)/COUNT(recreation_claude_v2_5!H125,recreation_claude_v2_4!H125,recreation_claude_v2_3!H125,recreation_claude_v2_2!H125,recreation_claude_v2_1!H125),0), "NA")</f>
        <v>1</v>
      </c>
      <c r="I125">
        <f>IF($D125 = 1, ROUND(SUM(recreation_claude_v2_5!I125,recreation_claude_v2_4!I125,recreation_claude_v2_3!I125,recreation_claude_v2_2!I125,recreation_claude_v2_1!I125)/COUNT(recreation_claude_v2_5!I125,recreation_claude_v2_4!I125,recreation_claude_v2_3!I125,recreation_claude_v2_2!I125,recreation_claude_v2_1!I125),0), "NA")</f>
        <v>1</v>
      </c>
      <c r="J125">
        <f>IF(AND($E125 = 1, $F125 = 1), ROUND(SUM(recreation_claude_v2_5!J125,recreation_claude_v2_4!J125,recreation_claude_v2_3!J125,recreation_claude_v2_2!J125,recreation_claude_v2_1!J125)/COUNT(recreation_claude_v2_5!J125,recreation_claude_v2_4!J125,recreation_claude_v2_3!J125,recreation_claude_v2_2!J125,recreation_claude_v2_1!J125),0), "NA")</f>
        <v>1</v>
      </c>
      <c r="K125">
        <f>IF($D125 = 1, ROUND(SUM(recreation_claude_v2_5!K125,recreation_claude_v2_4!K125,recreation_claude_v2_3!K125,recreation_claude_v2_2!K125,recreation_claude_v2_1!K125)/COUNT(recreation_claude_v2_5!K125,recreation_claude_v2_4!K125,recreation_claude_v2_3!K125,recreation_claude_v2_2!K125,recreation_claude_v2_1!K125),0), "NA")</f>
        <v>1</v>
      </c>
      <c r="L125">
        <f>IF($D125 = 1, ROUND(SUM(recreation_claude_v2_5!L125,recreation_claude_v2_4!L125,recreation_claude_v2_3!L125,recreation_claude_v2_2!L125,recreation_claude_v2_1!L125)/COUNT(recreation_claude_v2_5!L125,recreation_claude_v2_4!L125,recreation_claude_v2_3!L125,recreation_claude_v2_2!L125,recreation_claude_v2_1!L125),0), "NA")</f>
        <v>1</v>
      </c>
      <c r="M125">
        <f>IF($D125 = 1, ROUND(SUM(recreation_claude_v2_5!M125,recreation_claude_v2_4!M125,recreation_claude_v2_3!M125,recreation_claude_v2_2!M125,recreation_claude_v2_1!M125)/COUNT(recreation_claude_v2_5!M125,recreation_claude_v2_4!M125,recreation_claude_v2_3!M125,recreation_claude_v2_2!M125,recreation_claude_v2_1!M125),0), "NA")</f>
        <v>1</v>
      </c>
      <c r="N125">
        <f>IF($D125 = 1, ROUND(SUM(recreation_claude_v2_5!N125,recreation_claude_v2_4!N125,recreation_claude_v2_3!N125,recreation_claude_v2_2!N125,recreation_claude_v2_1!N125)/COUNT(recreation_claude_v2_5!N125,recreation_claude_v2_4!N125,recreation_claude_v2_3!N125,recreation_claude_v2_2!N125,recreation_claude_v2_1!N125),0), "NA")</f>
        <v>1</v>
      </c>
      <c r="O125">
        <v>1.7100234031677251</v>
      </c>
    </row>
    <row r="126" spans="1:15" x14ac:dyDescent="0.25">
      <c r="A126" t="s">
        <v>107</v>
      </c>
      <c r="B126" t="s">
        <v>31</v>
      </c>
      <c r="C126">
        <v>0</v>
      </c>
      <c r="D126">
        <f>ROUND(SUM(recreation_claude_v2_5!D126,recreation_claude_v2_4!D126,recreation_claude_v2_3!D126,recreation_claude_v2_2!D126,recreation_claude_v2_1!D126)/COUNT(recreation_claude_v2_5!D126,recreation_claude_v2_4!D126,recreation_claude_v2_3!D126,recreation_claude_v2_2!D126,recreation_claude_v2_1!D126),0)</f>
        <v>1</v>
      </c>
      <c r="E126">
        <f>IF($D126 = 1, ROUND(SUM(recreation_claude_v2_5!E126,recreation_claude_v2_4!E126,recreation_claude_v2_3!E126,recreation_claude_v2_2!E126,recreation_claude_v2_1!E126)/COUNT(recreation_claude_v2_5!E126,recreation_claude_v2_4!E126,recreation_claude_v2_3!E126,recreation_claude_v2_2!E126,recreation_claude_v2_1!E126),0), "NA")</f>
        <v>1</v>
      </c>
      <c r="F126">
        <f>IF($D126 = 1, ROUND(SUM(recreation_claude_v2_5!F126,recreation_claude_v2_4!F126,recreation_claude_v2_3!F126,recreation_claude_v2_2!F126,recreation_claude_v2_1!F126)/COUNT(recreation_claude_v2_5!F126,recreation_claude_v2_4!F126,recreation_claude_v2_3!F126,recreation_claude_v2_2!F126,recreation_claude_v2_1!F126),0), "NA")</f>
        <v>1</v>
      </c>
      <c r="G126">
        <f>IF($D126 = 1, ROUND(SUM(recreation_claude_v2_5!G126,recreation_claude_v2_4!G126,recreation_claude_v2_3!G126,recreation_claude_v2_2!G126,recreation_claude_v2_1!G126)/COUNT(recreation_claude_v2_5!G126,recreation_claude_v2_4!G126,recreation_claude_v2_3!G126,recreation_claude_v2_2!G126,recreation_claude_v2_1!G126),0), "NA")</f>
        <v>1</v>
      </c>
      <c r="H126">
        <f>IF($E126 = 1, ROUND(SUM(recreation_claude_v2_5!H126,recreation_claude_v2_4!H126,recreation_claude_v2_3!H126,recreation_claude_v2_2!H126,recreation_claude_v2_1!H126)/COUNT(recreation_claude_v2_5!H126,recreation_claude_v2_4!H126,recreation_claude_v2_3!H126,recreation_claude_v2_2!H126,recreation_claude_v2_1!H126),0), "NA")</f>
        <v>1</v>
      </c>
      <c r="I126">
        <f>IF($D126 = 1, ROUND(SUM(recreation_claude_v2_5!I126,recreation_claude_v2_4!I126,recreation_claude_v2_3!I126,recreation_claude_v2_2!I126,recreation_claude_v2_1!I126)/COUNT(recreation_claude_v2_5!I126,recreation_claude_v2_4!I126,recreation_claude_v2_3!I126,recreation_claude_v2_2!I126,recreation_claude_v2_1!I126),0), "NA")</f>
        <v>1</v>
      </c>
      <c r="J126">
        <f>IF(AND($E126 = 1, $F126 = 1), ROUND(SUM(recreation_claude_v2_5!J126,recreation_claude_v2_4!J126,recreation_claude_v2_3!J126,recreation_claude_v2_2!J126,recreation_claude_v2_1!J126)/COUNT(recreation_claude_v2_5!J126,recreation_claude_v2_4!J126,recreation_claude_v2_3!J126,recreation_claude_v2_2!J126,recreation_claude_v2_1!J126),0), "NA")</f>
        <v>1</v>
      </c>
      <c r="K126">
        <f>IF($D126 = 1, ROUND(SUM(recreation_claude_v2_5!K126,recreation_claude_v2_4!K126,recreation_claude_v2_3!K126,recreation_claude_v2_2!K126,recreation_claude_v2_1!K126)/COUNT(recreation_claude_v2_5!K126,recreation_claude_v2_4!K126,recreation_claude_v2_3!K126,recreation_claude_v2_2!K126,recreation_claude_v2_1!K126),0), "NA")</f>
        <v>1</v>
      </c>
      <c r="L126">
        <f>IF($D126 = 1, ROUND(SUM(recreation_claude_v2_5!L126,recreation_claude_v2_4!L126,recreation_claude_v2_3!L126,recreation_claude_v2_2!L126,recreation_claude_v2_1!L126)/COUNT(recreation_claude_v2_5!L126,recreation_claude_v2_4!L126,recreation_claude_v2_3!L126,recreation_claude_v2_2!L126,recreation_claude_v2_1!L126),0), "NA")</f>
        <v>1</v>
      </c>
      <c r="M126">
        <f>IF($D126 = 1, ROUND(SUM(recreation_claude_v2_5!M126,recreation_claude_v2_4!M126,recreation_claude_v2_3!M126,recreation_claude_v2_2!M126,recreation_claude_v2_1!M126)/COUNT(recreation_claude_v2_5!M126,recreation_claude_v2_4!M126,recreation_claude_v2_3!M126,recreation_claude_v2_2!M126,recreation_claude_v2_1!M126),0), "NA")</f>
        <v>1</v>
      </c>
      <c r="N126">
        <f>IF($D126 = 1, ROUND(SUM(recreation_claude_v2_5!N126,recreation_claude_v2_4!N126,recreation_claude_v2_3!N126,recreation_claude_v2_2!N126,recreation_claude_v2_1!N126)/COUNT(recreation_claude_v2_5!N126,recreation_claude_v2_4!N126,recreation_claude_v2_3!N126,recreation_claude_v2_2!N126,recreation_claude_v2_1!N126),0), "NA")</f>
        <v>1</v>
      </c>
      <c r="O126">
        <v>2.0568609237670898</v>
      </c>
    </row>
    <row r="127" spans="1:15" x14ac:dyDescent="0.25">
      <c r="A127" t="s">
        <v>107</v>
      </c>
      <c r="B127" t="s">
        <v>33</v>
      </c>
      <c r="C127">
        <v>0</v>
      </c>
      <c r="D127">
        <f>ROUND(SUM(recreation_claude_v2_5!D127,recreation_claude_v2_4!D127,recreation_claude_v2_3!D127,recreation_claude_v2_2!D127,recreation_claude_v2_1!D127)/COUNT(recreation_claude_v2_5!D127,recreation_claude_v2_4!D127,recreation_claude_v2_3!D127,recreation_claude_v2_2!D127,recreation_claude_v2_1!D127),0)</f>
        <v>1</v>
      </c>
      <c r="E127">
        <f>IF($D127 = 1, ROUND(SUM(recreation_claude_v2_5!E127,recreation_claude_v2_4!E127,recreation_claude_v2_3!E127,recreation_claude_v2_2!E127,recreation_claude_v2_1!E127)/COUNT(recreation_claude_v2_5!E127,recreation_claude_v2_4!E127,recreation_claude_v2_3!E127,recreation_claude_v2_2!E127,recreation_claude_v2_1!E127),0), "NA")</f>
        <v>1</v>
      </c>
      <c r="F127">
        <f>IF($D127 = 1, ROUND(SUM(recreation_claude_v2_5!F127,recreation_claude_v2_4!F127,recreation_claude_v2_3!F127,recreation_claude_v2_2!F127,recreation_claude_v2_1!F127)/COUNT(recreation_claude_v2_5!F127,recreation_claude_v2_4!F127,recreation_claude_v2_3!F127,recreation_claude_v2_2!F127,recreation_claude_v2_1!F127),0), "NA")</f>
        <v>1</v>
      </c>
      <c r="G127">
        <f>IF($D127 = 1, ROUND(SUM(recreation_claude_v2_5!G127,recreation_claude_v2_4!G127,recreation_claude_v2_3!G127,recreation_claude_v2_2!G127,recreation_claude_v2_1!G127)/COUNT(recreation_claude_v2_5!G127,recreation_claude_v2_4!G127,recreation_claude_v2_3!G127,recreation_claude_v2_2!G127,recreation_claude_v2_1!G127),0), "NA")</f>
        <v>1</v>
      </c>
      <c r="H127">
        <f>IF($E127 = 1, ROUND(SUM(recreation_claude_v2_5!H127,recreation_claude_v2_4!H127,recreation_claude_v2_3!H127,recreation_claude_v2_2!H127,recreation_claude_v2_1!H127)/COUNT(recreation_claude_v2_5!H127,recreation_claude_v2_4!H127,recreation_claude_v2_3!H127,recreation_claude_v2_2!H127,recreation_claude_v2_1!H127),0), "NA")</f>
        <v>1</v>
      </c>
      <c r="I127">
        <f>IF($D127 = 1, ROUND(SUM(recreation_claude_v2_5!I127,recreation_claude_v2_4!I127,recreation_claude_v2_3!I127,recreation_claude_v2_2!I127,recreation_claude_v2_1!I127)/COUNT(recreation_claude_v2_5!I127,recreation_claude_v2_4!I127,recreation_claude_v2_3!I127,recreation_claude_v2_2!I127,recreation_claude_v2_1!I127),0), "NA")</f>
        <v>1</v>
      </c>
      <c r="J127">
        <f>IF(AND($E127 = 1, $F127 = 1), ROUND(SUM(recreation_claude_v2_5!J127,recreation_claude_v2_4!J127,recreation_claude_v2_3!J127,recreation_claude_v2_2!J127,recreation_claude_v2_1!J127)/COUNT(recreation_claude_v2_5!J127,recreation_claude_v2_4!J127,recreation_claude_v2_3!J127,recreation_claude_v2_2!J127,recreation_claude_v2_1!J127),0), "NA")</f>
        <v>1</v>
      </c>
      <c r="K127">
        <f>IF($D127 = 1, ROUND(SUM(recreation_claude_v2_5!K127,recreation_claude_v2_4!K127,recreation_claude_v2_3!K127,recreation_claude_v2_2!K127,recreation_claude_v2_1!K127)/COUNT(recreation_claude_v2_5!K127,recreation_claude_v2_4!K127,recreation_claude_v2_3!K127,recreation_claude_v2_2!K127,recreation_claude_v2_1!K127),0), "NA")</f>
        <v>1</v>
      </c>
      <c r="L127">
        <f>IF($D127 = 1, ROUND(SUM(recreation_claude_v2_5!L127,recreation_claude_v2_4!L127,recreation_claude_v2_3!L127,recreation_claude_v2_2!L127,recreation_claude_v2_1!L127)/COUNT(recreation_claude_v2_5!L127,recreation_claude_v2_4!L127,recreation_claude_v2_3!L127,recreation_claude_v2_2!L127,recreation_claude_v2_1!L127),0), "NA")</f>
        <v>1</v>
      </c>
      <c r="M127">
        <f>IF($D127 = 1, ROUND(SUM(recreation_claude_v2_5!M127,recreation_claude_v2_4!M127,recreation_claude_v2_3!M127,recreation_claude_v2_2!M127,recreation_claude_v2_1!M127)/COUNT(recreation_claude_v2_5!M127,recreation_claude_v2_4!M127,recreation_claude_v2_3!M127,recreation_claude_v2_2!M127,recreation_claude_v2_1!M127),0), "NA")</f>
        <v>1</v>
      </c>
      <c r="N127">
        <f>IF($D127 = 1, ROUND(SUM(recreation_claude_v2_5!N127,recreation_claude_v2_4!N127,recreation_claude_v2_3!N127,recreation_claude_v2_2!N127,recreation_claude_v2_1!N127)/COUNT(recreation_claude_v2_5!N127,recreation_claude_v2_4!N127,recreation_claude_v2_3!N127,recreation_claude_v2_2!N127,recreation_claude_v2_1!N127),0), "NA")</f>
        <v>1</v>
      </c>
      <c r="O127">
        <v>2.0161573886871338</v>
      </c>
    </row>
    <row r="128" spans="1:15" x14ac:dyDescent="0.25">
      <c r="A128" t="s">
        <v>107</v>
      </c>
      <c r="B128" t="s">
        <v>34</v>
      </c>
      <c r="C128">
        <v>0</v>
      </c>
      <c r="D128">
        <f>ROUND(SUM(recreation_claude_v2_5!D128,recreation_claude_v2_4!D128,recreation_claude_v2_3!D128,recreation_claude_v2_2!D128,recreation_claude_v2_1!D128)/COUNT(recreation_claude_v2_5!D128,recreation_claude_v2_4!D128,recreation_claude_v2_3!D128,recreation_claude_v2_2!D128,recreation_claude_v2_1!D128),0)</f>
        <v>1</v>
      </c>
      <c r="E128">
        <f>IF($D128 = 1, ROUND(SUM(recreation_claude_v2_5!E128,recreation_claude_v2_4!E128,recreation_claude_v2_3!E128,recreation_claude_v2_2!E128,recreation_claude_v2_1!E128)/COUNT(recreation_claude_v2_5!E128,recreation_claude_v2_4!E128,recreation_claude_v2_3!E128,recreation_claude_v2_2!E128,recreation_claude_v2_1!E128),0), "NA")</f>
        <v>1</v>
      </c>
      <c r="F128">
        <f>IF($D128 = 1, ROUND(SUM(recreation_claude_v2_5!F128,recreation_claude_v2_4!F128,recreation_claude_v2_3!F128,recreation_claude_v2_2!F128,recreation_claude_v2_1!F128)/COUNT(recreation_claude_v2_5!F128,recreation_claude_v2_4!F128,recreation_claude_v2_3!F128,recreation_claude_v2_2!F128,recreation_claude_v2_1!F128),0), "NA")</f>
        <v>1</v>
      </c>
      <c r="G128">
        <f>IF($D128 = 1, ROUND(SUM(recreation_claude_v2_5!G128,recreation_claude_v2_4!G128,recreation_claude_v2_3!G128,recreation_claude_v2_2!G128,recreation_claude_v2_1!G128)/COUNT(recreation_claude_v2_5!G128,recreation_claude_v2_4!G128,recreation_claude_v2_3!G128,recreation_claude_v2_2!G128,recreation_claude_v2_1!G128),0), "NA")</f>
        <v>1</v>
      </c>
      <c r="H128">
        <f>IF($E128 = 1, ROUND(SUM(recreation_claude_v2_5!H128,recreation_claude_v2_4!H128,recreation_claude_v2_3!H128,recreation_claude_v2_2!H128,recreation_claude_v2_1!H128)/COUNT(recreation_claude_v2_5!H128,recreation_claude_v2_4!H128,recreation_claude_v2_3!H128,recreation_claude_v2_2!H128,recreation_claude_v2_1!H128),0), "NA")</f>
        <v>1</v>
      </c>
      <c r="I128">
        <f>IF($D128 = 1, ROUND(SUM(recreation_claude_v2_5!I128,recreation_claude_v2_4!I128,recreation_claude_v2_3!I128,recreation_claude_v2_2!I128,recreation_claude_v2_1!I128)/COUNT(recreation_claude_v2_5!I128,recreation_claude_v2_4!I128,recreation_claude_v2_3!I128,recreation_claude_v2_2!I128,recreation_claude_v2_1!I128),0), "NA")</f>
        <v>1</v>
      </c>
      <c r="J128">
        <f>IF(AND($E128 = 1, $F128 = 1), ROUND(SUM(recreation_claude_v2_5!J128,recreation_claude_v2_4!J128,recreation_claude_v2_3!J128,recreation_claude_v2_2!J128,recreation_claude_v2_1!J128)/COUNT(recreation_claude_v2_5!J128,recreation_claude_v2_4!J128,recreation_claude_v2_3!J128,recreation_claude_v2_2!J128,recreation_claude_v2_1!J128),0), "NA")</f>
        <v>1</v>
      </c>
      <c r="K128">
        <f>IF($D128 = 1, ROUND(SUM(recreation_claude_v2_5!K128,recreation_claude_v2_4!K128,recreation_claude_v2_3!K128,recreation_claude_v2_2!K128,recreation_claude_v2_1!K128)/COUNT(recreation_claude_v2_5!K128,recreation_claude_v2_4!K128,recreation_claude_v2_3!K128,recreation_claude_v2_2!K128,recreation_claude_v2_1!K128),0), "NA")</f>
        <v>1</v>
      </c>
      <c r="L128">
        <f>IF($D128 = 1, ROUND(SUM(recreation_claude_v2_5!L128,recreation_claude_v2_4!L128,recreation_claude_v2_3!L128,recreation_claude_v2_2!L128,recreation_claude_v2_1!L128)/COUNT(recreation_claude_v2_5!L128,recreation_claude_v2_4!L128,recreation_claude_v2_3!L128,recreation_claude_v2_2!L128,recreation_claude_v2_1!L128),0), "NA")</f>
        <v>1</v>
      </c>
      <c r="M128">
        <f>IF($D128 = 1, ROUND(SUM(recreation_claude_v2_5!M128,recreation_claude_v2_4!M128,recreation_claude_v2_3!M128,recreation_claude_v2_2!M128,recreation_claude_v2_1!M128)/COUNT(recreation_claude_v2_5!M128,recreation_claude_v2_4!M128,recreation_claude_v2_3!M128,recreation_claude_v2_2!M128,recreation_claude_v2_1!M128),0), "NA")</f>
        <v>1</v>
      </c>
      <c r="N128">
        <f>IF($D128 = 1, ROUND(SUM(recreation_claude_v2_5!N128,recreation_claude_v2_4!N128,recreation_claude_v2_3!N128,recreation_claude_v2_2!N128,recreation_claude_v2_1!N128)/COUNT(recreation_claude_v2_5!N128,recreation_claude_v2_4!N128,recreation_claude_v2_3!N128,recreation_claude_v2_2!N128,recreation_claude_v2_1!N128),0), "NA")</f>
        <v>1</v>
      </c>
      <c r="O128">
        <v>1.4201006889343259</v>
      </c>
    </row>
    <row r="129" spans="1:15" x14ac:dyDescent="0.25">
      <c r="A129" t="s">
        <v>107</v>
      </c>
      <c r="B129" t="s">
        <v>36</v>
      </c>
      <c r="C129">
        <v>0</v>
      </c>
      <c r="D129">
        <f>ROUND(SUM(recreation_claude_v2_5!D129,recreation_claude_v2_4!D129,recreation_claude_v2_3!D129,recreation_claude_v2_2!D129,recreation_claude_v2_1!D129)/COUNT(recreation_claude_v2_5!D129,recreation_claude_v2_4!D129,recreation_claude_v2_3!D129,recreation_claude_v2_2!D129,recreation_claude_v2_1!D129),0)</f>
        <v>1</v>
      </c>
      <c r="E129">
        <f>IF($D129 = 1, ROUND(SUM(recreation_claude_v2_5!E129,recreation_claude_v2_4!E129,recreation_claude_v2_3!E129,recreation_claude_v2_2!E129,recreation_claude_v2_1!E129)/COUNT(recreation_claude_v2_5!E129,recreation_claude_v2_4!E129,recreation_claude_v2_3!E129,recreation_claude_v2_2!E129,recreation_claude_v2_1!E129),0), "NA")</f>
        <v>1</v>
      </c>
      <c r="F129">
        <f>IF($D129 = 1, ROUND(SUM(recreation_claude_v2_5!F129,recreation_claude_v2_4!F129,recreation_claude_v2_3!F129,recreation_claude_v2_2!F129,recreation_claude_v2_1!F129)/COUNT(recreation_claude_v2_5!F129,recreation_claude_v2_4!F129,recreation_claude_v2_3!F129,recreation_claude_v2_2!F129,recreation_claude_v2_1!F129),0), "NA")</f>
        <v>1</v>
      </c>
      <c r="G129">
        <f>IF($D129 = 1, ROUND(SUM(recreation_claude_v2_5!G129,recreation_claude_v2_4!G129,recreation_claude_v2_3!G129,recreation_claude_v2_2!G129,recreation_claude_v2_1!G129)/COUNT(recreation_claude_v2_5!G129,recreation_claude_v2_4!G129,recreation_claude_v2_3!G129,recreation_claude_v2_2!G129,recreation_claude_v2_1!G129),0), "NA")</f>
        <v>1</v>
      </c>
      <c r="H129">
        <f>IF($E129 = 1, ROUND(SUM(recreation_claude_v2_5!H129,recreation_claude_v2_4!H129,recreation_claude_v2_3!H129,recreation_claude_v2_2!H129,recreation_claude_v2_1!H129)/COUNT(recreation_claude_v2_5!H129,recreation_claude_v2_4!H129,recreation_claude_v2_3!H129,recreation_claude_v2_2!H129,recreation_claude_v2_1!H129),0), "NA")</f>
        <v>1</v>
      </c>
      <c r="I129">
        <f>IF($D129 = 1, ROUND(SUM(recreation_claude_v2_5!I129,recreation_claude_v2_4!I129,recreation_claude_v2_3!I129,recreation_claude_v2_2!I129,recreation_claude_v2_1!I129)/COUNT(recreation_claude_v2_5!I129,recreation_claude_v2_4!I129,recreation_claude_v2_3!I129,recreation_claude_v2_2!I129,recreation_claude_v2_1!I129),0), "NA")</f>
        <v>1</v>
      </c>
      <c r="J129">
        <f>IF(AND($E129 = 1, $F129 = 1), ROUND(SUM(recreation_claude_v2_5!J129,recreation_claude_v2_4!J129,recreation_claude_v2_3!J129,recreation_claude_v2_2!J129,recreation_claude_v2_1!J129)/COUNT(recreation_claude_v2_5!J129,recreation_claude_v2_4!J129,recreation_claude_v2_3!J129,recreation_claude_v2_2!J129,recreation_claude_v2_1!J129),0), "NA")</f>
        <v>1</v>
      </c>
      <c r="K129">
        <f>IF($D129 = 1, ROUND(SUM(recreation_claude_v2_5!K129,recreation_claude_v2_4!K129,recreation_claude_v2_3!K129,recreation_claude_v2_2!K129,recreation_claude_v2_1!K129)/COUNT(recreation_claude_v2_5!K129,recreation_claude_v2_4!K129,recreation_claude_v2_3!K129,recreation_claude_v2_2!K129,recreation_claude_v2_1!K129),0), "NA")</f>
        <v>1</v>
      </c>
      <c r="L129">
        <f>IF($D129 = 1, ROUND(SUM(recreation_claude_v2_5!L129,recreation_claude_v2_4!L129,recreation_claude_v2_3!L129,recreation_claude_v2_2!L129,recreation_claude_v2_1!L129)/COUNT(recreation_claude_v2_5!L129,recreation_claude_v2_4!L129,recreation_claude_v2_3!L129,recreation_claude_v2_2!L129,recreation_claude_v2_1!L129),0), "NA")</f>
        <v>1</v>
      </c>
      <c r="M129">
        <f>IF($D129 = 1, ROUND(SUM(recreation_claude_v2_5!M129,recreation_claude_v2_4!M129,recreation_claude_v2_3!M129,recreation_claude_v2_2!M129,recreation_claude_v2_1!M129)/COUNT(recreation_claude_v2_5!M129,recreation_claude_v2_4!M129,recreation_claude_v2_3!M129,recreation_claude_v2_2!M129,recreation_claude_v2_1!M129),0), "NA")</f>
        <v>1</v>
      </c>
      <c r="N129">
        <f>IF($D129 = 1, ROUND(SUM(recreation_claude_v2_5!N129,recreation_claude_v2_4!N129,recreation_claude_v2_3!N129,recreation_claude_v2_2!N129,recreation_claude_v2_1!N129)/COUNT(recreation_claude_v2_5!N129,recreation_claude_v2_4!N129,recreation_claude_v2_3!N129,recreation_claude_v2_2!N129,recreation_claude_v2_1!N129),0), "NA")</f>
        <v>1</v>
      </c>
      <c r="O129">
        <v>1.640966653823853</v>
      </c>
    </row>
    <row r="130" spans="1:15" x14ac:dyDescent="0.25">
      <c r="A130" t="s">
        <v>107</v>
      </c>
      <c r="B130" t="s">
        <v>37</v>
      </c>
      <c r="C130">
        <v>0</v>
      </c>
      <c r="D130">
        <f>ROUND(SUM(recreation_claude_v2_5!D130,recreation_claude_v2_4!D130,recreation_claude_v2_3!D130,recreation_claude_v2_2!D130,recreation_claude_v2_1!D130)/COUNT(recreation_claude_v2_5!D130,recreation_claude_v2_4!D130,recreation_claude_v2_3!D130,recreation_claude_v2_2!D130,recreation_claude_v2_1!D130),0)</f>
        <v>1</v>
      </c>
      <c r="E130">
        <f>IF($D130 = 1, ROUND(SUM(recreation_claude_v2_5!E130,recreation_claude_v2_4!E130,recreation_claude_v2_3!E130,recreation_claude_v2_2!E130,recreation_claude_v2_1!E130)/COUNT(recreation_claude_v2_5!E130,recreation_claude_v2_4!E130,recreation_claude_v2_3!E130,recreation_claude_v2_2!E130,recreation_claude_v2_1!E130),0), "NA")</f>
        <v>1</v>
      </c>
      <c r="F130">
        <f>IF($D130 = 1, ROUND(SUM(recreation_claude_v2_5!F130,recreation_claude_v2_4!F130,recreation_claude_v2_3!F130,recreation_claude_v2_2!F130,recreation_claude_v2_1!F130)/COUNT(recreation_claude_v2_5!F130,recreation_claude_v2_4!F130,recreation_claude_v2_3!F130,recreation_claude_v2_2!F130,recreation_claude_v2_1!F130),0), "NA")</f>
        <v>1</v>
      </c>
      <c r="G130">
        <f>IF($D130 = 1, ROUND(SUM(recreation_claude_v2_5!G130,recreation_claude_v2_4!G130,recreation_claude_v2_3!G130,recreation_claude_v2_2!G130,recreation_claude_v2_1!G130)/COUNT(recreation_claude_v2_5!G130,recreation_claude_v2_4!G130,recreation_claude_v2_3!G130,recreation_claude_v2_2!G130,recreation_claude_v2_1!G130),0), "NA")</f>
        <v>1</v>
      </c>
      <c r="H130">
        <f>IF($E130 = 1, ROUND(SUM(recreation_claude_v2_5!H130,recreation_claude_v2_4!H130,recreation_claude_v2_3!H130,recreation_claude_v2_2!H130,recreation_claude_v2_1!H130)/COUNT(recreation_claude_v2_5!H130,recreation_claude_v2_4!H130,recreation_claude_v2_3!H130,recreation_claude_v2_2!H130,recreation_claude_v2_1!H130),0), "NA")</f>
        <v>1</v>
      </c>
      <c r="I130">
        <f>IF($D130 = 1, ROUND(SUM(recreation_claude_v2_5!I130,recreation_claude_v2_4!I130,recreation_claude_v2_3!I130,recreation_claude_v2_2!I130,recreation_claude_v2_1!I130)/COUNT(recreation_claude_v2_5!I130,recreation_claude_v2_4!I130,recreation_claude_v2_3!I130,recreation_claude_v2_2!I130,recreation_claude_v2_1!I130),0), "NA")</f>
        <v>1</v>
      </c>
      <c r="J130">
        <f>IF(AND($E130 = 1, $F130 = 1), ROUND(SUM(recreation_claude_v2_5!J130,recreation_claude_v2_4!J130,recreation_claude_v2_3!J130,recreation_claude_v2_2!J130,recreation_claude_v2_1!J130)/COUNT(recreation_claude_v2_5!J130,recreation_claude_v2_4!J130,recreation_claude_v2_3!J130,recreation_claude_v2_2!J130,recreation_claude_v2_1!J130),0), "NA")</f>
        <v>1</v>
      </c>
      <c r="K130">
        <f>IF($D130 = 1, ROUND(SUM(recreation_claude_v2_5!K130,recreation_claude_v2_4!K130,recreation_claude_v2_3!K130,recreation_claude_v2_2!K130,recreation_claude_v2_1!K130)/COUNT(recreation_claude_v2_5!K130,recreation_claude_v2_4!K130,recreation_claude_v2_3!K130,recreation_claude_v2_2!K130,recreation_claude_v2_1!K130),0), "NA")</f>
        <v>1</v>
      </c>
      <c r="L130">
        <f>IF($D130 = 1, ROUND(SUM(recreation_claude_v2_5!L130,recreation_claude_v2_4!L130,recreation_claude_v2_3!L130,recreation_claude_v2_2!L130,recreation_claude_v2_1!L130)/COUNT(recreation_claude_v2_5!L130,recreation_claude_v2_4!L130,recreation_claude_v2_3!L130,recreation_claude_v2_2!L130,recreation_claude_v2_1!L130),0), "NA")</f>
        <v>1</v>
      </c>
      <c r="M130">
        <f>IF($D130 = 1, ROUND(SUM(recreation_claude_v2_5!M130,recreation_claude_v2_4!M130,recreation_claude_v2_3!M130,recreation_claude_v2_2!M130,recreation_claude_v2_1!M130)/COUNT(recreation_claude_v2_5!M130,recreation_claude_v2_4!M130,recreation_claude_v2_3!M130,recreation_claude_v2_2!M130,recreation_claude_v2_1!M130),0), "NA")</f>
        <v>1</v>
      </c>
      <c r="N130">
        <f>IF($D130 = 1, ROUND(SUM(recreation_claude_v2_5!N130,recreation_claude_v2_4!N130,recreation_claude_v2_3!N130,recreation_claude_v2_2!N130,recreation_claude_v2_1!N130)/COUNT(recreation_claude_v2_5!N130,recreation_claude_v2_4!N130,recreation_claude_v2_3!N130,recreation_claude_v2_2!N130,recreation_claude_v2_1!N130),0), "NA")</f>
        <v>1</v>
      </c>
      <c r="O130">
        <v>2.477810382843018</v>
      </c>
    </row>
    <row r="131" spans="1:15" x14ac:dyDescent="0.25">
      <c r="A131" t="s">
        <v>107</v>
      </c>
      <c r="B131" t="s">
        <v>38</v>
      </c>
      <c r="C131">
        <v>0</v>
      </c>
      <c r="D131">
        <f>ROUND(SUM(recreation_claude_v2_5!D131,recreation_claude_v2_4!D131,recreation_claude_v2_3!D131,recreation_claude_v2_2!D131,recreation_claude_v2_1!D131)/COUNT(recreation_claude_v2_5!D131,recreation_claude_v2_4!D131,recreation_claude_v2_3!D131,recreation_claude_v2_2!D131,recreation_claude_v2_1!D131),0)</f>
        <v>1</v>
      </c>
      <c r="E131">
        <f>IF($D131 = 1, ROUND(SUM(recreation_claude_v2_5!E131,recreation_claude_v2_4!E131,recreation_claude_v2_3!E131,recreation_claude_v2_2!E131,recreation_claude_v2_1!E131)/COUNT(recreation_claude_v2_5!E131,recreation_claude_v2_4!E131,recreation_claude_v2_3!E131,recreation_claude_v2_2!E131,recreation_claude_v2_1!E131),0), "NA")</f>
        <v>1</v>
      </c>
      <c r="F131">
        <f>IF($D131 = 1, ROUND(SUM(recreation_claude_v2_5!F131,recreation_claude_v2_4!F131,recreation_claude_v2_3!F131,recreation_claude_v2_2!F131,recreation_claude_v2_1!F131)/COUNT(recreation_claude_v2_5!F131,recreation_claude_v2_4!F131,recreation_claude_v2_3!F131,recreation_claude_v2_2!F131,recreation_claude_v2_1!F131),0), "NA")</f>
        <v>1</v>
      </c>
      <c r="G131">
        <f>IF($D131 = 1, ROUND(SUM(recreation_claude_v2_5!G131,recreation_claude_v2_4!G131,recreation_claude_v2_3!G131,recreation_claude_v2_2!G131,recreation_claude_v2_1!G131)/COUNT(recreation_claude_v2_5!G131,recreation_claude_v2_4!G131,recreation_claude_v2_3!G131,recreation_claude_v2_2!G131,recreation_claude_v2_1!G131),0), "NA")</f>
        <v>1</v>
      </c>
      <c r="H131">
        <f>IF($E131 = 1, ROUND(SUM(recreation_claude_v2_5!H131,recreation_claude_v2_4!H131,recreation_claude_v2_3!H131,recreation_claude_v2_2!H131,recreation_claude_v2_1!H131)/COUNT(recreation_claude_v2_5!H131,recreation_claude_v2_4!H131,recreation_claude_v2_3!H131,recreation_claude_v2_2!H131,recreation_claude_v2_1!H131),0), "NA")</f>
        <v>1</v>
      </c>
      <c r="I131">
        <f>IF($D131 = 1, ROUND(SUM(recreation_claude_v2_5!I131,recreation_claude_v2_4!I131,recreation_claude_v2_3!I131,recreation_claude_v2_2!I131,recreation_claude_v2_1!I131)/COUNT(recreation_claude_v2_5!I131,recreation_claude_v2_4!I131,recreation_claude_v2_3!I131,recreation_claude_v2_2!I131,recreation_claude_v2_1!I131),0), "NA")</f>
        <v>1</v>
      </c>
      <c r="J131">
        <f>IF(AND($E131 = 1, $F131 = 1), ROUND(SUM(recreation_claude_v2_5!J131,recreation_claude_v2_4!J131,recreation_claude_v2_3!J131,recreation_claude_v2_2!J131,recreation_claude_v2_1!J131)/COUNT(recreation_claude_v2_5!J131,recreation_claude_v2_4!J131,recreation_claude_v2_3!J131,recreation_claude_v2_2!J131,recreation_claude_v2_1!J131),0), "NA")</f>
        <v>1</v>
      </c>
      <c r="K131">
        <f>IF($D131 = 1, ROUND(SUM(recreation_claude_v2_5!K131,recreation_claude_v2_4!K131,recreation_claude_v2_3!K131,recreation_claude_v2_2!K131,recreation_claude_v2_1!K131)/COUNT(recreation_claude_v2_5!K131,recreation_claude_v2_4!K131,recreation_claude_v2_3!K131,recreation_claude_v2_2!K131,recreation_claude_v2_1!K131),0), "NA")</f>
        <v>1</v>
      </c>
      <c r="L131">
        <f>IF($D131 = 1, ROUND(SUM(recreation_claude_v2_5!L131,recreation_claude_v2_4!L131,recreation_claude_v2_3!L131,recreation_claude_v2_2!L131,recreation_claude_v2_1!L131)/COUNT(recreation_claude_v2_5!L131,recreation_claude_v2_4!L131,recreation_claude_v2_3!L131,recreation_claude_v2_2!L131,recreation_claude_v2_1!L131),0), "NA")</f>
        <v>1</v>
      </c>
      <c r="M131">
        <f>IF($D131 = 1, ROUND(SUM(recreation_claude_v2_5!M131,recreation_claude_v2_4!M131,recreation_claude_v2_3!M131,recreation_claude_v2_2!M131,recreation_claude_v2_1!M131)/COUNT(recreation_claude_v2_5!M131,recreation_claude_v2_4!M131,recreation_claude_v2_3!M131,recreation_claude_v2_2!M131,recreation_claude_v2_1!M131),0), "NA")</f>
        <v>1</v>
      </c>
      <c r="N131">
        <f>IF($D131 = 1, ROUND(SUM(recreation_claude_v2_5!N131,recreation_claude_v2_4!N131,recreation_claude_v2_3!N131,recreation_claude_v2_2!N131,recreation_claude_v2_1!N131)/COUNT(recreation_claude_v2_5!N131,recreation_claude_v2_4!N131,recreation_claude_v2_3!N131,recreation_claude_v2_2!N131,recreation_claude_v2_1!N131),0), "NA")</f>
        <v>1</v>
      </c>
      <c r="O131">
        <v>1.575514078140259</v>
      </c>
    </row>
    <row r="132" spans="1:15" x14ac:dyDescent="0.25">
      <c r="A132" t="s">
        <v>107</v>
      </c>
      <c r="B132" t="s">
        <v>39</v>
      </c>
      <c r="C132">
        <v>0</v>
      </c>
      <c r="D132">
        <f>ROUND(SUM(recreation_claude_v2_5!D132,recreation_claude_v2_4!D132,recreation_claude_v2_3!D132,recreation_claude_v2_2!D132,recreation_claude_v2_1!D132)/COUNT(recreation_claude_v2_5!D132,recreation_claude_v2_4!D132,recreation_claude_v2_3!D132,recreation_claude_v2_2!D132,recreation_claude_v2_1!D132),0)</f>
        <v>1</v>
      </c>
      <c r="E132">
        <f>IF($D132 = 1, ROUND(SUM(recreation_claude_v2_5!E132,recreation_claude_v2_4!E132,recreation_claude_v2_3!E132,recreation_claude_v2_2!E132,recreation_claude_v2_1!E132)/COUNT(recreation_claude_v2_5!E132,recreation_claude_v2_4!E132,recreation_claude_v2_3!E132,recreation_claude_v2_2!E132,recreation_claude_v2_1!E132),0), "NA")</f>
        <v>1</v>
      </c>
      <c r="F132">
        <f>IF($D132 = 1, ROUND(SUM(recreation_claude_v2_5!F132,recreation_claude_v2_4!F132,recreation_claude_v2_3!F132,recreation_claude_v2_2!F132,recreation_claude_v2_1!F132)/COUNT(recreation_claude_v2_5!F132,recreation_claude_v2_4!F132,recreation_claude_v2_3!F132,recreation_claude_v2_2!F132,recreation_claude_v2_1!F132),0), "NA")</f>
        <v>1</v>
      </c>
      <c r="G132">
        <f>IF($D132 = 1, ROUND(SUM(recreation_claude_v2_5!G132,recreation_claude_v2_4!G132,recreation_claude_v2_3!G132,recreation_claude_v2_2!G132,recreation_claude_v2_1!G132)/COUNT(recreation_claude_v2_5!G132,recreation_claude_v2_4!G132,recreation_claude_v2_3!G132,recreation_claude_v2_2!G132,recreation_claude_v2_1!G132),0), "NA")</f>
        <v>1</v>
      </c>
      <c r="H132">
        <f>IF($E132 = 1, ROUND(SUM(recreation_claude_v2_5!H132,recreation_claude_v2_4!H132,recreation_claude_v2_3!H132,recreation_claude_v2_2!H132,recreation_claude_v2_1!H132)/COUNT(recreation_claude_v2_5!H132,recreation_claude_v2_4!H132,recreation_claude_v2_3!H132,recreation_claude_v2_2!H132,recreation_claude_v2_1!H132),0), "NA")</f>
        <v>1</v>
      </c>
      <c r="I132">
        <f>IF($D132 = 1, ROUND(SUM(recreation_claude_v2_5!I132,recreation_claude_v2_4!I132,recreation_claude_v2_3!I132,recreation_claude_v2_2!I132,recreation_claude_v2_1!I132)/COUNT(recreation_claude_v2_5!I132,recreation_claude_v2_4!I132,recreation_claude_v2_3!I132,recreation_claude_v2_2!I132,recreation_claude_v2_1!I132),0), "NA")</f>
        <v>1</v>
      </c>
      <c r="J132">
        <f>IF(AND($E132 = 1, $F132 = 1), ROUND(SUM(recreation_claude_v2_5!J132,recreation_claude_v2_4!J132,recreation_claude_v2_3!J132,recreation_claude_v2_2!J132,recreation_claude_v2_1!J132)/COUNT(recreation_claude_v2_5!J132,recreation_claude_v2_4!J132,recreation_claude_v2_3!J132,recreation_claude_v2_2!J132,recreation_claude_v2_1!J132),0), "NA")</f>
        <v>1</v>
      </c>
      <c r="K132">
        <f>IF($D132 = 1, ROUND(SUM(recreation_claude_v2_5!K132,recreation_claude_v2_4!K132,recreation_claude_v2_3!K132,recreation_claude_v2_2!K132,recreation_claude_v2_1!K132)/COUNT(recreation_claude_v2_5!K132,recreation_claude_v2_4!K132,recreation_claude_v2_3!K132,recreation_claude_v2_2!K132,recreation_claude_v2_1!K132),0), "NA")</f>
        <v>1</v>
      </c>
      <c r="L132">
        <f>IF($D132 = 1, ROUND(SUM(recreation_claude_v2_5!L132,recreation_claude_v2_4!L132,recreation_claude_v2_3!L132,recreation_claude_v2_2!L132,recreation_claude_v2_1!L132)/COUNT(recreation_claude_v2_5!L132,recreation_claude_v2_4!L132,recreation_claude_v2_3!L132,recreation_claude_v2_2!L132,recreation_claude_v2_1!L132),0), "NA")</f>
        <v>1</v>
      </c>
      <c r="M132">
        <f>IF($D132 = 1, ROUND(SUM(recreation_claude_v2_5!M132,recreation_claude_v2_4!M132,recreation_claude_v2_3!M132,recreation_claude_v2_2!M132,recreation_claude_v2_1!M132)/COUNT(recreation_claude_v2_5!M132,recreation_claude_v2_4!M132,recreation_claude_v2_3!M132,recreation_claude_v2_2!M132,recreation_claude_v2_1!M132),0), "NA")</f>
        <v>1</v>
      </c>
      <c r="N132">
        <f>IF($D132 = 1, ROUND(SUM(recreation_claude_v2_5!N132,recreation_claude_v2_4!N132,recreation_claude_v2_3!N132,recreation_claude_v2_2!N132,recreation_claude_v2_1!N132)/COUNT(recreation_claude_v2_5!N132,recreation_claude_v2_4!N132,recreation_claude_v2_3!N132,recreation_claude_v2_2!N132,recreation_claude_v2_1!N132),0), "NA")</f>
        <v>1</v>
      </c>
      <c r="O132">
        <v>1.5680263042449949</v>
      </c>
    </row>
    <row r="133" spans="1:15" x14ac:dyDescent="0.25">
      <c r="A133" t="s">
        <v>107</v>
      </c>
      <c r="B133" t="s">
        <v>40</v>
      </c>
      <c r="C133">
        <v>0</v>
      </c>
      <c r="D133">
        <f>ROUND(SUM(recreation_claude_v2_5!D133,recreation_claude_v2_4!D133,recreation_claude_v2_3!D133,recreation_claude_v2_2!D133,recreation_claude_v2_1!D133)/COUNT(recreation_claude_v2_5!D133,recreation_claude_v2_4!D133,recreation_claude_v2_3!D133,recreation_claude_v2_2!D133,recreation_claude_v2_1!D133),0)</f>
        <v>1</v>
      </c>
      <c r="E133">
        <f>IF($D133 = 1, ROUND(SUM(recreation_claude_v2_5!E133,recreation_claude_v2_4!E133,recreation_claude_v2_3!E133,recreation_claude_v2_2!E133,recreation_claude_v2_1!E133)/COUNT(recreation_claude_v2_5!E133,recreation_claude_v2_4!E133,recreation_claude_v2_3!E133,recreation_claude_v2_2!E133,recreation_claude_v2_1!E133),0), "NA")</f>
        <v>1</v>
      </c>
      <c r="F133">
        <f>IF($D133 = 1, ROUND(SUM(recreation_claude_v2_5!F133,recreation_claude_v2_4!F133,recreation_claude_v2_3!F133,recreation_claude_v2_2!F133,recreation_claude_v2_1!F133)/COUNT(recreation_claude_v2_5!F133,recreation_claude_v2_4!F133,recreation_claude_v2_3!F133,recreation_claude_v2_2!F133,recreation_claude_v2_1!F133),0), "NA")</f>
        <v>1</v>
      </c>
      <c r="G133">
        <f>IF($D133 = 1, ROUND(SUM(recreation_claude_v2_5!G133,recreation_claude_v2_4!G133,recreation_claude_v2_3!G133,recreation_claude_v2_2!G133,recreation_claude_v2_1!G133)/COUNT(recreation_claude_v2_5!G133,recreation_claude_v2_4!G133,recreation_claude_v2_3!G133,recreation_claude_v2_2!G133,recreation_claude_v2_1!G133),0), "NA")</f>
        <v>1</v>
      </c>
      <c r="H133">
        <f>IF($E133 = 1, ROUND(SUM(recreation_claude_v2_5!H133,recreation_claude_v2_4!H133,recreation_claude_v2_3!H133,recreation_claude_v2_2!H133,recreation_claude_v2_1!H133)/COUNT(recreation_claude_v2_5!H133,recreation_claude_v2_4!H133,recreation_claude_v2_3!H133,recreation_claude_v2_2!H133,recreation_claude_v2_1!H133),0), "NA")</f>
        <v>1</v>
      </c>
      <c r="I133">
        <f>IF($D133 = 1, ROUND(SUM(recreation_claude_v2_5!I133,recreation_claude_v2_4!I133,recreation_claude_v2_3!I133,recreation_claude_v2_2!I133,recreation_claude_v2_1!I133)/COUNT(recreation_claude_v2_5!I133,recreation_claude_v2_4!I133,recreation_claude_v2_3!I133,recreation_claude_v2_2!I133,recreation_claude_v2_1!I133),0), "NA")</f>
        <v>1</v>
      </c>
      <c r="J133">
        <f>IF(AND($E133 = 1, $F133 = 1), ROUND(SUM(recreation_claude_v2_5!J133,recreation_claude_v2_4!J133,recreation_claude_v2_3!J133,recreation_claude_v2_2!J133,recreation_claude_v2_1!J133)/COUNT(recreation_claude_v2_5!J133,recreation_claude_v2_4!J133,recreation_claude_v2_3!J133,recreation_claude_v2_2!J133,recreation_claude_v2_1!J133),0), "NA")</f>
        <v>1</v>
      </c>
      <c r="K133">
        <f>IF($D133 = 1, ROUND(SUM(recreation_claude_v2_5!K133,recreation_claude_v2_4!K133,recreation_claude_v2_3!K133,recreation_claude_v2_2!K133,recreation_claude_v2_1!K133)/COUNT(recreation_claude_v2_5!K133,recreation_claude_v2_4!K133,recreation_claude_v2_3!K133,recreation_claude_v2_2!K133,recreation_claude_v2_1!K133),0), "NA")</f>
        <v>1</v>
      </c>
      <c r="L133">
        <f>IF($D133 = 1, ROUND(SUM(recreation_claude_v2_5!L133,recreation_claude_v2_4!L133,recreation_claude_v2_3!L133,recreation_claude_v2_2!L133,recreation_claude_v2_1!L133)/COUNT(recreation_claude_v2_5!L133,recreation_claude_v2_4!L133,recreation_claude_v2_3!L133,recreation_claude_v2_2!L133,recreation_claude_v2_1!L133),0), "NA")</f>
        <v>1</v>
      </c>
      <c r="M133">
        <f>IF($D133 = 1, ROUND(SUM(recreation_claude_v2_5!M133,recreation_claude_v2_4!M133,recreation_claude_v2_3!M133,recreation_claude_v2_2!M133,recreation_claude_v2_1!M133)/COUNT(recreation_claude_v2_5!M133,recreation_claude_v2_4!M133,recreation_claude_v2_3!M133,recreation_claude_v2_2!M133,recreation_claude_v2_1!M133),0), "NA")</f>
        <v>1</v>
      </c>
      <c r="N133">
        <f>IF($D133 = 1, ROUND(SUM(recreation_claude_v2_5!N133,recreation_claude_v2_4!N133,recreation_claude_v2_3!N133,recreation_claude_v2_2!N133,recreation_claude_v2_1!N133)/COUNT(recreation_claude_v2_5!N133,recreation_claude_v2_4!N133,recreation_claude_v2_3!N133,recreation_claude_v2_2!N133,recreation_claude_v2_1!N133),0), "NA")</f>
        <v>1</v>
      </c>
      <c r="O133">
        <v>1.8472955226898189</v>
      </c>
    </row>
    <row r="134" spans="1:15" x14ac:dyDescent="0.25">
      <c r="A134" t="s">
        <v>107</v>
      </c>
      <c r="B134" t="s">
        <v>41</v>
      </c>
      <c r="C134">
        <v>0</v>
      </c>
      <c r="D134">
        <f>ROUND(SUM(recreation_claude_v2_5!D134,recreation_claude_v2_4!D134,recreation_claude_v2_3!D134,recreation_claude_v2_2!D134,recreation_claude_v2_1!D134)/COUNT(recreation_claude_v2_5!D134,recreation_claude_v2_4!D134,recreation_claude_v2_3!D134,recreation_claude_v2_2!D134,recreation_claude_v2_1!D134),0)</f>
        <v>1</v>
      </c>
      <c r="E134">
        <f>IF($D134 = 1, ROUND(SUM(recreation_claude_v2_5!E134,recreation_claude_v2_4!E134,recreation_claude_v2_3!E134,recreation_claude_v2_2!E134,recreation_claude_v2_1!E134)/COUNT(recreation_claude_v2_5!E134,recreation_claude_v2_4!E134,recreation_claude_v2_3!E134,recreation_claude_v2_2!E134,recreation_claude_v2_1!E134),0), "NA")</f>
        <v>1</v>
      </c>
      <c r="F134">
        <f>IF($D134 = 1, ROUND(SUM(recreation_claude_v2_5!F134,recreation_claude_v2_4!F134,recreation_claude_v2_3!F134,recreation_claude_v2_2!F134,recreation_claude_v2_1!F134)/COUNT(recreation_claude_v2_5!F134,recreation_claude_v2_4!F134,recreation_claude_v2_3!F134,recreation_claude_v2_2!F134,recreation_claude_v2_1!F134),0), "NA")</f>
        <v>1</v>
      </c>
      <c r="G134">
        <f>IF($D134 = 1, ROUND(SUM(recreation_claude_v2_5!G134,recreation_claude_v2_4!G134,recreation_claude_v2_3!G134,recreation_claude_v2_2!G134,recreation_claude_v2_1!G134)/COUNT(recreation_claude_v2_5!G134,recreation_claude_v2_4!G134,recreation_claude_v2_3!G134,recreation_claude_v2_2!G134,recreation_claude_v2_1!G134),0), "NA")</f>
        <v>1</v>
      </c>
      <c r="H134">
        <f>IF($E134 = 1, ROUND(SUM(recreation_claude_v2_5!H134,recreation_claude_v2_4!H134,recreation_claude_v2_3!H134,recreation_claude_v2_2!H134,recreation_claude_v2_1!H134)/COUNT(recreation_claude_v2_5!H134,recreation_claude_v2_4!H134,recreation_claude_v2_3!H134,recreation_claude_v2_2!H134,recreation_claude_v2_1!H134),0), "NA")</f>
        <v>1</v>
      </c>
      <c r="I134">
        <f>IF($D134 = 1, ROUND(SUM(recreation_claude_v2_5!I134,recreation_claude_v2_4!I134,recreation_claude_v2_3!I134,recreation_claude_v2_2!I134,recreation_claude_v2_1!I134)/COUNT(recreation_claude_v2_5!I134,recreation_claude_v2_4!I134,recreation_claude_v2_3!I134,recreation_claude_v2_2!I134,recreation_claude_v2_1!I134),0), "NA")</f>
        <v>0</v>
      </c>
      <c r="J134">
        <f>IF(AND($E134 = 1, $F134 = 1), ROUND(SUM(recreation_claude_v2_5!J134,recreation_claude_v2_4!J134,recreation_claude_v2_3!J134,recreation_claude_v2_2!J134,recreation_claude_v2_1!J134)/COUNT(recreation_claude_v2_5!J134,recreation_claude_v2_4!J134,recreation_claude_v2_3!J134,recreation_claude_v2_2!J134,recreation_claude_v2_1!J134),0), "NA")</f>
        <v>1</v>
      </c>
      <c r="K134">
        <f>IF($D134 = 1, ROUND(SUM(recreation_claude_v2_5!K134,recreation_claude_v2_4!K134,recreation_claude_v2_3!K134,recreation_claude_v2_2!K134,recreation_claude_v2_1!K134)/COUNT(recreation_claude_v2_5!K134,recreation_claude_v2_4!K134,recreation_claude_v2_3!K134,recreation_claude_v2_2!K134,recreation_claude_v2_1!K134),0), "NA")</f>
        <v>1</v>
      </c>
      <c r="L134">
        <f>IF($D134 = 1, ROUND(SUM(recreation_claude_v2_5!L134,recreation_claude_v2_4!L134,recreation_claude_v2_3!L134,recreation_claude_v2_2!L134,recreation_claude_v2_1!L134)/COUNT(recreation_claude_v2_5!L134,recreation_claude_v2_4!L134,recreation_claude_v2_3!L134,recreation_claude_v2_2!L134,recreation_claude_v2_1!L134),0), "NA")</f>
        <v>1</v>
      </c>
      <c r="M134">
        <f>IF($D134 = 1, ROUND(SUM(recreation_claude_v2_5!M134,recreation_claude_v2_4!M134,recreation_claude_v2_3!M134,recreation_claude_v2_2!M134,recreation_claude_v2_1!M134)/COUNT(recreation_claude_v2_5!M134,recreation_claude_v2_4!M134,recreation_claude_v2_3!M134,recreation_claude_v2_2!M134,recreation_claude_v2_1!M134),0), "NA")</f>
        <v>1</v>
      </c>
      <c r="N134">
        <f>IF($D134 = 1, ROUND(SUM(recreation_claude_v2_5!N134,recreation_claude_v2_4!N134,recreation_claude_v2_3!N134,recreation_claude_v2_2!N134,recreation_claude_v2_1!N134)/COUNT(recreation_claude_v2_5!N134,recreation_claude_v2_4!N134,recreation_claude_v2_3!N134,recreation_claude_v2_2!N134,recreation_claude_v2_1!N134),0), "NA")</f>
        <v>1</v>
      </c>
      <c r="O134">
        <v>2.4004275798797612</v>
      </c>
    </row>
    <row r="135" spans="1:15" x14ac:dyDescent="0.25">
      <c r="A135" t="s">
        <v>107</v>
      </c>
      <c r="B135" t="s">
        <v>42</v>
      </c>
      <c r="C135">
        <v>0</v>
      </c>
      <c r="D135">
        <f>ROUND(SUM(recreation_claude_v2_5!D135,recreation_claude_v2_4!D135,recreation_claude_v2_3!D135,recreation_claude_v2_2!D135,recreation_claude_v2_1!D135)/COUNT(recreation_claude_v2_5!D135,recreation_claude_v2_4!D135,recreation_claude_v2_3!D135,recreation_claude_v2_2!D135,recreation_claude_v2_1!D135),0)</f>
        <v>1</v>
      </c>
      <c r="E135">
        <f>IF($D135 = 1, ROUND(SUM(recreation_claude_v2_5!E135,recreation_claude_v2_4!E135,recreation_claude_v2_3!E135,recreation_claude_v2_2!E135,recreation_claude_v2_1!E135)/COUNT(recreation_claude_v2_5!E135,recreation_claude_v2_4!E135,recreation_claude_v2_3!E135,recreation_claude_v2_2!E135,recreation_claude_v2_1!E135),0), "NA")</f>
        <v>1</v>
      </c>
      <c r="F135">
        <f>IF($D135 = 1, ROUND(SUM(recreation_claude_v2_5!F135,recreation_claude_v2_4!F135,recreation_claude_v2_3!F135,recreation_claude_v2_2!F135,recreation_claude_v2_1!F135)/COUNT(recreation_claude_v2_5!F135,recreation_claude_v2_4!F135,recreation_claude_v2_3!F135,recreation_claude_v2_2!F135,recreation_claude_v2_1!F135),0), "NA")</f>
        <v>1</v>
      </c>
      <c r="G135">
        <f>IF($D135 = 1, ROUND(SUM(recreation_claude_v2_5!G135,recreation_claude_v2_4!G135,recreation_claude_v2_3!G135,recreation_claude_v2_2!G135,recreation_claude_v2_1!G135)/COUNT(recreation_claude_v2_5!G135,recreation_claude_v2_4!G135,recreation_claude_v2_3!G135,recreation_claude_v2_2!G135,recreation_claude_v2_1!G135),0), "NA")</f>
        <v>1</v>
      </c>
      <c r="H135">
        <f>IF($E135 = 1, ROUND(SUM(recreation_claude_v2_5!H135,recreation_claude_v2_4!H135,recreation_claude_v2_3!H135,recreation_claude_v2_2!H135,recreation_claude_v2_1!H135)/COUNT(recreation_claude_v2_5!H135,recreation_claude_v2_4!H135,recreation_claude_v2_3!H135,recreation_claude_v2_2!H135,recreation_claude_v2_1!H135),0), "NA")</f>
        <v>1</v>
      </c>
      <c r="I135">
        <f>IF($D135 = 1, ROUND(SUM(recreation_claude_v2_5!I135,recreation_claude_v2_4!I135,recreation_claude_v2_3!I135,recreation_claude_v2_2!I135,recreation_claude_v2_1!I135)/COUNT(recreation_claude_v2_5!I135,recreation_claude_v2_4!I135,recreation_claude_v2_3!I135,recreation_claude_v2_2!I135,recreation_claude_v2_1!I135),0), "NA")</f>
        <v>1</v>
      </c>
      <c r="J135">
        <f>IF(AND($E135 = 1, $F135 = 1), ROUND(SUM(recreation_claude_v2_5!J135,recreation_claude_v2_4!J135,recreation_claude_v2_3!J135,recreation_claude_v2_2!J135,recreation_claude_v2_1!J135)/COUNT(recreation_claude_v2_5!J135,recreation_claude_v2_4!J135,recreation_claude_v2_3!J135,recreation_claude_v2_2!J135,recreation_claude_v2_1!J135),0), "NA")</f>
        <v>1</v>
      </c>
      <c r="K135">
        <f>IF($D135 = 1, ROUND(SUM(recreation_claude_v2_5!K135,recreation_claude_v2_4!K135,recreation_claude_v2_3!K135,recreation_claude_v2_2!K135,recreation_claude_v2_1!K135)/COUNT(recreation_claude_v2_5!K135,recreation_claude_v2_4!K135,recreation_claude_v2_3!K135,recreation_claude_v2_2!K135,recreation_claude_v2_1!K135),0), "NA")</f>
        <v>1</v>
      </c>
      <c r="L135">
        <f>IF($D135 = 1, ROUND(SUM(recreation_claude_v2_5!L135,recreation_claude_v2_4!L135,recreation_claude_v2_3!L135,recreation_claude_v2_2!L135,recreation_claude_v2_1!L135)/COUNT(recreation_claude_v2_5!L135,recreation_claude_v2_4!L135,recreation_claude_v2_3!L135,recreation_claude_v2_2!L135,recreation_claude_v2_1!L135),0), "NA")</f>
        <v>1</v>
      </c>
      <c r="M135">
        <f>IF($D135 = 1, ROUND(SUM(recreation_claude_v2_5!M135,recreation_claude_v2_4!M135,recreation_claude_v2_3!M135,recreation_claude_v2_2!M135,recreation_claude_v2_1!M135)/COUNT(recreation_claude_v2_5!M135,recreation_claude_v2_4!M135,recreation_claude_v2_3!M135,recreation_claude_v2_2!M135,recreation_claude_v2_1!M135),0), "NA")</f>
        <v>1</v>
      </c>
      <c r="N135">
        <f>IF($D135 = 1, ROUND(SUM(recreation_claude_v2_5!N135,recreation_claude_v2_4!N135,recreation_claude_v2_3!N135,recreation_claude_v2_2!N135,recreation_claude_v2_1!N135)/COUNT(recreation_claude_v2_5!N135,recreation_claude_v2_4!N135,recreation_claude_v2_3!N135,recreation_claude_v2_2!N135,recreation_claude_v2_1!N135),0), "NA")</f>
        <v>1</v>
      </c>
      <c r="O135">
        <v>1.418047428131104</v>
      </c>
    </row>
    <row r="136" spans="1:15" x14ac:dyDescent="0.25">
      <c r="A136" t="s">
        <v>107</v>
      </c>
      <c r="B136" t="s">
        <v>44</v>
      </c>
      <c r="C136">
        <v>0</v>
      </c>
      <c r="D136">
        <f>ROUND(SUM(recreation_claude_v2_5!D136,recreation_claude_v2_4!D136,recreation_claude_v2_3!D136,recreation_claude_v2_2!D136,recreation_claude_v2_1!D136)/COUNT(recreation_claude_v2_5!D136,recreation_claude_v2_4!D136,recreation_claude_v2_3!D136,recreation_claude_v2_2!D136,recreation_claude_v2_1!D136),0)</f>
        <v>1</v>
      </c>
      <c r="E136">
        <f>IF($D136 = 1, ROUND(SUM(recreation_claude_v2_5!E136,recreation_claude_v2_4!E136,recreation_claude_v2_3!E136,recreation_claude_v2_2!E136,recreation_claude_v2_1!E136)/COUNT(recreation_claude_v2_5!E136,recreation_claude_v2_4!E136,recreation_claude_v2_3!E136,recreation_claude_v2_2!E136,recreation_claude_v2_1!E136),0), "NA")</f>
        <v>1</v>
      </c>
      <c r="F136">
        <f>IF($D136 = 1, ROUND(SUM(recreation_claude_v2_5!F136,recreation_claude_v2_4!F136,recreation_claude_v2_3!F136,recreation_claude_v2_2!F136,recreation_claude_v2_1!F136)/COUNT(recreation_claude_v2_5!F136,recreation_claude_v2_4!F136,recreation_claude_v2_3!F136,recreation_claude_v2_2!F136,recreation_claude_v2_1!F136),0), "NA")</f>
        <v>1</v>
      </c>
      <c r="G136">
        <f>IF($D136 = 1, ROUND(SUM(recreation_claude_v2_5!G136,recreation_claude_v2_4!G136,recreation_claude_v2_3!G136,recreation_claude_v2_2!G136,recreation_claude_v2_1!G136)/COUNT(recreation_claude_v2_5!G136,recreation_claude_v2_4!G136,recreation_claude_v2_3!G136,recreation_claude_v2_2!G136,recreation_claude_v2_1!G136),0), "NA")</f>
        <v>1</v>
      </c>
      <c r="H136">
        <f>IF($E136 = 1, ROUND(SUM(recreation_claude_v2_5!H136,recreation_claude_v2_4!H136,recreation_claude_v2_3!H136,recreation_claude_v2_2!H136,recreation_claude_v2_1!H136)/COUNT(recreation_claude_v2_5!H136,recreation_claude_v2_4!H136,recreation_claude_v2_3!H136,recreation_claude_v2_2!H136,recreation_claude_v2_1!H136),0), "NA")</f>
        <v>1</v>
      </c>
      <c r="I136">
        <f>IF($D136 = 1, ROUND(SUM(recreation_claude_v2_5!I136,recreation_claude_v2_4!I136,recreation_claude_v2_3!I136,recreation_claude_v2_2!I136,recreation_claude_v2_1!I136)/COUNT(recreation_claude_v2_5!I136,recreation_claude_v2_4!I136,recreation_claude_v2_3!I136,recreation_claude_v2_2!I136,recreation_claude_v2_1!I136),0), "NA")</f>
        <v>1</v>
      </c>
      <c r="J136">
        <f>IF(AND($E136 = 1, $F136 = 1), ROUND(SUM(recreation_claude_v2_5!J136,recreation_claude_v2_4!J136,recreation_claude_v2_3!J136,recreation_claude_v2_2!J136,recreation_claude_v2_1!J136)/COUNT(recreation_claude_v2_5!J136,recreation_claude_v2_4!J136,recreation_claude_v2_3!J136,recreation_claude_v2_2!J136,recreation_claude_v2_1!J136),0), "NA")</f>
        <v>1</v>
      </c>
      <c r="K136">
        <f>IF($D136 = 1, ROUND(SUM(recreation_claude_v2_5!K136,recreation_claude_v2_4!K136,recreation_claude_v2_3!K136,recreation_claude_v2_2!K136,recreation_claude_v2_1!K136)/COUNT(recreation_claude_v2_5!K136,recreation_claude_v2_4!K136,recreation_claude_v2_3!K136,recreation_claude_v2_2!K136,recreation_claude_v2_1!K136),0), "NA")</f>
        <v>1</v>
      </c>
      <c r="L136">
        <f>IF($D136 = 1, ROUND(SUM(recreation_claude_v2_5!L136,recreation_claude_v2_4!L136,recreation_claude_v2_3!L136,recreation_claude_v2_2!L136,recreation_claude_v2_1!L136)/COUNT(recreation_claude_v2_5!L136,recreation_claude_v2_4!L136,recreation_claude_v2_3!L136,recreation_claude_v2_2!L136,recreation_claude_v2_1!L136),0), "NA")</f>
        <v>1</v>
      </c>
      <c r="M136">
        <f>IF($D136 = 1, ROUND(SUM(recreation_claude_v2_5!M136,recreation_claude_v2_4!M136,recreation_claude_v2_3!M136,recreation_claude_v2_2!M136,recreation_claude_v2_1!M136)/COUNT(recreation_claude_v2_5!M136,recreation_claude_v2_4!M136,recreation_claude_v2_3!M136,recreation_claude_v2_2!M136,recreation_claude_v2_1!M136),0), "NA")</f>
        <v>1</v>
      </c>
      <c r="N136">
        <f>IF($D136 = 1, ROUND(SUM(recreation_claude_v2_5!N136,recreation_claude_v2_4!N136,recreation_claude_v2_3!N136,recreation_claude_v2_2!N136,recreation_claude_v2_1!N136)/COUNT(recreation_claude_v2_5!N136,recreation_claude_v2_4!N136,recreation_claude_v2_3!N136,recreation_claude_v2_2!N136,recreation_claude_v2_1!N136),0), "NA")</f>
        <v>1</v>
      </c>
      <c r="O136">
        <v>1.643211841583252</v>
      </c>
    </row>
    <row r="137" spans="1:15" x14ac:dyDescent="0.25">
      <c r="A137" t="s">
        <v>107</v>
      </c>
      <c r="B137" t="s">
        <v>45</v>
      </c>
      <c r="C137">
        <v>0</v>
      </c>
      <c r="D137">
        <f>ROUND(SUM(recreation_claude_v2_5!D137,recreation_claude_v2_4!D137,recreation_claude_v2_3!D137,recreation_claude_v2_2!D137,recreation_claude_v2_1!D137)/COUNT(recreation_claude_v2_5!D137,recreation_claude_v2_4!D137,recreation_claude_v2_3!D137,recreation_claude_v2_2!D137,recreation_claude_v2_1!D137),0)</f>
        <v>0</v>
      </c>
      <c r="E137" t="str">
        <f>IF($D137 = 1, ROUND(SUM(recreation_claude_v2_5!E137,recreation_claude_v2_4!E137,recreation_claude_v2_3!E137,recreation_claude_v2_2!E137,recreation_claude_v2_1!E137)/COUNT(recreation_claude_v2_5!E137,recreation_claude_v2_4!E137,recreation_claude_v2_3!E137,recreation_claude_v2_2!E137,recreation_claude_v2_1!E137),0), "NA")</f>
        <v>NA</v>
      </c>
      <c r="F137" t="str">
        <f>IF($D137 = 1, ROUND(SUM(recreation_claude_v2_5!F137,recreation_claude_v2_4!F137,recreation_claude_v2_3!F137,recreation_claude_v2_2!F137,recreation_claude_v2_1!F137)/COUNT(recreation_claude_v2_5!F137,recreation_claude_v2_4!F137,recreation_claude_v2_3!F137,recreation_claude_v2_2!F137,recreation_claude_v2_1!F137),0), "NA")</f>
        <v>NA</v>
      </c>
      <c r="G137" t="str">
        <f>IF($D137 = 1, ROUND(SUM(recreation_claude_v2_5!G137,recreation_claude_v2_4!G137,recreation_claude_v2_3!G137,recreation_claude_v2_2!G137,recreation_claude_v2_1!G137)/COUNT(recreation_claude_v2_5!G137,recreation_claude_v2_4!G137,recreation_claude_v2_3!G137,recreation_claude_v2_2!G137,recreation_claude_v2_1!G137),0), "NA")</f>
        <v>NA</v>
      </c>
      <c r="H137" t="str">
        <f>IF($E137 = 1, ROUND(SUM(recreation_claude_v2_5!H137,recreation_claude_v2_4!H137,recreation_claude_v2_3!H137,recreation_claude_v2_2!H137,recreation_claude_v2_1!H137)/COUNT(recreation_claude_v2_5!H137,recreation_claude_v2_4!H137,recreation_claude_v2_3!H137,recreation_claude_v2_2!H137,recreation_claude_v2_1!H137),0), "NA")</f>
        <v>NA</v>
      </c>
      <c r="I137" t="str">
        <f>IF($D137 = 1, ROUND(SUM(recreation_claude_v2_5!I137,recreation_claude_v2_4!I137,recreation_claude_v2_3!I137,recreation_claude_v2_2!I137,recreation_claude_v2_1!I137)/COUNT(recreation_claude_v2_5!I137,recreation_claude_v2_4!I137,recreation_claude_v2_3!I137,recreation_claude_v2_2!I137,recreation_claude_v2_1!I137),0), "NA")</f>
        <v>NA</v>
      </c>
      <c r="J137" t="str">
        <f>IF(AND($E137 = 1, $F137 = 1), ROUND(SUM(recreation_claude_v2_5!J137,recreation_claude_v2_4!J137,recreation_claude_v2_3!J137,recreation_claude_v2_2!J137,recreation_claude_v2_1!J137)/COUNT(recreation_claude_v2_5!J137,recreation_claude_v2_4!J137,recreation_claude_v2_3!J137,recreation_claude_v2_2!J137,recreation_claude_v2_1!J137),0), "NA")</f>
        <v>NA</v>
      </c>
      <c r="K137" t="str">
        <f>IF($D137 = 1, ROUND(SUM(recreation_claude_v2_5!K137,recreation_claude_v2_4!K137,recreation_claude_v2_3!K137,recreation_claude_v2_2!K137,recreation_claude_v2_1!K137)/COUNT(recreation_claude_v2_5!K137,recreation_claude_v2_4!K137,recreation_claude_v2_3!K137,recreation_claude_v2_2!K137,recreation_claude_v2_1!K137),0), "NA")</f>
        <v>NA</v>
      </c>
      <c r="L137" t="str">
        <f>IF($D137 = 1, ROUND(SUM(recreation_claude_v2_5!L137,recreation_claude_v2_4!L137,recreation_claude_v2_3!L137,recreation_claude_v2_2!L137,recreation_claude_v2_1!L137)/COUNT(recreation_claude_v2_5!L137,recreation_claude_v2_4!L137,recreation_claude_v2_3!L137,recreation_claude_v2_2!L137,recreation_claude_v2_1!L137),0), "NA")</f>
        <v>NA</v>
      </c>
      <c r="M137" t="str">
        <f>IF($D137 = 1, ROUND(SUM(recreation_claude_v2_5!M137,recreation_claude_v2_4!M137,recreation_claude_v2_3!M137,recreation_claude_v2_2!M137,recreation_claude_v2_1!M137)/COUNT(recreation_claude_v2_5!M137,recreation_claude_v2_4!M137,recreation_claude_v2_3!M137,recreation_claude_v2_2!M137,recreation_claude_v2_1!M137),0), "NA")</f>
        <v>NA</v>
      </c>
      <c r="N137" t="str">
        <f>IF($D137 = 1, ROUND(SUM(recreation_claude_v2_5!N137,recreation_claude_v2_4!N137,recreation_claude_v2_3!N137,recreation_claude_v2_2!N137,recreation_claude_v2_1!N137)/COUNT(recreation_claude_v2_5!N137,recreation_claude_v2_4!N137,recreation_claude_v2_3!N137,recreation_claude_v2_2!N137,recreation_claude_v2_1!N137),0), "NA")</f>
        <v>NA</v>
      </c>
      <c r="O137">
        <v>15.421229362487789</v>
      </c>
    </row>
    <row r="138" spans="1:15" x14ac:dyDescent="0.25">
      <c r="A138" t="s">
        <v>107</v>
      </c>
      <c r="B138" t="s">
        <v>46</v>
      </c>
      <c r="C138">
        <v>0</v>
      </c>
      <c r="D138">
        <f>ROUND(SUM(recreation_claude_v2_5!D138,recreation_claude_v2_4!D138,recreation_claude_v2_3!D138,recreation_claude_v2_2!D138,recreation_claude_v2_1!D138)/COUNT(recreation_claude_v2_5!D138,recreation_claude_v2_4!D138,recreation_claude_v2_3!D138,recreation_claude_v2_2!D138,recreation_claude_v2_1!D138),0)</f>
        <v>1</v>
      </c>
      <c r="E138">
        <f>IF($D138 = 1, ROUND(SUM(recreation_claude_v2_5!E138,recreation_claude_v2_4!E138,recreation_claude_v2_3!E138,recreation_claude_v2_2!E138,recreation_claude_v2_1!E138)/COUNT(recreation_claude_v2_5!E138,recreation_claude_v2_4!E138,recreation_claude_v2_3!E138,recreation_claude_v2_2!E138,recreation_claude_v2_1!E138),0), "NA")</f>
        <v>0</v>
      </c>
      <c r="F138">
        <f>IF($D138 = 1, ROUND(SUM(recreation_claude_v2_5!F138,recreation_claude_v2_4!F138,recreation_claude_v2_3!F138,recreation_claude_v2_2!F138,recreation_claude_v2_1!F138)/COUNT(recreation_claude_v2_5!F138,recreation_claude_v2_4!F138,recreation_claude_v2_3!F138,recreation_claude_v2_2!F138,recreation_claude_v2_1!F138),0), "NA")</f>
        <v>1</v>
      </c>
      <c r="G138">
        <f>IF($D138 = 1, ROUND(SUM(recreation_claude_v2_5!G138,recreation_claude_v2_4!G138,recreation_claude_v2_3!G138,recreation_claude_v2_2!G138,recreation_claude_v2_1!G138)/COUNT(recreation_claude_v2_5!G138,recreation_claude_v2_4!G138,recreation_claude_v2_3!G138,recreation_claude_v2_2!G138,recreation_claude_v2_1!G138),0), "NA")</f>
        <v>1</v>
      </c>
      <c r="H138" t="str">
        <f>IF($E138 = 1, ROUND(SUM(recreation_claude_v2_5!H138,recreation_claude_v2_4!H138,recreation_claude_v2_3!H138,recreation_claude_v2_2!H138,recreation_claude_v2_1!H138)/COUNT(recreation_claude_v2_5!H138,recreation_claude_v2_4!H138,recreation_claude_v2_3!H138,recreation_claude_v2_2!H138,recreation_claude_v2_1!H138),0), "NA")</f>
        <v>NA</v>
      </c>
      <c r="I138">
        <f>IF($D138 = 1, ROUND(SUM(recreation_claude_v2_5!I138,recreation_claude_v2_4!I138,recreation_claude_v2_3!I138,recreation_claude_v2_2!I138,recreation_claude_v2_1!I138)/COUNT(recreation_claude_v2_5!I138,recreation_claude_v2_4!I138,recreation_claude_v2_3!I138,recreation_claude_v2_2!I138,recreation_claude_v2_1!I138),0), "NA")</f>
        <v>1</v>
      </c>
      <c r="J138" t="str">
        <f>IF(AND($E138 = 1, $F138 = 1), ROUND(SUM(recreation_claude_v2_5!J138,recreation_claude_v2_4!J138,recreation_claude_v2_3!J138,recreation_claude_v2_2!J138,recreation_claude_v2_1!J138)/COUNT(recreation_claude_v2_5!J138,recreation_claude_v2_4!J138,recreation_claude_v2_3!J138,recreation_claude_v2_2!J138,recreation_claude_v2_1!J138),0), "NA")</f>
        <v>NA</v>
      </c>
      <c r="K138">
        <f>IF($D138 = 1, ROUND(SUM(recreation_claude_v2_5!K138,recreation_claude_v2_4!K138,recreation_claude_v2_3!K138,recreation_claude_v2_2!K138,recreation_claude_v2_1!K138)/COUNT(recreation_claude_v2_5!K138,recreation_claude_v2_4!K138,recreation_claude_v2_3!K138,recreation_claude_v2_2!K138,recreation_claude_v2_1!K138),0), "NA")</f>
        <v>1</v>
      </c>
      <c r="L138">
        <f>IF($D138 = 1, ROUND(SUM(recreation_claude_v2_5!L138,recreation_claude_v2_4!L138,recreation_claude_v2_3!L138,recreation_claude_v2_2!L138,recreation_claude_v2_1!L138)/COUNT(recreation_claude_v2_5!L138,recreation_claude_v2_4!L138,recreation_claude_v2_3!L138,recreation_claude_v2_2!L138,recreation_claude_v2_1!L138),0), "NA")</f>
        <v>1</v>
      </c>
      <c r="M138">
        <f>IF($D138 = 1, ROUND(SUM(recreation_claude_v2_5!M138,recreation_claude_v2_4!M138,recreation_claude_v2_3!M138,recreation_claude_v2_2!M138,recreation_claude_v2_1!M138)/COUNT(recreation_claude_v2_5!M138,recreation_claude_v2_4!M138,recreation_claude_v2_3!M138,recreation_claude_v2_2!M138,recreation_claude_v2_1!M138),0), "NA")</f>
        <v>1</v>
      </c>
      <c r="N138">
        <f>IF($D138 = 1, ROUND(SUM(recreation_claude_v2_5!N138,recreation_claude_v2_4!N138,recreation_claude_v2_3!N138,recreation_claude_v2_2!N138,recreation_claude_v2_1!N138)/COUNT(recreation_claude_v2_5!N138,recreation_claude_v2_4!N138,recreation_claude_v2_3!N138,recreation_claude_v2_2!N138,recreation_claude_v2_1!N138),0), "NA")</f>
        <v>1</v>
      </c>
      <c r="O138">
        <v>2.5837380886077881</v>
      </c>
    </row>
    <row r="139" spans="1:15" x14ac:dyDescent="0.25">
      <c r="A139" t="s">
        <v>107</v>
      </c>
      <c r="B139" t="s">
        <v>47</v>
      </c>
      <c r="C139">
        <v>0</v>
      </c>
      <c r="D139">
        <f>ROUND(SUM(recreation_claude_v2_5!D139,recreation_claude_v2_4!D139,recreation_claude_v2_3!D139,recreation_claude_v2_2!D139,recreation_claude_v2_1!D139)/COUNT(recreation_claude_v2_5!D139,recreation_claude_v2_4!D139,recreation_claude_v2_3!D139,recreation_claude_v2_2!D139,recreation_claude_v2_1!D139),0)</f>
        <v>1</v>
      </c>
      <c r="E139">
        <f>IF($D139 = 1, ROUND(SUM(recreation_claude_v2_5!E139,recreation_claude_v2_4!E139,recreation_claude_v2_3!E139,recreation_claude_v2_2!E139,recreation_claude_v2_1!E139)/COUNT(recreation_claude_v2_5!E139,recreation_claude_v2_4!E139,recreation_claude_v2_3!E139,recreation_claude_v2_2!E139,recreation_claude_v2_1!E139),0), "NA")</f>
        <v>1</v>
      </c>
      <c r="F139">
        <f>IF($D139 = 1, ROUND(SUM(recreation_claude_v2_5!F139,recreation_claude_v2_4!F139,recreation_claude_v2_3!F139,recreation_claude_v2_2!F139,recreation_claude_v2_1!F139)/COUNT(recreation_claude_v2_5!F139,recreation_claude_v2_4!F139,recreation_claude_v2_3!F139,recreation_claude_v2_2!F139,recreation_claude_v2_1!F139),0), "NA")</f>
        <v>1</v>
      </c>
      <c r="G139">
        <f>IF($D139 = 1, ROUND(SUM(recreation_claude_v2_5!G139,recreation_claude_v2_4!G139,recreation_claude_v2_3!G139,recreation_claude_v2_2!G139,recreation_claude_v2_1!G139)/COUNT(recreation_claude_v2_5!G139,recreation_claude_v2_4!G139,recreation_claude_v2_3!G139,recreation_claude_v2_2!G139,recreation_claude_v2_1!G139),0), "NA")</f>
        <v>1</v>
      </c>
      <c r="H139">
        <f>IF($E139 = 1, ROUND(SUM(recreation_claude_v2_5!H139,recreation_claude_v2_4!H139,recreation_claude_v2_3!H139,recreation_claude_v2_2!H139,recreation_claude_v2_1!H139)/COUNT(recreation_claude_v2_5!H139,recreation_claude_v2_4!H139,recreation_claude_v2_3!H139,recreation_claude_v2_2!H139,recreation_claude_v2_1!H139),0), "NA")</f>
        <v>1</v>
      </c>
      <c r="I139">
        <f>IF($D139 = 1, ROUND(SUM(recreation_claude_v2_5!I139,recreation_claude_v2_4!I139,recreation_claude_v2_3!I139,recreation_claude_v2_2!I139,recreation_claude_v2_1!I139)/COUNT(recreation_claude_v2_5!I139,recreation_claude_v2_4!I139,recreation_claude_v2_3!I139,recreation_claude_v2_2!I139,recreation_claude_v2_1!I139),0), "NA")</f>
        <v>0</v>
      </c>
      <c r="J139">
        <f>IF(AND($E139 = 1, $F139 = 1), ROUND(SUM(recreation_claude_v2_5!J139,recreation_claude_v2_4!J139,recreation_claude_v2_3!J139,recreation_claude_v2_2!J139,recreation_claude_v2_1!J139)/COUNT(recreation_claude_v2_5!J139,recreation_claude_v2_4!J139,recreation_claude_v2_3!J139,recreation_claude_v2_2!J139,recreation_claude_v2_1!J139),0), "NA")</f>
        <v>1</v>
      </c>
      <c r="K139">
        <f>IF($D139 = 1, ROUND(SUM(recreation_claude_v2_5!K139,recreation_claude_v2_4!K139,recreation_claude_v2_3!K139,recreation_claude_v2_2!K139,recreation_claude_v2_1!K139)/COUNT(recreation_claude_v2_5!K139,recreation_claude_v2_4!K139,recreation_claude_v2_3!K139,recreation_claude_v2_2!K139,recreation_claude_v2_1!K139),0), "NA")</f>
        <v>1</v>
      </c>
      <c r="L139">
        <f>IF($D139 = 1, ROUND(SUM(recreation_claude_v2_5!L139,recreation_claude_v2_4!L139,recreation_claude_v2_3!L139,recreation_claude_v2_2!L139,recreation_claude_v2_1!L139)/COUNT(recreation_claude_v2_5!L139,recreation_claude_v2_4!L139,recreation_claude_v2_3!L139,recreation_claude_v2_2!L139,recreation_claude_v2_1!L139),0), "NA")</f>
        <v>1</v>
      </c>
      <c r="M139">
        <f>IF($D139 = 1, ROUND(SUM(recreation_claude_v2_5!M139,recreation_claude_v2_4!M139,recreation_claude_v2_3!M139,recreation_claude_v2_2!M139,recreation_claude_v2_1!M139)/COUNT(recreation_claude_v2_5!M139,recreation_claude_v2_4!M139,recreation_claude_v2_3!M139,recreation_claude_v2_2!M139,recreation_claude_v2_1!M139),0), "NA")</f>
        <v>1</v>
      </c>
      <c r="N139">
        <f>IF($D139 = 1, ROUND(SUM(recreation_claude_v2_5!N139,recreation_claude_v2_4!N139,recreation_claude_v2_3!N139,recreation_claude_v2_2!N139,recreation_claude_v2_1!N139)/COUNT(recreation_claude_v2_5!N139,recreation_claude_v2_4!N139,recreation_claude_v2_3!N139,recreation_claude_v2_2!N139,recreation_claude_v2_1!N139),0), "NA")</f>
        <v>1</v>
      </c>
      <c r="O139">
        <v>2.6109883785247798</v>
      </c>
    </row>
    <row r="140" spans="1:15" x14ac:dyDescent="0.25">
      <c r="A140" t="s">
        <v>107</v>
      </c>
      <c r="B140" t="s">
        <v>49</v>
      </c>
      <c r="C140">
        <v>0</v>
      </c>
      <c r="D140">
        <f>ROUND(SUM(recreation_claude_v2_5!D140,recreation_claude_v2_4!D140,recreation_claude_v2_3!D140,recreation_claude_v2_2!D140,recreation_claude_v2_1!D140)/COUNT(recreation_claude_v2_5!D140,recreation_claude_v2_4!D140,recreation_claude_v2_3!D140,recreation_claude_v2_2!D140,recreation_claude_v2_1!D140),0)</f>
        <v>1</v>
      </c>
      <c r="E140">
        <f>IF($D140 = 1, ROUND(SUM(recreation_claude_v2_5!E140,recreation_claude_v2_4!E140,recreation_claude_v2_3!E140,recreation_claude_v2_2!E140,recreation_claude_v2_1!E140)/COUNT(recreation_claude_v2_5!E140,recreation_claude_v2_4!E140,recreation_claude_v2_3!E140,recreation_claude_v2_2!E140,recreation_claude_v2_1!E140),0), "NA")</f>
        <v>0</v>
      </c>
      <c r="F140">
        <f>IF($D140 = 1, ROUND(SUM(recreation_claude_v2_5!F140,recreation_claude_v2_4!F140,recreation_claude_v2_3!F140,recreation_claude_v2_2!F140,recreation_claude_v2_1!F140)/COUNT(recreation_claude_v2_5!F140,recreation_claude_v2_4!F140,recreation_claude_v2_3!F140,recreation_claude_v2_2!F140,recreation_claude_v2_1!F140),0), "NA")</f>
        <v>1</v>
      </c>
      <c r="G140">
        <f>IF($D140 = 1, ROUND(SUM(recreation_claude_v2_5!G140,recreation_claude_v2_4!G140,recreation_claude_v2_3!G140,recreation_claude_v2_2!G140,recreation_claude_v2_1!G140)/COUNT(recreation_claude_v2_5!G140,recreation_claude_v2_4!G140,recreation_claude_v2_3!G140,recreation_claude_v2_2!G140,recreation_claude_v2_1!G140),0), "NA")</f>
        <v>1</v>
      </c>
      <c r="H140" t="str">
        <f>IF($E140 = 1, ROUND(SUM(recreation_claude_v2_5!H140,recreation_claude_v2_4!H140,recreation_claude_v2_3!H140,recreation_claude_v2_2!H140,recreation_claude_v2_1!H140)/COUNT(recreation_claude_v2_5!H140,recreation_claude_v2_4!H140,recreation_claude_v2_3!H140,recreation_claude_v2_2!H140,recreation_claude_v2_1!H140),0), "NA")</f>
        <v>NA</v>
      </c>
      <c r="I140">
        <f>IF($D140 = 1, ROUND(SUM(recreation_claude_v2_5!I140,recreation_claude_v2_4!I140,recreation_claude_v2_3!I140,recreation_claude_v2_2!I140,recreation_claude_v2_1!I140)/COUNT(recreation_claude_v2_5!I140,recreation_claude_v2_4!I140,recreation_claude_v2_3!I140,recreation_claude_v2_2!I140,recreation_claude_v2_1!I140),0), "NA")</f>
        <v>1</v>
      </c>
      <c r="J140" t="str">
        <f>IF(AND($E140 = 1, $F140 = 1), ROUND(SUM(recreation_claude_v2_5!J140,recreation_claude_v2_4!J140,recreation_claude_v2_3!J140,recreation_claude_v2_2!J140,recreation_claude_v2_1!J140)/COUNT(recreation_claude_v2_5!J140,recreation_claude_v2_4!J140,recreation_claude_v2_3!J140,recreation_claude_v2_2!J140,recreation_claude_v2_1!J140),0), "NA")</f>
        <v>NA</v>
      </c>
      <c r="K140">
        <f>IF($D140 = 1, ROUND(SUM(recreation_claude_v2_5!K140,recreation_claude_v2_4!K140,recreation_claude_v2_3!K140,recreation_claude_v2_2!K140,recreation_claude_v2_1!K140)/COUNT(recreation_claude_v2_5!K140,recreation_claude_v2_4!K140,recreation_claude_v2_3!K140,recreation_claude_v2_2!K140,recreation_claude_v2_1!K140),0), "NA")</f>
        <v>1</v>
      </c>
      <c r="L140">
        <f>IF($D140 = 1, ROUND(SUM(recreation_claude_v2_5!L140,recreation_claude_v2_4!L140,recreation_claude_v2_3!L140,recreation_claude_v2_2!L140,recreation_claude_v2_1!L140)/COUNT(recreation_claude_v2_5!L140,recreation_claude_v2_4!L140,recreation_claude_v2_3!L140,recreation_claude_v2_2!L140,recreation_claude_v2_1!L140),0), "NA")</f>
        <v>1</v>
      </c>
      <c r="M140">
        <f>IF($D140 = 1, ROUND(SUM(recreation_claude_v2_5!M140,recreation_claude_v2_4!M140,recreation_claude_v2_3!M140,recreation_claude_v2_2!M140,recreation_claude_v2_1!M140)/COUNT(recreation_claude_v2_5!M140,recreation_claude_v2_4!M140,recreation_claude_v2_3!M140,recreation_claude_v2_2!M140,recreation_claude_v2_1!M140),0), "NA")</f>
        <v>1</v>
      </c>
      <c r="N140">
        <f>IF($D140 = 1, ROUND(SUM(recreation_claude_v2_5!N140,recreation_claude_v2_4!N140,recreation_claude_v2_3!N140,recreation_claude_v2_2!N140,recreation_claude_v2_1!N140)/COUNT(recreation_claude_v2_5!N140,recreation_claude_v2_4!N140,recreation_claude_v2_3!N140,recreation_claude_v2_2!N140,recreation_claude_v2_1!N140),0), "NA")</f>
        <v>1</v>
      </c>
      <c r="O140">
        <v>4.9806637763977051</v>
      </c>
    </row>
    <row r="141" spans="1:15" x14ac:dyDescent="0.25">
      <c r="A141" t="s">
        <v>107</v>
      </c>
      <c r="B141" t="s">
        <v>51</v>
      </c>
      <c r="C141">
        <v>0</v>
      </c>
      <c r="D141">
        <f>ROUND(SUM(recreation_claude_v2_5!D141,recreation_claude_v2_4!D141,recreation_claude_v2_3!D141,recreation_claude_v2_2!D141,recreation_claude_v2_1!D141)/COUNT(recreation_claude_v2_5!D141,recreation_claude_v2_4!D141,recreation_claude_v2_3!D141,recreation_claude_v2_2!D141,recreation_claude_v2_1!D141),0)</f>
        <v>1</v>
      </c>
      <c r="E141">
        <f>IF($D141 = 1, ROUND(SUM(recreation_claude_v2_5!E141,recreation_claude_v2_4!E141,recreation_claude_v2_3!E141,recreation_claude_v2_2!E141,recreation_claude_v2_1!E141)/COUNT(recreation_claude_v2_5!E141,recreation_claude_v2_4!E141,recreation_claude_v2_3!E141,recreation_claude_v2_2!E141,recreation_claude_v2_1!E141),0), "NA")</f>
        <v>1</v>
      </c>
      <c r="F141">
        <f>IF($D141 = 1, ROUND(SUM(recreation_claude_v2_5!F141,recreation_claude_v2_4!F141,recreation_claude_v2_3!F141,recreation_claude_v2_2!F141,recreation_claude_v2_1!F141)/COUNT(recreation_claude_v2_5!F141,recreation_claude_v2_4!F141,recreation_claude_v2_3!F141,recreation_claude_v2_2!F141,recreation_claude_v2_1!F141),0), "NA")</f>
        <v>1</v>
      </c>
      <c r="G141">
        <f>IF($D141 = 1, ROUND(SUM(recreation_claude_v2_5!G141,recreation_claude_v2_4!G141,recreation_claude_v2_3!G141,recreation_claude_v2_2!G141,recreation_claude_v2_1!G141)/COUNT(recreation_claude_v2_5!G141,recreation_claude_v2_4!G141,recreation_claude_v2_3!G141,recreation_claude_v2_2!G141,recreation_claude_v2_1!G141),0), "NA")</f>
        <v>1</v>
      </c>
      <c r="H141">
        <f>IF($E141 = 1, ROUND(SUM(recreation_claude_v2_5!H141,recreation_claude_v2_4!H141,recreation_claude_v2_3!H141,recreation_claude_v2_2!H141,recreation_claude_v2_1!H141)/COUNT(recreation_claude_v2_5!H141,recreation_claude_v2_4!H141,recreation_claude_v2_3!H141,recreation_claude_v2_2!H141,recreation_claude_v2_1!H141),0), "NA")</f>
        <v>1</v>
      </c>
      <c r="I141">
        <f>IF($D141 = 1, ROUND(SUM(recreation_claude_v2_5!I141,recreation_claude_v2_4!I141,recreation_claude_v2_3!I141,recreation_claude_v2_2!I141,recreation_claude_v2_1!I141)/COUNT(recreation_claude_v2_5!I141,recreation_claude_v2_4!I141,recreation_claude_v2_3!I141,recreation_claude_v2_2!I141,recreation_claude_v2_1!I141),0), "NA")</f>
        <v>1</v>
      </c>
      <c r="J141">
        <f>IF(AND($E141 = 1, $F141 = 1), ROUND(SUM(recreation_claude_v2_5!J141,recreation_claude_v2_4!J141,recreation_claude_v2_3!J141,recreation_claude_v2_2!J141,recreation_claude_v2_1!J141)/COUNT(recreation_claude_v2_5!J141,recreation_claude_v2_4!J141,recreation_claude_v2_3!J141,recreation_claude_v2_2!J141,recreation_claude_v2_1!J141),0), "NA")</f>
        <v>1</v>
      </c>
      <c r="K141">
        <f>IF($D141 = 1, ROUND(SUM(recreation_claude_v2_5!K141,recreation_claude_v2_4!K141,recreation_claude_v2_3!K141,recreation_claude_v2_2!K141,recreation_claude_v2_1!K141)/COUNT(recreation_claude_v2_5!K141,recreation_claude_v2_4!K141,recreation_claude_v2_3!K141,recreation_claude_v2_2!K141,recreation_claude_v2_1!K141),0), "NA")</f>
        <v>1</v>
      </c>
      <c r="L141">
        <f>IF($D141 = 1, ROUND(SUM(recreation_claude_v2_5!L141,recreation_claude_v2_4!L141,recreation_claude_v2_3!L141,recreation_claude_v2_2!L141,recreation_claude_v2_1!L141)/COUNT(recreation_claude_v2_5!L141,recreation_claude_v2_4!L141,recreation_claude_v2_3!L141,recreation_claude_v2_2!L141,recreation_claude_v2_1!L141),0), "NA")</f>
        <v>1</v>
      </c>
      <c r="M141">
        <f>IF($D141 = 1, ROUND(SUM(recreation_claude_v2_5!M141,recreation_claude_v2_4!M141,recreation_claude_v2_3!M141,recreation_claude_v2_2!M141,recreation_claude_v2_1!M141)/COUNT(recreation_claude_v2_5!M141,recreation_claude_v2_4!M141,recreation_claude_v2_3!M141,recreation_claude_v2_2!M141,recreation_claude_v2_1!M141),0), "NA")</f>
        <v>1</v>
      </c>
      <c r="N141">
        <f>IF($D141 = 1, ROUND(SUM(recreation_claude_v2_5!N141,recreation_claude_v2_4!N141,recreation_claude_v2_3!N141,recreation_claude_v2_2!N141,recreation_claude_v2_1!N141)/COUNT(recreation_claude_v2_5!N141,recreation_claude_v2_4!N141,recreation_claude_v2_3!N141,recreation_claude_v2_2!N141,recreation_claude_v2_1!N141),0), "NA")</f>
        <v>1</v>
      </c>
      <c r="O141">
        <v>1.4626119136810301</v>
      </c>
    </row>
    <row r="142" spans="1:15" x14ac:dyDescent="0.25">
      <c r="A142" t="s">
        <v>107</v>
      </c>
      <c r="B142" t="s">
        <v>53</v>
      </c>
      <c r="C142">
        <v>0</v>
      </c>
      <c r="D142">
        <f>ROUND(SUM(recreation_claude_v2_5!D142,recreation_claude_v2_4!D142,recreation_claude_v2_3!D142,recreation_claude_v2_2!D142,recreation_claude_v2_1!D142)/COUNT(recreation_claude_v2_5!D142,recreation_claude_v2_4!D142,recreation_claude_v2_3!D142,recreation_claude_v2_2!D142,recreation_claude_v2_1!D142),0)</f>
        <v>1</v>
      </c>
      <c r="E142">
        <f>IF($D142 = 1, ROUND(SUM(recreation_claude_v2_5!E142,recreation_claude_v2_4!E142,recreation_claude_v2_3!E142,recreation_claude_v2_2!E142,recreation_claude_v2_1!E142)/COUNT(recreation_claude_v2_5!E142,recreation_claude_v2_4!E142,recreation_claude_v2_3!E142,recreation_claude_v2_2!E142,recreation_claude_v2_1!E142),0), "NA")</f>
        <v>1</v>
      </c>
      <c r="F142">
        <f>IF($D142 = 1, ROUND(SUM(recreation_claude_v2_5!F142,recreation_claude_v2_4!F142,recreation_claude_v2_3!F142,recreation_claude_v2_2!F142,recreation_claude_v2_1!F142)/COUNT(recreation_claude_v2_5!F142,recreation_claude_v2_4!F142,recreation_claude_v2_3!F142,recreation_claude_v2_2!F142,recreation_claude_v2_1!F142),0), "NA")</f>
        <v>1</v>
      </c>
      <c r="G142">
        <f>IF($D142 = 1, ROUND(SUM(recreation_claude_v2_5!G142,recreation_claude_v2_4!G142,recreation_claude_v2_3!G142,recreation_claude_v2_2!G142,recreation_claude_v2_1!G142)/COUNT(recreation_claude_v2_5!G142,recreation_claude_v2_4!G142,recreation_claude_v2_3!G142,recreation_claude_v2_2!G142,recreation_claude_v2_1!G142),0), "NA")</f>
        <v>1</v>
      </c>
      <c r="H142">
        <f>IF($E142 = 1, ROUND(SUM(recreation_claude_v2_5!H142,recreation_claude_v2_4!H142,recreation_claude_v2_3!H142,recreation_claude_v2_2!H142,recreation_claude_v2_1!H142)/COUNT(recreation_claude_v2_5!H142,recreation_claude_v2_4!H142,recreation_claude_v2_3!H142,recreation_claude_v2_2!H142,recreation_claude_v2_1!H142),0), "NA")</f>
        <v>1</v>
      </c>
      <c r="I142">
        <f>IF($D142 = 1, ROUND(SUM(recreation_claude_v2_5!I142,recreation_claude_v2_4!I142,recreation_claude_v2_3!I142,recreation_claude_v2_2!I142,recreation_claude_v2_1!I142)/COUNT(recreation_claude_v2_5!I142,recreation_claude_v2_4!I142,recreation_claude_v2_3!I142,recreation_claude_v2_2!I142,recreation_claude_v2_1!I142),0), "NA")</f>
        <v>1</v>
      </c>
      <c r="J142">
        <f>IF(AND($E142 = 1, $F142 = 1), ROUND(SUM(recreation_claude_v2_5!J142,recreation_claude_v2_4!J142,recreation_claude_v2_3!J142,recreation_claude_v2_2!J142,recreation_claude_v2_1!J142)/COUNT(recreation_claude_v2_5!J142,recreation_claude_v2_4!J142,recreation_claude_v2_3!J142,recreation_claude_v2_2!J142,recreation_claude_v2_1!J142),0), "NA")</f>
        <v>1</v>
      </c>
      <c r="K142">
        <f>IF($D142 = 1, ROUND(SUM(recreation_claude_v2_5!K142,recreation_claude_v2_4!K142,recreation_claude_v2_3!K142,recreation_claude_v2_2!K142,recreation_claude_v2_1!K142)/COUNT(recreation_claude_v2_5!K142,recreation_claude_v2_4!K142,recreation_claude_v2_3!K142,recreation_claude_v2_2!K142,recreation_claude_v2_1!K142),0), "NA")</f>
        <v>1</v>
      </c>
      <c r="L142">
        <f>IF($D142 = 1, ROUND(SUM(recreation_claude_v2_5!L142,recreation_claude_v2_4!L142,recreation_claude_v2_3!L142,recreation_claude_v2_2!L142,recreation_claude_v2_1!L142)/COUNT(recreation_claude_v2_5!L142,recreation_claude_v2_4!L142,recreation_claude_v2_3!L142,recreation_claude_v2_2!L142,recreation_claude_v2_1!L142),0), "NA")</f>
        <v>1</v>
      </c>
      <c r="M142">
        <f>IF($D142 = 1, ROUND(SUM(recreation_claude_v2_5!M142,recreation_claude_v2_4!M142,recreation_claude_v2_3!M142,recreation_claude_v2_2!M142,recreation_claude_v2_1!M142)/COUNT(recreation_claude_v2_5!M142,recreation_claude_v2_4!M142,recreation_claude_v2_3!M142,recreation_claude_v2_2!M142,recreation_claude_v2_1!M142),0), "NA")</f>
        <v>1</v>
      </c>
      <c r="N142">
        <f>IF($D142 = 1, ROUND(SUM(recreation_claude_v2_5!N142,recreation_claude_v2_4!N142,recreation_claude_v2_3!N142,recreation_claude_v2_2!N142,recreation_claude_v2_1!N142)/COUNT(recreation_claude_v2_5!N142,recreation_claude_v2_4!N142,recreation_claude_v2_3!N142,recreation_claude_v2_2!N142,recreation_claude_v2_1!N142),0), "NA")</f>
        <v>1</v>
      </c>
      <c r="O142">
        <v>1.783387422561646</v>
      </c>
    </row>
    <row r="143" spans="1:15" x14ac:dyDescent="0.25">
      <c r="A143" t="s">
        <v>107</v>
      </c>
      <c r="B143" t="s">
        <v>54</v>
      </c>
      <c r="C143">
        <v>0</v>
      </c>
      <c r="D143">
        <f>ROUND(SUM(recreation_claude_v2_5!D143,recreation_claude_v2_4!D143,recreation_claude_v2_3!D143,recreation_claude_v2_2!D143,recreation_claude_v2_1!D143)/COUNT(recreation_claude_v2_5!D143,recreation_claude_v2_4!D143,recreation_claude_v2_3!D143,recreation_claude_v2_2!D143,recreation_claude_v2_1!D143),0)</f>
        <v>1</v>
      </c>
      <c r="E143">
        <f>IF($D143 = 1, ROUND(SUM(recreation_claude_v2_5!E143,recreation_claude_v2_4!E143,recreation_claude_v2_3!E143,recreation_claude_v2_2!E143,recreation_claude_v2_1!E143)/COUNT(recreation_claude_v2_5!E143,recreation_claude_v2_4!E143,recreation_claude_v2_3!E143,recreation_claude_v2_2!E143,recreation_claude_v2_1!E143),0), "NA")</f>
        <v>1</v>
      </c>
      <c r="F143">
        <f>IF($D143 = 1, ROUND(SUM(recreation_claude_v2_5!F143,recreation_claude_v2_4!F143,recreation_claude_v2_3!F143,recreation_claude_v2_2!F143,recreation_claude_v2_1!F143)/COUNT(recreation_claude_v2_5!F143,recreation_claude_v2_4!F143,recreation_claude_v2_3!F143,recreation_claude_v2_2!F143,recreation_claude_v2_1!F143),0), "NA")</f>
        <v>0</v>
      </c>
      <c r="G143">
        <f>IF($D143 = 1, ROUND(SUM(recreation_claude_v2_5!G143,recreation_claude_v2_4!G143,recreation_claude_v2_3!G143,recreation_claude_v2_2!G143,recreation_claude_v2_1!G143)/COUNT(recreation_claude_v2_5!G143,recreation_claude_v2_4!G143,recreation_claude_v2_3!G143,recreation_claude_v2_2!G143,recreation_claude_v2_1!G143),0), "NA")</f>
        <v>1</v>
      </c>
      <c r="H143">
        <f>IF($E143 = 1, ROUND(SUM(recreation_claude_v2_5!H143,recreation_claude_v2_4!H143,recreation_claude_v2_3!H143,recreation_claude_v2_2!H143,recreation_claude_v2_1!H143)/COUNT(recreation_claude_v2_5!H143,recreation_claude_v2_4!H143,recreation_claude_v2_3!H143,recreation_claude_v2_2!H143,recreation_claude_v2_1!H143),0), "NA")</f>
        <v>1</v>
      </c>
      <c r="I143">
        <f>IF($D143 = 1, ROUND(SUM(recreation_claude_v2_5!I143,recreation_claude_v2_4!I143,recreation_claude_v2_3!I143,recreation_claude_v2_2!I143,recreation_claude_v2_1!I143)/COUNT(recreation_claude_v2_5!I143,recreation_claude_v2_4!I143,recreation_claude_v2_3!I143,recreation_claude_v2_2!I143,recreation_claude_v2_1!I143),0), "NA")</f>
        <v>1</v>
      </c>
      <c r="J143" t="str">
        <f>IF(AND($E143 = 1, $F143 = 1), ROUND(SUM(recreation_claude_v2_5!J143,recreation_claude_v2_4!J143,recreation_claude_v2_3!J143,recreation_claude_v2_2!J143,recreation_claude_v2_1!J143)/COUNT(recreation_claude_v2_5!J143,recreation_claude_v2_4!J143,recreation_claude_v2_3!J143,recreation_claude_v2_2!J143,recreation_claude_v2_1!J143),0), "NA")</f>
        <v>NA</v>
      </c>
      <c r="K143">
        <f>IF($D143 = 1, ROUND(SUM(recreation_claude_v2_5!K143,recreation_claude_v2_4!K143,recreation_claude_v2_3!K143,recreation_claude_v2_2!K143,recreation_claude_v2_1!K143)/COUNT(recreation_claude_v2_5!K143,recreation_claude_v2_4!K143,recreation_claude_v2_3!K143,recreation_claude_v2_2!K143,recreation_claude_v2_1!K143),0), "NA")</f>
        <v>1</v>
      </c>
      <c r="L143">
        <f>IF($D143 = 1, ROUND(SUM(recreation_claude_v2_5!L143,recreation_claude_v2_4!L143,recreation_claude_v2_3!L143,recreation_claude_v2_2!L143,recreation_claude_v2_1!L143)/COUNT(recreation_claude_v2_5!L143,recreation_claude_v2_4!L143,recreation_claude_v2_3!L143,recreation_claude_v2_2!L143,recreation_claude_v2_1!L143),0), "NA")</f>
        <v>1</v>
      </c>
      <c r="M143">
        <f>IF($D143 = 1, ROUND(SUM(recreation_claude_v2_5!M143,recreation_claude_v2_4!M143,recreation_claude_v2_3!M143,recreation_claude_v2_2!M143,recreation_claude_v2_1!M143)/COUNT(recreation_claude_v2_5!M143,recreation_claude_v2_4!M143,recreation_claude_v2_3!M143,recreation_claude_v2_2!M143,recreation_claude_v2_1!M143),0), "NA")</f>
        <v>1</v>
      </c>
      <c r="N143">
        <f>IF($D143 = 1, ROUND(SUM(recreation_claude_v2_5!N143,recreation_claude_v2_4!N143,recreation_claude_v2_3!N143,recreation_claude_v2_2!N143,recreation_claude_v2_1!N143)/COUNT(recreation_claude_v2_5!N143,recreation_claude_v2_4!N143,recreation_claude_v2_3!N143,recreation_claude_v2_2!N143,recreation_claude_v2_1!N143),0), "NA")</f>
        <v>1</v>
      </c>
      <c r="O143">
        <v>2.8748030662536621</v>
      </c>
    </row>
    <row r="144" spans="1:15" x14ac:dyDescent="0.25">
      <c r="A144" t="s">
        <v>107</v>
      </c>
      <c r="B144" t="s">
        <v>56</v>
      </c>
      <c r="C144">
        <v>0</v>
      </c>
      <c r="D144">
        <f>ROUND(SUM(recreation_claude_v2_5!D144,recreation_claude_v2_4!D144,recreation_claude_v2_3!D144,recreation_claude_v2_2!D144,recreation_claude_v2_1!D144)/COUNT(recreation_claude_v2_5!D144,recreation_claude_v2_4!D144,recreation_claude_v2_3!D144,recreation_claude_v2_2!D144,recreation_claude_v2_1!D144),0)</f>
        <v>1</v>
      </c>
      <c r="E144">
        <f>IF($D144 = 1, ROUND(SUM(recreation_claude_v2_5!E144,recreation_claude_v2_4!E144,recreation_claude_v2_3!E144,recreation_claude_v2_2!E144,recreation_claude_v2_1!E144)/COUNT(recreation_claude_v2_5!E144,recreation_claude_v2_4!E144,recreation_claude_v2_3!E144,recreation_claude_v2_2!E144,recreation_claude_v2_1!E144),0), "NA")</f>
        <v>1</v>
      </c>
      <c r="F144">
        <f>IF($D144 = 1, ROUND(SUM(recreation_claude_v2_5!F144,recreation_claude_v2_4!F144,recreation_claude_v2_3!F144,recreation_claude_v2_2!F144,recreation_claude_v2_1!F144)/COUNT(recreation_claude_v2_5!F144,recreation_claude_v2_4!F144,recreation_claude_v2_3!F144,recreation_claude_v2_2!F144,recreation_claude_v2_1!F144),0), "NA")</f>
        <v>1</v>
      </c>
      <c r="G144">
        <f>IF($D144 = 1, ROUND(SUM(recreation_claude_v2_5!G144,recreation_claude_v2_4!G144,recreation_claude_v2_3!G144,recreation_claude_v2_2!G144,recreation_claude_v2_1!G144)/COUNT(recreation_claude_v2_5!G144,recreation_claude_v2_4!G144,recreation_claude_v2_3!G144,recreation_claude_v2_2!G144,recreation_claude_v2_1!G144),0), "NA")</f>
        <v>1</v>
      </c>
      <c r="H144">
        <f>IF($E144 = 1, ROUND(SUM(recreation_claude_v2_5!H144,recreation_claude_v2_4!H144,recreation_claude_v2_3!H144,recreation_claude_v2_2!H144,recreation_claude_v2_1!H144)/COUNT(recreation_claude_v2_5!H144,recreation_claude_v2_4!H144,recreation_claude_v2_3!H144,recreation_claude_v2_2!H144,recreation_claude_v2_1!H144),0), "NA")</f>
        <v>1</v>
      </c>
      <c r="I144">
        <f>IF($D144 = 1, ROUND(SUM(recreation_claude_v2_5!I144,recreation_claude_v2_4!I144,recreation_claude_v2_3!I144,recreation_claude_v2_2!I144,recreation_claude_v2_1!I144)/COUNT(recreation_claude_v2_5!I144,recreation_claude_v2_4!I144,recreation_claude_v2_3!I144,recreation_claude_v2_2!I144,recreation_claude_v2_1!I144),0), "NA")</f>
        <v>1</v>
      </c>
      <c r="J144">
        <f>IF(AND($E144 = 1, $F144 = 1), ROUND(SUM(recreation_claude_v2_5!J144,recreation_claude_v2_4!J144,recreation_claude_v2_3!J144,recreation_claude_v2_2!J144,recreation_claude_v2_1!J144)/COUNT(recreation_claude_v2_5!J144,recreation_claude_v2_4!J144,recreation_claude_v2_3!J144,recreation_claude_v2_2!J144,recreation_claude_v2_1!J144),0), "NA")</f>
        <v>1</v>
      </c>
      <c r="K144">
        <f>IF($D144 = 1, ROUND(SUM(recreation_claude_v2_5!K144,recreation_claude_v2_4!K144,recreation_claude_v2_3!K144,recreation_claude_v2_2!K144,recreation_claude_v2_1!K144)/COUNT(recreation_claude_v2_5!K144,recreation_claude_v2_4!K144,recreation_claude_v2_3!K144,recreation_claude_v2_2!K144,recreation_claude_v2_1!K144),0), "NA")</f>
        <v>1</v>
      </c>
      <c r="L144">
        <f>IF($D144 = 1, ROUND(SUM(recreation_claude_v2_5!L144,recreation_claude_v2_4!L144,recreation_claude_v2_3!L144,recreation_claude_v2_2!L144,recreation_claude_v2_1!L144)/COUNT(recreation_claude_v2_5!L144,recreation_claude_v2_4!L144,recreation_claude_v2_3!L144,recreation_claude_v2_2!L144,recreation_claude_v2_1!L144),0), "NA")</f>
        <v>1</v>
      </c>
      <c r="M144">
        <f>IF($D144 = 1, ROUND(SUM(recreation_claude_v2_5!M144,recreation_claude_v2_4!M144,recreation_claude_v2_3!M144,recreation_claude_v2_2!M144,recreation_claude_v2_1!M144)/COUNT(recreation_claude_v2_5!M144,recreation_claude_v2_4!M144,recreation_claude_v2_3!M144,recreation_claude_v2_2!M144,recreation_claude_v2_1!M144),0), "NA")</f>
        <v>1</v>
      </c>
      <c r="N144">
        <f>IF($D144 = 1, ROUND(SUM(recreation_claude_v2_5!N144,recreation_claude_v2_4!N144,recreation_claude_v2_3!N144,recreation_claude_v2_2!N144,recreation_claude_v2_1!N144)/COUNT(recreation_claude_v2_5!N144,recreation_claude_v2_4!N144,recreation_claude_v2_3!N144,recreation_claude_v2_2!N144,recreation_claude_v2_1!N144),0), "NA")</f>
        <v>1</v>
      </c>
      <c r="O144">
        <v>1.81267261505127</v>
      </c>
    </row>
    <row r="145" spans="1:15" x14ac:dyDescent="0.25">
      <c r="A145" t="s">
        <v>107</v>
      </c>
      <c r="B145" t="s">
        <v>58</v>
      </c>
      <c r="C145">
        <v>0</v>
      </c>
      <c r="D145">
        <f>ROUND(SUM(recreation_claude_v2_5!D145,recreation_claude_v2_4!D145,recreation_claude_v2_3!D145,recreation_claude_v2_2!D145,recreation_claude_v2_1!D145)/COUNT(recreation_claude_v2_5!D145,recreation_claude_v2_4!D145,recreation_claude_v2_3!D145,recreation_claude_v2_2!D145,recreation_claude_v2_1!D145),0)</f>
        <v>1</v>
      </c>
      <c r="E145">
        <f>IF($D145 = 1, ROUND(SUM(recreation_claude_v2_5!E145,recreation_claude_v2_4!E145,recreation_claude_v2_3!E145,recreation_claude_v2_2!E145,recreation_claude_v2_1!E145)/COUNT(recreation_claude_v2_5!E145,recreation_claude_v2_4!E145,recreation_claude_v2_3!E145,recreation_claude_v2_2!E145,recreation_claude_v2_1!E145),0), "NA")</f>
        <v>1</v>
      </c>
      <c r="F145">
        <f>IF($D145 = 1, ROUND(SUM(recreation_claude_v2_5!F145,recreation_claude_v2_4!F145,recreation_claude_v2_3!F145,recreation_claude_v2_2!F145,recreation_claude_v2_1!F145)/COUNT(recreation_claude_v2_5!F145,recreation_claude_v2_4!F145,recreation_claude_v2_3!F145,recreation_claude_v2_2!F145,recreation_claude_v2_1!F145),0), "NA")</f>
        <v>1</v>
      </c>
      <c r="G145">
        <f>IF($D145 = 1, ROUND(SUM(recreation_claude_v2_5!G145,recreation_claude_v2_4!G145,recreation_claude_v2_3!G145,recreation_claude_v2_2!G145,recreation_claude_v2_1!G145)/COUNT(recreation_claude_v2_5!G145,recreation_claude_v2_4!G145,recreation_claude_v2_3!G145,recreation_claude_v2_2!G145,recreation_claude_v2_1!G145),0), "NA")</f>
        <v>1</v>
      </c>
      <c r="H145">
        <f>IF($E145 = 1, ROUND(SUM(recreation_claude_v2_5!H145,recreation_claude_v2_4!H145,recreation_claude_v2_3!H145,recreation_claude_v2_2!H145,recreation_claude_v2_1!H145)/COUNT(recreation_claude_v2_5!H145,recreation_claude_v2_4!H145,recreation_claude_v2_3!H145,recreation_claude_v2_2!H145,recreation_claude_v2_1!H145),0), "NA")</f>
        <v>1</v>
      </c>
      <c r="I145">
        <f>IF($D145 = 1, ROUND(SUM(recreation_claude_v2_5!I145,recreation_claude_v2_4!I145,recreation_claude_v2_3!I145,recreation_claude_v2_2!I145,recreation_claude_v2_1!I145)/COUNT(recreation_claude_v2_5!I145,recreation_claude_v2_4!I145,recreation_claude_v2_3!I145,recreation_claude_v2_2!I145,recreation_claude_v2_1!I145),0), "NA")</f>
        <v>1</v>
      </c>
      <c r="J145">
        <f>IF(AND($E145 = 1, $F145 = 1), ROUND(SUM(recreation_claude_v2_5!J145,recreation_claude_v2_4!J145,recreation_claude_v2_3!J145,recreation_claude_v2_2!J145,recreation_claude_v2_1!J145)/COUNT(recreation_claude_v2_5!J145,recreation_claude_v2_4!J145,recreation_claude_v2_3!J145,recreation_claude_v2_2!J145,recreation_claude_v2_1!J145),0), "NA")</f>
        <v>1</v>
      </c>
      <c r="K145">
        <f>IF($D145 = 1, ROUND(SUM(recreation_claude_v2_5!K145,recreation_claude_v2_4!K145,recreation_claude_v2_3!K145,recreation_claude_v2_2!K145,recreation_claude_v2_1!K145)/COUNT(recreation_claude_v2_5!K145,recreation_claude_v2_4!K145,recreation_claude_v2_3!K145,recreation_claude_v2_2!K145,recreation_claude_v2_1!K145),0), "NA")</f>
        <v>1</v>
      </c>
      <c r="L145">
        <f>IF($D145 = 1, ROUND(SUM(recreation_claude_v2_5!L145,recreation_claude_v2_4!L145,recreation_claude_v2_3!L145,recreation_claude_v2_2!L145,recreation_claude_v2_1!L145)/COUNT(recreation_claude_v2_5!L145,recreation_claude_v2_4!L145,recreation_claude_v2_3!L145,recreation_claude_v2_2!L145,recreation_claude_v2_1!L145),0), "NA")</f>
        <v>1</v>
      </c>
      <c r="M145">
        <f>IF($D145 = 1, ROUND(SUM(recreation_claude_v2_5!M145,recreation_claude_v2_4!M145,recreation_claude_v2_3!M145,recreation_claude_v2_2!M145,recreation_claude_v2_1!M145)/COUNT(recreation_claude_v2_5!M145,recreation_claude_v2_4!M145,recreation_claude_v2_3!M145,recreation_claude_v2_2!M145,recreation_claude_v2_1!M145),0), "NA")</f>
        <v>1</v>
      </c>
      <c r="N145">
        <f>IF($D145 = 1, ROUND(SUM(recreation_claude_v2_5!N145,recreation_claude_v2_4!N145,recreation_claude_v2_3!N145,recreation_claude_v2_2!N145,recreation_claude_v2_1!N145)/COUNT(recreation_claude_v2_5!N145,recreation_claude_v2_4!N145,recreation_claude_v2_3!N145,recreation_claude_v2_2!N145,recreation_claude_v2_1!N145),0), "NA")</f>
        <v>1</v>
      </c>
      <c r="O145">
        <v>1.735543966293335</v>
      </c>
    </row>
    <row r="146" spans="1:15" x14ac:dyDescent="0.25">
      <c r="A146" t="s">
        <v>107</v>
      </c>
      <c r="B146" t="s">
        <v>60</v>
      </c>
      <c r="C146">
        <v>0</v>
      </c>
      <c r="D146">
        <f>ROUND(SUM(recreation_claude_v2_5!D146,recreation_claude_v2_4!D146,recreation_claude_v2_3!D146,recreation_claude_v2_2!D146,recreation_claude_v2_1!D146)/COUNT(recreation_claude_v2_5!D146,recreation_claude_v2_4!D146,recreation_claude_v2_3!D146,recreation_claude_v2_2!D146,recreation_claude_v2_1!D146),0)</f>
        <v>1</v>
      </c>
      <c r="E146">
        <f>IF($D146 = 1, ROUND(SUM(recreation_claude_v2_5!E146,recreation_claude_v2_4!E146,recreation_claude_v2_3!E146,recreation_claude_v2_2!E146,recreation_claude_v2_1!E146)/COUNT(recreation_claude_v2_5!E146,recreation_claude_v2_4!E146,recreation_claude_v2_3!E146,recreation_claude_v2_2!E146,recreation_claude_v2_1!E146),0), "NA")</f>
        <v>1</v>
      </c>
      <c r="F146">
        <f>IF($D146 = 1, ROUND(SUM(recreation_claude_v2_5!F146,recreation_claude_v2_4!F146,recreation_claude_v2_3!F146,recreation_claude_v2_2!F146,recreation_claude_v2_1!F146)/COUNT(recreation_claude_v2_5!F146,recreation_claude_v2_4!F146,recreation_claude_v2_3!F146,recreation_claude_v2_2!F146,recreation_claude_v2_1!F146),0), "NA")</f>
        <v>1</v>
      </c>
      <c r="G146">
        <f>IF($D146 = 1, ROUND(SUM(recreation_claude_v2_5!G146,recreation_claude_v2_4!G146,recreation_claude_v2_3!G146,recreation_claude_v2_2!G146,recreation_claude_v2_1!G146)/COUNT(recreation_claude_v2_5!G146,recreation_claude_v2_4!G146,recreation_claude_v2_3!G146,recreation_claude_v2_2!G146,recreation_claude_v2_1!G146),0), "NA")</f>
        <v>1</v>
      </c>
      <c r="H146">
        <f>IF($E146 = 1, ROUND(SUM(recreation_claude_v2_5!H146,recreation_claude_v2_4!H146,recreation_claude_v2_3!H146,recreation_claude_v2_2!H146,recreation_claude_v2_1!H146)/COUNT(recreation_claude_v2_5!H146,recreation_claude_v2_4!H146,recreation_claude_v2_3!H146,recreation_claude_v2_2!H146,recreation_claude_v2_1!H146),0), "NA")</f>
        <v>1</v>
      </c>
      <c r="I146">
        <f>IF($D146 = 1, ROUND(SUM(recreation_claude_v2_5!I146,recreation_claude_v2_4!I146,recreation_claude_v2_3!I146,recreation_claude_v2_2!I146,recreation_claude_v2_1!I146)/COUNT(recreation_claude_v2_5!I146,recreation_claude_v2_4!I146,recreation_claude_v2_3!I146,recreation_claude_v2_2!I146,recreation_claude_v2_1!I146),0), "NA")</f>
        <v>1</v>
      </c>
      <c r="J146">
        <f>IF(AND($E146 = 1, $F146 = 1), ROUND(SUM(recreation_claude_v2_5!J146,recreation_claude_v2_4!J146,recreation_claude_v2_3!J146,recreation_claude_v2_2!J146,recreation_claude_v2_1!J146)/COUNT(recreation_claude_v2_5!J146,recreation_claude_v2_4!J146,recreation_claude_v2_3!J146,recreation_claude_v2_2!J146,recreation_claude_v2_1!J146),0), "NA")</f>
        <v>1</v>
      </c>
      <c r="K146">
        <f>IF($D146 = 1, ROUND(SUM(recreation_claude_v2_5!K146,recreation_claude_v2_4!K146,recreation_claude_v2_3!K146,recreation_claude_v2_2!K146,recreation_claude_v2_1!K146)/COUNT(recreation_claude_v2_5!K146,recreation_claude_v2_4!K146,recreation_claude_v2_3!K146,recreation_claude_v2_2!K146,recreation_claude_v2_1!K146),0), "NA")</f>
        <v>1</v>
      </c>
      <c r="L146">
        <f>IF($D146 = 1, ROUND(SUM(recreation_claude_v2_5!L146,recreation_claude_v2_4!L146,recreation_claude_v2_3!L146,recreation_claude_v2_2!L146,recreation_claude_v2_1!L146)/COUNT(recreation_claude_v2_5!L146,recreation_claude_v2_4!L146,recreation_claude_v2_3!L146,recreation_claude_v2_2!L146,recreation_claude_v2_1!L146),0), "NA")</f>
        <v>1</v>
      </c>
      <c r="M146">
        <f>IF($D146 = 1, ROUND(SUM(recreation_claude_v2_5!M146,recreation_claude_v2_4!M146,recreation_claude_v2_3!M146,recreation_claude_v2_2!M146,recreation_claude_v2_1!M146)/COUNT(recreation_claude_v2_5!M146,recreation_claude_v2_4!M146,recreation_claude_v2_3!M146,recreation_claude_v2_2!M146,recreation_claude_v2_1!M146),0), "NA")</f>
        <v>1</v>
      </c>
      <c r="N146">
        <f>IF($D146 = 1, ROUND(SUM(recreation_claude_v2_5!N146,recreation_claude_v2_4!N146,recreation_claude_v2_3!N146,recreation_claude_v2_2!N146,recreation_claude_v2_1!N146)/COUNT(recreation_claude_v2_5!N146,recreation_claude_v2_4!N146,recreation_claude_v2_3!N146,recreation_claude_v2_2!N146,recreation_claude_v2_1!N146),0), "NA")</f>
        <v>1</v>
      </c>
      <c r="O146">
        <v>1.588043689727783</v>
      </c>
    </row>
    <row r="147" spans="1:15" x14ac:dyDescent="0.25">
      <c r="A147" t="s">
        <v>107</v>
      </c>
      <c r="B147" t="s">
        <v>62</v>
      </c>
      <c r="C147">
        <v>0</v>
      </c>
      <c r="D147">
        <f>ROUND(SUM(recreation_claude_v2_5!D147,recreation_claude_v2_4!D147,recreation_claude_v2_3!D147,recreation_claude_v2_2!D147,recreation_claude_v2_1!D147)/COUNT(recreation_claude_v2_5!D147,recreation_claude_v2_4!D147,recreation_claude_v2_3!D147,recreation_claude_v2_2!D147,recreation_claude_v2_1!D147),0)</f>
        <v>1</v>
      </c>
      <c r="E147">
        <f>IF($D147 = 1, ROUND(SUM(recreation_claude_v2_5!E147,recreation_claude_v2_4!E147,recreation_claude_v2_3!E147,recreation_claude_v2_2!E147,recreation_claude_v2_1!E147)/COUNT(recreation_claude_v2_5!E147,recreation_claude_v2_4!E147,recreation_claude_v2_3!E147,recreation_claude_v2_2!E147,recreation_claude_v2_1!E147),0), "NA")</f>
        <v>1</v>
      </c>
      <c r="F147">
        <f>IF($D147 = 1, ROUND(SUM(recreation_claude_v2_5!F147,recreation_claude_v2_4!F147,recreation_claude_v2_3!F147,recreation_claude_v2_2!F147,recreation_claude_v2_1!F147)/COUNT(recreation_claude_v2_5!F147,recreation_claude_v2_4!F147,recreation_claude_v2_3!F147,recreation_claude_v2_2!F147,recreation_claude_v2_1!F147),0), "NA")</f>
        <v>1</v>
      </c>
      <c r="G147">
        <f>IF($D147 = 1, ROUND(SUM(recreation_claude_v2_5!G147,recreation_claude_v2_4!G147,recreation_claude_v2_3!G147,recreation_claude_v2_2!G147,recreation_claude_v2_1!G147)/COUNT(recreation_claude_v2_5!G147,recreation_claude_v2_4!G147,recreation_claude_v2_3!G147,recreation_claude_v2_2!G147,recreation_claude_v2_1!G147),0), "NA")</f>
        <v>1</v>
      </c>
      <c r="H147">
        <f>IF($E147 = 1, ROUND(SUM(recreation_claude_v2_5!H147,recreation_claude_v2_4!H147,recreation_claude_v2_3!H147,recreation_claude_v2_2!H147,recreation_claude_v2_1!H147)/COUNT(recreation_claude_v2_5!H147,recreation_claude_v2_4!H147,recreation_claude_v2_3!H147,recreation_claude_v2_2!H147,recreation_claude_v2_1!H147),0), "NA")</f>
        <v>1</v>
      </c>
      <c r="I147">
        <f>IF($D147 = 1, ROUND(SUM(recreation_claude_v2_5!I147,recreation_claude_v2_4!I147,recreation_claude_v2_3!I147,recreation_claude_v2_2!I147,recreation_claude_v2_1!I147)/COUNT(recreation_claude_v2_5!I147,recreation_claude_v2_4!I147,recreation_claude_v2_3!I147,recreation_claude_v2_2!I147,recreation_claude_v2_1!I147),0), "NA")</f>
        <v>1</v>
      </c>
      <c r="J147">
        <f>IF(AND($E147 = 1, $F147 = 1), ROUND(SUM(recreation_claude_v2_5!J147,recreation_claude_v2_4!J147,recreation_claude_v2_3!J147,recreation_claude_v2_2!J147,recreation_claude_v2_1!J147)/COUNT(recreation_claude_v2_5!J147,recreation_claude_v2_4!J147,recreation_claude_v2_3!J147,recreation_claude_v2_2!J147,recreation_claude_v2_1!J147),0), "NA")</f>
        <v>1</v>
      </c>
      <c r="K147">
        <f>IF($D147 = 1, ROUND(SUM(recreation_claude_v2_5!K147,recreation_claude_v2_4!K147,recreation_claude_v2_3!K147,recreation_claude_v2_2!K147,recreation_claude_v2_1!K147)/COUNT(recreation_claude_v2_5!K147,recreation_claude_v2_4!K147,recreation_claude_v2_3!K147,recreation_claude_v2_2!K147,recreation_claude_v2_1!K147),0), "NA")</f>
        <v>1</v>
      </c>
      <c r="L147">
        <f>IF($D147 = 1, ROUND(SUM(recreation_claude_v2_5!L147,recreation_claude_v2_4!L147,recreation_claude_v2_3!L147,recreation_claude_v2_2!L147,recreation_claude_v2_1!L147)/COUNT(recreation_claude_v2_5!L147,recreation_claude_v2_4!L147,recreation_claude_v2_3!L147,recreation_claude_v2_2!L147,recreation_claude_v2_1!L147),0), "NA")</f>
        <v>1</v>
      </c>
      <c r="M147">
        <f>IF($D147 = 1, ROUND(SUM(recreation_claude_v2_5!M147,recreation_claude_v2_4!M147,recreation_claude_v2_3!M147,recreation_claude_v2_2!M147,recreation_claude_v2_1!M147)/COUNT(recreation_claude_v2_5!M147,recreation_claude_v2_4!M147,recreation_claude_v2_3!M147,recreation_claude_v2_2!M147,recreation_claude_v2_1!M147),0), "NA")</f>
        <v>1</v>
      </c>
      <c r="N147">
        <f>IF($D147 = 1, ROUND(SUM(recreation_claude_v2_5!N147,recreation_claude_v2_4!N147,recreation_claude_v2_3!N147,recreation_claude_v2_2!N147,recreation_claude_v2_1!N147)/COUNT(recreation_claude_v2_5!N147,recreation_claude_v2_4!N147,recreation_claude_v2_3!N147,recreation_claude_v2_2!N147,recreation_claude_v2_1!N147),0), "NA")</f>
        <v>1</v>
      </c>
      <c r="O147">
        <v>1.4134507179260249</v>
      </c>
    </row>
    <row r="148" spans="1:15" x14ac:dyDescent="0.25">
      <c r="A148" t="s">
        <v>107</v>
      </c>
      <c r="B148" t="s">
        <v>63</v>
      </c>
      <c r="C148">
        <v>0</v>
      </c>
      <c r="D148">
        <f>ROUND(SUM(recreation_claude_v2_5!D148,recreation_claude_v2_4!D148,recreation_claude_v2_3!D148,recreation_claude_v2_2!D148,recreation_claude_v2_1!D148)/COUNT(recreation_claude_v2_5!D148,recreation_claude_v2_4!D148,recreation_claude_v2_3!D148,recreation_claude_v2_2!D148,recreation_claude_v2_1!D148),0)</f>
        <v>1</v>
      </c>
      <c r="E148">
        <f>IF($D148 = 1, ROUND(SUM(recreation_claude_v2_5!E148,recreation_claude_v2_4!E148,recreation_claude_v2_3!E148,recreation_claude_v2_2!E148,recreation_claude_v2_1!E148)/COUNT(recreation_claude_v2_5!E148,recreation_claude_v2_4!E148,recreation_claude_v2_3!E148,recreation_claude_v2_2!E148,recreation_claude_v2_1!E148),0), "NA")</f>
        <v>1</v>
      </c>
      <c r="F148">
        <f>IF($D148 = 1, ROUND(SUM(recreation_claude_v2_5!F148,recreation_claude_v2_4!F148,recreation_claude_v2_3!F148,recreation_claude_v2_2!F148,recreation_claude_v2_1!F148)/COUNT(recreation_claude_v2_5!F148,recreation_claude_v2_4!F148,recreation_claude_v2_3!F148,recreation_claude_v2_2!F148,recreation_claude_v2_1!F148),0), "NA")</f>
        <v>1</v>
      </c>
      <c r="G148">
        <f>IF($D148 = 1, ROUND(SUM(recreation_claude_v2_5!G148,recreation_claude_v2_4!G148,recreation_claude_v2_3!G148,recreation_claude_v2_2!G148,recreation_claude_v2_1!G148)/COUNT(recreation_claude_v2_5!G148,recreation_claude_v2_4!G148,recreation_claude_v2_3!G148,recreation_claude_v2_2!G148,recreation_claude_v2_1!G148),0), "NA")</f>
        <v>1</v>
      </c>
      <c r="H148">
        <f>IF($E148 = 1, ROUND(SUM(recreation_claude_v2_5!H148,recreation_claude_v2_4!H148,recreation_claude_v2_3!H148,recreation_claude_v2_2!H148,recreation_claude_v2_1!H148)/COUNT(recreation_claude_v2_5!H148,recreation_claude_v2_4!H148,recreation_claude_v2_3!H148,recreation_claude_v2_2!H148,recreation_claude_v2_1!H148),0), "NA")</f>
        <v>1</v>
      </c>
      <c r="I148">
        <f>IF($D148 = 1, ROUND(SUM(recreation_claude_v2_5!I148,recreation_claude_v2_4!I148,recreation_claude_v2_3!I148,recreation_claude_v2_2!I148,recreation_claude_v2_1!I148)/COUNT(recreation_claude_v2_5!I148,recreation_claude_v2_4!I148,recreation_claude_v2_3!I148,recreation_claude_v2_2!I148,recreation_claude_v2_1!I148),0), "NA")</f>
        <v>1</v>
      </c>
      <c r="J148">
        <f>IF(AND($E148 = 1, $F148 = 1), ROUND(SUM(recreation_claude_v2_5!J148,recreation_claude_v2_4!J148,recreation_claude_v2_3!J148,recreation_claude_v2_2!J148,recreation_claude_v2_1!J148)/COUNT(recreation_claude_v2_5!J148,recreation_claude_v2_4!J148,recreation_claude_v2_3!J148,recreation_claude_v2_2!J148,recreation_claude_v2_1!J148),0), "NA")</f>
        <v>1</v>
      </c>
      <c r="K148">
        <f>IF($D148 = 1, ROUND(SUM(recreation_claude_v2_5!K148,recreation_claude_v2_4!K148,recreation_claude_v2_3!K148,recreation_claude_v2_2!K148,recreation_claude_v2_1!K148)/COUNT(recreation_claude_v2_5!K148,recreation_claude_v2_4!K148,recreation_claude_v2_3!K148,recreation_claude_v2_2!K148,recreation_claude_v2_1!K148),0), "NA")</f>
        <v>1</v>
      </c>
      <c r="L148">
        <f>IF($D148 = 1, ROUND(SUM(recreation_claude_v2_5!L148,recreation_claude_v2_4!L148,recreation_claude_v2_3!L148,recreation_claude_v2_2!L148,recreation_claude_v2_1!L148)/COUNT(recreation_claude_v2_5!L148,recreation_claude_v2_4!L148,recreation_claude_v2_3!L148,recreation_claude_v2_2!L148,recreation_claude_v2_1!L148),0), "NA")</f>
        <v>1</v>
      </c>
      <c r="M148">
        <f>IF($D148 = 1, ROUND(SUM(recreation_claude_v2_5!M148,recreation_claude_v2_4!M148,recreation_claude_v2_3!M148,recreation_claude_v2_2!M148,recreation_claude_v2_1!M148)/COUNT(recreation_claude_v2_5!M148,recreation_claude_v2_4!M148,recreation_claude_v2_3!M148,recreation_claude_v2_2!M148,recreation_claude_v2_1!M148),0), "NA")</f>
        <v>1</v>
      </c>
      <c r="N148">
        <f>IF($D148 = 1, ROUND(SUM(recreation_claude_v2_5!N148,recreation_claude_v2_4!N148,recreation_claude_v2_3!N148,recreation_claude_v2_2!N148,recreation_claude_v2_1!N148)/COUNT(recreation_claude_v2_5!N148,recreation_claude_v2_4!N148,recreation_claude_v2_3!N148,recreation_claude_v2_2!N148,recreation_claude_v2_1!N148),0), "NA")</f>
        <v>1</v>
      </c>
      <c r="O148">
        <v>1.5820751190185549</v>
      </c>
    </row>
    <row r="149" spans="1:15" x14ac:dyDescent="0.25">
      <c r="A149" t="s">
        <v>107</v>
      </c>
      <c r="B149" t="s">
        <v>64</v>
      </c>
      <c r="C149">
        <v>0</v>
      </c>
      <c r="D149">
        <f>ROUND(SUM(recreation_claude_v2_5!D149,recreation_claude_v2_4!D149,recreation_claude_v2_3!D149,recreation_claude_v2_2!D149,recreation_claude_v2_1!D149)/COUNT(recreation_claude_v2_5!D149,recreation_claude_v2_4!D149,recreation_claude_v2_3!D149,recreation_claude_v2_2!D149,recreation_claude_v2_1!D149),0)</f>
        <v>1</v>
      </c>
      <c r="E149">
        <f>IF($D149 = 1, ROUND(SUM(recreation_claude_v2_5!E149,recreation_claude_v2_4!E149,recreation_claude_v2_3!E149,recreation_claude_v2_2!E149,recreation_claude_v2_1!E149)/COUNT(recreation_claude_v2_5!E149,recreation_claude_v2_4!E149,recreation_claude_v2_3!E149,recreation_claude_v2_2!E149,recreation_claude_v2_1!E149),0), "NA")</f>
        <v>1</v>
      </c>
      <c r="F149">
        <f>IF($D149 = 1, ROUND(SUM(recreation_claude_v2_5!F149,recreation_claude_v2_4!F149,recreation_claude_v2_3!F149,recreation_claude_v2_2!F149,recreation_claude_v2_1!F149)/COUNT(recreation_claude_v2_5!F149,recreation_claude_v2_4!F149,recreation_claude_v2_3!F149,recreation_claude_v2_2!F149,recreation_claude_v2_1!F149),0), "NA")</f>
        <v>1</v>
      </c>
      <c r="G149">
        <f>IF($D149 = 1, ROUND(SUM(recreation_claude_v2_5!G149,recreation_claude_v2_4!G149,recreation_claude_v2_3!G149,recreation_claude_v2_2!G149,recreation_claude_v2_1!G149)/COUNT(recreation_claude_v2_5!G149,recreation_claude_v2_4!G149,recreation_claude_v2_3!G149,recreation_claude_v2_2!G149,recreation_claude_v2_1!G149),0), "NA")</f>
        <v>1</v>
      </c>
      <c r="H149">
        <f>IF($E149 = 1, ROUND(SUM(recreation_claude_v2_5!H149,recreation_claude_v2_4!H149,recreation_claude_v2_3!H149,recreation_claude_v2_2!H149,recreation_claude_v2_1!H149)/COUNT(recreation_claude_v2_5!H149,recreation_claude_v2_4!H149,recreation_claude_v2_3!H149,recreation_claude_v2_2!H149,recreation_claude_v2_1!H149),0), "NA")</f>
        <v>1</v>
      </c>
      <c r="I149">
        <f>IF($D149 = 1, ROUND(SUM(recreation_claude_v2_5!I149,recreation_claude_v2_4!I149,recreation_claude_v2_3!I149,recreation_claude_v2_2!I149,recreation_claude_v2_1!I149)/COUNT(recreation_claude_v2_5!I149,recreation_claude_v2_4!I149,recreation_claude_v2_3!I149,recreation_claude_v2_2!I149,recreation_claude_v2_1!I149),0), "NA")</f>
        <v>1</v>
      </c>
      <c r="J149">
        <f>IF(AND($E149 = 1, $F149 = 1), ROUND(SUM(recreation_claude_v2_5!J149,recreation_claude_v2_4!J149,recreation_claude_v2_3!J149,recreation_claude_v2_2!J149,recreation_claude_v2_1!J149)/COUNT(recreation_claude_v2_5!J149,recreation_claude_v2_4!J149,recreation_claude_v2_3!J149,recreation_claude_v2_2!J149,recreation_claude_v2_1!J149),0), "NA")</f>
        <v>1</v>
      </c>
      <c r="K149">
        <f>IF($D149 = 1, ROUND(SUM(recreation_claude_v2_5!K149,recreation_claude_v2_4!K149,recreation_claude_v2_3!K149,recreation_claude_v2_2!K149,recreation_claude_v2_1!K149)/COUNT(recreation_claude_v2_5!K149,recreation_claude_v2_4!K149,recreation_claude_v2_3!K149,recreation_claude_v2_2!K149,recreation_claude_v2_1!K149),0), "NA")</f>
        <v>1</v>
      </c>
      <c r="L149">
        <f>IF($D149 = 1, ROUND(SUM(recreation_claude_v2_5!L149,recreation_claude_v2_4!L149,recreation_claude_v2_3!L149,recreation_claude_v2_2!L149,recreation_claude_v2_1!L149)/COUNT(recreation_claude_v2_5!L149,recreation_claude_v2_4!L149,recreation_claude_v2_3!L149,recreation_claude_v2_2!L149,recreation_claude_v2_1!L149),0), "NA")</f>
        <v>1</v>
      </c>
      <c r="M149">
        <f>IF($D149 = 1, ROUND(SUM(recreation_claude_v2_5!M149,recreation_claude_v2_4!M149,recreation_claude_v2_3!M149,recreation_claude_v2_2!M149,recreation_claude_v2_1!M149)/COUNT(recreation_claude_v2_5!M149,recreation_claude_v2_4!M149,recreation_claude_v2_3!M149,recreation_claude_v2_2!M149,recreation_claude_v2_1!M149),0), "NA")</f>
        <v>1</v>
      </c>
      <c r="N149">
        <f>IF($D149 = 1, ROUND(SUM(recreation_claude_v2_5!N149,recreation_claude_v2_4!N149,recreation_claude_v2_3!N149,recreation_claude_v2_2!N149,recreation_claude_v2_1!N149)/COUNT(recreation_claude_v2_5!N149,recreation_claude_v2_4!N149,recreation_claude_v2_3!N149,recreation_claude_v2_2!N149,recreation_claude_v2_1!N149),0), "NA")</f>
        <v>1</v>
      </c>
      <c r="O149">
        <v>1.4880766868591311</v>
      </c>
    </row>
    <row r="150" spans="1:15" x14ac:dyDescent="0.25">
      <c r="A150" t="s">
        <v>107</v>
      </c>
      <c r="B150" t="s">
        <v>65</v>
      </c>
      <c r="C150">
        <v>0</v>
      </c>
      <c r="D150">
        <f>ROUND(SUM(recreation_claude_v2_5!D150,recreation_claude_v2_4!D150,recreation_claude_v2_3!D150,recreation_claude_v2_2!D150,recreation_claude_v2_1!D150)/COUNT(recreation_claude_v2_5!D150,recreation_claude_v2_4!D150,recreation_claude_v2_3!D150,recreation_claude_v2_2!D150,recreation_claude_v2_1!D150),0)</f>
        <v>1</v>
      </c>
      <c r="E150">
        <f>IF($D150 = 1, ROUND(SUM(recreation_claude_v2_5!E150,recreation_claude_v2_4!E150,recreation_claude_v2_3!E150,recreation_claude_v2_2!E150,recreation_claude_v2_1!E150)/COUNT(recreation_claude_v2_5!E150,recreation_claude_v2_4!E150,recreation_claude_v2_3!E150,recreation_claude_v2_2!E150,recreation_claude_v2_1!E150),0), "NA")</f>
        <v>1</v>
      </c>
      <c r="F150">
        <f>IF($D150 = 1, ROUND(SUM(recreation_claude_v2_5!F150,recreation_claude_v2_4!F150,recreation_claude_v2_3!F150,recreation_claude_v2_2!F150,recreation_claude_v2_1!F150)/COUNT(recreation_claude_v2_5!F150,recreation_claude_v2_4!F150,recreation_claude_v2_3!F150,recreation_claude_v2_2!F150,recreation_claude_v2_1!F150),0), "NA")</f>
        <v>1</v>
      </c>
      <c r="G150">
        <f>IF($D150 = 1, ROUND(SUM(recreation_claude_v2_5!G150,recreation_claude_v2_4!G150,recreation_claude_v2_3!G150,recreation_claude_v2_2!G150,recreation_claude_v2_1!G150)/COUNT(recreation_claude_v2_5!G150,recreation_claude_v2_4!G150,recreation_claude_v2_3!G150,recreation_claude_v2_2!G150,recreation_claude_v2_1!G150),0), "NA")</f>
        <v>1</v>
      </c>
      <c r="H150">
        <f>IF($E150 = 1, ROUND(SUM(recreation_claude_v2_5!H150,recreation_claude_v2_4!H150,recreation_claude_v2_3!H150,recreation_claude_v2_2!H150,recreation_claude_v2_1!H150)/COUNT(recreation_claude_v2_5!H150,recreation_claude_v2_4!H150,recreation_claude_v2_3!H150,recreation_claude_v2_2!H150,recreation_claude_v2_1!H150),0), "NA")</f>
        <v>1</v>
      </c>
      <c r="I150">
        <f>IF($D150 = 1, ROUND(SUM(recreation_claude_v2_5!I150,recreation_claude_v2_4!I150,recreation_claude_v2_3!I150,recreation_claude_v2_2!I150,recreation_claude_v2_1!I150)/COUNT(recreation_claude_v2_5!I150,recreation_claude_v2_4!I150,recreation_claude_v2_3!I150,recreation_claude_v2_2!I150,recreation_claude_v2_1!I150),0), "NA")</f>
        <v>1</v>
      </c>
      <c r="J150">
        <f>IF(AND($E150 = 1, $F150 = 1), ROUND(SUM(recreation_claude_v2_5!J150,recreation_claude_v2_4!J150,recreation_claude_v2_3!J150,recreation_claude_v2_2!J150,recreation_claude_v2_1!J150)/COUNT(recreation_claude_v2_5!J150,recreation_claude_v2_4!J150,recreation_claude_v2_3!J150,recreation_claude_v2_2!J150,recreation_claude_v2_1!J150),0), "NA")</f>
        <v>1</v>
      </c>
      <c r="K150">
        <f>IF($D150 = 1, ROUND(SUM(recreation_claude_v2_5!K150,recreation_claude_v2_4!K150,recreation_claude_v2_3!K150,recreation_claude_v2_2!K150,recreation_claude_v2_1!K150)/COUNT(recreation_claude_v2_5!K150,recreation_claude_v2_4!K150,recreation_claude_v2_3!K150,recreation_claude_v2_2!K150,recreation_claude_v2_1!K150),0), "NA")</f>
        <v>1</v>
      </c>
      <c r="L150">
        <f>IF($D150 = 1, ROUND(SUM(recreation_claude_v2_5!L150,recreation_claude_v2_4!L150,recreation_claude_v2_3!L150,recreation_claude_v2_2!L150,recreation_claude_v2_1!L150)/COUNT(recreation_claude_v2_5!L150,recreation_claude_v2_4!L150,recreation_claude_v2_3!L150,recreation_claude_v2_2!L150,recreation_claude_v2_1!L150),0), "NA")</f>
        <v>1</v>
      </c>
      <c r="M150">
        <f>IF($D150 = 1, ROUND(SUM(recreation_claude_v2_5!M150,recreation_claude_v2_4!M150,recreation_claude_v2_3!M150,recreation_claude_v2_2!M150,recreation_claude_v2_1!M150)/COUNT(recreation_claude_v2_5!M150,recreation_claude_v2_4!M150,recreation_claude_v2_3!M150,recreation_claude_v2_2!M150,recreation_claude_v2_1!M150),0), "NA")</f>
        <v>1</v>
      </c>
      <c r="N150">
        <f>IF($D150 = 1, ROUND(SUM(recreation_claude_v2_5!N150,recreation_claude_v2_4!N150,recreation_claude_v2_3!N150,recreation_claude_v2_2!N150,recreation_claude_v2_1!N150)/COUNT(recreation_claude_v2_5!N150,recreation_claude_v2_4!N150,recreation_claude_v2_3!N150,recreation_claude_v2_2!N150,recreation_claude_v2_1!N150),0), "NA")</f>
        <v>1</v>
      </c>
      <c r="O150">
        <v>2.4281020164489751</v>
      </c>
    </row>
    <row r="151" spans="1:15" x14ac:dyDescent="0.25">
      <c r="A151" t="s">
        <v>107</v>
      </c>
      <c r="B151" t="s">
        <v>66</v>
      </c>
      <c r="C151">
        <v>0</v>
      </c>
      <c r="D151">
        <f>ROUND(SUM(recreation_claude_v2_5!D151,recreation_claude_v2_4!D151,recreation_claude_v2_3!D151,recreation_claude_v2_2!D151,recreation_claude_v2_1!D151)/COUNT(recreation_claude_v2_5!D151,recreation_claude_v2_4!D151,recreation_claude_v2_3!D151,recreation_claude_v2_2!D151,recreation_claude_v2_1!D151),0)</f>
        <v>1</v>
      </c>
      <c r="E151">
        <f>IF($D151 = 1, ROUND(SUM(recreation_claude_v2_5!E151,recreation_claude_v2_4!E151,recreation_claude_v2_3!E151,recreation_claude_v2_2!E151,recreation_claude_v2_1!E151)/COUNT(recreation_claude_v2_5!E151,recreation_claude_v2_4!E151,recreation_claude_v2_3!E151,recreation_claude_v2_2!E151,recreation_claude_v2_1!E151),0), "NA")</f>
        <v>1</v>
      </c>
      <c r="F151">
        <f>IF($D151 = 1, ROUND(SUM(recreation_claude_v2_5!F151,recreation_claude_v2_4!F151,recreation_claude_v2_3!F151,recreation_claude_v2_2!F151,recreation_claude_v2_1!F151)/COUNT(recreation_claude_v2_5!F151,recreation_claude_v2_4!F151,recreation_claude_v2_3!F151,recreation_claude_v2_2!F151,recreation_claude_v2_1!F151),0), "NA")</f>
        <v>1</v>
      </c>
      <c r="G151">
        <f>IF($D151 = 1, ROUND(SUM(recreation_claude_v2_5!G151,recreation_claude_v2_4!G151,recreation_claude_v2_3!G151,recreation_claude_v2_2!G151,recreation_claude_v2_1!G151)/COUNT(recreation_claude_v2_5!G151,recreation_claude_v2_4!G151,recreation_claude_v2_3!G151,recreation_claude_v2_2!G151,recreation_claude_v2_1!G151),0), "NA")</f>
        <v>1</v>
      </c>
      <c r="H151">
        <f>IF($E151 = 1, ROUND(SUM(recreation_claude_v2_5!H151,recreation_claude_v2_4!H151,recreation_claude_v2_3!H151,recreation_claude_v2_2!H151,recreation_claude_v2_1!H151)/COUNT(recreation_claude_v2_5!H151,recreation_claude_v2_4!H151,recreation_claude_v2_3!H151,recreation_claude_v2_2!H151,recreation_claude_v2_1!H151),0), "NA")</f>
        <v>1</v>
      </c>
      <c r="I151">
        <f>IF($D151 = 1, ROUND(SUM(recreation_claude_v2_5!I151,recreation_claude_v2_4!I151,recreation_claude_v2_3!I151,recreation_claude_v2_2!I151,recreation_claude_v2_1!I151)/COUNT(recreation_claude_v2_5!I151,recreation_claude_v2_4!I151,recreation_claude_v2_3!I151,recreation_claude_v2_2!I151,recreation_claude_v2_1!I151),0), "NA")</f>
        <v>1</v>
      </c>
      <c r="J151">
        <f>IF(AND($E151 = 1, $F151 = 1), ROUND(SUM(recreation_claude_v2_5!J151,recreation_claude_v2_4!J151,recreation_claude_v2_3!J151,recreation_claude_v2_2!J151,recreation_claude_v2_1!J151)/COUNT(recreation_claude_v2_5!J151,recreation_claude_v2_4!J151,recreation_claude_v2_3!J151,recreation_claude_v2_2!J151,recreation_claude_v2_1!J151),0), "NA")</f>
        <v>1</v>
      </c>
      <c r="K151">
        <f>IF($D151 = 1, ROUND(SUM(recreation_claude_v2_5!K151,recreation_claude_v2_4!K151,recreation_claude_v2_3!K151,recreation_claude_v2_2!K151,recreation_claude_v2_1!K151)/COUNT(recreation_claude_v2_5!K151,recreation_claude_v2_4!K151,recreation_claude_v2_3!K151,recreation_claude_v2_2!K151,recreation_claude_v2_1!K151),0), "NA")</f>
        <v>1</v>
      </c>
      <c r="L151">
        <f>IF($D151 = 1, ROUND(SUM(recreation_claude_v2_5!L151,recreation_claude_v2_4!L151,recreation_claude_v2_3!L151,recreation_claude_v2_2!L151,recreation_claude_v2_1!L151)/COUNT(recreation_claude_v2_5!L151,recreation_claude_v2_4!L151,recreation_claude_v2_3!L151,recreation_claude_v2_2!L151,recreation_claude_v2_1!L151),0), "NA")</f>
        <v>1</v>
      </c>
      <c r="M151">
        <f>IF($D151 = 1, ROUND(SUM(recreation_claude_v2_5!M151,recreation_claude_v2_4!M151,recreation_claude_v2_3!M151,recreation_claude_v2_2!M151,recreation_claude_v2_1!M151)/COUNT(recreation_claude_v2_5!M151,recreation_claude_v2_4!M151,recreation_claude_v2_3!M151,recreation_claude_v2_2!M151,recreation_claude_v2_1!M151),0), "NA")</f>
        <v>1</v>
      </c>
      <c r="N151">
        <f>IF($D151 = 1, ROUND(SUM(recreation_claude_v2_5!N151,recreation_claude_v2_4!N151,recreation_claude_v2_3!N151,recreation_claude_v2_2!N151,recreation_claude_v2_1!N151)/COUNT(recreation_claude_v2_5!N151,recreation_claude_v2_4!N151,recreation_claude_v2_3!N151,recreation_claude_v2_2!N151,recreation_claude_v2_1!N151),0), "NA")</f>
        <v>1</v>
      </c>
      <c r="O151">
        <v>1.8421614170074461</v>
      </c>
    </row>
    <row r="152" spans="1:15" x14ac:dyDescent="0.25">
      <c r="A152" t="s">
        <v>107</v>
      </c>
      <c r="B152" t="s">
        <v>67</v>
      </c>
      <c r="C152">
        <v>0</v>
      </c>
      <c r="D152">
        <f>ROUND(SUM(recreation_claude_v2_5!D152,recreation_claude_v2_4!D152,recreation_claude_v2_3!D152,recreation_claude_v2_2!D152,recreation_claude_v2_1!D152)/COUNT(recreation_claude_v2_5!D152,recreation_claude_v2_4!D152,recreation_claude_v2_3!D152,recreation_claude_v2_2!D152,recreation_claude_v2_1!D152),0)</f>
        <v>1</v>
      </c>
      <c r="E152">
        <f>IF($D152 = 1, ROUND(SUM(recreation_claude_v2_5!E152,recreation_claude_v2_4!E152,recreation_claude_v2_3!E152,recreation_claude_v2_2!E152,recreation_claude_v2_1!E152)/COUNT(recreation_claude_v2_5!E152,recreation_claude_v2_4!E152,recreation_claude_v2_3!E152,recreation_claude_v2_2!E152,recreation_claude_v2_1!E152),0), "NA")</f>
        <v>1</v>
      </c>
      <c r="F152">
        <f>IF($D152 = 1, ROUND(SUM(recreation_claude_v2_5!F152,recreation_claude_v2_4!F152,recreation_claude_v2_3!F152,recreation_claude_v2_2!F152,recreation_claude_v2_1!F152)/COUNT(recreation_claude_v2_5!F152,recreation_claude_v2_4!F152,recreation_claude_v2_3!F152,recreation_claude_v2_2!F152,recreation_claude_v2_1!F152),0), "NA")</f>
        <v>1</v>
      </c>
      <c r="G152">
        <f>IF($D152 = 1, ROUND(SUM(recreation_claude_v2_5!G152,recreation_claude_v2_4!G152,recreation_claude_v2_3!G152,recreation_claude_v2_2!G152,recreation_claude_v2_1!G152)/COUNT(recreation_claude_v2_5!G152,recreation_claude_v2_4!G152,recreation_claude_v2_3!G152,recreation_claude_v2_2!G152,recreation_claude_v2_1!G152),0), "NA")</f>
        <v>1</v>
      </c>
      <c r="H152">
        <f>IF($E152 = 1, ROUND(SUM(recreation_claude_v2_5!H152,recreation_claude_v2_4!H152,recreation_claude_v2_3!H152,recreation_claude_v2_2!H152,recreation_claude_v2_1!H152)/COUNT(recreation_claude_v2_5!H152,recreation_claude_v2_4!H152,recreation_claude_v2_3!H152,recreation_claude_v2_2!H152,recreation_claude_v2_1!H152),0), "NA")</f>
        <v>1</v>
      </c>
      <c r="I152">
        <f>IF($D152 = 1, ROUND(SUM(recreation_claude_v2_5!I152,recreation_claude_v2_4!I152,recreation_claude_v2_3!I152,recreation_claude_v2_2!I152,recreation_claude_v2_1!I152)/COUNT(recreation_claude_v2_5!I152,recreation_claude_v2_4!I152,recreation_claude_v2_3!I152,recreation_claude_v2_2!I152,recreation_claude_v2_1!I152),0), "NA")</f>
        <v>1</v>
      </c>
      <c r="J152">
        <f>IF(AND($E152 = 1, $F152 = 1), ROUND(SUM(recreation_claude_v2_5!J152,recreation_claude_v2_4!J152,recreation_claude_v2_3!J152,recreation_claude_v2_2!J152,recreation_claude_v2_1!J152)/COUNT(recreation_claude_v2_5!J152,recreation_claude_v2_4!J152,recreation_claude_v2_3!J152,recreation_claude_v2_2!J152,recreation_claude_v2_1!J152),0), "NA")</f>
        <v>1</v>
      </c>
      <c r="K152">
        <f>IF($D152 = 1, ROUND(SUM(recreation_claude_v2_5!K152,recreation_claude_v2_4!K152,recreation_claude_v2_3!K152,recreation_claude_v2_2!K152,recreation_claude_v2_1!K152)/COUNT(recreation_claude_v2_5!K152,recreation_claude_v2_4!K152,recreation_claude_v2_3!K152,recreation_claude_v2_2!K152,recreation_claude_v2_1!K152),0), "NA")</f>
        <v>1</v>
      </c>
      <c r="L152">
        <f>IF($D152 = 1, ROUND(SUM(recreation_claude_v2_5!L152,recreation_claude_v2_4!L152,recreation_claude_v2_3!L152,recreation_claude_v2_2!L152,recreation_claude_v2_1!L152)/COUNT(recreation_claude_v2_5!L152,recreation_claude_v2_4!L152,recreation_claude_v2_3!L152,recreation_claude_v2_2!L152,recreation_claude_v2_1!L152),0), "NA")</f>
        <v>1</v>
      </c>
      <c r="M152">
        <f>IF($D152 = 1, ROUND(SUM(recreation_claude_v2_5!M152,recreation_claude_v2_4!M152,recreation_claude_v2_3!M152,recreation_claude_v2_2!M152,recreation_claude_v2_1!M152)/COUNT(recreation_claude_v2_5!M152,recreation_claude_v2_4!M152,recreation_claude_v2_3!M152,recreation_claude_v2_2!M152,recreation_claude_v2_1!M152),0), "NA")</f>
        <v>1</v>
      </c>
      <c r="N152">
        <f>IF($D152 = 1, ROUND(SUM(recreation_claude_v2_5!N152,recreation_claude_v2_4!N152,recreation_claude_v2_3!N152,recreation_claude_v2_2!N152,recreation_claude_v2_1!N152)/COUNT(recreation_claude_v2_5!N152,recreation_claude_v2_4!N152,recreation_claude_v2_3!N152,recreation_claude_v2_2!N152,recreation_claude_v2_1!N152),0), "NA")</f>
        <v>1</v>
      </c>
      <c r="O152">
        <v>1.5146574974060061</v>
      </c>
    </row>
    <row r="153" spans="1:15" x14ac:dyDescent="0.25">
      <c r="A153" t="s">
        <v>107</v>
      </c>
      <c r="B153" t="s">
        <v>69</v>
      </c>
      <c r="C153">
        <v>0</v>
      </c>
      <c r="D153">
        <f>ROUND(SUM(recreation_claude_v2_5!D153,recreation_claude_v2_4!D153,recreation_claude_v2_3!D153,recreation_claude_v2_2!D153,recreation_claude_v2_1!D153)/COUNT(recreation_claude_v2_5!D153,recreation_claude_v2_4!D153,recreation_claude_v2_3!D153,recreation_claude_v2_2!D153,recreation_claude_v2_1!D153),0)</f>
        <v>1</v>
      </c>
      <c r="E153">
        <f>IF($D153 = 1, ROUND(SUM(recreation_claude_v2_5!E153,recreation_claude_v2_4!E153,recreation_claude_v2_3!E153,recreation_claude_v2_2!E153,recreation_claude_v2_1!E153)/COUNT(recreation_claude_v2_5!E153,recreation_claude_v2_4!E153,recreation_claude_v2_3!E153,recreation_claude_v2_2!E153,recreation_claude_v2_1!E153),0), "NA")</f>
        <v>1</v>
      </c>
      <c r="F153">
        <f>IF($D153 = 1, ROUND(SUM(recreation_claude_v2_5!F153,recreation_claude_v2_4!F153,recreation_claude_v2_3!F153,recreation_claude_v2_2!F153,recreation_claude_v2_1!F153)/COUNT(recreation_claude_v2_5!F153,recreation_claude_v2_4!F153,recreation_claude_v2_3!F153,recreation_claude_v2_2!F153,recreation_claude_v2_1!F153),0), "NA")</f>
        <v>1</v>
      </c>
      <c r="G153">
        <f>IF($D153 = 1, ROUND(SUM(recreation_claude_v2_5!G153,recreation_claude_v2_4!G153,recreation_claude_v2_3!G153,recreation_claude_v2_2!G153,recreation_claude_v2_1!G153)/COUNT(recreation_claude_v2_5!G153,recreation_claude_v2_4!G153,recreation_claude_v2_3!G153,recreation_claude_v2_2!G153,recreation_claude_v2_1!G153),0), "NA")</f>
        <v>1</v>
      </c>
      <c r="H153">
        <f>IF($E153 = 1, ROUND(SUM(recreation_claude_v2_5!H153,recreation_claude_v2_4!H153,recreation_claude_v2_3!H153,recreation_claude_v2_2!H153,recreation_claude_v2_1!H153)/COUNT(recreation_claude_v2_5!H153,recreation_claude_v2_4!H153,recreation_claude_v2_3!H153,recreation_claude_v2_2!H153,recreation_claude_v2_1!H153),0), "NA")</f>
        <v>1</v>
      </c>
      <c r="I153">
        <f>IF($D153 = 1, ROUND(SUM(recreation_claude_v2_5!I153,recreation_claude_v2_4!I153,recreation_claude_v2_3!I153,recreation_claude_v2_2!I153,recreation_claude_v2_1!I153)/COUNT(recreation_claude_v2_5!I153,recreation_claude_v2_4!I153,recreation_claude_v2_3!I153,recreation_claude_v2_2!I153,recreation_claude_v2_1!I153),0), "NA")</f>
        <v>1</v>
      </c>
      <c r="J153">
        <f>IF(AND($E153 = 1, $F153 = 1), ROUND(SUM(recreation_claude_v2_5!J153,recreation_claude_v2_4!J153,recreation_claude_v2_3!J153,recreation_claude_v2_2!J153,recreation_claude_v2_1!J153)/COUNT(recreation_claude_v2_5!J153,recreation_claude_v2_4!J153,recreation_claude_v2_3!J153,recreation_claude_v2_2!J153,recreation_claude_v2_1!J153),0), "NA")</f>
        <v>1</v>
      </c>
      <c r="K153">
        <f>IF($D153 = 1, ROUND(SUM(recreation_claude_v2_5!K153,recreation_claude_v2_4!K153,recreation_claude_v2_3!K153,recreation_claude_v2_2!K153,recreation_claude_v2_1!K153)/COUNT(recreation_claude_v2_5!K153,recreation_claude_v2_4!K153,recreation_claude_v2_3!K153,recreation_claude_v2_2!K153,recreation_claude_v2_1!K153),0), "NA")</f>
        <v>1</v>
      </c>
      <c r="L153">
        <f>IF($D153 = 1, ROUND(SUM(recreation_claude_v2_5!L153,recreation_claude_v2_4!L153,recreation_claude_v2_3!L153,recreation_claude_v2_2!L153,recreation_claude_v2_1!L153)/COUNT(recreation_claude_v2_5!L153,recreation_claude_v2_4!L153,recreation_claude_v2_3!L153,recreation_claude_v2_2!L153,recreation_claude_v2_1!L153),0), "NA")</f>
        <v>1</v>
      </c>
      <c r="M153">
        <f>IF($D153 = 1, ROUND(SUM(recreation_claude_v2_5!M153,recreation_claude_v2_4!M153,recreation_claude_v2_3!M153,recreation_claude_v2_2!M153,recreation_claude_v2_1!M153)/COUNT(recreation_claude_v2_5!M153,recreation_claude_v2_4!M153,recreation_claude_v2_3!M153,recreation_claude_v2_2!M153,recreation_claude_v2_1!M153),0), "NA")</f>
        <v>1</v>
      </c>
      <c r="N153">
        <f>IF($D153 = 1, ROUND(SUM(recreation_claude_v2_5!N153,recreation_claude_v2_4!N153,recreation_claude_v2_3!N153,recreation_claude_v2_2!N153,recreation_claude_v2_1!N153)/COUNT(recreation_claude_v2_5!N153,recreation_claude_v2_4!N153,recreation_claude_v2_3!N153,recreation_claude_v2_2!N153,recreation_claude_v2_1!N153),0), "NA")</f>
        <v>1</v>
      </c>
      <c r="O153">
        <v>2.3927991390228271</v>
      </c>
    </row>
    <row r="154" spans="1:15" x14ac:dyDescent="0.25">
      <c r="A154" t="s">
        <v>107</v>
      </c>
      <c r="B154" t="s">
        <v>70</v>
      </c>
      <c r="C154">
        <v>0</v>
      </c>
      <c r="D154">
        <f>ROUND(SUM(recreation_claude_v2_5!D154,recreation_claude_v2_4!D154,recreation_claude_v2_3!D154,recreation_claude_v2_2!D154,recreation_claude_v2_1!D154)/COUNT(recreation_claude_v2_5!D154,recreation_claude_v2_4!D154,recreation_claude_v2_3!D154,recreation_claude_v2_2!D154,recreation_claude_v2_1!D154),0)</f>
        <v>1</v>
      </c>
      <c r="E154">
        <f>IF($D154 = 1, ROUND(SUM(recreation_claude_v2_5!E154,recreation_claude_v2_4!E154,recreation_claude_v2_3!E154,recreation_claude_v2_2!E154,recreation_claude_v2_1!E154)/COUNT(recreation_claude_v2_5!E154,recreation_claude_v2_4!E154,recreation_claude_v2_3!E154,recreation_claude_v2_2!E154,recreation_claude_v2_1!E154),0), "NA")</f>
        <v>1</v>
      </c>
      <c r="F154">
        <f>IF($D154 = 1, ROUND(SUM(recreation_claude_v2_5!F154,recreation_claude_v2_4!F154,recreation_claude_v2_3!F154,recreation_claude_v2_2!F154,recreation_claude_v2_1!F154)/COUNT(recreation_claude_v2_5!F154,recreation_claude_v2_4!F154,recreation_claude_v2_3!F154,recreation_claude_v2_2!F154,recreation_claude_v2_1!F154),0), "NA")</f>
        <v>1</v>
      </c>
      <c r="G154">
        <f>IF($D154 = 1, ROUND(SUM(recreation_claude_v2_5!G154,recreation_claude_v2_4!G154,recreation_claude_v2_3!G154,recreation_claude_v2_2!G154,recreation_claude_v2_1!G154)/COUNT(recreation_claude_v2_5!G154,recreation_claude_v2_4!G154,recreation_claude_v2_3!G154,recreation_claude_v2_2!G154,recreation_claude_v2_1!G154),0), "NA")</f>
        <v>1</v>
      </c>
      <c r="H154">
        <f>IF($E154 = 1, ROUND(SUM(recreation_claude_v2_5!H154,recreation_claude_v2_4!H154,recreation_claude_v2_3!H154,recreation_claude_v2_2!H154,recreation_claude_v2_1!H154)/COUNT(recreation_claude_v2_5!H154,recreation_claude_v2_4!H154,recreation_claude_v2_3!H154,recreation_claude_v2_2!H154,recreation_claude_v2_1!H154),0), "NA")</f>
        <v>1</v>
      </c>
      <c r="I154">
        <f>IF($D154 = 1, ROUND(SUM(recreation_claude_v2_5!I154,recreation_claude_v2_4!I154,recreation_claude_v2_3!I154,recreation_claude_v2_2!I154,recreation_claude_v2_1!I154)/COUNT(recreation_claude_v2_5!I154,recreation_claude_v2_4!I154,recreation_claude_v2_3!I154,recreation_claude_v2_2!I154,recreation_claude_v2_1!I154),0), "NA")</f>
        <v>1</v>
      </c>
      <c r="J154">
        <f>IF(AND($E154 = 1, $F154 = 1), ROUND(SUM(recreation_claude_v2_5!J154,recreation_claude_v2_4!J154,recreation_claude_v2_3!J154,recreation_claude_v2_2!J154,recreation_claude_v2_1!J154)/COUNT(recreation_claude_v2_5!J154,recreation_claude_v2_4!J154,recreation_claude_v2_3!J154,recreation_claude_v2_2!J154,recreation_claude_v2_1!J154),0), "NA")</f>
        <v>1</v>
      </c>
      <c r="K154">
        <f>IF($D154 = 1, ROUND(SUM(recreation_claude_v2_5!K154,recreation_claude_v2_4!K154,recreation_claude_v2_3!K154,recreation_claude_v2_2!K154,recreation_claude_v2_1!K154)/COUNT(recreation_claude_v2_5!K154,recreation_claude_v2_4!K154,recreation_claude_v2_3!K154,recreation_claude_v2_2!K154,recreation_claude_v2_1!K154),0), "NA")</f>
        <v>1</v>
      </c>
      <c r="L154">
        <f>IF($D154 = 1, ROUND(SUM(recreation_claude_v2_5!L154,recreation_claude_v2_4!L154,recreation_claude_v2_3!L154,recreation_claude_v2_2!L154,recreation_claude_v2_1!L154)/COUNT(recreation_claude_v2_5!L154,recreation_claude_v2_4!L154,recreation_claude_v2_3!L154,recreation_claude_v2_2!L154,recreation_claude_v2_1!L154),0), "NA")</f>
        <v>1</v>
      </c>
      <c r="M154">
        <f>IF($D154 = 1, ROUND(SUM(recreation_claude_v2_5!M154,recreation_claude_v2_4!M154,recreation_claude_v2_3!M154,recreation_claude_v2_2!M154,recreation_claude_v2_1!M154)/COUNT(recreation_claude_v2_5!M154,recreation_claude_v2_4!M154,recreation_claude_v2_3!M154,recreation_claude_v2_2!M154,recreation_claude_v2_1!M154),0), "NA")</f>
        <v>1</v>
      </c>
      <c r="N154">
        <f>IF($D154 = 1, ROUND(SUM(recreation_claude_v2_5!N154,recreation_claude_v2_4!N154,recreation_claude_v2_3!N154,recreation_claude_v2_2!N154,recreation_claude_v2_1!N154)/COUNT(recreation_claude_v2_5!N154,recreation_claude_v2_4!N154,recreation_claude_v2_3!N154,recreation_claude_v2_2!N154,recreation_claude_v2_1!N154),0), "NA")</f>
        <v>1</v>
      </c>
      <c r="O154">
        <v>3.010907649993896</v>
      </c>
    </row>
    <row r="155" spans="1:15" x14ac:dyDescent="0.25">
      <c r="A155" t="s">
        <v>107</v>
      </c>
      <c r="B155" t="s">
        <v>71</v>
      </c>
      <c r="C155">
        <v>0</v>
      </c>
      <c r="D155">
        <f>ROUND(SUM(recreation_claude_v2_5!D155,recreation_claude_v2_4!D155,recreation_claude_v2_3!D155,recreation_claude_v2_2!D155,recreation_claude_v2_1!D155)/COUNT(recreation_claude_v2_5!D155,recreation_claude_v2_4!D155,recreation_claude_v2_3!D155,recreation_claude_v2_2!D155,recreation_claude_v2_1!D155),0)</f>
        <v>1</v>
      </c>
      <c r="E155">
        <f>IF($D155 = 1, ROUND(SUM(recreation_claude_v2_5!E155,recreation_claude_v2_4!E155,recreation_claude_v2_3!E155,recreation_claude_v2_2!E155,recreation_claude_v2_1!E155)/COUNT(recreation_claude_v2_5!E155,recreation_claude_v2_4!E155,recreation_claude_v2_3!E155,recreation_claude_v2_2!E155,recreation_claude_v2_1!E155),0), "NA")</f>
        <v>1</v>
      </c>
      <c r="F155">
        <f>IF($D155 = 1, ROUND(SUM(recreation_claude_v2_5!F155,recreation_claude_v2_4!F155,recreation_claude_v2_3!F155,recreation_claude_v2_2!F155,recreation_claude_v2_1!F155)/COUNT(recreation_claude_v2_5!F155,recreation_claude_v2_4!F155,recreation_claude_v2_3!F155,recreation_claude_v2_2!F155,recreation_claude_v2_1!F155),0), "NA")</f>
        <v>1</v>
      </c>
      <c r="G155">
        <f>IF($D155 = 1, ROUND(SUM(recreation_claude_v2_5!G155,recreation_claude_v2_4!G155,recreation_claude_v2_3!G155,recreation_claude_v2_2!G155,recreation_claude_v2_1!G155)/COUNT(recreation_claude_v2_5!G155,recreation_claude_v2_4!G155,recreation_claude_v2_3!G155,recreation_claude_v2_2!G155,recreation_claude_v2_1!G155),0), "NA")</f>
        <v>1</v>
      </c>
      <c r="H155">
        <f>IF($E155 = 1, ROUND(SUM(recreation_claude_v2_5!H155,recreation_claude_v2_4!H155,recreation_claude_v2_3!H155,recreation_claude_v2_2!H155,recreation_claude_v2_1!H155)/COUNT(recreation_claude_v2_5!H155,recreation_claude_v2_4!H155,recreation_claude_v2_3!H155,recreation_claude_v2_2!H155,recreation_claude_v2_1!H155),0), "NA")</f>
        <v>1</v>
      </c>
      <c r="I155">
        <f>IF($D155 = 1, ROUND(SUM(recreation_claude_v2_5!I155,recreation_claude_v2_4!I155,recreation_claude_v2_3!I155,recreation_claude_v2_2!I155,recreation_claude_v2_1!I155)/COUNT(recreation_claude_v2_5!I155,recreation_claude_v2_4!I155,recreation_claude_v2_3!I155,recreation_claude_v2_2!I155,recreation_claude_v2_1!I155),0), "NA")</f>
        <v>1</v>
      </c>
      <c r="J155">
        <f>IF(AND($E155 = 1, $F155 = 1), ROUND(SUM(recreation_claude_v2_5!J155,recreation_claude_v2_4!J155,recreation_claude_v2_3!J155,recreation_claude_v2_2!J155,recreation_claude_v2_1!J155)/COUNT(recreation_claude_v2_5!J155,recreation_claude_v2_4!J155,recreation_claude_v2_3!J155,recreation_claude_v2_2!J155,recreation_claude_v2_1!J155),0), "NA")</f>
        <v>1</v>
      </c>
      <c r="K155">
        <f>IF($D155 = 1, ROUND(SUM(recreation_claude_v2_5!K155,recreation_claude_v2_4!K155,recreation_claude_v2_3!K155,recreation_claude_v2_2!K155,recreation_claude_v2_1!K155)/COUNT(recreation_claude_v2_5!K155,recreation_claude_v2_4!K155,recreation_claude_v2_3!K155,recreation_claude_v2_2!K155,recreation_claude_v2_1!K155),0), "NA")</f>
        <v>1</v>
      </c>
      <c r="L155">
        <f>IF($D155 = 1, ROUND(SUM(recreation_claude_v2_5!L155,recreation_claude_v2_4!L155,recreation_claude_v2_3!L155,recreation_claude_v2_2!L155,recreation_claude_v2_1!L155)/COUNT(recreation_claude_v2_5!L155,recreation_claude_v2_4!L155,recreation_claude_v2_3!L155,recreation_claude_v2_2!L155,recreation_claude_v2_1!L155),0), "NA")</f>
        <v>1</v>
      </c>
      <c r="M155">
        <f>IF($D155 = 1, ROUND(SUM(recreation_claude_v2_5!M155,recreation_claude_v2_4!M155,recreation_claude_v2_3!M155,recreation_claude_v2_2!M155,recreation_claude_v2_1!M155)/COUNT(recreation_claude_v2_5!M155,recreation_claude_v2_4!M155,recreation_claude_v2_3!M155,recreation_claude_v2_2!M155,recreation_claude_v2_1!M155),0), "NA")</f>
        <v>1</v>
      </c>
      <c r="N155">
        <f>IF($D155 = 1, ROUND(SUM(recreation_claude_v2_5!N155,recreation_claude_v2_4!N155,recreation_claude_v2_3!N155,recreation_claude_v2_2!N155,recreation_claude_v2_1!N155)/COUNT(recreation_claude_v2_5!N155,recreation_claude_v2_4!N155,recreation_claude_v2_3!N155,recreation_claude_v2_2!N155,recreation_claude_v2_1!N155),0), "NA")</f>
        <v>1</v>
      </c>
      <c r="O155">
        <v>1.806102514266968</v>
      </c>
    </row>
    <row r="156" spans="1:15" x14ac:dyDescent="0.25">
      <c r="A156" t="s">
        <v>107</v>
      </c>
      <c r="B156" t="s">
        <v>72</v>
      </c>
      <c r="C156">
        <v>0</v>
      </c>
      <c r="D156">
        <f>ROUND(SUM(recreation_claude_v2_5!D156,recreation_claude_v2_4!D156,recreation_claude_v2_3!D156,recreation_claude_v2_2!D156,recreation_claude_v2_1!D156)/COUNT(recreation_claude_v2_5!D156,recreation_claude_v2_4!D156,recreation_claude_v2_3!D156,recreation_claude_v2_2!D156,recreation_claude_v2_1!D156),0)</f>
        <v>1</v>
      </c>
      <c r="E156">
        <f>IF($D156 = 1, ROUND(SUM(recreation_claude_v2_5!E156,recreation_claude_v2_4!E156,recreation_claude_v2_3!E156,recreation_claude_v2_2!E156,recreation_claude_v2_1!E156)/COUNT(recreation_claude_v2_5!E156,recreation_claude_v2_4!E156,recreation_claude_v2_3!E156,recreation_claude_v2_2!E156,recreation_claude_v2_1!E156),0), "NA")</f>
        <v>1</v>
      </c>
      <c r="F156">
        <f>IF($D156 = 1, ROUND(SUM(recreation_claude_v2_5!F156,recreation_claude_v2_4!F156,recreation_claude_v2_3!F156,recreation_claude_v2_2!F156,recreation_claude_v2_1!F156)/COUNT(recreation_claude_v2_5!F156,recreation_claude_v2_4!F156,recreation_claude_v2_3!F156,recreation_claude_v2_2!F156,recreation_claude_v2_1!F156),0), "NA")</f>
        <v>0</v>
      </c>
      <c r="G156">
        <f>IF($D156 = 1, ROUND(SUM(recreation_claude_v2_5!G156,recreation_claude_v2_4!G156,recreation_claude_v2_3!G156,recreation_claude_v2_2!G156,recreation_claude_v2_1!G156)/COUNT(recreation_claude_v2_5!G156,recreation_claude_v2_4!G156,recreation_claude_v2_3!G156,recreation_claude_v2_2!G156,recreation_claude_v2_1!G156),0), "NA")</f>
        <v>1</v>
      </c>
      <c r="H156">
        <f>IF($E156 = 1, ROUND(SUM(recreation_claude_v2_5!H156,recreation_claude_v2_4!H156,recreation_claude_v2_3!H156,recreation_claude_v2_2!H156,recreation_claude_v2_1!H156)/COUNT(recreation_claude_v2_5!H156,recreation_claude_v2_4!H156,recreation_claude_v2_3!H156,recreation_claude_v2_2!H156,recreation_claude_v2_1!H156),0), "NA")</f>
        <v>1</v>
      </c>
      <c r="I156">
        <f>IF($D156 = 1, ROUND(SUM(recreation_claude_v2_5!I156,recreation_claude_v2_4!I156,recreation_claude_v2_3!I156,recreation_claude_v2_2!I156,recreation_claude_v2_1!I156)/COUNT(recreation_claude_v2_5!I156,recreation_claude_v2_4!I156,recreation_claude_v2_3!I156,recreation_claude_v2_2!I156,recreation_claude_v2_1!I156),0), "NA")</f>
        <v>1</v>
      </c>
      <c r="J156" t="str">
        <f>IF(AND($E156 = 1, $F156 = 1), ROUND(SUM(recreation_claude_v2_5!J156,recreation_claude_v2_4!J156,recreation_claude_v2_3!J156,recreation_claude_v2_2!J156,recreation_claude_v2_1!J156)/COUNT(recreation_claude_v2_5!J156,recreation_claude_v2_4!J156,recreation_claude_v2_3!J156,recreation_claude_v2_2!J156,recreation_claude_v2_1!J156),0), "NA")</f>
        <v>NA</v>
      </c>
      <c r="K156">
        <f>IF($D156 = 1, ROUND(SUM(recreation_claude_v2_5!K156,recreation_claude_v2_4!K156,recreation_claude_v2_3!K156,recreation_claude_v2_2!K156,recreation_claude_v2_1!K156)/COUNT(recreation_claude_v2_5!K156,recreation_claude_v2_4!K156,recreation_claude_v2_3!K156,recreation_claude_v2_2!K156,recreation_claude_v2_1!K156),0), "NA")</f>
        <v>1</v>
      </c>
      <c r="L156">
        <f>IF($D156 = 1, ROUND(SUM(recreation_claude_v2_5!L156,recreation_claude_v2_4!L156,recreation_claude_v2_3!L156,recreation_claude_v2_2!L156,recreation_claude_v2_1!L156)/COUNT(recreation_claude_v2_5!L156,recreation_claude_v2_4!L156,recreation_claude_v2_3!L156,recreation_claude_v2_2!L156,recreation_claude_v2_1!L156),0), "NA")</f>
        <v>1</v>
      </c>
      <c r="M156">
        <f>IF($D156 = 1, ROUND(SUM(recreation_claude_v2_5!M156,recreation_claude_v2_4!M156,recreation_claude_v2_3!M156,recreation_claude_v2_2!M156,recreation_claude_v2_1!M156)/COUNT(recreation_claude_v2_5!M156,recreation_claude_v2_4!M156,recreation_claude_v2_3!M156,recreation_claude_v2_2!M156,recreation_claude_v2_1!M156),0), "NA")</f>
        <v>1</v>
      </c>
      <c r="N156">
        <f>IF($D156 = 1, ROUND(SUM(recreation_claude_v2_5!N156,recreation_claude_v2_4!N156,recreation_claude_v2_3!N156,recreation_claude_v2_2!N156,recreation_claude_v2_1!N156)/COUNT(recreation_claude_v2_5!N156,recreation_claude_v2_4!N156,recreation_claude_v2_3!N156,recreation_claude_v2_2!N156,recreation_claude_v2_1!N156),0), "NA")</f>
        <v>1</v>
      </c>
      <c r="O156">
        <v>2.6940841674804692</v>
      </c>
    </row>
    <row r="157" spans="1:15" x14ac:dyDescent="0.25">
      <c r="A157" t="s">
        <v>107</v>
      </c>
      <c r="B157" t="s">
        <v>74</v>
      </c>
      <c r="C157">
        <v>0</v>
      </c>
      <c r="D157">
        <f>ROUND(SUM(recreation_claude_v2_5!D157,recreation_claude_v2_4!D157,recreation_claude_v2_3!D157,recreation_claude_v2_2!D157,recreation_claude_v2_1!D157)/COUNT(recreation_claude_v2_5!D157,recreation_claude_v2_4!D157,recreation_claude_v2_3!D157,recreation_claude_v2_2!D157,recreation_claude_v2_1!D157),0)</f>
        <v>1</v>
      </c>
      <c r="E157">
        <f>IF($D157 = 1, ROUND(SUM(recreation_claude_v2_5!E157,recreation_claude_v2_4!E157,recreation_claude_v2_3!E157,recreation_claude_v2_2!E157,recreation_claude_v2_1!E157)/COUNT(recreation_claude_v2_5!E157,recreation_claude_v2_4!E157,recreation_claude_v2_3!E157,recreation_claude_v2_2!E157,recreation_claude_v2_1!E157),0), "NA")</f>
        <v>1</v>
      </c>
      <c r="F157">
        <f>IF($D157 = 1, ROUND(SUM(recreation_claude_v2_5!F157,recreation_claude_v2_4!F157,recreation_claude_v2_3!F157,recreation_claude_v2_2!F157,recreation_claude_v2_1!F157)/COUNT(recreation_claude_v2_5!F157,recreation_claude_v2_4!F157,recreation_claude_v2_3!F157,recreation_claude_v2_2!F157,recreation_claude_v2_1!F157),0), "NA")</f>
        <v>1</v>
      </c>
      <c r="G157">
        <f>IF($D157 = 1, ROUND(SUM(recreation_claude_v2_5!G157,recreation_claude_v2_4!G157,recreation_claude_v2_3!G157,recreation_claude_v2_2!G157,recreation_claude_v2_1!G157)/COUNT(recreation_claude_v2_5!G157,recreation_claude_v2_4!G157,recreation_claude_v2_3!G157,recreation_claude_v2_2!G157,recreation_claude_v2_1!G157),0), "NA")</f>
        <v>1</v>
      </c>
      <c r="H157">
        <f>IF($E157 = 1, ROUND(SUM(recreation_claude_v2_5!H157,recreation_claude_v2_4!H157,recreation_claude_v2_3!H157,recreation_claude_v2_2!H157,recreation_claude_v2_1!H157)/COUNT(recreation_claude_v2_5!H157,recreation_claude_v2_4!H157,recreation_claude_v2_3!H157,recreation_claude_v2_2!H157,recreation_claude_v2_1!H157),0), "NA")</f>
        <v>1</v>
      </c>
      <c r="I157">
        <f>IF($D157 = 1, ROUND(SUM(recreation_claude_v2_5!I157,recreation_claude_v2_4!I157,recreation_claude_v2_3!I157,recreation_claude_v2_2!I157,recreation_claude_v2_1!I157)/COUNT(recreation_claude_v2_5!I157,recreation_claude_v2_4!I157,recreation_claude_v2_3!I157,recreation_claude_v2_2!I157,recreation_claude_v2_1!I157),0), "NA")</f>
        <v>1</v>
      </c>
      <c r="J157">
        <f>IF(AND($E157 = 1, $F157 = 1), ROUND(SUM(recreation_claude_v2_5!J157,recreation_claude_v2_4!J157,recreation_claude_v2_3!J157,recreation_claude_v2_2!J157,recreation_claude_v2_1!J157)/COUNT(recreation_claude_v2_5!J157,recreation_claude_v2_4!J157,recreation_claude_v2_3!J157,recreation_claude_v2_2!J157,recreation_claude_v2_1!J157),0), "NA")</f>
        <v>1</v>
      </c>
      <c r="K157">
        <f>IF($D157 = 1, ROUND(SUM(recreation_claude_v2_5!K157,recreation_claude_v2_4!K157,recreation_claude_v2_3!K157,recreation_claude_v2_2!K157,recreation_claude_v2_1!K157)/COUNT(recreation_claude_v2_5!K157,recreation_claude_v2_4!K157,recreation_claude_v2_3!K157,recreation_claude_v2_2!K157,recreation_claude_v2_1!K157),0), "NA")</f>
        <v>1</v>
      </c>
      <c r="L157">
        <f>IF($D157 = 1, ROUND(SUM(recreation_claude_v2_5!L157,recreation_claude_v2_4!L157,recreation_claude_v2_3!L157,recreation_claude_v2_2!L157,recreation_claude_v2_1!L157)/COUNT(recreation_claude_v2_5!L157,recreation_claude_v2_4!L157,recreation_claude_v2_3!L157,recreation_claude_v2_2!L157,recreation_claude_v2_1!L157),0), "NA")</f>
        <v>1</v>
      </c>
      <c r="M157">
        <f>IF($D157 = 1, ROUND(SUM(recreation_claude_v2_5!M157,recreation_claude_v2_4!M157,recreation_claude_v2_3!M157,recreation_claude_v2_2!M157,recreation_claude_v2_1!M157)/COUNT(recreation_claude_v2_5!M157,recreation_claude_v2_4!M157,recreation_claude_v2_3!M157,recreation_claude_v2_2!M157,recreation_claude_v2_1!M157),0), "NA")</f>
        <v>1</v>
      </c>
      <c r="N157">
        <f>IF($D157 = 1, ROUND(SUM(recreation_claude_v2_5!N157,recreation_claude_v2_4!N157,recreation_claude_v2_3!N157,recreation_claude_v2_2!N157,recreation_claude_v2_1!N157)/COUNT(recreation_claude_v2_5!N157,recreation_claude_v2_4!N157,recreation_claude_v2_3!N157,recreation_claude_v2_2!N157,recreation_claude_v2_1!N157),0), "NA")</f>
        <v>1</v>
      </c>
      <c r="O157">
        <v>1.5040936470031741</v>
      </c>
    </row>
    <row r="158" spans="1:15" x14ac:dyDescent="0.25">
      <c r="A158" t="s">
        <v>107</v>
      </c>
      <c r="B158" t="s">
        <v>75</v>
      </c>
      <c r="C158">
        <v>0</v>
      </c>
      <c r="D158">
        <f>ROUND(SUM(recreation_claude_v2_5!D158,recreation_claude_v2_4!D158,recreation_claude_v2_3!D158,recreation_claude_v2_2!D158,recreation_claude_v2_1!D158)/COUNT(recreation_claude_v2_5!D158,recreation_claude_v2_4!D158,recreation_claude_v2_3!D158,recreation_claude_v2_2!D158,recreation_claude_v2_1!D158),0)</f>
        <v>1</v>
      </c>
      <c r="E158">
        <f>IF($D158 = 1, ROUND(SUM(recreation_claude_v2_5!E158,recreation_claude_v2_4!E158,recreation_claude_v2_3!E158,recreation_claude_v2_2!E158,recreation_claude_v2_1!E158)/COUNT(recreation_claude_v2_5!E158,recreation_claude_v2_4!E158,recreation_claude_v2_3!E158,recreation_claude_v2_2!E158,recreation_claude_v2_1!E158),0), "NA")</f>
        <v>1</v>
      </c>
      <c r="F158">
        <f>IF($D158 = 1, ROUND(SUM(recreation_claude_v2_5!F158,recreation_claude_v2_4!F158,recreation_claude_v2_3!F158,recreation_claude_v2_2!F158,recreation_claude_v2_1!F158)/COUNT(recreation_claude_v2_5!F158,recreation_claude_v2_4!F158,recreation_claude_v2_3!F158,recreation_claude_v2_2!F158,recreation_claude_v2_1!F158),0), "NA")</f>
        <v>1</v>
      </c>
      <c r="G158">
        <f>IF($D158 = 1, ROUND(SUM(recreation_claude_v2_5!G158,recreation_claude_v2_4!G158,recreation_claude_v2_3!G158,recreation_claude_v2_2!G158,recreation_claude_v2_1!G158)/COUNT(recreation_claude_v2_5!G158,recreation_claude_v2_4!G158,recreation_claude_v2_3!G158,recreation_claude_v2_2!G158,recreation_claude_v2_1!G158),0), "NA")</f>
        <v>1</v>
      </c>
      <c r="H158">
        <f>IF($E158 = 1, ROUND(SUM(recreation_claude_v2_5!H158,recreation_claude_v2_4!H158,recreation_claude_v2_3!H158,recreation_claude_v2_2!H158,recreation_claude_v2_1!H158)/COUNT(recreation_claude_v2_5!H158,recreation_claude_v2_4!H158,recreation_claude_v2_3!H158,recreation_claude_v2_2!H158,recreation_claude_v2_1!H158),0), "NA")</f>
        <v>1</v>
      </c>
      <c r="I158">
        <f>IF($D158 = 1, ROUND(SUM(recreation_claude_v2_5!I158,recreation_claude_v2_4!I158,recreation_claude_v2_3!I158,recreation_claude_v2_2!I158,recreation_claude_v2_1!I158)/COUNT(recreation_claude_v2_5!I158,recreation_claude_v2_4!I158,recreation_claude_v2_3!I158,recreation_claude_v2_2!I158,recreation_claude_v2_1!I158),0), "NA")</f>
        <v>1</v>
      </c>
      <c r="J158">
        <f>IF(AND($E158 = 1, $F158 = 1), ROUND(SUM(recreation_claude_v2_5!J158,recreation_claude_v2_4!J158,recreation_claude_v2_3!J158,recreation_claude_v2_2!J158,recreation_claude_v2_1!J158)/COUNT(recreation_claude_v2_5!J158,recreation_claude_v2_4!J158,recreation_claude_v2_3!J158,recreation_claude_v2_2!J158,recreation_claude_v2_1!J158),0), "NA")</f>
        <v>1</v>
      </c>
      <c r="K158">
        <f>IF($D158 = 1, ROUND(SUM(recreation_claude_v2_5!K158,recreation_claude_v2_4!K158,recreation_claude_v2_3!K158,recreation_claude_v2_2!K158,recreation_claude_v2_1!K158)/COUNT(recreation_claude_v2_5!K158,recreation_claude_v2_4!K158,recreation_claude_v2_3!K158,recreation_claude_v2_2!K158,recreation_claude_v2_1!K158),0), "NA")</f>
        <v>1</v>
      </c>
      <c r="L158">
        <f>IF($D158 = 1, ROUND(SUM(recreation_claude_v2_5!L158,recreation_claude_v2_4!L158,recreation_claude_v2_3!L158,recreation_claude_v2_2!L158,recreation_claude_v2_1!L158)/COUNT(recreation_claude_v2_5!L158,recreation_claude_v2_4!L158,recreation_claude_v2_3!L158,recreation_claude_v2_2!L158,recreation_claude_v2_1!L158),0), "NA")</f>
        <v>1</v>
      </c>
      <c r="M158">
        <f>IF($D158 = 1, ROUND(SUM(recreation_claude_v2_5!M158,recreation_claude_v2_4!M158,recreation_claude_v2_3!M158,recreation_claude_v2_2!M158,recreation_claude_v2_1!M158)/COUNT(recreation_claude_v2_5!M158,recreation_claude_v2_4!M158,recreation_claude_v2_3!M158,recreation_claude_v2_2!M158,recreation_claude_v2_1!M158),0), "NA")</f>
        <v>1</v>
      </c>
      <c r="N158">
        <f>IF($D158 = 1, ROUND(SUM(recreation_claude_v2_5!N158,recreation_claude_v2_4!N158,recreation_claude_v2_3!N158,recreation_claude_v2_2!N158,recreation_claude_v2_1!N158)/COUNT(recreation_claude_v2_5!N158,recreation_claude_v2_4!N158,recreation_claude_v2_3!N158,recreation_claude_v2_2!N158,recreation_claude_v2_1!N158),0), "NA")</f>
        <v>1</v>
      </c>
      <c r="O158">
        <v>1.7891907691955571</v>
      </c>
    </row>
    <row r="159" spans="1:15" x14ac:dyDescent="0.25">
      <c r="A159" t="s">
        <v>107</v>
      </c>
      <c r="B159" t="s">
        <v>76</v>
      </c>
      <c r="C159">
        <v>0</v>
      </c>
      <c r="D159">
        <f>ROUND(SUM(recreation_claude_v2_5!D159,recreation_claude_v2_4!D159,recreation_claude_v2_3!D159,recreation_claude_v2_2!D159,recreation_claude_v2_1!D159)/COUNT(recreation_claude_v2_5!D159,recreation_claude_v2_4!D159,recreation_claude_v2_3!D159,recreation_claude_v2_2!D159,recreation_claude_v2_1!D159),0)</f>
        <v>1</v>
      </c>
      <c r="E159">
        <f>IF($D159 = 1, ROUND(SUM(recreation_claude_v2_5!E159,recreation_claude_v2_4!E159,recreation_claude_v2_3!E159,recreation_claude_v2_2!E159,recreation_claude_v2_1!E159)/COUNT(recreation_claude_v2_5!E159,recreation_claude_v2_4!E159,recreation_claude_v2_3!E159,recreation_claude_v2_2!E159,recreation_claude_v2_1!E159),0), "NA")</f>
        <v>1</v>
      </c>
      <c r="F159">
        <f>IF($D159 = 1, ROUND(SUM(recreation_claude_v2_5!F159,recreation_claude_v2_4!F159,recreation_claude_v2_3!F159,recreation_claude_v2_2!F159,recreation_claude_v2_1!F159)/COUNT(recreation_claude_v2_5!F159,recreation_claude_v2_4!F159,recreation_claude_v2_3!F159,recreation_claude_v2_2!F159,recreation_claude_v2_1!F159),0), "NA")</f>
        <v>1</v>
      </c>
      <c r="G159">
        <f>IF($D159 = 1, ROUND(SUM(recreation_claude_v2_5!G159,recreation_claude_v2_4!G159,recreation_claude_v2_3!G159,recreation_claude_v2_2!G159,recreation_claude_v2_1!G159)/COUNT(recreation_claude_v2_5!G159,recreation_claude_v2_4!G159,recreation_claude_v2_3!G159,recreation_claude_v2_2!G159,recreation_claude_v2_1!G159),0), "NA")</f>
        <v>1</v>
      </c>
      <c r="H159">
        <f>IF($E159 = 1, ROUND(SUM(recreation_claude_v2_5!H159,recreation_claude_v2_4!H159,recreation_claude_v2_3!H159,recreation_claude_v2_2!H159,recreation_claude_v2_1!H159)/COUNT(recreation_claude_v2_5!H159,recreation_claude_v2_4!H159,recreation_claude_v2_3!H159,recreation_claude_v2_2!H159,recreation_claude_v2_1!H159),0), "NA")</f>
        <v>1</v>
      </c>
      <c r="I159">
        <f>IF($D159 = 1, ROUND(SUM(recreation_claude_v2_5!I159,recreation_claude_v2_4!I159,recreation_claude_v2_3!I159,recreation_claude_v2_2!I159,recreation_claude_v2_1!I159)/COUNT(recreation_claude_v2_5!I159,recreation_claude_v2_4!I159,recreation_claude_v2_3!I159,recreation_claude_v2_2!I159,recreation_claude_v2_1!I159),0), "NA")</f>
        <v>1</v>
      </c>
      <c r="J159">
        <f>IF(AND($E159 = 1, $F159 = 1), ROUND(SUM(recreation_claude_v2_5!J159,recreation_claude_v2_4!J159,recreation_claude_v2_3!J159,recreation_claude_v2_2!J159,recreation_claude_v2_1!J159)/COUNT(recreation_claude_v2_5!J159,recreation_claude_v2_4!J159,recreation_claude_v2_3!J159,recreation_claude_v2_2!J159,recreation_claude_v2_1!J159),0), "NA")</f>
        <v>1</v>
      </c>
      <c r="K159">
        <f>IF($D159 = 1, ROUND(SUM(recreation_claude_v2_5!K159,recreation_claude_v2_4!K159,recreation_claude_v2_3!K159,recreation_claude_v2_2!K159,recreation_claude_v2_1!K159)/COUNT(recreation_claude_v2_5!K159,recreation_claude_v2_4!K159,recreation_claude_v2_3!K159,recreation_claude_v2_2!K159,recreation_claude_v2_1!K159),0), "NA")</f>
        <v>1</v>
      </c>
      <c r="L159">
        <f>IF($D159 = 1, ROUND(SUM(recreation_claude_v2_5!L159,recreation_claude_v2_4!L159,recreation_claude_v2_3!L159,recreation_claude_v2_2!L159,recreation_claude_v2_1!L159)/COUNT(recreation_claude_v2_5!L159,recreation_claude_v2_4!L159,recreation_claude_v2_3!L159,recreation_claude_v2_2!L159,recreation_claude_v2_1!L159),0), "NA")</f>
        <v>1</v>
      </c>
      <c r="M159">
        <f>IF($D159 = 1, ROUND(SUM(recreation_claude_v2_5!M159,recreation_claude_v2_4!M159,recreation_claude_v2_3!M159,recreation_claude_v2_2!M159,recreation_claude_v2_1!M159)/COUNT(recreation_claude_v2_5!M159,recreation_claude_v2_4!M159,recreation_claude_v2_3!M159,recreation_claude_v2_2!M159,recreation_claude_v2_1!M159),0), "NA")</f>
        <v>1</v>
      </c>
      <c r="N159">
        <f>IF($D159 = 1, ROUND(SUM(recreation_claude_v2_5!N159,recreation_claude_v2_4!N159,recreation_claude_v2_3!N159,recreation_claude_v2_2!N159,recreation_claude_v2_1!N159)/COUNT(recreation_claude_v2_5!N159,recreation_claude_v2_4!N159,recreation_claude_v2_3!N159,recreation_claude_v2_2!N159,recreation_claude_v2_1!N159),0), "NA")</f>
        <v>1</v>
      </c>
      <c r="O159">
        <v>1.4955763816833501</v>
      </c>
    </row>
    <row r="160" spans="1:15" x14ac:dyDescent="0.25">
      <c r="A160" t="s">
        <v>107</v>
      </c>
      <c r="B160" t="s">
        <v>77</v>
      </c>
      <c r="C160">
        <v>0</v>
      </c>
      <c r="D160">
        <f>ROUND(SUM(recreation_claude_v2_5!D160,recreation_claude_v2_4!D160,recreation_claude_v2_3!D160,recreation_claude_v2_2!D160,recreation_claude_v2_1!D160)/COUNT(recreation_claude_v2_5!D160,recreation_claude_v2_4!D160,recreation_claude_v2_3!D160,recreation_claude_v2_2!D160,recreation_claude_v2_1!D160),0)</f>
        <v>0</v>
      </c>
      <c r="E160" t="str">
        <f>IF($D160 = 1, ROUND(SUM(recreation_claude_v2_5!E160,recreation_claude_v2_4!E160,recreation_claude_v2_3!E160,recreation_claude_v2_2!E160,recreation_claude_v2_1!E160)/COUNT(recreation_claude_v2_5!E160,recreation_claude_v2_4!E160,recreation_claude_v2_3!E160,recreation_claude_v2_2!E160,recreation_claude_v2_1!E160),0), "NA")</f>
        <v>NA</v>
      </c>
      <c r="F160" t="str">
        <f>IF($D160 = 1, ROUND(SUM(recreation_claude_v2_5!F160,recreation_claude_v2_4!F160,recreation_claude_v2_3!F160,recreation_claude_v2_2!F160,recreation_claude_v2_1!F160)/COUNT(recreation_claude_v2_5!F160,recreation_claude_v2_4!F160,recreation_claude_v2_3!F160,recreation_claude_v2_2!F160,recreation_claude_v2_1!F160),0), "NA")</f>
        <v>NA</v>
      </c>
      <c r="G160" t="str">
        <f>IF($D160 = 1, ROUND(SUM(recreation_claude_v2_5!G160,recreation_claude_v2_4!G160,recreation_claude_v2_3!G160,recreation_claude_v2_2!G160,recreation_claude_v2_1!G160)/COUNT(recreation_claude_v2_5!G160,recreation_claude_v2_4!G160,recreation_claude_v2_3!G160,recreation_claude_v2_2!G160,recreation_claude_v2_1!G160),0), "NA")</f>
        <v>NA</v>
      </c>
      <c r="H160" t="str">
        <f>IF($E160 = 1, ROUND(SUM(recreation_claude_v2_5!H160,recreation_claude_v2_4!H160,recreation_claude_v2_3!H160,recreation_claude_v2_2!H160,recreation_claude_v2_1!H160)/COUNT(recreation_claude_v2_5!H160,recreation_claude_v2_4!H160,recreation_claude_v2_3!H160,recreation_claude_v2_2!H160,recreation_claude_v2_1!H160),0), "NA")</f>
        <v>NA</v>
      </c>
      <c r="I160" t="str">
        <f>IF($D160 = 1, ROUND(SUM(recreation_claude_v2_5!I160,recreation_claude_v2_4!I160,recreation_claude_v2_3!I160,recreation_claude_v2_2!I160,recreation_claude_v2_1!I160)/COUNT(recreation_claude_v2_5!I160,recreation_claude_v2_4!I160,recreation_claude_v2_3!I160,recreation_claude_v2_2!I160,recreation_claude_v2_1!I160),0), "NA")</f>
        <v>NA</v>
      </c>
      <c r="J160" t="str">
        <f>IF(AND($E160 = 1, $F160 = 1), ROUND(SUM(recreation_claude_v2_5!J160,recreation_claude_v2_4!J160,recreation_claude_v2_3!J160,recreation_claude_v2_2!J160,recreation_claude_v2_1!J160)/COUNT(recreation_claude_v2_5!J160,recreation_claude_v2_4!J160,recreation_claude_v2_3!J160,recreation_claude_v2_2!J160,recreation_claude_v2_1!J160),0), "NA")</f>
        <v>NA</v>
      </c>
      <c r="K160" t="str">
        <f>IF($D160 = 1, ROUND(SUM(recreation_claude_v2_5!K160,recreation_claude_v2_4!K160,recreation_claude_v2_3!K160,recreation_claude_v2_2!K160,recreation_claude_v2_1!K160)/COUNT(recreation_claude_v2_5!K160,recreation_claude_v2_4!K160,recreation_claude_v2_3!K160,recreation_claude_v2_2!K160,recreation_claude_v2_1!K160),0), "NA")</f>
        <v>NA</v>
      </c>
      <c r="L160" t="str">
        <f>IF($D160 = 1, ROUND(SUM(recreation_claude_v2_5!L160,recreation_claude_v2_4!L160,recreation_claude_v2_3!L160,recreation_claude_v2_2!L160,recreation_claude_v2_1!L160)/COUNT(recreation_claude_v2_5!L160,recreation_claude_v2_4!L160,recreation_claude_v2_3!L160,recreation_claude_v2_2!L160,recreation_claude_v2_1!L160),0), "NA")</f>
        <v>NA</v>
      </c>
      <c r="M160" t="str">
        <f>IF($D160 = 1, ROUND(SUM(recreation_claude_v2_5!M160,recreation_claude_v2_4!M160,recreation_claude_v2_3!M160,recreation_claude_v2_2!M160,recreation_claude_v2_1!M160)/COUNT(recreation_claude_v2_5!M160,recreation_claude_v2_4!M160,recreation_claude_v2_3!M160,recreation_claude_v2_2!M160,recreation_claude_v2_1!M160),0), "NA")</f>
        <v>NA</v>
      </c>
      <c r="N160" t="str">
        <f>IF($D160 = 1, ROUND(SUM(recreation_claude_v2_5!N160,recreation_claude_v2_4!N160,recreation_claude_v2_3!N160,recreation_claude_v2_2!N160,recreation_claude_v2_1!N160)/COUNT(recreation_claude_v2_5!N160,recreation_claude_v2_4!N160,recreation_claude_v2_3!N160,recreation_claude_v2_2!N160,recreation_claude_v2_1!N160),0), "NA")</f>
        <v>NA</v>
      </c>
      <c r="O160">
        <v>2.9006674289703369</v>
      </c>
    </row>
    <row r="161" spans="1:15" x14ac:dyDescent="0.25">
      <c r="A161" t="s">
        <v>107</v>
      </c>
      <c r="B161" t="s">
        <v>78</v>
      </c>
      <c r="C161">
        <v>0</v>
      </c>
      <c r="D161">
        <f>ROUND(SUM(recreation_claude_v2_5!D161,recreation_claude_v2_4!D161,recreation_claude_v2_3!D161,recreation_claude_v2_2!D161,recreation_claude_v2_1!D161)/COUNT(recreation_claude_v2_5!D161,recreation_claude_v2_4!D161,recreation_claude_v2_3!D161,recreation_claude_v2_2!D161,recreation_claude_v2_1!D161),0)</f>
        <v>1</v>
      </c>
      <c r="E161">
        <f>IF($D161 = 1, ROUND(SUM(recreation_claude_v2_5!E161,recreation_claude_v2_4!E161,recreation_claude_v2_3!E161,recreation_claude_v2_2!E161,recreation_claude_v2_1!E161)/COUNT(recreation_claude_v2_5!E161,recreation_claude_v2_4!E161,recreation_claude_v2_3!E161,recreation_claude_v2_2!E161,recreation_claude_v2_1!E161),0), "NA")</f>
        <v>1</v>
      </c>
      <c r="F161">
        <f>IF($D161 = 1, ROUND(SUM(recreation_claude_v2_5!F161,recreation_claude_v2_4!F161,recreation_claude_v2_3!F161,recreation_claude_v2_2!F161,recreation_claude_v2_1!F161)/COUNT(recreation_claude_v2_5!F161,recreation_claude_v2_4!F161,recreation_claude_v2_3!F161,recreation_claude_v2_2!F161,recreation_claude_v2_1!F161),0), "NA")</f>
        <v>1</v>
      </c>
      <c r="G161">
        <f>IF($D161 = 1, ROUND(SUM(recreation_claude_v2_5!G161,recreation_claude_v2_4!G161,recreation_claude_v2_3!G161,recreation_claude_v2_2!G161,recreation_claude_v2_1!G161)/COUNT(recreation_claude_v2_5!G161,recreation_claude_v2_4!G161,recreation_claude_v2_3!G161,recreation_claude_v2_2!G161,recreation_claude_v2_1!G161),0), "NA")</f>
        <v>1</v>
      </c>
      <c r="H161">
        <f>IF($E161 = 1, ROUND(SUM(recreation_claude_v2_5!H161,recreation_claude_v2_4!H161,recreation_claude_v2_3!H161,recreation_claude_v2_2!H161,recreation_claude_v2_1!H161)/COUNT(recreation_claude_v2_5!H161,recreation_claude_v2_4!H161,recreation_claude_v2_3!H161,recreation_claude_v2_2!H161,recreation_claude_v2_1!H161),0), "NA")</f>
        <v>1</v>
      </c>
      <c r="I161">
        <f>IF($D161 = 1, ROUND(SUM(recreation_claude_v2_5!I161,recreation_claude_v2_4!I161,recreation_claude_v2_3!I161,recreation_claude_v2_2!I161,recreation_claude_v2_1!I161)/COUNT(recreation_claude_v2_5!I161,recreation_claude_v2_4!I161,recreation_claude_v2_3!I161,recreation_claude_v2_2!I161,recreation_claude_v2_1!I161),0), "NA")</f>
        <v>1</v>
      </c>
      <c r="J161">
        <f>IF(AND($E161 = 1, $F161 = 1), ROUND(SUM(recreation_claude_v2_5!J161,recreation_claude_v2_4!J161,recreation_claude_v2_3!J161,recreation_claude_v2_2!J161,recreation_claude_v2_1!J161)/COUNT(recreation_claude_v2_5!J161,recreation_claude_v2_4!J161,recreation_claude_v2_3!J161,recreation_claude_v2_2!J161,recreation_claude_v2_1!J161),0), "NA")</f>
        <v>1</v>
      </c>
      <c r="K161">
        <f>IF($D161 = 1, ROUND(SUM(recreation_claude_v2_5!K161,recreation_claude_v2_4!K161,recreation_claude_v2_3!K161,recreation_claude_v2_2!K161,recreation_claude_v2_1!K161)/COUNT(recreation_claude_v2_5!K161,recreation_claude_v2_4!K161,recreation_claude_v2_3!K161,recreation_claude_v2_2!K161,recreation_claude_v2_1!K161),0), "NA")</f>
        <v>1</v>
      </c>
      <c r="L161">
        <f>IF($D161 = 1, ROUND(SUM(recreation_claude_v2_5!L161,recreation_claude_v2_4!L161,recreation_claude_v2_3!L161,recreation_claude_v2_2!L161,recreation_claude_v2_1!L161)/COUNT(recreation_claude_v2_5!L161,recreation_claude_v2_4!L161,recreation_claude_v2_3!L161,recreation_claude_v2_2!L161,recreation_claude_v2_1!L161),0), "NA")</f>
        <v>1</v>
      </c>
      <c r="M161">
        <f>IF($D161 = 1, ROUND(SUM(recreation_claude_v2_5!M161,recreation_claude_v2_4!M161,recreation_claude_v2_3!M161,recreation_claude_v2_2!M161,recreation_claude_v2_1!M161)/COUNT(recreation_claude_v2_5!M161,recreation_claude_v2_4!M161,recreation_claude_v2_3!M161,recreation_claude_v2_2!M161,recreation_claude_v2_1!M161),0), "NA")</f>
        <v>1</v>
      </c>
      <c r="N161">
        <f>IF($D161 = 1, ROUND(SUM(recreation_claude_v2_5!N161,recreation_claude_v2_4!N161,recreation_claude_v2_3!N161,recreation_claude_v2_2!N161,recreation_claude_v2_1!N161)/COUNT(recreation_claude_v2_5!N161,recreation_claude_v2_4!N161,recreation_claude_v2_3!N161,recreation_claude_v2_2!N161,recreation_claude_v2_1!N161),0), "NA")</f>
        <v>1</v>
      </c>
      <c r="O161">
        <v>1.458144426345825</v>
      </c>
    </row>
    <row r="162" spans="1:15" x14ac:dyDescent="0.25">
      <c r="A162" t="s">
        <v>107</v>
      </c>
      <c r="B162" t="s">
        <v>79</v>
      </c>
      <c r="C162">
        <v>0</v>
      </c>
      <c r="D162">
        <f>ROUND(SUM(recreation_claude_v2_5!D162,recreation_claude_v2_4!D162,recreation_claude_v2_3!D162,recreation_claude_v2_2!D162,recreation_claude_v2_1!D162)/COUNT(recreation_claude_v2_5!D162,recreation_claude_v2_4!D162,recreation_claude_v2_3!D162,recreation_claude_v2_2!D162,recreation_claude_v2_1!D162),0)</f>
        <v>1</v>
      </c>
      <c r="E162">
        <f>IF($D162 = 1, ROUND(SUM(recreation_claude_v2_5!E162,recreation_claude_v2_4!E162,recreation_claude_v2_3!E162,recreation_claude_v2_2!E162,recreation_claude_v2_1!E162)/COUNT(recreation_claude_v2_5!E162,recreation_claude_v2_4!E162,recreation_claude_v2_3!E162,recreation_claude_v2_2!E162,recreation_claude_v2_1!E162),0), "NA")</f>
        <v>1</v>
      </c>
      <c r="F162">
        <f>IF($D162 = 1, ROUND(SUM(recreation_claude_v2_5!F162,recreation_claude_v2_4!F162,recreation_claude_v2_3!F162,recreation_claude_v2_2!F162,recreation_claude_v2_1!F162)/COUNT(recreation_claude_v2_5!F162,recreation_claude_v2_4!F162,recreation_claude_v2_3!F162,recreation_claude_v2_2!F162,recreation_claude_v2_1!F162),0), "NA")</f>
        <v>1</v>
      </c>
      <c r="G162">
        <f>IF($D162 = 1, ROUND(SUM(recreation_claude_v2_5!G162,recreation_claude_v2_4!G162,recreation_claude_v2_3!G162,recreation_claude_v2_2!G162,recreation_claude_v2_1!G162)/COUNT(recreation_claude_v2_5!G162,recreation_claude_v2_4!G162,recreation_claude_v2_3!G162,recreation_claude_v2_2!G162,recreation_claude_v2_1!G162),0), "NA")</f>
        <v>1</v>
      </c>
      <c r="H162">
        <f>IF($E162 = 1, ROUND(SUM(recreation_claude_v2_5!H162,recreation_claude_v2_4!H162,recreation_claude_v2_3!H162,recreation_claude_v2_2!H162,recreation_claude_v2_1!H162)/COUNT(recreation_claude_v2_5!H162,recreation_claude_v2_4!H162,recreation_claude_v2_3!H162,recreation_claude_v2_2!H162,recreation_claude_v2_1!H162),0), "NA")</f>
        <v>1</v>
      </c>
      <c r="I162">
        <f>IF($D162 = 1, ROUND(SUM(recreation_claude_v2_5!I162,recreation_claude_v2_4!I162,recreation_claude_v2_3!I162,recreation_claude_v2_2!I162,recreation_claude_v2_1!I162)/COUNT(recreation_claude_v2_5!I162,recreation_claude_v2_4!I162,recreation_claude_v2_3!I162,recreation_claude_v2_2!I162,recreation_claude_v2_1!I162),0), "NA")</f>
        <v>1</v>
      </c>
      <c r="J162">
        <f>IF(AND($E162 = 1, $F162 = 1), ROUND(SUM(recreation_claude_v2_5!J162,recreation_claude_v2_4!J162,recreation_claude_v2_3!J162,recreation_claude_v2_2!J162,recreation_claude_v2_1!J162)/COUNT(recreation_claude_v2_5!J162,recreation_claude_v2_4!J162,recreation_claude_v2_3!J162,recreation_claude_v2_2!J162,recreation_claude_v2_1!J162),0), "NA")</f>
        <v>1</v>
      </c>
      <c r="K162">
        <f>IF($D162 = 1, ROUND(SUM(recreation_claude_v2_5!K162,recreation_claude_v2_4!K162,recreation_claude_v2_3!K162,recreation_claude_v2_2!K162,recreation_claude_v2_1!K162)/COUNT(recreation_claude_v2_5!K162,recreation_claude_v2_4!K162,recreation_claude_v2_3!K162,recreation_claude_v2_2!K162,recreation_claude_v2_1!K162),0), "NA")</f>
        <v>1</v>
      </c>
      <c r="L162">
        <f>IF($D162 = 1, ROUND(SUM(recreation_claude_v2_5!L162,recreation_claude_v2_4!L162,recreation_claude_v2_3!L162,recreation_claude_v2_2!L162,recreation_claude_v2_1!L162)/COUNT(recreation_claude_v2_5!L162,recreation_claude_v2_4!L162,recreation_claude_v2_3!L162,recreation_claude_v2_2!L162,recreation_claude_v2_1!L162),0), "NA")</f>
        <v>1</v>
      </c>
      <c r="M162">
        <f>IF($D162 = 1, ROUND(SUM(recreation_claude_v2_5!M162,recreation_claude_v2_4!M162,recreation_claude_v2_3!M162,recreation_claude_v2_2!M162,recreation_claude_v2_1!M162)/COUNT(recreation_claude_v2_5!M162,recreation_claude_v2_4!M162,recreation_claude_v2_3!M162,recreation_claude_v2_2!M162,recreation_claude_v2_1!M162),0), "NA")</f>
        <v>1</v>
      </c>
      <c r="N162">
        <f>IF($D162 = 1, ROUND(SUM(recreation_claude_v2_5!N162,recreation_claude_v2_4!N162,recreation_claude_v2_3!N162,recreation_claude_v2_2!N162,recreation_claude_v2_1!N162)/COUNT(recreation_claude_v2_5!N162,recreation_claude_v2_4!N162,recreation_claude_v2_3!N162,recreation_claude_v2_2!N162,recreation_claude_v2_1!N162),0), "NA")</f>
        <v>1</v>
      </c>
      <c r="O162">
        <v>1.3428149223327639</v>
      </c>
    </row>
    <row r="163" spans="1:15" x14ac:dyDescent="0.25">
      <c r="A163" t="s">
        <v>107</v>
      </c>
      <c r="B163" t="s">
        <v>91</v>
      </c>
      <c r="C163">
        <v>0</v>
      </c>
      <c r="D163">
        <f>ROUND(SUM(recreation_claude_v2_5!D163,recreation_claude_v2_4!D163,recreation_claude_v2_3!D163,recreation_claude_v2_2!D163,recreation_claude_v2_1!D163)/COUNT(recreation_claude_v2_5!D163,recreation_claude_v2_4!D163,recreation_claude_v2_3!D163,recreation_claude_v2_2!D163,recreation_claude_v2_1!D163),0)</f>
        <v>1</v>
      </c>
      <c r="E163">
        <f>IF($D163 = 1, ROUND(SUM(recreation_claude_v2_5!E163,recreation_claude_v2_4!E163,recreation_claude_v2_3!E163,recreation_claude_v2_2!E163,recreation_claude_v2_1!E163)/COUNT(recreation_claude_v2_5!E163,recreation_claude_v2_4!E163,recreation_claude_v2_3!E163,recreation_claude_v2_2!E163,recreation_claude_v2_1!E163),0), "NA")</f>
        <v>1</v>
      </c>
      <c r="F163">
        <f>IF($D163 = 1, ROUND(SUM(recreation_claude_v2_5!F163,recreation_claude_v2_4!F163,recreation_claude_v2_3!F163,recreation_claude_v2_2!F163,recreation_claude_v2_1!F163)/COUNT(recreation_claude_v2_5!F163,recreation_claude_v2_4!F163,recreation_claude_v2_3!F163,recreation_claude_v2_2!F163,recreation_claude_v2_1!F163),0), "NA")</f>
        <v>1</v>
      </c>
      <c r="G163">
        <f>IF($D163 = 1, ROUND(SUM(recreation_claude_v2_5!G163,recreation_claude_v2_4!G163,recreation_claude_v2_3!G163,recreation_claude_v2_2!G163,recreation_claude_v2_1!G163)/COUNT(recreation_claude_v2_5!G163,recreation_claude_v2_4!G163,recreation_claude_v2_3!G163,recreation_claude_v2_2!G163,recreation_claude_v2_1!G163),0), "NA")</f>
        <v>1</v>
      </c>
      <c r="H163">
        <f>IF($E163 = 1, ROUND(SUM(recreation_claude_v2_5!H163,recreation_claude_v2_4!H163,recreation_claude_v2_3!H163,recreation_claude_v2_2!H163,recreation_claude_v2_1!H163)/COUNT(recreation_claude_v2_5!H163,recreation_claude_v2_4!H163,recreation_claude_v2_3!H163,recreation_claude_v2_2!H163,recreation_claude_v2_1!H163),0), "NA")</f>
        <v>1</v>
      </c>
      <c r="I163">
        <f>IF($D163 = 1, ROUND(SUM(recreation_claude_v2_5!I163,recreation_claude_v2_4!I163,recreation_claude_v2_3!I163,recreation_claude_v2_2!I163,recreation_claude_v2_1!I163)/COUNT(recreation_claude_v2_5!I163,recreation_claude_v2_4!I163,recreation_claude_v2_3!I163,recreation_claude_v2_2!I163,recreation_claude_v2_1!I163),0), "NA")</f>
        <v>1</v>
      </c>
      <c r="J163">
        <f>IF(AND($E163 = 1, $F163 = 1), ROUND(SUM(recreation_claude_v2_5!J163,recreation_claude_v2_4!J163,recreation_claude_v2_3!J163,recreation_claude_v2_2!J163,recreation_claude_v2_1!J163)/COUNT(recreation_claude_v2_5!J163,recreation_claude_v2_4!J163,recreation_claude_v2_3!J163,recreation_claude_v2_2!J163,recreation_claude_v2_1!J163),0), "NA")</f>
        <v>1</v>
      </c>
      <c r="K163">
        <f>IF($D163 = 1, ROUND(SUM(recreation_claude_v2_5!K163,recreation_claude_v2_4!K163,recreation_claude_v2_3!K163,recreation_claude_v2_2!K163,recreation_claude_v2_1!K163)/COUNT(recreation_claude_v2_5!K163,recreation_claude_v2_4!K163,recreation_claude_v2_3!K163,recreation_claude_v2_2!K163,recreation_claude_v2_1!K163),0), "NA")</f>
        <v>1</v>
      </c>
      <c r="L163">
        <f>IF($D163 = 1, ROUND(SUM(recreation_claude_v2_5!L163,recreation_claude_v2_4!L163,recreation_claude_v2_3!L163,recreation_claude_v2_2!L163,recreation_claude_v2_1!L163)/COUNT(recreation_claude_v2_5!L163,recreation_claude_v2_4!L163,recreation_claude_v2_3!L163,recreation_claude_v2_2!L163,recreation_claude_v2_1!L163),0), "NA")</f>
        <v>1</v>
      </c>
      <c r="M163">
        <f>IF($D163 = 1, ROUND(SUM(recreation_claude_v2_5!M163,recreation_claude_v2_4!M163,recreation_claude_v2_3!M163,recreation_claude_v2_2!M163,recreation_claude_v2_1!M163)/COUNT(recreation_claude_v2_5!M163,recreation_claude_v2_4!M163,recreation_claude_v2_3!M163,recreation_claude_v2_2!M163,recreation_claude_v2_1!M163),0), "NA")</f>
        <v>1</v>
      </c>
      <c r="N163">
        <f>IF($D163 = 1, ROUND(SUM(recreation_claude_v2_5!N163,recreation_claude_v2_4!N163,recreation_claude_v2_3!N163,recreation_claude_v2_2!N163,recreation_claude_v2_1!N163)/COUNT(recreation_claude_v2_5!N163,recreation_claude_v2_4!N163,recreation_claude_v2_3!N163,recreation_claude_v2_2!N163,recreation_claude_v2_1!N163),0), "NA")</f>
        <v>1</v>
      </c>
      <c r="O163">
        <v>1.6045083999633789</v>
      </c>
    </row>
    <row r="164" spans="1:15" x14ac:dyDescent="0.25">
      <c r="A164" t="s">
        <v>107</v>
      </c>
      <c r="B164" t="s">
        <v>92</v>
      </c>
      <c r="C164">
        <v>0</v>
      </c>
      <c r="D164">
        <f>ROUND(SUM(recreation_claude_v2_5!D164,recreation_claude_v2_4!D164,recreation_claude_v2_3!D164,recreation_claude_v2_2!D164,recreation_claude_v2_1!D164)/COUNT(recreation_claude_v2_5!D164,recreation_claude_v2_4!D164,recreation_claude_v2_3!D164,recreation_claude_v2_2!D164,recreation_claude_v2_1!D164),0)</f>
        <v>1</v>
      </c>
      <c r="E164">
        <f>IF($D164 = 1, ROUND(SUM(recreation_claude_v2_5!E164,recreation_claude_v2_4!E164,recreation_claude_v2_3!E164,recreation_claude_v2_2!E164,recreation_claude_v2_1!E164)/COUNT(recreation_claude_v2_5!E164,recreation_claude_v2_4!E164,recreation_claude_v2_3!E164,recreation_claude_v2_2!E164,recreation_claude_v2_1!E164),0), "NA")</f>
        <v>1</v>
      </c>
      <c r="F164">
        <f>IF($D164 = 1, ROUND(SUM(recreation_claude_v2_5!F164,recreation_claude_v2_4!F164,recreation_claude_v2_3!F164,recreation_claude_v2_2!F164,recreation_claude_v2_1!F164)/COUNT(recreation_claude_v2_5!F164,recreation_claude_v2_4!F164,recreation_claude_v2_3!F164,recreation_claude_v2_2!F164,recreation_claude_v2_1!F164),0), "NA")</f>
        <v>1</v>
      </c>
      <c r="G164">
        <f>IF($D164 = 1, ROUND(SUM(recreation_claude_v2_5!G164,recreation_claude_v2_4!G164,recreation_claude_v2_3!G164,recreation_claude_v2_2!G164,recreation_claude_v2_1!G164)/COUNT(recreation_claude_v2_5!G164,recreation_claude_v2_4!G164,recreation_claude_v2_3!G164,recreation_claude_v2_2!G164,recreation_claude_v2_1!G164),0), "NA")</f>
        <v>1</v>
      </c>
      <c r="H164">
        <f>IF($E164 = 1, ROUND(SUM(recreation_claude_v2_5!H164,recreation_claude_v2_4!H164,recreation_claude_v2_3!H164,recreation_claude_v2_2!H164,recreation_claude_v2_1!H164)/COUNT(recreation_claude_v2_5!H164,recreation_claude_v2_4!H164,recreation_claude_v2_3!H164,recreation_claude_v2_2!H164,recreation_claude_v2_1!H164),0), "NA")</f>
        <v>1</v>
      </c>
      <c r="I164">
        <f>IF($D164 = 1, ROUND(SUM(recreation_claude_v2_5!I164,recreation_claude_v2_4!I164,recreation_claude_v2_3!I164,recreation_claude_v2_2!I164,recreation_claude_v2_1!I164)/COUNT(recreation_claude_v2_5!I164,recreation_claude_v2_4!I164,recreation_claude_v2_3!I164,recreation_claude_v2_2!I164,recreation_claude_v2_1!I164),0), "NA")</f>
        <v>1</v>
      </c>
      <c r="J164">
        <f>IF(AND($E164 = 1, $F164 = 1), ROUND(SUM(recreation_claude_v2_5!J164,recreation_claude_v2_4!J164,recreation_claude_v2_3!J164,recreation_claude_v2_2!J164,recreation_claude_v2_1!J164)/COUNT(recreation_claude_v2_5!J164,recreation_claude_v2_4!J164,recreation_claude_v2_3!J164,recreation_claude_v2_2!J164,recreation_claude_v2_1!J164),0), "NA")</f>
        <v>1</v>
      </c>
      <c r="K164">
        <f>IF($D164 = 1, ROUND(SUM(recreation_claude_v2_5!K164,recreation_claude_v2_4!K164,recreation_claude_v2_3!K164,recreation_claude_v2_2!K164,recreation_claude_v2_1!K164)/COUNT(recreation_claude_v2_5!K164,recreation_claude_v2_4!K164,recreation_claude_v2_3!K164,recreation_claude_v2_2!K164,recreation_claude_v2_1!K164),0), "NA")</f>
        <v>1</v>
      </c>
      <c r="L164">
        <f>IF($D164 = 1, ROUND(SUM(recreation_claude_v2_5!L164,recreation_claude_v2_4!L164,recreation_claude_v2_3!L164,recreation_claude_v2_2!L164,recreation_claude_v2_1!L164)/COUNT(recreation_claude_v2_5!L164,recreation_claude_v2_4!L164,recreation_claude_v2_3!L164,recreation_claude_v2_2!L164,recreation_claude_v2_1!L164),0), "NA")</f>
        <v>1</v>
      </c>
      <c r="M164">
        <f>IF($D164 = 1, ROUND(SUM(recreation_claude_v2_5!M164,recreation_claude_v2_4!M164,recreation_claude_v2_3!M164,recreation_claude_v2_2!M164,recreation_claude_v2_1!M164)/COUNT(recreation_claude_v2_5!M164,recreation_claude_v2_4!M164,recreation_claude_v2_3!M164,recreation_claude_v2_2!M164,recreation_claude_v2_1!M164),0), "NA")</f>
        <v>1</v>
      </c>
      <c r="N164">
        <f>IF($D164 = 1, ROUND(SUM(recreation_claude_v2_5!N164,recreation_claude_v2_4!N164,recreation_claude_v2_3!N164,recreation_claude_v2_2!N164,recreation_claude_v2_1!N164)/COUNT(recreation_claude_v2_5!N164,recreation_claude_v2_4!N164,recreation_claude_v2_3!N164,recreation_claude_v2_2!N164,recreation_claude_v2_1!N164),0), "NA")</f>
        <v>1</v>
      </c>
      <c r="O164">
        <v>1.622463464736938</v>
      </c>
    </row>
    <row r="165" spans="1:15" x14ac:dyDescent="0.25">
      <c r="A165" t="s">
        <v>107</v>
      </c>
      <c r="B165" t="s">
        <v>93</v>
      </c>
      <c r="C165">
        <v>0</v>
      </c>
      <c r="D165">
        <f>ROUND(SUM(recreation_claude_v2_5!D165,recreation_claude_v2_4!D165,recreation_claude_v2_3!D165,recreation_claude_v2_2!D165,recreation_claude_v2_1!D165)/COUNT(recreation_claude_v2_5!D165,recreation_claude_v2_4!D165,recreation_claude_v2_3!D165,recreation_claude_v2_2!D165,recreation_claude_v2_1!D165),0)</f>
        <v>1</v>
      </c>
      <c r="E165">
        <f>IF($D165 = 1, ROUND(SUM(recreation_claude_v2_5!E165,recreation_claude_v2_4!E165,recreation_claude_v2_3!E165,recreation_claude_v2_2!E165,recreation_claude_v2_1!E165)/COUNT(recreation_claude_v2_5!E165,recreation_claude_v2_4!E165,recreation_claude_v2_3!E165,recreation_claude_v2_2!E165,recreation_claude_v2_1!E165),0), "NA")</f>
        <v>1</v>
      </c>
      <c r="F165">
        <f>IF($D165 = 1, ROUND(SUM(recreation_claude_v2_5!F165,recreation_claude_v2_4!F165,recreation_claude_v2_3!F165,recreation_claude_v2_2!F165,recreation_claude_v2_1!F165)/COUNT(recreation_claude_v2_5!F165,recreation_claude_v2_4!F165,recreation_claude_v2_3!F165,recreation_claude_v2_2!F165,recreation_claude_v2_1!F165),0), "NA")</f>
        <v>1</v>
      </c>
      <c r="G165">
        <f>IF($D165 = 1, ROUND(SUM(recreation_claude_v2_5!G165,recreation_claude_v2_4!G165,recreation_claude_v2_3!G165,recreation_claude_v2_2!G165,recreation_claude_v2_1!G165)/COUNT(recreation_claude_v2_5!G165,recreation_claude_v2_4!G165,recreation_claude_v2_3!G165,recreation_claude_v2_2!G165,recreation_claude_v2_1!G165),0), "NA")</f>
        <v>1</v>
      </c>
      <c r="H165">
        <f>IF($E165 = 1, ROUND(SUM(recreation_claude_v2_5!H165,recreation_claude_v2_4!H165,recreation_claude_v2_3!H165,recreation_claude_v2_2!H165,recreation_claude_v2_1!H165)/COUNT(recreation_claude_v2_5!H165,recreation_claude_v2_4!H165,recreation_claude_v2_3!H165,recreation_claude_v2_2!H165,recreation_claude_v2_1!H165),0), "NA")</f>
        <v>1</v>
      </c>
      <c r="I165">
        <f>IF($D165 = 1, ROUND(SUM(recreation_claude_v2_5!I165,recreation_claude_v2_4!I165,recreation_claude_v2_3!I165,recreation_claude_v2_2!I165,recreation_claude_v2_1!I165)/COUNT(recreation_claude_v2_5!I165,recreation_claude_v2_4!I165,recreation_claude_v2_3!I165,recreation_claude_v2_2!I165,recreation_claude_v2_1!I165),0), "NA")</f>
        <v>1</v>
      </c>
      <c r="J165">
        <f>IF(AND($E165 = 1, $F165 = 1), ROUND(SUM(recreation_claude_v2_5!J165,recreation_claude_v2_4!J165,recreation_claude_v2_3!J165,recreation_claude_v2_2!J165,recreation_claude_v2_1!J165)/COUNT(recreation_claude_v2_5!J165,recreation_claude_v2_4!J165,recreation_claude_v2_3!J165,recreation_claude_v2_2!J165,recreation_claude_v2_1!J165),0), "NA")</f>
        <v>1</v>
      </c>
      <c r="K165">
        <f>IF($D165 = 1, ROUND(SUM(recreation_claude_v2_5!K165,recreation_claude_v2_4!K165,recreation_claude_v2_3!K165,recreation_claude_v2_2!K165,recreation_claude_v2_1!K165)/COUNT(recreation_claude_v2_5!K165,recreation_claude_v2_4!K165,recreation_claude_v2_3!K165,recreation_claude_v2_2!K165,recreation_claude_v2_1!K165),0), "NA")</f>
        <v>1</v>
      </c>
      <c r="L165">
        <f>IF($D165 = 1, ROUND(SUM(recreation_claude_v2_5!L165,recreation_claude_v2_4!L165,recreation_claude_v2_3!L165,recreation_claude_v2_2!L165,recreation_claude_v2_1!L165)/COUNT(recreation_claude_v2_5!L165,recreation_claude_v2_4!L165,recreation_claude_v2_3!L165,recreation_claude_v2_2!L165,recreation_claude_v2_1!L165),0), "NA")</f>
        <v>1</v>
      </c>
      <c r="M165">
        <f>IF($D165 = 1, ROUND(SUM(recreation_claude_v2_5!M165,recreation_claude_v2_4!M165,recreation_claude_v2_3!M165,recreation_claude_v2_2!M165,recreation_claude_v2_1!M165)/COUNT(recreation_claude_v2_5!M165,recreation_claude_v2_4!M165,recreation_claude_v2_3!M165,recreation_claude_v2_2!M165,recreation_claude_v2_1!M165),0), "NA")</f>
        <v>1</v>
      </c>
      <c r="N165">
        <f>IF($D165 = 1, ROUND(SUM(recreation_claude_v2_5!N165,recreation_claude_v2_4!N165,recreation_claude_v2_3!N165,recreation_claude_v2_2!N165,recreation_claude_v2_1!N165)/COUNT(recreation_claude_v2_5!N165,recreation_claude_v2_4!N165,recreation_claude_v2_3!N165,recreation_claude_v2_2!N165,recreation_claude_v2_1!N165),0), "NA")</f>
        <v>1</v>
      </c>
      <c r="O165">
        <v>2.0808994770050049</v>
      </c>
    </row>
    <row r="166" spans="1:15" x14ac:dyDescent="0.25">
      <c r="A166" t="s">
        <v>107</v>
      </c>
      <c r="B166" t="s">
        <v>94</v>
      </c>
      <c r="C166">
        <v>0</v>
      </c>
      <c r="D166">
        <f>ROUND(SUM(recreation_claude_v2_5!D166,recreation_claude_v2_4!D166,recreation_claude_v2_3!D166,recreation_claude_v2_2!D166,recreation_claude_v2_1!D166)/COUNT(recreation_claude_v2_5!D166,recreation_claude_v2_4!D166,recreation_claude_v2_3!D166,recreation_claude_v2_2!D166,recreation_claude_v2_1!D166),0)</f>
        <v>1</v>
      </c>
      <c r="E166">
        <f>IF($D166 = 1, ROUND(SUM(recreation_claude_v2_5!E166,recreation_claude_v2_4!E166,recreation_claude_v2_3!E166,recreation_claude_v2_2!E166,recreation_claude_v2_1!E166)/COUNT(recreation_claude_v2_5!E166,recreation_claude_v2_4!E166,recreation_claude_v2_3!E166,recreation_claude_v2_2!E166,recreation_claude_v2_1!E166),0), "NA")</f>
        <v>1</v>
      </c>
      <c r="F166">
        <f>IF($D166 = 1, ROUND(SUM(recreation_claude_v2_5!F166,recreation_claude_v2_4!F166,recreation_claude_v2_3!F166,recreation_claude_v2_2!F166,recreation_claude_v2_1!F166)/COUNT(recreation_claude_v2_5!F166,recreation_claude_v2_4!F166,recreation_claude_v2_3!F166,recreation_claude_v2_2!F166,recreation_claude_v2_1!F166),0), "NA")</f>
        <v>1</v>
      </c>
      <c r="G166">
        <f>IF($D166 = 1, ROUND(SUM(recreation_claude_v2_5!G166,recreation_claude_v2_4!G166,recreation_claude_v2_3!G166,recreation_claude_v2_2!G166,recreation_claude_v2_1!G166)/COUNT(recreation_claude_v2_5!G166,recreation_claude_v2_4!G166,recreation_claude_v2_3!G166,recreation_claude_v2_2!G166,recreation_claude_v2_1!G166),0), "NA")</f>
        <v>1</v>
      </c>
      <c r="H166">
        <f>IF($E166 = 1, ROUND(SUM(recreation_claude_v2_5!H166,recreation_claude_v2_4!H166,recreation_claude_v2_3!H166,recreation_claude_v2_2!H166,recreation_claude_v2_1!H166)/COUNT(recreation_claude_v2_5!H166,recreation_claude_v2_4!H166,recreation_claude_v2_3!H166,recreation_claude_v2_2!H166,recreation_claude_v2_1!H166),0), "NA")</f>
        <v>1</v>
      </c>
      <c r="I166">
        <f>IF($D166 = 1, ROUND(SUM(recreation_claude_v2_5!I166,recreation_claude_v2_4!I166,recreation_claude_v2_3!I166,recreation_claude_v2_2!I166,recreation_claude_v2_1!I166)/COUNT(recreation_claude_v2_5!I166,recreation_claude_v2_4!I166,recreation_claude_v2_3!I166,recreation_claude_v2_2!I166,recreation_claude_v2_1!I166),0), "NA")</f>
        <v>1</v>
      </c>
      <c r="J166">
        <f>IF(AND($E166 = 1, $F166 = 1), ROUND(SUM(recreation_claude_v2_5!J166,recreation_claude_v2_4!J166,recreation_claude_v2_3!J166,recreation_claude_v2_2!J166,recreation_claude_v2_1!J166)/COUNT(recreation_claude_v2_5!J166,recreation_claude_v2_4!J166,recreation_claude_v2_3!J166,recreation_claude_v2_2!J166,recreation_claude_v2_1!J166),0), "NA")</f>
        <v>1</v>
      </c>
      <c r="K166">
        <f>IF($D166 = 1, ROUND(SUM(recreation_claude_v2_5!K166,recreation_claude_v2_4!K166,recreation_claude_v2_3!K166,recreation_claude_v2_2!K166,recreation_claude_v2_1!K166)/COUNT(recreation_claude_v2_5!K166,recreation_claude_v2_4!K166,recreation_claude_v2_3!K166,recreation_claude_v2_2!K166,recreation_claude_v2_1!K166),0), "NA")</f>
        <v>1</v>
      </c>
      <c r="L166">
        <f>IF($D166 = 1, ROUND(SUM(recreation_claude_v2_5!L166,recreation_claude_v2_4!L166,recreation_claude_v2_3!L166,recreation_claude_v2_2!L166,recreation_claude_v2_1!L166)/COUNT(recreation_claude_v2_5!L166,recreation_claude_v2_4!L166,recreation_claude_v2_3!L166,recreation_claude_v2_2!L166,recreation_claude_v2_1!L166),0), "NA")</f>
        <v>1</v>
      </c>
      <c r="M166">
        <f>IF($D166 = 1, ROUND(SUM(recreation_claude_v2_5!M166,recreation_claude_v2_4!M166,recreation_claude_v2_3!M166,recreation_claude_v2_2!M166,recreation_claude_v2_1!M166)/COUNT(recreation_claude_v2_5!M166,recreation_claude_v2_4!M166,recreation_claude_v2_3!M166,recreation_claude_v2_2!M166,recreation_claude_v2_1!M166),0), "NA")</f>
        <v>1</v>
      </c>
      <c r="N166">
        <f>IF($D166 = 1, ROUND(SUM(recreation_claude_v2_5!N166,recreation_claude_v2_4!N166,recreation_claude_v2_3!N166,recreation_claude_v2_2!N166,recreation_claude_v2_1!N166)/COUNT(recreation_claude_v2_5!N166,recreation_claude_v2_4!N166,recreation_claude_v2_3!N166,recreation_claude_v2_2!N166,recreation_claude_v2_1!N166),0), "NA")</f>
        <v>1</v>
      </c>
      <c r="O166">
        <v>1.377440214157104</v>
      </c>
    </row>
    <row r="167" spans="1:15" x14ac:dyDescent="0.25">
      <c r="A167" t="s">
        <v>107</v>
      </c>
      <c r="B167" t="s">
        <v>95</v>
      </c>
      <c r="C167">
        <v>0</v>
      </c>
      <c r="D167">
        <f>ROUND(SUM(recreation_claude_v2_5!D167,recreation_claude_v2_4!D167,recreation_claude_v2_3!D167,recreation_claude_v2_2!D167,recreation_claude_v2_1!D167)/COUNT(recreation_claude_v2_5!D167,recreation_claude_v2_4!D167,recreation_claude_v2_3!D167,recreation_claude_v2_2!D167,recreation_claude_v2_1!D167),0)</f>
        <v>1</v>
      </c>
      <c r="E167">
        <f>IF($D167 = 1, ROUND(SUM(recreation_claude_v2_5!E167,recreation_claude_v2_4!E167,recreation_claude_v2_3!E167,recreation_claude_v2_2!E167,recreation_claude_v2_1!E167)/COUNT(recreation_claude_v2_5!E167,recreation_claude_v2_4!E167,recreation_claude_v2_3!E167,recreation_claude_v2_2!E167,recreation_claude_v2_1!E167),0), "NA")</f>
        <v>1</v>
      </c>
      <c r="F167">
        <f>IF($D167 = 1, ROUND(SUM(recreation_claude_v2_5!F167,recreation_claude_v2_4!F167,recreation_claude_v2_3!F167,recreation_claude_v2_2!F167,recreation_claude_v2_1!F167)/COUNT(recreation_claude_v2_5!F167,recreation_claude_v2_4!F167,recreation_claude_v2_3!F167,recreation_claude_v2_2!F167,recreation_claude_v2_1!F167),0), "NA")</f>
        <v>1</v>
      </c>
      <c r="G167">
        <f>IF($D167 = 1, ROUND(SUM(recreation_claude_v2_5!G167,recreation_claude_v2_4!G167,recreation_claude_v2_3!G167,recreation_claude_v2_2!G167,recreation_claude_v2_1!G167)/COUNT(recreation_claude_v2_5!G167,recreation_claude_v2_4!G167,recreation_claude_v2_3!G167,recreation_claude_v2_2!G167,recreation_claude_v2_1!G167),0), "NA")</f>
        <v>1</v>
      </c>
      <c r="H167">
        <f>IF($E167 = 1, ROUND(SUM(recreation_claude_v2_5!H167,recreation_claude_v2_4!H167,recreation_claude_v2_3!H167,recreation_claude_v2_2!H167,recreation_claude_v2_1!H167)/COUNT(recreation_claude_v2_5!H167,recreation_claude_v2_4!H167,recreation_claude_v2_3!H167,recreation_claude_v2_2!H167,recreation_claude_v2_1!H167),0), "NA")</f>
        <v>1</v>
      </c>
      <c r="I167">
        <f>IF($D167 = 1, ROUND(SUM(recreation_claude_v2_5!I167,recreation_claude_v2_4!I167,recreation_claude_v2_3!I167,recreation_claude_v2_2!I167,recreation_claude_v2_1!I167)/COUNT(recreation_claude_v2_5!I167,recreation_claude_v2_4!I167,recreation_claude_v2_3!I167,recreation_claude_v2_2!I167,recreation_claude_v2_1!I167),0), "NA")</f>
        <v>1</v>
      </c>
      <c r="J167">
        <f>IF(AND($E167 = 1, $F167 = 1), ROUND(SUM(recreation_claude_v2_5!J167,recreation_claude_v2_4!J167,recreation_claude_v2_3!J167,recreation_claude_v2_2!J167,recreation_claude_v2_1!J167)/COUNT(recreation_claude_v2_5!J167,recreation_claude_v2_4!J167,recreation_claude_v2_3!J167,recreation_claude_v2_2!J167,recreation_claude_v2_1!J167),0), "NA")</f>
        <v>1</v>
      </c>
      <c r="K167">
        <f>IF($D167 = 1, ROUND(SUM(recreation_claude_v2_5!K167,recreation_claude_v2_4!K167,recreation_claude_v2_3!K167,recreation_claude_v2_2!K167,recreation_claude_v2_1!K167)/COUNT(recreation_claude_v2_5!K167,recreation_claude_v2_4!K167,recreation_claude_v2_3!K167,recreation_claude_v2_2!K167,recreation_claude_v2_1!K167),0), "NA")</f>
        <v>1</v>
      </c>
      <c r="L167">
        <f>IF($D167 = 1, ROUND(SUM(recreation_claude_v2_5!L167,recreation_claude_v2_4!L167,recreation_claude_v2_3!L167,recreation_claude_v2_2!L167,recreation_claude_v2_1!L167)/COUNT(recreation_claude_v2_5!L167,recreation_claude_v2_4!L167,recreation_claude_v2_3!L167,recreation_claude_v2_2!L167,recreation_claude_v2_1!L167),0), "NA")</f>
        <v>1</v>
      </c>
      <c r="M167">
        <f>IF($D167 = 1, ROUND(SUM(recreation_claude_v2_5!M167,recreation_claude_v2_4!M167,recreation_claude_v2_3!M167,recreation_claude_v2_2!M167,recreation_claude_v2_1!M167)/COUNT(recreation_claude_v2_5!M167,recreation_claude_v2_4!M167,recreation_claude_v2_3!M167,recreation_claude_v2_2!M167,recreation_claude_v2_1!M167),0), "NA")</f>
        <v>1</v>
      </c>
      <c r="N167">
        <f>IF($D167 = 1, ROUND(SUM(recreation_claude_v2_5!N167,recreation_claude_v2_4!N167,recreation_claude_v2_3!N167,recreation_claude_v2_2!N167,recreation_claude_v2_1!N167)/COUNT(recreation_claude_v2_5!N167,recreation_claude_v2_4!N167,recreation_claude_v2_3!N167,recreation_claude_v2_2!N167,recreation_claude_v2_1!N167),0), "NA")</f>
        <v>1</v>
      </c>
      <c r="O167">
        <v>1.3451716899871831</v>
      </c>
    </row>
    <row r="168" spans="1:15" x14ac:dyDescent="0.25">
      <c r="A168" t="s">
        <v>107</v>
      </c>
      <c r="B168" t="s">
        <v>96</v>
      </c>
      <c r="C168">
        <v>0</v>
      </c>
      <c r="D168">
        <f>ROUND(SUM(recreation_claude_v2_5!D168,recreation_claude_v2_4!D168,recreation_claude_v2_3!D168,recreation_claude_v2_2!D168,recreation_claude_v2_1!D168)/COUNT(recreation_claude_v2_5!D168,recreation_claude_v2_4!D168,recreation_claude_v2_3!D168,recreation_claude_v2_2!D168,recreation_claude_v2_1!D168),0)</f>
        <v>1</v>
      </c>
      <c r="E168">
        <f>IF($D168 = 1, ROUND(SUM(recreation_claude_v2_5!E168,recreation_claude_v2_4!E168,recreation_claude_v2_3!E168,recreation_claude_v2_2!E168,recreation_claude_v2_1!E168)/COUNT(recreation_claude_v2_5!E168,recreation_claude_v2_4!E168,recreation_claude_v2_3!E168,recreation_claude_v2_2!E168,recreation_claude_v2_1!E168),0), "NA")</f>
        <v>1</v>
      </c>
      <c r="F168">
        <f>IF($D168 = 1, ROUND(SUM(recreation_claude_v2_5!F168,recreation_claude_v2_4!F168,recreation_claude_v2_3!F168,recreation_claude_v2_2!F168,recreation_claude_v2_1!F168)/COUNT(recreation_claude_v2_5!F168,recreation_claude_v2_4!F168,recreation_claude_v2_3!F168,recreation_claude_v2_2!F168,recreation_claude_v2_1!F168),0), "NA")</f>
        <v>1</v>
      </c>
      <c r="G168">
        <f>IF($D168 = 1, ROUND(SUM(recreation_claude_v2_5!G168,recreation_claude_v2_4!G168,recreation_claude_v2_3!G168,recreation_claude_v2_2!G168,recreation_claude_v2_1!G168)/COUNT(recreation_claude_v2_5!G168,recreation_claude_v2_4!G168,recreation_claude_v2_3!G168,recreation_claude_v2_2!G168,recreation_claude_v2_1!G168),0), "NA")</f>
        <v>1</v>
      </c>
      <c r="H168">
        <f>IF($E168 = 1, ROUND(SUM(recreation_claude_v2_5!H168,recreation_claude_v2_4!H168,recreation_claude_v2_3!H168,recreation_claude_v2_2!H168,recreation_claude_v2_1!H168)/COUNT(recreation_claude_v2_5!H168,recreation_claude_v2_4!H168,recreation_claude_v2_3!H168,recreation_claude_v2_2!H168,recreation_claude_v2_1!H168),0), "NA")</f>
        <v>1</v>
      </c>
      <c r="I168">
        <f>IF($D168 = 1, ROUND(SUM(recreation_claude_v2_5!I168,recreation_claude_v2_4!I168,recreation_claude_v2_3!I168,recreation_claude_v2_2!I168,recreation_claude_v2_1!I168)/COUNT(recreation_claude_v2_5!I168,recreation_claude_v2_4!I168,recreation_claude_v2_3!I168,recreation_claude_v2_2!I168,recreation_claude_v2_1!I168),0), "NA")</f>
        <v>1</v>
      </c>
      <c r="J168">
        <f>IF(AND($E168 = 1, $F168 = 1), ROUND(SUM(recreation_claude_v2_5!J168,recreation_claude_v2_4!J168,recreation_claude_v2_3!J168,recreation_claude_v2_2!J168,recreation_claude_v2_1!J168)/COUNT(recreation_claude_v2_5!J168,recreation_claude_v2_4!J168,recreation_claude_v2_3!J168,recreation_claude_v2_2!J168,recreation_claude_v2_1!J168),0), "NA")</f>
        <v>1</v>
      </c>
      <c r="K168">
        <f>IF($D168 = 1, ROUND(SUM(recreation_claude_v2_5!K168,recreation_claude_v2_4!K168,recreation_claude_v2_3!K168,recreation_claude_v2_2!K168,recreation_claude_v2_1!K168)/COUNT(recreation_claude_v2_5!K168,recreation_claude_v2_4!K168,recreation_claude_v2_3!K168,recreation_claude_v2_2!K168,recreation_claude_v2_1!K168),0), "NA")</f>
        <v>1</v>
      </c>
      <c r="L168">
        <f>IF($D168 = 1, ROUND(SUM(recreation_claude_v2_5!L168,recreation_claude_v2_4!L168,recreation_claude_v2_3!L168,recreation_claude_v2_2!L168,recreation_claude_v2_1!L168)/COUNT(recreation_claude_v2_5!L168,recreation_claude_v2_4!L168,recreation_claude_v2_3!L168,recreation_claude_v2_2!L168,recreation_claude_v2_1!L168),0), "NA")</f>
        <v>1</v>
      </c>
      <c r="M168">
        <f>IF($D168 = 1, ROUND(SUM(recreation_claude_v2_5!M168,recreation_claude_v2_4!M168,recreation_claude_v2_3!M168,recreation_claude_v2_2!M168,recreation_claude_v2_1!M168)/COUNT(recreation_claude_v2_5!M168,recreation_claude_v2_4!M168,recreation_claude_v2_3!M168,recreation_claude_v2_2!M168,recreation_claude_v2_1!M168),0), "NA")</f>
        <v>1</v>
      </c>
      <c r="N168">
        <f>IF($D168 = 1, ROUND(SUM(recreation_claude_v2_5!N168,recreation_claude_v2_4!N168,recreation_claude_v2_3!N168,recreation_claude_v2_2!N168,recreation_claude_v2_1!N168)/COUNT(recreation_claude_v2_5!N168,recreation_claude_v2_4!N168,recreation_claude_v2_3!N168,recreation_claude_v2_2!N168,recreation_claude_v2_1!N168),0), "NA")</f>
        <v>1</v>
      </c>
      <c r="O168">
        <v>1.964451789855957</v>
      </c>
    </row>
    <row r="169" spans="1:15" x14ac:dyDescent="0.25">
      <c r="A169" t="s">
        <v>107</v>
      </c>
      <c r="B169" t="s">
        <v>97</v>
      </c>
      <c r="C169">
        <v>0</v>
      </c>
      <c r="D169">
        <f>ROUND(SUM(recreation_claude_v2_5!D169,recreation_claude_v2_4!D169,recreation_claude_v2_3!D169,recreation_claude_v2_2!D169,recreation_claude_v2_1!D169)/COUNT(recreation_claude_v2_5!D169,recreation_claude_v2_4!D169,recreation_claude_v2_3!D169,recreation_claude_v2_2!D169,recreation_claude_v2_1!D169),0)</f>
        <v>1</v>
      </c>
      <c r="E169">
        <f>IF($D169 = 1, ROUND(SUM(recreation_claude_v2_5!E169,recreation_claude_v2_4!E169,recreation_claude_v2_3!E169,recreation_claude_v2_2!E169,recreation_claude_v2_1!E169)/COUNT(recreation_claude_v2_5!E169,recreation_claude_v2_4!E169,recreation_claude_v2_3!E169,recreation_claude_v2_2!E169,recreation_claude_v2_1!E169),0), "NA")</f>
        <v>1</v>
      </c>
      <c r="F169">
        <f>IF($D169 = 1, ROUND(SUM(recreation_claude_v2_5!F169,recreation_claude_v2_4!F169,recreation_claude_v2_3!F169,recreation_claude_v2_2!F169,recreation_claude_v2_1!F169)/COUNT(recreation_claude_v2_5!F169,recreation_claude_v2_4!F169,recreation_claude_v2_3!F169,recreation_claude_v2_2!F169,recreation_claude_v2_1!F169),0), "NA")</f>
        <v>1</v>
      </c>
      <c r="G169">
        <f>IF($D169 = 1, ROUND(SUM(recreation_claude_v2_5!G169,recreation_claude_v2_4!G169,recreation_claude_v2_3!G169,recreation_claude_v2_2!G169,recreation_claude_v2_1!G169)/COUNT(recreation_claude_v2_5!G169,recreation_claude_v2_4!G169,recreation_claude_v2_3!G169,recreation_claude_v2_2!G169,recreation_claude_v2_1!G169),0), "NA")</f>
        <v>1</v>
      </c>
      <c r="H169">
        <f>IF($E169 = 1, ROUND(SUM(recreation_claude_v2_5!H169,recreation_claude_v2_4!H169,recreation_claude_v2_3!H169,recreation_claude_v2_2!H169,recreation_claude_v2_1!H169)/COUNT(recreation_claude_v2_5!H169,recreation_claude_v2_4!H169,recreation_claude_v2_3!H169,recreation_claude_v2_2!H169,recreation_claude_v2_1!H169),0), "NA")</f>
        <v>1</v>
      </c>
      <c r="I169">
        <f>IF($D169 = 1, ROUND(SUM(recreation_claude_v2_5!I169,recreation_claude_v2_4!I169,recreation_claude_v2_3!I169,recreation_claude_v2_2!I169,recreation_claude_v2_1!I169)/COUNT(recreation_claude_v2_5!I169,recreation_claude_v2_4!I169,recreation_claude_v2_3!I169,recreation_claude_v2_2!I169,recreation_claude_v2_1!I169),0), "NA")</f>
        <v>1</v>
      </c>
      <c r="J169">
        <f>IF(AND($E169 = 1, $F169 = 1), ROUND(SUM(recreation_claude_v2_5!J169,recreation_claude_v2_4!J169,recreation_claude_v2_3!J169,recreation_claude_v2_2!J169,recreation_claude_v2_1!J169)/COUNT(recreation_claude_v2_5!J169,recreation_claude_v2_4!J169,recreation_claude_v2_3!J169,recreation_claude_v2_2!J169,recreation_claude_v2_1!J169),0), "NA")</f>
        <v>1</v>
      </c>
      <c r="K169">
        <f>IF($D169 = 1, ROUND(SUM(recreation_claude_v2_5!K169,recreation_claude_v2_4!K169,recreation_claude_v2_3!K169,recreation_claude_v2_2!K169,recreation_claude_v2_1!K169)/COUNT(recreation_claude_v2_5!K169,recreation_claude_v2_4!K169,recreation_claude_v2_3!K169,recreation_claude_v2_2!K169,recreation_claude_v2_1!K169),0), "NA")</f>
        <v>1</v>
      </c>
      <c r="L169">
        <f>IF($D169 = 1, ROUND(SUM(recreation_claude_v2_5!L169,recreation_claude_v2_4!L169,recreation_claude_v2_3!L169,recreation_claude_v2_2!L169,recreation_claude_v2_1!L169)/COUNT(recreation_claude_v2_5!L169,recreation_claude_v2_4!L169,recreation_claude_v2_3!L169,recreation_claude_v2_2!L169,recreation_claude_v2_1!L169),0), "NA")</f>
        <v>1</v>
      </c>
      <c r="M169">
        <f>IF($D169 = 1, ROUND(SUM(recreation_claude_v2_5!M169,recreation_claude_v2_4!M169,recreation_claude_v2_3!M169,recreation_claude_v2_2!M169,recreation_claude_v2_1!M169)/COUNT(recreation_claude_v2_5!M169,recreation_claude_v2_4!M169,recreation_claude_v2_3!M169,recreation_claude_v2_2!M169,recreation_claude_v2_1!M169),0), "NA")</f>
        <v>1</v>
      </c>
      <c r="N169">
        <f>IF($D169 = 1, ROUND(SUM(recreation_claude_v2_5!N169,recreation_claude_v2_4!N169,recreation_claude_v2_3!N169,recreation_claude_v2_2!N169,recreation_claude_v2_1!N169)/COUNT(recreation_claude_v2_5!N169,recreation_claude_v2_4!N169,recreation_claude_v2_3!N169,recreation_claude_v2_2!N169,recreation_claude_v2_1!N169),0), "NA")</f>
        <v>1</v>
      </c>
      <c r="O169">
        <v>2.0905814170837398</v>
      </c>
    </row>
    <row r="170" spans="1:15" x14ac:dyDescent="0.25">
      <c r="A170" t="s">
        <v>107</v>
      </c>
      <c r="B170" t="s">
        <v>98</v>
      </c>
      <c r="C170">
        <v>0</v>
      </c>
      <c r="D170">
        <f>ROUND(SUM(recreation_claude_v2_5!D170,recreation_claude_v2_4!D170,recreation_claude_v2_3!D170,recreation_claude_v2_2!D170,recreation_claude_v2_1!D170)/COUNT(recreation_claude_v2_5!D170,recreation_claude_v2_4!D170,recreation_claude_v2_3!D170,recreation_claude_v2_2!D170,recreation_claude_v2_1!D170),0)</f>
        <v>1</v>
      </c>
      <c r="E170">
        <f>IF($D170 = 1, ROUND(SUM(recreation_claude_v2_5!E170,recreation_claude_v2_4!E170,recreation_claude_v2_3!E170,recreation_claude_v2_2!E170,recreation_claude_v2_1!E170)/COUNT(recreation_claude_v2_5!E170,recreation_claude_v2_4!E170,recreation_claude_v2_3!E170,recreation_claude_v2_2!E170,recreation_claude_v2_1!E170),0), "NA")</f>
        <v>1</v>
      </c>
      <c r="F170">
        <f>IF($D170 = 1, ROUND(SUM(recreation_claude_v2_5!F170,recreation_claude_v2_4!F170,recreation_claude_v2_3!F170,recreation_claude_v2_2!F170,recreation_claude_v2_1!F170)/COUNT(recreation_claude_v2_5!F170,recreation_claude_v2_4!F170,recreation_claude_v2_3!F170,recreation_claude_v2_2!F170,recreation_claude_v2_1!F170),0), "NA")</f>
        <v>1</v>
      </c>
      <c r="G170">
        <f>IF($D170 = 1, ROUND(SUM(recreation_claude_v2_5!G170,recreation_claude_v2_4!G170,recreation_claude_v2_3!G170,recreation_claude_v2_2!G170,recreation_claude_v2_1!G170)/COUNT(recreation_claude_v2_5!G170,recreation_claude_v2_4!G170,recreation_claude_v2_3!G170,recreation_claude_v2_2!G170,recreation_claude_v2_1!G170),0), "NA")</f>
        <v>1</v>
      </c>
      <c r="H170">
        <f>IF($E170 = 1, ROUND(SUM(recreation_claude_v2_5!H170,recreation_claude_v2_4!H170,recreation_claude_v2_3!H170,recreation_claude_v2_2!H170,recreation_claude_v2_1!H170)/COUNT(recreation_claude_v2_5!H170,recreation_claude_v2_4!H170,recreation_claude_v2_3!H170,recreation_claude_v2_2!H170,recreation_claude_v2_1!H170),0), "NA")</f>
        <v>1</v>
      </c>
      <c r="I170">
        <f>IF($D170 = 1, ROUND(SUM(recreation_claude_v2_5!I170,recreation_claude_v2_4!I170,recreation_claude_v2_3!I170,recreation_claude_v2_2!I170,recreation_claude_v2_1!I170)/COUNT(recreation_claude_v2_5!I170,recreation_claude_v2_4!I170,recreation_claude_v2_3!I170,recreation_claude_v2_2!I170,recreation_claude_v2_1!I170),0), "NA")</f>
        <v>1</v>
      </c>
      <c r="J170">
        <f>IF(AND($E170 = 1, $F170 = 1), ROUND(SUM(recreation_claude_v2_5!J170,recreation_claude_v2_4!J170,recreation_claude_v2_3!J170,recreation_claude_v2_2!J170,recreation_claude_v2_1!J170)/COUNT(recreation_claude_v2_5!J170,recreation_claude_v2_4!J170,recreation_claude_v2_3!J170,recreation_claude_v2_2!J170,recreation_claude_v2_1!J170),0), "NA")</f>
        <v>1</v>
      </c>
      <c r="K170">
        <f>IF($D170 = 1, ROUND(SUM(recreation_claude_v2_5!K170,recreation_claude_v2_4!K170,recreation_claude_v2_3!K170,recreation_claude_v2_2!K170,recreation_claude_v2_1!K170)/COUNT(recreation_claude_v2_5!K170,recreation_claude_v2_4!K170,recreation_claude_v2_3!K170,recreation_claude_v2_2!K170,recreation_claude_v2_1!K170),0), "NA")</f>
        <v>1</v>
      </c>
      <c r="L170">
        <f>IF($D170 = 1, ROUND(SUM(recreation_claude_v2_5!L170,recreation_claude_v2_4!L170,recreation_claude_v2_3!L170,recreation_claude_v2_2!L170,recreation_claude_v2_1!L170)/COUNT(recreation_claude_v2_5!L170,recreation_claude_v2_4!L170,recreation_claude_v2_3!L170,recreation_claude_v2_2!L170,recreation_claude_v2_1!L170),0), "NA")</f>
        <v>1</v>
      </c>
      <c r="M170">
        <f>IF($D170 = 1, ROUND(SUM(recreation_claude_v2_5!M170,recreation_claude_v2_4!M170,recreation_claude_v2_3!M170,recreation_claude_v2_2!M170,recreation_claude_v2_1!M170)/COUNT(recreation_claude_v2_5!M170,recreation_claude_v2_4!M170,recreation_claude_v2_3!M170,recreation_claude_v2_2!M170,recreation_claude_v2_1!M170),0), "NA")</f>
        <v>1</v>
      </c>
      <c r="N170">
        <f>IF($D170 = 1, ROUND(SUM(recreation_claude_v2_5!N170,recreation_claude_v2_4!N170,recreation_claude_v2_3!N170,recreation_claude_v2_2!N170,recreation_claude_v2_1!N170)/COUNT(recreation_claude_v2_5!N170,recreation_claude_v2_4!N170,recreation_claude_v2_3!N170,recreation_claude_v2_2!N170,recreation_claude_v2_1!N170),0), "NA")</f>
        <v>1</v>
      </c>
      <c r="O170">
        <v>1.816516637802124</v>
      </c>
    </row>
    <row r="171" spans="1:15" x14ac:dyDescent="0.25">
      <c r="A171" t="s">
        <v>107</v>
      </c>
      <c r="B171" t="s">
        <v>100</v>
      </c>
      <c r="C171">
        <v>0</v>
      </c>
      <c r="D171">
        <f>ROUND(SUM(recreation_claude_v2_5!D171,recreation_claude_v2_4!D171,recreation_claude_v2_3!D171,recreation_claude_v2_2!D171,recreation_claude_v2_1!D171)/COUNT(recreation_claude_v2_5!D171,recreation_claude_v2_4!D171,recreation_claude_v2_3!D171,recreation_claude_v2_2!D171,recreation_claude_v2_1!D171),0)</f>
        <v>1</v>
      </c>
      <c r="E171">
        <f>IF($D171 = 1, ROUND(SUM(recreation_claude_v2_5!E171,recreation_claude_v2_4!E171,recreation_claude_v2_3!E171,recreation_claude_v2_2!E171,recreation_claude_v2_1!E171)/COUNT(recreation_claude_v2_5!E171,recreation_claude_v2_4!E171,recreation_claude_v2_3!E171,recreation_claude_v2_2!E171,recreation_claude_v2_1!E171),0), "NA")</f>
        <v>1</v>
      </c>
      <c r="F171">
        <f>IF($D171 = 1, ROUND(SUM(recreation_claude_v2_5!F171,recreation_claude_v2_4!F171,recreation_claude_v2_3!F171,recreation_claude_v2_2!F171,recreation_claude_v2_1!F171)/COUNT(recreation_claude_v2_5!F171,recreation_claude_v2_4!F171,recreation_claude_v2_3!F171,recreation_claude_v2_2!F171,recreation_claude_v2_1!F171),0), "NA")</f>
        <v>1</v>
      </c>
      <c r="G171">
        <f>IF($D171 = 1, ROUND(SUM(recreation_claude_v2_5!G171,recreation_claude_v2_4!G171,recreation_claude_v2_3!G171,recreation_claude_v2_2!G171,recreation_claude_v2_1!G171)/COUNT(recreation_claude_v2_5!G171,recreation_claude_v2_4!G171,recreation_claude_v2_3!G171,recreation_claude_v2_2!G171,recreation_claude_v2_1!G171),0), "NA")</f>
        <v>1</v>
      </c>
      <c r="H171">
        <f>IF($E171 = 1, ROUND(SUM(recreation_claude_v2_5!H171,recreation_claude_v2_4!H171,recreation_claude_v2_3!H171,recreation_claude_v2_2!H171,recreation_claude_v2_1!H171)/COUNT(recreation_claude_v2_5!H171,recreation_claude_v2_4!H171,recreation_claude_v2_3!H171,recreation_claude_v2_2!H171,recreation_claude_v2_1!H171),0), "NA")</f>
        <v>1</v>
      </c>
      <c r="I171">
        <f>IF($D171 = 1, ROUND(SUM(recreation_claude_v2_5!I171,recreation_claude_v2_4!I171,recreation_claude_v2_3!I171,recreation_claude_v2_2!I171,recreation_claude_v2_1!I171)/COUNT(recreation_claude_v2_5!I171,recreation_claude_v2_4!I171,recreation_claude_v2_3!I171,recreation_claude_v2_2!I171,recreation_claude_v2_1!I171),0), "NA")</f>
        <v>1</v>
      </c>
      <c r="J171">
        <f>IF(AND($E171 = 1, $F171 = 1), ROUND(SUM(recreation_claude_v2_5!J171,recreation_claude_v2_4!J171,recreation_claude_v2_3!J171,recreation_claude_v2_2!J171,recreation_claude_v2_1!J171)/COUNT(recreation_claude_v2_5!J171,recreation_claude_v2_4!J171,recreation_claude_v2_3!J171,recreation_claude_v2_2!J171,recreation_claude_v2_1!J171),0), "NA")</f>
        <v>1</v>
      </c>
      <c r="K171">
        <f>IF($D171 = 1, ROUND(SUM(recreation_claude_v2_5!K171,recreation_claude_v2_4!K171,recreation_claude_v2_3!K171,recreation_claude_v2_2!K171,recreation_claude_v2_1!K171)/COUNT(recreation_claude_v2_5!K171,recreation_claude_v2_4!K171,recreation_claude_v2_3!K171,recreation_claude_v2_2!K171,recreation_claude_v2_1!K171),0), "NA")</f>
        <v>1</v>
      </c>
      <c r="L171">
        <f>IF($D171 = 1, ROUND(SUM(recreation_claude_v2_5!L171,recreation_claude_v2_4!L171,recreation_claude_v2_3!L171,recreation_claude_v2_2!L171,recreation_claude_v2_1!L171)/COUNT(recreation_claude_v2_5!L171,recreation_claude_v2_4!L171,recreation_claude_v2_3!L171,recreation_claude_v2_2!L171,recreation_claude_v2_1!L171),0), "NA")</f>
        <v>1</v>
      </c>
      <c r="M171">
        <f>IF($D171 = 1, ROUND(SUM(recreation_claude_v2_5!M171,recreation_claude_v2_4!M171,recreation_claude_v2_3!M171,recreation_claude_v2_2!M171,recreation_claude_v2_1!M171)/COUNT(recreation_claude_v2_5!M171,recreation_claude_v2_4!M171,recreation_claude_v2_3!M171,recreation_claude_v2_2!M171,recreation_claude_v2_1!M171),0), "NA")</f>
        <v>1</v>
      </c>
      <c r="N171">
        <f>IF($D171 = 1, ROUND(SUM(recreation_claude_v2_5!N171,recreation_claude_v2_4!N171,recreation_claude_v2_3!N171,recreation_claude_v2_2!N171,recreation_claude_v2_1!N171)/COUNT(recreation_claude_v2_5!N171,recreation_claude_v2_4!N171,recreation_claude_v2_3!N171,recreation_claude_v2_2!N171,recreation_claude_v2_1!N171),0), "NA")</f>
        <v>1</v>
      </c>
      <c r="O171">
        <v>1.7934849262237551</v>
      </c>
    </row>
    <row r="172" spans="1:15" x14ac:dyDescent="0.25">
      <c r="A172" t="s">
        <v>107</v>
      </c>
      <c r="B172" t="s">
        <v>101</v>
      </c>
      <c r="C172">
        <v>0</v>
      </c>
      <c r="D172">
        <f>ROUND(SUM(recreation_claude_v2_5!D172,recreation_claude_v2_4!D172,recreation_claude_v2_3!D172,recreation_claude_v2_2!D172,recreation_claude_v2_1!D172)/COUNT(recreation_claude_v2_5!D172,recreation_claude_v2_4!D172,recreation_claude_v2_3!D172,recreation_claude_v2_2!D172,recreation_claude_v2_1!D172),0)</f>
        <v>1</v>
      </c>
      <c r="E172">
        <f>IF($D172 = 1, ROUND(SUM(recreation_claude_v2_5!E172,recreation_claude_v2_4!E172,recreation_claude_v2_3!E172,recreation_claude_v2_2!E172,recreation_claude_v2_1!E172)/COUNT(recreation_claude_v2_5!E172,recreation_claude_v2_4!E172,recreation_claude_v2_3!E172,recreation_claude_v2_2!E172,recreation_claude_v2_1!E172),0), "NA")</f>
        <v>1</v>
      </c>
      <c r="F172">
        <f>IF($D172 = 1, ROUND(SUM(recreation_claude_v2_5!F172,recreation_claude_v2_4!F172,recreation_claude_v2_3!F172,recreation_claude_v2_2!F172,recreation_claude_v2_1!F172)/COUNT(recreation_claude_v2_5!F172,recreation_claude_v2_4!F172,recreation_claude_v2_3!F172,recreation_claude_v2_2!F172,recreation_claude_v2_1!F172),0), "NA")</f>
        <v>1</v>
      </c>
      <c r="G172">
        <f>IF($D172 = 1, ROUND(SUM(recreation_claude_v2_5!G172,recreation_claude_v2_4!G172,recreation_claude_v2_3!G172,recreation_claude_v2_2!G172,recreation_claude_v2_1!G172)/COUNT(recreation_claude_v2_5!G172,recreation_claude_v2_4!G172,recreation_claude_v2_3!G172,recreation_claude_v2_2!G172,recreation_claude_v2_1!G172),0), "NA")</f>
        <v>1</v>
      </c>
      <c r="H172">
        <f>IF($E172 = 1, ROUND(SUM(recreation_claude_v2_5!H172,recreation_claude_v2_4!H172,recreation_claude_v2_3!H172,recreation_claude_v2_2!H172,recreation_claude_v2_1!H172)/COUNT(recreation_claude_v2_5!H172,recreation_claude_v2_4!H172,recreation_claude_v2_3!H172,recreation_claude_v2_2!H172,recreation_claude_v2_1!H172),0), "NA")</f>
        <v>1</v>
      </c>
      <c r="I172">
        <f>IF($D172 = 1, ROUND(SUM(recreation_claude_v2_5!I172,recreation_claude_v2_4!I172,recreation_claude_v2_3!I172,recreation_claude_v2_2!I172,recreation_claude_v2_1!I172)/COUNT(recreation_claude_v2_5!I172,recreation_claude_v2_4!I172,recreation_claude_v2_3!I172,recreation_claude_v2_2!I172,recreation_claude_v2_1!I172),0), "NA")</f>
        <v>0</v>
      </c>
      <c r="J172">
        <f>IF(AND($E172 = 1, $F172 = 1), ROUND(SUM(recreation_claude_v2_5!J172,recreation_claude_v2_4!J172,recreation_claude_v2_3!J172,recreation_claude_v2_2!J172,recreation_claude_v2_1!J172)/COUNT(recreation_claude_v2_5!J172,recreation_claude_v2_4!J172,recreation_claude_v2_3!J172,recreation_claude_v2_2!J172,recreation_claude_v2_1!J172),0), "NA")</f>
        <v>1</v>
      </c>
      <c r="K172">
        <f>IF($D172 = 1, ROUND(SUM(recreation_claude_v2_5!K172,recreation_claude_v2_4!K172,recreation_claude_v2_3!K172,recreation_claude_v2_2!K172,recreation_claude_v2_1!K172)/COUNT(recreation_claude_v2_5!K172,recreation_claude_v2_4!K172,recreation_claude_v2_3!K172,recreation_claude_v2_2!K172,recreation_claude_v2_1!K172),0), "NA")</f>
        <v>1</v>
      </c>
      <c r="L172">
        <f>IF($D172 = 1, ROUND(SUM(recreation_claude_v2_5!L172,recreation_claude_v2_4!L172,recreation_claude_v2_3!L172,recreation_claude_v2_2!L172,recreation_claude_v2_1!L172)/COUNT(recreation_claude_v2_5!L172,recreation_claude_v2_4!L172,recreation_claude_v2_3!L172,recreation_claude_v2_2!L172,recreation_claude_v2_1!L172),0), "NA")</f>
        <v>1</v>
      </c>
      <c r="M172">
        <f>IF($D172 = 1, ROUND(SUM(recreation_claude_v2_5!M172,recreation_claude_v2_4!M172,recreation_claude_v2_3!M172,recreation_claude_v2_2!M172,recreation_claude_v2_1!M172)/COUNT(recreation_claude_v2_5!M172,recreation_claude_v2_4!M172,recreation_claude_v2_3!M172,recreation_claude_v2_2!M172,recreation_claude_v2_1!M172),0), "NA")</f>
        <v>1</v>
      </c>
      <c r="N172">
        <f>IF($D172 = 1, ROUND(SUM(recreation_claude_v2_5!N172,recreation_claude_v2_4!N172,recreation_claude_v2_3!N172,recreation_claude_v2_2!N172,recreation_claude_v2_1!N172)/COUNT(recreation_claude_v2_5!N172,recreation_claude_v2_4!N172,recreation_claude_v2_3!N172,recreation_claude_v2_2!N172,recreation_claude_v2_1!N172),0), "NA")</f>
        <v>1</v>
      </c>
      <c r="O172">
        <v>5.4075989723205566</v>
      </c>
    </row>
    <row r="173" spans="1:15" x14ac:dyDescent="0.25">
      <c r="A173" t="s">
        <v>107</v>
      </c>
      <c r="B173" t="s">
        <v>102</v>
      </c>
      <c r="C173">
        <v>0</v>
      </c>
      <c r="D173">
        <f>ROUND(SUM(recreation_claude_v2_5!D173,recreation_claude_v2_4!D173,recreation_claude_v2_3!D173,recreation_claude_v2_2!D173,recreation_claude_v2_1!D173)/COUNT(recreation_claude_v2_5!D173,recreation_claude_v2_4!D173,recreation_claude_v2_3!D173,recreation_claude_v2_2!D173,recreation_claude_v2_1!D173),0)</f>
        <v>1</v>
      </c>
      <c r="E173">
        <f>IF($D173 = 1, ROUND(SUM(recreation_claude_v2_5!E173,recreation_claude_v2_4!E173,recreation_claude_v2_3!E173,recreation_claude_v2_2!E173,recreation_claude_v2_1!E173)/COUNT(recreation_claude_v2_5!E173,recreation_claude_v2_4!E173,recreation_claude_v2_3!E173,recreation_claude_v2_2!E173,recreation_claude_v2_1!E173),0), "NA")</f>
        <v>1</v>
      </c>
      <c r="F173">
        <f>IF($D173 = 1, ROUND(SUM(recreation_claude_v2_5!F173,recreation_claude_v2_4!F173,recreation_claude_v2_3!F173,recreation_claude_v2_2!F173,recreation_claude_v2_1!F173)/COUNT(recreation_claude_v2_5!F173,recreation_claude_v2_4!F173,recreation_claude_v2_3!F173,recreation_claude_v2_2!F173,recreation_claude_v2_1!F173),0), "NA")</f>
        <v>1</v>
      </c>
      <c r="G173">
        <f>IF($D173 = 1, ROUND(SUM(recreation_claude_v2_5!G173,recreation_claude_v2_4!G173,recreation_claude_v2_3!G173,recreation_claude_v2_2!G173,recreation_claude_v2_1!G173)/COUNT(recreation_claude_v2_5!G173,recreation_claude_v2_4!G173,recreation_claude_v2_3!G173,recreation_claude_v2_2!G173,recreation_claude_v2_1!G173),0), "NA")</f>
        <v>1</v>
      </c>
      <c r="H173">
        <f>IF($E173 = 1, ROUND(SUM(recreation_claude_v2_5!H173,recreation_claude_v2_4!H173,recreation_claude_v2_3!H173,recreation_claude_v2_2!H173,recreation_claude_v2_1!H173)/COUNT(recreation_claude_v2_5!H173,recreation_claude_v2_4!H173,recreation_claude_v2_3!H173,recreation_claude_v2_2!H173,recreation_claude_v2_1!H173),0), "NA")</f>
        <v>1</v>
      </c>
      <c r="I173">
        <f>IF($D173 = 1, ROUND(SUM(recreation_claude_v2_5!I173,recreation_claude_v2_4!I173,recreation_claude_v2_3!I173,recreation_claude_v2_2!I173,recreation_claude_v2_1!I173)/COUNT(recreation_claude_v2_5!I173,recreation_claude_v2_4!I173,recreation_claude_v2_3!I173,recreation_claude_v2_2!I173,recreation_claude_v2_1!I173),0), "NA")</f>
        <v>1</v>
      </c>
      <c r="J173">
        <f>IF(AND($E173 = 1, $F173 = 1), ROUND(SUM(recreation_claude_v2_5!J173,recreation_claude_v2_4!J173,recreation_claude_v2_3!J173,recreation_claude_v2_2!J173,recreation_claude_v2_1!J173)/COUNT(recreation_claude_v2_5!J173,recreation_claude_v2_4!J173,recreation_claude_v2_3!J173,recreation_claude_v2_2!J173,recreation_claude_v2_1!J173),0), "NA")</f>
        <v>1</v>
      </c>
      <c r="K173">
        <f>IF($D173 = 1, ROUND(SUM(recreation_claude_v2_5!K173,recreation_claude_v2_4!K173,recreation_claude_v2_3!K173,recreation_claude_v2_2!K173,recreation_claude_v2_1!K173)/COUNT(recreation_claude_v2_5!K173,recreation_claude_v2_4!K173,recreation_claude_v2_3!K173,recreation_claude_v2_2!K173,recreation_claude_v2_1!K173),0), "NA")</f>
        <v>1</v>
      </c>
      <c r="L173">
        <f>IF($D173 = 1, ROUND(SUM(recreation_claude_v2_5!L173,recreation_claude_v2_4!L173,recreation_claude_v2_3!L173,recreation_claude_v2_2!L173,recreation_claude_v2_1!L173)/COUNT(recreation_claude_v2_5!L173,recreation_claude_v2_4!L173,recreation_claude_v2_3!L173,recreation_claude_v2_2!L173,recreation_claude_v2_1!L173),0), "NA")</f>
        <v>1</v>
      </c>
      <c r="M173">
        <f>IF($D173 = 1, ROUND(SUM(recreation_claude_v2_5!M173,recreation_claude_v2_4!M173,recreation_claude_v2_3!M173,recreation_claude_v2_2!M173,recreation_claude_v2_1!M173)/COUNT(recreation_claude_v2_5!M173,recreation_claude_v2_4!M173,recreation_claude_v2_3!M173,recreation_claude_v2_2!M173,recreation_claude_v2_1!M173),0), "NA")</f>
        <v>1</v>
      </c>
      <c r="N173">
        <f>IF($D173 = 1, ROUND(SUM(recreation_claude_v2_5!N173,recreation_claude_v2_4!N173,recreation_claude_v2_3!N173,recreation_claude_v2_2!N173,recreation_claude_v2_1!N173)/COUNT(recreation_claude_v2_5!N173,recreation_claude_v2_4!N173,recreation_claude_v2_3!N173,recreation_claude_v2_2!N173,recreation_claude_v2_1!N173),0), "NA")</f>
        <v>1</v>
      </c>
      <c r="O173">
        <v>1.6944911479949949</v>
      </c>
    </row>
    <row r="174" spans="1:15" x14ac:dyDescent="0.25">
      <c r="A174" t="s">
        <v>107</v>
      </c>
      <c r="B174" t="s">
        <v>104</v>
      </c>
      <c r="C174">
        <v>0</v>
      </c>
      <c r="D174">
        <f>ROUND(SUM(recreation_claude_v2_5!D174,recreation_claude_v2_4!D174,recreation_claude_v2_3!D174,recreation_claude_v2_2!D174,recreation_claude_v2_1!D174)/COUNT(recreation_claude_v2_5!D174,recreation_claude_v2_4!D174,recreation_claude_v2_3!D174,recreation_claude_v2_2!D174,recreation_claude_v2_1!D174),0)</f>
        <v>1</v>
      </c>
      <c r="E174">
        <f>IF($D174 = 1, ROUND(SUM(recreation_claude_v2_5!E174,recreation_claude_v2_4!E174,recreation_claude_v2_3!E174,recreation_claude_v2_2!E174,recreation_claude_v2_1!E174)/COUNT(recreation_claude_v2_5!E174,recreation_claude_v2_4!E174,recreation_claude_v2_3!E174,recreation_claude_v2_2!E174,recreation_claude_v2_1!E174),0), "NA")</f>
        <v>1</v>
      </c>
      <c r="F174">
        <f>IF($D174 = 1, ROUND(SUM(recreation_claude_v2_5!F174,recreation_claude_v2_4!F174,recreation_claude_v2_3!F174,recreation_claude_v2_2!F174,recreation_claude_v2_1!F174)/COUNT(recreation_claude_v2_5!F174,recreation_claude_v2_4!F174,recreation_claude_v2_3!F174,recreation_claude_v2_2!F174,recreation_claude_v2_1!F174),0), "NA")</f>
        <v>1</v>
      </c>
      <c r="G174">
        <f>IF($D174 = 1, ROUND(SUM(recreation_claude_v2_5!G174,recreation_claude_v2_4!G174,recreation_claude_v2_3!G174,recreation_claude_v2_2!G174,recreation_claude_v2_1!G174)/COUNT(recreation_claude_v2_5!G174,recreation_claude_v2_4!G174,recreation_claude_v2_3!G174,recreation_claude_v2_2!G174,recreation_claude_v2_1!G174),0), "NA")</f>
        <v>1</v>
      </c>
      <c r="H174">
        <f>IF($E174 = 1, ROUND(SUM(recreation_claude_v2_5!H174,recreation_claude_v2_4!H174,recreation_claude_v2_3!H174,recreation_claude_v2_2!H174,recreation_claude_v2_1!H174)/COUNT(recreation_claude_v2_5!H174,recreation_claude_v2_4!H174,recreation_claude_v2_3!H174,recreation_claude_v2_2!H174,recreation_claude_v2_1!H174),0), "NA")</f>
        <v>1</v>
      </c>
      <c r="I174">
        <f>IF($D174 = 1, ROUND(SUM(recreation_claude_v2_5!I174,recreation_claude_v2_4!I174,recreation_claude_v2_3!I174,recreation_claude_v2_2!I174,recreation_claude_v2_1!I174)/COUNT(recreation_claude_v2_5!I174,recreation_claude_v2_4!I174,recreation_claude_v2_3!I174,recreation_claude_v2_2!I174,recreation_claude_v2_1!I174),0), "NA")</f>
        <v>1</v>
      </c>
      <c r="J174">
        <f>IF(AND($E174 = 1, $F174 = 1), ROUND(SUM(recreation_claude_v2_5!J174,recreation_claude_v2_4!J174,recreation_claude_v2_3!J174,recreation_claude_v2_2!J174,recreation_claude_v2_1!J174)/COUNT(recreation_claude_v2_5!J174,recreation_claude_v2_4!J174,recreation_claude_v2_3!J174,recreation_claude_v2_2!J174,recreation_claude_v2_1!J174),0), "NA")</f>
        <v>1</v>
      </c>
      <c r="K174">
        <f>IF($D174 = 1, ROUND(SUM(recreation_claude_v2_5!K174,recreation_claude_v2_4!K174,recreation_claude_v2_3!K174,recreation_claude_v2_2!K174,recreation_claude_v2_1!K174)/COUNT(recreation_claude_v2_5!K174,recreation_claude_v2_4!K174,recreation_claude_v2_3!K174,recreation_claude_v2_2!K174,recreation_claude_v2_1!K174),0), "NA")</f>
        <v>1</v>
      </c>
      <c r="L174">
        <f>IF($D174 = 1, ROUND(SUM(recreation_claude_v2_5!L174,recreation_claude_v2_4!L174,recreation_claude_v2_3!L174,recreation_claude_v2_2!L174,recreation_claude_v2_1!L174)/COUNT(recreation_claude_v2_5!L174,recreation_claude_v2_4!L174,recreation_claude_v2_3!L174,recreation_claude_v2_2!L174,recreation_claude_v2_1!L174),0), "NA")</f>
        <v>1</v>
      </c>
      <c r="M174">
        <f>IF($D174 = 1, ROUND(SUM(recreation_claude_v2_5!M174,recreation_claude_v2_4!M174,recreation_claude_v2_3!M174,recreation_claude_v2_2!M174,recreation_claude_v2_1!M174)/COUNT(recreation_claude_v2_5!M174,recreation_claude_v2_4!M174,recreation_claude_v2_3!M174,recreation_claude_v2_2!M174,recreation_claude_v2_1!M174),0), "NA")</f>
        <v>1</v>
      </c>
      <c r="N174">
        <f>IF($D174 = 1, ROUND(SUM(recreation_claude_v2_5!N174,recreation_claude_v2_4!N174,recreation_claude_v2_3!N174,recreation_claude_v2_2!N174,recreation_claude_v2_1!N174)/COUNT(recreation_claude_v2_5!N174,recreation_claude_v2_4!N174,recreation_claude_v2_3!N174,recreation_claude_v2_2!N174,recreation_claude_v2_1!N174),0), "NA")</f>
        <v>1</v>
      </c>
      <c r="O174">
        <v>1.2900834083557129</v>
      </c>
    </row>
    <row r="175" spans="1:15" x14ac:dyDescent="0.25">
      <c r="A175" t="s">
        <v>107</v>
      </c>
      <c r="B175" t="s">
        <v>105</v>
      </c>
      <c r="C175">
        <v>0</v>
      </c>
      <c r="D175">
        <f>ROUND(SUM(recreation_claude_v2_5!D175,recreation_claude_v2_4!D175,recreation_claude_v2_3!D175,recreation_claude_v2_2!D175,recreation_claude_v2_1!D175)/COUNT(recreation_claude_v2_5!D175,recreation_claude_v2_4!D175,recreation_claude_v2_3!D175,recreation_claude_v2_2!D175,recreation_claude_v2_1!D175),0)</f>
        <v>1</v>
      </c>
      <c r="E175">
        <f>IF($D175 = 1, ROUND(SUM(recreation_claude_v2_5!E175,recreation_claude_v2_4!E175,recreation_claude_v2_3!E175,recreation_claude_v2_2!E175,recreation_claude_v2_1!E175)/COUNT(recreation_claude_v2_5!E175,recreation_claude_v2_4!E175,recreation_claude_v2_3!E175,recreation_claude_v2_2!E175,recreation_claude_v2_1!E175),0), "NA")</f>
        <v>1</v>
      </c>
      <c r="F175">
        <f>IF($D175 = 1, ROUND(SUM(recreation_claude_v2_5!F175,recreation_claude_v2_4!F175,recreation_claude_v2_3!F175,recreation_claude_v2_2!F175,recreation_claude_v2_1!F175)/COUNT(recreation_claude_v2_5!F175,recreation_claude_v2_4!F175,recreation_claude_v2_3!F175,recreation_claude_v2_2!F175,recreation_claude_v2_1!F175),0), "NA")</f>
        <v>1</v>
      </c>
      <c r="G175">
        <f>IF($D175 = 1, ROUND(SUM(recreation_claude_v2_5!G175,recreation_claude_v2_4!G175,recreation_claude_v2_3!G175,recreation_claude_v2_2!G175,recreation_claude_v2_1!G175)/COUNT(recreation_claude_v2_5!G175,recreation_claude_v2_4!G175,recreation_claude_v2_3!G175,recreation_claude_v2_2!G175,recreation_claude_v2_1!G175),0), "NA")</f>
        <v>1</v>
      </c>
      <c r="H175">
        <f>IF($E175 = 1, ROUND(SUM(recreation_claude_v2_5!H175,recreation_claude_v2_4!H175,recreation_claude_v2_3!H175,recreation_claude_v2_2!H175,recreation_claude_v2_1!H175)/COUNT(recreation_claude_v2_5!H175,recreation_claude_v2_4!H175,recreation_claude_v2_3!H175,recreation_claude_v2_2!H175,recreation_claude_v2_1!H175),0), "NA")</f>
        <v>1</v>
      </c>
      <c r="I175">
        <f>IF($D175 = 1, ROUND(SUM(recreation_claude_v2_5!I175,recreation_claude_v2_4!I175,recreation_claude_v2_3!I175,recreation_claude_v2_2!I175,recreation_claude_v2_1!I175)/COUNT(recreation_claude_v2_5!I175,recreation_claude_v2_4!I175,recreation_claude_v2_3!I175,recreation_claude_v2_2!I175,recreation_claude_v2_1!I175),0), "NA")</f>
        <v>1</v>
      </c>
      <c r="J175">
        <f>IF(AND($E175 = 1, $F175 = 1), ROUND(SUM(recreation_claude_v2_5!J175,recreation_claude_v2_4!J175,recreation_claude_v2_3!J175,recreation_claude_v2_2!J175,recreation_claude_v2_1!J175)/COUNT(recreation_claude_v2_5!J175,recreation_claude_v2_4!J175,recreation_claude_v2_3!J175,recreation_claude_v2_2!J175,recreation_claude_v2_1!J175),0), "NA")</f>
        <v>1</v>
      </c>
      <c r="K175">
        <f>IF($D175 = 1, ROUND(SUM(recreation_claude_v2_5!K175,recreation_claude_v2_4!K175,recreation_claude_v2_3!K175,recreation_claude_v2_2!K175,recreation_claude_v2_1!K175)/COUNT(recreation_claude_v2_5!K175,recreation_claude_v2_4!K175,recreation_claude_v2_3!K175,recreation_claude_v2_2!K175,recreation_claude_v2_1!K175),0), "NA")</f>
        <v>1</v>
      </c>
      <c r="L175">
        <f>IF($D175 = 1, ROUND(SUM(recreation_claude_v2_5!L175,recreation_claude_v2_4!L175,recreation_claude_v2_3!L175,recreation_claude_v2_2!L175,recreation_claude_v2_1!L175)/COUNT(recreation_claude_v2_5!L175,recreation_claude_v2_4!L175,recreation_claude_v2_3!L175,recreation_claude_v2_2!L175,recreation_claude_v2_1!L175),0), "NA")</f>
        <v>1</v>
      </c>
      <c r="M175">
        <f>IF($D175 = 1, ROUND(SUM(recreation_claude_v2_5!M175,recreation_claude_v2_4!M175,recreation_claude_v2_3!M175,recreation_claude_v2_2!M175,recreation_claude_v2_1!M175)/COUNT(recreation_claude_v2_5!M175,recreation_claude_v2_4!M175,recreation_claude_v2_3!M175,recreation_claude_v2_2!M175,recreation_claude_v2_1!M175),0), "NA")</f>
        <v>1</v>
      </c>
      <c r="N175">
        <f>IF($D175 = 1, ROUND(SUM(recreation_claude_v2_5!N175,recreation_claude_v2_4!N175,recreation_claude_v2_3!N175,recreation_claude_v2_2!N175,recreation_claude_v2_1!N175)/COUNT(recreation_claude_v2_5!N175,recreation_claude_v2_4!N175,recreation_claude_v2_3!N175,recreation_claude_v2_2!N175,recreation_claude_v2_1!N175),0), "NA")</f>
        <v>1</v>
      </c>
      <c r="O175">
        <v>1.686005115509033</v>
      </c>
    </row>
    <row r="176" spans="1:15" x14ac:dyDescent="0.25">
      <c r="A176" t="s">
        <v>107</v>
      </c>
      <c r="B176" t="s">
        <v>106</v>
      </c>
      <c r="C176">
        <v>0</v>
      </c>
      <c r="D176">
        <f>ROUND(SUM(recreation_claude_v2_5!D176,recreation_claude_v2_4!D176,recreation_claude_v2_3!D176,recreation_claude_v2_2!D176,recreation_claude_v2_1!D176)/COUNT(recreation_claude_v2_5!D176,recreation_claude_v2_4!D176,recreation_claude_v2_3!D176,recreation_claude_v2_2!D176,recreation_claude_v2_1!D176),0)</f>
        <v>1</v>
      </c>
      <c r="E176">
        <f>IF($D176 = 1, ROUND(SUM(recreation_claude_v2_5!E176,recreation_claude_v2_4!E176,recreation_claude_v2_3!E176,recreation_claude_v2_2!E176,recreation_claude_v2_1!E176)/COUNT(recreation_claude_v2_5!E176,recreation_claude_v2_4!E176,recreation_claude_v2_3!E176,recreation_claude_v2_2!E176,recreation_claude_v2_1!E176),0), "NA")</f>
        <v>1</v>
      </c>
      <c r="F176">
        <f>IF($D176 = 1, ROUND(SUM(recreation_claude_v2_5!F176,recreation_claude_v2_4!F176,recreation_claude_v2_3!F176,recreation_claude_v2_2!F176,recreation_claude_v2_1!F176)/COUNT(recreation_claude_v2_5!F176,recreation_claude_v2_4!F176,recreation_claude_v2_3!F176,recreation_claude_v2_2!F176,recreation_claude_v2_1!F176),0), "NA")</f>
        <v>1</v>
      </c>
      <c r="G176">
        <f>IF($D176 = 1, ROUND(SUM(recreation_claude_v2_5!G176,recreation_claude_v2_4!G176,recreation_claude_v2_3!G176,recreation_claude_v2_2!G176,recreation_claude_v2_1!G176)/COUNT(recreation_claude_v2_5!G176,recreation_claude_v2_4!G176,recreation_claude_v2_3!G176,recreation_claude_v2_2!G176,recreation_claude_v2_1!G176),0), "NA")</f>
        <v>1</v>
      </c>
      <c r="H176">
        <f>IF($E176 = 1, ROUND(SUM(recreation_claude_v2_5!H176,recreation_claude_v2_4!H176,recreation_claude_v2_3!H176,recreation_claude_v2_2!H176,recreation_claude_v2_1!H176)/COUNT(recreation_claude_v2_5!H176,recreation_claude_v2_4!H176,recreation_claude_v2_3!H176,recreation_claude_v2_2!H176,recreation_claude_v2_1!H176),0), "NA")</f>
        <v>1</v>
      </c>
      <c r="I176">
        <f>IF($D176 = 1, ROUND(SUM(recreation_claude_v2_5!I176,recreation_claude_v2_4!I176,recreation_claude_v2_3!I176,recreation_claude_v2_2!I176,recreation_claude_v2_1!I176)/COUNT(recreation_claude_v2_5!I176,recreation_claude_v2_4!I176,recreation_claude_v2_3!I176,recreation_claude_v2_2!I176,recreation_claude_v2_1!I176),0), "NA")</f>
        <v>1</v>
      </c>
      <c r="J176">
        <f>IF(AND($E176 = 1, $F176 = 1), ROUND(SUM(recreation_claude_v2_5!J176,recreation_claude_v2_4!J176,recreation_claude_v2_3!J176,recreation_claude_v2_2!J176,recreation_claude_v2_1!J176)/COUNT(recreation_claude_v2_5!J176,recreation_claude_v2_4!J176,recreation_claude_v2_3!J176,recreation_claude_v2_2!J176,recreation_claude_v2_1!J176),0), "NA")</f>
        <v>1</v>
      </c>
      <c r="K176">
        <f>IF($D176 = 1, ROUND(SUM(recreation_claude_v2_5!K176,recreation_claude_v2_4!K176,recreation_claude_v2_3!K176,recreation_claude_v2_2!K176,recreation_claude_v2_1!K176)/COUNT(recreation_claude_v2_5!K176,recreation_claude_v2_4!K176,recreation_claude_v2_3!K176,recreation_claude_v2_2!K176,recreation_claude_v2_1!K176),0), "NA")</f>
        <v>1</v>
      </c>
      <c r="L176">
        <f>IF($D176 = 1, ROUND(SUM(recreation_claude_v2_5!L176,recreation_claude_v2_4!L176,recreation_claude_v2_3!L176,recreation_claude_v2_2!L176,recreation_claude_v2_1!L176)/COUNT(recreation_claude_v2_5!L176,recreation_claude_v2_4!L176,recreation_claude_v2_3!L176,recreation_claude_v2_2!L176,recreation_claude_v2_1!L176),0), "NA")</f>
        <v>1</v>
      </c>
      <c r="M176">
        <f>IF($D176 = 1, ROUND(SUM(recreation_claude_v2_5!M176,recreation_claude_v2_4!M176,recreation_claude_v2_3!M176,recreation_claude_v2_2!M176,recreation_claude_v2_1!M176)/COUNT(recreation_claude_v2_5!M176,recreation_claude_v2_4!M176,recreation_claude_v2_3!M176,recreation_claude_v2_2!M176,recreation_claude_v2_1!M176),0), "NA")</f>
        <v>1</v>
      </c>
      <c r="N176">
        <f>IF($D176 = 1, ROUND(SUM(recreation_claude_v2_5!N176,recreation_claude_v2_4!N176,recreation_claude_v2_3!N176,recreation_claude_v2_2!N176,recreation_claude_v2_1!N176)/COUNT(recreation_claude_v2_5!N176,recreation_claude_v2_4!N176,recreation_claude_v2_3!N176,recreation_claude_v2_2!N176,recreation_claude_v2_1!N176),0), "NA")</f>
        <v>1</v>
      </c>
      <c r="O176">
        <v>1.4823658466339109</v>
      </c>
    </row>
    <row r="177" spans="1:15" x14ac:dyDescent="0.25">
      <c r="A177" t="s">
        <v>107</v>
      </c>
      <c r="B177" t="s">
        <v>126</v>
      </c>
      <c r="C177">
        <v>0</v>
      </c>
      <c r="D177">
        <f>ROUND(SUM(recreation_claude_v2_5!D177,recreation_claude_v2_4!D177,recreation_claude_v2_3!D177,recreation_claude_v2_2!D177,recreation_claude_v2_1!D177)/COUNT(recreation_claude_v2_5!D177,recreation_claude_v2_4!D177,recreation_claude_v2_3!D177,recreation_claude_v2_2!D177,recreation_claude_v2_1!D177),0)</f>
        <v>1</v>
      </c>
      <c r="E177">
        <f>IF($D177 = 1, ROUND(SUM(recreation_claude_v2_5!E177,recreation_claude_v2_4!E177,recreation_claude_v2_3!E177,recreation_claude_v2_2!E177,recreation_claude_v2_1!E177)/COUNT(recreation_claude_v2_5!E177,recreation_claude_v2_4!E177,recreation_claude_v2_3!E177,recreation_claude_v2_2!E177,recreation_claude_v2_1!E177),0), "NA")</f>
        <v>1</v>
      </c>
      <c r="F177">
        <f>IF($D177 = 1, ROUND(SUM(recreation_claude_v2_5!F177,recreation_claude_v2_4!F177,recreation_claude_v2_3!F177,recreation_claude_v2_2!F177,recreation_claude_v2_1!F177)/COUNT(recreation_claude_v2_5!F177,recreation_claude_v2_4!F177,recreation_claude_v2_3!F177,recreation_claude_v2_2!F177,recreation_claude_v2_1!F177),0), "NA")</f>
        <v>1</v>
      </c>
      <c r="G177">
        <f>IF($D177 = 1, ROUND(SUM(recreation_claude_v2_5!G177,recreation_claude_v2_4!G177,recreation_claude_v2_3!G177,recreation_claude_v2_2!G177,recreation_claude_v2_1!G177)/COUNT(recreation_claude_v2_5!G177,recreation_claude_v2_4!G177,recreation_claude_v2_3!G177,recreation_claude_v2_2!G177,recreation_claude_v2_1!G177),0), "NA")</f>
        <v>1</v>
      </c>
      <c r="H177">
        <f>IF($E177 = 1, ROUND(SUM(recreation_claude_v2_5!H177,recreation_claude_v2_4!H177,recreation_claude_v2_3!H177,recreation_claude_v2_2!H177,recreation_claude_v2_1!H177)/COUNT(recreation_claude_v2_5!H177,recreation_claude_v2_4!H177,recreation_claude_v2_3!H177,recreation_claude_v2_2!H177,recreation_claude_v2_1!H177),0), "NA")</f>
        <v>1</v>
      </c>
      <c r="I177">
        <f>IF($D177 = 1, ROUND(SUM(recreation_claude_v2_5!I177,recreation_claude_v2_4!I177,recreation_claude_v2_3!I177,recreation_claude_v2_2!I177,recreation_claude_v2_1!I177)/COUNT(recreation_claude_v2_5!I177,recreation_claude_v2_4!I177,recreation_claude_v2_3!I177,recreation_claude_v2_2!I177,recreation_claude_v2_1!I177),0), "NA")</f>
        <v>1</v>
      </c>
      <c r="J177">
        <f>IF(AND($E177 = 1, $F177 = 1), ROUND(SUM(recreation_claude_v2_5!J177,recreation_claude_v2_4!J177,recreation_claude_v2_3!J177,recreation_claude_v2_2!J177,recreation_claude_v2_1!J177)/COUNT(recreation_claude_v2_5!J177,recreation_claude_v2_4!J177,recreation_claude_v2_3!J177,recreation_claude_v2_2!J177,recreation_claude_v2_1!J177),0), "NA")</f>
        <v>1</v>
      </c>
      <c r="K177">
        <f>IF($D177 = 1, ROUND(SUM(recreation_claude_v2_5!K177,recreation_claude_v2_4!K177,recreation_claude_v2_3!K177,recreation_claude_v2_2!K177,recreation_claude_v2_1!K177)/COUNT(recreation_claude_v2_5!K177,recreation_claude_v2_4!K177,recreation_claude_v2_3!K177,recreation_claude_v2_2!K177,recreation_claude_v2_1!K177),0), "NA")</f>
        <v>1</v>
      </c>
      <c r="L177">
        <f>IF($D177 = 1, ROUND(SUM(recreation_claude_v2_5!L177,recreation_claude_v2_4!L177,recreation_claude_v2_3!L177,recreation_claude_v2_2!L177,recreation_claude_v2_1!L177)/COUNT(recreation_claude_v2_5!L177,recreation_claude_v2_4!L177,recreation_claude_v2_3!L177,recreation_claude_v2_2!L177,recreation_claude_v2_1!L177),0), "NA")</f>
        <v>1</v>
      </c>
      <c r="M177">
        <f>IF($D177 = 1, ROUND(SUM(recreation_claude_v2_5!M177,recreation_claude_v2_4!M177,recreation_claude_v2_3!M177,recreation_claude_v2_2!M177,recreation_claude_v2_1!M177)/COUNT(recreation_claude_v2_5!M177,recreation_claude_v2_4!M177,recreation_claude_v2_3!M177,recreation_claude_v2_2!M177,recreation_claude_v2_1!M177),0), "NA")</f>
        <v>1</v>
      </c>
      <c r="N177">
        <f>IF($D177 = 1, ROUND(SUM(recreation_claude_v2_5!N177,recreation_claude_v2_4!N177,recreation_claude_v2_3!N177,recreation_claude_v2_2!N177,recreation_claude_v2_1!N177)/COUNT(recreation_claude_v2_5!N177,recreation_claude_v2_4!N177,recreation_claude_v2_3!N177,recreation_claude_v2_2!N177,recreation_claude_v2_1!N177),0), "NA")</f>
        <v>1</v>
      </c>
      <c r="O177">
        <v>1.826567649841309</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recreation_claude_v2_1</vt:lpstr>
      <vt:lpstr>recreation_claude_v2_2</vt:lpstr>
      <vt:lpstr>recreation_claude_v2_3</vt:lpstr>
      <vt:lpstr>recreation_claude_v2_4</vt:lpstr>
      <vt:lpstr>recreation_claude_v2_5</vt:lpstr>
      <vt:lpstr>Compiled Votes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2025-07-28T06:16:41Z</dcterms:created>
  <dcterms:modified xsi:type="dcterms:W3CDTF">2025-07-28T06:28:54Z</dcterms:modified>
</cp:coreProperties>
</file>