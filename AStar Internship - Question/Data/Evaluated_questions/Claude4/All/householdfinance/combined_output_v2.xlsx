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Amin\A-Star-AI-for-education\AStar Internship - Question\Data\Evaluated_questions\Claude4\All\householdfinance\"/>
    </mc:Choice>
  </mc:AlternateContent>
  <xr:revisionPtr revIDLastSave="0" documentId="13_ncr:1_{16CEF958-FCE6-4997-947A-CFA1F91F6A94}" xr6:coauthVersionLast="47" xr6:coauthVersionMax="47" xr10:uidLastSave="{00000000-0000-0000-0000-000000000000}"/>
  <bookViews>
    <workbookView xWindow="-96" yWindow="-96" windowWidth="23232" windowHeight="12432" firstSheet="2" activeTab="5" xr2:uid="{00000000-000D-0000-FFFF-FFFF00000000}"/>
  </bookViews>
  <sheets>
    <sheet name="householdfinance_v2_10" sheetId="1" r:id="rId1"/>
    <sheet name="householdfinance_v2_6" sheetId="2" r:id="rId2"/>
    <sheet name="householdfinance_v2_7" sheetId="3" r:id="rId3"/>
    <sheet name="householdfinance_v2_8" sheetId="4" r:id="rId4"/>
    <sheet name="householdfinance_v2_9" sheetId="5" r:id="rId5"/>
    <sheet name="Compiled Votes"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 i="6" l="1"/>
  <c r="F3" i="6" s="1"/>
  <c r="K3" i="6"/>
  <c r="L3" i="6"/>
  <c r="O3" i="6"/>
  <c r="E4" i="6"/>
  <c r="M4" i="6" s="1"/>
  <c r="F4" i="6"/>
  <c r="L4" i="6"/>
  <c r="E5" i="6"/>
  <c r="F5" i="6" s="1"/>
  <c r="G5" i="6"/>
  <c r="E6" i="6"/>
  <c r="I6" i="6" s="1"/>
  <c r="F6" i="6"/>
  <c r="G6" i="6"/>
  <c r="M6" i="6"/>
  <c r="N6" i="6"/>
  <c r="O6" i="6"/>
  <c r="E7" i="6"/>
  <c r="K7" i="6" s="1"/>
  <c r="F7" i="6"/>
  <c r="J7" i="6" s="1"/>
  <c r="G7" i="6"/>
  <c r="H7" i="6" s="1"/>
  <c r="I7" i="6"/>
  <c r="N7" i="6"/>
  <c r="O7" i="6"/>
  <c r="E8" i="6"/>
  <c r="E9" i="6"/>
  <c r="F9" i="6"/>
  <c r="E10" i="6"/>
  <c r="F10" i="6" s="1"/>
  <c r="E11" i="6"/>
  <c r="N11" i="6" s="1"/>
  <c r="F11" i="6"/>
  <c r="G11" i="6"/>
  <c r="I11" i="6"/>
  <c r="K11" i="6"/>
  <c r="L11" i="6"/>
  <c r="M11" i="6"/>
  <c r="E12" i="6"/>
  <c r="O12" i="6" s="1"/>
  <c r="G12" i="6"/>
  <c r="I12" i="6"/>
  <c r="K12" i="6"/>
  <c r="L12" i="6"/>
  <c r="M12" i="6"/>
  <c r="N12" i="6"/>
  <c r="E13" i="6"/>
  <c r="F13" i="6"/>
  <c r="G13" i="6"/>
  <c r="H13" i="6"/>
  <c r="I13" i="6"/>
  <c r="J13" i="6"/>
  <c r="K13" i="6"/>
  <c r="L13" i="6"/>
  <c r="M13" i="6"/>
  <c r="N13" i="6"/>
  <c r="O13" i="6"/>
  <c r="E14" i="6"/>
  <c r="F14" i="6"/>
  <c r="G14" i="6"/>
  <c r="H14" i="6" s="1"/>
  <c r="I14" i="6"/>
  <c r="J14" i="6"/>
  <c r="K14" i="6"/>
  <c r="L14" i="6"/>
  <c r="M14" i="6"/>
  <c r="N14" i="6"/>
  <c r="O14" i="6"/>
  <c r="E15" i="6"/>
  <c r="E16" i="6"/>
  <c r="K16" i="6" s="1"/>
  <c r="F16" i="6"/>
  <c r="M16" i="6"/>
  <c r="E17" i="6"/>
  <c r="L17" i="6" s="1"/>
  <c r="F17" i="6"/>
  <c r="G17" i="6"/>
  <c r="E18" i="6"/>
  <c r="I18" i="6" s="1"/>
  <c r="F18" i="6"/>
  <c r="J18" i="6" s="1"/>
  <c r="G18" i="6"/>
  <c r="M18" i="6"/>
  <c r="N18" i="6"/>
  <c r="O18" i="6"/>
  <c r="E19" i="6"/>
  <c r="K19" i="6" s="1"/>
  <c r="F19" i="6"/>
  <c r="J19" i="6" s="1"/>
  <c r="G19" i="6"/>
  <c r="H19" i="6" s="1"/>
  <c r="I19" i="6"/>
  <c r="N19" i="6"/>
  <c r="O19" i="6"/>
  <c r="E20" i="6"/>
  <c r="E21" i="6"/>
  <c r="F21" i="6" s="1"/>
  <c r="E22" i="6"/>
  <c r="F22" i="6"/>
  <c r="G22" i="6"/>
  <c r="L22" i="6"/>
  <c r="E23" i="6"/>
  <c r="N23" i="6" s="1"/>
  <c r="F23" i="6"/>
  <c r="G23" i="6"/>
  <c r="I23" i="6"/>
  <c r="K23" i="6"/>
  <c r="L23" i="6"/>
  <c r="M23" i="6"/>
  <c r="E24" i="6"/>
  <c r="O24" i="6" s="1"/>
  <c r="G24" i="6"/>
  <c r="I24" i="6"/>
  <c r="K24" i="6"/>
  <c r="L24" i="6"/>
  <c r="M24" i="6"/>
  <c r="N24" i="6"/>
  <c r="E25" i="6"/>
  <c r="F25" i="6" s="1"/>
  <c r="I25" i="6"/>
  <c r="J25" i="6"/>
  <c r="K25" i="6"/>
  <c r="L25" i="6"/>
  <c r="M25" i="6"/>
  <c r="N25" i="6"/>
  <c r="O25" i="6"/>
  <c r="E26" i="6"/>
  <c r="F26" i="6"/>
  <c r="H26" i="6" s="1"/>
  <c r="G26" i="6"/>
  <c r="I26" i="6"/>
  <c r="J26" i="6"/>
  <c r="K26" i="6"/>
  <c r="L26" i="6"/>
  <c r="M26" i="6"/>
  <c r="N26" i="6"/>
  <c r="O26" i="6"/>
  <c r="E27" i="6"/>
  <c r="L27" i="6" s="1"/>
  <c r="K27" i="6"/>
  <c r="E28" i="6"/>
  <c r="F28" i="6" s="1"/>
  <c r="K28" i="6"/>
  <c r="L28" i="6"/>
  <c r="M28" i="6"/>
  <c r="E29" i="6"/>
  <c r="F29" i="6"/>
  <c r="G29" i="6"/>
  <c r="L29" i="6"/>
  <c r="M29" i="6"/>
  <c r="N29" i="6"/>
  <c r="E30" i="6"/>
  <c r="I30" i="6" s="1"/>
  <c r="F30" i="6"/>
  <c r="J30" i="6" s="1"/>
  <c r="G30" i="6"/>
  <c r="H30" i="6"/>
  <c r="M30" i="6"/>
  <c r="N30" i="6"/>
  <c r="O30" i="6"/>
  <c r="E31" i="6"/>
  <c r="K31" i="6" s="1"/>
  <c r="F31" i="6"/>
  <c r="J31" i="6" s="1"/>
  <c r="G31" i="6"/>
  <c r="H31" i="6" s="1"/>
  <c r="I31" i="6"/>
  <c r="N31" i="6"/>
  <c r="O31" i="6"/>
  <c r="E32" i="6"/>
  <c r="I32" i="6"/>
  <c r="O32" i="6"/>
  <c r="E33" i="6"/>
  <c r="F33" i="6"/>
  <c r="I33" i="6"/>
  <c r="K33" i="6"/>
  <c r="E34" i="6"/>
  <c r="K34" i="6"/>
  <c r="E35" i="6"/>
  <c r="N35" i="6" s="1"/>
  <c r="F35" i="6"/>
  <c r="J35" i="6" s="1"/>
  <c r="G35" i="6"/>
  <c r="H35" i="6"/>
  <c r="I35" i="6"/>
  <c r="K35" i="6"/>
  <c r="L35" i="6"/>
  <c r="M35" i="6"/>
  <c r="O35" i="6"/>
  <c r="E36" i="6"/>
  <c r="O36" i="6" s="1"/>
  <c r="G36" i="6"/>
  <c r="I36" i="6"/>
  <c r="K36" i="6"/>
  <c r="L36" i="6"/>
  <c r="M36" i="6"/>
  <c r="N36" i="6"/>
  <c r="E37" i="6"/>
  <c r="F37" i="6" s="1"/>
  <c r="I37" i="6"/>
  <c r="K37" i="6"/>
  <c r="L37" i="6"/>
  <c r="M37" i="6"/>
  <c r="N37" i="6"/>
  <c r="O37" i="6"/>
  <c r="E38" i="6"/>
  <c r="F38" i="6"/>
  <c r="H38" i="6" s="1"/>
  <c r="G38" i="6"/>
  <c r="I38" i="6"/>
  <c r="J38" i="6"/>
  <c r="K38" i="6"/>
  <c r="L38" i="6"/>
  <c r="M38" i="6"/>
  <c r="N38" i="6"/>
  <c r="O38" i="6"/>
  <c r="E39" i="6"/>
  <c r="K39" i="6" s="1"/>
  <c r="L39" i="6"/>
  <c r="O39" i="6"/>
  <c r="E40" i="6"/>
  <c r="F40" i="6" s="1"/>
  <c r="E41" i="6"/>
  <c r="F41" i="6"/>
  <c r="G41" i="6"/>
  <c r="L41" i="6"/>
  <c r="E42" i="6"/>
  <c r="I42" i="6" s="1"/>
  <c r="F42" i="6"/>
  <c r="G42" i="6"/>
  <c r="M42" i="6"/>
  <c r="N42" i="6"/>
  <c r="O42" i="6"/>
  <c r="E43" i="6"/>
  <c r="K43" i="6" s="1"/>
  <c r="F43" i="6"/>
  <c r="J43" i="6" s="1"/>
  <c r="G43" i="6"/>
  <c r="H43" i="6"/>
  <c r="I43" i="6"/>
  <c r="N43" i="6"/>
  <c r="O43" i="6"/>
  <c r="E44" i="6"/>
  <c r="I44" i="6"/>
  <c r="O44" i="6"/>
  <c r="E45" i="6"/>
  <c r="F45" i="6"/>
  <c r="I45" i="6"/>
  <c r="E46" i="6"/>
  <c r="I46" i="6" s="1"/>
  <c r="K46" i="6"/>
  <c r="L46" i="6"/>
  <c r="E47" i="6"/>
  <c r="F47" i="6"/>
  <c r="G47" i="6"/>
  <c r="H47" i="6"/>
  <c r="I47" i="6"/>
  <c r="J47" i="6"/>
  <c r="K47" i="6"/>
  <c r="L47" i="6"/>
  <c r="M47" i="6"/>
  <c r="N47" i="6"/>
  <c r="O47" i="6"/>
  <c r="E48" i="6"/>
  <c r="F48" i="6" s="1"/>
  <c r="G48" i="6"/>
  <c r="I48" i="6"/>
  <c r="K48" i="6"/>
  <c r="L48" i="6"/>
  <c r="M48" i="6"/>
  <c r="N48" i="6"/>
  <c r="O48" i="6"/>
  <c r="E49" i="6"/>
  <c r="F49" i="6" s="1"/>
  <c r="I49" i="6"/>
  <c r="J49" i="6"/>
  <c r="K49" i="6"/>
  <c r="L49" i="6"/>
  <c r="M49" i="6"/>
  <c r="N49" i="6"/>
  <c r="O49" i="6"/>
  <c r="E50" i="6"/>
  <c r="G50" i="6" s="1"/>
  <c r="F50" i="6"/>
  <c r="I50" i="6"/>
  <c r="J50" i="6"/>
  <c r="K50" i="6"/>
  <c r="L50" i="6"/>
  <c r="M50" i="6"/>
  <c r="N50" i="6"/>
  <c r="O50" i="6"/>
  <c r="E51" i="6"/>
  <c r="K51" i="6" s="1"/>
  <c r="E52" i="6"/>
  <c r="F52" i="6" s="1"/>
  <c r="L52" i="6"/>
  <c r="M52" i="6"/>
  <c r="N52" i="6"/>
  <c r="E53" i="6"/>
  <c r="F53" i="6"/>
  <c r="M53" i="6"/>
  <c r="E54" i="6"/>
  <c r="F54" i="6" s="1"/>
  <c r="M54" i="6"/>
  <c r="N54" i="6"/>
  <c r="E55" i="6"/>
  <c r="F55" i="6" s="1"/>
  <c r="J55" i="6" s="1"/>
  <c r="G55" i="6"/>
  <c r="H55" i="6"/>
  <c r="I55" i="6"/>
  <c r="N55" i="6"/>
  <c r="O55" i="6"/>
  <c r="E56" i="6"/>
  <c r="F56" i="6" s="1"/>
  <c r="J56" i="6" s="1"/>
  <c r="G56" i="6"/>
  <c r="I56" i="6"/>
  <c r="E57" i="6"/>
  <c r="F57" i="6"/>
  <c r="J57" i="6" s="1"/>
  <c r="G57" i="6"/>
  <c r="H57" i="6"/>
  <c r="I57" i="6"/>
  <c r="K57" i="6"/>
  <c r="E58" i="6"/>
  <c r="F58" i="6" s="1"/>
  <c r="H58" i="6" s="1"/>
  <c r="G58" i="6"/>
  <c r="J58" i="6"/>
  <c r="K58" i="6"/>
  <c r="L58" i="6"/>
  <c r="E59" i="6"/>
  <c r="F59" i="6"/>
  <c r="J59" i="6" s="1"/>
  <c r="G59" i="6"/>
  <c r="H59" i="6"/>
  <c r="I59" i="6"/>
  <c r="K59" i="6"/>
  <c r="L59" i="6"/>
  <c r="M59" i="6"/>
  <c r="N59" i="6"/>
  <c r="O59" i="6"/>
  <c r="E60" i="6"/>
  <c r="F60" i="6" s="1"/>
  <c r="G60" i="6"/>
  <c r="H60" i="6"/>
  <c r="I60" i="6"/>
  <c r="J60" i="6"/>
  <c r="K60" i="6"/>
  <c r="L60" i="6"/>
  <c r="M60" i="6"/>
  <c r="N60" i="6"/>
  <c r="O60" i="6"/>
  <c r="E61" i="6"/>
  <c r="F61" i="6" s="1"/>
  <c r="J61" i="6" s="1"/>
  <c r="I61" i="6"/>
  <c r="K61" i="6"/>
  <c r="L61" i="6"/>
  <c r="M61" i="6"/>
  <c r="N61" i="6"/>
  <c r="O61" i="6"/>
  <c r="E62" i="6"/>
  <c r="F62" i="6" s="1"/>
  <c r="I62" i="6"/>
  <c r="K62" i="6"/>
  <c r="L62" i="6"/>
  <c r="M62" i="6"/>
  <c r="N62" i="6"/>
  <c r="O62" i="6"/>
  <c r="E63" i="6"/>
  <c r="F63" i="6" s="1"/>
  <c r="E64" i="6"/>
  <c r="F64" i="6"/>
  <c r="G64" i="6"/>
  <c r="K64" i="6"/>
  <c r="L64" i="6"/>
  <c r="M64" i="6"/>
  <c r="N64" i="6"/>
  <c r="E65" i="6"/>
  <c r="K65" i="6" s="1"/>
  <c r="F65" i="6"/>
  <c r="J65" i="6" s="1"/>
  <c r="G65" i="6"/>
  <c r="I65" i="6"/>
  <c r="L65" i="6"/>
  <c r="M65" i="6"/>
  <c r="N65" i="6"/>
  <c r="O65" i="6"/>
  <c r="E66" i="6"/>
  <c r="F66" i="6"/>
  <c r="I66" i="6"/>
  <c r="M66" i="6"/>
  <c r="E67" i="6"/>
  <c r="F67" i="6"/>
  <c r="G67" i="6"/>
  <c r="I67" i="6"/>
  <c r="N67" i="6"/>
  <c r="O67" i="6"/>
  <c r="E68" i="6"/>
  <c r="K68" i="6" s="1"/>
  <c r="G68" i="6"/>
  <c r="E69" i="6"/>
  <c r="F69" i="6"/>
  <c r="J69" i="6" s="1"/>
  <c r="G69" i="6"/>
  <c r="I69" i="6"/>
  <c r="K69" i="6"/>
  <c r="L69" i="6"/>
  <c r="M69" i="6"/>
  <c r="E70" i="6"/>
  <c r="F70" i="6"/>
  <c r="I70" i="6"/>
  <c r="K70" i="6"/>
  <c r="L70" i="6"/>
  <c r="M70" i="6"/>
  <c r="N70" i="6"/>
  <c r="E71" i="6"/>
  <c r="F71" i="6"/>
  <c r="G71" i="6"/>
  <c r="I71" i="6"/>
  <c r="K71" i="6"/>
  <c r="L71" i="6"/>
  <c r="M71" i="6"/>
  <c r="N71" i="6"/>
  <c r="O71" i="6"/>
  <c r="E72" i="6"/>
  <c r="F72" i="6" s="1"/>
  <c r="G72" i="6"/>
  <c r="I72" i="6"/>
  <c r="K72" i="6"/>
  <c r="L72" i="6"/>
  <c r="M72" i="6"/>
  <c r="N72" i="6"/>
  <c r="O72" i="6"/>
  <c r="E73" i="6"/>
  <c r="I73" i="6" s="1"/>
  <c r="L73" i="6"/>
  <c r="E74" i="6"/>
  <c r="G74" i="6" s="1"/>
  <c r="F74" i="6"/>
  <c r="H74" i="6" s="1"/>
  <c r="I74" i="6"/>
  <c r="K74" i="6"/>
  <c r="L74" i="6"/>
  <c r="M74" i="6"/>
  <c r="N74" i="6"/>
  <c r="O74" i="6"/>
  <c r="E75" i="6"/>
  <c r="L75" i="6" s="1"/>
  <c r="K75" i="6"/>
  <c r="M75" i="6"/>
  <c r="N75" i="6"/>
  <c r="O75" i="6"/>
  <c r="E76" i="6"/>
  <c r="F76" i="6"/>
  <c r="J76" i="6" s="1"/>
  <c r="G76" i="6"/>
  <c r="H76" i="6"/>
  <c r="M76" i="6"/>
  <c r="O76" i="6"/>
  <c r="E77" i="6"/>
  <c r="F77" i="6" s="1"/>
  <c r="J77" i="6" s="1"/>
  <c r="G77" i="6"/>
  <c r="H77" i="6"/>
  <c r="I77" i="6"/>
  <c r="L77" i="6"/>
  <c r="M77" i="6"/>
  <c r="E78" i="6"/>
  <c r="F78" i="6" s="1"/>
  <c r="N78" i="6"/>
  <c r="O78" i="6"/>
  <c r="E79" i="6"/>
  <c r="I79" i="6" s="1"/>
  <c r="K79" i="6"/>
  <c r="N79" i="6"/>
  <c r="E80" i="6"/>
  <c r="L80" i="6" s="1"/>
  <c r="K80" i="6"/>
  <c r="E81" i="6"/>
  <c r="F81" i="6"/>
  <c r="H81" i="6" s="1"/>
  <c r="G81" i="6"/>
  <c r="E82" i="6"/>
  <c r="O82" i="6" s="1"/>
  <c r="F82" i="6"/>
  <c r="H82" i="6" s="1"/>
  <c r="G82" i="6"/>
  <c r="I82" i="6"/>
  <c r="K82" i="6"/>
  <c r="L82" i="6"/>
  <c r="M82" i="6"/>
  <c r="N82" i="6"/>
  <c r="E83" i="6"/>
  <c r="F83" i="6"/>
  <c r="G83" i="6"/>
  <c r="H83" i="6"/>
  <c r="I83" i="6"/>
  <c r="J83" i="6"/>
  <c r="K83" i="6"/>
  <c r="L83" i="6"/>
  <c r="M83" i="6"/>
  <c r="N83" i="6"/>
  <c r="O83" i="6"/>
  <c r="E84" i="6"/>
  <c r="F84" i="6" s="1"/>
  <c r="H84" i="6" s="1"/>
  <c r="G84" i="6"/>
  <c r="I84" i="6"/>
  <c r="K84" i="6"/>
  <c r="L84" i="6"/>
  <c r="M84" i="6"/>
  <c r="N84" i="6"/>
  <c r="O84" i="6"/>
  <c r="E85" i="6"/>
  <c r="F85" i="6" s="1"/>
  <c r="L85" i="6"/>
  <c r="O85" i="6"/>
  <c r="E86" i="6"/>
  <c r="F86" i="6" s="1"/>
  <c r="I86" i="6"/>
  <c r="M86" i="6"/>
  <c r="E87" i="6"/>
  <c r="K87" i="6" s="1"/>
  <c r="O87" i="6"/>
  <c r="E88" i="6"/>
  <c r="F88" i="6" s="1"/>
  <c r="M88" i="6"/>
  <c r="N88" i="6"/>
  <c r="E89" i="6"/>
  <c r="K89" i="6" s="1"/>
  <c r="F89" i="6"/>
  <c r="G89" i="6"/>
  <c r="H89" i="6" s="1"/>
  <c r="I89" i="6"/>
  <c r="J89" i="6"/>
  <c r="L89" i="6"/>
  <c r="M89" i="6"/>
  <c r="N89" i="6"/>
  <c r="O89" i="6"/>
  <c r="E90" i="6"/>
  <c r="E91" i="6"/>
  <c r="F91" i="6"/>
  <c r="G91" i="6"/>
  <c r="K91" i="6"/>
  <c r="L91" i="6"/>
  <c r="N91" i="6"/>
  <c r="O91" i="6"/>
  <c r="E92" i="6"/>
  <c r="F92" i="6"/>
  <c r="J92" i="6" s="1"/>
  <c r="G92" i="6"/>
  <c r="L92" i="6"/>
  <c r="E93" i="6"/>
  <c r="G93" i="6" s="1"/>
  <c r="F93" i="6"/>
  <c r="J93" i="6" s="1"/>
  <c r="K93" i="6"/>
  <c r="N93" i="6"/>
  <c r="E94" i="6"/>
  <c r="F94" i="6"/>
  <c r="H94" i="6" s="1"/>
  <c r="G94" i="6"/>
  <c r="I94" i="6"/>
  <c r="K94" i="6"/>
  <c r="L94" i="6"/>
  <c r="M94" i="6"/>
  <c r="E95" i="6"/>
  <c r="F95" i="6"/>
  <c r="G95" i="6"/>
  <c r="I95" i="6"/>
  <c r="K95" i="6"/>
  <c r="L95" i="6"/>
  <c r="M95" i="6"/>
  <c r="N95" i="6"/>
  <c r="O95" i="6"/>
  <c r="E96" i="6"/>
  <c r="F96" i="6" s="1"/>
  <c r="G96" i="6"/>
  <c r="H96" i="6" s="1"/>
  <c r="I96" i="6"/>
  <c r="J96" i="6"/>
  <c r="K96" i="6"/>
  <c r="L96" i="6"/>
  <c r="M96" i="6"/>
  <c r="N96" i="6"/>
  <c r="O96" i="6"/>
  <c r="E97" i="6"/>
  <c r="K97" i="6"/>
  <c r="L97" i="6"/>
  <c r="M97" i="6"/>
  <c r="O97" i="6"/>
  <c r="E98" i="6"/>
  <c r="I98" i="6" s="1"/>
  <c r="G98" i="6"/>
  <c r="K98" i="6"/>
  <c r="L98" i="6"/>
  <c r="M98" i="6"/>
  <c r="N98" i="6"/>
  <c r="O98" i="6"/>
  <c r="E99" i="6"/>
  <c r="N99" i="6" s="1"/>
  <c r="F99" i="6"/>
  <c r="J99" i="6" s="1"/>
  <c r="E100" i="6"/>
  <c r="G100" i="6"/>
  <c r="E101" i="6"/>
  <c r="F101" i="6" s="1"/>
  <c r="J101" i="6" s="1"/>
  <c r="G101" i="6"/>
  <c r="H101" i="6"/>
  <c r="I101" i="6"/>
  <c r="L101" i="6"/>
  <c r="M101" i="6"/>
  <c r="N101" i="6"/>
  <c r="E102" i="6"/>
  <c r="L102" i="6" s="1"/>
  <c r="F102" i="6"/>
  <c r="G102" i="6"/>
  <c r="H102" i="6" s="1"/>
  <c r="I102" i="6"/>
  <c r="J102" i="6"/>
  <c r="K102" i="6"/>
  <c r="M102" i="6"/>
  <c r="N102" i="6"/>
  <c r="O102" i="6"/>
  <c r="E103" i="6"/>
  <c r="I103" i="6"/>
  <c r="K103" i="6"/>
  <c r="O103" i="6"/>
  <c r="E104" i="6"/>
  <c r="K104" i="6" s="1"/>
  <c r="F104" i="6"/>
  <c r="J104" i="6" s="1"/>
  <c r="L104" i="6"/>
  <c r="M104" i="6"/>
  <c r="E105" i="6"/>
  <c r="I105" i="6" s="1"/>
  <c r="N105" i="6"/>
  <c r="O105" i="6"/>
  <c r="E106" i="6"/>
  <c r="M106" i="6" s="1"/>
  <c r="F106" i="6"/>
  <c r="J106" i="6" s="1"/>
  <c r="N106" i="6"/>
  <c r="O106" i="6"/>
  <c r="E107" i="6"/>
  <c r="F107" i="6"/>
  <c r="J107" i="6" s="1"/>
  <c r="G107" i="6"/>
  <c r="H107" i="6"/>
  <c r="I107" i="6"/>
  <c r="K107" i="6"/>
  <c r="E108" i="6"/>
  <c r="I108" i="6" s="1"/>
  <c r="F108" i="6"/>
  <c r="H108" i="6" s="1"/>
  <c r="G108" i="6"/>
  <c r="K108" i="6"/>
  <c r="L108" i="6"/>
  <c r="E109" i="6"/>
  <c r="I109" i="6"/>
  <c r="L109" i="6"/>
  <c r="E110" i="6"/>
  <c r="F110" i="6" s="1"/>
  <c r="L110" i="6"/>
  <c r="M110" i="6"/>
  <c r="E111" i="6"/>
  <c r="F111" i="6"/>
  <c r="J111" i="6" s="1"/>
  <c r="G111" i="6"/>
  <c r="H111" i="6"/>
  <c r="I111" i="6"/>
  <c r="K111" i="6"/>
  <c r="L111" i="6"/>
  <c r="M111" i="6"/>
  <c r="N111" i="6"/>
  <c r="O111" i="6"/>
  <c r="E112" i="6"/>
  <c r="F112" i="6" s="1"/>
  <c r="G112" i="6"/>
  <c r="H112" i="6" s="1"/>
  <c r="I112" i="6"/>
  <c r="J112" i="6"/>
  <c r="K112" i="6"/>
  <c r="L112" i="6"/>
  <c r="M112" i="6"/>
  <c r="N112" i="6"/>
  <c r="O112" i="6"/>
  <c r="E113" i="6"/>
  <c r="K113" i="6" s="1"/>
  <c r="M113" i="6"/>
  <c r="O113" i="6"/>
  <c r="E114" i="6"/>
  <c r="G114" i="6" s="1"/>
  <c r="I114" i="6"/>
  <c r="K114" i="6"/>
  <c r="L114" i="6"/>
  <c r="M114" i="6"/>
  <c r="N114" i="6"/>
  <c r="O114" i="6"/>
  <c r="E115" i="6"/>
  <c r="G115" i="6" s="1"/>
  <c r="L115" i="6"/>
  <c r="M115" i="6"/>
  <c r="N115" i="6"/>
  <c r="E116" i="6"/>
  <c r="F116" i="6"/>
  <c r="J116" i="6" s="1"/>
  <c r="G116" i="6"/>
  <c r="L116" i="6"/>
  <c r="O116" i="6"/>
  <c r="E117" i="6"/>
  <c r="F117" i="6" s="1"/>
  <c r="L117" i="6"/>
  <c r="M117" i="6"/>
  <c r="E118" i="6"/>
  <c r="F118" i="6" s="1"/>
  <c r="J118" i="6" s="1"/>
  <c r="G118" i="6"/>
  <c r="I118" i="6"/>
  <c r="M118" i="6"/>
  <c r="N118" i="6"/>
  <c r="O118" i="6"/>
  <c r="E119" i="6"/>
  <c r="G119" i="6"/>
  <c r="K119" i="6"/>
  <c r="E120" i="6"/>
  <c r="F120" i="6" s="1"/>
  <c r="O120" i="6"/>
  <c r="E121" i="6"/>
  <c r="F121" i="6" s="1"/>
  <c r="I121" i="6"/>
  <c r="M121" i="6"/>
  <c r="E122" i="6"/>
  <c r="O122" i="6" s="1"/>
  <c r="G122" i="6"/>
  <c r="I122" i="6"/>
  <c r="K122" i="6"/>
  <c r="L122" i="6"/>
  <c r="M122" i="6"/>
  <c r="N122" i="6"/>
  <c r="E123" i="6"/>
  <c r="F123" i="6"/>
  <c r="H123" i="6" s="1"/>
  <c r="G123" i="6"/>
  <c r="I123" i="6"/>
  <c r="K123" i="6"/>
  <c r="L123" i="6"/>
  <c r="M123" i="6"/>
  <c r="N123" i="6"/>
  <c r="O123" i="6"/>
  <c r="E124" i="6"/>
  <c r="F124" i="6" s="1"/>
  <c r="J124" i="6" s="1"/>
  <c r="G124" i="6"/>
  <c r="H124" i="6"/>
  <c r="I124" i="6"/>
  <c r="K124" i="6"/>
  <c r="L124" i="6"/>
  <c r="M124" i="6"/>
  <c r="N124" i="6"/>
  <c r="O124" i="6"/>
  <c r="E125" i="6"/>
  <c r="I125" i="6" s="1"/>
  <c r="N125" i="6"/>
  <c r="O125" i="6"/>
  <c r="E126" i="6"/>
  <c r="N126" i="6" s="1"/>
  <c r="E127" i="6"/>
  <c r="I127" i="6" s="1"/>
  <c r="F127" i="6"/>
  <c r="H127" i="6" s="1"/>
  <c r="G127" i="6"/>
  <c r="J127" i="6"/>
  <c r="K127" i="6"/>
  <c r="L127" i="6"/>
  <c r="M127" i="6"/>
  <c r="N127" i="6"/>
  <c r="O127" i="6"/>
  <c r="E128" i="6"/>
  <c r="I128" i="6" s="1"/>
  <c r="F128" i="6"/>
  <c r="G128" i="6"/>
  <c r="K128" i="6"/>
  <c r="L128" i="6"/>
  <c r="M128" i="6"/>
  <c r="N128" i="6"/>
  <c r="O128" i="6"/>
  <c r="E129" i="6"/>
  <c r="I129" i="6" s="1"/>
  <c r="E130" i="6"/>
  <c r="G130" i="6" s="1"/>
  <c r="F130" i="6"/>
  <c r="I130" i="6"/>
  <c r="J130" i="6"/>
  <c r="N130" i="6"/>
  <c r="E131" i="6"/>
  <c r="F131" i="6"/>
  <c r="H131" i="6" s="1"/>
  <c r="G131" i="6"/>
  <c r="I131" i="6"/>
  <c r="J131" i="6"/>
  <c r="K131" i="6"/>
  <c r="N131" i="6"/>
  <c r="O131" i="6"/>
  <c r="E132" i="6"/>
  <c r="F132" i="6"/>
  <c r="H132" i="6" s="1"/>
  <c r="G132" i="6"/>
  <c r="I132" i="6"/>
  <c r="K132" i="6"/>
  <c r="L132" i="6"/>
  <c r="O132" i="6"/>
  <c r="E133" i="6"/>
  <c r="G133" i="6" s="1"/>
  <c r="F133" i="6"/>
  <c r="L133" i="6"/>
  <c r="M133" i="6"/>
  <c r="E134" i="6"/>
  <c r="I134" i="6" s="1"/>
  <c r="E135" i="6"/>
  <c r="F135" i="6"/>
  <c r="G135" i="6"/>
  <c r="H135" i="6"/>
  <c r="I135" i="6"/>
  <c r="J135" i="6"/>
  <c r="K135" i="6"/>
  <c r="L135" i="6"/>
  <c r="M135" i="6"/>
  <c r="N135" i="6"/>
  <c r="O135" i="6"/>
  <c r="E136" i="6"/>
  <c r="F136" i="6" s="1"/>
  <c r="G136" i="6"/>
  <c r="H136" i="6" s="1"/>
  <c r="I136" i="6"/>
  <c r="J136" i="6"/>
  <c r="K136" i="6"/>
  <c r="L136" i="6"/>
  <c r="M136" i="6"/>
  <c r="N136" i="6"/>
  <c r="O136" i="6"/>
  <c r="E137" i="6"/>
  <c r="K137" i="6"/>
  <c r="L137" i="6"/>
  <c r="M137" i="6"/>
  <c r="N137" i="6"/>
  <c r="O137" i="6"/>
  <c r="E138" i="6"/>
  <c r="F138" i="6"/>
  <c r="E139" i="6"/>
  <c r="K139" i="6" s="1"/>
  <c r="F139" i="6"/>
  <c r="J139" i="6" s="1"/>
  <c r="G139" i="6"/>
  <c r="M139" i="6"/>
  <c r="E140" i="6"/>
  <c r="F140" i="6"/>
  <c r="J140" i="6" s="1"/>
  <c r="E141" i="6"/>
  <c r="L141" i="6" s="1"/>
  <c r="M141" i="6"/>
  <c r="N141" i="6"/>
  <c r="E142" i="6"/>
  <c r="F142" i="6" s="1"/>
  <c r="N142" i="6"/>
  <c r="O142" i="6"/>
  <c r="E143" i="6"/>
  <c r="F143" i="6" s="1"/>
  <c r="G143" i="6"/>
  <c r="I143" i="6"/>
  <c r="E144" i="6"/>
  <c r="F144" i="6" s="1"/>
  <c r="I144" i="6"/>
  <c r="E145" i="6"/>
  <c r="I145" i="6"/>
  <c r="E146" i="6"/>
  <c r="L146" i="6" s="1"/>
  <c r="F146" i="6"/>
  <c r="J146" i="6" s="1"/>
  <c r="K146" i="6"/>
  <c r="M146" i="6"/>
  <c r="N146" i="6"/>
  <c r="E147" i="6"/>
  <c r="F147" i="6"/>
  <c r="G147" i="6"/>
  <c r="H147" i="6" s="1"/>
  <c r="I147" i="6"/>
  <c r="J147" i="6"/>
  <c r="K147" i="6"/>
  <c r="L147" i="6"/>
  <c r="M147" i="6"/>
  <c r="N147" i="6"/>
  <c r="O147" i="6"/>
  <c r="E148" i="6"/>
  <c r="F148" i="6"/>
  <c r="G148" i="6"/>
  <c r="H148" i="6"/>
  <c r="I148" i="6"/>
  <c r="J148" i="6"/>
  <c r="K148" i="6"/>
  <c r="L148" i="6"/>
  <c r="M148" i="6"/>
  <c r="N148" i="6"/>
  <c r="O148" i="6"/>
  <c r="E149" i="6"/>
  <c r="G149" i="6"/>
  <c r="E150" i="6"/>
  <c r="I150" i="6" s="1"/>
  <c r="F150" i="6"/>
  <c r="H150" i="6" s="1"/>
  <c r="G150" i="6"/>
  <c r="J150" i="6"/>
  <c r="K150" i="6"/>
  <c r="L150" i="6"/>
  <c r="E151" i="6"/>
  <c r="F151" i="6"/>
  <c r="H151" i="6" s="1"/>
  <c r="G151" i="6"/>
  <c r="I151" i="6"/>
  <c r="J151" i="6"/>
  <c r="K151" i="6"/>
  <c r="L151" i="6"/>
  <c r="M151" i="6"/>
  <c r="N151" i="6"/>
  <c r="O151" i="6"/>
  <c r="E152" i="6"/>
  <c r="O152" i="6" s="1"/>
  <c r="G152" i="6"/>
  <c r="I152" i="6"/>
  <c r="K152" i="6"/>
  <c r="L152" i="6"/>
  <c r="M152" i="6"/>
  <c r="N152" i="6"/>
  <c r="E153" i="6"/>
  <c r="G153" i="6" s="1"/>
  <c r="F153" i="6"/>
  <c r="J153" i="6" s="1"/>
  <c r="H153" i="6"/>
  <c r="O153" i="6"/>
  <c r="E154" i="6"/>
  <c r="F154" i="6"/>
  <c r="G154" i="6"/>
  <c r="I154" i="6"/>
  <c r="J154" i="6"/>
  <c r="K154" i="6"/>
  <c r="L154" i="6"/>
  <c r="M154" i="6"/>
  <c r="N154" i="6"/>
  <c r="O154" i="6"/>
  <c r="E155" i="6"/>
  <c r="G155" i="6"/>
  <c r="K155" i="6"/>
  <c r="L155" i="6"/>
  <c r="M155" i="6"/>
  <c r="E156" i="6"/>
  <c r="G156" i="6" s="1"/>
  <c r="I156" i="6"/>
  <c r="K156" i="6"/>
  <c r="L156" i="6"/>
  <c r="N156" i="6"/>
  <c r="O156" i="6"/>
  <c r="E157" i="6"/>
  <c r="K157" i="6" s="1"/>
  <c r="E158" i="6"/>
  <c r="F158" i="6"/>
  <c r="J158" i="6" s="1"/>
  <c r="G158" i="6"/>
  <c r="H158" i="6"/>
  <c r="K158" i="6"/>
  <c r="M158" i="6"/>
  <c r="E159" i="6"/>
  <c r="M159" i="6" s="1"/>
  <c r="F159" i="6"/>
  <c r="J159" i="6" s="1"/>
  <c r="I159" i="6"/>
  <c r="K159" i="6"/>
  <c r="L159" i="6"/>
  <c r="E160" i="6"/>
  <c r="F160" i="6" s="1"/>
  <c r="I160" i="6"/>
  <c r="M160" i="6"/>
  <c r="O160" i="6"/>
  <c r="E161" i="6"/>
  <c r="I161" i="6" s="1"/>
  <c r="E162" i="6"/>
  <c r="M162" i="6" s="1"/>
  <c r="F162" i="6"/>
  <c r="J162" i="6" s="1"/>
  <c r="G162" i="6"/>
  <c r="H162" i="6"/>
  <c r="K162" i="6"/>
  <c r="O162" i="6"/>
  <c r="E163" i="6"/>
  <c r="F163" i="6"/>
  <c r="G163" i="6"/>
  <c r="H163" i="6"/>
  <c r="I163" i="6"/>
  <c r="J163" i="6"/>
  <c r="K163" i="6"/>
  <c r="L163" i="6"/>
  <c r="M163" i="6"/>
  <c r="N163" i="6"/>
  <c r="O163" i="6"/>
  <c r="E164" i="6"/>
  <c r="I164" i="6" s="1"/>
  <c r="G164" i="6"/>
  <c r="K164" i="6"/>
  <c r="L164" i="6"/>
  <c r="E165" i="6"/>
  <c r="G165" i="6" s="1"/>
  <c r="I165" i="6"/>
  <c r="M165" i="6"/>
  <c r="N165" i="6"/>
  <c r="O165" i="6"/>
  <c r="E166" i="6"/>
  <c r="F166" i="6"/>
  <c r="H166" i="6" s="1"/>
  <c r="G166" i="6"/>
  <c r="I166" i="6"/>
  <c r="K166" i="6"/>
  <c r="L166" i="6"/>
  <c r="M166" i="6"/>
  <c r="N166" i="6"/>
  <c r="O166" i="6"/>
  <c r="E167" i="6"/>
  <c r="K167" i="6" s="1"/>
  <c r="G167" i="6"/>
  <c r="E168" i="6"/>
  <c r="G168" i="6" s="1"/>
  <c r="I168" i="6"/>
  <c r="K168" i="6"/>
  <c r="M168" i="6"/>
  <c r="N168" i="6"/>
  <c r="E169" i="6"/>
  <c r="K169" i="6" s="1"/>
  <c r="F169" i="6"/>
  <c r="J169" i="6" s="1"/>
  <c r="G169" i="6"/>
  <c r="I169" i="6"/>
  <c r="L169" i="6"/>
  <c r="M169" i="6"/>
  <c r="N169" i="6"/>
  <c r="E170" i="6"/>
  <c r="F170" i="6" s="1"/>
  <c r="K170" i="6"/>
  <c r="O170" i="6"/>
  <c r="E171" i="6"/>
  <c r="M171" i="6" s="1"/>
  <c r="F171" i="6"/>
  <c r="J171" i="6" s="1"/>
  <c r="E172" i="6"/>
  <c r="F172" i="6" s="1"/>
  <c r="G172" i="6"/>
  <c r="I172" i="6"/>
  <c r="L172" i="6"/>
  <c r="M172" i="6"/>
  <c r="E173" i="6"/>
  <c r="F173" i="6"/>
  <c r="H173" i="6" s="1"/>
  <c r="G173" i="6"/>
  <c r="I173" i="6"/>
  <c r="J173" i="6"/>
  <c r="K173" i="6"/>
  <c r="M173" i="6"/>
  <c r="E174" i="6"/>
  <c r="M174" i="6" s="1"/>
  <c r="I174" i="6"/>
  <c r="N174" i="6"/>
  <c r="O174" i="6"/>
  <c r="E175" i="6"/>
  <c r="F175" i="6"/>
  <c r="G175" i="6"/>
  <c r="H175" i="6" s="1"/>
  <c r="I175" i="6"/>
  <c r="J175" i="6"/>
  <c r="K175" i="6"/>
  <c r="L175" i="6"/>
  <c r="M175" i="6"/>
  <c r="N175" i="6"/>
  <c r="O175" i="6"/>
  <c r="E176" i="6"/>
  <c r="G176" i="6"/>
  <c r="E177" i="6"/>
  <c r="G177" i="6" s="1"/>
  <c r="I177" i="6"/>
  <c r="L177" i="6"/>
  <c r="M177" i="6"/>
  <c r="J2" i="6"/>
  <c r="I2" i="6"/>
  <c r="O2" i="6"/>
  <c r="N2" i="6"/>
  <c r="M2" i="6"/>
  <c r="L2" i="6"/>
  <c r="K2" i="6"/>
  <c r="H2" i="6"/>
  <c r="G2" i="6"/>
  <c r="F2" i="6"/>
  <c r="E2" i="6"/>
  <c r="J86" i="6" l="1"/>
  <c r="J172" i="6"/>
  <c r="H172" i="6"/>
  <c r="J110" i="6"/>
  <c r="H10" i="6"/>
  <c r="J10" i="6"/>
  <c r="H160" i="6"/>
  <c r="J160" i="6"/>
  <c r="J142" i="6"/>
  <c r="H142" i="6"/>
  <c r="J143" i="6"/>
  <c r="H143" i="6"/>
  <c r="H130" i="6"/>
  <c r="J85" i="6"/>
  <c r="H85" i="6"/>
  <c r="J40" i="6"/>
  <c r="H5" i="6"/>
  <c r="J5" i="6"/>
  <c r="J121" i="6"/>
  <c r="J88" i="6"/>
  <c r="J63" i="6"/>
  <c r="J144" i="6"/>
  <c r="H120" i="6"/>
  <c r="J120" i="6"/>
  <c r="J117" i="6"/>
  <c r="H117" i="6"/>
  <c r="J78" i="6"/>
  <c r="H45" i="6"/>
  <c r="J170" i="6"/>
  <c r="J37" i="6"/>
  <c r="K8" i="6"/>
  <c r="L8" i="6"/>
  <c r="M8" i="6"/>
  <c r="N8" i="6"/>
  <c r="F8" i="6"/>
  <c r="G8" i="6"/>
  <c r="I8" i="6"/>
  <c r="O8" i="6"/>
  <c r="N145" i="6"/>
  <c r="O145" i="6"/>
  <c r="F145" i="6"/>
  <c r="G145" i="6"/>
  <c r="L105" i="6"/>
  <c r="H95" i="6"/>
  <c r="J95" i="6"/>
  <c r="I88" i="6"/>
  <c r="I53" i="6"/>
  <c r="K53" i="6"/>
  <c r="G53" i="6"/>
  <c r="H53" i="6" s="1"/>
  <c r="L53" i="6"/>
  <c r="O53" i="6"/>
  <c r="J28" i="6"/>
  <c r="J53" i="6"/>
  <c r="J23" i="6"/>
  <c r="H23" i="6"/>
  <c r="H17" i="6"/>
  <c r="J17" i="6"/>
  <c r="F149" i="6"/>
  <c r="L149" i="6"/>
  <c r="N149" i="6"/>
  <c r="O149" i="6"/>
  <c r="H72" i="6"/>
  <c r="J72" i="6"/>
  <c r="J45" i="6"/>
  <c r="H41" i="6"/>
  <c r="J41" i="6"/>
  <c r="F177" i="6"/>
  <c r="L174" i="6"/>
  <c r="N170" i="6"/>
  <c r="F168" i="6"/>
  <c r="L165" i="6"/>
  <c r="L160" i="6"/>
  <c r="I158" i="6"/>
  <c r="L158" i="6"/>
  <c r="M156" i="6"/>
  <c r="H154" i="6"/>
  <c r="L144" i="6"/>
  <c r="I141" i="6"/>
  <c r="I133" i="6"/>
  <c r="K125" i="6"/>
  <c r="L119" i="6"/>
  <c r="M119" i="6"/>
  <c r="F119" i="6"/>
  <c r="I119" i="6"/>
  <c r="O119" i="6"/>
  <c r="L113" i="6"/>
  <c r="O99" i="6"/>
  <c r="I93" i="6"/>
  <c r="G88" i="6"/>
  <c r="H88" i="6" s="1"/>
  <c r="J81" i="6"/>
  <c r="L68" i="6"/>
  <c r="H66" i="6"/>
  <c r="J66" i="6"/>
  <c r="I41" i="6"/>
  <c r="K41" i="6"/>
  <c r="O41" i="6"/>
  <c r="M41" i="6"/>
  <c r="N41" i="6"/>
  <c r="O27" i="6"/>
  <c r="O176" i="6"/>
  <c r="F176" i="6"/>
  <c r="G138" i="6"/>
  <c r="H138" i="6" s="1"/>
  <c r="I138" i="6"/>
  <c r="K138" i="6"/>
  <c r="L138" i="6"/>
  <c r="L90" i="6"/>
  <c r="F90" i="6"/>
  <c r="G90" i="6"/>
  <c r="I117" i="6"/>
  <c r="M100" i="6"/>
  <c r="N100" i="6"/>
  <c r="L100" i="6"/>
  <c r="F100" i="6"/>
  <c r="K174" i="6"/>
  <c r="K172" i="6"/>
  <c r="N172" i="6"/>
  <c r="M170" i="6"/>
  <c r="K165" i="6"/>
  <c r="N161" i="6"/>
  <c r="G159" i="6"/>
  <c r="H159" i="6" s="1"/>
  <c r="O157" i="6"/>
  <c r="K144" i="6"/>
  <c r="L143" i="6"/>
  <c r="M143" i="6"/>
  <c r="N143" i="6"/>
  <c r="O143" i="6"/>
  <c r="N121" i="6"/>
  <c r="O121" i="6"/>
  <c r="L121" i="6"/>
  <c r="G121" i="6"/>
  <c r="H121" i="6" s="1"/>
  <c r="I115" i="6"/>
  <c r="F115" i="6"/>
  <c r="K115" i="6"/>
  <c r="O115" i="6"/>
  <c r="N109" i="6"/>
  <c r="O109" i="6"/>
  <c r="F109" i="6"/>
  <c r="G109" i="6"/>
  <c r="K109" i="6"/>
  <c r="M103" i="6"/>
  <c r="F103" i="6"/>
  <c r="G103" i="6"/>
  <c r="L103" i="6"/>
  <c r="N103" i="6"/>
  <c r="K86" i="6"/>
  <c r="L86" i="6"/>
  <c r="O86" i="6"/>
  <c r="G86" i="6"/>
  <c r="H86" i="6" s="1"/>
  <c r="L79" i="6"/>
  <c r="M79" i="6"/>
  <c r="F79" i="6"/>
  <c r="G79" i="6"/>
  <c r="O79" i="6"/>
  <c r="K66" i="6"/>
  <c r="L66" i="6"/>
  <c r="G66" i="6"/>
  <c r="N66" i="6"/>
  <c r="O66" i="6"/>
  <c r="I5" i="6"/>
  <c r="K5" i="6"/>
  <c r="O5" i="6"/>
  <c r="L5" i="6"/>
  <c r="M5" i="6"/>
  <c r="N5" i="6"/>
  <c r="I140" i="6"/>
  <c r="O140" i="6"/>
  <c r="K105" i="6"/>
  <c r="F105" i="6"/>
  <c r="G105" i="6"/>
  <c r="M105" i="6"/>
  <c r="H91" i="6"/>
  <c r="J91" i="6"/>
  <c r="H169" i="6"/>
  <c r="N167" i="6"/>
  <c r="M157" i="6"/>
  <c r="N153" i="6"/>
  <c r="H139" i="6"/>
  <c r="N133" i="6"/>
  <c r="O133" i="6"/>
  <c r="K133" i="6"/>
  <c r="F125" i="6"/>
  <c r="G125" i="6"/>
  <c r="L125" i="6"/>
  <c r="M125" i="6"/>
  <c r="F73" i="6"/>
  <c r="G73" i="6"/>
  <c r="N73" i="6"/>
  <c r="O73" i="6"/>
  <c r="K73" i="6"/>
  <c r="M73" i="6"/>
  <c r="M68" i="6"/>
  <c r="N68" i="6"/>
  <c r="O68" i="6"/>
  <c r="F68" i="6"/>
  <c r="I68" i="6"/>
  <c r="J64" i="6"/>
  <c r="H64" i="6"/>
  <c r="J52" i="6"/>
  <c r="F27" i="6"/>
  <c r="G27" i="6"/>
  <c r="I27" i="6"/>
  <c r="M27" i="6"/>
  <c r="N27" i="6"/>
  <c r="J4" i="6"/>
  <c r="O177" i="6"/>
  <c r="L176" i="6"/>
  <c r="L173" i="6"/>
  <c r="O173" i="6"/>
  <c r="L171" i="6"/>
  <c r="M167" i="6"/>
  <c r="J166" i="6"/>
  <c r="N162" i="6"/>
  <c r="G160" i="6"/>
  <c r="O158" i="6"/>
  <c r="L157" i="6"/>
  <c r="M153" i="6"/>
  <c r="M150" i="6"/>
  <c r="O150" i="6"/>
  <c r="O146" i="6"/>
  <c r="G146" i="6"/>
  <c r="H146" i="6" s="1"/>
  <c r="I146" i="6"/>
  <c r="M142" i="6"/>
  <c r="M140" i="6"/>
  <c r="I139" i="6"/>
  <c r="L139" i="6"/>
  <c r="N139" i="6"/>
  <c r="O139" i="6"/>
  <c r="O129" i="6"/>
  <c r="J128" i="6"/>
  <c r="H128" i="6"/>
  <c r="L126" i="6"/>
  <c r="F113" i="6"/>
  <c r="G113" i="6"/>
  <c r="N113" i="6"/>
  <c r="I113" i="6"/>
  <c r="K110" i="6"/>
  <c r="J108" i="6"/>
  <c r="I99" i="6"/>
  <c r="K99" i="6"/>
  <c r="L99" i="6"/>
  <c r="G99" i="6"/>
  <c r="H99" i="6" s="1"/>
  <c r="M99" i="6"/>
  <c r="J94" i="6"/>
  <c r="O90" i="6"/>
  <c r="N81" i="6"/>
  <c r="O81" i="6"/>
  <c r="L81" i="6"/>
  <c r="M81" i="6"/>
  <c r="I81" i="6"/>
  <c r="K81" i="6"/>
  <c r="I78" i="6"/>
  <c r="L51" i="6"/>
  <c r="H21" i="6"/>
  <c r="J21" i="6"/>
  <c r="F15" i="6"/>
  <c r="G15" i="6"/>
  <c r="I15" i="6"/>
  <c r="M15" i="6"/>
  <c r="N15" i="6"/>
  <c r="K15" i="6"/>
  <c r="L15" i="6"/>
  <c r="O15" i="6"/>
  <c r="L10" i="6"/>
  <c r="N177" i="6"/>
  <c r="K176" i="6"/>
  <c r="G174" i="6"/>
  <c r="O172" i="6"/>
  <c r="K171" i="6"/>
  <c r="G170" i="6"/>
  <c r="H170" i="6" s="1"/>
  <c r="O168" i="6"/>
  <c r="L167" i="6"/>
  <c r="F165" i="6"/>
  <c r="L162" i="6"/>
  <c r="N158" i="6"/>
  <c r="F156" i="6"/>
  <c r="L153" i="6"/>
  <c r="M149" i="6"/>
  <c r="M145" i="6"/>
  <c r="G144" i="6"/>
  <c r="H144" i="6" s="1"/>
  <c r="L140" i="6"/>
  <c r="O138" i="6"/>
  <c r="F137" i="6"/>
  <c r="G137" i="6"/>
  <c r="I137" i="6"/>
  <c r="N129" i="6"/>
  <c r="K126" i="6"/>
  <c r="G120" i="6"/>
  <c r="H118" i="6"/>
  <c r="H116" i="6"/>
  <c r="G97" i="6"/>
  <c r="F97" i="6"/>
  <c r="N97" i="6"/>
  <c r="I97" i="6"/>
  <c r="H92" i="6"/>
  <c r="N90" i="6"/>
  <c r="G78" i="6"/>
  <c r="H78" i="6" s="1"/>
  <c r="G63" i="6"/>
  <c r="H63" i="6" s="1"/>
  <c r="M34" i="6"/>
  <c r="N34" i="6"/>
  <c r="O34" i="6"/>
  <c r="I34" i="6"/>
  <c r="F34" i="6"/>
  <c r="G34" i="6"/>
  <c r="L34" i="6"/>
  <c r="H18" i="6"/>
  <c r="K10" i="6"/>
  <c r="L161" i="6"/>
  <c r="O161" i="6"/>
  <c r="O134" i="6"/>
  <c r="K134" i="6"/>
  <c r="M134" i="6"/>
  <c r="N134" i="6"/>
  <c r="N176" i="6"/>
  <c r="O167" i="6"/>
  <c r="K141" i="6"/>
  <c r="F141" i="6"/>
  <c r="G141" i="6"/>
  <c r="H133" i="6"/>
  <c r="J133" i="6"/>
  <c r="H70" i="6"/>
  <c r="J70" i="6"/>
  <c r="H22" i="6"/>
  <c r="J22" i="6"/>
  <c r="N171" i="6"/>
  <c r="L134" i="6"/>
  <c r="K130" i="6"/>
  <c r="L130" i="6"/>
  <c r="M130" i="6"/>
  <c r="O130" i="6"/>
  <c r="O93" i="6"/>
  <c r="L93" i="6"/>
  <c r="M93" i="6"/>
  <c r="F174" i="6"/>
  <c r="I171" i="6"/>
  <c r="K160" i="6"/>
  <c r="N160" i="6"/>
  <c r="I157" i="6"/>
  <c r="K153" i="6"/>
  <c r="K149" i="6"/>
  <c r="L145" i="6"/>
  <c r="K140" i="6"/>
  <c r="N138" i="6"/>
  <c r="J123" i="6"/>
  <c r="H106" i="6"/>
  <c r="O100" i="6"/>
  <c r="M90" i="6"/>
  <c r="G85" i="6"/>
  <c r="I85" i="6"/>
  <c r="K85" i="6"/>
  <c r="M85" i="6"/>
  <c r="N85" i="6"/>
  <c r="J82" i="6"/>
  <c r="K129" i="6"/>
  <c r="L129" i="6"/>
  <c r="M129" i="6"/>
  <c r="O171" i="6"/>
  <c r="M161" i="6"/>
  <c r="K117" i="6"/>
  <c r="N117" i="6"/>
  <c r="G117" i="6"/>
  <c r="H93" i="6"/>
  <c r="G40" i="6"/>
  <c r="H40" i="6" s="1"/>
  <c r="I40" i="6"/>
  <c r="N40" i="6"/>
  <c r="O40" i="6"/>
  <c r="K40" i="6"/>
  <c r="L40" i="6"/>
  <c r="M40" i="6"/>
  <c r="J11" i="6"/>
  <c r="H11" i="6"/>
  <c r="O164" i="6"/>
  <c r="F164" i="6"/>
  <c r="K161" i="6"/>
  <c r="N140" i="6"/>
  <c r="I170" i="6"/>
  <c r="L170" i="6"/>
  <c r="G161" i="6"/>
  <c r="O159" i="6"/>
  <c r="M144" i="6"/>
  <c r="N144" i="6"/>
  <c r="O144" i="6"/>
  <c r="G129" i="6"/>
  <c r="M120" i="6"/>
  <c r="N120" i="6"/>
  <c r="I120" i="6"/>
  <c r="K120" i="6"/>
  <c r="L120" i="6"/>
  <c r="O110" i="6"/>
  <c r="G110" i="6"/>
  <c r="H110" i="6" s="1"/>
  <c r="I110" i="6"/>
  <c r="N110" i="6"/>
  <c r="K100" i="6"/>
  <c r="K90" i="6"/>
  <c r="J74" i="6"/>
  <c r="I63" i="6"/>
  <c r="L63" i="6"/>
  <c r="M63" i="6"/>
  <c r="K63" i="6"/>
  <c r="N63" i="6"/>
  <c r="O63" i="6"/>
  <c r="G126" i="6"/>
  <c r="M126" i="6"/>
  <c r="O126" i="6"/>
  <c r="F167" i="6"/>
  <c r="I167" i="6"/>
  <c r="N157" i="6"/>
  <c r="O88" i="6"/>
  <c r="K88" i="6"/>
  <c r="L88" i="6"/>
  <c r="M176" i="6"/>
  <c r="F155" i="6"/>
  <c r="I155" i="6"/>
  <c r="I176" i="6"/>
  <c r="N164" i="6"/>
  <c r="G157" i="6"/>
  <c r="O155" i="6"/>
  <c r="K145" i="6"/>
  <c r="K142" i="6"/>
  <c r="L142" i="6"/>
  <c r="G142" i="6"/>
  <c r="I142" i="6"/>
  <c r="H140" i="6"/>
  <c r="M138" i="6"/>
  <c r="G134" i="6"/>
  <c r="J132" i="6"/>
  <c r="I126" i="6"/>
  <c r="I87" i="6"/>
  <c r="M87" i="6"/>
  <c r="N87" i="6"/>
  <c r="F87" i="6"/>
  <c r="G87" i="6"/>
  <c r="L87" i="6"/>
  <c r="K78" i="6"/>
  <c r="L78" i="6"/>
  <c r="M78" i="6"/>
  <c r="J71" i="6"/>
  <c r="H71" i="6"/>
  <c r="J54" i="6"/>
  <c r="F51" i="6"/>
  <c r="G51" i="6"/>
  <c r="I51" i="6"/>
  <c r="M51" i="6"/>
  <c r="N51" i="6"/>
  <c r="O51" i="6"/>
  <c r="K20" i="6"/>
  <c r="L20" i="6"/>
  <c r="M20" i="6"/>
  <c r="N20" i="6"/>
  <c r="F20" i="6"/>
  <c r="G20" i="6"/>
  <c r="I20" i="6"/>
  <c r="O20" i="6"/>
  <c r="M10" i="6"/>
  <c r="N10" i="6"/>
  <c r="O10" i="6"/>
  <c r="I10" i="6"/>
  <c r="G10" i="6"/>
  <c r="K177" i="6"/>
  <c r="N173" i="6"/>
  <c r="G171" i="6"/>
  <c r="H171" i="6" s="1"/>
  <c r="O169" i="6"/>
  <c r="L168" i="6"/>
  <c r="M164" i="6"/>
  <c r="I162" i="6"/>
  <c r="F161" i="6"/>
  <c r="N159" i="6"/>
  <c r="F157" i="6"/>
  <c r="N155" i="6"/>
  <c r="I153" i="6"/>
  <c r="N150" i="6"/>
  <c r="I149" i="6"/>
  <c r="K143" i="6"/>
  <c r="O141" i="6"/>
  <c r="G140" i="6"/>
  <c r="J138" i="6"/>
  <c r="F134" i="6"/>
  <c r="F129" i="6"/>
  <c r="F126" i="6"/>
  <c r="K121" i="6"/>
  <c r="N119" i="6"/>
  <c r="O117" i="6"/>
  <c r="I116" i="6"/>
  <c r="K116" i="6"/>
  <c r="M116" i="6"/>
  <c r="N116" i="6"/>
  <c r="M109" i="6"/>
  <c r="M108" i="6"/>
  <c r="N108" i="6"/>
  <c r="O108" i="6"/>
  <c r="K106" i="6"/>
  <c r="L106" i="6"/>
  <c r="G106" i="6"/>
  <c r="I106" i="6"/>
  <c r="N104" i="6"/>
  <c r="I104" i="6"/>
  <c r="O104" i="6"/>
  <c r="G104" i="6"/>
  <c r="H104" i="6" s="1"/>
  <c r="I100" i="6"/>
  <c r="N92" i="6"/>
  <c r="K92" i="6"/>
  <c r="I92" i="6"/>
  <c r="M92" i="6"/>
  <c r="O92" i="6"/>
  <c r="I90" i="6"/>
  <c r="N86" i="6"/>
  <c r="M80" i="6"/>
  <c r="N80" i="6"/>
  <c r="I80" i="6"/>
  <c r="F80" i="6"/>
  <c r="G80" i="6"/>
  <c r="O80" i="6"/>
  <c r="H69" i="6"/>
  <c r="J67" i="6"/>
  <c r="H67" i="6"/>
  <c r="H56" i="6"/>
  <c r="N53" i="6"/>
  <c r="J48" i="6"/>
  <c r="H48" i="6"/>
  <c r="H33" i="6"/>
  <c r="J33" i="6"/>
  <c r="L107" i="6"/>
  <c r="M107" i="6"/>
  <c r="I76" i="6"/>
  <c r="K76" i="6"/>
  <c r="L76" i="6"/>
  <c r="L57" i="6"/>
  <c r="M57" i="6"/>
  <c r="N57" i="6"/>
  <c r="O57" i="6"/>
  <c r="O54" i="6"/>
  <c r="O52" i="6"/>
  <c r="L45" i="6"/>
  <c r="M45" i="6"/>
  <c r="N45" i="6"/>
  <c r="O45" i="6"/>
  <c r="G45" i="6"/>
  <c r="O70" i="6"/>
  <c r="G70" i="6"/>
  <c r="L67" i="6"/>
  <c r="M67" i="6"/>
  <c r="K67" i="6"/>
  <c r="I64" i="6"/>
  <c r="O64" i="6"/>
  <c r="L33" i="6"/>
  <c r="M33" i="6"/>
  <c r="N33" i="6"/>
  <c r="O33" i="6"/>
  <c r="G33" i="6"/>
  <c r="H29" i="6"/>
  <c r="J29" i="6"/>
  <c r="M22" i="6"/>
  <c r="N22" i="6"/>
  <c r="O22" i="6"/>
  <c r="I22" i="6"/>
  <c r="K22" i="6"/>
  <c r="I17" i="6"/>
  <c r="K17" i="6"/>
  <c r="O17" i="6"/>
  <c r="M17" i="6"/>
  <c r="N17" i="6"/>
  <c r="J9" i="6"/>
  <c r="G4" i="6"/>
  <c r="H4" i="6" s="1"/>
  <c r="I4" i="6"/>
  <c r="N4" i="6"/>
  <c r="O4" i="6"/>
  <c r="K4" i="6"/>
  <c r="F152" i="6"/>
  <c r="L131" i="6"/>
  <c r="M131" i="6"/>
  <c r="F122" i="6"/>
  <c r="F114" i="6"/>
  <c r="O107" i="6"/>
  <c r="F98" i="6"/>
  <c r="J84" i="6"/>
  <c r="H65" i="6"/>
  <c r="G54" i="6"/>
  <c r="H54" i="6" s="1"/>
  <c r="K52" i="6"/>
  <c r="K44" i="6"/>
  <c r="L44" i="6"/>
  <c r="M44" i="6"/>
  <c r="N44" i="6"/>
  <c r="F44" i="6"/>
  <c r="G44" i="6"/>
  <c r="J42" i="6"/>
  <c r="H42" i="6"/>
  <c r="I29" i="6"/>
  <c r="K29" i="6"/>
  <c r="O29" i="6"/>
  <c r="I21" i="6"/>
  <c r="L9" i="6"/>
  <c r="M9" i="6"/>
  <c r="N9" i="6"/>
  <c r="O9" i="6"/>
  <c r="G9" i="6"/>
  <c r="H9" i="6" s="1"/>
  <c r="I9" i="6"/>
  <c r="K9" i="6"/>
  <c r="K118" i="6"/>
  <c r="L118" i="6"/>
  <c r="N107" i="6"/>
  <c r="K101" i="6"/>
  <c r="O101" i="6"/>
  <c r="K77" i="6"/>
  <c r="N77" i="6"/>
  <c r="O77" i="6"/>
  <c r="J62" i="6"/>
  <c r="M58" i="6"/>
  <c r="N58" i="6"/>
  <c r="O58" i="6"/>
  <c r="I58" i="6"/>
  <c r="K56" i="6"/>
  <c r="L56" i="6"/>
  <c r="M56" i="6"/>
  <c r="N56" i="6"/>
  <c r="O56" i="6"/>
  <c r="I54" i="6"/>
  <c r="K54" i="6"/>
  <c r="L54" i="6"/>
  <c r="G52" i="6"/>
  <c r="H52" i="6" s="1"/>
  <c r="I52" i="6"/>
  <c r="M46" i="6"/>
  <c r="N46" i="6"/>
  <c r="O46" i="6"/>
  <c r="F46" i="6"/>
  <c r="G46" i="6"/>
  <c r="L21" i="6"/>
  <c r="M21" i="6"/>
  <c r="N21" i="6"/>
  <c r="O21" i="6"/>
  <c r="G21" i="6"/>
  <c r="K21" i="6"/>
  <c r="J16" i="6"/>
  <c r="M132" i="6"/>
  <c r="N132" i="6"/>
  <c r="N94" i="6"/>
  <c r="O94" i="6"/>
  <c r="M91" i="6"/>
  <c r="I91" i="6"/>
  <c r="N76" i="6"/>
  <c r="I75" i="6"/>
  <c r="F75" i="6"/>
  <c r="G75" i="6"/>
  <c r="K45" i="6"/>
  <c r="F39" i="6"/>
  <c r="G39" i="6"/>
  <c r="I39" i="6"/>
  <c r="M39" i="6"/>
  <c r="N39" i="6"/>
  <c r="G16" i="6"/>
  <c r="H16" i="6" s="1"/>
  <c r="I16" i="6"/>
  <c r="N16" i="6"/>
  <c r="O16" i="6"/>
  <c r="L16" i="6"/>
  <c r="J6" i="6"/>
  <c r="H6" i="6"/>
  <c r="H3" i="6"/>
  <c r="J3" i="6"/>
  <c r="N69" i="6"/>
  <c r="O69" i="6"/>
  <c r="K32" i="6"/>
  <c r="L32" i="6"/>
  <c r="M32" i="6"/>
  <c r="N32" i="6"/>
  <c r="F32" i="6"/>
  <c r="G32" i="6"/>
  <c r="K55" i="6"/>
  <c r="L55" i="6"/>
  <c r="M55" i="6"/>
  <c r="H50" i="6"/>
  <c r="G28" i="6"/>
  <c r="H28" i="6" s="1"/>
  <c r="I28" i="6"/>
  <c r="N28" i="6"/>
  <c r="O28" i="6"/>
  <c r="N3" i="6"/>
  <c r="M3" i="6"/>
  <c r="G61" i="6"/>
  <c r="H61" i="6" s="1"/>
  <c r="G49" i="6"/>
  <c r="H49" i="6" s="1"/>
  <c r="M43" i="6"/>
  <c r="L42" i="6"/>
  <c r="G37" i="6"/>
  <c r="H37" i="6" s="1"/>
  <c r="F36" i="6"/>
  <c r="M31" i="6"/>
  <c r="L30" i="6"/>
  <c r="G25" i="6"/>
  <c r="H25" i="6" s="1"/>
  <c r="F24" i="6"/>
  <c r="M19" i="6"/>
  <c r="L18" i="6"/>
  <c r="F12" i="6"/>
  <c r="M7" i="6"/>
  <c r="L6" i="6"/>
  <c r="I3" i="6"/>
  <c r="G62" i="6"/>
  <c r="H62" i="6" s="1"/>
  <c r="L43" i="6"/>
  <c r="K42" i="6"/>
  <c r="L31" i="6"/>
  <c r="K30" i="6"/>
  <c r="L19" i="6"/>
  <c r="K18" i="6"/>
  <c r="L7" i="6"/>
  <c r="K6" i="6"/>
  <c r="O23" i="6"/>
  <c r="O11" i="6"/>
  <c r="G3" i="6"/>
  <c r="H137" i="6" l="1"/>
  <c r="J137" i="6"/>
  <c r="H27" i="6"/>
  <c r="J27" i="6"/>
  <c r="J103" i="6"/>
  <c r="H103" i="6"/>
  <c r="J168" i="6"/>
  <c r="H168" i="6"/>
  <c r="J149" i="6"/>
  <c r="H149" i="6"/>
  <c r="H20" i="6"/>
  <c r="J20" i="6"/>
  <c r="H8" i="6"/>
  <c r="J8" i="6"/>
  <c r="H46" i="6"/>
  <c r="J46" i="6"/>
  <c r="H155" i="6"/>
  <c r="J155" i="6"/>
  <c r="J141" i="6"/>
  <c r="H141" i="6"/>
  <c r="H113" i="6"/>
  <c r="J113" i="6"/>
  <c r="H79" i="6"/>
  <c r="J79" i="6"/>
  <c r="J80" i="6"/>
  <c r="H80" i="6"/>
  <c r="J165" i="6"/>
  <c r="H165" i="6"/>
  <c r="J90" i="6"/>
  <c r="H90" i="6"/>
  <c r="H152" i="6"/>
  <c r="J152" i="6"/>
  <c r="H15" i="6"/>
  <c r="J15" i="6"/>
  <c r="H73" i="6"/>
  <c r="J73" i="6"/>
  <c r="H177" i="6"/>
  <c r="J177" i="6"/>
  <c r="H34" i="6"/>
  <c r="J34" i="6"/>
  <c r="H109" i="6"/>
  <c r="J109" i="6"/>
  <c r="J100" i="6"/>
  <c r="H100" i="6"/>
  <c r="H126" i="6"/>
  <c r="J126" i="6"/>
  <c r="J129" i="6"/>
  <c r="H129" i="6"/>
  <c r="H161" i="6"/>
  <c r="J161" i="6"/>
  <c r="H87" i="6"/>
  <c r="J87" i="6"/>
  <c r="H164" i="6"/>
  <c r="J164" i="6"/>
  <c r="H68" i="6"/>
  <c r="J68" i="6"/>
  <c r="H114" i="6"/>
  <c r="J114" i="6"/>
  <c r="H134" i="6"/>
  <c r="J134" i="6"/>
  <c r="J156" i="6"/>
  <c r="H156" i="6"/>
  <c r="J125" i="6"/>
  <c r="H125" i="6"/>
  <c r="J145" i="6"/>
  <c r="H145" i="6"/>
  <c r="J36" i="6"/>
  <c r="H36" i="6"/>
  <c r="J12" i="6"/>
  <c r="H12" i="6"/>
  <c r="H32" i="6"/>
  <c r="J32" i="6"/>
  <c r="H75" i="6"/>
  <c r="J75" i="6"/>
  <c r="H44" i="6"/>
  <c r="J44" i="6"/>
  <c r="J122" i="6"/>
  <c r="H122" i="6"/>
  <c r="H51" i="6"/>
  <c r="J51" i="6"/>
  <c r="J105" i="6"/>
  <c r="H105" i="6"/>
  <c r="H119" i="6"/>
  <c r="J119" i="6"/>
  <c r="J24" i="6"/>
  <c r="H24" i="6"/>
  <c r="H97" i="6"/>
  <c r="J97" i="6"/>
  <c r="H157" i="6"/>
  <c r="J157" i="6"/>
  <c r="H176" i="6"/>
  <c r="J176" i="6"/>
  <c r="H39" i="6"/>
  <c r="J39" i="6"/>
  <c r="H98" i="6"/>
  <c r="J98" i="6"/>
  <c r="H167" i="6"/>
  <c r="J167" i="6"/>
  <c r="J174" i="6"/>
  <c r="H174" i="6"/>
  <c r="H115" i="6"/>
  <c r="J115" i="6"/>
</calcChain>
</file>

<file path=xl/sharedStrings.xml><?xml version="1.0" encoding="utf-8"?>
<sst xmlns="http://schemas.openxmlformats.org/spreadsheetml/2006/main" count="3865" uniqueCount="612">
  <si>
    <t>Evaluator</t>
  </si>
  <si>
    <t>Question</t>
  </si>
  <si>
    <t>status</t>
  </si>
  <si>
    <t>response_time</t>
  </si>
  <si>
    <t>answerability</t>
  </si>
  <si>
    <t>primary_kc_alignment</t>
  </si>
  <si>
    <t>secondary_kc_alignment</t>
  </si>
  <si>
    <t>synergy</t>
  </si>
  <si>
    <t>topic_alignment</t>
  </si>
  <si>
    <t>grade_alignment</t>
  </si>
  <si>
    <t>real_world_feasibility</t>
  </si>
  <si>
    <t>clarity</t>
  </si>
  <si>
    <t>conciseness_and_relevance</t>
  </si>
  <si>
    <t>language_quality</t>
  </si>
  <si>
    <t>content_appropriateness</t>
  </si>
  <si>
    <t>explanation</t>
  </si>
  <si>
    <t>TD</t>
  </si>
  <si>
    <t>Question 1</t>
  </si>
  <si>
    <t>Question 2</t>
  </si>
  <si>
    <t>'NA</t>
  </si>
  <si>
    <t>Secondary KC alignment: The problem only requires subtraction (450 - 215 = 235). Addition is not needed to solve the problem. Synergy: Since only subtraction is required, there is no synergy between primary subtraction KC and secondary addition KC. The addition KC is not utilized. Conciseness and relevance: The information about father giving 80 dollars is irrelevant to solving the question asked. This extra information is not necessary for the solution.</t>
  </si>
  <si>
    <t>Question 3</t>
  </si>
  <si>
    <t>Topic Alignment: The problem involves sharing candies among children, which is a family/household activity but does not involve household finance concepts like income, utility bills, money, interest, savings, instalment, mortgage, or financial planning. The context is about candy distribution rather than financial matters.</t>
  </si>
  <si>
    <t>Question 4</t>
  </si>
  <si>
    <t>Question 5</t>
  </si>
  <si>
    <t>Question 6</t>
  </si>
  <si>
    <t>synergy: The two parts (a) and (b) are independent questions that can be solved separately. Part (a) requires fraction subtraction (5/12 - 1/4) while part (b) requires ordering the same fractions (1/4 and 5/12). The result from part (a) is not used as input for part (b), so the questions are not connected in tandem as required.</t>
  </si>
  <si>
    <t>Question 7</t>
  </si>
  <si>
    <t>Question 8</t>
  </si>
  <si>
    <t>Question 9</t>
  </si>
  <si>
    <t>Question 10</t>
  </si>
  <si>
    <t>Question 11</t>
  </si>
  <si>
    <t>Question 12</t>
  </si>
  <si>
    <t>Question 13</t>
  </si>
  <si>
    <t>Synergy: Part (b) does not use the result from part (a). The two questions are independent and not connected, failing to meet the requirement that results from early questions should be used in later questions.</t>
  </si>
  <si>
    <t>Question 14</t>
  </si>
  <si>
    <t>Question 15</t>
  </si>
  <si>
    <t>Question 16</t>
  </si>
  <si>
    <t>synergy: The two parts (a) and (b) are independent questions that do not require using results from one part to solve the other part. Part (a) asks for multiplication of 2.75 * 5, while part (b) asks to convert 2.75 to a fraction. Neither question uses the answer from the other question.</t>
  </si>
  <si>
    <t>Question 17</t>
  </si>
  <si>
    <t>Question 18</t>
  </si>
  <si>
    <t>Question 19</t>
  </si>
  <si>
    <t>Question 20</t>
  </si>
  <si>
    <t>Answerability: Mrs Tan cannot spend 1 1/4 + 2 2/3 = 3 11/12 of her budget which is nearly 4 times her total budget - this is mathematically impossible. Real-World Plausibility: Spending nearly 400% of ones budget on just groceries and utilities is unrealistic in household finance.</t>
  </si>
  <si>
    <t>Question 21</t>
  </si>
  <si>
    <t>Real-world feasibility: The amounts are unrealistic - $6 3/4 total savings and $4 5/8 electricity bill are too small for realistic household finance scenarios. Electricity bills and savings amounts are typically much larger in real-world contexts.</t>
  </si>
  <si>
    <t>Question 22</t>
  </si>
  <si>
    <t>ANSWERABILITY: The problem asks which amount is greater between Mrs Lims savings (3/4 * 120 = 90) and 90, but 90 = 90 so neither is greater - the question cannot be answered as posed. SECONDARY_KC_ALIGNMENT: No meaningful comparison is needed since 3/4 * 120 = 90, so comparing 90 to 90 does not require fraction comparison skills. SYNERGY: The two knowledge components do not work together meaningfully since the comparison becomes trivial (90 vs 90). CONCISENESS_AND_RELEVANCE: The comparison value of 90 creates a trivial comparison since it equals the calculated savings amount.</t>
  </si>
  <si>
    <t>Question 23</t>
  </si>
  <si>
    <t>Question 24</t>
  </si>
  <si>
    <t>Secondary KC Alignment: The problem only requires fraction multiplication (2/3 × 600, 3/4 × 200, 1/6 × 50) and whole number subtraction (600 - 400, 200 - 150). No fraction addition is needed to solve the problem. Synergy: Since the Secondary Knowledge Component (fraction addition) is not required, there is no synergy between Primary and Secondary Knowledge Components. The problem can be solved using only fraction multiplication and basic arithmetic.</t>
  </si>
  <si>
    <t>Question 25</t>
  </si>
  <si>
    <t>Question 26</t>
  </si>
  <si>
    <t>Topic Alignment: The problem context is about buying fruit juice for a family gathering, which belongs to food/beverage consumption rather than household finance topics like income, utility bills, money, interest, savings, instalment, mortgage, or financial planning.</t>
  </si>
  <si>
    <t>Question 27</t>
  </si>
  <si>
    <t>Answerability: The problem has illogical relationship - spending 7/4 + 5/3 = 41/12 of savings means spending more than the total amount saved (41/12 &gt; 1), which is impossible. Primary KC Alignment: Problem requires multiplying improper fraction by whole number, not multiplying two improper fractions together. Secondary KC Alignment: The subtraction is between whole dollar amounts (420 - 400), not subtracting fractions. Synergy: Since neither intended knowledge component is properly used, they cannot work in tandem. Real-World Feasibility: Impossible to spend $820 from $240 savings - violates basic financial logic.</t>
  </si>
  <si>
    <t>Question 28</t>
  </si>
  <si>
    <t>Answerability: 6/5 of money spent cannot be used as 6/5 &gt; 1 creates logical impossibility. Primary KC: Problem requires (4/11) * 150 and fraction operations but not multiplying two improper fractions together. Synergy: Logical impossibility prevents knowledge components from working together properly. Real-world feasibility: Cannot use more money than you spent. Clarity: Phrase about using 6/5 of spent money is confusing and mathematically problematic.</t>
  </si>
  <si>
    <t>Question 29</t>
  </si>
  <si>
    <t>Topic alignment: The problem focuses on baking business operations rather than core household finance concepts like income management, utility bills, savings, financial planning, or budgeting that are central to the intended topic.</t>
  </si>
  <si>
    <t>Question 30</t>
  </si>
  <si>
    <t>Primary KC alignment: Part (a) requires general decimal multiplication (3.75 * 0.174 * 100) rather than focusing on multiplying decimals by multiples of 10/100/1000 as the main skill. Synergy: The two parts are independent - part (b) does not use results from part (a), and they target different knowledge components without working together.</t>
  </si>
  <si>
    <t>Question 31</t>
  </si>
  <si>
    <t>Primary KC requires multiplying by 10/100/1000 or multiples, but problem uses 73.245 x 0.15 which is general decimal multiplication. Secondary KC requires subtraction but problem needs addition of service fee. Clarity issue: states service fee should be subtracted when calculating total bill, which is contradictory. Real-world issue: service fees are added to bills, not subtracted from cost calculations.</t>
  </si>
  <si>
    <t>Question 32</t>
  </si>
  <si>
    <t>Question 33</t>
  </si>
  <si>
    <t>Answerability: The problem is ambiguous about whether Mrs Lim kept a share for herself when splitting money among 10 grandchildren. Synergy: The ambiguity prevents clear connection between division and addition steps. Real-world feasibility: Unrealistic scenario where someone splits money among grandchildren while keeping an unspecified share. Clarity: The phrase her own share from the original savings jar is confusing when the problem states money was split among grandchildren.</t>
  </si>
  <si>
    <t>Question 34</t>
  </si>
  <si>
    <t>Secondary KC alignment fails because the problem requires decimal multiplication (800 x 0.15) rather than whole number multiplication as specified in the intended Secondary Knowledge Component.</t>
  </si>
  <si>
    <t>Question 35</t>
  </si>
  <si>
    <t>Question 36</t>
  </si>
  <si>
    <t>Question 37</t>
  </si>
  <si>
    <t>Question 38</t>
  </si>
  <si>
    <t>Topic Alignment: The problem context involves baking cookies for a school fundraiser, which belongs to school/baking activities rather than household finance topics like income, utility bills, money, interest, savings, instalment, mortgage, or financial planning.</t>
  </si>
  <si>
    <t>Question 39</t>
  </si>
  <si>
    <t>Secondary KC alignment fails because 120 - 180 = -60, which is not fraction subtraction but results in negative money. Synergy fails because the two questions are independent - the answer to question 1 (1 month with 30 dollars left) does not connect to question 2. Real-world feasibility fails because Mrs Tan cannot realistically pay 180 dollars in bills when she only has 120 dollars saved.</t>
  </si>
  <si>
    <t>Question 40</t>
  </si>
  <si>
    <t>Answerability: Question (b) creates mathematical inconsistency - asks to divide by 3/4 when context describes giving 3/4 of amount, leading to contradiction where children would receive more than planned while mother supposedly saves money. Primary KC Alignment: Problem primarily uses multiplication by fractions (40 * 3/4) rather than division by proper fractions as intended. Synergy: Questions lack proper connection due to mathematical error in (b) - results cannot flow logically between questions when (b) contradicts the problem setup.</t>
  </si>
  <si>
    <t>Question 41</t>
  </si>
  <si>
    <t>Answerability: Conflicting information - if $210 is 30% of total expenses, then total = $210 / 0.30 = $700, but $210 + $320 + $150 = $680, creating inconsistency. Synergy: The conflicting data prevents proper integration of the two knowledge components as the problem cannot be solved coherently.</t>
  </si>
  <si>
    <t>Question 42</t>
  </si>
  <si>
    <t>Question 43</t>
  </si>
  <si>
    <t>synergy: The two questions (a) and (b) are independent and can be solved separately. Question (a) requires addition of whole numbers (60 + 90 + 120 = 270) and question (b) requires finding ratio (60:90:120 = 2:3:4). The result from question (a) is not needed to solve question (b), so the primary and secondary knowledge components are not used in tandem as required.</t>
  </si>
  <si>
    <t>Question 44</t>
  </si>
  <si>
    <t>Secondary KC Alignment: The algebraic expression 45 + 2h is already in its simplest form and cannot be simplified further. There are no like terms to combine, no factoring possible, and no operations to perform. Part (b) asks to simplify an expression that requires no simplification. Synergy: Since the expression 45 + 2h cannot be simplified, there is no meaningful connection between parts (a) and (b). The secondary knowledge component of simplifying linear expressions is not actually needed to solve this problem.</t>
  </si>
  <si>
    <t>Question 45</t>
  </si>
  <si>
    <t>Secondary KC alignment: Problem only requires calculating 15% of 120 = 18, no subtraction needed since 18 directly represents savings. Synergy: No connection between percentage and subtraction operations since subtraction not required. Grade alignment: Basic percentage problem too simple for Secondary O-level 1, more suitable for Primary 5-6 level.</t>
  </si>
  <si>
    <t>Question 46</t>
  </si>
  <si>
    <t>Grade alignment: The problem involves basic percentage concepts (20% conversion and simple reverse percentage) typically taught in Primary 5-6, which is too elementary for Secondary O-level 1 students who should be handling more complex mathematical concepts.</t>
  </si>
  <si>
    <t>Question 47</t>
  </si>
  <si>
    <t>Grade alignment: The problem is too basic for Secondary O-level 2 students. Direct proportion at this level should involve more complex scenarios, algebraic manipulation, or multi-step real-world applications. This problem would be more suitable for upper primary or lower secondary grades.</t>
  </si>
  <si>
    <t>Question 48</t>
  </si>
  <si>
    <t>Answerability: The problem asks for matrix multiplication but then specifies element-wise multiplication (Hadamard product), which are different operations. This creates conflicting information about what mathematical operation to perform. Primary KC Alignment: The intended primary knowledge component is matrix multiplication, but the problem explicitly asks for element-wise multiplication (Hadamard product), not true matrix multiplication. Matrix A (3x2) and matrix B (3x2) cannot be multiplied using standard matrix multiplication rules. Real-world feasibility: Matrix B with identical 1.1 values in February column makes no logical sense since February expenses already occurred in the past and cannot have a 10% increase applied retroactively for March calculations. Clarity: The problem is ambiguous about which type of multiplication to use - it mentions both matrix multiplication and Hadamard product, and the setup with February values in the multiplier matrix is confusing for determining March expenses.</t>
  </si>
  <si>
    <t>Question 49</t>
  </si>
  <si>
    <t>Minh</t>
  </si>
  <si>
    <t>Grade alignment issue: 4-digit subtraction with regrouping (4250 - 1325 - 760) and multi-step problem solving is too advanced for Primary 3 students who typically work with simpler 2-3 digit operations.</t>
  </si>
  <si>
    <t>Real-world feasibility: The scenario lacks realistic motivation - it is unusual for someone to buy the maximum possible quantity of apples only to immediately give away a large portion to 8 different neighbours without prior planning or apparent reason.</t>
  </si>
  <si>
    <t>Answerability: The phrase 'save equally over 3 months' creates ambiguity about whether division is required. Primary KC Alignment: The problem can be solved as 285 + 50 = 335 without using division, which is the intended primary knowledge component. Synergy: Since division is not needed, there is no synergy between division and addition. Clarity: The meaning of 'save equally over 3 months' is unclear in the context. Conciseness: The information about 3 months and equal saving appears irrelevant to solving the problem.</t>
  </si>
  <si>
    <t>Grade alignment fails because Primary 3 students typically learn division of 2-digit numbers by 1-digit numbers, but this problem requires 624 ÷ 8 = 78, which involves dividing a 3-digit number and is more appropriate for Primary 4 level.</t>
  </si>
  <si>
    <t>Topic Alignment: The problem involves a child spending pocket money on snacks and storybooks, which does not align with household finance topics like utility bills, mortgage, financial planning, etc. Grade Alignment: Primary 3 students typically work with simpler fractions like halves, thirds, and quarters. Fractions like 5/12 and operations requiring finding common denominators between 12 and 4 are too advanced for Primary 3 level.</t>
  </si>
  <si>
    <t>Topic alignment: The problem is about buying soap bars which is more related to shopping/consumer goods rather than household finance topics like income, utility bills, money management, interest, savings, etc. Real-world feasibility: Buying 3 boxes with 125 bars each (375 bars) plus 2 bags with 82 bars each (164 bars) totaling 539 bars of soap is unrealistic for a family purchase - this quantity would last years and is not how people typically buy soap.</t>
  </si>
  <si>
    <t>Answerability: The problem has illogical relationship - it implies Mrs Tan saves her entire monthly salary of $3276, which means $3276/4 = $819 per week. This is unrealistic as people cannot save 100% of their income. Real-World Plausibility: Saving an entire monthly salary is not realistic as people need money for living expenses, making this scenario implausible.</t>
  </si>
  <si>
    <t>Real-world feasibility: It is unrealistic for someone to buy groceries and then ask neighbors to pay for items they did not request or benefit from. Clarity: The phrase 'share the total cost equally with 3 neighbours' is ambiguous - it unclear whether Mrs Lim also pays her share or if only the 3 neighbors split the full cost among themselves.</t>
  </si>
  <si>
    <t>Answerability: Problem contains redundant information - both dollar amounts and fractions given for same quantities. Secondary KC Alignment: The sum 5/12 + 1/6 = 7/12 is already in simplest form, so no simplification needed. Synergy: Since simplification is not required in solution, primary and secondary knowledge components do not work together. Conciseness: Dollar amounts $120 and $80 are irrelevant since question can be answered using fractions alone.</t>
  </si>
  <si>
    <t>synergy: The two parts (a) and (b) are independent questions that do not require using the result from part (a) to solve part (b). Part (a) requires adding decimals 3.40 + 1.25 + 0.80, while part (b) only requires converting 0.80 to a fraction. The questions are not connected and do not need to be used in tandem.</t>
  </si>
  <si>
    <t>Real-world feasibility: The amounts are unrealistic - $2.33 for water bills and $4.40 for electricity bills are far below typical monthly utility costs, making the scenario implausible for real household expenses.</t>
  </si>
  <si>
    <t>Secondary KC Alignment: The problem requires multiplying fractions by whole numbers (2/3 × 60, 1/4 × total earnings) and basic subtraction of whole numbers, but does not require subtracting fractions as intended. Synergy: Since the Secondary Knowledge Component (subtracting fractions) is not actually used in solving this problem, the Primary and Secondary KCs do not work in tandem as required.</t>
  </si>
  <si>
    <t>clarity: The problem has a duplicate key 'clarity' in the JSON structure which creates ambiguity in the evaluation format.</t>
  </si>
  <si>
    <t>Secondary KC Alignment: Part (b) requires comparing whole numbers ($30 vs $30) rather than comparing and ordering fractions as intended. The comparison involves 2 1/2 × 12 = $30 vs 3 × 10 = $30, but the actual comparison step is between whole number results, not fractions themselves. Synergy: The Primary KC (multiplying mixed number and whole number) and Secondary KC (comparing fractions) are not used in tandem. Part (a) uses only the Primary KC, while part (b) uses only whole number comparison rather than fraction comparison. The intended Secondary KC of comparing fractions is not actually needed to solve the problem.</t>
  </si>
  <si>
    <t>Secondary KC alignment: The final answer 78 is already in simplest form as a whole number, so no fraction simplification is actually required despite the instruction. Synergy: Since no simplification occurs in practice, the primary and secondary knowledge components do not work together to solve the problem.</t>
  </si>
  <si>
    <t>Topic Alignment: The problem is about buying rice which relates to grocery shopping/food consumption rather than household finance. While rice purchasing could be considered a household expense, the problem does not involve any financial concepts like money amounts, budgeting, bills, savings, interest, or other financial planning elements that define the intended household finance topic.</t>
  </si>
  <si>
    <t>Primary KC alignment fails because the problem requires general decimal multiplication (132.768 × 0.183) rather than specifically multiplying decimals by 10, 100, 1000 or their multiples as intended. The calculation 132.768 × 0.183 does not involve powers of 10 or their multiples.</t>
  </si>
  <si>
    <t>Real-world feasibility: 7250 mL / 5 days = 1450 mL per day = 1.45 L per day is unrealistically low for household water usage which includes drinking + cooking + cleaning + bathing.</t>
  </si>
  <si>
    <t>Primary KC alignment: The problem requires finding total amount (36.5 x 0.25 = 9.125 dollars) rather than finding number of units given rate and total amount. The given information is rate (0.25 dollars per kWh) and number of units (36.5 kWh), not rate and total amount. Synergy: While both knowledge components are present, they are not used in tandem. The rate calculation (36.5 x 0.25) and unit conversion (dollars to cents) are sequential independent steps rather than integrated processes that require both components working together.</t>
  </si>
  <si>
    <t>Topic alignment fails - the problem context is about cake sharing at a family gathering, which does not relate to household finance topics like income, utility bills, money, interest, savings, installment, mortgage, or financial planning.</t>
  </si>
  <si>
    <t>Topic Alignment: The problem involves repacking laundry detergent which is more about household chores/organization rather than household finance. Household finance topics should involve income, utility bills, money, interest, savings, installment, mortgage, or financial planning. This problem does not involve any financial calculations or money management concepts.</t>
  </si>
  <si>
    <t>Secondary KC alignment fails because the problem only requires percentage calculations (108 / 0.55 = 196.36) without any whole number subtraction steps. The solution involves division and percentage work but no subtraction of whole numbers. Synergy fails because since the secondary KC is not needed, the two knowledge components cannot work in tandem to solve the problem.</t>
  </si>
  <si>
    <t>secondary_kc_alignment: The problem requires multiplying 92 * 4 = 368, which involves decimal multiplication (92 is result of 80 * 1.15), not whole number multiplication as specified in the secondary knowledge component. real_world_feasibility: Water bill being 4 times the electricity bill is unrealistic - typically water bills are much lower than electricity bills in household contexts.</t>
  </si>
  <si>
    <t>Real-world feasibility fails because the scenario is logically inconsistent - Mrs Tan initially wants to split money equally among 3 children but then decides to use unequal ratio 2:3:5, which contradicts the equal distribution intention.</t>
  </si>
  <si>
    <t>Answerability: The problem leads to non-whole number solutions (emergency savings = 130/3 = 43.33..., groceries = 260/3 = 86.67...) which creates computational complexity inappropriate for Primary 6. Grade Alignment: The resulting fractional amounts and complex ratio calculations exceed Primary 6 level expectations, where students typically work with whole numbers in ratio problems.</t>
  </si>
  <si>
    <t>Clarity: The problem statement is confusing and contradictory. It first states Mr Lim spends on rent and groceries in ratio 5:2, then gives specific amounts ($1200 rent, $400 groceries) which creates ratio 3:1, not 5:2. Then it says 'if the ratio remains the same as 5:2' which conflicts with the given amounts. This creates ambiguity about which ratio to use. Conciseness and Relevance: The $300 utility bill information is irrelevant to solving the problem and serves no purpose in the calculation, violating the requirement that all given numbers must be necessary.</t>
  </si>
  <si>
    <t>Grade Alignment: The problem uses algebraic expressions with variables (x) and formal algebraic notation which is typically introduced in Secondary 1, not Primary 6. Primary 6 students in Singapore math syllabus typically work with arithmetic and pre-algebraic concepts but not formal algebraic expressions with variables.</t>
  </si>
  <si>
    <t>Grade Alignment: Linear equations with algebraic variables are typically taught in Secondary 1, not Primary 6. Primary 6 students in Singapore curriculum work with arithmetic word problems using methods like guess-and-check or model drawing, not formal algebraic equation solving.</t>
  </si>
  <si>
    <t>grade_alignment: The problem requires complex algebraic manipulation with ratios involving fractions (3/5 saved, ratio 5/6:1) and multi-step fraction operations that exceed Secondary O-level 1 difficulty. The solution involves solving equations like (3A/5) / (B/2) = 5/6 and computing 3A/5 - (1/4)*(3A/5) = (9A/20), which requires mathematical sophistication beyond this grade level.</t>
  </si>
  <si>
    <t>Secondary KC alignment fails because the problem does not require fraction division. The solution involves fraction subtraction (1 - 1/4 - 1/3 = 5/12), ratio formation (1/4 : 1/3 : 5/12), and proportion calculations (5/12 * 180 = 75), but no actual division of one fraction by another fraction.</t>
  </si>
  <si>
    <t>Secondary KC Alignment: The problem does not require subtracting decimals as specified. The calculations involve multiplying 800 * 0.6 = 480 for utilities, then subtracting whole numbers 1850 - 800 - 480 = 570. No decimal subtraction is needed. Synergy: Since the secondary knowledge component of decimal subtraction is not actually required, there is no synergy between the primary and secondary components. Grade Alignment: Secondary O-level 1 appears to be an invalid grade designation. Standard Singapore education system uses Primary 1-6 and Secondary 1-5, not Secondary O-level 1.</t>
  </si>
  <si>
    <t>Real-world feasibility: Water bills are typically much lower than electricity bills in most households. A water bill of $400 compared to electricity bill of $320 is unrealistic as water costs are generally a fraction of electricity costs in normal household consumption patterns.</t>
  </si>
  <si>
    <t>Secondary KC Alignment: The problem requires division of 207 by 4, which results in 51.75. This involves decimal division, not whole number division as specified in the secondary knowledge component. Grade Alignment: This problem is too simple for Secondary O-level 1 students. It only requires basic percentage calculation (180 * 1.15 = 207) and simple division (207 / 4 = 51.75), which are concepts typically mastered in primary school. Secondary O-level 1 students would need more complex mathematical challenges.</t>
  </si>
  <si>
    <t>Question 50</t>
  </si>
  <si>
    <t>Question 51</t>
  </si>
  <si>
    <t>Grade alignment: This problem is too simple for Secondary O-level 2 students (typically ages 15-16). The inverse proportion concept and whole number multiplication required are at Primary 5-6 level. O-level students would be expected to handle much more complex mathematical concepts including advanced algebra, trigonometry, and calculus, not basic arithmetic operations like 4 x 18 = 72 and 72 / 3 = 24.</t>
  </si>
  <si>
    <t>Question 52</t>
  </si>
  <si>
    <t>Answerability: Part (b) cannot be answered because the total cost of groceries is never provided in the problem - only the monthly budget of $1200 is given, but groceries may not cost the full budget amount. Secondary KC Alignment: Part (b) requires division but this is trivial ($1200/6) and doesn't meaningfully integrate with the inverse proportion concept from part (a). The secondary KC is not properly targeted. Synergy: The two parts are disconnected - part (a) uses inverse proportion with days/members, while part (b) uses simple division of budget/members. The result from part (a) (8 days) is not used in part (b), violating the synergy requirement. Clarity: The problem is ambiguous about whether the $1200 budget represents the actual grocery cost or just the available budget limit. Conciseness and Relevance: The $1200 budget information is irrelevant to part (a) and insufficient for part (b), making it unnecessary information that doesn't serve the problem's mathematical objectives.</t>
  </si>
  <si>
    <t>Question 53</t>
  </si>
  <si>
    <t>Question 54</t>
  </si>
  <si>
    <t>Synergy: The two parts (a) and (b) are independent questions that can be solved separately using the same dataset. Part (a) does not provide information needed for part (b), and vice versa. There is no connection between the questions where one builds upon the other. Grade Alignment: Finding median and mode are typically introduced in Primary 5-6 or Secondary 1 levels in Singapore math curriculum. For Secondary O-level 2 students, this problem is too basic and does not match the expected complexity level which should involve more advanced statistical concepts like quartiles, interquartile range, or data analysis with larger datasets.</t>
  </si>
  <si>
    <t>Question 55</t>
  </si>
  <si>
    <t>synergy: The two parts (a) and (b) are independent calculations on the same dataset. Finding the median does not provide information needed for finding the 70th percentile, and vice versa. The questions are not connected such that early results are used in later questions.</t>
  </si>
  <si>
    <t>Question 56</t>
  </si>
  <si>
    <t>ANSWERABILITY: The problem lacks critical information about how interest is calculated and applied. It does not specify whether the 4% monthly interest rate applies to the remaining balance, the original amount, or how it compounds over the 3-month period. Without this information, part (b) cannot be solved definitively. REAL_WORLD_FEASIBILITY: The scenario describes interest being charged on installment payments for an appliance purchase, but the problem does not clearly explain the interest calculation method, which makes it unrealistic as a real-world financial scenario. CLARITY: The phrase where 2^2 means the power of 2 with index 2 is redundant and potentially confusing since 2^2 is already clear mathematical notation. More importantly, the problem does not clearly explain how the 4% monthly interest is applied to calculate the total payment.</t>
  </si>
  <si>
    <t>Question 57</t>
  </si>
  <si>
    <t>Real-world feasibility: The mathematical expressions A = 5000 × 2^(3/2) and B = 5000 × (8)^(1/3) do not represent realistic interest formulas used by banks. Real interest calculations typically use formulas like A = P(1+r)^t or compound interest variations, not arbitrary fractional powers of 2 and 8. The scenario appears contrived solely for mathematical practice rather than reflecting actual banking products.</t>
  </si>
  <si>
    <t>Question 58</t>
  </si>
  <si>
    <t>Question 59</t>
  </si>
  <si>
    <t>Grade alignment: This problem requires advanced matrix operations including scalar multiplication and matrix subtraction which are typically covered in higher secondary or pre-university mathematics, not at O-level 3/4 grade where matrices are either not introduced or only at very basic level.</t>
  </si>
  <si>
    <t>Question 60</t>
  </si>
  <si>
    <t>Question 61</t>
  </si>
  <si>
    <t>Primary KC Alignment: The problem does not primarily focus on matrix multiplication. The main computational task is matrix subtraction (C = B - A), while matrix multiplication is only mentioned vaguely in the second part without clear implementation. Grade Alignment: This problem requires advanced matrix operations including matrix subtraction, matrix multiplication, and interpretation of 3x2 matrices, which are typically covered in higher secondary levels or pre-university courses, not O-level 3/4. Synergy: The two knowledge components are not used in tandem effectively. Matrix subtraction dominates the problem while matrix multiplication is poorly integrated. Clarity: The second part about finding combined expenses using matrix multiplication is confusing and lacks clear mathematical instruction on how to perform this operation.</t>
  </si>
  <si>
    <t>Question 62</t>
  </si>
  <si>
    <t>Question 63</t>
  </si>
  <si>
    <t>Answerability: Part (b) asks for the probability Maya saves when she does not receive an allowance, but this information is not provided in the problem. The problem only states what happens when she receives an allowance (P=0.8 for saving), but gives no information about her saving behavior when she does not receive an allowance. Clarity: The problem is ambiguous about Maya's saving behavior when she does not receive allowance - it states she decides whether to save based on receiving allowance, but then asks for a probability in the no-allowance case without providing the necessary conditional probability.</t>
  </si>
  <si>
    <t>Sarah</t>
  </si>
  <si>
    <t>Topic Alignment: The problem involves buying light bulbs for home use, which is about home supplies/maintenance rather than household finance. The intended topic requires financial concepts like income, utility bills, money, interest, savings, installment, mortgage, or financial planning, but this problem only involves counting physical items without any financial calculations or concepts.</t>
  </si>
  <si>
    <t>Grade alignment issue: Primary 3 students typically work with simpler fractions like halves, quarters, and thirds. Adding fractions with denominator 12 and requiring simplification of 8/12 to 2/3 appears too advanced for this grade level.</t>
  </si>
  <si>
    <t>Topic Alignment: The problem context involves a child buying a storybook and pencil with pocket money, which relates to personal spending but does not specifically address household finance topics like income, utility bills, interest, savings, installment, mortgage, or financial planning as required by the intended topic.</t>
  </si>
  <si>
    <t>The problem contains unnecessary information: the 4-month timeframe is given but not needed for solving the problem. All calculations only require the total earnings of $2892, the number of people (4), and the additional savings ($108). The mention of 4 months adds no value to the solution process.</t>
  </si>
  <si>
    <t>Answerability: The problem contains illogical information as Sarah cannot spend 3/4 + 2/3 = 17/12 of her pocket money, which exceeds 100% of her total pocket money. This makes the scenario mathematically impossible. Real-World Feasibility: It is unrealistic for someone to spend more than their total available money (117% of pocket money) on expenses without additional funding sources mentioned in the problem.</t>
  </si>
  <si>
    <t>Grade alignment: Primary KC specifies decimals up to 2 decimal places but problem includes $7.350 (3 decimal places) which may exceed Primary 4 level. Real-world feasibility: Grocery prices of $7.350 are unrealistic as retail prices typically use 2 decimal places for dollars and cents.</t>
  </si>
  <si>
    <t>Clarity: Part (a) contains redundant instruction - it asks to round to 2 decimal places when the exact answer 83.76/4 = 20.94 already has exactly 2 decimal places, making the rounding instruction unnecessary and potentially confusing.</t>
  </si>
  <si>
    <t>Topic alignment: The problem is about cooking oil usage which relates to household consumption/cooking rather than household finance. Household finance topics should involve income, utility bills, money, interest, savings, instalment, mortgage, or financial planning, but this problem focuses on cooking oil quantity consumption without any financial aspects.</t>
  </si>
  <si>
    <t>Real-world feasibility: The problem mixes saving money for groceries with spending on groceries, which are contradictory actions. It is unrealistic for someone to receive extra money based on grocery savings rather than actual spending. Clarity: The language is ambiguous, using both saving for groceries and spending on groceries interchangeably, creating confusion about the actual scenario.</t>
  </si>
  <si>
    <t>Real-world feasibility issue: Water bills typically have fixed base charges plus variable usage charges. If someone uses 2/5 of normal water volume, their bill would not simply be 2/5 of the normal total bill amount due to the fixed base charge component. The problem incorrectly assumes a purely proportional relationship between usage and total bill cost.</t>
  </si>
  <si>
    <t>Real-world feasibility: The problem states Mrs Tan uses 4/5 of a packet of rice each week and buys 7 packets, then asks how many packets she uses after 7 weeks. In reality, if she uses 4/5 packet per week for 7 weeks, she would use 28/5 = 5.6 packets total, which is less than the 7 packets she bought. The problem setup implies she would have leftover rice, making the scenario somewhat unrealistic as typically one would not buy excess perishable goods without purpose. Conciseness and relevance: The information that she buys 7 packets is not necessary for solving the problem. The question only asks how many packets she uses after 7 weeks, which only requires knowing her weekly usage rate (4/5 packet) and the time period (7 weeks). The number of packets purchased (7) is irrelevant to the calculation.</t>
  </si>
  <si>
    <t>Primary KC alignment: The problem requires multiplying an improper fraction by a whole number (7/4 × 100) and (9/5 × 175), not multiplying two improper fractions as specified. The core operation is fraction-whole number multiplication, not improper fraction-improper fraction multiplication. Synergy: The two knowledge components are used sequentially rather than in tandem - first fraction multiplication is completed entirely, then decimal conversion is applied to the final result. There is no integration where both skills need to be applied simultaneously or where one informs the other during the problem-solving process.</t>
  </si>
  <si>
    <t>Primary KC alignment fails because the problem requires multiplying 3.285 by 31 and 3.285 by 0.19, but the intended primary KC is specifically about multiplying decimals by 10, 100, 1000 and their multiples. The numbers 31 and 0.19 are not multiples of 10, 100, or 1000. Synergy fails because parts (a) and (b) focus on decimal multiplication while part (c) focuses on decimal comparison, but these parts operate independently without requiring tandem use of both knowledge components to solve any single question.</t>
  </si>
  <si>
    <t>Answerability: Part (b) contains conflicting information - it asks for utility costs for 100 days but then states to assume 100 days equals 3 months, which is mathematically incorrect (100 days is approximately 3.3 months). This creates confusion about whether to calculate for 100 days or 3 months. Primary KC Alignment: The problem requires multiplication of 2.37 by 100, but this does not align with the intended knowledge component of multiplying decimals by 10, 100, 1000 and their multiples. The intended KC typically refers to place value multiplication (moving decimal places), not standard multiplication algorithms. Real-world feasibility: Daily electricity billing of $2.37 is unrealistic as electricity bills are typically calculated monthly, not daily. Clarity: The problem contains ambiguous instructions in part (b) with the conflicting 100 days vs 3 months assumption, making it unclear what calculation is actually required.</t>
  </si>
  <si>
    <t>Primary KC Alignment: The problem requires dividing 124.500 by 3, but the intended primary knowledge component is dividing decimals by 10, 100, 1000 and their multiples. Division by 3 is not division by powers of 10 or their multiples.</t>
  </si>
  <si>
    <t>Real-world feasibility: The scenario where second month electricity usage is exactly 245.370/10 kWh less than first month creates an artificially constructed mathematical relationship (reduction of exactly 1/10th) that does not reflect realistic utility usage patterns in households.</t>
  </si>
  <si>
    <t>Secondary KC issue: Problem requires currency conversion (dollars to cents) but intended KC is about measurement unit conversion in decimal form. Grade alignment issue: Decimal multiplication 13.75 * 0.19 too complex for Primary 5. Real-world issue: Final answer 261.25 cents includes fractional cent which cannot be paid in reality.</t>
  </si>
  <si>
    <t>Primary KC alignment: Problem uses multiplication of fractions by whole numbers (3/4 * 180, 2/5 * 180) and division of whole numbers (135 / 2), not division of fractions by whole numbers as intended. Synergy: Since intended primary KC is not present, primary and secondary KCs cannot work in tandem. Real-world feasibility: Saving money for utility bills but only spending 3/4 monthly is unrealistic - people typically pay full utility bill amounts.</t>
  </si>
  <si>
    <t>Primary KC alignment fails because the problem requires dividing a whole number by a whole number (13.50 / 3 = 4.50), not dividing a proper fraction by a whole number as intended. The division step involves 13.50 / 3, where 13.50 is a decimal/mixed number, not a proper fraction.</t>
  </si>
  <si>
    <t>Topic Alignment: The problem context is about baking cake for family gathering, which does not belong to household finance topics such as income, utility bills, money, interest, savings, instalment, mortgage, or financial planning.</t>
  </si>
  <si>
    <t>Primary KC alignment fails because the problem requires whole number division (48/6=8) rather than the intended fraction division (dividing by a proper fraction).</t>
  </si>
  <si>
    <t>Secondary KC Alignment: The problem requires decimal operations (120 * 1.15 = 138) rather than whole number addition as the secondary KC. The 15% increase of $120 results in $18, making the new bill $138, which involves decimal calculations. Synergy: There is no meaningful synergy between percentage calculations and whole number addition. The percentage calculation produces a decimal result that doesn't naturally connect with whole number addition operations.</t>
  </si>
  <si>
    <t>Answerability: Problem contains contradictory constraints - Amy spending $15 before sister saves while maintaining 5:3 ratio creates impossible mathematical situation. Synergy: The ratio and subtraction components conflict rather than work together due to illogical sequencing. Real-world feasibility: Unrealistic to maintain specific savings ratio when one person spends money before the other saves independently. Clarity: Ambiguous about sequence of events and how ratio constraint applies after spending occurs.</t>
  </si>
  <si>
    <t>Grade Alignment: The problem involves basic fraction operations (2/3 + 5/6 = 9/6 = 3/2) and simple ratio calculations that are typically covered in primary or lower secondary levels. Secondary O-level 1 students would expect more advanced mathematical concepts involving algebraic manipulation, complex equations, or higher-order problem-solving skills.</t>
  </si>
  <si>
    <t>Secondary KC Alignment: Part (a) requires finding ratio of 2/5 to 1/4 which involves fraction operations but not fraction multiplication specifically. Part (b) requires multiplying fractions by whole numbers (2/5 * 2000 and 1/4 * 2000) but this is scalar multiplication, not fraction-to-fraction multiplication. Synergy: The secondary knowledge component (fraction multiplication) is not meaningfully integrated with the primary component. The problem can be solved using basic fraction operations and does not require both components to work in tandem.</t>
  </si>
  <si>
    <t>The problem is too simple for Secondary O-level 1 students. Converting (2/5):(3/10) to 4:3 is typically taught at Primary 5-6 level. O-level students would be expected to handle more complex ratio problems involving multiple steps or advanced applications.</t>
  </si>
  <si>
    <t>Grade Alignment: The problem requires working with decimal ratios (1.2:2.4) and multi-step proportional reasoning that is typically beyond Secondary O-level 1 students. The complexity of decimal ratio calculations would usually be introduced at higher secondary levels.</t>
  </si>
  <si>
    <t>Grade Alignment: This problem is too advanced for Secondary O-level 1 students. Working with decimal ratios like 2.5:1.5:4 and converting them to simplest whole number form (5:3:8) requires mathematical maturity typically developed in later secondary years. Primary 6 or Secondary 2-3 would be more appropriate for this level of ratio complexity.</t>
  </si>
  <si>
    <t>Grade alignment: The problem is too simple for Secondary O-level 1 students. It only requires basic percentage calculation (200 * 1.12 = 224) and simple addition (224 + 18 = 242). O-level students should handle more complex multi-step problems involving advanced concepts like compound percentages, algebraic manipulation, or more sophisticated mathematical reasoning.</t>
  </si>
  <si>
    <t>Grade Alignment: This problem is too simple for Secondary O-level 1 students (ages 13-14). The percentage calculation (7% of 120 = 8.4, new bill = 128.4) and basic multiplication (128.4 x 4 = 513.6) are concepts typically mastered in Primary 5-6 (ages 11-12). O-level students would expect more complex scenarios involving compound percentages, multi-step calculations, or integration with algebraic concepts.</t>
  </si>
  <si>
    <t>Topic Alignment: The problem context is about home renovation and carpet purchase, which belongs to home improvement rather than household finance. While it involves money and cost calculation, the primary focus is on renovation rather than financial concepts like income, utility bills, interest, savings, installment, mortgage, or financial planning.</t>
  </si>
  <si>
    <t>Grade Alignment: The problem is designed for Secondary O-level 1 but uses knowledge components that are typically introduced in Primary levels. In Singapore math syllabus, arithmetic sequences and finding nth terms are covered in Primary 5-6, making this problem too elementary for Secondary O-level 1 students who would be expected to handle more complex algebraic concepts.</t>
  </si>
  <si>
    <t>grade_alignment: This problem is too simple for Secondary O-level 2 students. The ratio concept (5:3 sharing) and whole number division (184/4) are typically mastered in primary grades 5-6. O-level 2 students would be expected to handle more complex ratio problems involving algebraic manipulation, compound ratios, or integration with other advanced topics like percentages, profit/loss, or coordinate geometry.</t>
  </si>
  <si>
    <t>Grade Alignment: This problem is too advanced for Secondary O-level 2 students. Linear inequalities with algebraic variables and real-world translation requiring multiple-step reasoning are typically introduced in later secondary years (O-level 3 or 4). Secondary O-level 2 students would typically work with simpler numerical inequalities or basic algebraic equations first.</t>
  </si>
  <si>
    <t>synergy: The two parts (a) and (b) are independent calculations that do not require using results from one part to solve the other part. Part (a) finds median = 80 and part (b) finds range = 95 - 68 = 27, but these calculations are separate and do not work in tandem as required.</t>
  </si>
  <si>
    <t>Synergy: Part (a) uses laws of indices (March bill = 100 * 2^1.5 * 2^1.5 = 100 * 2^3), part (b) uses negative indices (2^-2 = 1/4), but these are solved independently without connection between results. Real-world feasibility: Monthly electricity bill growth by factor 2^1.5 = 2.83 means bills triple each month (January $100, February $283, March $800), which is unrealistic - would bankrupt households quickly and violates typical utility pricing structures.</t>
  </si>
  <si>
    <t>Grade Alignment: The problem uses formal matrix notation and operations which are typically taught at A-level or junior college level, not at Secondary O-level 3/4. Singapore O-level mathematics curriculum does not include matrix operations as part of the standard syllabus.</t>
  </si>
  <si>
    <t>Grade alignment: This problem uses advanced probability concepts (mutually exclusive events, addition rule for probability) that are typically taught at higher secondary levels, not Primary level as suggested by O-level 3/4 notation. Real-world feasibility: The statement that electricity and water bills cannot arrive on the same Monday is unrealistic - utility companies operate independently and there is no logical reason why both bills cannot arrive on the same day in real household scenarios.</t>
  </si>
  <si>
    <t>Question 64</t>
  </si>
  <si>
    <t>Clarity: There is a LaTeX formatting error where [FORMULA] appears as literal text instead of formatted bold text, and [FORMULA] should render as dollar signs but may cause confusion in the problem statement. Language Quality: The LaTeX syntax error with [FORMULA] and potential rendering issues with [FORMULA] constitute technical writing problems that affect the professional quality of the mathematical text.</t>
  </si>
  <si>
    <t>Secondary KC Alignment: The problem only requires subtraction (450 - 215 = 235) to find how much Sarah spent. Addition is not needed since the extra $80 from father is irrelevant to the question asked. Synergy: Since only subtraction is needed and addition is not required, the two knowledge components do not work in tandem. Conciseness and Relevance: The information about father giving $80 extra money is irrelevant to solving the problem and makes the problem less concise.</t>
  </si>
  <si>
    <t>Topic Alignment: The problem context is about sharing candies among children, which does not belong to household finance. Household finance involves income, utility bills, money, interest, savings, installment, mortgage, financial planning etc. This is a general sharing/distribution context, not financial management.</t>
  </si>
  <si>
    <t>Synergy: The two questions (a) and (b) are independent of each other. Question (b) does not use the result from question (a) as known information, so the primary and secondary knowledge components are not used in tandem. Grade Alignment: The problem involves fractions with denominators 12 and 4, requiring finding common denominators and complex fraction operations that are typically beyond Primary 3 level. Primary 3 students usually work with simpler fractions like halves, quarters, and thirds.</t>
  </si>
  <si>
    <t>Secondary KC alignment fails: The intended Secondary Knowledge Component specifies rounding to nearest 10, 100, or 1000, but the problem asks to round 684 to nearest hundred. Since 684 rounded to nearest hundred is 700 (difference of 16), this falls within the easier rounding to nearest 10 category rather than requiring the full complexity of the intended Secondary KC which should involve numbers where rounding to nearest 100 creates more significant changes.</t>
  </si>
  <si>
    <t>Real-world feasibility: An electricity bill of $3287 for 4 months ($821.75 per month) is unrealistically high for a typical family household. Most residential electricity bills range from $50-300 per month, making this amount implausible for the intended context.</t>
  </si>
  <si>
    <t>Answerability: The problem has conflicting information - Grace cannot save 3/8 + 2/3 = 25/24 &gt; 1 of her allowance, which is mathematically impossible if referring to fractions of the same total allowance. Real-world feasibility: The scenario is illogical as one cannot save more than 100% of a fixed amount.</t>
  </si>
  <si>
    <t>The problem states Amy saved $7 5/12 and then spent $1 1/3 on a book, asking how much money she had left. This creates a logical inconsistency - if she saved the money and then spent part of it, she would be spending from her savings, not having money left from the original saved amount. The scenario does not mirror realistic financial behavior.</t>
  </si>
  <si>
    <t>Synergy: The two parts are independent - part b does not use the result from part a, lacking required connection between questions. Real-world feasibility: Electricity bills typically do not have 3 decimal places like 45.605 dollars in actual billing systems.</t>
  </si>
  <si>
    <t>Secondary KC alignment: Part (b) asks to round to nearest dollar AND to 1 decimal place, but 123.45 - 97.88 = 25.57. Rounding 25.57 to nearest dollar gives 26, and to 1 decimal place gives 25.6. The intended Secondary KC is rounding decimals up to 3 decimal places, but the result 25.57 only has 2 decimal places, not utilizing the full scope of the intended rounding knowledge component.</t>
  </si>
  <si>
    <t>Synergy: The two parts (a) and (b) are independent questions that both use the same given information ($2.75 per day) but do not build upon each other. Part (a) requires multiplying 2.75 x 5, and part (b) requires converting 2.75 to a fraction. The result from part (a) is not used as input for part (b), so the primary and secondary knowledge components are not used in tandem.</t>
  </si>
  <si>
    <t>Answerability: The fractions 1 1/4 + 2 2/3 = approximately 3.92, meaning Mrs Tan spent nearly 400% of her budget on just two items, which is mathematically impossible. Real-world feasibility: No one can spend almost 4 times their budget on groceries and utilities alone in a realistic household finance scenario.</t>
  </si>
  <si>
    <t>ANSWERABILITY: The calculation gives 3/4 * 120 = 90, making both amounts equal to $90. Comparing $90 to $90 has no definitive answer since they are equal, not one being greater. SECONDARY_KC_ALIGNMENT: No meaningful comparison occurs since 3/4 * 120 = 90, so comparing $90 to $90 does not require fraction comparison skills. SYNERGY: The two knowledge components do not work in tandem since the comparison component is not meaningfully utilized when comparing equal amounts. CONCISENESS_AND_RELEVANCE: The problem setup leads to a trivial comparison of equal amounts, making the comparison question essentially irrelevant.</t>
  </si>
  <si>
    <t>Secondary KC Alignment: The problem only requires subtraction operations (600-400=200, 200-150=50), not addition of fractions as specified in the secondary knowledge component. Synergy: Since the secondary knowledge component (adding fractions) is not actually needed to solve the problem, the primary and secondary components do not work in tandem as required.</t>
  </si>
  <si>
    <t>Secondary KC alignment fails because the final answer 150 is already a whole number in simplest form, so no fraction simplification is needed. Synergy fails because the Secondary Knowledge Component (fraction simplification) is not actually required to solve the problem, making the two knowledge components not work in tandem as intended.</t>
  </si>
  <si>
    <t>Topic alignment: The problem context is about buying fruit juice for a family gathering, which does not belong to household finance topics like income, utility bills, money, interest, savings, instalment, mortgage, or financial planning. The problem focuses on quantities and fractions rather than financial concepts.</t>
  </si>
  <si>
    <t>Answerability: Mrs Tan cannot spend 7/4 + 5/3 = 21/12 + 20/12 = 41/12 = 342% of her savings when she only has 100% available. Real-World Plausibility: Spending 342% of monthly savings is unrealistic and impossible in normal circumstances.</t>
  </si>
  <si>
    <t>Answerability: Using 6/5 of money spent means using 120% which is illogical - cannot use more money than spent. Primary KC Alignment: Problem does not require multiplying two improper fractions as main solution method. Real World Feasibility: Cannot use 120% of money already spent on brushes. Clarity: Phrase about money spent on brushes being actually used is ambiguous and confusing.</t>
  </si>
  <si>
    <t>Topic_alignment: The problem focuses on ingredient usage in baking rather than household finance topics like income, bills, savings, interest, or financial planning as specified in the intended topic.</t>
  </si>
  <si>
    <t>The two parts of the problem are independent of each other. Part (b) does not use the result from part (a), so the primary and secondary knowledge components are not used in tandem as required for synergy.</t>
  </si>
  <si>
    <t>Primary KC requires multiplying by multiples of 10/100/1000, but problem uses 0.15. Secondary KC involves subtraction but service fees are typically added to bills, not subtracted, creating logical inconsistency. This makes the problem unclear and unrealistic as service fees increase rather than decrease bills.</t>
  </si>
  <si>
    <t>Answerability: Mrs Lim splits 27.650 dollars equally among 10 grandchildren, giving away all money, but problem refers to her own share which does not exist. Synergy: The division and addition cannot work together due to logical inconsistency - no remaining amount to add 4.25 dollars to. Real-world feasibility: Unrealistic for someone to give entire savings to grandchildren while expecting personal share. Clarity: Her own share from original savings jar is ambiguous when entire amount was distributed.</t>
  </si>
  <si>
    <t>Topic Alignment: The word problem context is about baking cookies for a school fundraiser, which does not belong to household finance topics like income, utility bills, money, interest, savings, instalment, mortgage, or financial planning.</t>
  </si>
  <si>
    <t>Answerability: Problem asks to pay 2 months bills costing 2 * 90 = 180 dollars but only 120 dollars available, creating impossible scenario. Secondary KC Alignment: Problem requires subtracting whole numbers 120 - 180, not subtracting fractions as intended. Synergy: Questions not properly connected due to mathematical impossibility of second question. Real World Feasibility: Unrealistic to pay bills exceeding available funds. Clarity: Logical inconsistency makes problem confusing.</t>
  </si>
  <si>
    <t>Part (b) is unclear - it asks how much each child receives when divided by 3/4, but this creates confusion about whether it wants the actual amount received ($30) or the result of another division operation ($40). The wording should clearly specify what mathematical operation is being requested.</t>
  </si>
  <si>
    <t>Answerability: The problem contains conflicting information - groceries $320 and transport $150 appear to be additional expenses but should logically be part of the total household expenses that electricity bill $210 represents 30% of. Secondary KC Alignment: The intended secondary knowledge component of adding whole numbers is not actually needed since the main solution only requires finding the whole from percentage $210 / 0.30 = $700. Synergy: Primary and secondary knowledge components are not used in tandem - only percentage calculation is needed. Clarity: Ambiguous whether groceries and transport costs are additional to or included in the total household expenses. Conciseness and Relevance: The grocery $320 and transport $150 figures are irrelevant to solving the main question and create confusion.</t>
  </si>
  <si>
    <t>synergy: The two questions (a) and (b) are independent of each other. Question (a) asks for total contribution using addition: 60 + 90 + 120 = 270. Question (b) asks for ratio using the same given numbers: 60:90:120 = 2:3:4. The result from question (a) is not needed to solve question (b), so the primary and secondary knowledge components are not used in tandem as required.</t>
  </si>
  <si>
    <t>Secondary KC Alignment: The algebraic expression 45 + 2h is already in its simplest form and cannot be simplified further. There are no like terms to combine, no common factors to extract, and no operations to perform. Part (b) asks to simplify an expression that requires no simplification. Synergy: Since the secondary knowledge component of simplifying linear expressions is not actually needed (the expression 45 + 2h is already simplified), there is no meaningful synergy between the primary and secondary knowledge components. The two parts are not genuinely connected through mathematical necessity.</t>
  </si>
  <si>
    <t>Grade Alignment: This problem is too simple for Secondary O-level 1 students. It only requires basic percentage calculation (120 x 0.15 = 18) which is typically mastered in primary grades 5-6. O-level students would be expected to handle more complex percentage problems involving compound calculations, multi-step reasoning, or advanced applications.</t>
  </si>
  <si>
    <t>Grade alignment: This problem is too simple for Secondary O-level 1 students. Converting 20% to decimal (0.2) and solving reverse percentage (80 / 0.8 = 100) are basic concepts typically covered in Primary 5-6 or lower secondary levels, not challenging enough for O-level students who should be working with more complex percentage applications.</t>
  </si>
  <si>
    <t>Grade Alignment: This problem is too simple for Secondary O-level 2 students. Direct proportion with simple whole number ratios (180:540 = 1:3) and basic multiplication (9 × 28) are concepts typically mastered in primary grades 4-6. O-level students would expect more complex scenarios involving algebraic manipulation, simultaneous equations, or advanced proportional relationships.</t>
  </si>
  <si>
    <t>Primary KC alignment fails because the problem asks for element-wise multiplication (Hadamard product) in part (a), but the intended primary KC is standard matrix multiplication, which are different mathematical operations.</t>
  </si>
  <si>
    <t>Grade alignment issue: Primary 3 students typically work with numbers up to 1000. This problem uses 4-digit numbers like 4250, 1325 requiring subtraction skills beyond typical Primary 3 level. Multi-step problem with comparison also exceeds expected complexity for Primary 3.</t>
  </si>
  <si>
    <t>The problem asks two questions: how much each child gets AND how much is left over. Since 470/5 = 94 with remainder 0, the second question about leftover money becomes trivial (answer is always 0). This creates unnecessary redundancy rather than meaningful complexity.</t>
  </si>
  <si>
    <t>Answerability: The phrase save money equally over 3 months is ambiguous - unclear if dividing into portions or saving total amount over time period. Primary KC Alignment: Division is not needed to solve the problem - the answer 285 + 50 = 335 only requires addition. Synergy: Since division is not required, the two knowledge components do not work in tandem. Clarity: The saving equally over 3 months phrase creates confusion about the actual mathematical operation needed.</t>
  </si>
  <si>
    <t>Grade Alignment: The two-step problem requiring 624/8=78 then 78*6=468 involves complexity and numbers typically beyond Primary 3 level, more suitable for Primary 4.</t>
  </si>
  <si>
    <t>Topic Alignment: The problem context involves a child spending pocket money on snacks and storybooks, which does not align with household finance topics like utility bills, mortgage, financial planning etc. Grade Alignment: Primary 3 students typically work with simpler fractions and basic operations. This problem requires finding common denominators for fractions like 5/12 and 1/4, converting to equivalent fractions (5/12 and 3/12), and performing multiple fraction operations which is typically introduced in Primary 4 or 5.</t>
  </si>
  <si>
    <t>Topic alignment: The problem is about purchasing soap bars which is more about shopping/consumer goods rather than household finance topics like income, utility bills, money management, interest, savings, installment, mortgage, or financial planning. Real-world feasibility: Buying 125 bars of soap per box (375 total) plus 164 more bars (539 total bars) is unrealistic for a typical family purchase - this quantity would last years and is not how people typically buy soap.</t>
  </si>
  <si>
    <t>Real-world feasibility: The problem implies Mrs Tan saves her entire monthly salary of $3276, which is unrealistic as people need money for living expenses. The problem should specify what portion of her salary she plans to save.</t>
  </si>
  <si>
    <t>Answerability: The phrase 'share the total cost equally with 3 neighbours' is ambiguous - unclear if Mrs Lim is included in cost-sharing (4-way split: 48/4=12) or excluded (3-way split: 48/3=16). Clarity: Same ambiguity issue makes the problem unclear about who pays what amount.</t>
  </si>
  <si>
    <t>Answerability: The dollar amounts create conflicting information. If groceries = $120 = 5/12 of expenses, then total = $288. If utilities = $80 = 1/6 of expenses, then total = $480. These contradict each other. Conciseness and Relevance: The dollar amounts ($120 and $80) are unnecessary information that creates confusion since the fractions alone are sufficient to solve the problem.</t>
  </si>
  <si>
    <t>Real-world feasibility: Saving 2/3 (approximately 67%) of monthly salary for household expenses is unrealistic. Typical household expense ratios are much lower, usually 20-30% of income for housing and utilities combined.</t>
  </si>
  <si>
    <t>synergy: The two parts (a) and (b) are independent questions that do not require using the result from part (a) to solve part (b). Part (a) uses decimal addition ($3.40 + $1.25 + $0.80) while part (b) uses decimal to fraction conversion ($0.80 = 80/100 = 4/5). The questions do not work in tandem as required for synergy between primary and secondary knowledge components.</t>
  </si>
  <si>
    <t>Grade alignment issue: Converting 3.84 to simplest fraction form 96/25 requires finding GCD of 384 and 100 and simplifying complex fractions, which is above Primary 4 level. Primary 4 students typically work with simpler decimal-to-fraction conversions.</t>
  </si>
  <si>
    <t>Secondary KC alignment fails because the final answer 5 + 11/12 is already in simplest form since gcd(11,12) = 1, so no simplification step is needed. Synergy fails because the secondary KC (simplifying fractions) is not actually required to solve the problem - students can arrive at the correct answer without any simplification step.</t>
  </si>
  <si>
    <t>Secondary KC alignment: The problem requires fraction multiplication (2/3 × 60 and 1/4 × 160) and whole number subtraction (160 - 40), but no fraction subtraction as intended. Synergy: Since fraction subtraction is not needed, the primary and secondary knowledge components do not work in tandem as required.</t>
  </si>
  <si>
    <t>Secondary KC Alignment: Part (b) requires comparing whole numbers ($30 vs $30) rather than comparing fractions as specified in the intended secondary knowledge component. Synergy: The primary KC (multiplying mixed number by whole number) and secondary KC (comparing fractions) are not used together - part (a) uses multiplication only, part (b) uses whole number comparison only, with no fraction comparison involved.</t>
  </si>
  <si>
    <t>Secondary KC Alignment: The problem does not require expressing a fraction in its simplest form. Friday loaves = 8, Saturday loaves = 2 1/4 * 8 = 18, Total loaves = 26, Total money = 26 * 3 = $78. The final answer 78 is already a whole number and does not involve fraction simplification. Synergy: Since the secondary knowledge component is not actually needed, there is no synergy between primary and secondary knowledge components in solving this problem.</t>
  </si>
  <si>
    <t>Topic Alignment: The problem context involves buying rice bags and calculating weights, which is about grocery shopping and measurement rather than household finance topics like income, utility bills, money, interest, savings, instalment, mortgage, or financial planning.</t>
  </si>
  <si>
    <t>Primary KC alignment fails because the problem requires general decimal multiplication (132.768 * 0.183) rather than the intended specific skill of multiplying decimals by 10, 100, 1000 and their multiples. The calculation 132.768 * 0.183 does not involve multiplying by powers of 10 or their multiples.</t>
  </si>
  <si>
    <t>Real-world feasibility: The water usage of 7250 mL over 5 days equals 1.45 L per day, which is unrealistically low for household water consumption. Typical daily household water usage ranges from 150-300 liters per person.</t>
  </si>
  <si>
    <t>Primary KC alignment: The problem requires finding total amount given rate and number of units (36.5 x 0.25), not finding number of units given rate and total amount as intended. Synergy: The primary and secondary knowledge components are not used in tandem - the rate calculation and unit conversion are separate steps rather than integrated, and the decimal conversion happens independently after the multiplication.</t>
  </si>
  <si>
    <t>Secondary KC alignment: The answer 3/4 ÷ 3 = 1/4 is already in simplest form, so no simplification is needed or demonstrated. Synergy: Since the secondary KC is not required, there is no synergy between primary and secondary components. Topic alignment: The problem context involves baking and sharing cakes at a family gathering, which does not relate to household finance topics like income, utility bills, money, interest, savings, installment, mortgage, or financial planning.</t>
  </si>
  <si>
    <t>Secondary KC alignment: The answer to part (a) is 8, which is already a whole number. Converting 8 to 8/1 does not require simplifying fractions skills as 8/1 is already in simplest form by default. Synergy: Since the secondary knowledge component (fraction simplification) is not meaningfully required, the two knowledge components do not work in tandem as intended. Topic alignment: This problem involves household cleaning supplies and repackaging detergent, which relates to household management but not specifically to household finance (income, bills, money, interest, savings, etc.).</t>
  </si>
  <si>
    <t>Secondary KC alignment fails because solving requires 108 / 0.55 = 196.36 which involves decimal division, not whole number subtraction as intended. Synergy fails because the intended secondary knowledge component of whole number subtraction is not actually used in the solution process.</t>
  </si>
  <si>
    <t>Secondary KC alignment: The multiplication involved (80 x 1.15, 4 x 92) requires decimal multiplication, not whole number multiplication as specified. Synergy: The two knowledge components do not work in tandem - percentage calculation and multiplication are used in separate, independent steps rather than being integrated. Real-world feasibility: Water bill being 4 times the electricity bill ($368 vs $92) is unrealistic - typically water bills are much lower than electricity bills in household budgets.</t>
  </si>
  <si>
    <t>Answerability: Problem states Mrs Tan wants to split money equally among 3 children but then says she gives it in ratio 2:3:5 - this creates conflicting information. Real-world feasibility: The contradiction between equal and unequal distribution makes this scenario unrealistic. Clarity: The conflicting statements about equal vs ratio-based distribution create ambiguity about what Mrs Tan actually does.</t>
  </si>
  <si>
    <t>ANSWERABILITY: The problem leads to non-whole number amounts ($43.33 for emergency savings, $86.67 for groceries) which creates fractional ratios inappropriate for Primary 6 level. GRADE_ALIGNMENT: Primary 6 students typically work with whole numbers in ratio problems, but this requires division resulting in decimals/fractions ($130/3). REAL_WORLD_FEASIBILITY: A child receiving monthly allowances of $210+ and personally paying household utility bills is unrealistic for the target age group.</t>
  </si>
  <si>
    <t>Grade alignment: The problem uses algebraic expressions with variables (x) and formal algebraic notation which is typically introduced in Secondary 1, not Primary 6. Primary 6 students in Singapore math syllabus work with basic algebraic thinking but not formal algebraic expressions with variables.</t>
  </si>
  <si>
    <t>Secondary KC alignment: The problem does not require fraction subtraction as an essential step - the solution can be found using (3/4) * (3/5) = 9/20 directly. Synergy: Since fraction subtraction is not properly utilized, there is no meaningful synergy between primary and secondary knowledge components. Grade alignment: The problem involves complex algebraic manipulation with fractions and ratios that exceeds typical Secondary O-level 1 difficulty.</t>
  </si>
  <si>
    <t>Secondary KC alignment: Problem only requires fraction addition/subtraction (1 - 1/4 - 1/3 = 5/12), not fraction division. Synergy: No fraction division needed, so primary and secondary KCs don't work together. Grade alignment: Ratios with fractions like 1/4 : 1/3 : 5/12 requiring LCD of 12 is too advanced for Secondary O-level 1.</t>
  </si>
  <si>
    <t>Grade alignment: This problem is too simple for Secondary O-level 1 students. The ratio calculation (480 = 0.6 * 800) and subtraction (570 = 1850 - 480 - 800) involve only basic arithmetic with simple decimals. O-level students typically handle complex ratios, advanced decimal operations, and multi-step algebraic problems. This problem would be more appropriate for upper primary grades (Primary 5-6).</t>
  </si>
  <si>
    <t>Real-world feasibility: Water bills are typically much lower than electricity bills in most households. A $400 water bill compared to $320 electricity bill is unrealistic as water costs are generally a fraction of electricity costs.</t>
  </si>
  <si>
    <t>Secondary KC Alignment: The problem results in 180 * 1.15 / 4 = 51.75, which involves decimal division rather than whole number division as specified in the secondary knowledge component. Grade Alignment: This problem is too simple for Secondary O-level 1 students - it only requires basic percentage calculation (15% increase) and simple division, which are concepts typically mastered in primary grades 5-6. Secondary O-level 1 students would be expected to handle more complex percentage problems involving compound calculations, multiple steps, or advanced applications.</t>
  </si>
  <si>
    <t>Grade Alignment: This problem involves basic inverse proportion and whole number multiplication (4 × 18 = 72, 72 ÷ 3 = 24) which are concepts typically mastered in primary school. Secondary O-level 2 students would find this significantly below their grade level, as they should be working with more complex algebraic concepts, advanced ratios, or sophisticated mathematical modeling.</t>
  </si>
  <si>
    <t>Answerability: Part (b) cannot be answered because the total cost of groceries is never provided in the problem, only the monthly budget of $1200 is given. Secondary KC Alignment: Part (b) requires division but this is disconnected from the inverse proportion concept - it could be solved independently without using inverse proportion at all. The secondary KC should support the primary KC. Synergy: The two parts do not work in tandem. Part (a) uses inverse proportion, part (b) uses division, but they are independent calculations that do not build upon each other. Clarity: The problem mentions a monthly budget of $1200 but never clarifies if this is the cost of groceries or just background information, creating ambiguity about what should be divided in part (b). Conciseness and Relevance: The $1200 monthly budget information appears irrelevant to solving either part of the problem as stated, violating the requirement that all given numbers must be necessary.</t>
  </si>
  <si>
    <t>Synergy: The two parts (a) and (b) are independent questions that can be solved separately. Part (a) does not need the result from part (b) or vice versa. There is no connection between the questions where one builds upon the other. Grade Alignment: Finding median and mode are basic statistical concepts typically taught at primary level (Primary 5-6) or lower secondary level (Secondary 1). This is too elementary for Secondary O-level 2 students who should be dealing with more advanced statistical concepts like standard deviation, probability distributions, or hypothesis testing.</t>
  </si>
  <si>
    <t>The two parts of the problem (finding median and 70th percentile) are independent calculations that do not require using results from one part to solve the other. There is no synergy between the primary and secondary knowledge components as they are applied separately to the same dataset.</t>
  </si>
  <si>
    <t>Answerability: The problem lacks crucial information about how interest is calculated and applied. It is unclear whether the 4% monthly interest rate applies to the entire remaining balance of $900 or just the monthly installment amount of $300. The method of interest calculation (simple vs compound) is not specified, making the problem unsolvable without assumptions. Real-world feasibility: An interest rate of 2^2 = 4% per month translates to approximately 60% annual interest rate, which is unrealistically high for appliance financing and does not reflect typical consumer credit practices. Clarity: The problem statement is ambiguous about the interest calculation method and what amount the interest rate applies to, creating confusion about how to solve part (b).</t>
  </si>
  <si>
    <t>Real-world feasibility: The mathematical expressions A = 5000 × 2^(3/2) and B = 5000 × (8)^(1/3) do not represent realistic interest calculations. Real bank interest formulas typically use compound interest A = P(1+r)^t or simple interest A = P(1+rt), not arbitrary fractional exponents applied directly to base numbers like 2 and 8.</t>
  </si>
  <si>
    <t>Grade Alignment: Matrix operations including scalar multiplication and matrix subtraction are typically taught at A-level or university level mathematics, not at O-level grades 3/4. O-level students at grades 3/4 typically study basic algebra, geometry, and arithmetic, but not matrix algebra.</t>
  </si>
  <si>
    <t>Primary KC Alignment: The problem emphasizes matrix subtraction (C = B - A) as the main operation, with matrix multiplication only mentioned vaguely for finding combined expenses without clear specification. Matrix multiplication should be the primary focus. Synergy: The two operations are presented as separate tasks rather than being used in tandem - subtraction to find C, then separately finding combined expenses. No clear connection between the results of matrix subtraction feeding into matrix multiplication. Grade Alignment: Matrix operations including matrix multiplication and subtraction are typically covered in A-level mathematics or university-level linear algebra, not O-level 3/4 which focuses on basic algebra, geometry, and statistics. Clarity: The second part about using matrix multiplication to find combined expenses is unclear - it does not specify what matrices/vectors should be multiplied, and the phrase 'represent combined expenses as row vectors then find change using matrix multiplication' is confusing and ambiguous.</t>
  </si>
  <si>
    <t>Part (b) asks for the probability that Maya saves money given she does not receive an allowance, but the problem states that Maya decides whether to save based on whether she receives allowance, and only provides probability of saving when she receives allowance (0.8). No information is given about her saving behavior when she does not receive allowance, making part (b) unanswerable with the given information.</t>
  </si>
  <si>
    <t>Topic Alignment: The problem involves buying light bulbs for home use, which is about household items/maintenance rather than household finance. Household finance should involve money, bills, savings, interest, or financial planning, but this problem does not include any financial calculations or monetary values.</t>
  </si>
  <si>
    <t>Topic Alignment: The problem involves a child spending pocket money on a storybook and pencil, which are school/personal items rather than household finance items like utility bills, savings, mortgage, or financial planning as specified in the intended topic.</t>
  </si>
  <si>
    <t>The step of combining all shares ($2892 / 4 = $723 per person, then $723 × 4 = $2892) is mathematically unnecessary since combining the divided amounts returns to the original total. This makes the division operation irrelevant to reaching the final answer, as students could simply calculate $2892 + $108 = $3000 directly without performing the intended division.</t>
  </si>
  <si>
    <t>Real-world feasibility: Sarah spends 3/4 + 2/3 = 17/12 of her pocket money, which is more than 100% of what she has. This is unrealistic without mentioning borrowing or credit. Clarity: The problem ends with two questions that ask for the same information in different ways, creating ambiguity about what specifically needs to be answered.</t>
  </si>
  <si>
    <t>Topic alignment fails because the problem lacks household finance elements like budgeting, financial planning, or monetary considerations - it only involves basic quantity tracking without financial context.</t>
  </si>
  <si>
    <t>Real-world feasibility issue: The problem states Mrs Lee wants to save money for groceries, but then describes spending 2/5 of income on groceries. The brother gives her 3/10 of what she has saved, but she has been spending money on groceries, not saving it. This creates a logical inconsistency between saving money and spending money that does not reflect realistic financial behavior.</t>
  </si>
  <si>
    <t>Real-world feasibility: The problem states Mrs Tan uses 4/5 of a packet of rice each week but then asks how many packets she will have used after 7 weeks when she buys 7 packets. This creates an unrealistic scenario where she would use 28/5 = 5.6 packets over 7 weeks but only bought 7 packets, leaving excess unused rice without any practical purpose for mentioning the 7 packets purchased. Conciseness and relevance: The information about buying 7 packets is irrelevant to solving the problem since the question only asks about usage over 7 weeks. The number 7 appears twice but serves different purposes, making one instance unnecessary.</t>
  </si>
  <si>
    <t>Primary KC alignment: Problem requires multiplying improper fraction by whole number (9/5 * 175), not multiplying two improper fractions together. Synergy: Without proper primary KC alignment, the intended synergy between multiplying two improper fractions and decimal conversion cannot be achieved.</t>
  </si>
  <si>
    <t>Primary KC alignment: The problem requires multiplying 3.285 by 31 and 0.19, which involves general decimal multiplication, not specifically multiplying by 10, 100, 1000 or their multiples as intended. Synergy: The primary and secondary knowledge components are used in separate parts (a,b vs c) rather than in tandem - part c can be solved independently without using results from parts a or b.</t>
  </si>
  <si>
    <t>Answerability: Part (b) has conflicting information - it asks for 100 days but then mentions 3 months, creating ambiguity about which timeframe to use for water and gas calculations. Primary KC Alignment: The problem requires multiplication of 2.37 x 100 = 237, which is basic decimal multiplication, not specifically multiplying by multiples of 10/100/1000 as intended. The calculation does not demonstrate the intended knowledge component of multiplying decimals by 10, 100, 1000 and their multiples. Real-world Feasibility: Daily electricity billing of $2.37 is unrealistic as electricity is typically billed monthly, not daily. Clarity: The phrase 'assuming 100 days is about 3 months' creates confusion about whether to calculate for 100 days or 3 months for the water and gas portions.</t>
  </si>
  <si>
    <t>Primary KC alignment fails because the problem requires dividing $124.500 by 3, which is not dividing by 10, 100, 1000 or their multiples. The intended primary KC is specifically about dividing decimals by 10, 100, 1000 and their multiples, but this problem involves division by 3.</t>
  </si>
  <si>
    <t>Secondary KC alignment: Problem solution only requires 245.370/10 = 24.537, no decimal subtraction calculation needed. Synergy: Only division knowledge component used, no tandem use of primary and secondary components.</t>
  </si>
  <si>
    <t>Primary KC alignment fails because the problem requires dividing whole number 135 by whole number 2, not dividing a proper fraction by a whole number as intended. The main division operation is 135/2 = 67.50, which is whole number division, not fraction division.</t>
  </si>
  <si>
    <t>Primary KC alignment fails because the intended primary KC is dividing a proper fraction by a whole number (like 3/4 ÷ 3), but the actual division step in this problem is dividing a decimal/whole number by a whole number (13.50 ÷ 3). The fraction division concept is not directly applied as the primary operation.</t>
  </si>
  <si>
    <t>Topic alignment: The problem is about baking and serving cake at a family gathering, which belongs to food/cooking context, not household finance topics like income, utility bills, money, interest, savings, installment, mortgage, or financial planning.</t>
  </si>
  <si>
    <t>Primary KC alignment fails: Problem requires fraction multiplication and whole number division (48/6=8) but not division by a proper fraction as specified in Primary KC (dividing a whole number/proper fraction by a proper fraction).</t>
  </si>
  <si>
    <t>Secondary KC Alignment: The problem requires decimal operations (120 * 1.15 = 138) rather than whole number addition as the secondary KC. The 15% increase calculation results in 120 + 18 = 138, then 138 + 30 = 168, but the core operation involves decimal multiplication which is beyond whole number addition. Synergy: Since the secondary KC is not properly aligned, true synergy between percentage calculations and whole number addition is not achieved. The problem structure does not require both knowledge components to work in tandem as intended.</t>
  </si>
  <si>
    <t>Answerability: The problem contains conflicting information - if Amy spends $15 from $80 leaving $65, and sister saves $48, their ratio becomes 65:48 which does not equal 5:3 as stated. The constraint that the ratio remains 5:3 after Amy's spending creates a logical contradiction. Clarity: The phrase 'ratio of Amy's and her sister's savings this month' is ambiguous - unclear if it refers to total accumulated savings or just this month's saving amounts.</t>
  </si>
  <si>
    <t>Grade alignment issue: This problem requires advanced ratio concepts with fractions that are typically covered in higher secondary mathematics, not Secondary O-level 1. The complexity of working with fractional ratios (2/3 : 5/6) and the multi-step solution process involving fraction addition, finding common denominators, and proportional reasoning exceeds the expected mathematical maturity and curriculum scope for first-year O-level students.</t>
  </si>
  <si>
    <t>Secondary KC Alignment: Part (a) requires finding ratio of 2/5 to 1/4 which involves finding common denominators and simplifying, not fraction multiplication. Part (b) requires multiplying 2000 by 2/5 and 2000 by 1/4 then adding, but these are separate multiplication operations, not the fraction multiplication concept of multiplying two fractions together. Synergy: The secondary knowledge component (fraction multiplication) is not used in tandem with the primary knowledge component. Part (a) focuses purely on ratios without requiring fraction multiplication, and part (b) uses scalar multiplication rather than the intended fraction multiplication concept.</t>
  </si>
  <si>
    <t>Grade alignment issue: Ratios involving fractions are typically taught in Primary 5-6 in Singapore curriculum, making this problem too elementary for Secondary O-level 1 students. The intended grade level should involve more advanced ratio concepts.</t>
  </si>
  <si>
    <t>Secondary KC alignment: The problem does not require adding decimals as a necessary step. The solution involves converting ratios (1.2:2.4 = 1:2), finding parts (72.50/3 = 24.17 per part), and multiplication (24.17 x 1 and 24.17 x 2). While final answers are decimals, addition of decimals is not required for solving. Synergy: Since the secondary knowledge component of adding decimals is not actually needed to solve the problem, there is no synergy between the primary and secondary knowledge components working in tandem.</t>
  </si>
  <si>
    <t>Grade alignment: This problem is too advanced for Primary grade level as it involves decimal ratios (2.5:1.5:4) and simplification of decimal ratios to whole numbers, which are typically taught at secondary level. The intended grade is Secondary O-level 1, but the problem complexity suggests it should be for higher secondary grades.</t>
  </si>
  <si>
    <t>Grade alignment fails because this problem is too simple for Secondary O-level 1 students. The percentage calculation (12% increase) and whole number addition ($224 + $18) are concepts typically mastered in primary grades 5-6. O-level students would be expected to handle much more complex mathematical concepts involving advanced algebra, trigonometry, or multi-step percentage problems with compound calculations.</t>
  </si>
  <si>
    <t>Secondary KC alignment: The multiplication involves decimal number 128.40, not whole numbers as specified in the intended secondary KC of multiplying whole numbers. Synergy: Since the secondary KC is not properly aligned, there is no effective synergy between percentage calculation and whole number multiplication. Grade alignment: This problem is too simple for Secondary O-level 1 students - it only requires basic percentage increase calculation suitable for primary grades, not the advanced percentage concepts expected at O-level.</t>
  </si>
  <si>
    <t>Grade Alignment: This problem requires quadratic algebraic expressions with variables in polynomial form (x+2)(x-1) and algebraic manipulation skills that are typically introduced at Secondary 2 or 3 level, not Secondary O-level 1. Secondary O-level 1 students typically work with basic linear expressions and simple substitution, not quadratic expressions involving binomial multiplication.</t>
  </si>
  <si>
    <t>Grade Alignment: This problem is not suitable for Secondary O-level 1 students. Finding algebraic expressions for nth terms of arithmetic sequences and evaluating algebraic expressions are typically covered in Secondary 2 or 3 mathematics curriculum, not in the first year of O-level studies.</t>
  </si>
  <si>
    <t>Grade Alignment: This problem involves basic ratio concepts (5:3 ratio, finding parts of a total) and simple division, which are typically covered in Primary 5-6 or Secondary 1 levels. For Secondary O-level 2 students, this problem is too elementary and does not provide appropriate challenge or complexity expected at that grade level.</t>
  </si>
  <si>
    <t>Grade Alignment: The problem is designed for Secondary O-level 2 students but follows Singapore math syllabus structure. Linear inequalities with one variable are typically introduced at Secondary 1 level in Singapore curriculum, making this problem more suitable for Secondary 1 rather than Secondary O-level 2. The complexity level does not match the advanced mathematical concepts expected at O-level 2 grade.</t>
  </si>
  <si>
    <t>synergy: The two parts (a) and (b) are independent calculations that can be solved separately using the same dataset. Part (a) requires finding median and part (b) requires finding range, but the result from part (a) is not used as input for part (b). The questions are not connected in a way that requires tandem use of both knowledge components.</t>
  </si>
  <si>
    <t>real_world_feasibility: The electricity bills are unrealistically low. $250, $310, $280, and $260 represent extremely low monthly electricity costs that do not reflect typical household electricity expenses, which would typically be much higher for realistic household consumption.</t>
  </si>
  <si>
    <t>Answerability: Part (a) is answerable but part (b) contains contradictory information - it asks to find 2^(-2) but then mentions a hypothetical decrease scenario that is disconnected from the actual problem setup. The connection between finding 2^(-2) and the context is unclear. Secondary KC Alignment: Part (b) does not properly integrate negative indices into the problem solving - it artificially introduces 2^(-2) without clear connection to the bill calculation. The negative indices component feels forced rather than naturally required. Synergy: The two parts are not well connected - part (a) deals with the actual exponential growth while part (b) introduces an unrelated hypothetical scenario about decrease, breaking the natural flow. Real-world feasibility: Electricity bills growing by factor of 2^1.5 (approximately 2.83 times) each month is unrealistic - this would mean a $100 bill becomes over $2000 in just 3 months. Clarity: Part (b) is confusing with its mixed instruction about finding 2^(-2) and then discussing a hypothetical decrease scenario. Conciseness and relevance: Part (b) contains irrelevant hypothetical information about bills decreasing that does not contribute to solving the actual problem.</t>
  </si>
  <si>
    <t>grade_alignment: The problem requires matrix operations including scalar multiplication and matrix addition which are typically covered in higher secondary mathematics or pre-university level, not O-level 3/4. O-level students at this grade typically work with basic algebra, geometry, and statistics rather than matrix operations.</t>
  </si>
  <si>
    <t>Grade alignment: This problem requires knowledge of matrix operations (addition and subtraction) which is typically taught at A-level or higher education level, not at O-level 3/4. O-level mathematics curriculum focuses on basic algebra, geometry, statistics and does not include matrix operations.</t>
  </si>
  <si>
    <t>Grade alignment: This problem uses advanced probability concepts like mutually exclusive events and addition rule which are typically taught at higher secondary levels, not O-level 3/4. Real-world feasibility: The statement that electricity and water bills cannot arrive on the same Monday is unrealistic - in reality, multiple bills can arrive on any given day as postal delivery schedules are independent for different utility companies.</t>
  </si>
  <si>
    <t>Clarity: There is a LaTeX formatting error with [FORMULA] which should be [FORMULA] - the extra backslash creates ambiguity in the text display. Language Quality: The LaTeX syntax error with [FORMULA] instead of [FORMULA] represents incorrect formatting that affects the technical quality of the written problem.</t>
  </si>
  <si>
    <t>Secondary KC alignment: Problem only requires subtraction (450 - 215 = 235), no addition needed. Synergy: No synergy between addition and subtraction since addition is not required. Conciseness: The $80 from father is irrelevant information not needed to solve the problem.</t>
  </si>
  <si>
    <t>Topic alignment: The problem context involves candy sharing which does not belong to household finance topics such as income, utility bills, money, interest, savings, instalment, mortgage, or financial planning.</t>
  </si>
  <si>
    <t>Synergy: The two parts (a) and (b) are independent questions that can be solved separately. Part (b) does not use the result from part (a), so they are not connected in tandem as required. Grade Alignment: Primary 3 students typically work with simpler fractions like halves, quarters, and thirds. The fraction 5/12 and operations requiring common denominators of 12 are too advanced for Primary 3 level, as students at this grade have not yet mastered complex fraction operations with denominators exceeding basic unit fractions.</t>
  </si>
  <si>
    <t>secondary_kc_alignment: Part (b) asks to round 684 to the nearest hundred dollars, but the intended Secondary Knowledge Component specifies rounding to nearest 10, 100 or 1000 for numbers up to 100000. Since 684 is less than 100000 and rounding to nearest 100 is within the specified range, this should align. However, the problem asks to round to nearest hundred dollars specifically, which may not perfectly match the pure mathematical rounding component intended.</t>
  </si>
  <si>
    <t>Answerability: The problem leads to Grace saving 3/8 + 2/3 = 25/24 &gt; 1 whole allowance, which is logically impossible since she cannot save more than 100% of her weekly allowance over two separate weeks without additional income sources. Real-world feasibility: The scenario is unrealistic as it implies saving 104% of total allowances, which contradicts how allowances and savings work in reality.</t>
  </si>
  <si>
    <t>The two parts of the problem are independent of each other. Part b does not use the result from part a as input, so the questions are not connected as required for synergy.</t>
  </si>
  <si>
    <t>Synergy criterion failed: The two parts (a) and (b) are independent questions that both use the same given value $2.75. Part (a) requires multiplying $2.75 x 5 using decimal multiplication, while part (b) requires converting $2.75 to fraction form. However, the result from part (a) is not used as input for part (b), so the primary and secondary knowledge components are not used in tandem as required.</t>
  </si>
  <si>
    <t>The problem contains illogical information: 1 1/4 + 2 2/3 = 3 11/12 of budget, meaning Mrs Tan spent nearly 4 times her entire budget, which is impossible in reality. The fractions should sum to less than 1 whole budget to be mathematically and practically coherent.</t>
  </si>
  <si>
    <t>Real-world feasibility: Adults typically receive salaries or income, not monthly allowances. The term allowance is inconsistent with Mrs Lim being an adult.</t>
  </si>
  <si>
    <t>Secondary KC Alignment: Problem only requires fraction multiplication (2/3 * 600, 3/4 * 200, 1/6 * 50) and whole number subtraction (600-400, 200-150). No addition of fractions is needed. Synergy: Since secondary KC adding fractions is not used, there is no synergy between primary and secondary knowledge components.</t>
  </si>
  <si>
    <t>Secondary KC alignment: The final answer 3/4 × 2/5 × 500 = 150/1 = 150 is already in simplest form as a whole number, so no fraction simplification is needed. Synergy: Since no actual fraction simplification occurs in solving this problem, the primary and secondary knowledge components are not used in tandem - only the primary KC (fraction multiplication) is utilized.</t>
  </si>
  <si>
    <t>Topic alignment fails because the problem involves buying fruit juice for a family gathering, which is a simple consumer purchase scenario, not household finance topics like income, utility bills, money management, interest, savings, installments, mortgages, or financial planning.</t>
  </si>
  <si>
    <t>Answerability: 7/4 + 5/3 = 41/12 &gt; 1, meaning spending exceeds 100% of savings which is illogical. Primary KC: Problem requires fraction × whole number, not fraction × fraction multiplication. Secondary KC: Problem uses whole number subtraction (400 - 320 = 80), not fraction subtraction. Synergy: Knowledge components not used in tandem as intended. Real-world: Spending 341.7% of monthly savings is unrealistic.</t>
  </si>
  <si>
    <t>Answerability: The phrase 6/5 of money spent on brushes was actually used is illogical - cannot use 120% of money already spent. Real-world feasibility: Same issue - using 6/5 = 1.2 times the money spent violates real-world constraints as you cannot use more than 100% of money that was already spent.</t>
  </si>
  <si>
    <t>Topic Alignment: The problem focuses on ingredient quantities and baking operations rather than household finance aspects like income, expenses, financial planning, savings, or money management that the intended topic requires.</t>
  </si>
  <si>
    <t>Primary KC alignment: The main calculation in part (a) is 3.75 x 0.174 x 100, which primarily involves general decimal multiplication (3.75 x 0.174) rather than specifically multiplying decimals by multiples of 10/100/1000. Synergy: Parts (a) and (b) are independent questions that do not work in tandem - the result from part (a) is not used in part (b), and both parts use the same given information (3.75 kWh) separately.</t>
  </si>
  <si>
    <t>Primary KC requires multiplication by 10/100/1000 or multiples, but problem uses 73.245 * 0.15 which is general decimal multiplication. Secondary KC requires subtraction but problem needs addition of service fee despite contradictory wording. No synergy exists between intended components. Clarity fails due to contradiction between stating to subtract service fee but asking for amount including the fee.</t>
  </si>
  <si>
    <t>Answerability: Problem has illogical information - Mrs Lim splits all $27.65 among 10 grandchildren leaving her with $0, but then asks about adding $4.25 to her own share which would be $0. Real-world feasibility: The scenario is illogical - if someone gives away all their money, they cannot have a share to add money to. Clarity: The concept of Mrs Lim having her own share after giving everything away creates confusion and ambiguity.</t>
  </si>
  <si>
    <t>Secondary KC alignment fails because the problem requires decimal multiplication (800 * 0.15) rather than whole number multiplication as specified in the intended Secondary Knowledge Component.</t>
  </si>
  <si>
    <t>Primary KC Alignment: The problem requires dividing a dollar amount (9/4) rather than dividing a proper fraction by a whole number. The intended primary knowledge component of fraction division is not actually needed to solve this problem.</t>
  </si>
  <si>
    <t>Topic Alignment: The word problem context involves baking cookies for a school fundraiser, which does not belong to household finance topics such as income, utility bills, money, interest, savings, instalment, mortgage, or financial planning. The context is more related to school activities or food preparation rather than household finance.</t>
  </si>
  <si>
    <t>Answerability: The problem contains illogical information - Mrs Tan cannot pay 2 months of bills ($90 each = $180 total) with only $120 saved, resulting in negative money left (-$60). Synergy: The two questions are independent - question 1 asks maximum months possible (4/3 months), while question 2 assumes paying exactly 2 months. The result from question 1 is not used in question 2. Real-world feasibility: It is unrealistic for someone to decide to pay 2 months of utility bills when they only have enough money for 1.33 months, and having negative money left contradicts normal financial behavior.</t>
  </si>
  <si>
    <t>Answerability: Part (b) contains conflicting information - if Mrs Lee gives each child 3/4 of the original amount, the calculation should be 40 * 3/4 = 30, not 40 / 3/4 = 53.33. This creates mathematical inconsistency. Clarity: Part (b) is confusing because it asks to divide by 3/4 when the context suggests each child receives 3/4 of the original amount, which would require multiplication by 3/4.</t>
  </si>
  <si>
    <t>The problem contains conflicting information. If 210 is 30% of total expenses, then total = 210 / 0.30 = 700. However, adding all expenses: 210 + 320 + 150 = 680, which does not equal 700. The given information is inconsistent.</t>
  </si>
  <si>
    <t>synergy: The two parts (a) and (b) can be solved independently. Part (a) requires addition of 60+90+120=270. Part (b) requires finding ratio 60:90:120 which simplifies to 2:3:4. The result from part (a) is not needed to solve part (b), so the questions are not connected in tandem as required.</t>
  </si>
  <si>
    <t>Secondary KC Alignment: Part (b) asks to simplify the expression from part (a), but the expression 45 + 2h is already in its simplest form with no like terms to combine or operations to perform. This does not meaningfully engage the secondary knowledge component of simplifying linear expressions. Synergy: Since the secondary knowledge component is not properly engaged, there is no meaningful synergy between the primary and secondary knowledge components in solving this problem.</t>
  </si>
  <si>
    <t>Secondary KC alignment: Problem only requires percentage calculation, not whole number subtraction. Synergy: Only primary KC needed, no interaction between primary and secondary KC. Grade alignment: Problem too basic for O-level 1 students who need more complex mathematical challenges. Conciseness: Phrase 'compared to before' is redundant as savings inherently implies comparison.</t>
  </si>
  <si>
    <t>Grade alignment issue: The problem involves reverse percentages and percentage-to-decimal conversion, which are typically covered in Primary 5-6 in Singapore curriculum, making it too easy for Secondary O-level 1 students.</t>
  </si>
  <si>
    <t>Grade Alignment: This problem is too simple for Secondary O-level 2 students. Direct proportion with basic multiplication is typically covered in primary grades (Primary 5-6) or lower secondary at most. O-level students would be expected to handle more complex mathematical concepts involving algebraic manipulation, quadratic equations, trigonometry, or advanced ratio problems with multiple variables.</t>
  </si>
  <si>
    <t>Answerability: Matrix A (3x2) and B (3x2) cannot be multiplied using standard matrix multiplication due to incompatible dimensions, creating confusion between matrix multiplication and Hadamard product. Primary KC Alignment: Problem uses element-wise multiplication (Hadamard product) rather than standard matrix multiplication as intended. Grade Alignment: Matrix operations are too advanced for O-level 3/4 students. Real-World Plausibility: 10% increase representation as 3x2 matrix is unrealistic, refund matrix C has unexplained zeros for February. Clarity: Terminology mixing multiplication and Hadamard product creates ambiguity about required operation.</t>
  </si>
  <si>
    <t>The intended Secondary Knowledge Component specifies 'Finding mean deviation' but the problem only asks for calculating the mean, not the mean deviation. These are different statistical concepts.</t>
  </si>
  <si>
    <t>Real-world feasibility: Mr Lim giving away 16 packs of apples (2 packs x 8 neighbors) after buying 22 packs with 156 dollars is unrealistic. This would mean giving away approximately 112 dollars worth of apples to neighbors, which does not mirror typical real-world behavior.</t>
  </si>
  <si>
    <t>Primary KC alignment: Problem does not require division (285/3) to solve, only addition (285+50=335). Synergy: No synergy between division and addition since division is not needed. Conciseness: Information about saving equally over 3 months is irrelevant to solving the problem.</t>
  </si>
  <si>
    <t>Topic Alignment: The problem involves a child spending pocket money on snacks and storybooks, which relates to personal spending rather than household finance topics like utility bills, mortgage, savings, or financial planning. Grade Alignment: Primary 3 students typically work with simpler fractions like halves, thirds, and quarters. Working with fractions like 5/12 and requiring common denominator calculations (LCM of 12 and 4) is too advanced for Primary 3 level.</t>
  </si>
  <si>
    <t>Topic alignment: The problem is about buying soap bars which relates to shopping/consumer goods rather than household finance topics like income, utility bills, money management, interest, savings, installment, mortgage, or financial planning. Real-world feasibility: Buying 3 boxes with 125 bars each (375 bars) plus 2 bags with 82 bars each (164 bars) totaling 539 bars of soap is unrealistic for a family purchase - this quantity would last years and is not a typical household buying pattern.</t>
  </si>
  <si>
    <t>Answerability: Problem implies Mrs Tan saves entire salary of $3276 without expenses which creates logical inconsistency. Real-world feasibility: Unrealistic to save 100% of monthly salary with no living costs. Clarity: Ambiguous whether she saves entire salary or portion of it.</t>
  </si>
  <si>
    <t>Answerability: The phrase share equally with 3 neighbours is ambiguous - unclear if Mrs Lim pays or only the 3 neighbours pay, leading to two possible answers: 48/3=16 or 48/4=12. Clarity: Same ambiguity makes the problem unclear about who participates in the cost sharing.</t>
  </si>
  <si>
    <t>Conciseness and Relevance: The dollar amounts $120 and $80 are irrelevant information not needed to solve the problem since the fractions 5/12 and 1/6 are already provided. The problem can be solved by simply adding 5/12 + 1/6 = 7/12 without using the dollar amounts.</t>
  </si>
  <si>
    <t>Real-world feasibility: The scenario where Sarah divides her savings equally among 5 family members as gifts is unrealistic. Typically, a child would not give away their entire savings to family members including potentially parents or older siblings who have their own income. This does not mirror typical real-world behavior patterns.</t>
  </si>
  <si>
    <t>Secondary KC alignment: The problem requires fraction multiplication (2/3 × 60, 1/4 × 160) but no fraction subtraction. The final step (160 - 40) is whole number subtraction, not fraction subtraction. Synergy: Since fraction subtraction is not used, the primary and secondary knowledge components do not work in tandem as required.</t>
  </si>
  <si>
    <t>The problem has a duplicate clarity key in the evaluation criteria, which creates ambiguity in the JSON structure. Additionally, there is a minor clarity issue where 'textdollar' should be rendered as a proper dollar sign symbol for better readability.</t>
  </si>
  <si>
    <t>Secondary KC Alignment: Part (b) requires comparing whole numbers ($30 vs $30) rather than fractions. The comparison involves $12 x 2.5 = $30 for Option A and 3 x $10 = $30 for Option B, which are both whole number calculations and comparisons, not fraction comparison and ordering. Synergy: The primary KC (multiplying mixed number and whole number) is only used in part (a), while part (b) uses whole number operations. The intended secondary KC (comparing fractions) is not actually required, so the two knowledge components are not used in tandem to solve the complete problem.</t>
  </si>
  <si>
    <t>Secondary KC alignment: The problem asks to express answer in simplest form where necessary, but the solution yields whole numbers and fractions already in simplest form, so no actual simplification is required. Synergy: Since the secondary KC is not genuinely needed for solving the problem, there is no meaningful synergy between the primary and secondary knowledge components.</t>
  </si>
  <si>
    <t>Topic Alignment: The problem focuses on purchasing rice which is about food/grocery shopping, not household finance. While buying rice involves spending money, the core context is food consumption rather than financial concepts like income, bills, savings, interest, or financial planning.</t>
  </si>
  <si>
    <t>Primary KC alignment fails because the problem requires multiplying 132.768 x 0.183 which is general decimal multiplication, not specifically multiplying by 10, 100, 1000 or their multiples as intended.</t>
  </si>
  <si>
    <t>Real-world feasibility: Dividing $187.25 equally into 100 envelopes results in $1.8725 per envelope. This is not realistic as monetary gifts typically use whole dollar amounts or common fractional amounts like $1.50 or $2.00, not precise amounts like $1.8725 which cannot be represented with standard currency denominations.</t>
  </si>
  <si>
    <t>Real-world feasibility: 7250 mL / 5 days = 1450 mL per day is unrealistically low for household water consumption. Typical household usage is 150-300 litres per day, making this scenario implausible.</t>
  </si>
  <si>
    <t>Real-world feasibility: The calculated answer is 912.5 cents, which contains a half-cent. Real electricity bills cannot charge fractional cents - billing systems round to whole cents. This creates an unrealistic scenario that does not mirror how utility companies actually operate.</t>
  </si>
  <si>
    <t>Topic alignment fails - the problem context is about baking and sharing cakes in a family setting, which does not relate to household finance topics such as income, utility bills, money, interest, savings, instalment, mortgage, or financial planning.</t>
  </si>
  <si>
    <t>Topic Alignment: The problem context involves buying and repacking laundry detergent, which is about household supplies/activities rather than household finance. Household finance should involve income, utility bills, money, interest, savings, instalment, mortgage, or financial planning, but this problem does not involve any financial calculations or monetary aspects.</t>
  </si>
  <si>
    <t>Secondary KC alignment: The problem requires percentage calculations and division (108 / 0.55 = 196.36) but does not require subtracting whole numbers as specified in the intended secondary knowledge component. Synergy: Since the intended secondary knowledge component (whole number subtraction) is not actually needed to solve this problem, there is no synergy between the primary and secondary knowledge components.</t>
  </si>
  <si>
    <t>secondary_kc_alignment: The problem requires multiplying 92 * 4 = 368, which involves decimal multiplication (92 is a decimal result from 80 * 1.15), not whole number multiplication as specified in the secondary KC. real_world_feasibility: Water bill being 4 times the electricity bill (368 vs 92) is unrealistic - typically water bills are much lower than electricity bills in household budgets.</t>
  </si>
  <si>
    <t>Synergy: The two parts (a) and (b) are not connected. Part (b) asks for a new total amount after adding $120, but this does not use the result from part (a). Part (b) simply requires adding 480 + 120 = 600, which does not create synergy between the primary ratio knowledge component and secondary addition knowledge component. The questions should be designed so that the answer from part (a) is needed to solve part (b).</t>
  </si>
  <si>
    <t>Answerability: The problem setup leads to non-whole dollar amounts (emergency savings = 130/3 = 43.33, groceries = 260/3 = 86.67) which creates impractical results. Primary KC Alignment: The Primary KC requires finding ratios of given whole numbers, but the numbers must be calculated first and result in non-whole numbers, not given whole numbers. Real-world feasibility: The resulting non-whole dollar amounts (43.33 and 86.67) are unrealistic for typical household budgeting scenarios.</t>
  </si>
  <si>
    <t>Grade Alignment: The problem requires knowledge of algebraic expressions using variables (x) and formal algebraic notation, which is typically introduced in Secondary 1-2 mathematics curriculum in Singapore. Primary 6 students have not yet been introduced to formal algebra with variables and would not be expected to write expressions like 120 + 3x.</t>
  </si>
  <si>
    <t>Grade alignment: Problem requires complex ratio manipulation with fractions (5/6 : 1), algebraic reasoning to solve (3/5)A : (1/2)B = 5/6 : 1, and multi-step fraction operations. These skills typically exceed Secondary O-level 1 capabilities and would be more appropriate for higher secondary levels.</t>
  </si>
  <si>
    <t>The problem does not require fraction division as specified in the secondary knowledge component. Students can solve all parts using fraction addition/subtraction and finding common denominators without dividing fractions. Since fraction division is not needed, there is no synergy between the primary and secondary knowledge components.</t>
  </si>
  <si>
    <t>Secondary KC Alignment: The problem does not require subtracting decimals as specified. The calculations involve whole numbers (800 * 0.6 = 480, 1850 - 800 - 480 = 570) with no decimal subtraction needed. Synergy: Since the secondary knowledge component (subtracting decimals) is not actually used in solving the problem, there is no synergy between the primary and secondary knowledge components. Grade Alignment: Secondary O-level 1 is too advanced for this problem. The problem only requires basic ratio concepts and whole number operations, which are typically covered in upper primary grades (Primary 5-6), not secondary level.</t>
  </si>
  <si>
    <t>Real-world feasibility: Water bills are typically much lower than electricity bills in most households. A water bill of $400 compared to electricity bill of $320 is unrealistic as water utilities generally cost significantly less than electricity utilities in normal residential settings.</t>
  </si>
  <si>
    <t>Grade Alignment: The problem involves basic percentage increase (15%) and simple division, which are typically mastered in Primary 5-6. For Secondary O-level 1 students, this problem is too elementary and does not challenge students at their appropriate grade level. Secondary 1 students would be expected to handle more complex percentage problems, multi-step calculations, or compound operations that are more cognitively demanding.</t>
  </si>
  <si>
    <t>Grade alignment: This problem involves basic inverse proportion (as number of people decreases, payment per person increases) and simple multiplication/division with whole numbers. These concepts are typically covered in Primary 5-6 in Singapore math curriculum, not Secondary O-level 2. Secondary O-level 2 students would be working with much more advanced topics like algebraic manipulation, complex ratios, quadratic equations, or advanced geometry. The mathematical complexity is far below the intended grade level.</t>
  </si>
  <si>
    <t>Answerability: Part (b) cannot be answered as the total cost of groceries is never provided in the problem. Secondary KC Alignment: Part (b) requires division but part (a) only uses inverse proportion - the secondary KC is not needed for the main inverse proportion problem. Synergy: The two parts are not connected - part (b) does not use results from part (a), they are independent questions. Clarity: The relationship between the $1200 monthly budget and the grocery duration/cost is unclear and confusing. Conciseness and Relevance: The $1200 monthly budget information is irrelevant to solving either part of the problem.</t>
  </si>
  <si>
    <t>The opening statement about Aman and Bella sharing payments is irrelevant information not needed for solving the problem.</t>
  </si>
  <si>
    <t>Synergy: The two parts are independent calculations using the same dataset, but part (a) result is not used in part (b), lacking interconnection. Grade_alignment: Finding median and mode are Primary 5-6 level concepts in Singapore curriculum, too elementary for Secondary O-level 2 students who should handle more advanced statistical concepts.</t>
  </si>
  <si>
    <t>The two parts (a) and (b) operate independently on the same dataset. The median calculation in part (a) is not used as input for finding the 70th percentile in part (b), lacking the required interconnection between questions.</t>
  </si>
  <si>
    <t>Answerability: The problem does not specify how interest is calculated or applied to the remaining amount after down payment. It is unclear whether interest is simple or compound, when it is applied, and on what principal amount. Real-world feasibility: An interest rate of 2^2 = 4% per month equals 48% annually, which is unrealistically high for appliance financing. Typical appliance financing rates are much lower, around 0-2% per month. Clarity: The interest calculation method is ambiguous - it does not specify whether interest applies to the original remaining balance of 900 dollars or compounds monthly, making the problem unclear for students to solve definitively.</t>
  </si>
  <si>
    <t>Real-world feasibility: The formulas A = 5000 × 2^(3/2) and B = 5000 × (8)^(1/3) do not represent realistic interest calculations. Real bank interest follows compound interest formula A = P(1+r)^t, not these arbitrary exponential expressions with fractional indices. The context appears contrived solely for mathematical practice rather than reflecting actual banking products.</t>
  </si>
  <si>
    <t>Grade Alignment: This problem requires knowledge of matrices operations including scalar multiplication and matrix subtraction, which are typically taught at Secondary O-level 1/2 or earlier secondary levels. For Secondary O-level 3/4 students, this problem may be too elementary as they would typically handle more advanced matrix operations like matrix multiplication, determinants, or inverse matrices.</t>
  </si>
  <si>
    <t>Primary KC Alignment: The problem primarily focuses on matrix subtraction (C = B - A) rather than matrix multiplication. While matrix multiplication is mentioned for finding combined expenses, it is not the main computational focus or difficulty driver. Synergy: The two knowledge components are not used in tandem effectively. Matrix subtraction dominates the problem, with matrix multiplication playing a secondary role rather than being integrated as co-equal components. Grade Alignment: Matrix operations including matrix multiplication and subtraction are typically introduced at A-level or university level mathematics, which is above Secondary O-level 3/4 grade level.</t>
  </si>
  <si>
    <t>Part (b) asks for the probability that Maya saves money given she does not receive an allowance, but the problem provides no information about Maya's saving behavior when she does not receive an allowance. The problem only states her saving probability when she DOES receive an allowance (0.8), making part (b) unanswerable with the given information.</t>
  </si>
  <si>
    <t>Topic Alignment: The problem context is about buying light bulbs for home use, which is more related to household supplies/shopping rather than household finance. The intended topic requires financial elements like income, utility bills, money, interest, savings, instalment, mortgage, or financial planning, but this problem only involves counting physical items without any financial calculations or concepts.</t>
  </si>
  <si>
    <t>Grade alignment fails because fraction addition and simplification are typically introduced in Primary 4 in Singapore math curriculum, not Primary 3. Primary 3 students typically work with unit fractions and basic fraction concepts only.</t>
  </si>
  <si>
    <t>Topic Alignment: The problem involves a child buying a storybook and pencil with pocket money, which relates to personal spending rather than household finance topics like utility bills, interest, savings, installment, mortgage, or financial planning.</t>
  </si>
  <si>
    <t>Topic alignment: The problem mentions coins and charity but lacks meaningful household finance context like budgeting, savings, financial planning, or household money management that would authentically represent the intended topic.</t>
  </si>
  <si>
    <t>Answerability: Problem has illogical relationship - Sarah cannot spend 3/4 + 2/3 = 17/12 of her pocket money as this exceeds 100%. Real-world feasibility: Scenario is unrealistic as people cannot spend more than their available money without external funds. Grade alignment: Problem results in negative fractions (-5/12) which is above Primary 4 level in Singapore curriculum.</t>
  </si>
  <si>
    <t>Real-world feasibility: The price $7.350 uses 3 decimal places which is unrealistic for currency pricing. Standard currency uses 2 decimal places maximum (e.g., $7.35 not $7.350).</t>
  </si>
  <si>
    <t>Secondary_kc_alignment: The problem requires multiplying fractions by whole numbers (2/5 * 2500, 3/10 * grocery amount) but does not require adding fractions as the intended secondary knowledge component. The final step adds a whole number to another whole number, not fractions. Synergy: Since the secondary knowledge component (adding fractions) is not actually needed, the primary and secondary components do not work in tandem as required.</t>
  </si>
  <si>
    <t>Real-world plausibility: The scenario has Mrs Tan buying 7 packets of rice and using rice for 7 weeks, but the problem asks how many packets she used after 7 weeks when she uses 4/5 packet per week. After 7 weeks she would use 7 * 4/5 = 28/5 = 5.6 packets, but she only bought 7 packets initially. The problem setup suggests she might run out of rice or need to buy more, making the scenario unrealistic as stated. Conciseness and relevance: The information that she buys 7 packets is irrelevant to solving the problem, which only requires knowing her weekly usage rate (4/5 packet) and the time period (7 weeks). The number of packets purchased is not needed for the calculation.</t>
  </si>
  <si>
    <t>Primary KC Alignment: The problem requires multiplying 3.285 by 31 and 3.285 by 0.19, which involves general decimal multiplication, not specifically multiplying by 10, 100, 1000 or their multiples as required by the intended primary knowledge component. Synergy: Parts (a) and (b) work together using multiplication results, but part (c) is independent comparison that does not use results from earlier parts, lacking full synergy between primary and secondary knowledge components throughout the problem.</t>
  </si>
  <si>
    <t>Answerability: Part (b) contains conflicting information - it asks for utility bill for 100 days but then states to assume 100 days equals about 3 months, which is mathematically inconsistent since 100 days is approximately 3.33 months, not 3 months. This creates ambiguity in whether to calculate for exactly 100 days or 3 months. Primary KC Alignment: The problem does not require multiplying decimals by 10, 100, 1000 or their multiples as specified in the intended primary knowledge component. Part (a) requires 2.37 * 100 but this is basic decimal multiplication, not the specific skill of multiplying by powers of 10. Part (b) requires multiplication by 3 (months) not by 10, 100, 1000 or their multiples. Real World Feasibility: The scenario is unrealistic - utility bills are typically calculated monthly, not daily for electricity, and the assumption that 100 days equals 3 months is mathematically incorrect and would not occur in real financial planning. Clarity: The phrase in parentheses in part (b) creates confusion about whether to calculate for 100 days or 3 months, making the question ambiguous.</t>
  </si>
  <si>
    <t>Primary KC alignment fails because the problem requires dividing 124.500 by 3, which is division by a single digit number, not division by 10, 100, 1000 or their multiples as specified in the intended Primary Knowledge Component.</t>
  </si>
  <si>
    <t>Secondary KC alignment fails because the problem can be solved using only division by 10 (245.370/10 = 24.537 kWh). No decimal subtraction is required since the question directly asks for the amount of reduction, which is already given as 245.370/10. Synergy fails because only the primary KC (division by 10) is needed - the secondary KC (decimal subtraction) is not used in the solution process.</t>
  </si>
  <si>
    <t>Primary KC alignment fails because the problem requires dividing a whole number by a whole number (13.50 / 3 = 4.50), not dividing a proper fraction by a whole number as intended. The actual division step is 27/2 / 3 = 27/6 = 9/2, which involves whole number division rather than proper fraction division.</t>
  </si>
  <si>
    <t>Topic Alignment: The word problem is about baking and serving cake at a family gathering, which belongs to food/cooking context rather than household finance topics like income, utility bills, money, interest, savings, instalment, mortgage, or financial planning.</t>
  </si>
  <si>
    <t>Primary KC alignment: The problem requires 48/6 = 8 which is whole number division, not division by a proper fraction as intended. Synergy: Since the primary KC is not actually used, the intended synergy between fraction multiplication and division by proper fraction is not achieved.</t>
  </si>
  <si>
    <t>Secondary KC Alignment: The problem requires percentage calculation (120 + 15% of 120 = 120 + 18 = 138) and then addition (138 + 30 = 168). However, the addition involves adding a decimal result from percentage calculation to a whole number, not adding two whole numbers as specified in the intended Secondary Knowledge Component. Synergy: Since the Secondary Knowledge Component is not properly aligned, there is no proper synergy between finding percentage increase and adding whole numbers as intended.</t>
  </si>
  <si>
    <t>Real-world feasibility: The constraint that savings ratio remains 5:3 after Amy spends $15 first is artificial and unrealistic. Clarity: The sequence of events and meaning of maintaining ratio after spending is confusing and ambiguous.</t>
  </si>
  <si>
    <t>Secondary KC Alignment: The problem does not require fraction multiplication as a solving step. Part (a) requires converting fractions to ratio form (2/5 : 1/4 = 8:5) through finding common denominators, not multiplication. Part (b) requires multiplying fractions by whole numbers (2/5 × 2000 and 1/4 × 2000), which is fraction-whole number multiplication, not fraction multiplication. Synergy: Since the secondary knowledge component (fraction multiplication) is not actually needed to solve the problem, the primary and secondary components do not work in tandem as required.</t>
  </si>
  <si>
    <t>Grade alignment: This problem involves ratios with fractions requiring skills typically taught at Primary 6 level in Singapore math curriculum. Secondary O-level 1 students would find this too elementary as they work with more complex algebraic ratios, trigonometric ratios, and advanced mathematical concepts.</t>
  </si>
  <si>
    <t>Secondary KC alignment: The problem does not require adding decimals as specified in the intended Secondary Knowledge Component DECIMALS Addition adding decimals. The solution involves ratio simplification 1.2:2.4 = 1:2 and division $72.50 / 3 = $24.17, but no decimal addition steps. Synergy: Since the Secondary Knowledge Component adding decimals is not actually needed to solve the problem, there is no synergy between the Primary KC ratios involving decimals and Secondary KC adding decimals working in tandem.</t>
  </si>
  <si>
    <t>Grade Alignment: This problem is too advanced for Secondary O-level 1 students as it requires understanding of decimal ratios, ratio simplification involving finding LCM/GCD of decimals, and multi-step ratio calculations with monetary values. These concepts are typically introduced in higher secondary grades. Primary 6 or Secondary 2-3 would be more appropriate for this complexity level.</t>
  </si>
  <si>
    <t>Secondary KC alignment: The problem involves decimal addition (200 × 1.12 = 224.00) rather than whole number addition as specified in the secondary KC. Grade alignment: Secondary O-level 1 students (age 13-14) typically work with more advanced mathematical concepts than basic percentage increases + addition, making this problem too elementary for the intended grade level.</t>
  </si>
  <si>
    <t>Grade alignment fails because the problem involves only basic percentage increase (7% of 120) and simple multiplication (result x 4), which are concepts typically mastered in Primary 6. For Secondary O-level 1 students, this problem would be too elementary and does not provide appropriate challenge or complexity for their grade level.</t>
  </si>
  <si>
    <t>Topic Alignment: The problem context is about renovating a living room and buying carpet, which relates to home improvement/renovation rather than household finance. While renovation involves spending money, the core context does not specifically address household finance topics like income, utility bills, interest, savings, installment, mortgage, or financial planning as specified in the intended topic.</t>
  </si>
  <si>
    <t>Grade Alignment: This problem is too simple for Secondary O-level 2 students. The ratio calculation (184 * 3/8 = 69) and division (69/4 = 17.25) involve only basic arithmetic that would be mastered in primary grades. Secondary O-level 2 students would be expected to handle more complex ratio problems involving algebraic manipulation, compound ratios, or multi-step proportional reasoning.</t>
  </si>
  <si>
    <t>Grade Alignment: This problem is too advanced for Secondary O-level 2 students. Linear inequalities with variables and real-world algebraic modeling are typically introduced in Secondary 3-4 levels. Secondary 2 students typically work with basic algebraic equations and simple number operations, not complex inequality problems involving multiple variables and financial planning contexts.</t>
  </si>
  <si>
    <t>The two parts of the problem use the same dataset but are independent calculations. The result from part (a) finding the median is not needed to solve part (b) finding the range, so they do not work in tandem as required for synergy.</t>
  </si>
  <si>
    <t>Real-world feasibility: Monthly electricity bills of 250-310 dollars are unrealistically high for typical household usage. Normal household electricity bills typically range from 50-150 dollars monthly.</t>
  </si>
  <si>
    <t>Real-world feasibility fails because electricity bill growing by factor 2^1.5 = 2.83 monthly is unrealistic. January $100 becomes March $800, December over $500000. Normal household utility bills do not exhibit such extreme exponential growth patterns.</t>
  </si>
  <si>
    <t>Grade Alignment: The problem uses matrix notation and operations which are typically introduced at higher secondary levels or pre-university mathematics, not at Secondary O-level 3/4 where students typically work with basic algebraic concepts and simple linear equations.</t>
  </si>
  <si>
    <t>Grade alignment: Matrix operations are typically introduced in upper secondary mathematics or pre-university level, which is beyond the typical O-level 3/4 curriculum in Singapore. O-level students at this grade typically work with basic algebra, coordinate geometry, and trigonometry, but matrix operations are usually reserved for A-level or equivalent higher-level mathematics courses.</t>
  </si>
  <si>
    <t>Grade Alignment: This problem is too advanced for Secondary O-level 3/4 students as it requires understanding of mutually exclusive events and addition rule for probabilities, which are typically covered in higher-level probability courses or A-level mathematics. Real-World Feasibility: The scenario is unrealistic because utility bills arriving on specific days of the week would not typically be described using probabilities of 0.2 and 0.3, and the constraint that both bills cannot arrive on the same Monday is artificial and does not reflect how postal delivery systems actually work in practice.</t>
  </si>
  <si>
    <t>clarity: The LaTeX formatting error in [FORMULA] where there is a missing backslash creates ambiguity in presentation. language_quality: There is a LaTeX syntax error with [FORMULA] which should be [FORMULA] - missing the second backslash.</t>
  </si>
  <si>
    <t>Secondary KC Alignment: The problem only requires subtraction (450 - 215 = 235) to find how much Sarah spent. Addition is not needed since the father's 80 dollars is given after the spending occurred and is irrelevant to the question asked. Synergy: Since only subtraction is needed to solve the problem, there is no synergy between addition and subtraction knowledge components. The addition component is not utilized. Conciseness and Relevance: The information about father giving 80 dollars is irrelevant to solving the question about how much Sarah spent before receiving the extra money. This makes the problem less concise.</t>
  </si>
  <si>
    <t>Topic alignment: The problem context involves sharing candies among children, which does not align with household finance topics like income, utility bills, money, interest, savings, installment, mortgage, or financial planning.</t>
  </si>
  <si>
    <t>Real-world feasibility: A parent giving away 100% of savings (276/3 = 92 per child, 92*3 = 276 total) leaving $0 remaining is unrealistic behavior as parents typically retain emergency funds.</t>
  </si>
  <si>
    <t>Synergy: The two parts (a) and (b) are independent questions that do not require using the result from part (a) to solve part (b). Part (b) can be solved directly using the given fractions 5/12 and 1/4 without needing the answer from part (a). Grade Alignment: Primary 3 students typically work with simpler fractions with smaller denominators like halves, thirds, and quarters. The fraction 5/12 and operations requiring finding common denominators with 12 are too advanced for Primary 3 level, as students at this grade have not yet mastered complex fraction operations with denominators exceeding basic unit fractions.</t>
  </si>
  <si>
    <t>secondary_kc_alignment: Part (b) asks to round to the nearest hundred dollars, but the intended Secondary Knowledge Component specifies rounding to the nearest 10, 100 or 1000. While rounding to nearest hundred is within this range, the answer from part (a) is 57 * 12 = 684, which when rounded to nearest hundred gives 700. This rounding task is too simple for Primary 4 level as 684 clearly rounds to 700 without much complexity, not fully demonstrating the intended rounding knowledge component.</t>
  </si>
  <si>
    <t>Secondary KC alignment: The answer 7 5/12 - 1 4/12 = 6 1/12 is already in simplest form, so no simplification is actually needed. Synergy: Since no simplification occurs, the primary and secondary knowledge components do not work together as intended.</t>
  </si>
  <si>
    <t>synergy: The two parts (a) and (b) are independent questions. Part (b) does not use the total amount calculated in part (a) as input. The questions lack the required connection where early question results should be used in later questions.</t>
  </si>
  <si>
    <t>The two parts (a) and (b) are independent questions that both use the same given information ($2.75 per day) but do not require each other's results. Part (a) asks for multiplication of $2.75 * 5 days, while part (b) asks to convert $2.75 to a fraction. The result from part (a) is not needed to solve part (b), so the questions are not connected in tandem as required for synergy.</t>
  </si>
  <si>
    <t>Answerability: The problem states Mrs Tan spent 1 1/4 + 2 2/3 = 3 11/12 of her budget, which is nearly 4 times her budget - this is mathematically impossible. Real-World Plausibility: It is unrealistic for someone to spend nearly 4 times their budget on just two expense categories.</t>
  </si>
  <si>
    <t>Real-world feasibility: Adults typically receive salaries or wages, not allowances like children. Conciseness and relevance: The problem setup where 3/4 of 120 equals exactly 90 creates a trivial comparison (90 vs 90) that lacks educational value, suggesting the numbers were not optimally chosen for meaningful learning.</t>
  </si>
  <si>
    <t>Secondary KC alignment fails because the problem requires only subtraction operations (600-400, 200-150), not addition of fractions as intended. Synergy fails because the secondary KC (adding fractions) is not actually needed to solve the problem, so primary and secondary KCs are not used in tandem.</t>
  </si>
  <si>
    <t>Secondary KC Alignment: The problem asks for answer in simplest form but the final answer 150 is already a whole number, so no actual simplification of fractions is required. Synergy: Since no fraction simplification is actually needed, the primary and secondary knowledge components are not used in tandem - only fraction multiplication is required to solve the problem.</t>
  </si>
  <si>
    <t>Topic Alignment: The problem is about buying and consuming fruit juice at a family gathering, which belongs to food/consumption context rather than household finance topics like income, utility bills, money, interest, savings, instalment, mortgage, or financial planning.</t>
  </si>
  <si>
    <t>Answerability: The problem contains conflicting information - Mrs Tan cannot spend 7/4 + 5/3 = 21/12 + 20/12 = 41/12 = 342% of her savings when she only has 100% available. Real-world feasibility: It is unrealistic for someone to spend 342% of their monthly savings while the problem describes dividing savings into two parts.</t>
  </si>
  <si>
    <t>Real-world plausibility issue: 6/5 of brush money being used means 120% was actually spent, which exceeds the original brush allocation and contradicts the budget constraint setup.</t>
  </si>
  <si>
    <t>Topic alignment: The problem focuses on ingredient calculation for baking rather than household finance topics like income, utility bills, savings, interest, mortgage, or financial planning.</t>
  </si>
  <si>
    <t>The two parts operate independently - part (a) uses decimal multiplication while part (b) uses decimal-to-fraction conversion, but neither result is needed to solve the other part. The questions are not connected in a way that requires using the result of one part as input for the other part.</t>
  </si>
  <si>
    <t>Answerability: The problem contains contradictory information - it states Mr Lim needs to subtract the service fee from his cost calculation, but then asks for the amount including the service fee, making it unclear what the actual question is asking. Primary KC Alignment: The problem requires multiplying 73.245 by 0.15, which involves multiplying decimals by decimals, not by 10, 100, 1000 or their multiples as specified in the intended primary knowledge component. Secondary KC Alignment: The problem involves adding a service fee rather than subtracting decimals as specified in the intended secondary knowledge component. Synergy: Since neither the primary nor secondary knowledge components are properly aligned, they cannot work in tandem as required. Real-world feasibility: The scenario is unrealistic - service fees are typically added to electricity bills, not subtracted from cost calculations as described. Clarity: The problem statement is confusing about whether to subtract or add the service fee, creating ambiguity in what is being asked.</t>
  </si>
  <si>
    <t>Answerability: Problem states Mrs Lim splits 27.650 equally among 10 grandchildren but then refers to her own share from original jar - if she gave everything to grandchildren she has no share, creating logical contradiction. Primary KC Alignment: Due to ambiguity, unclear whether division should be 27.650/10 or 27.650/11, making primary knowledge component application uncertain. Synergy: Ambiguity prevents proper connection between division and addition steps. Clarity: Critical ambiguity about whether Mrs Lim is included in the equal split makes problem unclear.</t>
  </si>
  <si>
    <t>Primary KC alignment: Problem requires dividing $9 by 4 weeks, not dividing a proper fraction by a whole number. Synergy: The two knowledge components are used in separate parts rather than working together in tandem.</t>
  </si>
  <si>
    <t>Topic Alignment: The problem context involves baking cookies for a school fundraiser, which belongs to education/school activities rather than household finance topics like income, utility bills, money, interest, savings, installment, mortgage, or financial planning.</t>
  </si>
  <si>
    <t>Answerability: Problem has logical conflict - cannot pay 2 months of $90 bills with only $120. Secondary KC: Problem requires subtracting whole numbers, not fractions as intended. Synergy: Questions are independent, first answer not used in second question. Real-world feasibility: Unrealistic to plan paying 2 months when only having enough for 1.33 months. Clarity: Contradictory questions create confusion about problem intent.</t>
  </si>
  <si>
    <t>Answerability: Part (b) asks to divide the amount each child receives by 3/4, but this creates confusion as it would increase the amount rather than relate to the story context where children receive 3/4 of the original planned amount. The mathematical operation requested does not align with the problem scenario. Clarity: The wording in part (b) 'when this amount is divided by 3/4' is ambiguous and confusing given the context where children receive 3/4 of the original amount, not the result of dividing by 3/4.</t>
  </si>
  <si>
    <t>Answerability: The problem has conflicting interpretations - if $210 is 30% of total expenses then total should be $700, but adding groceries $320 + transport $150 + electricity $210 = $680 creates inconsistency. Synergy: Problem can be solved using only percentage calculation (210 / 0.30 = 700) without needing addition of the other amounts. Clarity: Ambiguous whether groceries and transport are additional expenses or already included in the 30% figure. Conciseness: Grocery $320 and transport $150 amounts appear irrelevant to the core percentage problem and create confusion.</t>
  </si>
  <si>
    <t>Synergy: The two parts (a) and (b) are independent questions that can be solved separately. Part (a) requires only addition of whole numbers (60 + 90 + 120 = 270), while part (b) requires only ratio finding (60:90:120 = 2:3:4). The result from part (a) is not needed to solve part (b), so the primary and secondary knowledge components are not used in tandem as required.</t>
  </si>
  <si>
    <t>Secondary KC Alignment: The algebraic expression 45 + 2h is already in its simplest form and cannot be simplified further. There are no like terms to combine, no common factors to extract, and no operations to perform. Part (b) asks to simplify an expression that requires no simplification. Synergy: Since the secondary knowledge component (simplifying linear expressions) is not actually needed to solve this problem, the two knowledge components do not work in tandem. The primary KC is sufficient to complete part (a), and part (b) does not require any actual simplification skills.</t>
  </si>
  <si>
    <t>Grade alignment issue: This problem involves only basic percentage calculations (15% decrease) and simple subtraction with whole numbers. These concepts are typically taught at Primary 5-6 level in Singapore math curriculum, not Secondary O-level 1. The problem is too elementary for the intended grade level, which should involve more complex mathematical concepts like algebra, advanced geometry, or multi-step problem solving.</t>
  </si>
  <si>
    <t>Grade alignment issue: The problem involves basic percentage concepts typically taught at Primary 6 level in Singapore curriculum, making it too elementary for Secondary O-level 1 students who should be handling more advanced mathematical concepts.</t>
  </si>
  <si>
    <t>Grade Alignment: This problem is too elementary for Secondary O-level 2 students. Direct proportion and basic multiplication are typically mastered in primary grades (around Primary 5-6). O-level 2 students would be expected to handle more complex mathematical concepts like algebraic manipulation, quadratic equations, or advanced geometry rather than simple proportion calculations.</t>
  </si>
  <si>
    <t>Primary KC: Problem uses Hadamard product instead of standard matrix multiplication. Synergy: Parts (a) and (b) are independent calculations - Hadamard product result is not used in matrix addition step. Real-world: Utility increases represented as matrices and refund matrix structure (refunds only in January column for March expenses) are unrealistic. Clarity: Confusion between finding March expenses using January/February matrix structure.</t>
  </si>
  <si>
    <t>Primary KC alignment: The intended primary knowledge component specifies division with remainder, but 470 / 5 = 94 with remainder 0, so students do not practice handling actual remainders as intended.</t>
  </si>
  <si>
    <t>Answerability: The phrase 'save this money equally over 3 months' is ambiguous - unclear if money is divided into portions or kept as whole amount. Primary KC Alignment: Division is not required to solve the problem as it can be solved with addition only (285 + 50 = 335). Synergy: Since division is not needed, the two knowledge components do not work in tandem. Clarity: The saving process described is confusing and does not clearly indicate when/how division should be used. Conciseness: The 3-month saving period and equal division are irrelevant to finding the final total.</t>
  </si>
  <si>
    <t>Grade alignment: Problem requires 624 ÷ 8 = 78, which is 3-digit ÷ 1-digit division. In Primary 3 Singapore math, students typically learn 2-digit ÷ 1-digit division. 3-digit ÷ 1-digit division is usually introduced in Primary 4. The computational difficulty exceeds Primary 3 level.</t>
  </si>
  <si>
    <t>Grade_alignment: The problem requires adding fractions with different numerators (1/4 + 2/4) and comparing fractions (3/4 vs 1/2), which are typically taught in Primary 4. Primary 3 students focus on basic fraction recognition and unit fractions, making this problem too advanced for the intended grade level.</t>
  </si>
  <si>
    <t>Topic Alignment: The problem context involves a child spending pocket money on snacks and storybooks, which is more related to personal spending/shopping rather than household finance topics like utility bills, mortgage, savings, or financial planning. Grade Alignment: The problem requires operations with fractions having denominators 12 and 4, requiring finding common denominators and performing fraction arithmetic, which is typically introduced in Primary 4 or 5 in Singapore math curriculum, not Primary 3.</t>
  </si>
  <si>
    <t>Topic alignment: The problem is about purchasing soap bars which relates to shopping/consumer goods rather than household finance topics like income, utility bills, money management, interest, savings, installment, mortgage, or financial planning. Real-world feasibility: Buying 3 boxes with 125 bars each (375 bars) plus 2 bags with 82 bars each (164 bars) totaling 539 bars of soap for a family is unrealistic - this quantity would last many years for typical household use and represents excessive bulk purchasing beyond normal consumer behavior.</t>
  </si>
  <si>
    <t>Answerability: Problem implies Mrs Tan saves entire salary of $3276 which creates logical inconsistency - unclear if this is her savings amount or total salary. Real-world feasibility: Saving entire monthly salary without keeping money for living expenses is unrealistic. Synergy: Part b can be solved by directly comparing $3276 to $800 without using result from part a - the connection between questions is superficial rather than requiring tandem use of both knowledge components.</t>
  </si>
  <si>
    <t>Clarity: The phrase 'share the total cost equally with 3 neighbours' is ambiguous. It could mean either (1) Mrs Lim and 3 neighbours split the cost 4 ways, or (2) the 3 neighbours split the cost 3 ways while Mrs Lim pays separately. This ambiguity affects whether the answer is 48/4=12 or 48/3=16.</t>
  </si>
  <si>
    <t>Clarity: The dollar amounts ($120, $80) create confusion as they are not needed to solve the problem, potentially misleading students about which information to use. Conciseness and Relevance: The dollar amounts are irrelevant information that serves no purpose in solving the problem, violating the requirement that all given numbers must be necessary.</t>
  </si>
  <si>
    <t>synergy: The two parts (a) and (b) are independent questions that do not require using the result from part (a) to solve part (b). Part (a) requires adding decimals 3.40 + 1.25 + 0.80, while part (b) only requires converting 0.80 to a fraction. The questions are not connected as part (b) can be solved directly from the given information without needing the total from part (a).</t>
  </si>
  <si>
    <t>Secondary KC Alignment: The final subtraction is 160 - 40 which involves whole numbers not fractions as specified in the intended secondary KC of subtracting fractions. Synergy: Since the secondary KC of fraction subtraction is not actually used the two knowledge components do not work in tandem as intended.</t>
  </si>
  <si>
    <t>Secondary KC alignment fails because the problem requires subtracting whole numbers (48-24), not subtracting fractions as intended. Synergy fails because the intended Secondary KC (subtracting fractions) is not actually needed to solve the problem, so Primary and Secondary KCs are not used in tandem.</t>
  </si>
  <si>
    <t>Secondary KC Alignment: Part (b) requires comparing whole numbers ($30 vs $30) rather than comparing and ordering fractions as intended. The comparison involves $12 x 2.5 = $30 for Option A vs 3 x $10 = $30 for Option B, which are whole number comparisons, not fraction comparisons. Synergy: The primary KC (fraction multiplication) and secondary KC (fraction comparison) are not used in tandem. Part (a) uses fraction multiplication but part (b) does not require fraction comparison as both payment amounts are whole numbers that happen to be equal.</t>
  </si>
  <si>
    <t>Secondary KC alignment: The multiplication 2 1/4 x 8 = 18/1 which is already in simplest form, so fraction simplification is not needed. Synergy: Since fraction simplification is not required, the two knowledge components do not work in tandem. Topic alignment: The problem focuses on business sales at a market rather than household finance topics like family budgeting, utility bills, or personal savings.</t>
  </si>
  <si>
    <t>Topic Alignment: The problem is about purchasing rice which relates to grocery shopping and food consumption, not household finance topics like income, utility bills, money management, interest, savings, installment, mortgage, or financial planning.</t>
  </si>
  <si>
    <t>Primary KC alignment fails because the problem requires multiplying 132.768 * 0.183 which is general decimal multiplication, not multiplication by 10, 100, 1000 or their multiples as specified in the intended primary knowledge component.</t>
  </si>
  <si>
    <t>Real-world feasibility: The scenario of dividing $187.25 equally into 100 envelopes results in $1.8725 per envelope, which is not practically feasible since currency cannot be divided to 4 decimal places in real transactions. People typically deal with amounts rounded to 2 decimal places (cents).</t>
  </si>
  <si>
    <t>Real-world feasibility fails: 7250 millilitres / 5 days = 1450 millilitres = 1.45 litres per day. This is unrealistically low for household water usage. Typical household usage is 150-300 litres per day, not 1.45 litres.</t>
  </si>
  <si>
    <t>Primary KC alignment: The problem requires multiplication 36.5 * 0.25 to find total cost, not finding number of units given rate and total amount. The intended primary KC would involve division like total amount / rate = units, but this problem does the opposite calculation. Synergy: No synergy between knowledge components - the decimal conversion (dollars to cents) happens after the rate calculation is complete, not in tandem. These are sequential steps rather than integrated use of both KCs.</t>
  </si>
  <si>
    <t>Secondary KC alignment: The answer 3/4 / 3 = 1/4 is already in simplest form, so no simplification work is actually required. Synergy: Since no simplification is needed, the primary and secondary knowledge components do not work together meaningfully. Topic alignment: The problem context is about baking and sharing cakes, which does not relate to household finance topics like income, bills, money, interest, or savings.</t>
  </si>
  <si>
    <t>Topic Alignment (0): The problem context involves laundry detergent repackaging, which is a household chore/activity rather than household finance. The intended topic requires financial concepts like income, utility bills, money, interest, savings, installment, mortgage, or financial planning, but this problem does not involve any monetary transactions, budgeting, or financial decision-making.</t>
  </si>
  <si>
    <t>Secondary KC alignment: The problem does not require subtracting whole numbers as a computational step. While 100% - 45% = 55% is conceptually involved, the actual solving process uses percentage calculations throughout without explicit whole number subtraction. Synergy: Since the secondary KC is not properly utilized, there is no synergy between the primary and secondary knowledge components.</t>
  </si>
  <si>
    <t>Synergy: The two parts (a) and (b) are not connected. Part (b) does not use the result from part (a) as required. Part (a) involves dividing $480 in ratio 2:3:5, while part (b) simply adds $120 to $480 to get $600 total. The questions operate independently rather than in tandem where early question results feed into later questions.</t>
  </si>
  <si>
    <t>Answerability: When 130 is divided into parts where one part is twice the other, the result is 130/3 = 43.33 and 86.67, which are not realistic whole dollar amounts. Grade_alignment: The problem requires algebraic equation solving (2x + x = 130) which is beyond Primary 6 level. Real_world_feasibility: Financial transactions typically involve whole dollar amounts, not fractional cents like 43.33 and 86.67.</t>
  </si>
  <si>
    <t>Grade Alignment: The problem uses algebraic expressions with variables (x) and formal algebraic notation, which is typically introduced in Secondary 1-2 mathematics curriculum in Singapore, not Primary 6. Primary 6 students typically work with arithmetic and basic word problems without formal algebraic variables and expressions.</t>
  </si>
  <si>
    <t>Primary KC: Problem focuses more on fraction operations and algebra than ratio concepts. Secondary KC: Fraction subtraction becomes the main computational work rather than secondary. Synergy: Ratio and fraction operations work sequentially not in tandem. Grade: Requires algebraic manipulation (A = 25B/18) and complex multi-step reasoning beyond O-level 1 capabilities.</t>
  </si>
  <si>
    <t>Secondary KC Alignment: The problem does not require fraction division operations. Solutions use fraction addition/subtraction (1-1/4-1/3), ratio conversion (finding common denominators), and fraction multiplication (5/12 * 180), but no division of fractions. Synergy: Since fraction division is not needed, there is no synergy between the primary KC (ratios involving fractions) and secondary KC (fraction division). Grade Alignment: This problem is too advanced for Secondary O-level 1 students. Converting fractions to ratios (1/4:1/3:5/12 = 3:4:5) and working with complex fractions like 5/12 requires mathematical sophistication beyond typical O-level 1 curriculum.</t>
  </si>
  <si>
    <t>Secondary KC Alignment: The problem does not require subtracting decimals as specified. The calculations involve whole numbers: utilities = 800 * 0.6 = 480, remaining = 1850 - 800 - 480 = 570. No decimal subtraction is needed. Synergy: Since the secondary knowledge component (subtracting decimals) is not actually required, there is no synergy between the primary and secondary components. Grade Alignment: Secondary O-level 1 appears to be an invalid grade level for Singapore math syllabus which typically uses Primary 1-6 and Secondary 1-4/5 designations.</t>
  </si>
  <si>
    <t>Real-world feasibility: Water bills are typically much lower than electricity bills in most households. A water bill of $400 compared to electricity bill of $320 is unrealistic as water bills are usually a fraction of electricity costs.</t>
  </si>
  <si>
    <t>Grade alignment: The problem only requires basic percentage calculation (180 * 1.15 = 207) and simple division (207 / 4 = 51.75), which are concepts typically mastered in Primary 5-6. For Secondary O-level 1 students, this problem is too elementary and does not challenge them appropriately for their grade level.</t>
  </si>
  <si>
    <t>Grade alignment issue: This problem only requires basic multiplication and division with simple inverse proportion concepts (4 x 18 = 72, then 72 / 3 = 24). These are elementary/middle school level skills, not Secondary O-level 2 complexity. O-level students would typically work with more advanced algebraic representations, complex ratios, or multi-step proportion problems.</t>
  </si>
  <si>
    <t>Answerability: Part (b) cannot be answered as the total cost of groceries is never provided in the problem. Primary knowledge component uses inverse proportion correctly. Secondary KC alignment: Part (b) involves division but this connection is weak and not well integrated. The problem can be solved using inverse proportion alone for part (a). Synergy: The two parts are not well connected - part (b) does not use results from part (a), and the division component feels artificially added. Grade alignment: This appears too advanced for Secondary O-level 2 students as inverse proportion is typically introduced at higher levels. Real-world feasibility: The scenario lacks realism - groceries lasting different numbers of days based on family size while maintaining fixed monthly budget of $1200 is confusing and illogical. Clarity: The relationship between monthly budget of $1200 and grocery duration is unclear and confusing. Conciseness: The $1200 monthly budget information is irrelevant to solving either part of the problem.</t>
  </si>
  <si>
    <t>The two questions (a) and (b) are independent calculations that do not require using the result from one question to solve the other. They both use the same dataset separately rather than working in tandem as required for synergy.</t>
  </si>
  <si>
    <t>The two questions are independent calculations using the same dataset. Part (a) finding median does not connect to part (b) finding 70th percentile - the median result is not used as input for the percentile calculation.</t>
  </si>
  <si>
    <t>Answerability: The problem lacks clear information about how interest is calculated and applied. It is unclear whether the 2^2% interest rate applies to each monthly instalment separately or compounds on the remaining balance. The calculation method for the total amount in Option B is ambiguous. Real-world feasibility: An interest rate of 2^2% = 4% per month equals 48% annually, which is unrealistically high for typical appliance financing. Most consumer appliance financing offers 0% to 24% annual rates. Clarity: The phrase where 2^2 means the power of 2 with index 2 is redundant and potentially confusing since 2^2 is standard mathematical notation. The problem does not clearly specify how the interest calculation works for the instalment plan.</t>
  </si>
  <si>
    <t>Real-world feasibility: The mathematical expressions A = 5000 × 2^(3/2) and B = 5000 × (8)^(1/3) do not represent realistic interest calculations for bank savings plans. Real interest formulas typically use A = P(1+r)^t or A = Pe^(rt), not arbitrary fractional powers like 2^(3/2) or 8^(1/3). Banks do not offer interest rates that result in such mathematical expressions.</t>
  </si>
  <si>
    <t>Grade alignment: This problem requires knowledge of set theory including union and intersection operations with Venn diagrams, which is typically introduced at Secondary 1-2 level in Singapore math syllabus, not Secondary 3-4 O-level. The problem is too basic for O-level 3/4 students who would be expected to handle more complex mathematical concepts like quadratic functions, trigonometry, or advanced algebra.</t>
  </si>
  <si>
    <t>Grade alignment fails because matrices are typically taught at Secondary 4/5 or Junior College level in Singapore, not O-level 3/4 as specified.</t>
  </si>
  <si>
    <t>Primary KC Alignment: The problem does not emphasize matrix multiplication as the primary skill. Matrix subtraction (C = B - A) is straightforward while the matrix multiplication portion lacks clear definition of what matrices to multiply and how. The primary focus appears to be on subtraction rather than multiplication. Synergy: The two knowledge components are not used in tandem effectively. Matrix subtraction is completed first independently, then a separate matrix multiplication task is mentioned without clear connection. The subtraction result C is not used as input for the multiplication operation. Grade Alignment: Matrix operations including matrix multiplication and subtraction are typically introduced at A-level or university level mathematics, not at Secondary O-level 3/4 grade. This exceeds the mathematical sophistication expected for the target grade level. Clarity: The problem statement is confusing regarding the matrix multiplication component. It mentions representing combined expenses as row vectors and using matrix multiplication to find changes, but does not clearly specify which matrices should be multiplied or how the row vectors are constructed from the given matrices.</t>
  </si>
  <si>
    <t>Part (b) asks for the probability that Maya saves money when she does not receive an allowance, but the problem only provides information about her saving behavior when she receives an allowance (probability = 0.8). No information is given about her saving behavior when she does not receive an allowance, making part (b) unanswerable with the given information.</t>
  </si>
  <si>
    <t>Topic Alignment: The problem is about purchasing light bulbs for home use, which is a household item purchase scenario. However, the intended topic specifically focuses on household finance aspects like income, utility bills, money, interest, savings, installment, mortgage, and financial planning. The problem does not involve any financial calculations, cost considerations, budgeting, or other financial planning elements - it only involves counting quantities of light bulbs without any monetary or financial context.</t>
  </si>
  <si>
    <t>Grade Alignment: Primary 3 students typically learn basic fraction concepts but fraction addition and simplification are usually introduced in Primary 4. This problem requires both adding fractions with denominator 12 and simplifying the result, which exceeds typical Primary 3 curriculum expectations.</t>
  </si>
  <si>
    <t>Topic Alignment: The problem involves a child buying a storybook and pencil with pocket money, which relates to personal spending but does not specifically address household finance topics such as income, utility bills, interest, savings, installment, mortgage, or financial planning. The context is more about personal purchases rather than household financial management.</t>
  </si>
  <si>
    <t>Answerability: Sarah spends 3/4 + 2/3 = 17/12 of her pocket money, which equals 125% - impossible to spend more than 100% of available money. Grade Alignment: The illogical scenario of spending 125% of pocket money makes this unsuitable for Primary 4 students. Real-World Plausibility: Spending 17/12 or 125% of available pocket money is unrealistic and implausible.</t>
  </si>
  <si>
    <t>Real-world feasibility: The price $7.350 uses 3 decimal places which is unrealistic for currency pricing. Standard pricing uses 2 decimal places like $7.35.</t>
  </si>
  <si>
    <t>Topic alignment: The problem involves cooking oil usage which relates to household consumption/supplies, but does not specifically address household finance aspects like income, utility bills, money, interest, savings, instalment, mortgage, or financial planning as required by the intended topic.</t>
  </si>
  <si>
    <t>Primary KC: Problem involves multiple complex calculations beyond basic fraction-whole number multiplication. Secondary KC: No fraction addition required - only whole number addition (2500 + 750). Synergy: Cannot work in tandem since fraction addition is not needed. Real-world: Illogical to call grocery spending as saving money, and brother giving money based on grocery spending is unrealistic.</t>
  </si>
  <si>
    <t>Real-world plausibility issue: The problem assumes Mr Lim pays a fixed $120 regardless of usage, but then calculates his June bill as 2/5 * 120 = 48 when he uses 2/5 of normal water. This creates an illogical scenario where reduced usage somehow reduces a supposedly fixed bill. Most water bills are usage-based, making this relationship unrealistic.</t>
  </si>
  <si>
    <t>Real-world feasibility: The problem states Mrs Tan uses 4/5 of a packet of rice each week and buys 7 packets, but then asks how much she uses after 7 weeks. This creates an unrealistic scenario where she buys rice once but the question focuses on usage over time without considering when she would need to buy more rice. Conciseness and relevance: The information that she buys 7 packets is not necessary for solving the problem, as the question only asks about usage after 7 weeks (7 x 4/5). The buying information creates confusion about whether this relates to her total supply versus her usage pattern.</t>
  </si>
  <si>
    <t>Primary KC alignment: The problem requires multiplying fraction by whole number (7/4 × 100) and fraction by whole number (9/5 × 175), not multiplying two improper fractions together as intended. Synergy: The two knowledge components work sequentially rather than in tandem - fraction multiplication is completed first, then separately converted to decimal, without integrated application.</t>
  </si>
  <si>
    <t>Primary KC alignment: Problem requires multiplying decimals by 31 and 0.19, not by 10, 100, 1000 or their multiples as intended. Synergy: The primary KC (decimal multiplication) and secondary KC (decimal comparison) are used in separate parts rather than in tandem, with part c operating independently from parts a and b.</t>
  </si>
  <si>
    <t>Answerability: Part (b) contains conflicting information - it asks for utility bill for 100 days but then states to assume 100 days equals about 3 months, which is mathematically incorrect (100 days is approximately 3.3 months). This creates confusion about whether to calculate for exactly 100 days or for 3 months. Primary KC Alignment: The problem does not require multiplying decimals by 10, 100, 1000 or their multiples as specified in the intended primary knowledge component. Part (a) requires 2.37 * 100 which fits, but part (b) requires calculating monthly bills for 100 days which involves division and conversion rather than the intended multiplication pattern. Real-world feasibility: The assumption that 100 days equals about 3 months is mathematically inaccurate and unrealistic for financial planning purposes. Clarity: The conflicting instruction in part (b) about 100 days being about 3 months creates ambiguity about what calculation is actually required.</t>
  </si>
  <si>
    <t>Primary KC alignment fails because the problem requires dividing 124.500 by 3, which is general decimal division, not specifically dividing decimals by 10, 100, 1000 or their multiples as intended.</t>
  </si>
  <si>
    <t>Real-world feasibility: The problem states Mrs Lim used 245.370/10 kWh LESS in the second month, but then asks how much less she used, creating logical inconsistency. Clarity: The wording is confusing because it already states the amount was less by 245.370/10, making the question about how much less redundant and unclear.</t>
  </si>
  <si>
    <t>Primary KC alignment fails because the intended primary KC is dividing a proper fraction by a whole number (like 3/4 ÷ 3), but the actual division step in this problem is dividing a whole number by a whole number (13.50 ÷ 3). The fraction division concept is not demonstrated as the primary operation.</t>
  </si>
  <si>
    <t>Topic alignment: The word problem is about baking and cutting cake slices at a family gathering, which belongs to food/cooking context, not household finance topics like income, utility bills, money, interest, savings, instalment, mortgage, or financial planning.</t>
  </si>
  <si>
    <t>Primary KC alignment: The final step requires 48 / 6 = 8 which is whole number division, not dividing by a proper fraction as specified. Synergy: The fraction multiplications and division operate independently rather than in tandem - true synergy would require the division step to involve dividing by a fraction.</t>
  </si>
  <si>
    <t>Secondary KC Alignment: The problem does not require adding whole numbers as a distinct step. The calculation involves finding 15% of 120 (which equals 18), then adding this to 120 (giving 138), then adding 30 (giving 168). However, the addition operations here are mixed with decimal calculations from the percentage work, so whole number addition is not used as a separate knowledge component. Synergy: Since the secondary knowledge component of whole number addition is not distinctly required, there is no true synergy between percentage calculations and whole number addition as separate knowledge components working in tandem.</t>
  </si>
  <si>
    <t>Answerability: The problem contains illogical relationships - if Amy spends $15 before saving but the ratio 5:3 must be maintained with her sister saving the same amount, the spending becomes irrelevant to the ratio calculation, creating a mathematical contradiction. Real-world feasibility: The scenario where someone spends money first but still maintains a predetermined savings ratio is unrealistic and confusing. Clarity: The question 'How much does Amy have left after spending' is ambiguous - it's unclear whether this refers to what's left from current month savings or total accumulated savings.</t>
  </si>
  <si>
    <t>Secondary KC Alignment: Part (a) requires finding ratio of 2/5 to 1/4 which involves fraction division or cross multiplication, not fraction multiplication. Part (b) only requires multiplying fractions by whole numbers (2/5 * 2000 and 1/4 * 2000) plus addition, but fraction multiplication as a secondary KC should involve multiplying two fractions together. Synergy: The secondary KC (fraction multiplication) is not used in tandem with the primary KC. Part (a) focuses purely on ratios, part (b) uses basic fraction-to-whole number multiplication independently rather than integrating fraction multiplication with ratio concepts.</t>
  </si>
  <si>
    <t>Grade alignment fails - this problem involves ratios with fractions and fraction operations that are typically covered in Primary 5-6 grades, not Secondary O-level 1. The problem is too simple for Secondary O-level 1 students who would be expected to handle more complex algebraic and advanced mathematical concepts.</t>
  </si>
  <si>
    <t>Secondary KC alignment: The problem does not require adding decimals - it only needs ratio calculations with decimals. Synergy: Since the secondary KC is not needed, there is no synergy between primary and secondary knowledge components.</t>
  </si>
  <si>
    <t>Grade Alignment: This problem is too elementary for Secondary O-level 1 students. Converting decimal ratios 2.5:1.5:4 to whole numbers by multiplying by 2 to get 5:3:8, then applying ratio calculations with given total of $1600, represents Primary 6 level mathematics. Secondary O-level 1 students would typically work with more complex algebraic ratios, quadratic relationships, or multi-step ratio problems involving variables.</t>
  </si>
  <si>
    <t>Grade alignment fails - this problem involves only basic percentage calculations (12% increase) and simple addition, which are typically mastered in Primary 5-6. For Secondary O-level 1 students, this problem is too elementary and does not match the expected mathematical complexity for that grade level. O-level 1 students would typically work with more advanced percentage applications, compound calculations, or multi-step financial problems.</t>
  </si>
  <si>
    <t>Grade Alignment: This problem involves algebraic expressions with variables in brackets like (x+2) and (x-1), expanding to form quadratic expressions, which is typically covered in Secondary 2-3 level, not Secondary O-level 1. O-level 1 students typically work with simpler algebraic expressions without such complexity in quadratic formation from real-world contexts.</t>
  </si>
  <si>
    <t>Grade Alignment: The problem is designed for Secondary O-level 1 but involves algebraic expression for nth term of arithmetic sequence which is typically covered in higher secondary grades (O-level 3-4). The complexity of finding algebraic expressions for patterns and evaluating them systematically is above Secondary O-level 1 level.</t>
  </si>
  <si>
    <t>Grade Alignment: This problem is too simple for Secondary O-level 2 students. The ratio concept (5:3 sharing) and basic division (184/4 weeks) are elementary-level skills typically mastered in primary grades 4-6. O-level 2 students would be expected to handle more complex ratio problems involving multiple ratios, compound ratios, or integration with algebraic concepts.</t>
  </si>
  <si>
    <t>Grade Alignment: This problem is not suitable for Secondary O-level 2 students as it requires knowledge components (linear inequalities with one variable) that are typically introduced in later secondary grades, not at the O-level 2 stage.</t>
  </si>
  <si>
    <t>synergy: The two parts (a) and (b) are independent calculations that do not require using results from one part to solve the other part. Part (a) asks for median calculation and part (b) asks for range calculation, but neither requires the answer from the other to complete the solution.</t>
  </si>
  <si>
    <t>Answerability: Part (a) lacks sufficient information - it states the bill grows by factor 2^1.5 each month but does not clearly specify how many months from January to March or how to apply this growth factor to express March bill as single power of 2. Part (b) introduces 2^(-2) without clear connection to the given growth factor 2^1.5, making it unanswerable with given information. Secondary KC Alignment: Part (b) asks to find value of 2^(-2) and interpret it, but this is basic calculation and interpretation, not requiring the intended Secondary Knowledge Component of negative indices representation and concept in meaningful way. The 2^(-2) appears arbitrarily chosen rather than derived from the problem context. Synergy: The two parts do not work in tandem - part (a) result is not used in part (b), and part (b) introduces unrelated 2^(-2) value. No clear connection between applying laws of indices in part (a) and the negative indices concept in part (b). Real World Feasibility: Electricity bill growing by factor 2^1.5 approximately 2.83 each month is unrealistic - this would mean bill increases from $100 to $283 to $800 in just 3 months, which does not mirror realistic utility billing. Clarity: The relationship between January and March bills is ambiguous - unclear if March is 2 months after January and how the monthly growth factor applies. Part (b) connection between the hypothetical decrease scenario and the actual problem context is confusing. Conciseness and Relevance: The value 2^(-2) in part (b) appears irrelevant to the established growth pattern of 2^1.5, introducing unnecessary information not connected to the main problem setup.</t>
  </si>
  <si>
    <t>Grade Alignment: The problem involves matrix operations including scalar multiplication and matrix addition which are typically covered in higher level mathematics courses rather than Secondary O-level 3/4. Matrix operations are generally introduced at A-level or equivalent advanced mathematics courses, making this problem too advanced for the intended grade level.</t>
  </si>
  <si>
    <t>The two parts of the problem use different knowledge components but operate independently. Part (a) calculates January-February changes, while part (b) calculates March expenses using February as baseline. The result from part (a) is not used in part (b), lacking true synergy between the primary and secondary knowledge components.</t>
  </si>
  <si>
    <t>Grade alignment: This problem is too advanced for Secondary O-level 3/4 students as it requires understanding of mutually exclusive events and probability addition rules which are typically covered at higher levels. Real-world feasibility: The scenario is unrealistic - utility bills from the same household arriving on mutually exclusive days does not reflect how postal delivery works in reality, where bills could arrive on the same day.</t>
  </si>
  <si>
    <t>Clarity: There is a LaTeX formatting error where [FORMULA] appears in the middle of the sentence instead of being properly rendered as bold text, creating ambiguity in reading. Language Quality: The LaTeX command [FORMULA] is not properly formatted, causing a technical error in the text presentation that affects readability.</t>
  </si>
  <si>
    <t>Secondary KC Alignment: Problem only requires subtraction (450 - 215 = 235). The intended secondary knowledge component of addition is not needed to solve the problem. Synergy: Since addition is not required, there is no synergy between primary subtraction KC and secondary addition KC. The problem can be solved using only subtraction. Conciseness and Relevance: The $80 given by father is irrelevant information that is not needed to solve the problem, violating the requirement that all given numbers must be necessary.</t>
  </si>
  <si>
    <t>Topic alignment fails: The problem context is about sharing candies in a family setting, which relates to food/family activities rather than household finance topics like income, utility bills, money management, savings, installment, mortgage, or financial planning.</t>
  </si>
  <si>
    <t>Synergy: The two parts (a) and (b) are independent questions that do not require using results from one part to solve the other part. Part (a) involves fraction subtraction and part (b) involves fraction comparison, but they operate on the same given fractions without connection between the solutions. Grade Alignment: The problem involves fractions with denominators 12 and 4, requiring finding common denominators and performing operations like 5/12 - 1/4 = 5/12 - 3/12 = 2/12 = 1/6. This level of fraction manipulation with multiple denominators and simplification typically exceeds Primary 3 level, where students usually work with simpler fractions and basic concepts.</t>
  </si>
  <si>
    <t>secondary_kc_alignment: Part (b) asks to round to the nearest hundred dollars, but the intended Secondary Knowledge Component specifies rounding to the nearest 10, 100 or 1000. While rounding to nearest hundred is within this range, the answer from part (a) is 57 * 12 = 684 dollars. Rounding 684 to the nearest hundred gives 700, which does not demonstrate meaningful rounding skills as it is a straightforward case. The Secondary Knowledge Component alignment is not fully satisfied as the rounding task does not adequately showcase the intended rounding skills for numbers up to 100000.</t>
  </si>
  <si>
    <t>Real-world feasibility: The scenario of saving fractions of different weekly allowances and comparing the total to 1 whole allowance is confusing and unrealistic. Clarity: It is unclear whether Grace is saving fractions of the same allowance amount or different weekly allowances, making the comparison in part (b) ambiguous.</t>
  </si>
  <si>
    <t>Secondary KC alignment fails because 7 5/12 - 1 1/3 = 6 1/12 which is already in simplest form, so no simplification is actually required. Synergy fails because the secondary knowledge component is not needed to solve the problem, so the two components do not work together.</t>
  </si>
  <si>
    <t>Grade alignment: The problem involves comparing decimals up to 3 decimal places ($45.605), which is typically introduced in Primary 5, not Primary 4. Primary 4 students usually work with decimals up to 2 decimal places only. Real-world feasibility: Utility bills are not typically calculated or presented to 3 decimal places ($45.605) in real-world scenarios. Bills are usually rounded to 2 decimal places (cents) for practical payment purposes.</t>
  </si>
  <si>
    <t>secondary_kc_alignment: The answer from part (a) is 123.45 - 97.88 = 25.57, which has only 2 decimal places. The intended secondary knowledge component requires rounding decimals up to 3 decimal places, but the problem only provides a 2-decimal place result to round. This does not fully align with the intended secondary knowledge component of rounding decimals up to 3 decimal places.</t>
  </si>
  <si>
    <t>Synergy criterion not met: The two parts (a) and (b) are independent questions that both use the same given value $2.75. Part (a) requires multiplying $2.75 * 5, while part (b) requires converting $2.75 to a fraction. The result from part (a) is not needed to solve part (b), so the primary and secondary knowledge components are not used in tandem as required.</t>
  </si>
  <si>
    <t>Answerability: The fractions 1 1/4 and 2 2/3 represent 125% and 267% of budget respectively. This creates illogical information as expenses cannot exceed 100% of budget individually. Real-World Plausibility: Spending 125% + 267% = 392% of budget on two categories is mathematically impossible and unrealistic.</t>
  </si>
  <si>
    <t>Real-world feasibility: The amounts are unrealistic - $6 3/4 total savings and $4 5/8 electricity bill are too small to represent actual currency values in any realistic scenario. Electricity bills and savings amounts would typically be much larger whole numbers.</t>
  </si>
  <si>
    <t>ANSWERABILITY: The problem asks which amount is greater between Mrs Lims savings (3/4 * 120 = 90) and 90, but 90 = 90 so neither is greater - the comparison is inconclusive. SECONDARY_KC_ALIGNMENT: No meaningful fraction comparison occurs since 90/1 = 90/1, the secondary knowledge component of comparing fractions is not utilized. SYNERGY: The two knowledge components do not work in tandem - the multiplication gives 90 and comparing 90 to 90 requires no fraction comparison skills. CONCISENESS_AND_RELEVANCE: The comparison to 90 dollars appears contrived since it exactly equals the calculated savings amount, making the comparison trivial and not pedagogically useful.</t>
  </si>
  <si>
    <t>Secondary KC alignment: Problem only requires fraction multiplication and whole number subtraction, no fraction addition needed. Synergy: Since secondary KC (fraction addition) is not used, primary and secondary KCs cannot work in tandem.</t>
  </si>
  <si>
    <t>topic_alignment: The problem context is about buying and consuming fruit juice for a family gathering, which is a consumption/quantity problem. This does not align with the intended topic of household finance such as income, utility bills, money, interest, savings, instalment, mortgage, or financial planning.</t>
  </si>
  <si>
    <t>Answerability: 7/4 + 5/3 = 41/12 &gt; 1, meaning Mrs Tan spends more than her total savings which is impossible. Primary KC Alignment: Problem requires multiplying fraction by whole number (7/4 * 240), not multiplying two improper fractions together. Real-world feasibility: Spending 342% of total savings is unrealistic.</t>
  </si>
  <si>
    <t>Answerability: The problem states 6/5 of money spent on brushes was used, meaning 120% was used, which is logically impossible - you cannot use more money than you spend. Real-world feasibility: The scenario where someone uses 6/5 times the amount they spent is unrealistic and contradictory to how spending works in reality.</t>
  </si>
  <si>
    <t>Topic alignment: The problem context is about home baking and selling cakes, which does not align with the intended topic of household finance such as income, utility bills, money, interest, savings, installment, mortgage, or financial planning.</t>
  </si>
  <si>
    <t>The two parts of the problem work independently rather than in tandem. Part (b) does not use results from part (a), and part (a) does not require the fraction conversion from part (b). The primary and secondary knowledge components are not used together to solve a connected problem.</t>
  </si>
  <si>
    <t>Answerability: Problem states service fee should be subtracted but service fees are typically added to bills, creating logical inconsistency. Primary KC: Problem requires 73.245 x 0.15 which is decimal x decimal multiplication, not multiplication by 10/100/1000 or their multiples. Secondary KC: Solution requires adding 1.80 service fee, not subtracting decimals. Synergy: Since both primary and secondary KC alignments fail, synergy cannot be achieved. Real-world feasibility: Service fees are added to bills, not subtracted as described.</t>
  </si>
  <si>
    <t>Answerability: The problem is ambiguous about what constitutes Mrs Lims own share since she splits the original amount only among her 10 grandchildren without keeping any for herself initially. Real-world feasibility: The scenario of splitting money among grandchildren but then referring to her own share from money she gave away entirely is illogical. Clarity: The phrase her own share from the original savings jar is unclear when she divided all money among grandchildren only.</t>
  </si>
  <si>
    <t>Secondary KC Alignment: The problem requires 800 * 0.15 which is decimal multiplication, not whole number multiplication as specified in the intended Secondary Knowledge Component.</t>
  </si>
  <si>
    <t>Topic Alignment: The word problem is about baking cookies for a school fundraiser, which belongs to school/baking context rather than household finance topics like income, utility bills, money, interest, savings, instalment, mortgage, or financial planning.</t>
  </si>
  <si>
    <t>Answerability: The problem contains contradictory information - it states she will pay for 2 months then asks how much is left, but she only has enough money for 4/3 months (approximately 1.33 months). This creates an impossible scenario where she would need $180 but only has $120, resulting in negative money left (-$60). Synergy: The two questions are not properly connected. The first question about maximum months she can afford contradicts the second question's premise that she will pay for 2 months. Real-world feasibility: The scenario is unrealistic as it assumes someone would pay utility bills for 2 months when they only have enough money for 1.33 months, and the result shows negative money remaining which is not feasible in real household finance situations.</t>
  </si>
  <si>
    <t>Answerability: Part (b) is mathematically unclear - asking what each child receives when an amount is divided by 3/4 does not make logical sense in the given context. Primary KC Alignment: The problem does not properly require dividing by a proper fraction as intended - part (b) artificially forces this operation without clear contextual meaning. Synergy: Parts (a), (b), and (c) do not flow logically together - part (b) creates confusion rather than building meaningfully on part (a). Clarity: Part (b) is ambiguous and does not clearly communicate what mathematical operation is needed within the story context.</t>
  </si>
  <si>
    <t>Secondary KC (whole number addition) is not needed - problem solved by 210 / 0.30 = 700. No synergy exists since secondary KC not required. Irrelevant information included: groceries $320 and transport $150 not needed for solution.</t>
  </si>
  <si>
    <t>Synergy: The two parts (a) and (b) are independent questions that can be solved separately. Part (a) requires only addition of whole numbers (60 + 90 + 120 = 270), while part (b) requires only finding ratios (60:90:120 = 2:3:4). The result from part (a) is not needed to solve part (b), so the primary and secondary knowledge components are not used in tandem as required.</t>
  </si>
  <si>
    <t>Secondary KC Alignment: Part (b) asks to simplify the expression from part (a), but the expression 45 + 2h is already in its simplest form and cannot be simplified further. No actual simplification of linear expressions is required. Synergy: Since no actual simplification is needed, the two knowledge components are not used in tandem - part (a) creates the expression but part (b) does not meaningfully apply simplification skills.</t>
  </si>
  <si>
    <t>Secondary KC alignment: Problem requires decimal subtraction (120 - 102 = 18), not whole number subtraction as intended. Grade alignment: 15% decrease calculation is too elementary for O-level 1 students who should handle more complex percentage applications. Real-world feasibility: Exactly 15% energy savings is unrealistically precise - real savings are typically expressed as ranges or approximations.</t>
  </si>
  <si>
    <t>Grade alignment: Reverse percentage problems requiring algebraic reasoning (finding original amount when given final amount after percentage change) are too advanced for Secondary O-level 1 students. This concept is typically introduced in later secondary years.</t>
  </si>
  <si>
    <t>Grade Alignment: This problem is too simple for Secondary O-level 2 students. Direct proportion problems with basic multiplication are typically covered in primary grades 5-6 or lower secondary grades. O-level 2 students would be expected to handle more complex mathematical concepts and multi-step problems involving advanced algebra, geometry, or statistics.</t>
  </si>
  <si>
    <t>Answerability: Confusing instruction mixing matrix multiplication with Hadamard product creates mathematical inconsistency. Primary KC Alignment: Problem uses Hadamard product not standard matrix multiplication as intended. Grade Alignment: Hadamard product operations exceed typical O-level 3/4 curriculum scope. Real-World Feasibility: Utility providers using matrix representations for rate increases lacks realism, refund matrix with unexplained zeros unrealistic. Clarity: Mathematical terminology mixing matrix multiplication and Hadamard product creates ambiguity about required operation.</t>
  </si>
  <si>
    <t>Grade alignment: The problem requires 4-digit subtraction operations (4250 - 1325 - 760) which is typically introduced in Primary 4, not Primary 3. Primary 3 students typically work with 3-digit numbers and simpler operations.</t>
  </si>
  <si>
    <t>Primary KC alignment fails because 470/5 = 94 with remainder 0. The intended primary KC requires division with remainder, but this problem has no remainder, making it simple division without the key component of handling remainders.</t>
  </si>
  <si>
    <t>Real-world feasibility: The scenario where Mr Lim buys apple packs for his children but then gives away 16 out of 22 packs (73%) to neighbors is unrealistic. This leaves only 6 packs for his own children after spending $154, which does not align with typical real-world behavior where parents prioritize their children's needs over generous neighbor gifts.</t>
  </si>
  <si>
    <t>Grade alignment fails because dividing 624 by 8 is too advanced for Primary 3 students. This 3-digit division typically belongs to Primary 4 curriculum.</t>
  </si>
  <si>
    <t>Grade alignment fails because fraction addition and comparison operations required in this problem are typically taught in Primary 4, not Primary 3 in Singapore math curriculum. Primary 3 students typically work with basic fraction concepts and recognition rather than operations.</t>
  </si>
  <si>
    <t>Topic Alignment: The problem involves a child spending pocket money on snacks and storybooks, which relates to personal spending rather than household finance topics like utility bills, mortgage, financial planning, etc. Grade Alignment: Primary 3 students typically work with simpler fractions like 1/2, 1/3, 1/4. The fraction 5/12 and operations requiring finding common denominators between 12 and 4 are more appropriate for Primary 4 or 5 level.</t>
  </si>
  <si>
    <t>Topic Alignment: The problem is about buying soap bars which is about shopping/purchasing goods, not specifically about household finance topics like income, utility bills, money management, interest, savings, installment, mortgage, or financial planning. Real-World Plausibility: Buying 3 boxes with 125 bars each (375 bars) plus 2 bags with 82 bars each (164 bars) totaling 539 bars of soap for a family is unrealistic - this quantity would last decades for typical household use and represents an implausible purchasing decision.</t>
  </si>
  <si>
    <t>Synergy: The division result from part (a) is not meaningfully used in part (b) - comparison can be done directly between 3276 and 800 without calculating weekly amounts. Real-world feasibility: Saving entire monthly salary of 3276 dollars is unrealistic as it leaves no money for living expenses, especially for someone with a daughter.</t>
  </si>
  <si>
    <t>Clarity: The phrase 'share the total cost equally with 3 neighbours' is ambiguous. It could mean either: (1) Mrs Lim and 3 neighbours split the cost 4 ways, or (2) the 3 neighbours split the cost 3 ways while Mrs Lim pays separately. This ambiguity makes the problem unclear for Primary 4 students.</t>
  </si>
  <si>
    <t>answerability: The problem contains redundant information that creates confusion. Given that 5/12 of expenses = $120 for groceries and 1/6 of expenses = $80 for utility bills, we can calculate total monthly expenses as $288 from groceries and $480 from utility bills, which are contradictory values. The dollar amounts are unnecessary since the fractions already provide complete information to answer the question. conciseness_and_relevance: The dollar amounts ($120 and $80) are irrelevant to solving the problem and create contradictory information. The question can be answered using only the fractions 5/12 and 1/6.</t>
  </si>
  <si>
    <t>Secondary KC alignment: The problem requires fraction multiplication (2/3 × 60 and 1/4 × 160) and whole number subtraction (160 - 40), but no fraction subtraction as intended. Synergy: Since fraction subtraction is not used, the primary and secondary knowledge components do not work in tandem as required.</t>
  </si>
  <si>
    <t>Clarity: There is duplicate key 'clarity' in the JSON format specification which creates ambiguity in the evaluation structure.</t>
  </si>
  <si>
    <t>Secondary KC Alignment: Part (b) requires comparing whole numbers ($30 vs $30) rather than comparing and ordering fractions as intended. The comparison involves $12 * 2.5 = $30 versus 3 * $10 = $30, which are whole number amounts, not fractions. Synergy: The primary KC (multiplying mixed number by whole number) and secondary KC (comparing fractions) are not used in tandem. Part (a) uses only the primary KC, while part (b) compares whole number results rather than using fraction comparison skills. The two knowledge components operate independently rather than synergistically.</t>
  </si>
  <si>
    <t>Secondary KC alignment: The final answer 78 dollars is already in simplest form, so no fraction simplification is actually required despite the instruction. Synergy: The primary KC (mixed number multiplication) and secondary KC (fraction simplification) do not work together since the solution only needs multiplication without any fraction simplification step.</t>
  </si>
  <si>
    <t>Topic Alignment: The problem focuses on purchasing rice for family consumption, which is about food shopping rather than household finance topics like income, utility bills, money management, interest, savings, installment, mortgage, or financial planning.</t>
  </si>
  <si>
    <t>Real-world feasibility: Dividing $187.25 equally into 100 envelopes results in $1.8725 per envelope. This creates an unrealistic scenario as physical currency cannot be divided to 4 decimal places - you cannot put exactly $1.8725 in cash into an envelope as the smallest denomination would typically be $0.01.</t>
  </si>
  <si>
    <t>Real-world feasibility: 7250 mL / 5 days = 1450 mL per day = 1.45 L per day is unrealistically low for household water usage. Typical household usage is 100+ litres per day for all activities.</t>
  </si>
  <si>
    <t>The problem does not align with the intended Primary Knowledge Component. The intended KC is finding number of units given rate and total amount, but this problem gives the number of units (36.5 kWh) and rate ($0.25 per kWh) to find the total amount. This is multiplication of decimals, not the intended rate problem structure.</t>
  </si>
  <si>
    <t>Topic alignment fails: The problem context is about cake sharing at a family gathering, which does not belong to household finance topics such as income, utility bills, money, interest, savings, instalment, mortgage, or financial planning.</t>
  </si>
  <si>
    <t>Topic Alignment: The problem context involves household cleaning supplies (laundry detergent repacking) rather than household finance topics like income, utility bills, money, interest, savings, instalment, mortgage, or financial planning. While it occurs in a household setting, it does not address financial concepts as required by the intended topic.</t>
  </si>
  <si>
    <t>Secondary KC alignment: Problem requires decimal division (108 / 0.55 = 196.36) not whole number subtraction. Synergy: No synergy since secondary KC not properly used. Grade alignment: Calculation 108 / 0.55 too complex for Primary 6, result $196.36 involves decimals beyond typical grade level.</t>
  </si>
  <si>
    <t>Secondary KC alignment: The problem requires multiplying 80 * 1.15 = 92 and 4 * 92 = 368, which involves decimal multiplication, not just whole number multiplication as specified. Synergy: The two knowledge components do not work in tandem - percentage calculation produces a decimal result that makes subsequent multiplication involve decimals rather than whole numbers. Real-world feasibility: Water bill being 4 times electricity bill ($368 vs $92) is unrealistic - typically water costs are much lower than electricity costs for households.</t>
  </si>
  <si>
    <t>Answerability: The problem leads to non-whole number solutions ($43.33 for emergency savings, $86.67 for groceries) which creates computational difficulties and an awkward ratio of 80:86.67:43.33. Grade Alignment: Primary 6 students typically work with whole numbers in ratio problems. The decimal calculations and resulting complex ratio exceed appropriate difficulty level for this grade.</t>
  </si>
  <si>
    <t>Answerability: Problem states rent to groceries ratio is 5:2, but given values 1200:400 = 3:1, creating unsolvable contradiction. Conciseness: The 300 dollar utility bill information is irrelevant to solving the ratio problem.</t>
  </si>
  <si>
    <t>Grade alignment: The problem requires formal algebraic notation with variables (x) and linear algebraic expressions, which are typically introduced in Secondary 1/2 mathematics curriculum, not Primary 6. Primary 6 students work with basic algebraic thinking but not formal algebraic expressions with variables.</t>
  </si>
  <si>
    <t>Grade alignment: Formal algebra with variables and linear equation solving is typically introduced in Secondary 1, not Primary 6 in Singapore curriculum. Primary 6 students work with arithmetic methods rather than algebraic equation formation and solving.</t>
  </si>
  <si>
    <t>Secondary KC alignment: The fraction subtraction (3/5 - 3/20 = 9/20) is a minor computational step, not a significant knowledge component requiring Secondary O-level 1 skills. Synergy: The ratio work and fraction subtraction do not work meaningfully in tandem - the fraction subtraction is just a final calculation step rather than being integrated with the ratio solving process.</t>
  </si>
  <si>
    <t>Secondary KC alignment: Problem does not require fraction division - only addition/subtraction of fractions and multiplication. No division operations needed. Synergy: Since secondary KC (fraction division) is not actually used, primary and secondary KCs cannot work in tandem as required. Grade alignment: Problem is too basic for Secondary O-level 1 students - uses only primary school fraction concepts like adding fractions with common denominators and basic ratio work, not advanced secondary topics.</t>
  </si>
  <si>
    <t>Secondary KC Alignment: The problem does not require subtracting decimals as specified. The calculations involve whole numbers (800 * 0.6 = 480, 1850 - 800 - 480 = 570) with no decimal subtraction needed. Synergy: Since the secondary knowledge component (subtracting decimals) is not actually required, there is no synergy between the primary and secondary components. Grade Alignment: This problem is too basic for Secondary O-level 1 students. The ratio calculation (0.6 * 800) and simple arithmetic are more appropriate for upper primary levels, not secondary level which should involve more complex ratio problems.</t>
  </si>
  <si>
    <t>Real-world feasibility: Water bills are typically much lower than electricity bills in most households. A water bill of $400 compared to electricity bill of $320 is unrealistic as water costs are generally a fraction of electricity costs in typical household expenses.</t>
  </si>
  <si>
    <t>Grade alignment issue: The problem is too simple for Secondary O-level 1 students. It only requires basic percentage calculation (180 * 1.15 = 207) and simple division (207 / 4 = 51.75). Secondary O-level 1 students should handle more complex mathematical concepts beyond basic whole number division and simple percentage increases.</t>
  </si>
  <si>
    <t>Grade Alignment: This problem is too simple for Secondary O-level 2 students. The inverse proportion concept (more people sharing = less cost per person) and whole number multiplication (4 × 18 = 72) are elementary concepts typically mastered by Primary 5-6 students. O-level students would expect more complex mathematical relationships, algebraic manipulation, or multi-step problem solving involving quadratic equations, simultaneous equations, or advanced proportional reasoning.</t>
  </si>
  <si>
    <t>ANSWERABILITY: Part (b) cannot be answered as the total cost of groceries is never provided in the problem. Only the monthly budget of $1200 is given but not specified as the grocery cost. PRIMARY_KC_ALIGNMENT: Problem correctly uses inverse proportion - as family members increase, days groceries last decreases proportionally. SECONDARY_KC_ALIGNMENT: The intended secondary KC is whole number division, but part (a) involves 4*12/6=8 which uses multiplication and division of whole numbers beyond simple division. Part (b) would need division but cannot be solved due to missing information. SYNERGY: The two parts are not properly connected - part (a) about duration and part (b) about cost sharing use different aspects without building on each other. GRADE_ALIGNMENT: Inverse proportion is typically taught at lower secondary level (Secondary 1-2), not O-level Secondary 2 which focuses on more advanced topics. REAL_WORLD_FEASIBILITY: The scenario is unrealistic - groceries typically last the same time regardless of family size, as more people would buy proportionally more groceries. CLARITY: The connection between monthly budget ($1200) and grocery cost is unclear and ambiguous. CONCISENESS_AND_RELEVANCE: The $1200 monthly budget information appears irrelevant to part (a) and insufficient for part (b), making it unnecessary information that confuses the problem.</t>
  </si>
  <si>
    <t>Synergy: The two parts (a) and (b) are independent questions that can be solved separately using the same dataset. Part (a) does not need the result from part (b) or vice versa, so they are not connected in tandem. Grade Alignment: Finding median and mode are basic statistical concepts typically taught at Primary 5-6 or Secondary 1 level in Singapore syllabus, which is below the Secondary O-level 2 grade level. The problem lacks the complexity and advanced statistical concepts expected for O-level 2 students.</t>
  </si>
  <si>
    <t>Answerability: The problem lacks crucial information about how interest is calculated and applied. It is unclear whether the 4% monthly interest rate applies to the entire remaining balance of $900 or just each monthly installment of $300, and whether interest compounds or is simple interest. Real-world feasibility: An interest rate of 2^2% = 4% per month equals 48% annually, which is unrealistically high for appliance financing and would likely violate consumer protection laws in most countries. Clarity: The method of interest calculation is ambiguous - the problem does not specify whether interest is calculated on the full remaining balance, individual installments, or how it compounds over the 3-month period.</t>
  </si>
  <si>
    <t>Real-world feasibility: The problem presents unrealistic savings formulas. Plan A gives A = 5000 x 2^(3/2) = 5000 x 2.828 = 14140, which represents 182% growth. Plan B gives B = 5000 x 8^(1/3) = 5000 x 2 = 10000, which represents 100% growth. These extremely high returns are not realistic for typical bank savings plans or emergency fund accounts, which usually offer much lower interest rates of 1-5% annually.</t>
  </si>
  <si>
    <t>Grade Alignment: The problem is intended for Secondary O-level 3/4 but uses basic set operations (union and intersection) that are typically introduced much earlier in the mathematics curriculum, around Primary 5-6 or Secondary 1-2. The problem lacks the complexity and sophistication expected for O-level 3/4 students.</t>
  </si>
  <si>
    <t>grade_alignment: The problem involves matrix operations (scalar multiplication and matrix subtraction) which are typically taught at higher secondary levels or pre-university mathematics, not at O-level 3/4 grade where students are usually 15-16 years old. Matrix operations are generally introduced in more advanced mathematics courses.</t>
  </si>
  <si>
    <t>Primary KC Alignment: The problem emphasizes matrix subtraction (C = B - A) as the main operation, with matrix multiplication being secondary and unclear. The primary focus should be on matrix multiplication per the intended primary KC. Synergy: Matrix subtraction and multiplication are not used in tandem - subtraction is done first independently, then multiplication is mentioned separately without clear integration. The operations are sequential rather than synergistic. Grade Alignment: Matrix operations including matrix multiplication are typically introduced at A-level or university level mathematics, not at Secondary O-level 3/4 where students typically study basic algebra, geometry, and introductory calculus concepts. Clarity: The problem structure is confusing with unclear instructions about what matrix multiplication should be performed. The phrase 'using matrix multiplication' for finding combined expenses is ambiguous and the connection between the two parts of the question is not clearly explained.</t>
  </si>
  <si>
    <t>Answerability: Part (b) asks for the probability Maya saves money when she does not receive an allowance, but this information is not provided in the problem. The problem only states the probability she saves when she DOES receive an allowance (0.8), but gives no information about her saving behavior when she does not receive an allowance. This makes part (b) unanswerable with the given information. Clarity: The problem statement creates ambiguity by saying Maya decides whether to save some money based on whether she receives any allowance, but then only provides conditional probability for one scenario. The logical relationship between receiving allowance and saving behavior is not clearly established for the case when no allowance is received.</t>
  </si>
  <si>
    <t>Topic Alignment: The problem is about buying light bulbs for home use, which is a household item purchase but does not specifically relate to household finance topics like income, utility bills, money management, interest, savings, installment, mortgage, or financial planning. The problem focuses on counting items rather than financial concepts.</t>
  </si>
  <si>
    <t>Topic Alignment: The problem describes a child spending pocket money on a storybook and pencil, which relates to personal spending rather than household finance topics like utility bills, savings, mortgage, or financial planning.</t>
  </si>
  <si>
    <t>Answerability: The problem contains illogical mathematical relationships. Sarah spends 3/4 + 2/3 = 17/12 of her pocket money, which is more than her total pocket money (12/12). This makes it impossible to have spent these amounts from one weekly allowance. Real-world feasibility: The scenario is unrealistic because a person cannot spend 17/12 (approximately 142%) of their available money without additional funds or credit, which contradicts the problem setup of spending from weekly pocket money.</t>
  </si>
  <si>
    <t>Grade alignment: Primary 4 students typically work with decimals up to 2 decimal places, but $7.350 has 3 decimal places which may exceed grade level expectations. Real-world feasibility: The price $7.350 is unrealistic as retail prices do not typically extend to 3 decimal places, especially ending in zero.</t>
  </si>
  <si>
    <t>Grade alignment issue: The division 83.76 / 4 = 20.94 may be too complex for Primary 4 students, and the problem does not generate 3-decimal place results that would properly utilize the intended secondary knowledge component of rounding decimals up to 3 decimal places.</t>
  </si>
  <si>
    <t>Topic Alignment: The problem context is about cooking oil usage, which relates to cooking/kitchen supplies rather than household finance. Household finance topics should involve money, bills, savings, interest, mortgages, or financial planning, not consumption of cooking materials.</t>
  </si>
  <si>
    <t>Secondary KC alignment: The problem requires multiplying 3/10 × 4000, not adding fractions with different denominators. The final step 4000 + 1200 is whole number addition, not fraction addition. Synergy: Since fraction addition is not actually needed, the primary and secondary knowledge components are not used in tandem as intended.</t>
  </si>
  <si>
    <t>Real-world plausibility issue: The problem implies Mr Lim receives a bill showing 48/1 dollars before simplification. In reality, utility companies bill customers with simplified amounts like $48, not unsimplified fractions. The mathematical setup (2/5 * 120 = 48/1) creates an unrealistic billing scenario.</t>
  </si>
  <si>
    <t>Real-world feasibility: The problem states Mrs Tan buys 7 packets of rice but uses 4/5 of a packet per week for 7 weeks, which equals 28/5 = 5.6 packets total. This means she would have 1.4 packets left unused, which is realistic but the problem asks how many packets she will have used after 7 weeks without considering whether she has enough packets to last 7 weeks. Conciseness and relevance: The information that she buys 7 packets is not necessary for solving the problem since the question only asks how much she uses in 7 weeks (7 x 4/5). The 7 packets information creates confusion about whether we should consider her total supply.</t>
  </si>
  <si>
    <t>Primary KC alignment: Problem requires 3.285 x 31 and multiplication by 0.19, but 31 and 0.19 are not multiples of 10, 100, or 1000 as specified in intended primary KC. Synergy: Primary KC (decimal multiplication) and secondary KC (decimal comparison) are used independently in separate parts rather than in tandem to solve connected problems.</t>
  </si>
  <si>
    <t>Answerability: The problem has conflicting information - part (a) asks for 100 days but part (b) states 100 days is about 3 months, yet uses monthly rates for water ($125.40) and gas ($45.70). This creates confusion about whether to calculate for 100 days or 3 months for these utilities. Primary KC Alignment: The problem requires $2.37 x 100 = $237.00, which is multiplying decimals by 100, but this is basic decimal multiplication, not specifically targeting multiplication by multiples of 10, 100, 1000 as intended. The calculation does not emphasize the pattern or concept of multiplying by powers of 10. Real-world Feasibility: Daily electricity billing of $2.37 is unrealistic - electricity bills are typically monthly, not daily. Also, the assumption that 100 days equals 3 months is mathematically incorrect (100 days is approximately 3.3 months). Clarity: The relationship between 100 days and 3 months in part (b) is ambiguous and creates confusion about which timeframe to use for calculations.</t>
  </si>
  <si>
    <t>Primary KC Alignment: The problem requires dividing $124.500 by 3 people, which involves dividing decimals by a whole number (3), not dividing by 10, 100, 1000 or their multiples as specified in the intended Primary Knowledge Component. The calculation $124.500 / 3 = $41.500 does not align with the intended skill of dividing decimals by powers of 10 or their multiples.</t>
  </si>
  <si>
    <t>Answerability: The problem has circular logic - it states the second month used 245.370/10 kWh LESS than first month, then asks how much less was used. The answer (24.537 kWh) is already given in the problem setup. Secondary KC Alignment: While decimal subtraction could be used (245.370 - 220.833), the direct answer is simply 245.370/10 = 24.537, making subtraction unnecessary. Synergy: The two knowledge components are not used in tandem - only division by 10 is needed since the difference is explicitly stated as 245.370/10. Clarity: The problem structure is confusing because it defines the difference then asks for that same difference. Conciseness: The problem is unnecessarily complex in stating that second month used 245.370/10 less, when it could directly ask for the calculation.</t>
  </si>
  <si>
    <t>Primary KC issue: Main division is 135/2 not fraction/whole number. Synergy issue: Mr Lee comparison not connected to bill sharing scenario. Feasibility issue: Unrealistic bill sharing arrangement and unrelated comparison. Clarity issue: Disconnected questions create confusion. Relevance issue: Mr Lee information not relevant to main scenario.</t>
  </si>
  <si>
    <t>Primary KC alignment fails because the problem requires dividing a decimal (13.50) by a whole number (3), not dividing a proper fraction by a whole number as intended. The fraction 3/4 is multiplied by 18, not divided by a whole number.</t>
  </si>
  <si>
    <t>Topic alignment: The problem is about baking and serving cake at a family gathering, which belongs to food/cooking context, not household finance topics like income, utility bills, money, interest, savings, instalment, mortgage, or financial planning.</t>
  </si>
  <si>
    <t>Primary KC alignment: The main division step is 48 ÷ 6 = 8, which is whole number division, not dividing by a proper fraction as required. The intended primary KC of dividing a whole number by a proper fraction is not used. Synergy: The primary and secondary KCs do not work in tandem since the primary KC is not actually required for solving this problem. The solution uses fraction multiplication and whole number division separately rather than requiring division by a fraction.</t>
  </si>
  <si>
    <t>Secondary KC Alignment: The problem requires finding 15% of 120 which equals 18, then adding 120 + 18 + 30 = 168. However, the addition involves decimals (15% of 120 = 18.0) rather than pure whole number addition as specified in the secondary KC. Synergy: The percentage calculation and addition are performed sequentially rather than in tandem. The percentage increase calculation is completed first (120 + 15% = 138), then simple addition with the water bill (138 + 30 = 168). The components do not work together simultaneously to solve the problem.</t>
  </si>
  <si>
    <t>The problem contains conflicting information. If Amy spends $15 from $80 leaving $65, and sister saves $48 as before, then ratio becomes 65:48 which does not equal 5:3 since 65/48 = 1.354 while 5/3 = 1.667. The constraint that ratio remains 5:3 contradicts the given conditions.</t>
  </si>
  <si>
    <t>Secondary KC Alignment: Part (a) requires finding ratio of 2/5 to 1/4 which involves fraction operations but not fraction multiplication specifically. Part (b) requires multiplication of fractions by whole numbers (2/5 * 2000 and 1/4 * 2000) but this is scalar multiplication, not fraction-to-fraction multiplication. Synergy: The secondary knowledge component (fraction multiplication) is not used in tandem with the primary knowledge component. Part (a) focuses purely on ratios, while part (b) uses scalar multiplication independently. The two parts do not require integrated use of both knowledge components together.</t>
  </si>
  <si>
    <t>Secondary KC alignment fails because solving this problem does not require adding decimals - it only requires division operations (72.50/3 and multiplying by ratio parts). The main calculations are 72.50 * (1/3) = 24.17 and 72.50 * (2/3) = 48.33. Synergy fails because the secondary knowledge component (adding decimals) is not needed to solve the problem, so primary and secondary components cannot work in tandem.</t>
  </si>
  <si>
    <t>Grade alignment: This problem is too simple for Secondary O-level 1 students. Converting decimal ratios 2.5:1.5:4 to whole numbers by multiplying by 2 to get 5:3:8 and basic ratio calculations are typically mastered in Primary 5-6. Secondary O-level 1 students would be expected to handle more complex ratio problems involving algebraic manipulation, inverse ratios, or compound ratios.</t>
  </si>
  <si>
    <t>Grade alignment: The problem involves basic percentage calculation (12% increase) and simple addition, which are concepts typically mastered in Primary 5-6. This is too elementary for Secondary O-level 1 students who should be working with more advanced mathematical concepts such as algebraic expressions, simultaneous equations, or more complex percentage problems involving compound changes.</t>
  </si>
  <si>
    <t>Secondary KC Alignment: The multiplication involves decimal numbers (128.40 x 4), not whole numbers as specified in the intended Secondary Knowledge Component of multiplying whole numbers. Synergy: Since the Secondary Knowledge Component is not properly aligned, the synergy between Primary and Secondary components is compromised. Grade Alignment: This problem is too simple for Secondary O-level 1 students. O-level students would be expected to handle more complex percentage problems involving compound interest, multiple percentage changes, or advanced financial calculations rather than basic single percentage increase followed by simple multiplication.</t>
  </si>
  <si>
    <t>Topic alignment: The problem context is about home renovation and carpet purchasing, which relates to home improvement rather than household finance. While it involves money and cost calculation, the core scenario is about renovating a living room rather than managing household finances like income, utility bills, savings, interest, instalment, mortgage, or financial planning.</t>
  </si>
  <si>
    <t>Grade alignment: This problem is too advanced for Secondary O-level 1 students. Finding algebraic expressions for nth terms of arithmetic sequences and evaluating expressions with variables typically belongs to Secondary 2 or 3 level mathematics. Secondary 1 students would more likely work with simple linear equations and basic algebraic manipulation rather than pattern recognition requiring nth term formulation.</t>
  </si>
  <si>
    <t>Grade Alignment: This problem is too elementary for Secondary O-level 2 students. The ratio calculation (184 * 3/8 = 69) and simple division (69/4 = 17.25) involve only basic arithmetic that would typically be mastered in primary grades. Secondary O-level 2 students would expect more complex mathematical concepts and multi-step problem solving appropriate for their advanced level.</t>
  </si>
  <si>
    <t>Grade Alignment: This problem is too advanced for Secondary O-level 2 students as it requires formulating and solving linear inequalities which is typically covered in higher secondary grades. O-level 2 students would typically work with basic algebraic equations rather than inequalities involving real-world financial planning scenarios.</t>
  </si>
  <si>
    <t>Synergy: The two parts (a) and (b) are independent calculations that can be solved separately using the same dataset. Part (a) finding median = 80 dollars and part (b) finding range = 95 - 68 = 27 dollars do not require using results from one question to solve the other. The questions are not connected in tandem as required.</t>
  </si>
  <si>
    <t>ANSWERABILITY: Part (b) is unclear - it asks to find 2^(-2) and interpret it in context of negative indices if the bill had decreased by that factor, but there is no clear connection between 2^(-2) and the actual bill amounts or meaningful interpretation in the electricity bill context. SECONDARY_KC_ALIGNMENT: Part (b) does not properly require negative indices knowledge to solve the main problem - it artificially asks about 2^(-2) without connecting it meaningfully to the bill calculation. SYNERGY: The two parts are not properly connected - part (a) calculates March bill using laws of indices, but part (b) asks about an unrelated 2^(-2) value rather than using the result from part (a). REAL_WORLD_FEASIBILITY: Monthly electricity bill growing by factor of 2^1.5 (approximately 2.83) each month is unrealistic - this would mean a $100 January bill becomes about $800 in March and over $6000 by December. CLARITY: Part (b) is confusing and unclear about what exactly needs to be interpreted and how 2^(-2) relates to the bill scenario. CONCISENESS_AND_RELEVANCE: The value 2^(-2) in part (b) appears arbitrary and not derived from the given information about the bills.</t>
  </si>
  <si>
    <t>grade_alignment: The problem uses matrix operations including scalar multiplication and matrix addition which are typically taught at higher secondary levels or pre-university mathematics, not at O-level 3/4 where basic algebra and arithmetic are the focus. Matrix concepts are generally introduced in O-level Additional Mathematics or A-level Mathematics.</t>
  </si>
  <si>
    <t>grade_alignment: Matrix operations including matrix addition and subtraction are typically introduced at A-level or university level mathematics, not at Secondary O-level 3/4. O-level mathematics curriculum focuses on basic algebra, geometry, trigonometry, and statistics but does not include matrix operations.</t>
  </si>
  <si>
    <t>Grade_alignment: This problem is too advanced for Secondary O-level 3/4 students as it requires understanding of mutually exclusive events and addition rule for probabilities, which are typically covered in higher-level statistics courses or A-level mathematics. Real_world_feasibility: The scenario is unrealistic because utility bills from the same household arriving on mutually exclusive days (meaning they can never arrive on the same Monday) does not reflect how postal delivery systems actually work - there is no mechanism that would prevent two different bills from arriving on the same day.</t>
  </si>
  <si>
    <t>Clarity: The problem contains LaTeX formatting error with [FORMULA] appearing as literal text instead of bold formatting, and [FORMULA] appearing instead of proper dollar sign formatting, making the text unclear. Language Quality: There is a LaTeX syntax error where [FORMULA] is not properly formatted and [FORMULA] symbols are not rendering correctly as dollar signs.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</si>
</sst>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name val="Arial"/>
      <family val="2"/>
      <charset val="163"/>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77"/>
  <sheetViews>
    <sheetView workbookViewId="0"/>
  </sheetViews>
  <sheetFormatPr defaultRowHeight="13.8" x14ac:dyDescent="0.25"/>
  <sheetData>
    <row r="1" spans="1:16"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5">
      <c r="A2" t="s">
        <v>16</v>
      </c>
      <c r="B2" t="s">
        <v>17</v>
      </c>
      <c r="C2">
        <v>0</v>
      </c>
      <c r="D2">
        <v>2.6583800315856929</v>
      </c>
      <c r="E2">
        <v>1</v>
      </c>
      <c r="F2">
        <v>1</v>
      </c>
      <c r="G2">
        <v>1</v>
      </c>
      <c r="H2">
        <v>1</v>
      </c>
      <c r="I2">
        <v>1</v>
      </c>
      <c r="J2">
        <v>1</v>
      </c>
      <c r="K2">
        <v>1</v>
      </c>
      <c r="L2">
        <v>1</v>
      </c>
      <c r="M2">
        <v>1</v>
      </c>
      <c r="N2">
        <v>1</v>
      </c>
      <c r="O2">
        <v>1</v>
      </c>
    </row>
    <row r="3" spans="1:16" x14ac:dyDescent="0.25">
      <c r="A3" t="s">
        <v>16</v>
      </c>
      <c r="B3" t="s">
        <v>18</v>
      </c>
      <c r="C3">
        <v>0</v>
      </c>
      <c r="D3">
        <v>6.8846681118011466</v>
      </c>
      <c r="E3">
        <v>1</v>
      </c>
      <c r="F3">
        <v>1</v>
      </c>
      <c r="G3">
        <v>0</v>
      </c>
      <c r="H3" t="s">
        <v>19</v>
      </c>
      <c r="I3">
        <v>1</v>
      </c>
      <c r="J3">
        <v>1</v>
      </c>
      <c r="K3">
        <v>1</v>
      </c>
      <c r="L3">
        <v>1</v>
      </c>
      <c r="M3">
        <v>0</v>
      </c>
      <c r="N3">
        <v>1</v>
      </c>
      <c r="O3">
        <v>1</v>
      </c>
      <c r="P3" t="s">
        <v>20</v>
      </c>
    </row>
    <row r="4" spans="1:16" x14ac:dyDescent="0.25">
      <c r="A4" t="s">
        <v>16</v>
      </c>
      <c r="B4" t="s">
        <v>21</v>
      </c>
      <c r="C4">
        <v>0</v>
      </c>
      <c r="D4">
        <v>6.5158162117004386</v>
      </c>
      <c r="E4">
        <v>1</v>
      </c>
      <c r="F4">
        <v>1</v>
      </c>
      <c r="G4">
        <v>1</v>
      </c>
      <c r="H4">
        <v>1</v>
      </c>
      <c r="I4">
        <v>0</v>
      </c>
      <c r="J4">
        <v>1</v>
      </c>
      <c r="K4">
        <v>1</v>
      </c>
      <c r="L4">
        <v>1</v>
      </c>
      <c r="M4">
        <v>1</v>
      </c>
      <c r="N4">
        <v>1</v>
      </c>
      <c r="O4">
        <v>1</v>
      </c>
      <c r="P4" t="s">
        <v>22</v>
      </c>
    </row>
    <row r="5" spans="1:16" x14ac:dyDescent="0.25">
      <c r="A5" t="s">
        <v>16</v>
      </c>
      <c r="B5" t="s">
        <v>23</v>
      </c>
      <c r="C5">
        <v>0</v>
      </c>
      <c r="D5">
        <v>2.8390955924987789</v>
      </c>
      <c r="E5">
        <v>1</v>
      </c>
      <c r="F5">
        <v>1</v>
      </c>
      <c r="G5">
        <v>1</v>
      </c>
      <c r="H5">
        <v>1</v>
      </c>
      <c r="I5">
        <v>1</v>
      </c>
      <c r="J5">
        <v>1</v>
      </c>
      <c r="K5">
        <v>1</v>
      </c>
      <c r="L5">
        <v>1</v>
      </c>
      <c r="M5">
        <v>1</v>
      </c>
      <c r="N5">
        <v>1</v>
      </c>
      <c r="O5">
        <v>1</v>
      </c>
    </row>
    <row r="6" spans="1:16" x14ac:dyDescent="0.25">
      <c r="A6" t="s">
        <v>16</v>
      </c>
      <c r="B6" t="s">
        <v>24</v>
      </c>
      <c r="C6">
        <v>0</v>
      </c>
      <c r="D6">
        <v>9.7706348896026611</v>
      </c>
      <c r="E6">
        <v>1</v>
      </c>
      <c r="F6">
        <v>1</v>
      </c>
      <c r="G6">
        <v>1</v>
      </c>
      <c r="H6">
        <v>1</v>
      </c>
      <c r="I6">
        <v>1</v>
      </c>
      <c r="J6">
        <v>1</v>
      </c>
      <c r="K6">
        <v>1</v>
      </c>
      <c r="L6">
        <v>1</v>
      </c>
      <c r="M6">
        <v>1</v>
      </c>
      <c r="N6">
        <v>1</v>
      </c>
      <c r="O6">
        <v>1</v>
      </c>
    </row>
    <row r="7" spans="1:16" x14ac:dyDescent="0.25">
      <c r="A7" t="s">
        <v>16</v>
      </c>
      <c r="B7" t="s">
        <v>25</v>
      </c>
      <c r="C7">
        <v>0</v>
      </c>
      <c r="D7">
        <v>4.9612946510314941</v>
      </c>
      <c r="E7">
        <v>1</v>
      </c>
      <c r="F7">
        <v>1</v>
      </c>
      <c r="G7">
        <v>1</v>
      </c>
      <c r="H7">
        <v>0</v>
      </c>
      <c r="I7">
        <v>1</v>
      </c>
      <c r="J7">
        <v>1</v>
      </c>
      <c r="K7">
        <v>1</v>
      </c>
      <c r="L7">
        <v>1</v>
      </c>
      <c r="M7">
        <v>1</v>
      </c>
      <c r="N7">
        <v>1</v>
      </c>
      <c r="O7">
        <v>1</v>
      </c>
      <c r="P7" t="s">
        <v>26</v>
      </c>
    </row>
    <row r="8" spans="1:16" x14ac:dyDescent="0.25">
      <c r="A8" t="s">
        <v>16</v>
      </c>
      <c r="B8" t="s">
        <v>27</v>
      </c>
      <c r="C8">
        <v>0</v>
      </c>
      <c r="D8">
        <v>2.7199127674102779</v>
      </c>
      <c r="E8">
        <v>1</v>
      </c>
      <c r="F8">
        <v>1</v>
      </c>
      <c r="G8">
        <v>1</v>
      </c>
      <c r="H8">
        <v>1</v>
      </c>
      <c r="I8">
        <v>1</v>
      </c>
      <c r="J8">
        <v>1</v>
      </c>
      <c r="K8">
        <v>1</v>
      </c>
      <c r="L8">
        <v>1</v>
      </c>
      <c r="M8">
        <v>1</v>
      </c>
      <c r="N8">
        <v>1</v>
      </c>
      <c r="O8">
        <v>1</v>
      </c>
    </row>
    <row r="9" spans="1:16" x14ac:dyDescent="0.25">
      <c r="A9" t="s">
        <v>16</v>
      </c>
      <c r="B9" t="s">
        <v>28</v>
      </c>
      <c r="C9">
        <v>0</v>
      </c>
      <c r="D9">
        <v>8.4750845432281494</v>
      </c>
      <c r="E9">
        <v>1</v>
      </c>
      <c r="F9">
        <v>1</v>
      </c>
      <c r="G9">
        <v>1</v>
      </c>
      <c r="H9">
        <v>1</v>
      </c>
      <c r="I9">
        <v>1</v>
      </c>
      <c r="J9">
        <v>1</v>
      </c>
      <c r="K9">
        <v>1</v>
      </c>
      <c r="L9">
        <v>1</v>
      </c>
      <c r="M9">
        <v>1</v>
      </c>
      <c r="N9">
        <v>1</v>
      </c>
      <c r="O9">
        <v>1</v>
      </c>
    </row>
    <row r="10" spans="1:16" x14ac:dyDescent="0.25">
      <c r="A10" t="s">
        <v>16</v>
      </c>
      <c r="B10" t="s">
        <v>29</v>
      </c>
      <c r="C10">
        <v>0</v>
      </c>
      <c r="D10">
        <v>9.8523650169372559</v>
      </c>
      <c r="E10">
        <v>1</v>
      </c>
      <c r="F10">
        <v>1</v>
      </c>
      <c r="G10">
        <v>1</v>
      </c>
      <c r="H10">
        <v>1</v>
      </c>
      <c r="I10">
        <v>1</v>
      </c>
      <c r="J10">
        <v>1</v>
      </c>
      <c r="K10">
        <v>1</v>
      </c>
      <c r="L10">
        <v>1</v>
      </c>
      <c r="M10">
        <v>1</v>
      </c>
      <c r="N10">
        <v>1</v>
      </c>
      <c r="O10">
        <v>1</v>
      </c>
    </row>
    <row r="11" spans="1:16" x14ac:dyDescent="0.25">
      <c r="A11" t="s">
        <v>16</v>
      </c>
      <c r="B11" t="s">
        <v>30</v>
      </c>
      <c r="C11">
        <v>0</v>
      </c>
      <c r="D11">
        <v>2.6821985244750981</v>
      </c>
      <c r="E11">
        <v>1</v>
      </c>
      <c r="F11">
        <v>1</v>
      </c>
      <c r="G11">
        <v>1</v>
      </c>
      <c r="H11">
        <v>1</v>
      </c>
      <c r="I11">
        <v>1</v>
      </c>
      <c r="J11">
        <v>1</v>
      </c>
      <c r="K11">
        <v>1</v>
      </c>
      <c r="L11">
        <v>1</v>
      </c>
      <c r="M11">
        <v>1</v>
      </c>
      <c r="N11">
        <v>1</v>
      </c>
      <c r="O11">
        <v>1</v>
      </c>
    </row>
    <row r="12" spans="1:16" x14ac:dyDescent="0.25">
      <c r="A12" t="s">
        <v>16</v>
      </c>
      <c r="B12" t="s">
        <v>31</v>
      </c>
      <c r="C12">
        <v>0</v>
      </c>
      <c r="D12">
        <v>9.0388016700744629</v>
      </c>
      <c r="E12">
        <v>1</v>
      </c>
      <c r="F12">
        <v>1</v>
      </c>
      <c r="G12">
        <v>1</v>
      </c>
      <c r="H12">
        <v>1</v>
      </c>
      <c r="I12">
        <v>1</v>
      </c>
      <c r="J12">
        <v>1</v>
      </c>
      <c r="K12">
        <v>1</v>
      </c>
      <c r="L12">
        <v>1</v>
      </c>
      <c r="M12">
        <v>1</v>
      </c>
      <c r="N12">
        <v>1</v>
      </c>
      <c r="O12">
        <v>1</v>
      </c>
    </row>
    <row r="13" spans="1:16" x14ac:dyDescent="0.25">
      <c r="A13" t="s">
        <v>16</v>
      </c>
      <c r="B13" t="s">
        <v>32</v>
      </c>
      <c r="C13">
        <v>0</v>
      </c>
      <c r="D13">
        <v>9.6715104579925537</v>
      </c>
      <c r="E13">
        <v>1</v>
      </c>
      <c r="F13">
        <v>1</v>
      </c>
      <c r="G13">
        <v>1</v>
      </c>
      <c r="H13">
        <v>1</v>
      </c>
      <c r="I13">
        <v>1</v>
      </c>
      <c r="J13">
        <v>1</v>
      </c>
      <c r="K13">
        <v>1</v>
      </c>
      <c r="L13">
        <v>1</v>
      </c>
      <c r="M13">
        <v>1</v>
      </c>
      <c r="N13">
        <v>1</v>
      </c>
      <c r="O13">
        <v>1</v>
      </c>
    </row>
    <row r="14" spans="1:16" x14ac:dyDescent="0.25">
      <c r="A14" t="s">
        <v>16</v>
      </c>
      <c r="B14" t="s">
        <v>33</v>
      </c>
      <c r="C14">
        <v>0</v>
      </c>
      <c r="D14">
        <v>9.8740913867950439</v>
      </c>
      <c r="E14">
        <v>1</v>
      </c>
      <c r="F14">
        <v>1</v>
      </c>
      <c r="G14">
        <v>1</v>
      </c>
      <c r="H14">
        <v>0</v>
      </c>
      <c r="I14">
        <v>1</v>
      </c>
      <c r="J14">
        <v>1</v>
      </c>
      <c r="K14">
        <v>1</v>
      </c>
      <c r="L14">
        <v>1</v>
      </c>
      <c r="M14">
        <v>1</v>
      </c>
      <c r="N14">
        <v>1</v>
      </c>
      <c r="O14">
        <v>1</v>
      </c>
      <c r="P14" t="s">
        <v>34</v>
      </c>
    </row>
    <row r="15" spans="1:16" x14ac:dyDescent="0.25">
      <c r="A15" t="s">
        <v>16</v>
      </c>
      <c r="B15" t="s">
        <v>35</v>
      </c>
      <c r="C15">
        <v>0</v>
      </c>
      <c r="D15">
        <v>2.6689901351928711</v>
      </c>
      <c r="E15">
        <v>1</v>
      </c>
      <c r="F15">
        <v>1</v>
      </c>
      <c r="G15">
        <v>1</v>
      </c>
      <c r="H15">
        <v>1</v>
      </c>
      <c r="I15">
        <v>1</v>
      </c>
      <c r="J15">
        <v>1</v>
      </c>
      <c r="K15">
        <v>1</v>
      </c>
      <c r="L15">
        <v>1</v>
      </c>
      <c r="M15">
        <v>1</v>
      </c>
      <c r="N15">
        <v>1</v>
      </c>
      <c r="O15">
        <v>1</v>
      </c>
    </row>
    <row r="16" spans="1:16" x14ac:dyDescent="0.25">
      <c r="A16" t="s">
        <v>16</v>
      </c>
      <c r="B16" t="s">
        <v>36</v>
      </c>
      <c r="C16">
        <v>0</v>
      </c>
      <c r="D16">
        <v>2.6690742969512939</v>
      </c>
      <c r="E16">
        <v>1</v>
      </c>
      <c r="F16">
        <v>1</v>
      </c>
      <c r="G16">
        <v>1</v>
      </c>
      <c r="H16">
        <v>1</v>
      </c>
      <c r="I16">
        <v>1</v>
      </c>
      <c r="J16">
        <v>1</v>
      </c>
      <c r="K16">
        <v>1</v>
      </c>
      <c r="L16">
        <v>1</v>
      </c>
      <c r="M16">
        <v>1</v>
      </c>
      <c r="N16">
        <v>1</v>
      </c>
      <c r="O16">
        <v>1</v>
      </c>
    </row>
    <row r="17" spans="1:16" x14ac:dyDescent="0.25">
      <c r="A17" t="s">
        <v>16</v>
      </c>
      <c r="B17" t="s">
        <v>37</v>
      </c>
      <c r="C17">
        <v>0</v>
      </c>
      <c r="D17">
        <v>4.5211296081542969</v>
      </c>
      <c r="E17">
        <v>1</v>
      </c>
      <c r="F17">
        <v>1</v>
      </c>
      <c r="G17">
        <v>1</v>
      </c>
      <c r="H17">
        <v>0</v>
      </c>
      <c r="I17">
        <v>1</v>
      </c>
      <c r="J17">
        <v>1</v>
      </c>
      <c r="K17">
        <v>1</v>
      </c>
      <c r="L17">
        <v>1</v>
      </c>
      <c r="M17">
        <v>1</v>
      </c>
      <c r="N17">
        <v>1</v>
      </c>
      <c r="O17">
        <v>1</v>
      </c>
      <c r="P17" t="s">
        <v>38</v>
      </c>
    </row>
    <row r="18" spans="1:16" x14ac:dyDescent="0.25">
      <c r="A18" t="s">
        <v>16</v>
      </c>
      <c r="B18" t="s">
        <v>39</v>
      </c>
      <c r="C18">
        <v>0</v>
      </c>
      <c r="D18">
        <v>10.17283296585083</v>
      </c>
      <c r="E18">
        <v>1</v>
      </c>
      <c r="F18">
        <v>1</v>
      </c>
      <c r="G18">
        <v>1</v>
      </c>
      <c r="H18">
        <v>1</v>
      </c>
      <c r="I18">
        <v>1</v>
      </c>
      <c r="J18">
        <v>1</v>
      </c>
      <c r="K18">
        <v>1</v>
      </c>
      <c r="L18">
        <v>1</v>
      </c>
      <c r="M18">
        <v>1</v>
      </c>
      <c r="N18">
        <v>1</v>
      </c>
      <c r="O18">
        <v>1</v>
      </c>
    </row>
    <row r="19" spans="1:16" x14ac:dyDescent="0.25">
      <c r="A19" t="s">
        <v>16</v>
      </c>
      <c r="B19" t="s">
        <v>40</v>
      </c>
      <c r="C19">
        <v>0</v>
      </c>
      <c r="D19">
        <v>3.0347001552581792</v>
      </c>
      <c r="E19">
        <v>1</v>
      </c>
      <c r="F19">
        <v>1</v>
      </c>
      <c r="G19">
        <v>1</v>
      </c>
      <c r="H19">
        <v>1</v>
      </c>
      <c r="I19">
        <v>1</v>
      </c>
      <c r="J19">
        <v>1</v>
      </c>
      <c r="K19">
        <v>1</v>
      </c>
      <c r="L19">
        <v>1</v>
      </c>
      <c r="M19">
        <v>1</v>
      </c>
      <c r="N19">
        <v>1</v>
      </c>
      <c r="O19">
        <v>1</v>
      </c>
    </row>
    <row r="20" spans="1:16" x14ac:dyDescent="0.25">
      <c r="A20" t="s">
        <v>16</v>
      </c>
      <c r="B20" t="s">
        <v>41</v>
      </c>
      <c r="C20">
        <v>0</v>
      </c>
      <c r="D20">
        <v>2.7250320911407471</v>
      </c>
      <c r="E20">
        <v>1</v>
      </c>
      <c r="F20">
        <v>1</v>
      </c>
      <c r="G20">
        <v>1</v>
      </c>
      <c r="H20">
        <v>1</v>
      </c>
      <c r="I20">
        <v>1</v>
      </c>
      <c r="J20">
        <v>1</v>
      </c>
      <c r="K20">
        <v>1</v>
      </c>
      <c r="L20">
        <v>1</v>
      </c>
      <c r="M20">
        <v>1</v>
      </c>
      <c r="N20">
        <v>1</v>
      </c>
      <c r="O20">
        <v>1</v>
      </c>
    </row>
    <row r="21" spans="1:16" x14ac:dyDescent="0.25">
      <c r="A21" t="s">
        <v>16</v>
      </c>
      <c r="B21" t="s">
        <v>42</v>
      </c>
      <c r="C21">
        <v>0</v>
      </c>
      <c r="D21">
        <v>10.51752281188965</v>
      </c>
      <c r="E21">
        <v>0</v>
      </c>
      <c r="F21" t="s">
        <v>19</v>
      </c>
      <c r="G21" t="s">
        <v>19</v>
      </c>
      <c r="H21" t="s">
        <v>19</v>
      </c>
      <c r="I21" t="s">
        <v>19</v>
      </c>
      <c r="J21" t="s">
        <v>19</v>
      </c>
      <c r="K21" t="s">
        <v>19</v>
      </c>
      <c r="L21" t="s">
        <v>19</v>
      </c>
      <c r="M21" t="s">
        <v>19</v>
      </c>
      <c r="N21" t="s">
        <v>19</v>
      </c>
      <c r="O21" t="s">
        <v>19</v>
      </c>
      <c r="P21" t="s">
        <v>43</v>
      </c>
    </row>
    <row r="22" spans="1:16" x14ac:dyDescent="0.25">
      <c r="A22" t="s">
        <v>16</v>
      </c>
      <c r="B22" t="s">
        <v>44</v>
      </c>
      <c r="C22">
        <v>0</v>
      </c>
      <c r="D22">
        <v>3.8668136596679692</v>
      </c>
      <c r="E22">
        <v>1</v>
      </c>
      <c r="F22">
        <v>1</v>
      </c>
      <c r="G22">
        <v>1</v>
      </c>
      <c r="H22">
        <v>1</v>
      </c>
      <c r="I22">
        <v>1</v>
      </c>
      <c r="J22">
        <v>1</v>
      </c>
      <c r="K22">
        <v>0</v>
      </c>
      <c r="L22">
        <v>1</v>
      </c>
      <c r="M22">
        <v>1</v>
      </c>
      <c r="N22">
        <v>1</v>
      </c>
      <c r="O22">
        <v>1</v>
      </c>
      <c r="P22" t="s">
        <v>45</v>
      </c>
    </row>
    <row r="23" spans="1:16" x14ac:dyDescent="0.25">
      <c r="A23" t="s">
        <v>16</v>
      </c>
      <c r="B23" t="s">
        <v>46</v>
      </c>
      <c r="C23">
        <v>0</v>
      </c>
      <c r="D23">
        <v>8.1191189289093018</v>
      </c>
      <c r="E23">
        <v>0</v>
      </c>
      <c r="F23" t="s">
        <v>19</v>
      </c>
      <c r="G23" t="s">
        <v>19</v>
      </c>
      <c r="H23" t="s">
        <v>19</v>
      </c>
      <c r="I23" t="s">
        <v>19</v>
      </c>
      <c r="J23" t="s">
        <v>19</v>
      </c>
      <c r="K23" t="s">
        <v>19</v>
      </c>
      <c r="L23" t="s">
        <v>19</v>
      </c>
      <c r="M23" t="s">
        <v>19</v>
      </c>
      <c r="N23" t="s">
        <v>19</v>
      </c>
      <c r="O23" t="s">
        <v>19</v>
      </c>
      <c r="P23" t="s">
        <v>47</v>
      </c>
    </row>
    <row r="24" spans="1:16" x14ac:dyDescent="0.25">
      <c r="A24" t="s">
        <v>16</v>
      </c>
      <c r="B24" t="s">
        <v>48</v>
      </c>
      <c r="C24">
        <v>0</v>
      </c>
      <c r="D24">
        <v>2.640658855438232</v>
      </c>
      <c r="E24">
        <v>1</v>
      </c>
      <c r="F24">
        <v>1</v>
      </c>
      <c r="G24">
        <v>1</v>
      </c>
      <c r="H24">
        <v>1</v>
      </c>
      <c r="I24">
        <v>1</v>
      </c>
      <c r="J24">
        <v>1</v>
      </c>
      <c r="K24">
        <v>1</v>
      </c>
      <c r="L24">
        <v>1</v>
      </c>
      <c r="M24">
        <v>1</v>
      </c>
      <c r="N24">
        <v>1</v>
      </c>
      <c r="O24">
        <v>1</v>
      </c>
    </row>
    <row r="25" spans="1:16" x14ac:dyDescent="0.25">
      <c r="A25" t="s">
        <v>16</v>
      </c>
      <c r="B25" t="s">
        <v>49</v>
      </c>
      <c r="C25">
        <v>0</v>
      </c>
      <c r="D25">
        <v>7.2839677333831787</v>
      </c>
      <c r="E25">
        <v>1</v>
      </c>
      <c r="F25">
        <v>1</v>
      </c>
      <c r="G25">
        <v>0</v>
      </c>
      <c r="H25" t="s">
        <v>19</v>
      </c>
      <c r="I25">
        <v>1</v>
      </c>
      <c r="J25">
        <v>1</v>
      </c>
      <c r="K25">
        <v>1</v>
      </c>
      <c r="L25">
        <v>1</v>
      </c>
      <c r="M25">
        <v>1</v>
      </c>
      <c r="N25">
        <v>1</v>
      </c>
      <c r="O25">
        <v>1</v>
      </c>
      <c r="P25" t="s">
        <v>50</v>
      </c>
    </row>
    <row r="26" spans="1:16" x14ac:dyDescent="0.25">
      <c r="A26" t="s">
        <v>16</v>
      </c>
      <c r="B26" t="s">
        <v>51</v>
      </c>
      <c r="C26">
        <v>0</v>
      </c>
      <c r="D26">
        <v>2.7380833625793461</v>
      </c>
      <c r="E26">
        <v>1</v>
      </c>
      <c r="F26">
        <v>1</v>
      </c>
      <c r="G26">
        <v>1</v>
      </c>
      <c r="H26">
        <v>1</v>
      </c>
      <c r="I26">
        <v>1</v>
      </c>
      <c r="J26">
        <v>1</v>
      </c>
      <c r="K26">
        <v>1</v>
      </c>
      <c r="L26">
        <v>1</v>
      </c>
      <c r="M26">
        <v>1</v>
      </c>
      <c r="N26">
        <v>1</v>
      </c>
      <c r="O26">
        <v>1</v>
      </c>
    </row>
    <row r="27" spans="1:16" x14ac:dyDescent="0.25">
      <c r="A27" t="s">
        <v>16</v>
      </c>
      <c r="B27" t="s">
        <v>52</v>
      </c>
      <c r="C27">
        <v>0</v>
      </c>
      <c r="D27">
        <v>3.8156611919403081</v>
      </c>
      <c r="E27">
        <v>1</v>
      </c>
      <c r="F27">
        <v>1</v>
      </c>
      <c r="G27">
        <v>1</v>
      </c>
      <c r="H27">
        <v>1</v>
      </c>
      <c r="I27">
        <v>0</v>
      </c>
      <c r="J27">
        <v>1</v>
      </c>
      <c r="K27">
        <v>1</v>
      </c>
      <c r="L27">
        <v>1</v>
      </c>
      <c r="M27">
        <v>1</v>
      </c>
      <c r="N27">
        <v>1</v>
      </c>
      <c r="O27">
        <v>1</v>
      </c>
      <c r="P27" t="s">
        <v>53</v>
      </c>
    </row>
    <row r="28" spans="1:16" x14ac:dyDescent="0.25">
      <c r="A28" t="s">
        <v>16</v>
      </c>
      <c r="B28" t="s">
        <v>54</v>
      </c>
      <c r="C28">
        <v>0</v>
      </c>
      <c r="D28">
        <v>9.8709166049957275</v>
      </c>
      <c r="E28">
        <v>0</v>
      </c>
      <c r="F28" t="s">
        <v>19</v>
      </c>
      <c r="G28" t="s">
        <v>19</v>
      </c>
      <c r="H28" t="s">
        <v>19</v>
      </c>
      <c r="I28" t="s">
        <v>19</v>
      </c>
      <c r="J28" t="s">
        <v>19</v>
      </c>
      <c r="K28" t="s">
        <v>19</v>
      </c>
      <c r="L28" t="s">
        <v>19</v>
      </c>
      <c r="M28" t="s">
        <v>19</v>
      </c>
      <c r="N28" t="s">
        <v>19</v>
      </c>
      <c r="O28" t="s">
        <v>19</v>
      </c>
      <c r="P28" t="s">
        <v>55</v>
      </c>
    </row>
    <row r="29" spans="1:16" x14ac:dyDescent="0.25">
      <c r="A29" t="s">
        <v>16</v>
      </c>
      <c r="B29" t="s">
        <v>56</v>
      </c>
      <c r="C29">
        <v>0</v>
      </c>
      <c r="D29">
        <v>15.16330194473267</v>
      </c>
      <c r="E29">
        <v>0</v>
      </c>
      <c r="F29" t="s">
        <v>19</v>
      </c>
      <c r="G29" t="s">
        <v>19</v>
      </c>
      <c r="H29" t="s">
        <v>19</v>
      </c>
      <c r="I29" t="s">
        <v>19</v>
      </c>
      <c r="J29" t="s">
        <v>19</v>
      </c>
      <c r="K29" t="s">
        <v>19</v>
      </c>
      <c r="L29" t="s">
        <v>19</v>
      </c>
      <c r="M29" t="s">
        <v>19</v>
      </c>
      <c r="N29" t="s">
        <v>19</v>
      </c>
      <c r="O29" t="s">
        <v>19</v>
      </c>
      <c r="P29" t="s">
        <v>57</v>
      </c>
    </row>
    <row r="30" spans="1:16" x14ac:dyDescent="0.25">
      <c r="A30" t="s">
        <v>16</v>
      </c>
      <c r="B30" t="s">
        <v>58</v>
      </c>
      <c r="C30">
        <v>0</v>
      </c>
      <c r="D30">
        <v>10.79373478889465</v>
      </c>
      <c r="E30">
        <v>1</v>
      </c>
      <c r="F30">
        <v>1</v>
      </c>
      <c r="G30">
        <v>1</v>
      </c>
      <c r="H30">
        <v>1</v>
      </c>
      <c r="I30">
        <v>0</v>
      </c>
      <c r="J30">
        <v>1</v>
      </c>
      <c r="K30">
        <v>1</v>
      </c>
      <c r="L30">
        <v>1</v>
      </c>
      <c r="M30">
        <v>1</v>
      </c>
      <c r="N30">
        <v>1</v>
      </c>
      <c r="O30">
        <v>1</v>
      </c>
      <c r="P30" t="s">
        <v>59</v>
      </c>
    </row>
    <row r="31" spans="1:16" x14ac:dyDescent="0.25">
      <c r="A31" t="s">
        <v>16</v>
      </c>
      <c r="B31" t="s">
        <v>60</v>
      </c>
      <c r="C31">
        <v>0</v>
      </c>
      <c r="D31">
        <v>12.25646877288818</v>
      </c>
      <c r="E31">
        <v>1</v>
      </c>
      <c r="F31">
        <v>0</v>
      </c>
      <c r="G31">
        <v>1</v>
      </c>
      <c r="H31" t="s">
        <v>19</v>
      </c>
      <c r="I31">
        <v>1</v>
      </c>
      <c r="J31" t="s">
        <v>19</v>
      </c>
      <c r="K31">
        <v>1</v>
      </c>
      <c r="L31">
        <v>1</v>
      </c>
      <c r="M31">
        <v>1</v>
      </c>
      <c r="N31">
        <v>1</v>
      </c>
      <c r="O31">
        <v>1</v>
      </c>
      <c r="P31" t="s">
        <v>61</v>
      </c>
    </row>
    <row r="32" spans="1:16" x14ac:dyDescent="0.25">
      <c r="A32" t="s">
        <v>16</v>
      </c>
      <c r="B32" t="s">
        <v>62</v>
      </c>
      <c r="C32">
        <v>0</v>
      </c>
      <c r="D32">
        <v>12.46512985229492</v>
      </c>
      <c r="E32">
        <v>1</v>
      </c>
      <c r="F32">
        <v>0</v>
      </c>
      <c r="G32">
        <v>0</v>
      </c>
      <c r="H32" t="s">
        <v>19</v>
      </c>
      <c r="I32">
        <v>1</v>
      </c>
      <c r="J32" t="s">
        <v>19</v>
      </c>
      <c r="K32">
        <v>0</v>
      </c>
      <c r="L32">
        <v>0</v>
      </c>
      <c r="M32">
        <v>1</v>
      </c>
      <c r="N32">
        <v>1</v>
      </c>
      <c r="O32">
        <v>1</v>
      </c>
      <c r="P32" t="s">
        <v>63</v>
      </c>
    </row>
    <row r="33" spans="1:16" x14ac:dyDescent="0.25">
      <c r="A33" t="s">
        <v>16</v>
      </c>
      <c r="B33" t="s">
        <v>64</v>
      </c>
      <c r="C33">
        <v>0</v>
      </c>
      <c r="D33">
        <v>2.7459158897399898</v>
      </c>
      <c r="E33">
        <v>1</v>
      </c>
      <c r="F33">
        <v>1</v>
      </c>
      <c r="G33">
        <v>1</v>
      </c>
      <c r="H33">
        <v>1</v>
      </c>
      <c r="I33">
        <v>1</v>
      </c>
      <c r="J33">
        <v>1</v>
      </c>
      <c r="K33">
        <v>1</v>
      </c>
      <c r="L33">
        <v>1</v>
      </c>
      <c r="M33">
        <v>1</v>
      </c>
      <c r="N33">
        <v>1</v>
      </c>
      <c r="O33">
        <v>1</v>
      </c>
    </row>
    <row r="34" spans="1:16" x14ac:dyDescent="0.25">
      <c r="A34" t="s">
        <v>16</v>
      </c>
      <c r="B34" t="s">
        <v>65</v>
      </c>
      <c r="C34">
        <v>0</v>
      </c>
      <c r="D34">
        <v>13.149688959121701</v>
      </c>
      <c r="E34">
        <v>0</v>
      </c>
      <c r="F34" t="s">
        <v>19</v>
      </c>
      <c r="G34" t="s">
        <v>19</v>
      </c>
      <c r="H34" t="s">
        <v>19</v>
      </c>
      <c r="I34" t="s">
        <v>19</v>
      </c>
      <c r="J34" t="s">
        <v>19</v>
      </c>
      <c r="K34" t="s">
        <v>19</v>
      </c>
      <c r="L34" t="s">
        <v>19</v>
      </c>
      <c r="M34" t="s">
        <v>19</v>
      </c>
      <c r="N34" t="s">
        <v>19</v>
      </c>
      <c r="O34" t="s">
        <v>19</v>
      </c>
      <c r="P34" t="s">
        <v>66</v>
      </c>
    </row>
    <row r="35" spans="1:16" x14ac:dyDescent="0.25">
      <c r="A35" t="s">
        <v>16</v>
      </c>
      <c r="B35" t="s">
        <v>67</v>
      </c>
      <c r="C35">
        <v>0</v>
      </c>
      <c r="D35">
        <v>11.11135649681091</v>
      </c>
      <c r="E35">
        <v>1</v>
      </c>
      <c r="F35">
        <v>1</v>
      </c>
      <c r="G35">
        <v>0</v>
      </c>
      <c r="H35" t="s">
        <v>19</v>
      </c>
      <c r="I35">
        <v>1</v>
      </c>
      <c r="J35">
        <v>1</v>
      </c>
      <c r="K35">
        <v>1</v>
      </c>
      <c r="L35">
        <v>1</v>
      </c>
      <c r="M35">
        <v>1</v>
      </c>
      <c r="N35">
        <v>1</v>
      </c>
      <c r="O35">
        <v>1</v>
      </c>
      <c r="P35" t="s">
        <v>68</v>
      </c>
    </row>
    <row r="36" spans="1:16" x14ac:dyDescent="0.25">
      <c r="A36" t="s">
        <v>16</v>
      </c>
      <c r="B36" t="s">
        <v>69</v>
      </c>
      <c r="C36">
        <v>0</v>
      </c>
      <c r="D36">
        <v>2.7748928070068359</v>
      </c>
      <c r="E36">
        <v>1</v>
      </c>
      <c r="F36">
        <v>1</v>
      </c>
      <c r="G36">
        <v>1</v>
      </c>
      <c r="H36">
        <v>1</v>
      </c>
      <c r="I36">
        <v>1</v>
      </c>
      <c r="J36">
        <v>1</v>
      </c>
      <c r="K36">
        <v>1</v>
      </c>
      <c r="L36">
        <v>1</v>
      </c>
      <c r="M36">
        <v>1</v>
      </c>
      <c r="N36">
        <v>1</v>
      </c>
      <c r="O36">
        <v>1</v>
      </c>
    </row>
    <row r="37" spans="1:16" x14ac:dyDescent="0.25">
      <c r="A37" t="s">
        <v>16</v>
      </c>
      <c r="B37" t="s">
        <v>70</v>
      </c>
      <c r="C37">
        <v>0</v>
      </c>
      <c r="D37">
        <v>9.8246068954467773</v>
      </c>
      <c r="E37">
        <v>1</v>
      </c>
      <c r="F37">
        <v>1</v>
      </c>
      <c r="G37">
        <v>1</v>
      </c>
      <c r="H37">
        <v>1</v>
      </c>
      <c r="I37">
        <v>1</v>
      </c>
      <c r="J37">
        <v>1</v>
      </c>
      <c r="K37">
        <v>1</v>
      </c>
      <c r="L37">
        <v>1</v>
      </c>
      <c r="M37">
        <v>1</v>
      </c>
      <c r="N37">
        <v>1</v>
      </c>
      <c r="O37">
        <v>1</v>
      </c>
    </row>
    <row r="38" spans="1:16" x14ac:dyDescent="0.25">
      <c r="A38" t="s">
        <v>16</v>
      </c>
      <c r="B38" t="s">
        <v>71</v>
      </c>
      <c r="C38">
        <v>0</v>
      </c>
      <c r="D38">
        <v>2.674505233764648</v>
      </c>
      <c r="E38">
        <v>1</v>
      </c>
      <c r="F38">
        <v>1</v>
      </c>
      <c r="G38">
        <v>1</v>
      </c>
      <c r="H38">
        <v>1</v>
      </c>
      <c r="I38">
        <v>1</v>
      </c>
      <c r="J38">
        <v>1</v>
      </c>
      <c r="K38">
        <v>1</v>
      </c>
      <c r="L38">
        <v>1</v>
      </c>
      <c r="M38">
        <v>1</v>
      </c>
      <c r="N38">
        <v>1</v>
      </c>
      <c r="O38">
        <v>1</v>
      </c>
    </row>
    <row r="39" spans="1:16" x14ac:dyDescent="0.25">
      <c r="A39" t="s">
        <v>16</v>
      </c>
      <c r="B39" t="s">
        <v>72</v>
      </c>
      <c r="C39">
        <v>0</v>
      </c>
      <c r="D39">
        <v>3.8939869403839111</v>
      </c>
      <c r="E39">
        <v>1</v>
      </c>
      <c r="F39">
        <v>1</v>
      </c>
      <c r="G39">
        <v>1</v>
      </c>
      <c r="H39">
        <v>1</v>
      </c>
      <c r="I39">
        <v>0</v>
      </c>
      <c r="J39">
        <v>1</v>
      </c>
      <c r="K39">
        <v>1</v>
      </c>
      <c r="L39">
        <v>1</v>
      </c>
      <c r="M39">
        <v>1</v>
      </c>
      <c r="N39">
        <v>1</v>
      </c>
      <c r="O39">
        <v>1</v>
      </c>
      <c r="P39" t="s">
        <v>73</v>
      </c>
    </row>
    <row r="40" spans="1:16" x14ac:dyDescent="0.25">
      <c r="A40" t="s">
        <v>16</v>
      </c>
      <c r="B40" t="s">
        <v>74</v>
      </c>
      <c r="C40">
        <v>0</v>
      </c>
      <c r="D40">
        <v>11.71636915206909</v>
      </c>
      <c r="E40">
        <v>1</v>
      </c>
      <c r="F40">
        <v>1</v>
      </c>
      <c r="G40">
        <v>0</v>
      </c>
      <c r="H40" t="s">
        <v>19</v>
      </c>
      <c r="I40">
        <v>1</v>
      </c>
      <c r="J40">
        <v>1</v>
      </c>
      <c r="K40">
        <v>0</v>
      </c>
      <c r="L40">
        <v>1</v>
      </c>
      <c r="M40">
        <v>1</v>
      </c>
      <c r="N40">
        <v>1</v>
      </c>
      <c r="O40">
        <v>1</v>
      </c>
      <c r="P40" t="s">
        <v>75</v>
      </c>
    </row>
    <row r="41" spans="1:16" x14ac:dyDescent="0.25">
      <c r="A41" t="s">
        <v>16</v>
      </c>
      <c r="B41" t="s">
        <v>76</v>
      </c>
      <c r="C41">
        <v>0</v>
      </c>
      <c r="D41">
        <v>13.00593948364258</v>
      </c>
      <c r="E41">
        <v>0</v>
      </c>
      <c r="F41" t="s">
        <v>19</v>
      </c>
      <c r="G41" t="s">
        <v>19</v>
      </c>
      <c r="H41" t="s">
        <v>19</v>
      </c>
      <c r="I41" t="s">
        <v>19</v>
      </c>
      <c r="J41" t="s">
        <v>19</v>
      </c>
      <c r="K41" t="s">
        <v>19</v>
      </c>
      <c r="L41" t="s">
        <v>19</v>
      </c>
      <c r="M41" t="s">
        <v>19</v>
      </c>
      <c r="N41" t="s">
        <v>19</v>
      </c>
      <c r="O41" t="s">
        <v>19</v>
      </c>
      <c r="P41" t="s">
        <v>77</v>
      </c>
    </row>
    <row r="42" spans="1:16" x14ac:dyDescent="0.25">
      <c r="A42" t="s">
        <v>16</v>
      </c>
      <c r="B42" t="s">
        <v>78</v>
      </c>
      <c r="C42">
        <v>0</v>
      </c>
      <c r="D42">
        <v>11.58795857429504</v>
      </c>
      <c r="E42">
        <v>0</v>
      </c>
      <c r="F42" t="s">
        <v>19</v>
      </c>
      <c r="G42" t="s">
        <v>19</v>
      </c>
      <c r="H42" t="s">
        <v>19</v>
      </c>
      <c r="I42" t="s">
        <v>19</v>
      </c>
      <c r="J42" t="s">
        <v>19</v>
      </c>
      <c r="K42" t="s">
        <v>19</v>
      </c>
      <c r="L42" t="s">
        <v>19</v>
      </c>
      <c r="M42" t="s">
        <v>19</v>
      </c>
      <c r="N42" t="s">
        <v>19</v>
      </c>
      <c r="O42" t="s">
        <v>19</v>
      </c>
      <c r="P42" t="s">
        <v>79</v>
      </c>
    </row>
    <row r="43" spans="1:16" x14ac:dyDescent="0.25">
      <c r="A43" t="s">
        <v>16</v>
      </c>
      <c r="B43" t="s">
        <v>80</v>
      </c>
      <c r="C43">
        <v>0</v>
      </c>
      <c r="D43">
        <v>2.796353816986084</v>
      </c>
      <c r="E43">
        <v>1</v>
      </c>
      <c r="F43">
        <v>1</v>
      </c>
      <c r="G43">
        <v>1</v>
      </c>
      <c r="H43">
        <v>1</v>
      </c>
      <c r="I43">
        <v>1</v>
      </c>
      <c r="J43">
        <v>1</v>
      </c>
      <c r="K43">
        <v>1</v>
      </c>
      <c r="L43">
        <v>1</v>
      </c>
      <c r="M43">
        <v>1</v>
      </c>
      <c r="N43">
        <v>1</v>
      </c>
      <c r="O43">
        <v>1</v>
      </c>
    </row>
    <row r="44" spans="1:16" x14ac:dyDescent="0.25">
      <c r="A44" t="s">
        <v>16</v>
      </c>
      <c r="B44" t="s">
        <v>81</v>
      </c>
      <c r="C44">
        <v>0</v>
      </c>
      <c r="D44">
        <v>5.0860662460327148</v>
      </c>
      <c r="E44">
        <v>1</v>
      </c>
      <c r="F44">
        <v>1</v>
      </c>
      <c r="G44">
        <v>1</v>
      </c>
      <c r="H44">
        <v>0</v>
      </c>
      <c r="I44">
        <v>1</v>
      </c>
      <c r="J44">
        <v>1</v>
      </c>
      <c r="K44">
        <v>1</v>
      </c>
      <c r="L44">
        <v>1</v>
      </c>
      <c r="M44">
        <v>1</v>
      </c>
      <c r="N44">
        <v>1</v>
      </c>
      <c r="O44">
        <v>1</v>
      </c>
      <c r="P44" t="s">
        <v>82</v>
      </c>
    </row>
    <row r="45" spans="1:16" x14ac:dyDescent="0.25">
      <c r="A45" t="s">
        <v>16</v>
      </c>
      <c r="B45" t="s">
        <v>83</v>
      </c>
      <c r="C45">
        <v>0</v>
      </c>
      <c r="D45">
        <v>5.140148401260376</v>
      </c>
      <c r="E45">
        <v>1</v>
      </c>
      <c r="F45">
        <v>1</v>
      </c>
      <c r="G45">
        <v>0</v>
      </c>
      <c r="H45" t="s">
        <v>19</v>
      </c>
      <c r="I45">
        <v>1</v>
      </c>
      <c r="J45">
        <v>1</v>
      </c>
      <c r="K45">
        <v>1</v>
      </c>
      <c r="L45">
        <v>1</v>
      </c>
      <c r="M45">
        <v>1</v>
      </c>
      <c r="N45">
        <v>1</v>
      </c>
      <c r="O45">
        <v>1</v>
      </c>
      <c r="P45" t="s">
        <v>84</v>
      </c>
    </row>
    <row r="46" spans="1:16" x14ac:dyDescent="0.25">
      <c r="A46" t="s">
        <v>16</v>
      </c>
      <c r="B46" t="s">
        <v>85</v>
      </c>
      <c r="C46">
        <v>0</v>
      </c>
      <c r="D46">
        <v>10.26888942718506</v>
      </c>
      <c r="E46">
        <v>1</v>
      </c>
      <c r="F46">
        <v>1</v>
      </c>
      <c r="G46">
        <v>0</v>
      </c>
      <c r="H46" t="s">
        <v>19</v>
      </c>
      <c r="I46">
        <v>1</v>
      </c>
      <c r="J46">
        <v>0</v>
      </c>
      <c r="K46">
        <v>1</v>
      </c>
      <c r="L46">
        <v>1</v>
      </c>
      <c r="M46">
        <v>1</v>
      </c>
      <c r="N46">
        <v>1</v>
      </c>
      <c r="O46">
        <v>1</v>
      </c>
      <c r="P46" t="s">
        <v>86</v>
      </c>
    </row>
    <row r="47" spans="1:16" x14ac:dyDescent="0.25">
      <c r="A47" t="s">
        <v>16</v>
      </c>
      <c r="B47" t="s">
        <v>87</v>
      </c>
      <c r="C47">
        <v>0</v>
      </c>
      <c r="D47">
        <v>10.43436336517334</v>
      </c>
      <c r="E47">
        <v>1</v>
      </c>
      <c r="F47">
        <v>1</v>
      </c>
      <c r="G47">
        <v>1</v>
      </c>
      <c r="H47">
        <v>1</v>
      </c>
      <c r="I47">
        <v>1</v>
      </c>
      <c r="J47">
        <v>0</v>
      </c>
      <c r="K47">
        <v>1</v>
      </c>
      <c r="L47">
        <v>1</v>
      </c>
      <c r="M47">
        <v>1</v>
      </c>
      <c r="N47">
        <v>1</v>
      </c>
      <c r="O47">
        <v>1</v>
      </c>
      <c r="P47" t="s">
        <v>88</v>
      </c>
    </row>
    <row r="48" spans="1:16" x14ac:dyDescent="0.25">
      <c r="A48" t="s">
        <v>16</v>
      </c>
      <c r="B48" t="s">
        <v>89</v>
      </c>
      <c r="C48">
        <v>0</v>
      </c>
      <c r="D48">
        <v>11.80505681037903</v>
      </c>
      <c r="E48">
        <v>1</v>
      </c>
      <c r="F48">
        <v>1</v>
      </c>
      <c r="G48">
        <v>1</v>
      </c>
      <c r="H48">
        <v>1</v>
      </c>
      <c r="I48">
        <v>1</v>
      </c>
      <c r="J48">
        <v>0</v>
      </c>
      <c r="K48">
        <v>1</v>
      </c>
      <c r="L48">
        <v>1</v>
      </c>
      <c r="M48">
        <v>1</v>
      </c>
      <c r="N48">
        <v>1</v>
      </c>
      <c r="O48">
        <v>1</v>
      </c>
      <c r="P48" t="s">
        <v>90</v>
      </c>
    </row>
    <row r="49" spans="1:16" x14ac:dyDescent="0.25">
      <c r="A49" t="s">
        <v>16</v>
      </c>
      <c r="B49" t="s">
        <v>91</v>
      </c>
      <c r="C49">
        <v>0</v>
      </c>
      <c r="D49">
        <v>7.7860157489776611</v>
      </c>
      <c r="E49">
        <v>0</v>
      </c>
      <c r="F49" t="s">
        <v>19</v>
      </c>
      <c r="G49" t="s">
        <v>19</v>
      </c>
      <c r="H49" t="s">
        <v>19</v>
      </c>
      <c r="I49" t="s">
        <v>19</v>
      </c>
      <c r="J49" t="s">
        <v>19</v>
      </c>
      <c r="K49" t="s">
        <v>19</v>
      </c>
      <c r="L49" t="s">
        <v>19</v>
      </c>
      <c r="M49" t="s">
        <v>19</v>
      </c>
      <c r="N49" t="s">
        <v>19</v>
      </c>
      <c r="O49" t="s">
        <v>19</v>
      </c>
      <c r="P49" t="s">
        <v>92</v>
      </c>
    </row>
    <row r="50" spans="1:16" x14ac:dyDescent="0.25">
      <c r="A50" t="s">
        <v>16</v>
      </c>
      <c r="B50" t="s">
        <v>93</v>
      </c>
      <c r="C50">
        <v>0</v>
      </c>
      <c r="D50">
        <v>8.9923710823059082</v>
      </c>
      <c r="E50">
        <v>1</v>
      </c>
      <c r="F50">
        <v>1</v>
      </c>
      <c r="G50">
        <v>1</v>
      </c>
      <c r="H50">
        <v>1</v>
      </c>
      <c r="I50">
        <v>1</v>
      </c>
      <c r="J50">
        <v>1</v>
      </c>
      <c r="K50">
        <v>1</v>
      </c>
      <c r="L50">
        <v>1</v>
      </c>
      <c r="M50">
        <v>1</v>
      </c>
      <c r="N50">
        <v>1</v>
      </c>
      <c r="O50">
        <v>1</v>
      </c>
    </row>
    <row r="51" spans="1:16" x14ac:dyDescent="0.25">
      <c r="A51" t="s">
        <v>94</v>
      </c>
      <c r="B51" t="s">
        <v>17</v>
      </c>
      <c r="C51">
        <v>0</v>
      </c>
      <c r="D51">
        <v>11.762506246566771</v>
      </c>
      <c r="E51">
        <v>1</v>
      </c>
      <c r="F51">
        <v>1</v>
      </c>
      <c r="G51">
        <v>1</v>
      </c>
      <c r="H51">
        <v>1</v>
      </c>
      <c r="I51">
        <v>1</v>
      </c>
      <c r="J51">
        <v>0</v>
      </c>
      <c r="K51">
        <v>1</v>
      </c>
      <c r="L51">
        <v>1</v>
      </c>
      <c r="M51">
        <v>1</v>
      </c>
      <c r="N51">
        <v>1</v>
      </c>
      <c r="O51">
        <v>1</v>
      </c>
      <c r="P51" t="s">
        <v>95</v>
      </c>
    </row>
    <row r="52" spans="1:16" x14ac:dyDescent="0.25">
      <c r="A52" t="s">
        <v>94</v>
      </c>
      <c r="B52" t="s">
        <v>18</v>
      </c>
      <c r="C52">
        <v>0</v>
      </c>
      <c r="D52">
        <v>10.067464828491209</v>
      </c>
      <c r="E52">
        <v>1</v>
      </c>
      <c r="F52">
        <v>1</v>
      </c>
      <c r="G52">
        <v>1</v>
      </c>
      <c r="H52">
        <v>1</v>
      </c>
      <c r="I52">
        <v>1</v>
      </c>
      <c r="J52">
        <v>1</v>
      </c>
      <c r="K52">
        <v>1</v>
      </c>
      <c r="L52">
        <v>1</v>
      </c>
      <c r="M52">
        <v>1</v>
      </c>
      <c r="N52">
        <v>1</v>
      </c>
      <c r="O52">
        <v>1</v>
      </c>
    </row>
    <row r="53" spans="1:16" x14ac:dyDescent="0.25">
      <c r="A53" t="s">
        <v>94</v>
      </c>
      <c r="B53" t="s">
        <v>21</v>
      </c>
      <c r="C53">
        <v>0</v>
      </c>
      <c r="D53">
        <v>10.593606472015381</v>
      </c>
      <c r="E53">
        <v>1</v>
      </c>
      <c r="F53">
        <v>1</v>
      </c>
      <c r="G53">
        <v>1</v>
      </c>
      <c r="H53">
        <v>1</v>
      </c>
      <c r="I53">
        <v>1</v>
      </c>
      <c r="J53">
        <v>1</v>
      </c>
      <c r="K53">
        <v>0</v>
      </c>
      <c r="L53">
        <v>1</v>
      </c>
      <c r="M53">
        <v>1</v>
      </c>
      <c r="N53">
        <v>1</v>
      </c>
      <c r="O53">
        <v>1</v>
      </c>
      <c r="P53" t="s">
        <v>96</v>
      </c>
    </row>
    <row r="54" spans="1:16" x14ac:dyDescent="0.25">
      <c r="A54" t="s">
        <v>94</v>
      </c>
      <c r="B54" t="s">
        <v>23</v>
      </c>
      <c r="C54">
        <v>0</v>
      </c>
      <c r="D54">
        <v>12.325054883956909</v>
      </c>
      <c r="E54">
        <v>0</v>
      </c>
      <c r="F54" t="s">
        <v>19</v>
      </c>
      <c r="G54" t="s">
        <v>19</v>
      </c>
      <c r="H54" t="s">
        <v>19</v>
      </c>
      <c r="I54" t="s">
        <v>19</v>
      </c>
      <c r="J54" t="s">
        <v>19</v>
      </c>
      <c r="K54" t="s">
        <v>19</v>
      </c>
      <c r="L54" t="s">
        <v>19</v>
      </c>
      <c r="M54" t="s">
        <v>19</v>
      </c>
      <c r="N54" t="s">
        <v>19</v>
      </c>
      <c r="O54" t="s">
        <v>19</v>
      </c>
      <c r="P54" t="s">
        <v>97</v>
      </c>
    </row>
    <row r="55" spans="1:16" x14ac:dyDescent="0.25">
      <c r="A55" t="s">
        <v>94</v>
      </c>
      <c r="B55" t="s">
        <v>24</v>
      </c>
      <c r="C55">
        <v>0</v>
      </c>
      <c r="D55">
        <v>2.770398855209351</v>
      </c>
      <c r="E55">
        <v>1</v>
      </c>
      <c r="F55">
        <v>1</v>
      </c>
      <c r="G55">
        <v>1</v>
      </c>
      <c r="H55">
        <v>1</v>
      </c>
      <c r="I55">
        <v>1</v>
      </c>
      <c r="J55">
        <v>1</v>
      </c>
      <c r="K55">
        <v>1</v>
      </c>
      <c r="L55">
        <v>1</v>
      </c>
      <c r="M55">
        <v>1</v>
      </c>
      <c r="N55">
        <v>1</v>
      </c>
      <c r="O55">
        <v>1</v>
      </c>
    </row>
    <row r="56" spans="1:16" x14ac:dyDescent="0.25">
      <c r="A56" t="s">
        <v>94</v>
      </c>
      <c r="B56" t="s">
        <v>25</v>
      </c>
      <c r="C56">
        <v>0</v>
      </c>
      <c r="D56">
        <v>7.599085807800293</v>
      </c>
      <c r="E56">
        <v>1</v>
      </c>
      <c r="F56">
        <v>1</v>
      </c>
      <c r="G56">
        <v>1</v>
      </c>
      <c r="H56">
        <v>1</v>
      </c>
      <c r="I56">
        <v>1</v>
      </c>
      <c r="J56">
        <v>0</v>
      </c>
      <c r="K56">
        <v>1</v>
      </c>
      <c r="L56">
        <v>1</v>
      </c>
      <c r="M56">
        <v>1</v>
      </c>
      <c r="N56">
        <v>1</v>
      </c>
      <c r="O56">
        <v>1</v>
      </c>
      <c r="P56" t="s">
        <v>98</v>
      </c>
    </row>
    <row r="57" spans="1:16" x14ac:dyDescent="0.25">
      <c r="A57" t="s">
        <v>94</v>
      </c>
      <c r="B57" t="s">
        <v>27</v>
      </c>
      <c r="C57">
        <v>0</v>
      </c>
      <c r="D57">
        <v>2.7679347991943359</v>
      </c>
      <c r="E57">
        <v>1</v>
      </c>
      <c r="F57">
        <v>1</v>
      </c>
      <c r="G57">
        <v>1</v>
      </c>
      <c r="H57">
        <v>1</v>
      </c>
      <c r="I57">
        <v>1</v>
      </c>
      <c r="J57">
        <v>1</v>
      </c>
      <c r="K57">
        <v>1</v>
      </c>
      <c r="L57">
        <v>1</v>
      </c>
      <c r="M57">
        <v>1</v>
      </c>
      <c r="N57">
        <v>1</v>
      </c>
      <c r="O57">
        <v>1</v>
      </c>
    </row>
    <row r="58" spans="1:16" x14ac:dyDescent="0.25">
      <c r="A58" t="s">
        <v>94</v>
      </c>
      <c r="B58" t="s">
        <v>28</v>
      </c>
      <c r="C58">
        <v>0</v>
      </c>
      <c r="D58">
        <v>5.3730757236480713</v>
      </c>
      <c r="E58">
        <v>1</v>
      </c>
      <c r="F58">
        <v>1</v>
      </c>
      <c r="G58">
        <v>1</v>
      </c>
      <c r="H58">
        <v>1</v>
      </c>
      <c r="I58">
        <v>0</v>
      </c>
      <c r="J58">
        <v>0</v>
      </c>
      <c r="K58">
        <v>1</v>
      </c>
      <c r="L58">
        <v>1</v>
      </c>
      <c r="M58">
        <v>1</v>
      </c>
      <c r="N58">
        <v>1</v>
      </c>
      <c r="O58">
        <v>1</v>
      </c>
      <c r="P58" t="s">
        <v>99</v>
      </c>
    </row>
    <row r="59" spans="1:16" x14ac:dyDescent="0.25">
      <c r="A59" t="s">
        <v>94</v>
      </c>
      <c r="B59" t="s">
        <v>29</v>
      </c>
      <c r="C59">
        <v>0</v>
      </c>
      <c r="D59">
        <v>5.1091876029968262</v>
      </c>
      <c r="E59">
        <v>1</v>
      </c>
      <c r="F59">
        <v>1</v>
      </c>
      <c r="G59">
        <v>1</v>
      </c>
      <c r="H59">
        <v>1</v>
      </c>
      <c r="I59">
        <v>0</v>
      </c>
      <c r="J59">
        <v>1</v>
      </c>
      <c r="K59">
        <v>0</v>
      </c>
      <c r="L59">
        <v>1</v>
      </c>
      <c r="M59">
        <v>1</v>
      </c>
      <c r="N59">
        <v>1</v>
      </c>
      <c r="O59">
        <v>1</v>
      </c>
      <c r="P59" t="s">
        <v>100</v>
      </c>
    </row>
    <row r="60" spans="1:16" x14ac:dyDescent="0.25">
      <c r="A60" t="s">
        <v>94</v>
      </c>
      <c r="B60" t="s">
        <v>30</v>
      </c>
      <c r="C60">
        <v>0</v>
      </c>
      <c r="D60">
        <v>11.624722480773929</v>
      </c>
      <c r="E60">
        <v>0</v>
      </c>
      <c r="F60" t="s">
        <v>19</v>
      </c>
      <c r="G60" t="s">
        <v>19</v>
      </c>
      <c r="H60" t="s">
        <v>19</v>
      </c>
      <c r="I60" t="s">
        <v>19</v>
      </c>
      <c r="J60" t="s">
        <v>19</v>
      </c>
      <c r="K60" t="s">
        <v>19</v>
      </c>
      <c r="L60" t="s">
        <v>19</v>
      </c>
      <c r="M60" t="s">
        <v>19</v>
      </c>
      <c r="N60" t="s">
        <v>19</v>
      </c>
      <c r="O60" t="s">
        <v>19</v>
      </c>
      <c r="P60" t="s">
        <v>101</v>
      </c>
    </row>
    <row r="61" spans="1:16" x14ac:dyDescent="0.25">
      <c r="A61" t="s">
        <v>94</v>
      </c>
      <c r="B61" t="s">
        <v>31</v>
      </c>
      <c r="C61">
        <v>0</v>
      </c>
      <c r="D61">
        <v>8.8031871318817139</v>
      </c>
      <c r="E61">
        <v>1</v>
      </c>
      <c r="F61">
        <v>1</v>
      </c>
      <c r="G61">
        <v>1</v>
      </c>
      <c r="H61">
        <v>1</v>
      </c>
      <c r="I61">
        <v>1</v>
      </c>
      <c r="J61">
        <v>1</v>
      </c>
      <c r="K61">
        <v>0</v>
      </c>
      <c r="L61">
        <v>0</v>
      </c>
      <c r="M61">
        <v>1</v>
      </c>
      <c r="N61">
        <v>1</v>
      </c>
      <c r="O61">
        <v>1</v>
      </c>
      <c r="P61" t="s">
        <v>102</v>
      </c>
    </row>
    <row r="62" spans="1:16" x14ac:dyDescent="0.25">
      <c r="A62" t="s">
        <v>94</v>
      </c>
      <c r="B62" t="s">
        <v>32</v>
      </c>
      <c r="C62">
        <v>0</v>
      </c>
      <c r="D62">
        <v>11.40490412712097</v>
      </c>
      <c r="E62">
        <v>0</v>
      </c>
      <c r="F62" t="s">
        <v>19</v>
      </c>
      <c r="G62" t="s">
        <v>19</v>
      </c>
      <c r="H62" t="s">
        <v>19</v>
      </c>
      <c r="I62" t="s">
        <v>19</v>
      </c>
      <c r="J62" t="s">
        <v>19</v>
      </c>
      <c r="K62" t="s">
        <v>19</v>
      </c>
      <c r="L62" t="s">
        <v>19</v>
      </c>
      <c r="M62" t="s">
        <v>19</v>
      </c>
      <c r="N62" t="s">
        <v>19</v>
      </c>
      <c r="O62" t="s">
        <v>19</v>
      </c>
      <c r="P62" t="s">
        <v>103</v>
      </c>
    </row>
    <row r="63" spans="1:16" x14ac:dyDescent="0.25">
      <c r="A63" t="s">
        <v>94</v>
      </c>
      <c r="B63" t="s">
        <v>33</v>
      </c>
      <c r="C63">
        <v>0</v>
      </c>
      <c r="D63">
        <v>9.6882269382476807</v>
      </c>
      <c r="E63">
        <v>1</v>
      </c>
      <c r="F63">
        <v>1</v>
      </c>
      <c r="G63">
        <v>1</v>
      </c>
      <c r="H63">
        <v>1</v>
      </c>
      <c r="I63">
        <v>1</v>
      </c>
      <c r="J63">
        <v>1</v>
      </c>
      <c r="K63">
        <v>1</v>
      </c>
      <c r="L63">
        <v>1</v>
      </c>
      <c r="M63">
        <v>1</v>
      </c>
      <c r="N63">
        <v>1</v>
      </c>
      <c r="O63">
        <v>1</v>
      </c>
    </row>
    <row r="64" spans="1:16" x14ac:dyDescent="0.25">
      <c r="A64" t="s">
        <v>94</v>
      </c>
      <c r="B64" t="s">
        <v>35</v>
      </c>
      <c r="C64">
        <v>0</v>
      </c>
      <c r="D64">
        <v>4.7936973571777344</v>
      </c>
      <c r="E64">
        <v>1</v>
      </c>
      <c r="F64">
        <v>1</v>
      </c>
      <c r="G64">
        <v>1</v>
      </c>
      <c r="H64">
        <v>0</v>
      </c>
      <c r="I64">
        <v>1</v>
      </c>
      <c r="J64">
        <v>1</v>
      </c>
      <c r="K64">
        <v>1</v>
      </c>
      <c r="L64">
        <v>1</v>
      </c>
      <c r="M64">
        <v>1</v>
      </c>
      <c r="N64">
        <v>1</v>
      </c>
      <c r="O64">
        <v>1</v>
      </c>
      <c r="P64" t="s">
        <v>104</v>
      </c>
    </row>
    <row r="65" spans="1:16" x14ac:dyDescent="0.25">
      <c r="A65" t="s">
        <v>94</v>
      </c>
      <c r="B65" t="s">
        <v>36</v>
      </c>
      <c r="C65">
        <v>0</v>
      </c>
      <c r="D65">
        <v>9.7551651000976563</v>
      </c>
      <c r="E65">
        <v>1</v>
      </c>
      <c r="F65">
        <v>1</v>
      </c>
      <c r="G65">
        <v>1</v>
      </c>
      <c r="H65">
        <v>1</v>
      </c>
      <c r="I65">
        <v>1</v>
      </c>
      <c r="J65">
        <v>1</v>
      </c>
      <c r="K65">
        <v>1</v>
      </c>
      <c r="L65">
        <v>1</v>
      </c>
      <c r="M65">
        <v>1</v>
      </c>
      <c r="N65">
        <v>1</v>
      </c>
      <c r="O65">
        <v>1</v>
      </c>
    </row>
    <row r="66" spans="1:16" x14ac:dyDescent="0.25">
      <c r="A66" t="s">
        <v>94</v>
      </c>
      <c r="B66" t="s">
        <v>37</v>
      </c>
      <c r="C66">
        <v>0</v>
      </c>
      <c r="D66">
        <v>2.7647709846496582</v>
      </c>
      <c r="E66">
        <v>1</v>
      </c>
      <c r="F66">
        <v>1</v>
      </c>
      <c r="G66">
        <v>1</v>
      </c>
      <c r="H66">
        <v>1</v>
      </c>
      <c r="I66">
        <v>1</v>
      </c>
      <c r="J66">
        <v>1</v>
      </c>
      <c r="K66">
        <v>1</v>
      </c>
      <c r="L66">
        <v>1</v>
      </c>
      <c r="M66">
        <v>1</v>
      </c>
      <c r="N66">
        <v>1</v>
      </c>
      <c r="O66">
        <v>1</v>
      </c>
    </row>
    <row r="67" spans="1:16" x14ac:dyDescent="0.25">
      <c r="A67" t="s">
        <v>94</v>
      </c>
      <c r="B67" t="s">
        <v>39</v>
      </c>
      <c r="C67">
        <v>0</v>
      </c>
      <c r="D67">
        <v>2.662822008132935</v>
      </c>
      <c r="E67">
        <v>1</v>
      </c>
      <c r="F67">
        <v>1</v>
      </c>
      <c r="G67">
        <v>1</v>
      </c>
      <c r="H67">
        <v>1</v>
      </c>
      <c r="I67">
        <v>1</v>
      </c>
      <c r="J67">
        <v>1</v>
      </c>
      <c r="K67">
        <v>1</v>
      </c>
      <c r="L67">
        <v>1</v>
      </c>
      <c r="M67">
        <v>1</v>
      </c>
      <c r="N67">
        <v>1</v>
      </c>
      <c r="O67">
        <v>1</v>
      </c>
    </row>
    <row r="68" spans="1:16" x14ac:dyDescent="0.25">
      <c r="A68" t="s">
        <v>94</v>
      </c>
      <c r="B68" t="s">
        <v>40</v>
      </c>
      <c r="C68">
        <v>0</v>
      </c>
      <c r="D68">
        <v>8.0085718631744385</v>
      </c>
      <c r="E68">
        <v>1</v>
      </c>
      <c r="F68">
        <v>1</v>
      </c>
      <c r="G68">
        <v>1</v>
      </c>
      <c r="H68">
        <v>1</v>
      </c>
      <c r="I68">
        <v>1</v>
      </c>
      <c r="J68">
        <v>1</v>
      </c>
      <c r="K68">
        <v>1</v>
      </c>
      <c r="L68">
        <v>1</v>
      </c>
      <c r="M68">
        <v>1</v>
      </c>
      <c r="N68">
        <v>1</v>
      </c>
      <c r="O68">
        <v>1</v>
      </c>
    </row>
    <row r="69" spans="1:16" x14ac:dyDescent="0.25">
      <c r="A69" t="s">
        <v>94</v>
      </c>
      <c r="B69" t="s">
        <v>41</v>
      </c>
      <c r="C69">
        <v>0</v>
      </c>
      <c r="D69">
        <v>10.786033868789669</v>
      </c>
      <c r="E69">
        <v>1</v>
      </c>
      <c r="F69">
        <v>1</v>
      </c>
      <c r="G69">
        <v>1</v>
      </c>
      <c r="H69">
        <v>1</v>
      </c>
      <c r="I69">
        <v>1</v>
      </c>
      <c r="J69">
        <v>1</v>
      </c>
      <c r="K69">
        <v>1</v>
      </c>
      <c r="L69">
        <v>1</v>
      </c>
      <c r="M69">
        <v>1</v>
      </c>
      <c r="N69">
        <v>1</v>
      </c>
      <c r="O69">
        <v>1</v>
      </c>
    </row>
    <row r="70" spans="1:16" x14ac:dyDescent="0.25">
      <c r="A70" t="s">
        <v>94</v>
      </c>
      <c r="B70" t="s">
        <v>42</v>
      </c>
      <c r="C70">
        <v>0</v>
      </c>
      <c r="D70">
        <v>6.6996936798095703</v>
      </c>
      <c r="E70">
        <v>1</v>
      </c>
      <c r="F70">
        <v>1</v>
      </c>
      <c r="G70">
        <v>1</v>
      </c>
      <c r="H70">
        <v>1</v>
      </c>
      <c r="I70">
        <v>1</v>
      </c>
      <c r="J70">
        <v>1</v>
      </c>
      <c r="K70">
        <v>0</v>
      </c>
      <c r="L70">
        <v>1</v>
      </c>
      <c r="M70">
        <v>1</v>
      </c>
      <c r="N70">
        <v>1</v>
      </c>
      <c r="O70">
        <v>1</v>
      </c>
      <c r="P70" t="s">
        <v>105</v>
      </c>
    </row>
    <row r="71" spans="1:16" x14ac:dyDescent="0.25">
      <c r="A71" t="s">
        <v>94</v>
      </c>
      <c r="B71" t="s">
        <v>44</v>
      </c>
      <c r="C71">
        <v>0</v>
      </c>
      <c r="D71">
        <v>4.7960340976715088</v>
      </c>
      <c r="E71">
        <v>1</v>
      </c>
      <c r="F71">
        <v>1</v>
      </c>
      <c r="G71">
        <v>0</v>
      </c>
      <c r="H71" t="s">
        <v>19</v>
      </c>
      <c r="I71">
        <v>1</v>
      </c>
      <c r="J71">
        <v>1</v>
      </c>
      <c r="K71">
        <v>1</v>
      </c>
      <c r="L71">
        <v>1</v>
      </c>
      <c r="M71">
        <v>1</v>
      </c>
      <c r="N71">
        <v>1</v>
      </c>
      <c r="O71">
        <v>1</v>
      </c>
      <c r="P71" t="s">
        <v>106</v>
      </c>
    </row>
    <row r="72" spans="1:16" x14ac:dyDescent="0.25">
      <c r="A72" t="s">
        <v>94</v>
      </c>
      <c r="B72" t="s">
        <v>46</v>
      </c>
      <c r="C72">
        <v>0</v>
      </c>
      <c r="D72">
        <v>8.0430915355682373</v>
      </c>
      <c r="E72">
        <v>1</v>
      </c>
      <c r="F72">
        <v>1</v>
      </c>
      <c r="G72">
        <v>1</v>
      </c>
      <c r="H72">
        <v>1</v>
      </c>
      <c r="I72">
        <v>1</v>
      </c>
      <c r="J72">
        <v>1</v>
      </c>
      <c r="K72">
        <v>1</v>
      </c>
      <c r="L72">
        <v>0</v>
      </c>
      <c r="M72">
        <v>1</v>
      </c>
      <c r="N72">
        <v>1</v>
      </c>
      <c r="O72">
        <v>1</v>
      </c>
      <c r="P72" t="s">
        <v>107</v>
      </c>
    </row>
    <row r="73" spans="1:16" x14ac:dyDescent="0.25">
      <c r="A73" t="s">
        <v>94</v>
      </c>
      <c r="B73" t="s">
        <v>48</v>
      </c>
      <c r="C73">
        <v>0</v>
      </c>
      <c r="D73">
        <v>10.035172939300541</v>
      </c>
      <c r="E73">
        <v>1</v>
      </c>
      <c r="F73">
        <v>1</v>
      </c>
      <c r="G73">
        <v>1</v>
      </c>
      <c r="H73">
        <v>1</v>
      </c>
      <c r="I73">
        <v>1</v>
      </c>
      <c r="J73">
        <v>1</v>
      </c>
      <c r="K73">
        <v>1</v>
      </c>
      <c r="L73">
        <v>1</v>
      </c>
      <c r="M73">
        <v>1</v>
      </c>
      <c r="N73">
        <v>1</v>
      </c>
      <c r="O73">
        <v>1</v>
      </c>
    </row>
    <row r="74" spans="1:16" x14ac:dyDescent="0.25">
      <c r="A74" t="s">
        <v>94</v>
      </c>
      <c r="B74" t="s">
        <v>49</v>
      </c>
      <c r="C74">
        <v>0</v>
      </c>
      <c r="D74">
        <v>6.0597591400146484</v>
      </c>
      <c r="E74">
        <v>1</v>
      </c>
      <c r="F74">
        <v>1</v>
      </c>
      <c r="G74">
        <v>0</v>
      </c>
      <c r="H74" t="s">
        <v>19</v>
      </c>
      <c r="I74">
        <v>1</v>
      </c>
      <c r="J74">
        <v>1</v>
      </c>
      <c r="K74">
        <v>1</v>
      </c>
      <c r="L74">
        <v>1</v>
      </c>
      <c r="M74">
        <v>1</v>
      </c>
      <c r="N74">
        <v>1</v>
      </c>
      <c r="O74">
        <v>1</v>
      </c>
      <c r="P74" t="s">
        <v>108</v>
      </c>
    </row>
    <row r="75" spans="1:16" x14ac:dyDescent="0.25">
      <c r="A75" t="s">
        <v>94</v>
      </c>
      <c r="B75" t="s">
        <v>51</v>
      </c>
      <c r="C75">
        <v>0</v>
      </c>
      <c r="D75">
        <v>10.9612352848053</v>
      </c>
      <c r="E75">
        <v>1</v>
      </c>
      <c r="F75">
        <v>1</v>
      </c>
      <c r="G75">
        <v>0</v>
      </c>
      <c r="H75" t="s">
        <v>19</v>
      </c>
      <c r="I75">
        <v>1</v>
      </c>
      <c r="J75">
        <v>1</v>
      </c>
      <c r="K75">
        <v>1</v>
      </c>
      <c r="L75">
        <v>1</v>
      </c>
      <c r="M75">
        <v>1</v>
      </c>
      <c r="N75">
        <v>1</v>
      </c>
      <c r="O75">
        <v>1</v>
      </c>
      <c r="P75" t="s">
        <v>109</v>
      </c>
    </row>
    <row r="76" spans="1:16" x14ac:dyDescent="0.25">
      <c r="A76" t="s">
        <v>94</v>
      </c>
      <c r="B76" t="s">
        <v>52</v>
      </c>
      <c r="C76">
        <v>0</v>
      </c>
      <c r="D76">
        <v>4.7644662857055664</v>
      </c>
      <c r="E76">
        <v>1</v>
      </c>
      <c r="F76">
        <v>1</v>
      </c>
      <c r="G76">
        <v>1</v>
      </c>
      <c r="H76">
        <v>1</v>
      </c>
      <c r="I76">
        <v>0</v>
      </c>
      <c r="J76">
        <v>1</v>
      </c>
      <c r="K76">
        <v>1</v>
      </c>
      <c r="L76">
        <v>1</v>
      </c>
      <c r="M76">
        <v>1</v>
      </c>
      <c r="N76">
        <v>1</v>
      </c>
      <c r="O76">
        <v>1</v>
      </c>
      <c r="P76" t="s">
        <v>110</v>
      </c>
    </row>
    <row r="77" spans="1:16" x14ac:dyDescent="0.25">
      <c r="A77" t="s">
        <v>94</v>
      </c>
      <c r="B77" t="s">
        <v>54</v>
      </c>
      <c r="C77">
        <v>0</v>
      </c>
      <c r="D77">
        <v>10.052304744720461</v>
      </c>
      <c r="E77">
        <v>1</v>
      </c>
      <c r="F77">
        <v>0</v>
      </c>
      <c r="G77">
        <v>1</v>
      </c>
      <c r="H77" t="s">
        <v>19</v>
      </c>
      <c r="I77">
        <v>1</v>
      </c>
      <c r="J77" t="s">
        <v>19</v>
      </c>
      <c r="K77">
        <v>1</v>
      </c>
      <c r="L77">
        <v>1</v>
      </c>
      <c r="M77">
        <v>1</v>
      </c>
      <c r="N77">
        <v>1</v>
      </c>
      <c r="O77">
        <v>1</v>
      </c>
      <c r="P77" t="s">
        <v>111</v>
      </c>
    </row>
    <row r="78" spans="1:16" x14ac:dyDescent="0.25">
      <c r="A78" t="s">
        <v>94</v>
      </c>
      <c r="B78" t="s">
        <v>56</v>
      </c>
      <c r="C78">
        <v>0</v>
      </c>
      <c r="D78">
        <v>10.070630311965941</v>
      </c>
      <c r="E78">
        <v>1</v>
      </c>
      <c r="F78">
        <v>1</v>
      </c>
      <c r="G78">
        <v>1</v>
      </c>
      <c r="H78">
        <v>1</v>
      </c>
      <c r="I78">
        <v>1</v>
      </c>
      <c r="J78">
        <v>1</v>
      </c>
      <c r="K78">
        <v>1</v>
      </c>
      <c r="L78">
        <v>1</v>
      </c>
      <c r="M78">
        <v>1</v>
      </c>
      <c r="N78">
        <v>1</v>
      </c>
      <c r="O78">
        <v>1</v>
      </c>
    </row>
    <row r="79" spans="1:16" x14ac:dyDescent="0.25">
      <c r="A79" t="s">
        <v>94</v>
      </c>
      <c r="B79" t="s">
        <v>58</v>
      </c>
      <c r="C79">
        <v>0</v>
      </c>
      <c r="D79">
        <v>10.578871011734011</v>
      </c>
      <c r="E79">
        <v>1</v>
      </c>
      <c r="F79">
        <v>1</v>
      </c>
      <c r="G79">
        <v>1</v>
      </c>
      <c r="H79">
        <v>1</v>
      </c>
      <c r="I79">
        <v>1</v>
      </c>
      <c r="J79">
        <v>1</v>
      </c>
      <c r="K79">
        <v>0</v>
      </c>
      <c r="L79">
        <v>1</v>
      </c>
      <c r="M79">
        <v>1</v>
      </c>
      <c r="N79">
        <v>1</v>
      </c>
      <c r="O79">
        <v>1</v>
      </c>
      <c r="P79" t="s">
        <v>112</v>
      </c>
    </row>
    <row r="80" spans="1:16" x14ac:dyDescent="0.25">
      <c r="A80" t="s">
        <v>94</v>
      </c>
      <c r="B80" t="s">
        <v>60</v>
      </c>
      <c r="C80">
        <v>0</v>
      </c>
      <c r="D80">
        <v>2.6961174011230469</v>
      </c>
      <c r="E80">
        <v>1</v>
      </c>
      <c r="F80">
        <v>1</v>
      </c>
      <c r="G80">
        <v>1</v>
      </c>
      <c r="H80">
        <v>1</v>
      </c>
      <c r="I80">
        <v>1</v>
      </c>
      <c r="J80">
        <v>1</v>
      </c>
      <c r="K80">
        <v>1</v>
      </c>
      <c r="L80">
        <v>1</v>
      </c>
      <c r="M80">
        <v>1</v>
      </c>
      <c r="N80">
        <v>1</v>
      </c>
      <c r="O80">
        <v>1</v>
      </c>
    </row>
    <row r="81" spans="1:16" x14ac:dyDescent="0.25">
      <c r="A81" t="s">
        <v>94</v>
      </c>
      <c r="B81" t="s">
        <v>62</v>
      </c>
      <c r="C81">
        <v>0</v>
      </c>
      <c r="D81">
        <v>9.3206543922424316</v>
      </c>
      <c r="E81">
        <v>1</v>
      </c>
      <c r="F81">
        <v>1</v>
      </c>
      <c r="G81">
        <v>1</v>
      </c>
      <c r="H81">
        <v>1</v>
      </c>
      <c r="I81">
        <v>1</v>
      </c>
      <c r="J81">
        <v>1</v>
      </c>
      <c r="K81">
        <v>1</v>
      </c>
      <c r="L81">
        <v>1</v>
      </c>
      <c r="M81">
        <v>1</v>
      </c>
      <c r="N81">
        <v>1</v>
      </c>
      <c r="O81">
        <v>1</v>
      </c>
    </row>
    <row r="82" spans="1:16" x14ac:dyDescent="0.25">
      <c r="A82" t="s">
        <v>94</v>
      </c>
      <c r="B82" t="s">
        <v>64</v>
      </c>
      <c r="C82">
        <v>0</v>
      </c>
      <c r="D82">
        <v>6.0539650917053223</v>
      </c>
      <c r="E82">
        <v>1</v>
      </c>
      <c r="F82">
        <v>0</v>
      </c>
      <c r="G82">
        <v>1</v>
      </c>
      <c r="H82" t="s">
        <v>19</v>
      </c>
      <c r="I82">
        <v>1</v>
      </c>
      <c r="J82" t="s">
        <v>19</v>
      </c>
      <c r="K82">
        <v>1</v>
      </c>
      <c r="L82">
        <v>1</v>
      </c>
      <c r="M82">
        <v>1</v>
      </c>
      <c r="N82">
        <v>1</v>
      </c>
      <c r="O82">
        <v>1</v>
      </c>
      <c r="P82" t="s">
        <v>113</v>
      </c>
    </row>
    <row r="83" spans="1:16" x14ac:dyDescent="0.25">
      <c r="A83" t="s">
        <v>94</v>
      </c>
      <c r="B83" t="s">
        <v>65</v>
      </c>
      <c r="C83">
        <v>0</v>
      </c>
      <c r="D83">
        <v>10.064805746078489</v>
      </c>
      <c r="E83">
        <v>1</v>
      </c>
      <c r="F83">
        <v>1</v>
      </c>
      <c r="G83">
        <v>1</v>
      </c>
      <c r="H83">
        <v>1</v>
      </c>
      <c r="I83">
        <v>0</v>
      </c>
      <c r="J83">
        <v>1</v>
      </c>
      <c r="K83">
        <v>1</v>
      </c>
      <c r="L83">
        <v>1</v>
      </c>
      <c r="M83">
        <v>1</v>
      </c>
      <c r="N83">
        <v>1</v>
      </c>
      <c r="O83">
        <v>1</v>
      </c>
      <c r="P83" t="s">
        <v>114</v>
      </c>
    </row>
    <row r="84" spans="1:16" x14ac:dyDescent="0.25">
      <c r="A84" t="s">
        <v>94</v>
      </c>
      <c r="B84" t="s">
        <v>67</v>
      </c>
      <c r="C84">
        <v>0</v>
      </c>
      <c r="D84">
        <v>2.7692537307739258</v>
      </c>
      <c r="E84">
        <v>1</v>
      </c>
      <c r="F84">
        <v>1</v>
      </c>
      <c r="G84">
        <v>1</v>
      </c>
      <c r="H84">
        <v>1</v>
      </c>
      <c r="I84">
        <v>1</v>
      </c>
      <c r="J84">
        <v>1</v>
      </c>
      <c r="K84">
        <v>1</v>
      </c>
      <c r="L84">
        <v>1</v>
      </c>
      <c r="M84">
        <v>1</v>
      </c>
      <c r="N84">
        <v>1</v>
      </c>
      <c r="O84">
        <v>1</v>
      </c>
    </row>
    <row r="85" spans="1:16" x14ac:dyDescent="0.25">
      <c r="A85" t="s">
        <v>94</v>
      </c>
      <c r="B85" t="s">
        <v>69</v>
      </c>
      <c r="C85">
        <v>0</v>
      </c>
      <c r="D85">
        <v>4.3094916343688956</v>
      </c>
      <c r="E85">
        <v>1</v>
      </c>
      <c r="F85">
        <v>1</v>
      </c>
      <c r="G85">
        <v>1</v>
      </c>
      <c r="H85">
        <v>1</v>
      </c>
      <c r="I85">
        <v>0</v>
      </c>
      <c r="J85">
        <v>1</v>
      </c>
      <c r="K85">
        <v>1</v>
      </c>
      <c r="L85">
        <v>1</v>
      </c>
      <c r="M85">
        <v>1</v>
      </c>
      <c r="N85">
        <v>1</v>
      </c>
      <c r="O85">
        <v>1</v>
      </c>
      <c r="P85" t="s">
        <v>115</v>
      </c>
    </row>
    <row r="86" spans="1:16" x14ac:dyDescent="0.25">
      <c r="A86" t="s">
        <v>94</v>
      </c>
      <c r="B86" t="s">
        <v>70</v>
      </c>
      <c r="C86">
        <v>0</v>
      </c>
      <c r="D86">
        <v>6.9989588260650626</v>
      </c>
      <c r="E86">
        <v>1</v>
      </c>
      <c r="F86">
        <v>1</v>
      </c>
      <c r="G86">
        <v>0</v>
      </c>
      <c r="H86" t="s">
        <v>19</v>
      </c>
      <c r="I86">
        <v>1</v>
      </c>
      <c r="J86">
        <v>1</v>
      </c>
      <c r="K86">
        <v>1</v>
      </c>
      <c r="L86">
        <v>1</v>
      </c>
      <c r="M86">
        <v>1</v>
      </c>
      <c r="N86">
        <v>1</v>
      </c>
      <c r="O86">
        <v>1</v>
      </c>
      <c r="P86" t="s">
        <v>116</v>
      </c>
    </row>
    <row r="87" spans="1:16" x14ac:dyDescent="0.25">
      <c r="A87" t="s">
        <v>94</v>
      </c>
      <c r="B87" t="s">
        <v>71</v>
      </c>
      <c r="C87">
        <v>0</v>
      </c>
      <c r="D87">
        <v>9.5328540802001953</v>
      </c>
      <c r="E87">
        <v>1</v>
      </c>
      <c r="F87">
        <v>1</v>
      </c>
      <c r="G87">
        <v>1</v>
      </c>
      <c r="H87">
        <v>1</v>
      </c>
      <c r="I87">
        <v>1</v>
      </c>
      <c r="J87">
        <v>1</v>
      </c>
      <c r="K87">
        <v>1</v>
      </c>
      <c r="L87">
        <v>1</v>
      </c>
      <c r="M87">
        <v>1</v>
      </c>
      <c r="N87">
        <v>1</v>
      </c>
      <c r="O87">
        <v>1</v>
      </c>
    </row>
    <row r="88" spans="1:16" x14ac:dyDescent="0.25">
      <c r="A88" t="s">
        <v>94</v>
      </c>
      <c r="B88" t="s">
        <v>72</v>
      </c>
      <c r="C88">
        <v>0</v>
      </c>
      <c r="D88">
        <v>4.7606213092803964</v>
      </c>
      <c r="E88">
        <v>1</v>
      </c>
      <c r="F88">
        <v>1</v>
      </c>
      <c r="G88">
        <v>0</v>
      </c>
      <c r="H88" t="s">
        <v>19</v>
      </c>
      <c r="I88">
        <v>1</v>
      </c>
      <c r="J88">
        <v>1</v>
      </c>
      <c r="K88">
        <v>0</v>
      </c>
      <c r="L88">
        <v>1</v>
      </c>
      <c r="M88">
        <v>1</v>
      </c>
      <c r="N88">
        <v>1</v>
      </c>
      <c r="O88">
        <v>1</v>
      </c>
      <c r="P88" t="s">
        <v>117</v>
      </c>
    </row>
    <row r="89" spans="1:16" x14ac:dyDescent="0.25">
      <c r="A89" t="s">
        <v>94</v>
      </c>
      <c r="B89" t="s">
        <v>74</v>
      </c>
      <c r="C89">
        <v>0</v>
      </c>
      <c r="D89">
        <v>11.25354313850403</v>
      </c>
      <c r="E89">
        <v>1</v>
      </c>
      <c r="F89">
        <v>1</v>
      </c>
      <c r="G89">
        <v>1</v>
      </c>
      <c r="H89">
        <v>1</v>
      </c>
      <c r="I89">
        <v>1</v>
      </c>
      <c r="J89">
        <v>1</v>
      </c>
      <c r="K89">
        <v>0</v>
      </c>
      <c r="L89">
        <v>1</v>
      </c>
      <c r="M89">
        <v>1</v>
      </c>
      <c r="N89">
        <v>1</v>
      </c>
      <c r="O89">
        <v>1</v>
      </c>
      <c r="P89" t="s">
        <v>118</v>
      </c>
    </row>
    <row r="90" spans="1:16" x14ac:dyDescent="0.25">
      <c r="A90" t="s">
        <v>94</v>
      </c>
      <c r="B90" t="s">
        <v>76</v>
      </c>
      <c r="C90">
        <v>0</v>
      </c>
      <c r="D90">
        <v>9.2554285526275635</v>
      </c>
      <c r="E90">
        <v>0</v>
      </c>
      <c r="F90" t="s">
        <v>19</v>
      </c>
      <c r="G90" t="s">
        <v>19</v>
      </c>
      <c r="H90" t="s">
        <v>19</v>
      </c>
      <c r="I90" t="s">
        <v>19</v>
      </c>
      <c r="J90" t="s">
        <v>19</v>
      </c>
      <c r="K90" t="s">
        <v>19</v>
      </c>
      <c r="L90" t="s">
        <v>19</v>
      </c>
      <c r="M90" t="s">
        <v>19</v>
      </c>
      <c r="N90" t="s">
        <v>19</v>
      </c>
      <c r="O90" t="s">
        <v>19</v>
      </c>
      <c r="P90" t="s">
        <v>119</v>
      </c>
    </row>
    <row r="91" spans="1:16" x14ac:dyDescent="0.25">
      <c r="A91" t="s">
        <v>94</v>
      </c>
      <c r="B91" t="s">
        <v>78</v>
      </c>
      <c r="C91">
        <v>0</v>
      </c>
      <c r="D91">
        <v>9.6401872634887695</v>
      </c>
      <c r="E91">
        <v>1</v>
      </c>
      <c r="F91">
        <v>1</v>
      </c>
      <c r="G91">
        <v>1</v>
      </c>
      <c r="H91">
        <v>1</v>
      </c>
      <c r="I91">
        <v>1</v>
      </c>
      <c r="J91">
        <v>1</v>
      </c>
      <c r="K91">
        <v>1</v>
      </c>
      <c r="L91">
        <v>1</v>
      </c>
      <c r="M91">
        <v>1</v>
      </c>
      <c r="N91">
        <v>1</v>
      </c>
      <c r="O91">
        <v>1</v>
      </c>
    </row>
    <row r="92" spans="1:16" x14ac:dyDescent="0.25">
      <c r="A92" t="s">
        <v>94</v>
      </c>
      <c r="B92" t="s">
        <v>80</v>
      </c>
      <c r="C92">
        <v>0</v>
      </c>
      <c r="D92">
        <v>5.9643242359161377</v>
      </c>
      <c r="E92">
        <v>1</v>
      </c>
      <c r="F92">
        <v>1</v>
      </c>
      <c r="G92">
        <v>1</v>
      </c>
      <c r="H92">
        <v>1</v>
      </c>
      <c r="I92">
        <v>1</v>
      </c>
      <c r="J92">
        <v>1</v>
      </c>
      <c r="K92">
        <v>1</v>
      </c>
      <c r="L92">
        <v>0</v>
      </c>
      <c r="M92">
        <v>0</v>
      </c>
      <c r="N92">
        <v>1</v>
      </c>
      <c r="O92">
        <v>1</v>
      </c>
      <c r="P92" t="s">
        <v>120</v>
      </c>
    </row>
    <row r="93" spans="1:16" x14ac:dyDescent="0.25">
      <c r="A93" t="s">
        <v>94</v>
      </c>
      <c r="B93" t="s">
        <v>81</v>
      </c>
      <c r="C93">
        <v>0</v>
      </c>
      <c r="D93">
        <v>4.3344829082489014</v>
      </c>
      <c r="E93">
        <v>1</v>
      </c>
      <c r="F93">
        <v>1</v>
      </c>
      <c r="G93">
        <v>1</v>
      </c>
      <c r="H93">
        <v>1</v>
      </c>
      <c r="I93">
        <v>1</v>
      </c>
      <c r="J93">
        <v>0</v>
      </c>
      <c r="K93">
        <v>1</v>
      </c>
      <c r="L93">
        <v>1</v>
      </c>
      <c r="M93">
        <v>1</v>
      </c>
      <c r="N93">
        <v>1</v>
      </c>
      <c r="O93">
        <v>1</v>
      </c>
      <c r="P93" t="s">
        <v>121</v>
      </c>
    </row>
    <row r="94" spans="1:16" x14ac:dyDescent="0.25">
      <c r="A94" t="s">
        <v>94</v>
      </c>
      <c r="B94" t="s">
        <v>83</v>
      </c>
      <c r="C94">
        <v>0</v>
      </c>
      <c r="D94">
        <v>11.881579637527469</v>
      </c>
      <c r="E94">
        <v>1</v>
      </c>
      <c r="F94">
        <v>1</v>
      </c>
      <c r="G94">
        <v>1</v>
      </c>
      <c r="H94">
        <v>1</v>
      </c>
      <c r="I94">
        <v>1</v>
      </c>
      <c r="J94">
        <v>0</v>
      </c>
      <c r="K94">
        <v>1</v>
      </c>
      <c r="L94">
        <v>1</v>
      </c>
      <c r="M94">
        <v>1</v>
      </c>
      <c r="N94">
        <v>1</v>
      </c>
      <c r="O94">
        <v>1</v>
      </c>
      <c r="P94" t="s">
        <v>122</v>
      </c>
    </row>
    <row r="95" spans="1:16" x14ac:dyDescent="0.25">
      <c r="A95" t="s">
        <v>94</v>
      </c>
      <c r="B95" t="s">
        <v>85</v>
      </c>
      <c r="C95">
        <v>0</v>
      </c>
      <c r="D95">
        <v>12.0187656879425</v>
      </c>
      <c r="E95">
        <v>1</v>
      </c>
      <c r="F95">
        <v>1</v>
      </c>
      <c r="G95">
        <v>1</v>
      </c>
      <c r="H95">
        <v>1</v>
      </c>
      <c r="I95">
        <v>1</v>
      </c>
      <c r="J95">
        <v>0</v>
      </c>
      <c r="K95">
        <v>1</v>
      </c>
      <c r="L95">
        <v>1</v>
      </c>
      <c r="M95">
        <v>1</v>
      </c>
      <c r="N95">
        <v>1</v>
      </c>
      <c r="O95">
        <v>1</v>
      </c>
      <c r="P95" t="s">
        <v>123</v>
      </c>
    </row>
    <row r="96" spans="1:16" x14ac:dyDescent="0.25">
      <c r="A96" t="s">
        <v>94</v>
      </c>
      <c r="B96" t="s">
        <v>87</v>
      </c>
      <c r="C96">
        <v>0</v>
      </c>
      <c r="D96">
        <v>12.22151207923889</v>
      </c>
      <c r="E96">
        <v>1</v>
      </c>
      <c r="F96">
        <v>1</v>
      </c>
      <c r="G96">
        <v>0</v>
      </c>
      <c r="H96" t="s">
        <v>19</v>
      </c>
      <c r="I96">
        <v>1</v>
      </c>
      <c r="J96">
        <v>1</v>
      </c>
      <c r="K96">
        <v>1</v>
      </c>
      <c r="L96">
        <v>1</v>
      </c>
      <c r="M96">
        <v>1</v>
      </c>
      <c r="N96">
        <v>1</v>
      </c>
      <c r="O96">
        <v>1</v>
      </c>
      <c r="P96" t="s">
        <v>124</v>
      </c>
    </row>
    <row r="97" spans="1:16" x14ac:dyDescent="0.25">
      <c r="A97" t="s">
        <v>94</v>
      </c>
      <c r="B97" t="s">
        <v>89</v>
      </c>
      <c r="C97">
        <v>0</v>
      </c>
      <c r="D97">
        <v>5.9825034141540527</v>
      </c>
      <c r="E97">
        <v>1</v>
      </c>
      <c r="F97">
        <v>1</v>
      </c>
      <c r="G97">
        <v>0</v>
      </c>
      <c r="H97" t="s">
        <v>19</v>
      </c>
      <c r="I97">
        <v>1</v>
      </c>
      <c r="J97">
        <v>0</v>
      </c>
      <c r="K97">
        <v>1</v>
      </c>
      <c r="L97">
        <v>1</v>
      </c>
      <c r="M97">
        <v>1</v>
      </c>
      <c r="N97">
        <v>1</v>
      </c>
      <c r="O97">
        <v>1</v>
      </c>
      <c r="P97" t="s">
        <v>125</v>
      </c>
    </row>
    <row r="98" spans="1:16" x14ac:dyDescent="0.25">
      <c r="A98" t="s">
        <v>94</v>
      </c>
      <c r="B98" t="s">
        <v>91</v>
      </c>
      <c r="C98">
        <v>0</v>
      </c>
      <c r="D98">
        <v>3.9013786315917969</v>
      </c>
      <c r="E98">
        <v>1</v>
      </c>
      <c r="F98">
        <v>1</v>
      </c>
      <c r="G98">
        <v>1</v>
      </c>
      <c r="H98">
        <v>1</v>
      </c>
      <c r="I98">
        <v>1</v>
      </c>
      <c r="J98">
        <v>1</v>
      </c>
      <c r="K98">
        <v>0</v>
      </c>
      <c r="L98">
        <v>1</v>
      </c>
      <c r="M98">
        <v>1</v>
      </c>
      <c r="N98">
        <v>1</v>
      </c>
      <c r="O98">
        <v>1</v>
      </c>
      <c r="P98" t="s">
        <v>126</v>
      </c>
    </row>
    <row r="99" spans="1:16" x14ac:dyDescent="0.25">
      <c r="A99" t="s">
        <v>94</v>
      </c>
      <c r="B99" t="s">
        <v>93</v>
      </c>
      <c r="C99">
        <v>0</v>
      </c>
      <c r="D99">
        <v>5.4080240726470947</v>
      </c>
      <c r="E99">
        <v>1</v>
      </c>
      <c r="F99">
        <v>1</v>
      </c>
      <c r="G99">
        <v>0</v>
      </c>
      <c r="H99" t="s">
        <v>19</v>
      </c>
      <c r="I99">
        <v>1</v>
      </c>
      <c r="J99">
        <v>0</v>
      </c>
      <c r="K99">
        <v>1</v>
      </c>
      <c r="L99">
        <v>1</v>
      </c>
      <c r="M99">
        <v>1</v>
      </c>
      <c r="N99">
        <v>1</v>
      </c>
      <c r="O99">
        <v>1</v>
      </c>
      <c r="P99" t="s">
        <v>127</v>
      </c>
    </row>
    <row r="100" spans="1:16" x14ac:dyDescent="0.25">
      <c r="A100" t="s">
        <v>94</v>
      </c>
      <c r="B100" t="s">
        <v>128</v>
      </c>
      <c r="C100">
        <v>0</v>
      </c>
      <c r="D100">
        <v>2.745948314666748</v>
      </c>
      <c r="E100">
        <v>1</v>
      </c>
      <c r="F100">
        <v>1</v>
      </c>
      <c r="G100">
        <v>1</v>
      </c>
      <c r="H100">
        <v>1</v>
      </c>
      <c r="I100">
        <v>1</v>
      </c>
      <c r="J100">
        <v>1</v>
      </c>
      <c r="K100">
        <v>1</v>
      </c>
      <c r="L100">
        <v>1</v>
      </c>
      <c r="M100">
        <v>1</v>
      </c>
      <c r="N100">
        <v>1</v>
      </c>
      <c r="O100">
        <v>1</v>
      </c>
    </row>
    <row r="101" spans="1:16" x14ac:dyDescent="0.25">
      <c r="A101" t="s">
        <v>94</v>
      </c>
      <c r="B101" t="s">
        <v>129</v>
      </c>
      <c r="C101">
        <v>0</v>
      </c>
      <c r="D101">
        <v>7.127744197845459</v>
      </c>
      <c r="E101">
        <v>1</v>
      </c>
      <c r="F101">
        <v>1</v>
      </c>
      <c r="G101">
        <v>1</v>
      </c>
      <c r="H101">
        <v>1</v>
      </c>
      <c r="I101">
        <v>1</v>
      </c>
      <c r="J101">
        <v>0</v>
      </c>
      <c r="K101">
        <v>1</v>
      </c>
      <c r="L101">
        <v>1</v>
      </c>
      <c r="M101">
        <v>1</v>
      </c>
      <c r="N101">
        <v>1</v>
      </c>
      <c r="O101">
        <v>1</v>
      </c>
      <c r="P101" t="s">
        <v>130</v>
      </c>
    </row>
    <row r="102" spans="1:16" x14ac:dyDescent="0.25">
      <c r="A102" t="s">
        <v>94</v>
      </c>
      <c r="B102" t="s">
        <v>131</v>
      </c>
      <c r="C102">
        <v>0</v>
      </c>
      <c r="D102">
        <v>8.6993288993835449</v>
      </c>
      <c r="E102">
        <v>0</v>
      </c>
      <c r="F102" t="s">
        <v>19</v>
      </c>
      <c r="G102" t="s">
        <v>19</v>
      </c>
      <c r="H102" t="s">
        <v>19</v>
      </c>
      <c r="I102" t="s">
        <v>19</v>
      </c>
      <c r="J102" t="s">
        <v>19</v>
      </c>
      <c r="K102" t="s">
        <v>19</v>
      </c>
      <c r="L102" t="s">
        <v>19</v>
      </c>
      <c r="M102" t="s">
        <v>19</v>
      </c>
      <c r="N102" t="s">
        <v>19</v>
      </c>
      <c r="O102" t="s">
        <v>19</v>
      </c>
      <c r="P102" t="s">
        <v>132</v>
      </c>
    </row>
    <row r="103" spans="1:16" x14ac:dyDescent="0.25">
      <c r="A103" t="s">
        <v>94</v>
      </c>
      <c r="B103" t="s">
        <v>133</v>
      </c>
      <c r="C103">
        <v>0</v>
      </c>
      <c r="D103">
        <v>2.76612377166748</v>
      </c>
      <c r="E103">
        <v>1</v>
      </c>
      <c r="F103">
        <v>1</v>
      </c>
      <c r="G103">
        <v>1</v>
      </c>
      <c r="H103">
        <v>1</v>
      </c>
      <c r="I103">
        <v>1</v>
      </c>
      <c r="J103">
        <v>1</v>
      </c>
      <c r="K103">
        <v>1</v>
      </c>
      <c r="L103">
        <v>1</v>
      </c>
      <c r="M103">
        <v>1</v>
      </c>
      <c r="N103">
        <v>1</v>
      </c>
      <c r="O103">
        <v>1</v>
      </c>
    </row>
    <row r="104" spans="1:16" x14ac:dyDescent="0.25">
      <c r="A104" t="s">
        <v>94</v>
      </c>
      <c r="B104" t="s">
        <v>134</v>
      </c>
      <c r="C104">
        <v>0</v>
      </c>
      <c r="D104">
        <v>6.4705815315246582</v>
      </c>
      <c r="E104">
        <v>1</v>
      </c>
      <c r="F104">
        <v>1</v>
      </c>
      <c r="G104">
        <v>1</v>
      </c>
      <c r="H104">
        <v>0</v>
      </c>
      <c r="I104">
        <v>1</v>
      </c>
      <c r="J104">
        <v>0</v>
      </c>
      <c r="K104">
        <v>1</v>
      </c>
      <c r="L104">
        <v>1</v>
      </c>
      <c r="M104">
        <v>1</v>
      </c>
      <c r="N104">
        <v>1</v>
      </c>
      <c r="O104">
        <v>1</v>
      </c>
      <c r="P104" t="s">
        <v>135</v>
      </c>
    </row>
    <row r="105" spans="1:16" x14ac:dyDescent="0.25">
      <c r="A105" t="s">
        <v>94</v>
      </c>
      <c r="B105" t="s">
        <v>136</v>
      </c>
      <c r="C105">
        <v>0</v>
      </c>
      <c r="D105">
        <v>9.9621539115905762</v>
      </c>
      <c r="E105">
        <v>1</v>
      </c>
      <c r="F105">
        <v>1</v>
      </c>
      <c r="G105">
        <v>1</v>
      </c>
      <c r="H105">
        <v>0</v>
      </c>
      <c r="I105">
        <v>1</v>
      </c>
      <c r="J105">
        <v>1</v>
      </c>
      <c r="K105">
        <v>1</v>
      </c>
      <c r="L105">
        <v>1</v>
      </c>
      <c r="M105">
        <v>1</v>
      </c>
      <c r="N105">
        <v>1</v>
      </c>
      <c r="O105">
        <v>1</v>
      </c>
      <c r="P105" t="s">
        <v>137</v>
      </c>
    </row>
    <row r="106" spans="1:16" x14ac:dyDescent="0.25">
      <c r="A106" t="s">
        <v>94</v>
      </c>
      <c r="B106" t="s">
        <v>138</v>
      </c>
      <c r="C106">
        <v>0</v>
      </c>
      <c r="D106">
        <v>7.0760092735290527</v>
      </c>
      <c r="E106">
        <v>0</v>
      </c>
      <c r="F106" t="s">
        <v>19</v>
      </c>
      <c r="G106" t="s">
        <v>19</v>
      </c>
      <c r="H106" t="s">
        <v>19</v>
      </c>
      <c r="I106" t="s">
        <v>19</v>
      </c>
      <c r="J106" t="s">
        <v>19</v>
      </c>
      <c r="K106" t="s">
        <v>19</v>
      </c>
      <c r="L106" t="s">
        <v>19</v>
      </c>
      <c r="M106" t="s">
        <v>19</v>
      </c>
      <c r="N106" t="s">
        <v>19</v>
      </c>
      <c r="O106" t="s">
        <v>19</v>
      </c>
      <c r="P106" t="s">
        <v>139</v>
      </c>
    </row>
    <row r="107" spans="1:16" x14ac:dyDescent="0.25">
      <c r="A107" t="s">
        <v>94</v>
      </c>
      <c r="B107" t="s">
        <v>140</v>
      </c>
      <c r="C107">
        <v>0</v>
      </c>
      <c r="D107">
        <v>5.7558290958404541</v>
      </c>
      <c r="E107">
        <v>1</v>
      </c>
      <c r="F107">
        <v>1</v>
      </c>
      <c r="G107">
        <v>1</v>
      </c>
      <c r="H107">
        <v>1</v>
      </c>
      <c r="I107">
        <v>1</v>
      </c>
      <c r="J107">
        <v>1</v>
      </c>
      <c r="K107">
        <v>0</v>
      </c>
      <c r="L107">
        <v>1</v>
      </c>
      <c r="M107">
        <v>1</v>
      </c>
      <c r="N107">
        <v>1</v>
      </c>
      <c r="O107">
        <v>1</v>
      </c>
      <c r="P107" t="s">
        <v>141</v>
      </c>
    </row>
    <row r="108" spans="1:16" x14ac:dyDescent="0.25">
      <c r="A108" t="s">
        <v>94</v>
      </c>
      <c r="B108" t="s">
        <v>142</v>
      </c>
      <c r="C108">
        <v>0</v>
      </c>
      <c r="D108">
        <v>11.20970845222473</v>
      </c>
      <c r="E108">
        <v>1</v>
      </c>
      <c r="F108">
        <v>1</v>
      </c>
      <c r="G108">
        <v>1</v>
      </c>
      <c r="H108">
        <v>1</v>
      </c>
      <c r="I108">
        <v>1</v>
      </c>
      <c r="J108">
        <v>1</v>
      </c>
      <c r="K108">
        <v>1</v>
      </c>
      <c r="L108">
        <v>1</v>
      </c>
      <c r="M108">
        <v>1</v>
      </c>
      <c r="N108">
        <v>1</v>
      </c>
      <c r="O108">
        <v>1</v>
      </c>
    </row>
    <row r="109" spans="1:16" x14ac:dyDescent="0.25">
      <c r="A109" t="s">
        <v>94</v>
      </c>
      <c r="B109" t="s">
        <v>143</v>
      </c>
      <c r="C109">
        <v>0</v>
      </c>
      <c r="D109">
        <v>4.2811815738677979</v>
      </c>
      <c r="E109">
        <v>1</v>
      </c>
      <c r="F109">
        <v>1</v>
      </c>
      <c r="G109">
        <v>1</v>
      </c>
      <c r="H109">
        <v>1</v>
      </c>
      <c r="I109">
        <v>1</v>
      </c>
      <c r="J109">
        <v>0</v>
      </c>
      <c r="K109">
        <v>1</v>
      </c>
      <c r="L109">
        <v>1</v>
      </c>
      <c r="M109">
        <v>1</v>
      </c>
      <c r="N109">
        <v>1</v>
      </c>
      <c r="O109">
        <v>1</v>
      </c>
      <c r="P109" t="s">
        <v>144</v>
      </c>
    </row>
    <row r="110" spans="1:16" x14ac:dyDescent="0.25">
      <c r="A110" t="s">
        <v>94</v>
      </c>
      <c r="B110" t="s">
        <v>145</v>
      </c>
      <c r="C110">
        <v>0</v>
      </c>
      <c r="D110">
        <v>2.773490428924561</v>
      </c>
      <c r="E110">
        <v>1</v>
      </c>
      <c r="F110">
        <v>1</v>
      </c>
      <c r="G110">
        <v>1</v>
      </c>
      <c r="H110">
        <v>1</v>
      </c>
      <c r="I110">
        <v>1</v>
      </c>
      <c r="J110">
        <v>1</v>
      </c>
      <c r="K110">
        <v>1</v>
      </c>
      <c r="L110">
        <v>1</v>
      </c>
      <c r="M110">
        <v>1</v>
      </c>
      <c r="N110">
        <v>1</v>
      </c>
      <c r="O110">
        <v>1</v>
      </c>
    </row>
    <row r="111" spans="1:16" x14ac:dyDescent="0.25">
      <c r="A111" t="s">
        <v>94</v>
      </c>
      <c r="B111" t="s">
        <v>146</v>
      </c>
      <c r="C111">
        <v>0</v>
      </c>
      <c r="D111">
        <v>6.9816670417785636</v>
      </c>
      <c r="E111">
        <v>1</v>
      </c>
      <c r="F111">
        <v>0</v>
      </c>
      <c r="G111">
        <v>1</v>
      </c>
      <c r="H111" t="s">
        <v>19</v>
      </c>
      <c r="I111">
        <v>1</v>
      </c>
      <c r="J111" t="s">
        <v>19</v>
      </c>
      <c r="K111">
        <v>1</v>
      </c>
      <c r="L111">
        <v>0</v>
      </c>
      <c r="M111">
        <v>1</v>
      </c>
      <c r="N111">
        <v>1</v>
      </c>
      <c r="O111">
        <v>1</v>
      </c>
      <c r="P111" t="s">
        <v>147</v>
      </c>
    </row>
    <row r="112" spans="1:16" x14ac:dyDescent="0.25">
      <c r="A112" t="s">
        <v>94</v>
      </c>
      <c r="B112" t="s">
        <v>148</v>
      </c>
      <c r="C112">
        <v>0</v>
      </c>
      <c r="D112">
        <v>2.771328210830688</v>
      </c>
      <c r="E112">
        <v>1</v>
      </c>
      <c r="F112">
        <v>1</v>
      </c>
      <c r="G112">
        <v>1</v>
      </c>
      <c r="H112">
        <v>1</v>
      </c>
      <c r="I112">
        <v>1</v>
      </c>
      <c r="J112">
        <v>1</v>
      </c>
      <c r="K112">
        <v>1</v>
      </c>
      <c r="L112">
        <v>1</v>
      </c>
      <c r="M112">
        <v>1</v>
      </c>
      <c r="N112">
        <v>1</v>
      </c>
      <c r="O112">
        <v>1</v>
      </c>
    </row>
    <row r="113" spans="1:16" x14ac:dyDescent="0.25">
      <c r="A113" t="s">
        <v>94</v>
      </c>
      <c r="B113" t="s">
        <v>149</v>
      </c>
      <c r="C113">
        <v>0</v>
      </c>
      <c r="D113">
        <v>5.7443420886993408</v>
      </c>
      <c r="E113">
        <v>0</v>
      </c>
      <c r="F113" t="s">
        <v>19</v>
      </c>
      <c r="G113" t="s">
        <v>19</v>
      </c>
      <c r="H113" t="s">
        <v>19</v>
      </c>
      <c r="I113" t="s">
        <v>19</v>
      </c>
      <c r="J113" t="s">
        <v>19</v>
      </c>
      <c r="K113" t="s">
        <v>19</v>
      </c>
      <c r="L113" t="s">
        <v>19</v>
      </c>
      <c r="M113" t="s">
        <v>19</v>
      </c>
      <c r="N113" t="s">
        <v>19</v>
      </c>
      <c r="O113" t="s">
        <v>19</v>
      </c>
      <c r="P113" t="s">
        <v>150</v>
      </c>
    </row>
    <row r="114" spans="1:16" x14ac:dyDescent="0.25">
      <c r="A114" t="s">
        <v>151</v>
      </c>
      <c r="B114" t="s">
        <v>17</v>
      </c>
      <c r="C114">
        <v>0</v>
      </c>
      <c r="D114">
        <v>2.6887655258178711</v>
      </c>
      <c r="E114">
        <v>1</v>
      </c>
      <c r="F114">
        <v>1</v>
      </c>
      <c r="G114">
        <v>1</v>
      </c>
      <c r="H114">
        <v>1</v>
      </c>
      <c r="I114">
        <v>1</v>
      </c>
      <c r="J114">
        <v>1</v>
      </c>
      <c r="K114">
        <v>1</v>
      </c>
      <c r="L114">
        <v>1</v>
      </c>
      <c r="M114">
        <v>1</v>
      </c>
      <c r="N114">
        <v>1</v>
      </c>
      <c r="O114">
        <v>1</v>
      </c>
    </row>
    <row r="115" spans="1:16" x14ac:dyDescent="0.25">
      <c r="A115" t="s">
        <v>151</v>
      </c>
      <c r="B115" t="s">
        <v>18</v>
      </c>
      <c r="C115">
        <v>0</v>
      </c>
      <c r="D115">
        <v>4.5895636081695557</v>
      </c>
      <c r="E115">
        <v>1</v>
      </c>
      <c r="F115">
        <v>1</v>
      </c>
      <c r="G115">
        <v>1</v>
      </c>
      <c r="H115">
        <v>1</v>
      </c>
      <c r="I115">
        <v>0</v>
      </c>
      <c r="J115">
        <v>1</v>
      </c>
      <c r="K115">
        <v>1</v>
      </c>
      <c r="L115">
        <v>1</v>
      </c>
      <c r="M115">
        <v>1</v>
      </c>
      <c r="N115">
        <v>1</v>
      </c>
      <c r="O115">
        <v>1</v>
      </c>
      <c r="P115" t="s">
        <v>152</v>
      </c>
    </row>
    <row r="116" spans="1:16" x14ac:dyDescent="0.25">
      <c r="A116" t="s">
        <v>151</v>
      </c>
      <c r="B116" t="s">
        <v>21</v>
      </c>
      <c r="C116">
        <v>0</v>
      </c>
      <c r="D116">
        <v>2.868904590606689</v>
      </c>
      <c r="E116">
        <v>1</v>
      </c>
      <c r="F116">
        <v>1</v>
      </c>
      <c r="G116">
        <v>1</v>
      </c>
      <c r="H116">
        <v>1</v>
      </c>
      <c r="I116">
        <v>1</v>
      </c>
      <c r="J116">
        <v>1</v>
      </c>
      <c r="K116">
        <v>1</v>
      </c>
      <c r="L116">
        <v>1</v>
      </c>
      <c r="M116">
        <v>1</v>
      </c>
      <c r="N116">
        <v>1</v>
      </c>
      <c r="O116">
        <v>1</v>
      </c>
    </row>
    <row r="117" spans="1:16" x14ac:dyDescent="0.25">
      <c r="A117" t="s">
        <v>151</v>
      </c>
      <c r="B117" t="s">
        <v>23</v>
      </c>
      <c r="C117">
        <v>0</v>
      </c>
      <c r="D117">
        <v>10.800309658050541</v>
      </c>
      <c r="E117">
        <v>1</v>
      </c>
      <c r="F117">
        <v>1</v>
      </c>
      <c r="G117">
        <v>1</v>
      </c>
      <c r="H117">
        <v>1</v>
      </c>
      <c r="I117">
        <v>1</v>
      </c>
      <c r="J117">
        <v>0</v>
      </c>
      <c r="K117">
        <v>1</v>
      </c>
      <c r="L117">
        <v>1</v>
      </c>
      <c r="M117">
        <v>1</v>
      </c>
      <c r="N117">
        <v>1</v>
      </c>
      <c r="O117">
        <v>1</v>
      </c>
      <c r="P117" t="s">
        <v>153</v>
      </c>
    </row>
    <row r="118" spans="1:16" x14ac:dyDescent="0.25">
      <c r="A118" t="s">
        <v>151</v>
      </c>
      <c r="B118" t="s">
        <v>24</v>
      </c>
      <c r="C118">
        <v>0</v>
      </c>
      <c r="D118">
        <v>4.193587064743042</v>
      </c>
      <c r="E118">
        <v>1</v>
      </c>
      <c r="F118">
        <v>1</v>
      </c>
      <c r="G118">
        <v>1</v>
      </c>
      <c r="H118">
        <v>1</v>
      </c>
      <c r="I118">
        <v>0</v>
      </c>
      <c r="J118">
        <v>1</v>
      </c>
      <c r="K118">
        <v>1</v>
      </c>
      <c r="L118">
        <v>1</v>
      </c>
      <c r="M118">
        <v>1</v>
      </c>
      <c r="N118">
        <v>1</v>
      </c>
      <c r="O118">
        <v>1</v>
      </c>
      <c r="P118" t="s">
        <v>154</v>
      </c>
    </row>
    <row r="119" spans="1:16" x14ac:dyDescent="0.25">
      <c r="A119" t="s">
        <v>151</v>
      </c>
      <c r="B119" t="s">
        <v>25</v>
      </c>
      <c r="C119">
        <v>0</v>
      </c>
      <c r="D119">
        <v>9.5810871124267578</v>
      </c>
      <c r="E119">
        <v>1</v>
      </c>
      <c r="F119">
        <v>1</v>
      </c>
      <c r="G119">
        <v>1</v>
      </c>
      <c r="H119">
        <v>1</v>
      </c>
      <c r="I119">
        <v>1</v>
      </c>
      <c r="J119">
        <v>1</v>
      </c>
      <c r="K119">
        <v>1</v>
      </c>
      <c r="L119">
        <v>1</v>
      </c>
      <c r="M119">
        <v>1</v>
      </c>
      <c r="N119">
        <v>1</v>
      </c>
      <c r="O119">
        <v>1</v>
      </c>
    </row>
    <row r="120" spans="1:16" x14ac:dyDescent="0.25">
      <c r="A120" t="s">
        <v>151</v>
      </c>
      <c r="B120" t="s">
        <v>27</v>
      </c>
      <c r="C120">
        <v>0</v>
      </c>
      <c r="D120">
        <v>6.1557154655456543</v>
      </c>
      <c r="E120">
        <v>1</v>
      </c>
      <c r="F120">
        <v>1</v>
      </c>
      <c r="G120">
        <v>1</v>
      </c>
      <c r="H120">
        <v>1</v>
      </c>
      <c r="I120">
        <v>1</v>
      </c>
      <c r="J120">
        <v>1</v>
      </c>
      <c r="K120">
        <v>1</v>
      </c>
      <c r="L120">
        <v>1</v>
      </c>
      <c r="M120">
        <v>0</v>
      </c>
      <c r="N120">
        <v>1</v>
      </c>
      <c r="O120">
        <v>1</v>
      </c>
      <c r="P120" t="s">
        <v>155</v>
      </c>
    </row>
    <row r="121" spans="1:16" x14ac:dyDescent="0.25">
      <c r="A121" t="s">
        <v>151</v>
      </c>
      <c r="B121" t="s">
        <v>28</v>
      </c>
      <c r="C121">
        <v>0</v>
      </c>
      <c r="D121">
        <v>2.7414216995239258</v>
      </c>
      <c r="E121">
        <v>1</v>
      </c>
      <c r="F121">
        <v>1</v>
      </c>
      <c r="G121">
        <v>1</v>
      </c>
      <c r="H121">
        <v>1</v>
      </c>
      <c r="I121">
        <v>1</v>
      </c>
      <c r="J121">
        <v>1</v>
      </c>
      <c r="K121">
        <v>1</v>
      </c>
      <c r="L121">
        <v>1</v>
      </c>
      <c r="M121">
        <v>1</v>
      </c>
      <c r="N121">
        <v>1</v>
      </c>
      <c r="O121">
        <v>1</v>
      </c>
    </row>
    <row r="122" spans="1:16" x14ac:dyDescent="0.25">
      <c r="A122" t="s">
        <v>151</v>
      </c>
      <c r="B122" t="s">
        <v>29</v>
      </c>
      <c r="C122">
        <v>0</v>
      </c>
      <c r="D122">
        <v>5.3239660263061523</v>
      </c>
      <c r="E122">
        <v>0</v>
      </c>
      <c r="F122" t="s">
        <v>19</v>
      </c>
      <c r="G122" t="s">
        <v>19</v>
      </c>
      <c r="H122" t="s">
        <v>19</v>
      </c>
      <c r="I122" t="s">
        <v>19</v>
      </c>
      <c r="J122" t="s">
        <v>19</v>
      </c>
      <c r="K122" t="s">
        <v>19</v>
      </c>
      <c r="L122" t="s">
        <v>19</v>
      </c>
      <c r="M122" t="s">
        <v>19</v>
      </c>
      <c r="N122" t="s">
        <v>19</v>
      </c>
      <c r="O122" t="s">
        <v>19</v>
      </c>
      <c r="P122" t="s">
        <v>156</v>
      </c>
    </row>
    <row r="123" spans="1:16" x14ac:dyDescent="0.25">
      <c r="A123" t="s">
        <v>151</v>
      </c>
      <c r="B123" t="s">
        <v>30</v>
      </c>
      <c r="C123">
        <v>0</v>
      </c>
      <c r="D123">
        <v>2.6922545433044429</v>
      </c>
      <c r="E123">
        <v>1</v>
      </c>
      <c r="F123">
        <v>1</v>
      </c>
      <c r="G123">
        <v>1</v>
      </c>
      <c r="H123">
        <v>1</v>
      </c>
      <c r="I123">
        <v>1</v>
      </c>
      <c r="J123">
        <v>1</v>
      </c>
      <c r="K123">
        <v>1</v>
      </c>
      <c r="L123">
        <v>1</v>
      </c>
      <c r="M123">
        <v>1</v>
      </c>
      <c r="N123">
        <v>1</v>
      </c>
      <c r="O123">
        <v>1</v>
      </c>
    </row>
    <row r="124" spans="1:16" x14ac:dyDescent="0.25">
      <c r="A124" t="s">
        <v>151</v>
      </c>
      <c r="B124" t="s">
        <v>31</v>
      </c>
      <c r="C124">
        <v>0</v>
      </c>
      <c r="D124">
        <v>13.44746255874634</v>
      </c>
      <c r="E124">
        <v>1</v>
      </c>
      <c r="F124">
        <v>1</v>
      </c>
      <c r="G124">
        <v>1</v>
      </c>
      <c r="H124">
        <v>1</v>
      </c>
      <c r="I124">
        <v>1</v>
      </c>
      <c r="J124">
        <v>0</v>
      </c>
      <c r="K124">
        <v>0</v>
      </c>
      <c r="L124">
        <v>1</v>
      </c>
      <c r="M124">
        <v>1</v>
      </c>
      <c r="N124">
        <v>1</v>
      </c>
      <c r="O124">
        <v>1</v>
      </c>
      <c r="P124" t="s">
        <v>157</v>
      </c>
    </row>
    <row r="125" spans="1:16" x14ac:dyDescent="0.25">
      <c r="A125" t="s">
        <v>151</v>
      </c>
      <c r="B125" t="s">
        <v>32</v>
      </c>
      <c r="C125">
        <v>0</v>
      </c>
      <c r="D125">
        <v>9.7229816913604736</v>
      </c>
      <c r="E125">
        <v>1</v>
      </c>
      <c r="F125">
        <v>1</v>
      </c>
      <c r="G125">
        <v>1</v>
      </c>
      <c r="H125">
        <v>1</v>
      </c>
      <c r="I125">
        <v>1</v>
      </c>
      <c r="J125">
        <v>1</v>
      </c>
      <c r="K125">
        <v>1</v>
      </c>
      <c r="L125">
        <v>1</v>
      </c>
      <c r="M125">
        <v>1</v>
      </c>
      <c r="N125">
        <v>1</v>
      </c>
      <c r="O125">
        <v>1</v>
      </c>
    </row>
    <row r="126" spans="1:16" x14ac:dyDescent="0.25">
      <c r="A126" t="s">
        <v>151</v>
      </c>
      <c r="B126" t="s">
        <v>33</v>
      </c>
      <c r="C126">
        <v>0</v>
      </c>
      <c r="D126">
        <v>8.7886226177215576</v>
      </c>
      <c r="E126">
        <v>1</v>
      </c>
      <c r="F126">
        <v>1</v>
      </c>
      <c r="G126">
        <v>1</v>
      </c>
      <c r="H126">
        <v>1</v>
      </c>
      <c r="I126">
        <v>1</v>
      </c>
      <c r="J126">
        <v>1</v>
      </c>
      <c r="K126">
        <v>1</v>
      </c>
      <c r="L126">
        <v>1</v>
      </c>
      <c r="M126">
        <v>1</v>
      </c>
      <c r="N126">
        <v>1</v>
      </c>
      <c r="O126">
        <v>1</v>
      </c>
    </row>
    <row r="127" spans="1:16" x14ac:dyDescent="0.25">
      <c r="A127" t="s">
        <v>151</v>
      </c>
      <c r="B127" t="s">
        <v>35</v>
      </c>
      <c r="C127">
        <v>0</v>
      </c>
      <c r="D127">
        <v>7.0440616607666016</v>
      </c>
      <c r="E127">
        <v>1</v>
      </c>
      <c r="F127">
        <v>1</v>
      </c>
      <c r="G127">
        <v>1</v>
      </c>
      <c r="H127">
        <v>1</v>
      </c>
      <c r="I127">
        <v>1</v>
      </c>
      <c r="J127">
        <v>1</v>
      </c>
      <c r="K127">
        <v>1</v>
      </c>
      <c r="L127">
        <v>0</v>
      </c>
      <c r="M127">
        <v>1</v>
      </c>
      <c r="N127">
        <v>1</v>
      </c>
      <c r="O127">
        <v>1</v>
      </c>
      <c r="P127" t="s">
        <v>158</v>
      </c>
    </row>
    <row r="128" spans="1:16" x14ac:dyDescent="0.25">
      <c r="A128" t="s">
        <v>151</v>
      </c>
      <c r="B128" t="s">
        <v>36</v>
      </c>
      <c r="C128">
        <v>0</v>
      </c>
      <c r="D128">
        <v>2.740556955337524</v>
      </c>
      <c r="E128">
        <v>1</v>
      </c>
      <c r="F128">
        <v>1</v>
      </c>
      <c r="G128">
        <v>1</v>
      </c>
      <c r="H128">
        <v>1</v>
      </c>
      <c r="I128">
        <v>1</v>
      </c>
      <c r="J128">
        <v>1</v>
      </c>
      <c r="K128">
        <v>1</v>
      </c>
      <c r="L128">
        <v>1</v>
      </c>
      <c r="M128">
        <v>1</v>
      </c>
      <c r="N128">
        <v>1</v>
      </c>
      <c r="O128">
        <v>1</v>
      </c>
    </row>
    <row r="129" spans="1:16" x14ac:dyDescent="0.25">
      <c r="A129" t="s">
        <v>151</v>
      </c>
      <c r="B129" t="s">
        <v>37</v>
      </c>
      <c r="C129">
        <v>0</v>
      </c>
      <c r="D129">
        <v>2.765920877456665</v>
      </c>
      <c r="E129">
        <v>1</v>
      </c>
      <c r="F129">
        <v>1</v>
      </c>
      <c r="G129">
        <v>1</v>
      </c>
      <c r="H129">
        <v>1</v>
      </c>
      <c r="I129">
        <v>1</v>
      </c>
      <c r="J129">
        <v>1</v>
      </c>
      <c r="K129">
        <v>1</v>
      </c>
      <c r="L129">
        <v>1</v>
      </c>
      <c r="M129">
        <v>1</v>
      </c>
      <c r="N129">
        <v>1</v>
      </c>
      <c r="O129">
        <v>1</v>
      </c>
    </row>
    <row r="130" spans="1:16" x14ac:dyDescent="0.25">
      <c r="A130" t="s">
        <v>151</v>
      </c>
      <c r="B130" t="s">
        <v>39</v>
      </c>
      <c r="C130">
        <v>0</v>
      </c>
      <c r="D130">
        <v>4.2007310390472412</v>
      </c>
      <c r="E130">
        <v>1</v>
      </c>
      <c r="F130">
        <v>1</v>
      </c>
      <c r="G130">
        <v>1</v>
      </c>
      <c r="H130">
        <v>1</v>
      </c>
      <c r="I130">
        <v>0</v>
      </c>
      <c r="J130">
        <v>1</v>
      </c>
      <c r="K130">
        <v>1</v>
      </c>
      <c r="L130">
        <v>1</v>
      </c>
      <c r="M130">
        <v>1</v>
      </c>
      <c r="N130">
        <v>1</v>
      </c>
      <c r="O130">
        <v>1</v>
      </c>
      <c r="P130" t="s">
        <v>159</v>
      </c>
    </row>
    <row r="131" spans="1:16" x14ac:dyDescent="0.25">
      <c r="A131" t="s">
        <v>151</v>
      </c>
      <c r="B131" t="s">
        <v>40</v>
      </c>
      <c r="C131">
        <v>0</v>
      </c>
      <c r="D131">
        <v>12.779769897460939</v>
      </c>
      <c r="E131">
        <v>1</v>
      </c>
      <c r="F131">
        <v>1</v>
      </c>
      <c r="G131">
        <v>1</v>
      </c>
      <c r="H131">
        <v>1</v>
      </c>
      <c r="I131">
        <v>1</v>
      </c>
      <c r="J131">
        <v>1</v>
      </c>
      <c r="K131">
        <v>0</v>
      </c>
      <c r="L131">
        <v>0</v>
      </c>
      <c r="M131">
        <v>1</v>
      </c>
      <c r="N131">
        <v>1</v>
      </c>
      <c r="O131">
        <v>1</v>
      </c>
      <c r="P131" t="s">
        <v>160</v>
      </c>
    </row>
    <row r="132" spans="1:16" x14ac:dyDescent="0.25">
      <c r="A132" t="s">
        <v>151</v>
      </c>
      <c r="B132" t="s">
        <v>41</v>
      </c>
      <c r="C132">
        <v>0</v>
      </c>
      <c r="D132">
        <v>7.9600791931152344</v>
      </c>
      <c r="E132">
        <v>1</v>
      </c>
      <c r="F132">
        <v>1</v>
      </c>
      <c r="G132">
        <v>1</v>
      </c>
      <c r="H132">
        <v>1</v>
      </c>
      <c r="I132">
        <v>1</v>
      </c>
      <c r="J132">
        <v>1</v>
      </c>
      <c r="K132">
        <v>0</v>
      </c>
      <c r="L132">
        <v>1</v>
      </c>
      <c r="M132">
        <v>1</v>
      </c>
      <c r="N132">
        <v>1</v>
      </c>
      <c r="O132">
        <v>1</v>
      </c>
      <c r="P132" t="s">
        <v>161</v>
      </c>
    </row>
    <row r="133" spans="1:16" x14ac:dyDescent="0.25">
      <c r="A133" t="s">
        <v>151</v>
      </c>
      <c r="B133" t="s">
        <v>42</v>
      </c>
      <c r="C133">
        <v>0</v>
      </c>
      <c r="D133">
        <v>7.1864991188049316</v>
      </c>
      <c r="E133">
        <v>1</v>
      </c>
      <c r="F133">
        <v>1</v>
      </c>
      <c r="G133">
        <v>1</v>
      </c>
      <c r="H133">
        <v>1</v>
      </c>
      <c r="I133">
        <v>1</v>
      </c>
      <c r="J133">
        <v>1</v>
      </c>
      <c r="K133">
        <v>0</v>
      </c>
      <c r="L133">
        <v>1</v>
      </c>
      <c r="M133">
        <v>0</v>
      </c>
      <c r="N133">
        <v>1</v>
      </c>
      <c r="O133">
        <v>1</v>
      </c>
      <c r="P133" t="s">
        <v>162</v>
      </c>
    </row>
    <row r="134" spans="1:16" x14ac:dyDescent="0.25">
      <c r="A134" t="s">
        <v>151</v>
      </c>
      <c r="B134" t="s">
        <v>44</v>
      </c>
      <c r="C134">
        <v>0</v>
      </c>
      <c r="D134">
        <v>2.795657634735107</v>
      </c>
      <c r="E134">
        <v>1</v>
      </c>
      <c r="F134">
        <v>1</v>
      </c>
      <c r="G134">
        <v>1</v>
      </c>
      <c r="H134">
        <v>1</v>
      </c>
      <c r="I134">
        <v>1</v>
      </c>
      <c r="J134">
        <v>1</v>
      </c>
      <c r="K134">
        <v>1</v>
      </c>
      <c r="L134">
        <v>1</v>
      </c>
      <c r="M134">
        <v>1</v>
      </c>
      <c r="N134">
        <v>1</v>
      </c>
      <c r="O134">
        <v>1</v>
      </c>
    </row>
    <row r="135" spans="1:16" x14ac:dyDescent="0.25">
      <c r="A135" t="s">
        <v>151</v>
      </c>
      <c r="B135" t="s">
        <v>46</v>
      </c>
      <c r="C135">
        <v>0</v>
      </c>
      <c r="D135">
        <v>7.9937489032745361</v>
      </c>
      <c r="E135">
        <v>1</v>
      </c>
      <c r="F135">
        <v>0</v>
      </c>
      <c r="G135">
        <v>1</v>
      </c>
      <c r="H135" t="s">
        <v>19</v>
      </c>
      <c r="I135">
        <v>1</v>
      </c>
      <c r="J135" t="s">
        <v>19</v>
      </c>
      <c r="K135">
        <v>1</v>
      </c>
      <c r="L135">
        <v>1</v>
      </c>
      <c r="M135">
        <v>1</v>
      </c>
      <c r="N135">
        <v>1</v>
      </c>
      <c r="O135">
        <v>1</v>
      </c>
      <c r="P135" t="s">
        <v>163</v>
      </c>
    </row>
    <row r="136" spans="1:16" x14ac:dyDescent="0.25">
      <c r="A136" t="s">
        <v>151</v>
      </c>
      <c r="B136" t="s">
        <v>48</v>
      </c>
      <c r="C136">
        <v>0</v>
      </c>
      <c r="D136">
        <v>2.739869356155396</v>
      </c>
      <c r="E136">
        <v>1</v>
      </c>
      <c r="F136">
        <v>1</v>
      </c>
      <c r="G136">
        <v>1</v>
      </c>
      <c r="H136">
        <v>1</v>
      </c>
      <c r="I136">
        <v>1</v>
      </c>
      <c r="J136">
        <v>1</v>
      </c>
      <c r="K136">
        <v>1</v>
      </c>
      <c r="L136">
        <v>1</v>
      </c>
      <c r="M136">
        <v>1</v>
      </c>
      <c r="N136">
        <v>1</v>
      </c>
      <c r="O136">
        <v>1</v>
      </c>
    </row>
    <row r="137" spans="1:16" x14ac:dyDescent="0.25">
      <c r="A137" t="s">
        <v>151</v>
      </c>
      <c r="B137" t="s">
        <v>49</v>
      </c>
      <c r="C137">
        <v>0</v>
      </c>
      <c r="D137">
        <v>5.5349063873291016</v>
      </c>
      <c r="E137">
        <v>1</v>
      </c>
      <c r="F137">
        <v>0</v>
      </c>
      <c r="G137">
        <v>1</v>
      </c>
      <c r="H137" t="s">
        <v>19</v>
      </c>
      <c r="I137">
        <v>1</v>
      </c>
      <c r="J137" t="s">
        <v>19</v>
      </c>
      <c r="K137">
        <v>1</v>
      </c>
      <c r="L137">
        <v>1</v>
      </c>
      <c r="M137">
        <v>1</v>
      </c>
      <c r="N137">
        <v>1</v>
      </c>
      <c r="O137">
        <v>1</v>
      </c>
      <c r="P137" t="s">
        <v>164</v>
      </c>
    </row>
    <row r="138" spans="1:16" x14ac:dyDescent="0.25">
      <c r="A138" t="s">
        <v>151</v>
      </c>
      <c r="B138" t="s">
        <v>51</v>
      </c>
      <c r="C138">
        <v>0</v>
      </c>
      <c r="D138">
        <v>7.6530461311340332</v>
      </c>
      <c r="E138">
        <v>0</v>
      </c>
      <c r="F138" t="s">
        <v>19</v>
      </c>
      <c r="G138" t="s">
        <v>19</v>
      </c>
      <c r="H138" t="s">
        <v>19</v>
      </c>
      <c r="I138" t="s">
        <v>19</v>
      </c>
      <c r="J138" t="s">
        <v>19</v>
      </c>
      <c r="K138" t="s">
        <v>19</v>
      </c>
      <c r="L138" t="s">
        <v>19</v>
      </c>
      <c r="M138" t="s">
        <v>19</v>
      </c>
      <c r="N138" t="s">
        <v>19</v>
      </c>
      <c r="O138" t="s">
        <v>19</v>
      </c>
      <c r="P138" t="s">
        <v>165</v>
      </c>
    </row>
    <row r="139" spans="1:16" x14ac:dyDescent="0.25">
      <c r="A139" t="s">
        <v>151</v>
      </c>
      <c r="B139" t="s">
        <v>52</v>
      </c>
      <c r="C139">
        <v>0</v>
      </c>
      <c r="D139">
        <v>11.54523634910583</v>
      </c>
      <c r="E139">
        <v>1</v>
      </c>
      <c r="F139">
        <v>0</v>
      </c>
      <c r="G139">
        <v>1</v>
      </c>
      <c r="H139" t="s">
        <v>19</v>
      </c>
      <c r="I139">
        <v>1</v>
      </c>
      <c r="J139" t="s">
        <v>19</v>
      </c>
      <c r="K139">
        <v>1</v>
      </c>
      <c r="L139">
        <v>1</v>
      </c>
      <c r="M139">
        <v>1</v>
      </c>
      <c r="N139">
        <v>1</v>
      </c>
      <c r="O139">
        <v>1</v>
      </c>
      <c r="P139" t="s">
        <v>166</v>
      </c>
    </row>
    <row r="140" spans="1:16" x14ac:dyDescent="0.25">
      <c r="A140" t="s">
        <v>151</v>
      </c>
      <c r="B140" t="s">
        <v>54</v>
      </c>
      <c r="C140">
        <v>0</v>
      </c>
      <c r="D140">
        <v>12.42692804336548</v>
      </c>
      <c r="E140">
        <v>1</v>
      </c>
      <c r="F140">
        <v>1</v>
      </c>
      <c r="G140">
        <v>1</v>
      </c>
      <c r="H140">
        <v>1</v>
      </c>
      <c r="I140">
        <v>1</v>
      </c>
      <c r="J140">
        <v>1</v>
      </c>
      <c r="K140">
        <v>0</v>
      </c>
      <c r="L140">
        <v>1</v>
      </c>
      <c r="M140">
        <v>1</v>
      </c>
      <c r="N140">
        <v>1</v>
      </c>
      <c r="O140">
        <v>1</v>
      </c>
      <c r="P140" t="s">
        <v>167</v>
      </c>
    </row>
    <row r="141" spans="1:16" x14ac:dyDescent="0.25">
      <c r="A141" t="s">
        <v>151</v>
      </c>
      <c r="B141" t="s">
        <v>56</v>
      </c>
      <c r="C141">
        <v>0</v>
      </c>
      <c r="D141">
        <v>8.4249510765075684</v>
      </c>
      <c r="E141">
        <v>1</v>
      </c>
      <c r="F141">
        <v>1</v>
      </c>
      <c r="G141">
        <v>1</v>
      </c>
      <c r="H141">
        <v>1</v>
      </c>
      <c r="I141">
        <v>1</v>
      </c>
      <c r="J141">
        <v>1</v>
      </c>
      <c r="K141">
        <v>1</v>
      </c>
      <c r="L141">
        <v>1</v>
      </c>
      <c r="M141">
        <v>1</v>
      </c>
      <c r="N141">
        <v>1</v>
      </c>
      <c r="O141">
        <v>1</v>
      </c>
    </row>
    <row r="142" spans="1:16" x14ac:dyDescent="0.25">
      <c r="A142" t="s">
        <v>151</v>
      </c>
      <c r="B142" t="s">
        <v>58</v>
      </c>
      <c r="C142">
        <v>0</v>
      </c>
      <c r="D142">
        <v>9.8526842594146729</v>
      </c>
      <c r="E142">
        <v>1</v>
      </c>
      <c r="F142">
        <v>1</v>
      </c>
      <c r="G142">
        <v>1</v>
      </c>
      <c r="H142">
        <v>1</v>
      </c>
      <c r="I142">
        <v>1</v>
      </c>
      <c r="J142">
        <v>1</v>
      </c>
      <c r="K142">
        <v>1</v>
      </c>
      <c r="L142">
        <v>1</v>
      </c>
      <c r="M142">
        <v>1</v>
      </c>
      <c r="N142">
        <v>1</v>
      </c>
      <c r="O142">
        <v>1</v>
      </c>
    </row>
    <row r="143" spans="1:16" x14ac:dyDescent="0.25">
      <c r="A143" t="s">
        <v>151</v>
      </c>
      <c r="B143" t="s">
        <v>60</v>
      </c>
      <c r="C143">
        <v>0</v>
      </c>
      <c r="D143">
        <v>10.31982517242432</v>
      </c>
      <c r="E143">
        <v>1</v>
      </c>
      <c r="F143">
        <v>1</v>
      </c>
      <c r="G143">
        <v>0</v>
      </c>
      <c r="H143" t="s">
        <v>19</v>
      </c>
      <c r="I143">
        <v>1</v>
      </c>
      <c r="J143">
        <v>0</v>
      </c>
      <c r="K143">
        <v>0</v>
      </c>
      <c r="L143">
        <v>1</v>
      </c>
      <c r="M143">
        <v>1</v>
      </c>
      <c r="N143">
        <v>1</v>
      </c>
      <c r="O143">
        <v>1</v>
      </c>
      <c r="P143" t="s">
        <v>168</v>
      </c>
    </row>
    <row r="144" spans="1:16" x14ac:dyDescent="0.25">
      <c r="A144" t="s">
        <v>151</v>
      </c>
      <c r="B144" t="s">
        <v>62</v>
      </c>
      <c r="C144">
        <v>0</v>
      </c>
      <c r="D144">
        <v>13.76424193382263</v>
      </c>
      <c r="E144">
        <v>1</v>
      </c>
      <c r="F144">
        <v>0</v>
      </c>
      <c r="G144">
        <v>1</v>
      </c>
      <c r="H144" t="s">
        <v>19</v>
      </c>
      <c r="I144">
        <v>1</v>
      </c>
      <c r="J144" t="s">
        <v>19</v>
      </c>
      <c r="K144">
        <v>0</v>
      </c>
      <c r="L144">
        <v>1</v>
      </c>
      <c r="M144">
        <v>1</v>
      </c>
      <c r="N144">
        <v>1</v>
      </c>
      <c r="O144">
        <v>1</v>
      </c>
      <c r="P144" t="s">
        <v>169</v>
      </c>
    </row>
    <row r="145" spans="1:16" x14ac:dyDescent="0.25">
      <c r="A145" t="s">
        <v>151</v>
      </c>
      <c r="B145" t="s">
        <v>64</v>
      </c>
      <c r="C145">
        <v>0</v>
      </c>
      <c r="D145">
        <v>2.720268726348877</v>
      </c>
      <c r="E145">
        <v>1</v>
      </c>
      <c r="F145">
        <v>1</v>
      </c>
      <c r="G145">
        <v>1</v>
      </c>
      <c r="H145">
        <v>1</v>
      </c>
      <c r="I145">
        <v>1</v>
      </c>
      <c r="J145">
        <v>1</v>
      </c>
      <c r="K145">
        <v>1</v>
      </c>
      <c r="L145">
        <v>1</v>
      </c>
      <c r="M145">
        <v>1</v>
      </c>
      <c r="N145">
        <v>1</v>
      </c>
      <c r="O145">
        <v>1</v>
      </c>
    </row>
    <row r="146" spans="1:16" x14ac:dyDescent="0.25">
      <c r="A146" t="s">
        <v>151</v>
      </c>
      <c r="B146" t="s">
        <v>65</v>
      </c>
      <c r="C146">
        <v>0</v>
      </c>
      <c r="D146">
        <v>6.7688333988189697</v>
      </c>
      <c r="E146">
        <v>1</v>
      </c>
      <c r="F146">
        <v>0</v>
      </c>
      <c r="G146">
        <v>1</v>
      </c>
      <c r="H146" t="s">
        <v>19</v>
      </c>
      <c r="I146">
        <v>1</v>
      </c>
      <c r="J146" t="s">
        <v>19</v>
      </c>
      <c r="K146">
        <v>1</v>
      </c>
      <c r="L146">
        <v>1</v>
      </c>
      <c r="M146">
        <v>1</v>
      </c>
      <c r="N146">
        <v>1</v>
      </c>
      <c r="O146">
        <v>1</v>
      </c>
      <c r="P146" t="s">
        <v>170</v>
      </c>
    </row>
    <row r="147" spans="1:16" x14ac:dyDescent="0.25">
      <c r="A147" t="s">
        <v>151</v>
      </c>
      <c r="B147" t="s">
        <v>67</v>
      </c>
      <c r="C147">
        <v>0</v>
      </c>
      <c r="D147">
        <v>9.9623188972473145</v>
      </c>
      <c r="E147">
        <v>1</v>
      </c>
      <c r="F147">
        <v>1</v>
      </c>
      <c r="G147">
        <v>1</v>
      </c>
      <c r="H147">
        <v>1</v>
      </c>
      <c r="I147">
        <v>0</v>
      </c>
      <c r="J147">
        <v>1</v>
      </c>
      <c r="K147">
        <v>1</v>
      </c>
      <c r="L147">
        <v>1</v>
      </c>
      <c r="M147">
        <v>1</v>
      </c>
      <c r="N147">
        <v>1</v>
      </c>
      <c r="O147">
        <v>1</v>
      </c>
      <c r="P147" t="s">
        <v>171</v>
      </c>
    </row>
    <row r="148" spans="1:16" x14ac:dyDescent="0.25">
      <c r="A148" t="s">
        <v>151</v>
      </c>
      <c r="B148" t="s">
        <v>69</v>
      </c>
      <c r="C148">
        <v>0</v>
      </c>
      <c r="D148">
        <v>12.73581385612488</v>
      </c>
      <c r="E148">
        <v>1</v>
      </c>
      <c r="F148">
        <v>0</v>
      </c>
      <c r="G148">
        <v>1</v>
      </c>
      <c r="H148" t="s">
        <v>19</v>
      </c>
      <c r="I148">
        <v>1</v>
      </c>
      <c r="J148" t="s">
        <v>19</v>
      </c>
      <c r="K148">
        <v>1</v>
      </c>
      <c r="L148">
        <v>1</v>
      </c>
      <c r="M148">
        <v>1</v>
      </c>
      <c r="N148">
        <v>1</v>
      </c>
      <c r="O148">
        <v>1</v>
      </c>
      <c r="P148" t="s">
        <v>172</v>
      </c>
    </row>
    <row r="149" spans="1:16" x14ac:dyDescent="0.25">
      <c r="A149" t="s">
        <v>151</v>
      </c>
      <c r="B149" t="s">
        <v>70</v>
      </c>
      <c r="C149">
        <v>0</v>
      </c>
      <c r="D149">
        <v>9.9764864444732666</v>
      </c>
      <c r="E149">
        <v>1</v>
      </c>
      <c r="F149">
        <v>1</v>
      </c>
      <c r="G149">
        <v>1</v>
      </c>
      <c r="H149">
        <v>1</v>
      </c>
      <c r="I149">
        <v>1</v>
      </c>
      <c r="J149">
        <v>1</v>
      </c>
      <c r="K149">
        <v>1</v>
      </c>
      <c r="L149">
        <v>1</v>
      </c>
      <c r="M149">
        <v>1</v>
      </c>
      <c r="N149">
        <v>1</v>
      </c>
      <c r="O149">
        <v>1</v>
      </c>
    </row>
    <row r="150" spans="1:16" x14ac:dyDescent="0.25">
      <c r="A150" t="s">
        <v>151</v>
      </c>
      <c r="B150" t="s">
        <v>71</v>
      </c>
      <c r="C150">
        <v>0</v>
      </c>
      <c r="D150">
        <v>2.6403045654296879</v>
      </c>
      <c r="E150">
        <v>1</v>
      </c>
      <c r="F150">
        <v>1</v>
      </c>
      <c r="G150">
        <v>1</v>
      </c>
      <c r="H150">
        <v>1</v>
      </c>
      <c r="I150">
        <v>1</v>
      </c>
      <c r="J150">
        <v>1</v>
      </c>
      <c r="K150">
        <v>1</v>
      </c>
      <c r="L150">
        <v>1</v>
      </c>
      <c r="M150">
        <v>1</v>
      </c>
      <c r="N150">
        <v>1</v>
      </c>
      <c r="O150">
        <v>1</v>
      </c>
    </row>
    <row r="151" spans="1:16" x14ac:dyDescent="0.25">
      <c r="A151" t="s">
        <v>151</v>
      </c>
      <c r="B151" t="s">
        <v>72</v>
      </c>
      <c r="C151">
        <v>0</v>
      </c>
      <c r="D151">
        <v>5.2308580875396729</v>
      </c>
      <c r="E151">
        <v>1</v>
      </c>
      <c r="F151">
        <v>1</v>
      </c>
      <c r="G151">
        <v>0</v>
      </c>
      <c r="H151" t="s">
        <v>19</v>
      </c>
      <c r="I151">
        <v>1</v>
      </c>
      <c r="J151">
        <v>1</v>
      </c>
      <c r="K151">
        <v>1</v>
      </c>
      <c r="L151">
        <v>1</v>
      </c>
      <c r="M151">
        <v>1</v>
      </c>
      <c r="N151">
        <v>1</v>
      </c>
      <c r="O151">
        <v>1</v>
      </c>
      <c r="P151" t="s">
        <v>173</v>
      </c>
    </row>
    <row r="152" spans="1:16" x14ac:dyDescent="0.25">
      <c r="A152" t="s">
        <v>151</v>
      </c>
      <c r="B152" t="s">
        <v>74</v>
      </c>
      <c r="C152">
        <v>0</v>
      </c>
      <c r="D152">
        <v>2.682004451751709</v>
      </c>
      <c r="E152">
        <v>1</v>
      </c>
      <c r="F152">
        <v>1</v>
      </c>
      <c r="G152">
        <v>1</v>
      </c>
      <c r="H152">
        <v>1</v>
      </c>
      <c r="I152">
        <v>1</v>
      </c>
      <c r="J152">
        <v>1</v>
      </c>
      <c r="K152">
        <v>1</v>
      </c>
      <c r="L152">
        <v>1</v>
      </c>
      <c r="M152">
        <v>1</v>
      </c>
      <c r="N152">
        <v>1</v>
      </c>
      <c r="O152">
        <v>1</v>
      </c>
    </row>
    <row r="153" spans="1:16" x14ac:dyDescent="0.25">
      <c r="A153" t="s">
        <v>151</v>
      </c>
      <c r="B153" t="s">
        <v>76</v>
      </c>
      <c r="C153">
        <v>0</v>
      </c>
      <c r="D153">
        <v>2.5409398078918461</v>
      </c>
      <c r="E153">
        <v>1</v>
      </c>
      <c r="F153">
        <v>1</v>
      </c>
      <c r="G153">
        <v>1</v>
      </c>
      <c r="H153">
        <v>1</v>
      </c>
      <c r="I153">
        <v>1</v>
      </c>
      <c r="J153">
        <v>1</v>
      </c>
      <c r="K153">
        <v>1</v>
      </c>
      <c r="L153">
        <v>1</v>
      </c>
      <c r="M153">
        <v>1</v>
      </c>
      <c r="N153">
        <v>1</v>
      </c>
      <c r="O153">
        <v>1</v>
      </c>
    </row>
    <row r="154" spans="1:16" x14ac:dyDescent="0.25">
      <c r="A154" t="s">
        <v>151</v>
      </c>
      <c r="B154" t="s">
        <v>78</v>
      </c>
      <c r="C154">
        <v>0</v>
      </c>
      <c r="D154">
        <v>2.7096631526947021</v>
      </c>
      <c r="E154">
        <v>1</v>
      </c>
      <c r="F154">
        <v>1</v>
      </c>
      <c r="G154">
        <v>1</v>
      </c>
      <c r="H154">
        <v>1</v>
      </c>
      <c r="I154">
        <v>1</v>
      </c>
      <c r="J154">
        <v>1</v>
      </c>
      <c r="K154">
        <v>1</v>
      </c>
      <c r="L154">
        <v>1</v>
      </c>
      <c r="M154">
        <v>1</v>
      </c>
      <c r="N154">
        <v>1</v>
      </c>
      <c r="O154">
        <v>1</v>
      </c>
    </row>
    <row r="155" spans="1:16" x14ac:dyDescent="0.25">
      <c r="A155" t="s">
        <v>151</v>
      </c>
      <c r="B155" t="s">
        <v>80</v>
      </c>
      <c r="C155">
        <v>0</v>
      </c>
      <c r="D155">
        <v>13.916183471679689</v>
      </c>
      <c r="E155">
        <v>0</v>
      </c>
      <c r="F155" t="s">
        <v>19</v>
      </c>
      <c r="G155" t="s">
        <v>19</v>
      </c>
      <c r="H155" t="s">
        <v>19</v>
      </c>
      <c r="I155" t="s">
        <v>19</v>
      </c>
      <c r="J155" t="s">
        <v>19</v>
      </c>
      <c r="K155" t="s">
        <v>19</v>
      </c>
      <c r="L155" t="s">
        <v>19</v>
      </c>
      <c r="M155" t="s">
        <v>19</v>
      </c>
      <c r="N155" t="s">
        <v>19</v>
      </c>
      <c r="O155" t="s">
        <v>19</v>
      </c>
      <c r="P155" t="s">
        <v>174</v>
      </c>
    </row>
    <row r="156" spans="1:16" x14ac:dyDescent="0.25">
      <c r="A156" t="s">
        <v>151</v>
      </c>
      <c r="B156" t="s">
        <v>81</v>
      </c>
      <c r="C156">
        <v>0</v>
      </c>
      <c r="D156">
        <v>11.722488403320311</v>
      </c>
      <c r="E156">
        <v>1</v>
      </c>
      <c r="F156">
        <v>1</v>
      </c>
      <c r="G156">
        <v>1</v>
      </c>
      <c r="H156">
        <v>1</v>
      </c>
      <c r="I156">
        <v>1</v>
      </c>
      <c r="J156">
        <v>0</v>
      </c>
      <c r="K156">
        <v>1</v>
      </c>
      <c r="L156">
        <v>1</v>
      </c>
      <c r="M156">
        <v>1</v>
      </c>
      <c r="N156">
        <v>1</v>
      </c>
      <c r="O156">
        <v>1</v>
      </c>
      <c r="P156" t="s">
        <v>175</v>
      </c>
    </row>
    <row r="157" spans="1:16" x14ac:dyDescent="0.25">
      <c r="A157" t="s">
        <v>151</v>
      </c>
      <c r="B157" t="s">
        <v>83</v>
      </c>
      <c r="C157">
        <v>0</v>
      </c>
      <c r="D157">
        <v>5.6175956726074219</v>
      </c>
      <c r="E157">
        <v>1</v>
      </c>
      <c r="F157">
        <v>1</v>
      </c>
      <c r="G157">
        <v>0</v>
      </c>
      <c r="H157" t="s">
        <v>19</v>
      </c>
      <c r="I157">
        <v>1</v>
      </c>
      <c r="J157">
        <v>1</v>
      </c>
      <c r="K157">
        <v>1</v>
      </c>
      <c r="L157">
        <v>1</v>
      </c>
      <c r="M157">
        <v>1</v>
      </c>
      <c r="N157">
        <v>1</v>
      </c>
      <c r="O157">
        <v>1</v>
      </c>
      <c r="P157" t="s">
        <v>176</v>
      </c>
    </row>
    <row r="158" spans="1:16" x14ac:dyDescent="0.25">
      <c r="A158" t="s">
        <v>151</v>
      </c>
      <c r="B158" t="s">
        <v>85</v>
      </c>
      <c r="C158">
        <v>0</v>
      </c>
      <c r="D158">
        <v>11.90970039367676</v>
      </c>
      <c r="E158">
        <v>1</v>
      </c>
      <c r="F158">
        <v>1</v>
      </c>
      <c r="G158">
        <v>1</v>
      </c>
      <c r="H158">
        <v>1</v>
      </c>
      <c r="I158">
        <v>1</v>
      </c>
      <c r="J158">
        <v>0</v>
      </c>
      <c r="K158">
        <v>1</v>
      </c>
      <c r="L158">
        <v>1</v>
      </c>
      <c r="M158">
        <v>1</v>
      </c>
      <c r="N158">
        <v>1</v>
      </c>
      <c r="O158">
        <v>1</v>
      </c>
      <c r="P158" t="s">
        <v>177</v>
      </c>
    </row>
    <row r="159" spans="1:16" x14ac:dyDescent="0.25">
      <c r="A159" t="s">
        <v>151</v>
      </c>
      <c r="B159" t="s">
        <v>87</v>
      </c>
      <c r="C159">
        <v>0</v>
      </c>
      <c r="D159">
        <v>12.504518508911129</v>
      </c>
      <c r="E159">
        <v>1</v>
      </c>
      <c r="F159">
        <v>1</v>
      </c>
      <c r="G159">
        <v>1</v>
      </c>
      <c r="H159">
        <v>1</v>
      </c>
      <c r="I159">
        <v>1</v>
      </c>
      <c r="J159">
        <v>0</v>
      </c>
      <c r="K159">
        <v>1</v>
      </c>
      <c r="L159">
        <v>1</v>
      </c>
      <c r="M159">
        <v>1</v>
      </c>
      <c r="N159">
        <v>1</v>
      </c>
      <c r="O159">
        <v>1</v>
      </c>
      <c r="P159" t="s">
        <v>178</v>
      </c>
    </row>
    <row r="160" spans="1:16" x14ac:dyDescent="0.25">
      <c r="A160" t="s">
        <v>151</v>
      </c>
      <c r="B160" t="s">
        <v>89</v>
      </c>
      <c r="C160">
        <v>0</v>
      </c>
      <c r="D160">
        <v>4.7963924407958984</v>
      </c>
      <c r="E160">
        <v>1</v>
      </c>
      <c r="F160">
        <v>1</v>
      </c>
      <c r="G160">
        <v>1</v>
      </c>
      <c r="H160">
        <v>1</v>
      </c>
      <c r="I160">
        <v>1</v>
      </c>
      <c r="J160">
        <v>0</v>
      </c>
      <c r="K160">
        <v>1</v>
      </c>
      <c r="L160">
        <v>1</v>
      </c>
      <c r="M160">
        <v>1</v>
      </c>
      <c r="N160">
        <v>1</v>
      </c>
      <c r="O160">
        <v>1</v>
      </c>
      <c r="P160" t="s">
        <v>179</v>
      </c>
    </row>
    <row r="161" spans="1:16" x14ac:dyDescent="0.25">
      <c r="A161" t="s">
        <v>151</v>
      </c>
      <c r="B161" t="s">
        <v>91</v>
      </c>
      <c r="C161">
        <v>0</v>
      </c>
      <c r="D161">
        <v>2.8153891563415532</v>
      </c>
      <c r="E161">
        <v>1</v>
      </c>
      <c r="F161">
        <v>1</v>
      </c>
      <c r="G161">
        <v>1</v>
      </c>
      <c r="H161">
        <v>1</v>
      </c>
      <c r="I161">
        <v>1</v>
      </c>
      <c r="J161">
        <v>1</v>
      </c>
      <c r="K161">
        <v>1</v>
      </c>
      <c r="L161">
        <v>1</v>
      </c>
      <c r="M161">
        <v>1</v>
      </c>
      <c r="N161">
        <v>1</v>
      </c>
      <c r="O161">
        <v>1</v>
      </c>
    </row>
    <row r="162" spans="1:16" x14ac:dyDescent="0.25">
      <c r="A162" t="s">
        <v>151</v>
      </c>
      <c r="B162" t="s">
        <v>93</v>
      </c>
      <c r="C162">
        <v>0</v>
      </c>
      <c r="D162">
        <v>4.673548698425293</v>
      </c>
      <c r="E162">
        <v>1</v>
      </c>
      <c r="F162">
        <v>1</v>
      </c>
      <c r="G162">
        <v>1</v>
      </c>
      <c r="H162">
        <v>1</v>
      </c>
      <c r="I162">
        <v>1</v>
      </c>
      <c r="J162">
        <v>0</v>
      </c>
      <c r="K162">
        <v>1</v>
      </c>
      <c r="L162">
        <v>1</v>
      </c>
      <c r="M162">
        <v>1</v>
      </c>
      <c r="N162">
        <v>1</v>
      </c>
      <c r="O162">
        <v>1</v>
      </c>
      <c r="P162" t="s">
        <v>180</v>
      </c>
    </row>
    <row r="163" spans="1:16" x14ac:dyDescent="0.25">
      <c r="A163" t="s">
        <v>151</v>
      </c>
      <c r="B163" t="s">
        <v>128</v>
      </c>
      <c r="C163">
        <v>0</v>
      </c>
      <c r="D163">
        <v>6.8367927074432373</v>
      </c>
      <c r="E163">
        <v>1</v>
      </c>
      <c r="F163">
        <v>1</v>
      </c>
      <c r="G163">
        <v>1</v>
      </c>
      <c r="H163">
        <v>1</v>
      </c>
      <c r="I163">
        <v>1</v>
      </c>
      <c r="J163">
        <v>0</v>
      </c>
      <c r="K163">
        <v>1</v>
      </c>
      <c r="L163">
        <v>1</v>
      </c>
      <c r="M163">
        <v>1</v>
      </c>
      <c r="N163">
        <v>1</v>
      </c>
      <c r="O163">
        <v>1</v>
      </c>
      <c r="P163" t="s">
        <v>181</v>
      </c>
    </row>
    <row r="164" spans="1:16" x14ac:dyDescent="0.25">
      <c r="A164" t="s">
        <v>151</v>
      </c>
      <c r="B164" t="s">
        <v>129</v>
      </c>
      <c r="C164">
        <v>0</v>
      </c>
      <c r="D164">
        <v>9.7343292236328125</v>
      </c>
      <c r="E164">
        <v>1</v>
      </c>
      <c r="F164">
        <v>1</v>
      </c>
      <c r="G164">
        <v>1</v>
      </c>
      <c r="H164">
        <v>1</v>
      </c>
      <c r="I164">
        <v>1</v>
      </c>
      <c r="J164">
        <v>1</v>
      </c>
      <c r="K164">
        <v>1</v>
      </c>
      <c r="L164">
        <v>1</v>
      </c>
      <c r="M164">
        <v>1</v>
      </c>
      <c r="N164">
        <v>1</v>
      </c>
      <c r="O164">
        <v>1</v>
      </c>
    </row>
    <row r="165" spans="1:16" x14ac:dyDescent="0.25">
      <c r="A165" t="s">
        <v>151</v>
      </c>
      <c r="B165" t="s">
        <v>131</v>
      </c>
      <c r="C165">
        <v>0</v>
      </c>
      <c r="D165">
        <v>4.4112684726715088</v>
      </c>
      <c r="E165">
        <v>1</v>
      </c>
      <c r="F165">
        <v>1</v>
      </c>
      <c r="G165">
        <v>1</v>
      </c>
      <c r="H165">
        <v>1</v>
      </c>
      <c r="I165">
        <v>0</v>
      </c>
      <c r="J165">
        <v>1</v>
      </c>
      <c r="K165">
        <v>1</v>
      </c>
      <c r="L165">
        <v>1</v>
      </c>
      <c r="M165">
        <v>1</v>
      </c>
      <c r="N165">
        <v>1</v>
      </c>
      <c r="O165">
        <v>1</v>
      </c>
      <c r="P165" t="s">
        <v>182</v>
      </c>
    </row>
    <row r="166" spans="1:16" x14ac:dyDescent="0.25">
      <c r="A166" t="s">
        <v>151</v>
      </c>
      <c r="B166" t="s">
        <v>133</v>
      </c>
      <c r="C166">
        <v>0</v>
      </c>
      <c r="D166">
        <v>4.7595984935760498</v>
      </c>
      <c r="E166">
        <v>1</v>
      </c>
      <c r="F166">
        <v>1</v>
      </c>
      <c r="G166">
        <v>1</v>
      </c>
      <c r="H166">
        <v>1</v>
      </c>
      <c r="I166">
        <v>1</v>
      </c>
      <c r="J166">
        <v>0</v>
      </c>
      <c r="K166">
        <v>1</v>
      </c>
      <c r="L166">
        <v>1</v>
      </c>
      <c r="M166">
        <v>1</v>
      </c>
      <c r="N166">
        <v>1</v>
      </c>
      <c r="O166">
        <v>1</v>
      </c>
      <c r="P166" t="s">
        <v>183</v>
      </c>
    </row>
    <row r="167" spans="1:16" x14ac:dyDescent="0.25">
      <c r="A167" t="s">
        <v>151</v>
      </c>
      <c r="B167" t="s">
        <v>134</v>
      </c>
      <c r="C167">
        <v>0</v>
      </c>
      <c r="D167">
        <v>5.3297181129455566</v>
      </c>
      <c r="E167">
        <v>1</v>
      </c>
      <c r="F167">
        <v>1</v>
      </c>
      <c r="G167">
        <v>1</v>
      </c>
      <c r="H167">
        <v>1</v>
      </c>
      <c r="I167">
        <v>1</v>
      </c>
      <c r="J167">
        <v>0</v>
      </c>
      <c r="K167">
        <v>1</v>
      </c>
      <c r="L167">
        <v>1</v>
      </c>
      <c r="M167">
        <v>1</v>
      </c>
      <c r="N167">
        <v>1</v>
      </c>
      <c r="O167">
        <v>1</v>
      </c>
      <c r="P167" t="s">
        <v>184</v>
      </c>
    </row>
    <row r="168" spans="1:16" x14ac:dyDescent="0.25">
      <c r="A168" t="s">
        <v>151</v>
      </c>
      <c r="B168" t="s">
        <v>136</v>
      </c>
      <c r="C168">
        <v>0</v>
      </c>
      <c r="D168">
        <v>4.8733739852905273</v>
      </c>
      <c r="E168">
        <v>1</v>
      </c>
      <c r="F168">
        <v>1</v>
      </c>
      <c r="G168">
        <v>1</v>
      </c>
      <c r="H168">
        <v>1</v>
      </c>
      <c r="I168">
        <v>1</v>
      </c>
      <c r="J168">
        <v>0</v>
      </c>
      <c r="K168">
        <v>1</v>
      </c>
      <c r="L168">
        <v>1</v>
      </c>
      <c r="M168">
        <v>1</v>
      </c>
      <c r="N168">
        <v>1</v>
      </c>
      <c r="O168">
        <v>1</v>
      </c>
      <c r="P168" t="s">
        <v>185</v>
      </c>
    </row>
    <row r="169" spans="1:16" x14ac:dyDescent="0.25">
      <c r="A169" t="s">
        <v>151</v>
      </c>
      <c r="B169" t="s">
        <v>138</v>
      </c>
      <c r="C169">
        <v>0</v>
      </c>
      <c r="D169">
        <v>2.7681782245635991</v>
      </c>
      <c r="E169">
        <v>1</v>
      </c>
      <c r="F169">
        <v>1</v>
      </c>
      <c r="G169">
        <v>1</v>
      </c>
      <c r="H169">
        <v>1</v>
      </c>
      <c r="I169">
        <v>1</v>
      </c>
      <c r="J169">
        <v>1</v>
      </c>
      <c r="K169">
        <v>1</v>
      </c>
      <c r="L169">
        <v>1</v>
      </c>
      <c r="M169">
        <v>1</v>
      </c>
      <c r="N169">
        <v>1</v>
      </c>
      <c r="O169">
        <v>1</v>
      </c>
    </row>
    <row r="170" spans="1:16" x14ac:dyDescent="0.25">
      <c r="A170" t="s">
        <v>151</v>
      </c>
      <c r="B170" t="s">
        <v>140</v>
      </c>
      <c r="C170">
        <v>0</v>
      </c>
      <c r="D170">
        <v>4.52994704246521</v>
      </c>
      <c r="E170">
        <v>1</v>
      </c>
      <c r="F170">
        <v>1</v>
      </c>
      <c r="G170">
        <v>1</v>
      </c>
      <c r="H170">
        <v>0</v>
      </c>
      <c r="I170">
        <v>1</v>
      </c>
      <c r="J170">
        <v>1</v>
      </c>
      <c r="K170">
        <v>1</v>
      </c>
      <c r="L170">
        <v>1</v>
      </c>
      <c r="M170">
        <v>1</v>
      </c>
      <c r="N170">
        <v>1</v>
      </c>
      <c r="O170">
        <v>1</v>
      </c>
      <c r="P170" t="s">
        <v>186</v>
      </c>
    </row>
    <row r="171" spans="1:16" x14ac:dyDescent="0.25">
      <c r="A171" t="s">
        <v>151</v>
      </c>
      <c r="B171" t="s">
        <v>142</v>
      </c>
      <c r="C171">
        <v>0</v>
      </c>
      <c r="D171">
        <v>10.347419738769529</v>
      </c>
      <c r="E171">
        <v>1</v>
      </c>
      <c r="F171">
        <v>1</v>
      </c>
      <c r="G171">
        <v>1</v>
      </c>
      <c r="H171">
        <v>1</v>
      </c>
      <c r="I171">
        <v>1</v>
      </c>
      <c r="J171">
        <v>1</v>
      </c>
      <c r="K171">
        <v>1</v>
      </c>
      <c r="L171">
        <v>1</v>
      </c>
      <c r="M171">
        <v>1</v>
      </c>
      <c r="N171">
        <v>1</v>
      </c>
      <c r="O171">
        <v>1</v>
      </c>
    </row>
    <row r="172" spans="1:16" x14ac:dyDescent="0.25">
      <c r="A172" t="s">
        <v>151</v>
      </c>
      <c r="B172" t="s">
        <v>143</v>
      </c>
      <c r="C172">
        <v>0</v>
      </c>
      <c r="D172">
        <v>7.3222312927246094</v>
      </c>
      <c r="E172">
        <v>1</v>
      </c>
      <c r="F172">
        <v>1</v>
      </c>
      <c r="G172">
        <v>1</v>
      </c>
      <c r="H172">
        <v>0</v>
      </c>
      <c r="I172">
        <v>1</v>
      </c>
      <c r="J172">
        <v>1</v>
      </c>
      <c r="K172">
        <v>0</v>
      </c>
      <c r="L172">
        <v>1</v>
      </c>
      <c r="M172">
        <v>1</v>
      </c>
      <c r="N172">
        <v>1</v>
      </c>
      <c r="O172">
        <v>1</v>
      </c>
      <c r="P172" t="s">
        <v>187</v>
      </c>
    </row>
    <row r="173" spans="1:16" x14ac:dyDescent="0.25">
      <c r="A173" t="s">
        <v>151</v>
      </c>
      <c r="B173" t="s">
        <v>145</v>
      </c>
      <c r="C173">
        <v>0</v>
      </c>
      <c r="D173">
        <v>4.2212955951690674</v>
      </c>
      <c r="E173">
        <v>1</v>
      </c>
      <c r="F173">
        <v>1</v>
      </c>
      <c r="G173">
        <v>1</v>
      </c>
      <c r="H173">
        <v>1</v>
      </c>
      <c r="I173">
        <v>1</v>
      </c>
      <c r="J173">
        <v>0</v>
      </c>
      <c r="K173">
        <v>1</v>
      </c>
      <c r="L173">
        <v>1</v>
      </c>
      <c r="M173">
        <v>1</v>
      </c>
      <c r="N173">
        <v>1</v>
      </c>
      <c r="O173">
        <v>1</v>
      </c>
      <c r="P173" t="s">
        <v>188</v>
      </c>
    </row>
    <row r="174" spans="1:16" x14ac:dyDescent="0.25">
      <c r="A174" t="s">
        <v>151</v>
      </c>
      <c r="B174" t="s">
        <v>146</v>
      </c>
      <c r="C174">
        <v>0</v>
      </c>
      <c r="D174">
        <v>9.1857438087463379</v>
      </c>
      <c r="E174">
        <v>1</v>
      </c>
      <c r="F174">
        <v>1</v>
      </c>
      <c r="G174">
        <v>1</v>
      </c>
      <c r="H174">
        <v>1</v>
      </c>
      <c r="I174">
        <v>1</v>
      </c>
      <c r="J174">
        <v>1</v>
      </c>
      <c r="K174">
        <v>1</v>
      </c>
      <c r="L174">
        <v>1</v>
      </c>
      <c r="M174">
        <v>1</v>
      </c>
      <c r="N174">
        <v>1</v>
      </c>
      <c r="O174">
        <v>1</v>
      </c>
    </row>
    <row r="175" spans="1:16" x14ac:dyDescent="0.25">
      <c r="A175" t="s">
        <v>151</v>
      </c>
      <c r="B175" t="s">
        <v>148</v>
      </c>
      <c r="C175">
        <v>0</v>
      </c>
      <c r="D175">
        <v>5.4617288112640381</v>
      </c>
      <c r="E175">
        <v>1</v>
      </c>
      <c r="F175">
        <v>1</v>
      </c>
      <c r="G175">
        <v>1</v>
      </c>
      <c r="H175">
        <v>1</v>
      </c>
      <c r="I175">
        <v>1</v>
      </c>
      <c r="J175">
        <v>0</v>
      </c>
      <c r="K175">
        <v>0</v>
      </c>
      <c r="L175">
        <v>1</v>
      </c>
      <c r="M175">
        <v>1</v>
      </c>
      <c r="N175">
        <v>1</v>
      </c>
      <c r="O175">
        <v>1</v>
      </c>
      <c r="P175" t="s">
        <v>189</v>
      </c>
    </row>
    <row r="176" spans="1:16" x14ac:dyDescent="0.25">
      <c r="A176" t="s">
        <v>151</v>
      </c>
      <c r="B176" t="s">
        <v>149</v>
      </c>
      <c r="C176">
        <v>0</v>
      </c>
      <c r="D176">
        <v>10.521830558776861</v>
      </c>
      <c r="E176">
        <v>1</v>
      </c>
      <c r="F176">
        <v>1</v>
      </c>
      <c r="G176">
        <v>1</v>
      </c>
      <c r="H176">
        <v>1</v>
      </c>
      <c r="I176">
        <v>1</v>
      </c>
      <c r="J176">
        <v>1</v>
      </c>
      <c r="K176">
        <v>1</v>
      </c>
      <c r="L176">
        <v>1</v>
      </c>
      <c r="M176">
        <v>1</v>
      </c>
      <c r="N176">
        <v>1</v>
      </c>
      <c r="O176">
        <v>1</v>
      </c>
    </row>
    <row r="177" spans="1:16" x14ac:dyDescent="0.25">
      <c r="A177" t="s">
        <v>151</v>
      </c>
      <c r="B177" t="s">
        <v>190</v>
      </c>
      <c r="C177">
        <v>0</v>
      </c>
      <c r="D177">
        <v>4.8500375747680664</v>
      </c>
      <c r="E177">
        <v>1</v>
      </c>
      <c r="F177">
        <v>1</v>
      </c>
      <c r="G177">
        <v>1</v>
      </c>
      <c r="H177">
        <v>1</v>
      </c>
      <c r="I177">
        <v>1</v>
      </c>
      <c r="J177">
        <v>1</v>
      </c>
      <c r="K177">
        <v>1</v>
      </c>
      <c r="L177">
        <v>0</v>
      </c>
      <c r="M177">
        <v>1</v>
      </c>
      <c r="N177">
        <v>0</v>
      </c>
      <c r="O177">
        <v>1</v>
      </c>
      <c r="P177" t="s">
        <v>191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177"/>
  <sheetViews>
    <sheetView workbookViewId="0"/>
  </sheetViews>
  <sheetFormatPr defaultRowHeight="13.8" x14ac:dyDescent="0.25"/>
  <sheetData>
    <row r="1" spans="1:16"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5">
      <c r="A2" t="s">
        <v>16</v>
      </c>
      <c r="B2" t="s">
        <v>17</v>
      </c>
      <c r="C2">
        <v>0</v>
      </c>
      <c r="D2">
        <v>2.864261388778687</v>
      </c>
      <c r="E2">
        <v>1</v>
      </c>
      <c r="F2">
        <v>1</v>
      </c>
      <c r="G2">
        <v>1</v>
      </c>
      <c r="H2">
        <v>1</v>
      </c>
      <c r="I2">
        <v>1</v>
      </c>
      <c r="J2">
        <v>1</v>
      </c>
      <c r="K2">
        <v>1</v>
      </c>
      <c r="L2">
        <v>1</v>
      </c>
      <c r="M2">
        <v>1</v>
      </c>
      <c r="N2">
        <v>1</v>
      </c>
      <c r="O2">
        <v>1</v>
      </c>
    </row>
    <row r="3" spans="1:16" x14ac:dyDescent="0.25">
      <c r="A3" t="s">
        <v>16</v>
      </c>
      <c r="B3" t="s">
        <v>18</v>
      </c>
      <c r="C3">
        <v>0</v>
      </c>
      <c r="D3">
        <v>5.546668529510498</v>
      </c>
      <c r="E3">
        <v>1</v>
      </c>
      <c r="F3">
        <v>1</v>
      </c>
      <c r="G3">
        <v>0</v>
      </c>
      <c r="H3" t="s">
        <v>19</v>
      </c>
      <c r="I3">
        <v>1</v>
      </c>
      <c r="J3">
        <v>1</v>
      </c>
      <c r="K3">
        <v>1</v>
      </c>
      <c r="L3">
        <v>1</v>
      </c>
      <c r="M3">
        <v>0</v>
      </c>
      <c r="N3">
        <v>1</v>
      </c>
      <c r="O3">
        <v>1</v>
      </c>
      <c r="P3" t="s">
        <v>192</v>
      </c>
    </row>
    <row r="4" spans="1:16" x14ac:dyDescent="0.25">
      <c r="A4" t="s">
        <v>16</v>
      </c>
      <c r="B4" t="s">
        <v>21</v>
      </c>
      <c r="C4">
        <v>0</v>
      </c>
      <c r="D4">
        <v>10.793092012405401</v>
      </c>
      <c r="E4">
        <v>1</v>
      </c>
      <c r="F4">
        <v>1</v>
      </c>
      <c r="G4">
        <v>1</v>
      </c>
      <c r="H4">
        <v>1</v>
      </c>
      <c r="I4">
        <v>0</v>
      </c>
      <c r="J4">
        <v>1</v>
      </c>
      <c r="K4">
        <v>1</v>
      </c>
      <c r="L4">
        <v>1</v>
      </c>
      <c r="M4">
        <v>1</v>
      </c>
      <c r="N4">
        <v>1</v>
      </c>
      <c r="O4">
        <v>1</v>
      </c>
      <c r="P4" t="s">
        <v>193</v>
      </c>
    </row>
    <row r="5" spans="1:16" x14ac:dyDescent="0.25">
      <c r="A5" t="s">
        <v>16</v>
      </c>
      <c r="B5" t="s">
        <v>23</v>
      </c>
      <c r="C5">
        <v>0</v>
      </c>
      <c r="D5">
        <v>2.9079973697662349</v>
      </c>
      <c r="E5">
        <v>1</v>
      </c>
      <c r="F5">
        <v>1</v>
      </c>
      <c r="G5">
        <v>1</v>
      </c>
      <c r="H5">
        <v>1</v>
      </c>
      <c r="I5">
        <v>1</v>
      </c>
      <c r="J5">
        <v>1</v>
      </c>
      <c r="K5">
        <v>1</v>
      </c>
      <c r="L5">
        <v>1</v>
      </c>
      <c r="M5">
        <v>1</v>
      </c>
      <c r="N5">
        <v>1</v>
      </c>
      <c r="O5">
        <v>1</v>
      </c>
    </row>
    <row r="6" spans="1:16" x14ac:dyDescent="0.25">
      <c r="A6" t="s">
        <v>16</v>
      </c>
      <c r="B6" t="s">
        <v>24</v>
      </c>
      <c r="C6">
        <v>0</v>
      </c>
      <c r="D6">
        <v>9.1129641532897949</v>
      </c>
      <c r="E6">
        <v>1</v>
      </c>
      <c r="F6">
        <v>1</v>
      </c>
      <c r="G6">
        <v>1</v>
      </c>
      <c r="H6">
        <v>1</v>
      </c>
      <c r="I6">
        <v>1</v>
      </c>
      <c r="J6">
        <v>1</v>
      </c>
      <c r="K6">
        <v>1</v>
      </c>
      <c r="L6">
        <v>1</v>
      </c>
      <c r="M6">
        <v>1</v>
      </c>
      <c r="N6">
        <v>1</v>
      </c>
      <c r="O6">
        <v>1</v>
      </c>
    </row>
    <row r="7" spans="1:16" x14ac:dyDescent="0.25">
      <c r="A7" t="s">
        <v>16</v>
      </c>
      <c r="B7" t="s">
        <v>25</v>
      </c>
      <c r="C7">
        <v>0</v>
      </c>
      <c r="D7">
        <v>5.6548495292663574</v>
      </c>
      <c r="E7">
        <v>1</v>
      </c>
      <c r="F7">
        <v>1</v>
      </c>
      <c r="G7">
        <v>1</v>
      </c>
      <c r="H7">
        <v>0</v>
      </c>
      <c r="I7">
        <v>1</v>
      </c>
      <c r="J7">
        <v>0</v>
      </c>
      <c r="K7">
        <v>1</v>
      </c>
      <c r="L7">
        <v>1</v>
      </c>
      <c r="M7">
        <v>1</v>
      </c>
      <c r="N7">
        <v>1</v>
      </c>
      <c r="O7">
        <v>1</v>
      </c>
      <c r="P7" t="s">
        <v>194</v>
      </c>
    </row>
    <row r="8" spans="1:16" x14ac:dyDescent="0.25">
      <c r="A8" t="s">
        <v>16</v>
      </c>
      <c r="B8" t="s">
        <v>27</v>
      </c>
      <c r="C8">
        <v>0</v>
      </c>
      <c r="D8">
        <v>2.823115348815918</v>
      </c>
      <c r="E8">
        <v>1</v>
      </c>
      <c r="F8">
        <v>1</v>
      </c>
      <c r="G8">
        <v>1</v>
      </c>
      <c r="H8">
        <v>1</v>
      </c>
      <c r="I8">
        <v>1</v>
      </c>
      <c r="J8">
        <v>1</v>
      </c>
      <c r="K8">
        <v>1</v>
      </c>
      <c r="L8">
        <v>1</v>
      </c>
      <c r="M8">
        <v>1</v>
      </c>
      <c r="N8">
        <v>1</v>
      </c>
      <c r="O8">
        <v>1</v>
      </c>
    </row>
    <row r="9" spans="1:16" x14ac:dyDescent="0.25">
      <c r="A9" t="s">
        <v>16</v>
      </c>
      <c r="B9" t="s">
        <v>28</v>
      </c>
      <c r="C9">
        <v>0</v>
      </c>
      <c r="D9">
        <v>6.6261527538299561</v>
      </c>
      <c r="E9">
        <v>1</v>
      </c>
      <c r="F9">
        <v>1</v>
      </c>
      <c r="G9">
        <v>0</v>
      </c>
      <c r="H9" t="s">
        <v>19</v>
      </c>
      <c r="I9">
        <v>1</v>
      </c>
      <c r="J9">
        <v>1</v>
      </c>
      <c r="K9">
        <v>1</v>
      </c>
      <c r="L9">
        <v>1</v>
      </c>
      <c r="M9">
        <v>1</v>
      </c>
      <c r="N9">
        <v>1</v>
      </c>
      <c r="O9">
        <v>1</v>
      </c>
      <c r="P9" t="s">
        <v>195</v>
      </c>
    </row>
    <row r="10" spans="1:16" x14ac:dyDescent="0.25">
      <c r="A10" t="s">
        <v>16</v>
      </c>
      <c r="B10" t="s">
        <v>29</v>
      </c>
      <c r="C10">
        <v>0</v>
      </c>
      <c r="D10">
        <v>10.38525390625</v>
      </c>
      <c r="E10">
        <v>1</v>
      </c>
      <c r="F10">
        <v>1</v>
      </c>
      <c r="G10">
        <v>1</v>
      </c>
      <c r="H10">
        <v>1</v>
      </c>
      <c r="I10">
        <v>1</v>
      </c>
      <c r="J10">
        <v>1</v>
      </c>
      <c r="K10">
        <v>1</v>
      </c>
      <c r="L10">
        <v>1</v>
      </c>
      <c r="M10">
        <v>1</v>
      </c>
      <c r="N10">
        <v>1</v>
      </c>
      <c r="O10">
        <v>1</v>
      </c>
    </row>
    <row r="11" spans="1:16" x14ac:dyDescent="0.25">
      <c r="A11" t="s">
        <v>16</v>
      </c>
      <c r="B11" t="s">
        <v>30</v>
      </c>
      <c r="C11">
        <v>0</v>
      </c>
      <c r="D11">
        <v>4.3310515880584717</v>
      </c>
      <c r="E11">
        <v>1</v>
      </c>
      <c r="F11">
        <v>1</v>
      </c>
      <c r="G11">
        <v>1</v>
      </c>
      <c r="H11">
        <v>1</v>
      </c>
      <c r="I11">
        <v>1</v>
      </c>
      <c r="J11">
        <v>1</v>
      </c>
      <c r="K11">
        <v>0</v>
      </c>
      <c r="L11">
        <v>1</v>
      </c>
      <c r="M11">
        <v>1</v>
      </c>
      <c r="N11">
        <v>1</v>
      </c>
      <c r="O11">
        <v>1</v>
      </c>
      <c r="P11" t="s">
        <v>196</v>
      </c>
    </row>
    <row r="12" spans="1:16" x14ac:dyDescent="0.25">
      <c r="A12" t="s">
        <v>16</v>
      </c>
      <c r="B12" t="s">
        <v>31</v>
      </c>
      <c r="C12">
        <v>0</v>
      </c>
      <c r="D12">
        <v>13.033499240875241</v>
      </c>
      <c r="E12">
        <v>0</v>
      </c>
      <c r="F12" t="s">
        <v>19</v>
      </c>
      <c r="G12" t="s">
        <v>19</v>
      </c>
      <c r="H12" t="s">
        <v>19</v>
      </c>
      <c r="I12" t="s">
        <v>19</v>
      </c>
      <c r="J12" t="s">
        <v>19</v>
      </c>
      <c r="K12" t="s">
        <v>19</v>
      </c>
      <c r="L12" t="s">
        <v>19</v>
      </c>
      <c r="M12" t="s">
        <v>19</v>
      </c>
      <c r="N12" t="s">
        <v>19</v>
      </c>
      <c r="O12" t="s">
        <v>19</v>
      </c>
      <c r="P12" t="s">
        <v>197</v>
      </c>
    </row>
    <row r="13" spans="1:16" x14ac:dyDescent="0.25">
      <c r="A13" t="s">
        <v>16</v>
      </c>
      <c r="B13" t="s">
        <v>32</v>
      </c>
      <c r="C13">
        <v>0</v>
      </c>
      <c r="D13">
        <v>13.044366598129271</v>
      </c>
      <c r="E13">
        <v>1</v>
      </c>
      <c r="F13">
        <v>1</v>
      </c>
      <c r="G13">
        <v>1</v>
      </c>
      <c r="H13">
        <v>1</v>
      </c>
      <c r="I13">
        <v>1</v>
      </c>
      <c r="J13">
        <v>1</v>
      </c>
      <c r="K13">
        <v>0</v>
      </c>
      <c r="L13">
        <v>1</v>
      </c>
      <c r="M13">
        <v>1</v>
      </c>
      <c r="N13">
        <v>1</v>
      </c>
      <c r="O13">
        <v>1</v>
      </c>
      <c r="P13" t="s">
        <v>198</v>
      </c>
    </row>
    <row r="14" spans="1:16" x14ac:dyDescent="0.25">
      <c r="A14" t="s">
        <v>16</v>
      </c>
      <c r="B14" t="s">
        <v>33</v>
      </c>
      <c r="C14">
        <v>0</v>
      </c>
      <c r="D14">
        <v>11.205175638198851</v>
      </c>
      <c r="E14">
        <v>1</v>
      </c>
      <c r="F14">
        <v>1</v>
      </c>
      <c r="G14">
        <v>1</v>
      </c>
      <c r="H14">
        <v>0</v>
      </c>
      <c r="I14">
        <v>1</v>
      </c>
      <c r="J14">
        <v>1</v>
      </c>
      <c r="K14">
        <v>0</v>
      </c>
      <c r="L14">
        <v>1</v>
      </c>
      <c r="M14">
        <v>1</v>
      </c>
      <c r="N14">
        <v>1</v>
      </c>
      <c r="O14">
        <v>1</v>
      </c>
      <c r="P14" t="s">
        <v>199</v>
      </c>
    </row>
    <row r="15" spans="1:16" x14ac:dyDescent="0.25">
      <c r="A15" t="s">
        <v>16</v>
      </c>
      <c r="B15" t="s">
        <v>35</v>
      </c>
      <c r="C15">
        <v>0</v>
      </c>
      <c r="D15">
        <v>9.2436344623565674</v>
      </c>
      <c r="E15">
        <v>1</v>
      </c>
      <c r="F15">
        <v>1</v>
      </c>
      <c r="G15">
        <v>1</v>
      </c>
      <c r="H15">
        <v>1</v>
      </c>
      <c r="I15">
        <v>1</v>
      </c>
      <c r="J15">
        <v>1</v>
      </c>
      <c r="K15">
        <v>1</v>
      </c>
      <c r="L15">
        <v>1</v>
      </c>
      <c r="M15">
        <v>1</v>
      </c>
      <c r="N15">
        <v>1</v>
      </c>
      <c r="O15">
        <v>1</v>
      </c>
    </row>
    <row r="16" spans="1:16" x14ac:dyDescent="0.25">
      <c r="A16" t="s">
        <v>16</v>
      </c>
      <c r="B16" t="s">
        <v>36</v>
      </c>
      <c r="C16">
        <v>0</v>
      </c>
      <c r="D16">
        <v>5.2362072467803964</v>
      </c>
      <c r="E16">
        <v>1</v>
      </c>
      <c r="F16">
        <v>1</v>
      </c>
      <c r="G16">
        <v>0</v>
      </c>
      <c r="H16" t="s">
        <v>19</v>
      </c>
      <c r="I16">
        <v>1</v>
      </c>
      <c r="J16">
        <v>1</v>
      </c>
      <c r="K16">
        <v>1</v>
      </c>
      <c r="L16">
        <v>1</v>
      </c>
      <c r="M16">
        <v>1</v>
      </c>
      <c r="N16">
        <v>1</v>
      </c>
      <c r="O16">
        <v>1</v>
      </c>
      <c r="P16" t="s">
        <v>200</v>
      </c>
    </row>
    <row r="17" spans="1:16" x14ac:dyDescent="0.25">
      <c r="A17" t="s">
        <v>16</v>
      </c>
      <c r="B17" t="s">
        <v>37</v>
      </c>
      <c r="C17">
        <v>0</v>
      </c>
      <c r="D17">
        <v>5.2376604080200204</v>
      </c>
      <c r="E17">
        <v>1</v>
      </c>
      <c r="F17">
        <v>1</v>
      </c>
      <c r="G17">
        <v>1</v>
      </c>
      <c r="H17">
        <v>0</v>
      </c>
      <c r="I17">
        <v>1</v>
      </c>
      <c r="J17">
        <v>1</v>
      </c>
      <c r="K17">
        <v>1</v>
      </c>
      <c r="L17">
        <v>1</v>
      </c>
      <c r="M17">
        <v>1</v>
      </c>
      <c r="N17">
        <v>1</v>
      </c>
      <c r="O17">
        <v>1</v>
      </c>
      <c r="P17" t="s">
        <v>201</v>
      </c>
    </row>
    <row r="18" spans="1:16" x14ac:dyDescent="0.25">
      <c r="A18" t="s">
        <v>16</v>
      </c>
      <c r="B18" t="s">
        <v>39</v>
      </c>
      <c r="C18">
        <v>0</v>
      </c>
      <c r="D18">
        <v>9.2734091281890869</v>
      </c>
      <c r="E18">
        <v>1</v>
      </c>
      <c r="F18">
        <v>1</v>
      </c>
      <c r="G18">
        <v>1</v>
      </c>
      <c r="H18">
        <v>1</v>
      </c>
      <c r="I18">
        <v>1</v>
      </c>
      <c r="J18">
        <v>1</v>
      </c>
      <c r="K18">
        <v>1</v>
      </c>
      <c r="L18">
        <v>1</v>
      </c>
      <c r="M18">
        <v>1</v>
      </c>
      <c r="N18">
        <v>1</v>
      </c>
      <c r="O18">
        <v>1</v>
      </c>
    </row>
    <row r="19" spans="1:16" x14ac:dyDescent="0.25">
      <c r="A19" t="s">
        <v>16</v>
      </c>
      <c r="B19" t="s">
        <v>40</v>
      </c>
      <c r="C19">
        <v>0</v>
      </c>
      <c r="D19">
        <v>2.9802529811859131</v>
      </c>
      <c r="E19">
        <v>1</v>
      </c>
      <c r="F19">
        <v>1</v>
      </c>
      <c r="G19">
        <v>1</v>
      </c>
      <c r="H19">
        <v>1</v>
      </c>
      <c r="I19">
        <v>1</v>
      </c>
      <c r="J19">
        <v>1</v>
      </c>
      <c r="K19">
        <v>1</v>
      </c>
      <c r="L19">
        <v>1</v>
      </c>
      <c r="M19">
        <v>1</v>
      </c>
      <c r="N19">
        <v>1</v>
      </c>
      <c r="O19">
        <v>1</v>
      </c>
    </row>
    <row r="20" spans="1:16" x14ac:dyDescent="0.25">
      <c r="A20" t="s">
        <v>16</v>
      </c>
      <c r="B20" t="s">
        <v>41</v>
      </c>
      <c r="C20">
        <v>0</v>
      </c>
      <c r="D20">
        <v>2.869920015335083</v>
      </c>
      <c r="E20">
        <v>1</v>
      </c>
      <c r="F20">
        <v>1</v>
      </c>
      <c r="G20">
        <v>1</v>
      </c>
      <c r="H20">
        <v>1</v>
      </c>
      <c r="I20">
        <v>1</v>
      </c>
      <c r="J20">
        <v>1</v>
      </c>
      <c r="K20">
        <v>1</v>
      </c>
      <c r="L20">
        <v>1</v>
      </c>
      <c r="M20">
        <v>1</v>
      </c>
      <c r="N20">
        <v>1</v>
      </c>
      <c r="O20">
        <v>1</v>
      </c>
    </row>
    <row r="21" spans="1:16" x14ac:dyDescent="0.25">
      <c r="A21" t="s">
        <v>16</v>
      </c>
      <c r="B21" t="s">
        <v>42</v>
      </c>
      <c r="C21">
        <v>0</v>
      </c>
      <c r="D21">
        <v>11.382792711257929</v>
      </c>
      <c r="E21">
        <v>0</v>
      </c>
      <c r="F21" t="s">
        <v>19</v>
      </c>
      <c r="G21" t="s">
        <v>19</v>
      </c>
      <c r="H21" t="s">
        <v>19</v>
      </c>
      <c r="I21" t="s">
        <v>19</v>
      </c>
      <c r="J21" t="s">
        <v>19</v>
      </c>
      <c r="K21" t="s">
        <v>19</v>
      </c>
      <c r="L21" t="s">
        <v>19</v>
      </c>
      <c r="M21" t="s">
        <v>19</v>
      </c>
      <c r="N21" t="s">
        <v>19</v>
      </c>
      <c r="O21" t="s">
        <v>19</v>
      </c>
      <c r="P21" t="s">
        <v>202</v>
      </c>
    </row>
    <row r="22" spans="1:16" x14ac:dyDescent="0.25">
      <c r="A22" t="s">
        <v>16</v>
      </c>
      <c r="B22" t="s">
        <v>44</v>
      </c>
      <c r="C22">
        <v>0</v>
      </c>
      <c r="D22">
        <v>9.8640210628509521</v>
      </c>
      <c r="E22">
        <v>1</v>
      </c>
      <c r="F22">
        <v>1</v>
      </c>
      <c r="G22">
        <v>1</v>
      </c>
      <c r="H22">
        <v>1</v>
      </c>
      <c r="I22">
        <v>1</v>
      </c>
      <c r="J22">
        <v>1</v>
      </c>
      <c r="K22">
        <v>1</v>
      </c>
      <c r="L22">
        <v>1</v>
      </c>
      <c r="M22">
        <v>1</v>
      </c>
      <c r="N22">
        <v>1</v>
      </c>
      <c r="O22">
        <v>1</v>
      </c>
    </row>
    <row r="23" spans="1:16" x14ac:dyDescent="0.25">
      <c r="A23" t="s">
        <v>16</v>
      </c>
      <c r="B23" t="s">
        <v>46</v>
      </c>
      <c r="C23">
        <v>0</v>
      </c>
      <c r="D23">
        <v>8.1210989952087402</v>
      </c>
      <c r="E23">
        <v>0</v>
      </c>
      <c r="F23" t="s">
        <v>19</v>
      </c>
      <c r="G23" t="s">
        <v>19</v>
      </c>
      <c r="H23" t="s">
        <v>19</v>
      </c>
      <c r="I23" t="s">
        <v>19</v>
      </c>
      <c r="J23" t="s">
        <v>19</v>
      </c>
      <c r="K23" t="s">
        <v>19</v>
      </c>
      <c r="L23" t="s">
        <v>19</v>
      </c>
      <c r="M23" t="s">
        <v>19</v>
      </c>
      <c r="N23" t="s">
        <v>19</v>
      </c>
      <c r="O23" t="s">
        <v>19</v>
      </c>
      <c r="P23" t="s">
        <v>203</v>
      </c>
    </row>
    <row r="24" spans="1:16" x14ac:dyDescent="0.25">
      <c r="A24" t="s">
        <v>16</v>
      </c>
      <c r="B24" t="s">
        <v>48</v>
      </c>
      <c r="C24">
        <v>0</v>
      </c>
      <c r="D24">
        <v>2.872340202331543</v>
      </c>
      <c r="E24">
        <v>1</v>
      </c>
      <c r="F24">
        <v>1</v>
      </c>
      <c r="G24">
        <v>1</v>
      </c>
      <c r="H24">
        <v>1</v>
      </c>
      <c r="I24">
        <v>1</v>
      </c>
      <c r="J24">
        <v>1</v>
      </c>
      <c r="K24">
        <v>1</v>
      </c>
      <c r="L24">
        <v>1</v>
      </c>
      <c r="M24">
        <v>1</v>
      </c>
      <c r="N24">
        <v>1</v>
      </c>
      <c r="O24">
        <v>1</v>
      </c>
    </row>
    <row r="25" spans="1:16" x14ac:dyDescent="0.25">
      <c r="A25" t="s">
        <v>16</v>
      </c>
      <c r="B25" t="s">
        <v>49</v>
      </c>
      <c r="C25">
        <v>0</v>
      </c>
      <c r="D25">
        <v>6.5781850814819336</v>
      </c>
      <c r="E25">
        <v>1</v>
      </c>
      <c r="F25">
        <v>1</v>
      </c>
      <c r="G25">
        <v>0</v>
      </c>
      <c r="H25" t="s">
        <v>19</v>
      </c>
      <c r="I25">
        <v>1</v>
      </c>
      <c r="J25">
        <v>1</v>
      </c>
      <c r="K25">
        <v>1</v>
      </c>
      <c r="L25">
        <v>1</v>
      </c>
      <c r="M25">
        <v>1</v>
      </c>
      <c r="N25">
        <v>1</v>
      </c>
      <c r="O25">
        <v>1</v>
      </c>
      <c r="P25" t="s">
        <v>204</v>
      </c>
    </row>
    <row r="26" spans="1:16" x14ac:dyDescent="0.25">
      <c r="A26" t="s">
        <v>16</v>
      </c>
      <c r="B26" t="s">
        <v>51</v>
      </c>
      <c r="C26">
        <v>0</v>
      </c>
      <c r="D26">
        <v>7.5990891456604004</v>
      </c>
      <c r="E26">
        <v>1</v>
      </c>
      <c r="F26">
        <v>1</v>
      </c>
      <c r="G26">
        <v>0</v>
      </c>
      <c r="H26" t="s">
        <v>19</v>
      </c>
      <c r="I26">
        <v>1</v>
      </c>
      <c r="J26">
        <v>1</v>
      </c>
      <c r="K26">
        <v>1</v>
      </c>
      <c r="L26">
        <v>1</v>
      </c>
      <c r="M26">
        <v>1</v>
      </c>
      <c r="N26">
        <v>1</v>
      </c>
      <c r="O26">
        <v>1</v>
      </c>
      <c r="P26" t="s">
        <v>205</v>
      </c>
    </row>
    <row r="27" spans="1:16" x14ac:dyDescent="0.25">
      <c r="A27" t="s">
        <v>16</v>
      </c>
      <c r="B27" t="s">
        <v>52</v>
      </c>
      <c r="C27">
        <v>0</v>
      </c>
      <c r="D27">
        <v>10.381287813186651</v>
      </c>
      <c r="E27">
        <v>1</v>
      </c>
      <c r="F27">
        <v>1</v>
      </c>
      <c r="G27">
        <v>1</v>
      </c>
      <c r="H27">
        <v>1</v>
      </c>
      <c r="I27">
        <v>0</v>
      </c>
      <c r="J27">
        <v>1</v>
      </c>
      <c r="K27">
        <v>1</v>
      </c>
      <c r="L27">
        <v>1</v>
      </c>
      <c r="M27">
        <v>1</v>
      </c>
      <c r="N27">
        <v>1</v>
      </c>
      <c r="O27">
        <v>1</v>
      </c>
      <c r="P27" t="s">
        <v>206</v>
      </c>
    </row>
    <row r="28" spans="1:16" x14ac:dyDescent="0.25">
      <c r="A28" t="s">
        <v>16</v>
      </c>
      <c r="B28" t="s">
        <v>54</v>
      </c>
      <c r="C28">
        <v>0</v>
      </c>
      <c r="D28">
        <v>12.235963106155401</v>
      </c>
      <c r="E28">
        <v>0</v>
      </c>
      <c r="F28" t="s">
        <v>19</v>
      </c>
      <c r="G28" t="s">
        <v>19</v>
      </c>
      <c r="H28" t="s">
        <v>19</v>
      </c>
      <c r="I28" t="s">
        <v>19</v>
      </c>
      <c r="J28" t="s">
        <v>19</v>
      </c>
      <c r="K28" t="s">
        <v>19</v>
      </c>
      <c r="L28" t="s">
        <v>19</v>
      </c>
      <c r="M28" t="s">
        <v>19</v>
      </c>
      <c r="N28" t="s">
        <v>19</v>
      </c>
      <c r="O28" t="s">
        <v>19</v>
      </c>
      <c r="P28" t="s">
        <v>207</v>
      </c>
    </row>
    <row r="29" spans="1:16" x14ac:dyDescent="0.25">
      <c r="A29" t="s">
        <v>16</v>
      </c>
      <c r="B29" t="s">
        <v>56</v>
      </c>
      <c r="C29">
        <v>0</v>
      </c>
      <c r="D29">
        <v>13.91008591651917</v>
      </c>
      <c r="E29">
        <v>0</v>
      </c>
      <c r="F29" t="s">
        <v>19</v>
      </c>
      <c r="G29" t="s">
        <v>19</v>
      </c>
      <c r="H29" t="s">
        <v>19</v>
      </c>
      <c r="I29" t="s">
        <v>19</v>
      </c>
      <c r="J29" t="s">
        <v>19</v>
      </c>
      <c r="K29" t="s">
        <v>19</v>
      </c>
      <c r="L29" t="s">
        <v>19</v>
      </c>
      <c r="M29" t="s">
        <v>19</v>
      </c>
      <c r="N29" t="s">
        <v>19</v>
      </c>
      <c r="O29" t="s">
        <v>19</v>
      </c>
      <c r="P29" t="s">
        <v>208</v>
      </c>
    </row>
    <row r="30" spans="1:16" x14ac:dyDescent="0.25">
      <c r="A30" t="s">
        <v>16</v>
      </c>
      <c r="B30" t="s">
        <v>58</v>
      </c>
      <c r="C30">
        <v>0</v>
      </c>
      <c r="D30">
        <v>11.16716027259827</v>
      </c>
      <c r="E30">
        <v>1</v>
      </c>
      <c r="F30">
        <v>1</v>
      </c>
      <c r="G30">
        <v>1</v>
      </c>
      <c r="H30">
        <v>1</v>
      </c>
      <c r="I30">
        <v>0</v>
      </c>
      <c r="J30">
        <v>1</v>
      </c>
      <c r="K30">
        <v>1</v>
      </c>
      <c r="L30">
        <v>1</v>
      </c>
      <c r="M30">
        <v>1</v>
      </c>
      <c r="N30">
        <v>1</v>
      </c>
      <c r="O30">
        <v>1</v>
      </c>
      <c r="P30" t="s">
        <v>209</v>
      </c>
    </row>
    <row r="31" spans="1:16" x14ac:dyDescent="0.25">
      <c r="A31" t="s">
        <v>16</v>
      </c>
      <c r="B31" t="s">
        <v>60</v>
      </c>
      <c r="C31">
        <v>0</v>
      </c>
      <c r="D31">
        <v>10.600063800811769</v>
      </c>
      <c r="E31">
        <v>1</v>
      </c>
      <c r="F31">
        <v>1</v>
      </c>
      <c r="G31">
        <v>1</v>
      </c>
      <c r="H31">
        <v>0</v>
      </c>
      <c r="I31">
        <v>1</v>
      </c>
      <c r="J31">
        <v>1</v>
      </c>
      <c r="K31">
        <v>1</v>
      </c>
      <c r="L31">
        <v>1</v>
      </c>
      <c r="M31">
        <v>1</v>
      </c>
      <c r="N31">
        <v>1</v>
      </c>
      <c r="O31">
        <v>1</v>
      </c>
      <c r="P31" t="s">
        <v>210</v>
      </c>
    </row>
    <row r="32" spans="1:16" x14ac:dyDescent="0.25">
      <c r="A32" t="s">
        <v>16</v>
      </c>
      <c r="B32" t="s">
        <v>62</v>
      </c>
      <c r="C32">
        <v>0</v>
      </c>
      <c r="D32">
        <v>12.76450872421265</v>
      </c>
      <c r="E32">
        <v>0</v>
      </c>
      <c r="F32" t="s">
        <v>19</v>
      </c>
      <c r="G32" t="s">
        <v>19</v>
      </c>
      <c r="H32" t="s">
        <v>19</v>
      </c>
      <c r="I32" t="s">
        <v>19</v>
      </c>
      <c r="J32" t="s">
        <v>19</v>
      </c>
      <c r="K32" t="s">
        <v>19</v>
      </c>
      <c r="L32" t="s">
        <v>19</v>
      </c>
      <c r="M32" t="s">
        <v>19</v>
      </c>
      <c r="N32" t="s">
        <v>19</v>
      </c>
      <c r="O32" t="s">
        <v>19</v>
      </c>
      <c r="P32" t="s">
        <v>211</v>
      </c>
    </row>
    <row r="33" spans="1:16" x14ac:dyDescent="0.25">
      <c r="A33" t="s">
        <v>16</v>
      </c>
      <c r="B33" t="s">
        <v>64</v>
      </c>
      <c r="C33">
        <v>0</v>
      </c>
      <c r="D33">
        <v>2.939461231231689</v>
      </c>
      <c r="E33">
        <v>1</v>
      </c>
      <c r="F33">
        <v>1</v>
      </c>
      <c r="G33">
        <v>1</v>
      </c>
      <c r="H33">
        <v>1</v>
      </c>
      <c r="I33">
        <v>1</v>
      </c>
      <c r="J33">
        <v>1</v>
      </c>
      <c r="K33">
        <v>1</v>
      </c>
      <c r="L33">
        <v>1</v>
      </c>
      <c r="M33">
        <v>1</v>
      </c>
      <c r="N33">
        <v>1</v>
      </c>
      <c r="O33">
        <v>1</v>
      </c>
    </row>
    <row r="34" spans="1:16" x14ac:dyDescent="0.25">
      <c r="A34" t="s">
        <v>16</v>
      </c>
      <c r="B34" t="s">
        <v>65</v>
      </c>
      <c r="C34">
        <v>0</v>
      </c>
      <c r="D34">
        <v>14.289369583129879</v>
      </c>
      <c r="E34">
        <v>0</v>
      </c>
      <c r="F34" t="s">
        <v>19</v>
      </c>
      <c r="G34" t="s">
        <v>19</v>
      </c>
      <c r="H34" t="s">
        <v>19</v>
      </c>
      <c r="I34" t="s">
        <v>19</v>
      </c>
      <c r="J34" t="s">
        <v>19</v>
      </c>
      <c r="K34" t="s">
        <v>19</v>
      </c>
      <c r="L34" t="s">
        <v>19</v>
      </c>
      <c r="M34" t="s">
        <v>19</v>
      </c>
      <c r="N34" t="s">
        <v>19</v>
      </c>
      <c r="O34" t="s">
        <v>19</v>
      </c>
      <c r="P34" t="s">
        <v>212</v>
      </c>
    </row>
    <row r="35" spans="1:16" x14ac:dyDescent="0.25">
      <c r="A35" t="s">
        <v>16</v>
      </c>
      <c r="B35" t="s">
        <v>67</v>
      </c>
      <c r="C35">
        <v>0</v>
      </c>
      <c r="D35">
        <v>9.6630377769470215</v>
      </c>
      <c r="E35">
        <v>1</v>
      </c>
      <c r="F35">
        <v>1</v>
      </c>
      <c r="G35">
        <v>1</v>
      </c>
      <c r="H35">
        <v>1</v>
      </c>
      <c r="I35">
        <v>1</v>
      </c>
      <c r="J35">
        <v>1</v>
      </c>
      <c r="K35">
        <v>1</v>
      </c>
      <c r="L35">
        <v>1</v>
      </c>
      <c r="M35">
        <v>1</v>
      </c>
      <c r="N35">
        <v>1</v>
      </c>
      <c r="O35">
        <v>1</v>
      </c>
    </row>
    <row r="36" spans="1:16" x14ac:dyDescent="0.25">
      <c r="A36" t="s">
        <v>16</v>
      </c>
      <c r="B36" t="s">
        <v>69</v>
      </c>
      <c r="C36">
        <v>0</v>
      </c>
      <c r="D36">
        <v>2.978076696395874</v>
      </c>
      <c r="E36">
        <v>1</v>
      </c>
      <c r="F36">
        <v>1</v>
      </c>
      <c r="G36">
        <v>1</v>
      </c>
      <c r="H36">
        <v>1</v>
      </c>
      <c r="I36">
        <v>1</v>
      </c>
      <c r="J36">
        <v>1</v>
      </c>
      <c r="K36">
        <v>1</v>
      </c>
      <c r="L36">
        <v>1</v>
      </c>
      <c r="M36">
        <v>1</v>
      </c>
      <c r="N36">
        <v>1</v>
      </c>
      <c r="O36">
        <v>1</v>
      </c>
    </row>
    <row r="37" spans="1:16" x14ac:dyDescent="0.25">
      <c r="A37" t="s">
        <v>16</v>
      </c>
      <c r="B37" t="s">
        <v>70</v>
      </c>
      <c r="C37">
        <v>0</v>
      </c>
      <c r="D37">
        <v>11.513881206512449</v>
      </c>
      <c r="E37">
        <v>1</v>
      </c>
      <c r="F37">
        <v>1</v>
      </c>
      <c r="G37">
        <v>1</v>
      </c>
      <c r="H37">
        <v>1</v>
      </c>
      <c r="I37">
        <v>1</v>
      </c>
      <c r="J37">
        <v>1</v>
      </c>
      <c r="K37">
        <v>1</v>
      </c>
      <c r="L37">
        <v>1</v>
      </c>
      <c r="M37">
        <v>1</v>
      </c>
      <c r="N37">
        <v>1</v>
      </c>
      <c r="O37">
        <v>1</v>
      </c>
    </row>
    <row r="38" spans="1:16" x14ac:dyDescent="0.25">
      <c r="A38" t="s">
        <v>16</v>
      </c>
      <c r="B38" t="s">
        <v>71</v>
      </c>
      <c r="C38">
        <v>0</v>
      </c>
      <c r="D38">
        <v>2.8828423023223881</v>
      </c>
      <c r="E38">
        <v>1</v>
      </c>
      <c r="F38">
        <v>1</v>
      </c>
      <c r="G38">
        <v>1</v>
      </c>
      <c r="H38">
        <v>1</v>
      </c>
      <c r="I38">
        <v>1</v>
      </c>
      <c r="J38">
        <v>1</v>
      </c>
      <c r="K38">
        <v>1</v>
      </c>
      <c r="L38">
        <v>1</v>
      </c>
      <c r="M38">
        <v>1</v>
      </c>
      <c r="N38">
        <v>1</v>
      </c>
      <c r="O38">
        <v>1</v>
      </c>
    </row>
    <row r="39" spans="1:16" x14ac:dyDescent="0.25">
      <c r="A39" t="s">
        <v>16</v>
      </c>
      <c r="B39" t="s">
        <v>72</v>
      </c>
      <c r="C39">
        <v>0</v>
      </c>
      <c r="D39">
        <v>10.33639359474182</v>
      </c>
      <c r="E39">
        <v>1</v>
      </c>
      <c r="F39">
        <v>1</v>
      </c>
      <c r="G39">
        <v>1</v>
      </c>
      <c r="H39">
        <v>1</v>
      </c>
      <c r="I39">
        <v>0</v>
      </c>
      <c r="J39">
        <v>1</v>
      </c>
      <c r="K39">
        <v>1</v>
      </c>
      <c r="L39">
        <v>1</v>
      </c>
      <c r="M39">
        <v>1</v>
      </c>
      <c r="N39">
        <v>1</v>
      </c>
      <c r="O39">
        <v>1</v>
      </c>
      <c r="P39" t="s">
        <v>213</v>
      </c>
    </row>
    <row r="40" spans="1:16" x14ac:dyDescent="0.25">
      <c r="A40" t="s">
        <v>16</v>
      </c>
      <c r="B40" t="s">
        <v>74</v>
      </c>
      <c r="C40">
        <v>0</v>
      </c>
      <c r="D40">
        <v>15.15022969245911</v>
      </c>
      <c r="E40">
        <v>0</v>
      </c>
      <c r="F40" t="s">
        <v>19</v>
      </c>
      <c r="G40" t="s">
        <v>19</v>
      </c>
      <c r="H40" t="s">
        <v>19</v>
      </c>
      <c r="I40" t="s">
        <v>19</v>
      </c>
      <c r="J40" t="s">
        <v>19</v>
      </c>
      <c r="K40" t="s">
        <v>19</v>
      </c>
      <c r="L40" t="s">
        <v>19</v>
      </c>
      <c r="M40" t="s">
        <v>19</v>
      </c>
      <c r="N40" t="s">
        <v>19</v>
      </c>
      <c r="O40" t="s">
        <v>19</v>
      </c>
      <c r="P40" t="s">
        <v>214</v>
      </c>
    </row>
    <row r="41" spans="1:16" x14ac:dyDescent="0.25">
      <c r="A41" t="s">
        <v>16</v>
      </c>
      <c r="B41" t="s">
        <v>76</v>
      </c>
      <c r="C41">
        <v>0</v>
      </c>
      <c r="D41">
        <v>11.526737928390499</v>
      </c>
      <c r="E41">
        <v>1</v>
      </c>
      <c r="F41">
        <v>1</v>
      </c>
      <c r="G41">
        <v>1</v>
      </c>
      <c r="H41">
        <v>1</v>
      </c>
      <c r="I41">
        <v>1</v>
      </c>
      <c r="J41">
        <v>1</v>
      </c>
      <c r="K41">
        <v>1</v>
      </c>
      <c r="L41">
        <v>0</v>
      </c>
      <c r="M41">
        <v>1</v>
      </c>
      <c r="N41">
        <v>1</v>
      </c>
      <c r="O41">
        <v>1</v>
      </c>
      <c r="P41" t="s">
        <v>215</v>
      </c>
    </row>
    <row r="42" spans="1:16" x14ac:dyDescent="0.25">
      <c r="A42" t="s">
        <v>16</v>
      </c>
      <c r="B42" t="s">
        <v>78</v>
      </c>
      <c r="C42">
        <v>0</v>
      </c>
      <c r="D42">
        <v>10.564601421356199</v>
      </c>
      <c r="E42">
        <v>0</v>
      </c>
      <c r="F42" t="s">
        <v>19</v>
      </c>
      <c r="G42" t="s">
        <v>19</v>
      </c>
      <c r="H42" t="s">
        <v>19</v>
      </c>
      <c r="I42" t="s">
        <v>19</v>
      </c>
      <c r="J42" t="s">
        <v>19</v>
      </c>
      <c r="K42" t="s">
        <v>19</v>
      </c>
      <c r="L42" t="s">
        <v>19</v>
      </c>
      <c r="M42" t="s">
        <v>19</v>
      </c>
      <c r="N42" t="s">
        <v>19</v>
      </c>
      <c r="O42" t="s">
        <v>19</v>
      </c>
      <c r="P42" t="s">
        <v>216</v>
      </c>
    </row>
    <row r="43" spans="1:16" x14ac:dyDescent="0.25">
      <c r="A43" t="s">
        <v>16</v>
      </c>
      <c r="B43" t="s">
        <v>80</v>
      </c>
      <c r="C43">
        <v>0</v>
      </c>
      <c r="D43">
        <v>2.8872582912445068</v>
      </c>
      <c r="E43">
        <v>1</v>
      </c>
      <c r="F43">
        <v>1</v>
      </c>
      <c r="G43">
        <v>1</v>
      </c>
      <c r="H43">
        <v>1</v>
      </c>
      <c r="I43">
        <v>1</v>
      </c>
      <c r="J43">
        <v>1</v>
      </c>
      <c r="K43">
        <v>1</v>
      </c>
      <c r="L43">
        <v>1</v>
      </c>
      <c r="M43">
        <v>1</v>
      </c>
      <c r="N43">
        <v>1</v>
      </c>
      <c r="O43">
        <v>1</v>
      </c>
    </row>
    <row r="44" spans="1:16" x14ac:dyDescent="0.25">
      <c r="A44" t="s">
        <v>16</v>
      </c>
      <c r="B44" t="s">
        <v>81</v>
      </c>
      <c r="C44">
        <v>0</v>
      </c>
      <c r="D44">
        <v>5.2276287078857422</v>
      </c>
      <c r="E44">
        <v>1</v>
      </c>
      <c r="F44">
        <v>1</v>
      </c>
      <c r="G44">
        <v>1</v>
      </c>
      <c r="H44">
        <v>0</v>
      </c>
      <c r="I44">
        <v>1</v>
      </c>
      <c r="J44">
        <v>1</v>
      </c>
      <c r="K44">
        <v>1</v>
      </c>
      <c r="L44">
        <v>1</v>
      </c>
      <c r="M44">
        <v>1</v>
      </c>
      <c r="N44">
        <v>1</v>
      </c>
      <c r="O44">
        <v>1</v>
      </c>
      <c r="P44" t="s">
        <v>217</v>
      </c>
    </row>
    <row r="45" spans="1:16" x14ac:dyDescent="0.25">
      <c r="A45" t="s">
        <v>16</v>
      </c>
      <c r="B45" t="s">
        <v>83</v>
      </c>
      <c r="C45">
        <v>0</v>
      </c>
      <c r="D45">
        <v>5.8521838188171387</v>
      </c>
      <c r="E45">
        <v>1</v>
      </c>
      <c r="F45">
        <v>1</v>
      </c>
      <c r="G45">
        <v>0</v>
      </c>
      <c r="H45" t="s">
        <v>19</v>
      </c>
      <c r="I45">
        <v>1</v>
      </c>
      <c r="J45">
        <v>1</v>
      </c>
      <c r="K45">
        <v>1</v>
      </c>
      <c r="L45">
        <v>1</v>
      </c>
      <c r="M45">
        <v>1</v>
      </c>
      <c r="N45">
        <v>1</v>
      </c>
      <c r="O45">
        <v>1</v>
      </c>
      <c r="P45" t="s">
        <v>218</v>
      </c>
    </row>
    <row r="46" spans="1:16" x14ac:dyDescent="0.25">
      <c r="A46" t="s">
        <v>16</v>
      </c>
      <c r="B46" t="s">
        <v>85</v>
      </c>
      <c r="C46">
        <v>0</v>
      </c>
      <c r="D46">
        <v>6.6958425045013428</v>
      </c>
      <c r="E46">
        <v>1</v>
      </c>
      <c r="F46">
        <v>1</v>
      </c>
      <c r="G46">
        <v>1</v>
      </c>
      <c r="H46">
        <v>1</v>
      </c>
      <c r="I46">
        <v>1</v>
      </c>
      <c r="J46">
        <v>0</v>
      </c>
      <c r="K46">
        <v>1</v>
      </c>
      <c r="L46">
        <v>1</v>
      </c>
      <c r="M46">
        <v>1</v>
      </c>
      <c r="N46">
        <v>1</v>
      </c>
      <c r="O46">
        <v>1</v>
      </c>
      <c r="P46" t="s">
        <v>219</v>
      </c>
    </row>
    <row r="47" spans="1:16" x14ac:dyDescent="0.25">
      <c r="A47" t="s">
        <v>16</v>
      </c>
      <c r="B47" t="s">
        <v>87</v>
      </c>
      <c r="C47">
        <v>0</v>
      </c>
      <c r="D47">
        <v>5.3339805603027344</v>
      </c>
      <c r="E47">
        <v>1</v>
      </c>
      <c r="F47">
        <v>1</v>
      </c>
      <c r="G47">
        <v>1</v>
      </c>
      <c r="H47">
        <v>1</v>
      </c>
      <c r="I47">
        <v>1</v>
      </c>
      <c r="J47">
        <v>0</v>
      </c>
      <c r="K47">
        <v>1</v>
      </c>
      <c r="L47">
        <v>1</v>
      </c>
      <c r="M47">
        <v>1</v>
      </c>
      <c r="N47">
        <v>1</v>
      </c>
      <c r="O47">
        <v>1</v>
      </c>
      <c r="P47" t="s">
        <v>220</v>
      </c>
    </row>
    <row r="48" spans="1:16" x14ac:dyDescent="0.25">
      <c r="A48" t="s">
        <v>16</v>
      </c>
      <c r="B48" t="s">
        <v>89</v>
      </c>
      <c r="C48">
        <v>0</v>
      </c>
      <c r="D48">
        <v>8.5285210609436035</v>
      </c>
      <c r="E48">
        <v>1</v>
      </c>
      <c r="F48">
        <v>1</v>
      </c>
      <c r="G48">
        <v>1</v>
      </c>
      <c r="H48">
        <v>1</v>
      </c>
      <c r="I48">
        <v>1</v>
      </c>
      <c r="J48">
        <v>0</v>
      </c>
      <c r="K48">
        <v>1</v>
      </c>
      <c r="L48">
        <v>1</v>
      </c>
      <c r="M48">
        <v>1</v>
      </c>
      <c r="N48">
        <v>1</v>
      </c>
      <c r="O48">
        <v>1</v>
      </c>
      <c r="P48" t="s">
        <v>221</v>
      </c>
    </row>
    <row r="49" spans="1:16" x14ac:dyDescent="0.25">
      <c r="A49" t="s">
        <v>16</v>
      </c>
      <c r="B49" t="s">
        <v>91</v>
      </c>
      <c r="C49">
        <v>0</v>
      </c>
      <c r="D49">
        <v>10.931391477584841</v>
      </c>
      <c r="E49">
        <v>1</v>
      </c>
      <c r="F49">
        <v>0</v>
      </c>
      <c r="G49">
        <v>1</v>
      </c>
      <c r="H49" t="s">
        <v>19</v>
      </c>
      <c r="I49">
        <v>1</v>
      </c>
      <c r="J49" t="s">
        <v>19</v>
      </c>
      <c r="K49">
        <v>1</v>
      </c>
      <c r="L49">
        <v>1</v>
      </c>
      <c r="M49">
        <v>1</v>
      </c>
      <c r="N49">
        <v>1</v>
      </c>
      <c r="O49">
        <v>1</v>
      </c>
      <c r="P49" t="s">
        <v>222</v>
      </c>
    </row>
    <row r="50" spans="1:16" x14ac:dyDescent="0.25">
      <c r="A50" t="s">
        <v>16</v>
      </c>
      <c r="B50" t="s">
        <v>93</v>
      </c>
      <c r="C50">
        <v>0</v>
      </c>
      <c r="D50">
        <v>2.759612083435059</v>
      </c>
      <c r="E50">
        <v>1</v>
      </c>
      <c r="F50">
        <v>1</v>
      </c>
      <c r="G50">
        <v>1</v>
      </c>
      <c r="H50">
        <v>1</v>
      </c>
      <c r="I50">
        <v>1</v>
      </c>
      <c r="J50">
        <v>1</v>
      </c>
      <c r="K50">
        <v>1</v>
      </c>
      <c r="L50">
        <v>1</v>
      </c>
      <c r="M50">
        <v>1</v>
      </c>
      <c r="N50">
        <v>1</v>
      </c>
      <c r="O50">
        <v>1</v>
      </c>
    </row>
    <row r="51" spans="1:16" x14ac:dyDescent="0.25">
      <c r="A51" t="s">
        <v>94</v>
      </c>
      <c r="B51" t="s">
        <v>17</v>
      </c>
      <c r="C51">
        <v>0</v>
      </c>
      <c r="D51">
        <v>8.0169248580932617</v>
      </c>
      <c r="E51">
        <v>1</v>
      </c>
      <c r="F51">
        <v>1</v>
      </c>
      <c r="G51">
        <v>1</v>
      </c>
      <c r="H51">
        <v>1</v>
      </c>
      <c r="I51">
        <v>1</v>
      </c>
      <c r="J51">
        <v>0</v>
      </c>
      <c r="K51">
        <v>1</v>
      </c>
      <c r="L51">
        <v>1</v>
      </c>
      <c r="M51">
        <v>1</v>
      </c>
      <c r="N51">
        <v>1</v>
      </c>
      <c r="O51">
        <v>1</v>
      </c>
      <c r="P51" t="s">
        <v>223</v>
      </c>
    </row>
    <row r="52" spans="1:16" x14ac:dyDescent="0.25">
      <c r="A52" t="s">
        <v>94</v>
      </c>
      <c r="B52" t="s">
        <v>18</v>
      </c>
      <c r="C52">
        <v>0</v>
      </c>
      <c r="D52">
        <v>7.3835380077362061</v>
      </c>
      <c r="E52">
        <v>1</v>
      </c>
      <c r="F52">
        <v>1</v>
      </c>
      <c r="G52">
        <v>1</v>
      </c>
      <c r="H52">
        <v>1</v>
      </c>
      <c r="I52">
        <v>1</v>
      </c>
      <c r="J52">
        <v>1</v>
      </c>
      <c r="K52">
        <v>1</v>
      </c>
      <c r="L52">
        <v>1</v>
      </c>
      <c r="M52">
        <v>0</v>
      </c>
      <c r="N52">
        <v>1</v>
      </c>
      <c r="O52">
        <v>1</v>
      </c>
      <c r="P52" t="s">
        <v>224</v>
      </c>
    </row>
    <row r="53" spans="1:16" x14ac:dyDescent="0.25">
      <c r="A53" t="s">
        <v>94</v>
      </c>
      <c r="B53" t="s">
        <v>21</v>
      </c>
      <c r="C53">
        <v>0</v>
      </c>
      <c r="D53">
        <v>11.304264783859249</v>
      </c>
      <c r="E53">
        <v>1</v>
      </c>
      <c r="F53">
        <v>1</v>
      </c>
      <c r="G53">
        <v>1</v>
      </c>
      <c r="H53">
        <v>1</v>
      </c>
      <c r="I53">
        <v>1</v>
      </c>
      <c r="J53">
        <v>1</v>
      </c>
      <c r="K53">
        <v>1</v>
      </c>
      <c r="L53">
        <v>1</v>
      </c>
      <c r="M53">
        <v>1</v>
      </c>
      <c r="N53">
        <v>1</v>
      </c>
      <c r="O53">
        <v>1</v>
      </c>
    </row>
    <row r="54" spans="1:16" x14ac:dyDescent="0.25">
      <c r="A54" t="s">
        <v>94</v>
      </c>
      <c r="B54" t="s">
        <v>23</v>
      </c>
      <c r="C54">
        <v>0</v>
      </c>
      <c r="D54">
        <v>9.8509562015533447</v>
      </c>
      <c r="E54">
        <v>0</v>
      </c>
      <c r="F54" t="s">
        <v>19</v>
      </c>
      <c r="G54" t="s">
        <v>19</v>
      </c>
      <c r="H54" t="s">
        <v>19</v>
      </c>
      <c r="I54" t="s">
        <v>19</v>
      </c>
      <c r="J54" t="s">
        <v>19</v>
      </c>
      <c r="K54" t="s">
        <v>19</v>
      </c>
      <c r="L54" t="s">
        <v>19</v>
      </c>
      <c r="M54" t="s">
        <v>19</v>
      </c>
      <c r="N54" t="s">
        <v>19</v>
      </c>
      <c r="O54" t="s">
        <v>19</v>
      </c>
      <c r="P54" t="s">
        <v>225</v>
      </c>
    </row>
    <row r="55" spans="1:16" x14ac:dyDescent="0.25">
      <c r="A55" t="s">
        <v>94</v>
      </c>
      <c r="B55" t="s">
        <v>24</v>
      </c>
      <c r="C55">
        <v>0</v>
      </c>
      <c r="D55">
        <v>10.71743726730347</v>
      </c>
      <c r="E55">
        <v>1</v>
      </c>
      <c r="F55">
        <v>1</v>
      </c>
      <c r="G55">
        <v>1</v>
      </c>
      <c r="H55">
        <v>1</v>
      </c>
      <c r="I55">
        <v>1</v>
      </c>
      <c r="J55">
        <v>1</v>
      </c>
      <c r="K55">
        <v>1</v>
      </c>
      <c r="L55">
        <v>1</v>
      </c>
      <c r="M55">
        <v>1</v>
      </c>
      <c r="N55">
        <v>1</v>
      </c>
      <c r="O55">
        <v>1</v>
      </c>
    </row>
    <row r="56" spans="1:16" x14ac:dyDescent="0.25">
      <c r="A56" t="s">
        <v>94</v>
      </c>
      <c r="B56" t="s">
        <v>25</v>
      </c>
      <c r="C56">
        <v>0</v>
      </c>
      <c r="D56">
        <v>13.01243948936462</v>
      </c>
      <c r="E56">
        <v>1</v>
      </c>
      <c r="F56">
        <v>1</v>
      </c>
      <c r="G56">
        <v>1</v>
      </c>
      <c r="H56">
        <v>1</v>
      </c>
      <c r="I56">
        <v>1</v>
      </c>
      <c r="J56">
        <v>0</v>
      </c>
      <c r="K56">
        <v>1</v>
      </c>
      <c r="L56">
        <v>1</v>
      </c>
      <c r="M56">
        <v>1</v>
      </c>
      <c r="N56">
        <v>1</v>
      </c>
      <c r="O56">
        <v>1</v>
      </c>
      <c r="P56" t="s">
        <v>226</v>
      </c>
    </row>
    <row r="57" spans="1:16" x14ac:dyDescent="0.25">
      <c r="A57" t="s">
        <v>94</v>
      </c>
      <c r="B57" t="s">
        <v>27</v>
      </c>
      <c r="C57">
        <v>0</v>
      </c>
      <c r="D57">
        <v>2.9890942573547359</v>
      </c>
      <c r="E57">
        <v>1</v>
      </c>
      <c r="F57">
        <v>1</v>
      </c>
      <c r="G57">
        <v>1</v>
      </c>
      <c r="H57">
        <v>1</v>
      </c>
      <c r="I57">
        <v>1</v>
      </c>
      <c r="J57">
        <v>1</v>
      </c>
      <c r="K57">
        <v>1</v>
      </c>
      <c r="L57">
        <v>1</v>
      </c>
      <c r="M57">
        <v>1</v>
      </c>
      <c r="N57">
        <v>1</v>
      </c>
      <c r="O57">
        <v>1</v>
      </c>
    </row>
    <row r="58" spans="1:16" x14ac:dyDescent="0.25">
      <c r="A58" t="s">
        <v>94</v>
      </c>
      <c r="B58" t="s">
        <v>28</v>
      </c>
      <c r="C58">
        <v>0</v>
      </c>
      <c r="D58">
        <v>5.8624043464660636</v>
      </c>
      <c r="E58">
        <v>1</v>
      </c>
      <c r="F58">
        <v>1</v>
      </c>
      <c r="G58">
        <v>1</v>
      </c>
      <c r="H58">
        <v>1</v>
      </c>
      <c r="I58">
        <v>0</v>
      </c>
      <c r="J58">
        <v>0</v>
      </c>
      <c r="K58">
        <v>1</v>
      </c>
      <c r="L58">
        <v>1</v>
      </c>
      <c r="M58">
        <v>1</v>
      </c>
      <c r="N58">
        <v>1</v>
      </c>
      <c r="O58">
        <v>1</v>
      </c>
      <c r="P58" t="s">
        <v>227</v>
      </c>
    </row>
    <row r="59" spans="1:16" x14ac:dyDescent="0.25">
      <c r="A59" t="s">
        <v>94</v>
      </c>
      <c r="B59" t="s">
        <v>29</v>
      </c>
      <c r="C59">
        <v>0</v>
      </c>
      <c r="D59">
        <v>5.0135297775268546</v>
      </c>
      <c r="E59">
        <v>1</v>
      </c>
      <c r="F59">
        <v>1</v>
      </c>
      <c r="G59">
        <v>1</v>
      </c>
      <c r="H59">
        <v>1</v>
      </c>
      <c r="I59">
        <v>0</v>
      </c>
      <c r="J59">
        <v>1</v>
      </c>
      <c r="K59">
        <v>0</v>
      </c>
      <c r="L59">
        <v>1</v>
      </c>
      <c r="M59">
        <v>1</v>
      </c>
      <c r="N59">
        <v>1</v>
      </c>
      <c r="O59">
        <v>1</v>
      </c>
      <c r="P59" t="s">
        <v>228</v>
      </c>
    </row>
    <row r="60" spans="1:16" x14ac:dyDescent="0.25">
      <c r="A60" t="s">
        <v>94</v>
      </c>
      <c r="B60" t="s">
        <v>30</v>
      </c>
      <c r="C60">
        <v>0</v>
      </c>
      <c r="D60">
        <v>10.991340160369869</v>
      </c>
      <c r="E60">
        <v>1</v>
      </c>
      <c r="F60">
        <v>1</v>
      </c>
      <c r="G60">
        <v>1</v>
      </c>
      <c r="H60">
        <v>1</v>
      </c>
      <c r="I60">
        <v>1</v>
      </c>
      <c r="J60">
        <v>1</v>
      </c>
      <c r="K60">
        <v>0</v>
      </c>
      <c r="L60">
        <v>1</v>
      </c>
      <c r="M60">
        <v>1</v>
      </c>
      <c r="N60">
        <v>1</v>
      </c>
      <c r="O60">
        <v>1</v>
      </c>
      <c r="P60" t="s">
        <v>229</v>
      </c>
    </row>
    <row r="61" spans="1:16" x14ac:dyDescent="0.25">
      <c r="A61" t="s">
        <v>94</v>
      </c>
      <c r="B61" t="s">
        <v>31</v>
      </c>
      <c r="C61">
        <v>0</v>
      </c>
      <c r="D61">
        <v>8.6386861801147461</v>
      </c>
      <c r="E61">
        <v>0</v>
      </c>
      <c r="F61" t="s">
        <v>19</v>
      </c>
      <c r="G61" t="s">
        <v>19</v>
      </c>
      <c r="H61" t="s">
        <v>19</v>
      </c>
      <c r="I61" t="s">
        <v>19</v>
      </c>
      <c r="J61" t="s">
        <v>19</v>
      </c>
      <c r="K61" t="s">
        <v>19</v>
      </c>
      <c r="L61" t="s">
        <v>19</v>
      </c>
      <c r="M61" t="s">
        <v>19</v>
      </c>
      <c r="N61" t="s">
        <v>19</v>
      </c>
      <c r="O61" t="s">
        <v>19</v>
      </c>
      <c r="P61" t="s">
        <v>230</v>
      </c>
    </row>
    <row r="62" spans="1:16" x14ac:dyDescent="0.25">
      <c r="A62" t="s">
        <v>94</v>
      </c>
      <c r="B62" t="s">
        <v>32</v>
      </c>
      <c r="C62">
        <v>0</v>
      </c>
      <c r="D62">
        <v>9.869875431060791</v>
      </c>
      <c r="E62">
        <v>0</v>
      </c>
      <c r="F62" t="s">
        <v>19</v>
      </c>
      <c r="G62" t="s">
        <v>19</v>
      </c>
      <c r="H62" t="s">
        <v>19</v>
      </c>
      <c r="I62" t="s">
        <v>19</v>
      </c>
      <c r="J62" t="s">
        <v>19</v>
      </c>
      <c r="K62" t="s">
        <v>19</v>
      </c>
      <c r="L62" t="s">
        <v>19</v>
      </c>
      <c r="M62" t="s">
        <v>19</v>
      </c>
      <c r="N62" t="s">
        <v>19</v>
      </c>
      <c r="O62" t="s">
        <v>19</v>
      </c>
      <c r="P62" t="s">
        <v>231</v>
      </c>
    </row>
    <row r="63" spans="1:16" x14ac:dyDescent="0.25">
      <c r="A63" t="s">
        <v>94</v>
      </c>
      <c r="B63" t="s">
        <v>33</v>
      </c>
      <c r="C63">
        <v>0</v>
      </c>
      <c r="D63">
        <v>10.78724026679993</v>
      </c>
      <c r="E63">
        <v>1</v>
      </c>
      <c r="F63">
        <v>1</v>
      </c>
      <c r="G63">
        <v>1</v>
      </c>
      <c r="H63">
        <v>1</v>
      </c>
      <c r="I63">
        <v>1</v>
      </c>
      <c r="J63">
        <v>1</v>
      </c>
      <c r="K63">
        <v>0</v>
      </c>
      <c r="L63">
        <v>1</v>
      </c>
      <c r="M63">
        <v>1</v>
      </c>
      <c r="N63">
        <v>1</v>
      </c>
      <c r="O63">
        <v>1</v>
      </c>
      <c r="P63" t="s">
        <v>232</v>
      </c>
    </row>
    <row r="64" spans="1:16" x14ac:dyDescent="0.25">
      <c r="A64" t="s">
        <v>94</v>
      </c>
      <c r="B64" t="s">
        <v>35</v>
      </c>
      <c r="C64">
        <v>0</v>
      </c>
      <c r="D64">
        <v>5.2235538959503174</v>
      </c>
      <c r="E64">
        <v>1</v>
      </c>
      <c r="F64">
        <v>1</v>
      </c>
      <c r="G64">
        <v>1</v>
      </c>
      <c r="H64">
        <v>0</v>
      </c>
      <c r="I64">
        <v>1</v>
      </c>
      <c r="J64">
        <v>1</v>
      </c>
      <c r="K64">
        <v>1</v>
      </c>
      <c r="L64">
        <v>1</v>
      </c>
      <c r="M64">
        <v>1</v>
      </c>
      <c r="N64">
        <v>1</v>
      </c>
      <c r="O64">
        <v>1</v>
      </c>
      <c r="P64" t="s">
        <v>233</v>
      </c>
    </row>
    <row r="65" spans="1:16" x14ac:dyDescent="0.25">
      <c r="A65" t="s">
        <v>94</v>
      </c>
      <c r="B65" t="s">
        <v>36</v>
      </c>
      <c r="C65">
        <v>0</v>
      </c>
      <c r="D65">
        <v>6.6702365875244141</v>
      </c>
      <c r="E65">
        <v>1</v>
      </c>
      <c r="F65">
        <v>1</v>
      </c>
      <c r="G65">
        <v>1</v>
      </c>
      <c r="H65">
        <v>1</v>
      </c>
      <c r="I65">
        <v>1</v>
      </c>
      <c r="J65">
        <v>1</v>
      </c>
      <c r="K65">
        <v>1</v>
      </c>
      <c r="L65">
        <v>1</v>
      </c>
      <c r="M65">
        <v>1</v>
      </c>
      <c r="N65">
        <v>1</v>
      </c>
      <c r="O65">
        <v>1</v>
      </c>
    </row>
    <row r="66" spans="1:16" x14ac:dyDescent="0.25">
      <c r="A66" t="s">
        <v>94</v>
      </c>
      <c r="B66" t="s">
        <v>37</v>
      </c>
      <c r="C66">
        <v>0</v>
      </c>
      <c r="D66">
        <v>2.8886854648590088</v>
      </c>
      <c r="E66">
        <v>1</v>
      </c>
      <c r="F66">
        <v>1</v>
      </c>
      <c r="G66">
        <v>1</v>
      </c>
      <c r="H66">
        <v>1</v>
      </c>
      <c r="I66">
        <v>1</v>
      </c>
      <c r="J66">
        <v>1</v>
      </c>
      <c r="K66">
        <v>1</v>
      </c>
      <c r="L66">
        <v>1</v>
      </c>
      <c r="M66">
        <v>1</v>
      </c>
      <c r="N66">
        <v>1</v>
      </c>
      <c r="O66">
        <v>1</v>
      </c>
    </row>
    <row r="67" spans="1:16" x14ac:dyDescent="0.25">
      <c r="A67" t="s">
        <v>94</v>
      </c>
      <c r="B67" t="s">
        <v>39</v>
      </c>
      <c r="C67">
        <v>0</v>
      </c>
      <c r="D67">
        <v>9.2162094116210938</v>
      </c>
      <c r="E67">
        <v>1</v>
      </c>
      <c r="F67">
        <v>1</v>
      </c>
      <c r="G67">
        <v>1</v>
      </c>
      <c r="H67">
        <v>1</v>
      </c>
      <c r="I67">
        <v>1</v>
      </c>
      <c r="J67">
        <v>0</v>
      </c>
      <c r="K67">
        <v>1</v>
      </c>
      <c r="L67">
        <v>1</v>
      </c>
      <c r="M67">
        <v>1</v>
      </c>
      <c r="N67">
        <v>1</v>
      </c>
      <c r="O67">
        <v>1</v>
      </c>
      <c r="P67" t="s">
        <v>234</v>
      </c>
    </row>
    <row r="68" spans="1:16" x14ac:dyDescent="0.25">
      <c r="A68" t="s">
        <v>94</v>
      </c>
      <c r="B68" t="s">
        <v>40</v>
      </c>
      <c r="C68">
        <v>0</v>
      </c>
      <c r="D68">
        <v>7.1183888912200928</v>
      </c>
      <c r="E68">
        <v>1</v>
      </c>
      <c r="F68">
        <v>1</v>
      </c>
      <c r="G68">
        <v>1</v>
      </c>
      <c r="H68">
        <v>1</v>
      </c>
      <c r="I68">
        <v>1</v>
      </c>
      <c r="J68">
        <v>1</v>
      </c>
      <c r="K68">
        <v>1</v>
      </c>
      <c r="L68">
        <v>1</v>
      </c>
      <c r="M68">
        <v>1</v>
      </c>
      <c r="N68">
        <v>1</v>
      </c>
      <c r="O68">
        <v>1</v>
      </c>
    </row>
    <row r="69" spans="1:16" x14ac:dyDescent="0.25">
      <c r="A69" t="s">
        <v>94</v>
      </c>
      <c r="B69" t="s">
        <v>41</v>
      </c>
      <c r="C69">
        <v>0</v>
      </c>
      <c r="D69">
        <v>7.1572036743164063</v>
      </c>
      <c r="E69">
        <v>1</v>
      </c>
      <c r="F69">
        <v>1</v>
      </c>
      <c r="G69">
        <v>0</v>
      </c>
      <c r="H69" t="s">
        <v>19</v>
      </c>
      <c r="I69">
        <v>1</v>
      </c>
      <c r="J69">
        <v>1</v>
      </c>
      <c r="K69">
        <v>1</v>
      </c>
      <c r="L69">
        <v>1</v>
      </c>
      <c r="M69">
        <v>1</v>
      </c>
      <c r="N69">
        <v>1</v>
      </c>
      <c r="O69">
        <v>1</v>
      </c>
      <c r="P69" t="s">
        <v>235</v>
      </c>
    </row>
    <row r="70" spans="1:16" x14ac:dyDescent="0.25">
      <c r="A70" t="s">
        <v>94</v>
      </c>
      <c r="B70" t="s">
        <v>42</v>
      </c>
      <c r="C70">
        <v>0</v>
      </c>
      <c r="D70">
        <v>10.068597555160521</v>
      </c>
      <c r="E70">
        <v>1</v>
      </c>
      <c r="F70">
        <v>1</v>
      </c>
      <c r="G70">
        <v>1</v>
      </c>
      <c r="H70">
        <v>1</v>
      </c>
      <c r="I70">
        <v>1</v>
      </c>
      <c r="J70">
        <v>1</v>
      </c>
      <c r="K70">
        <v>1</v>
      </c>
      <c r="L70">
        <v>1</v>
      </c>
      <c r="M70">
        <v>1</v>
      </c>
      <c r="N70">
        <v>1</v>
      </c>
      <c r="O70">
        <v>1</v>
      </c>
    </row>
    <row r="71" spans="1:16" x14ac:dyDescent="0.25">
      <c r="A71" t="s">
        <v>94</v>
      </c>
      <c r="B71" t="s">
        <v>44</v>
      </c>
      <c r="C71">
        <v>0</v>
      </c>
      <c r="D71">
        <v>6.7738983631134033</v>
      </c>
      <c r="E71">
        <v>1</v>
      </c>
      <c r="F71">
        <v>1</v>
      </c>
      <c r="G71">
        <v>0</v>
      </c>
      <c r="H71" t="s">
        <v>19</v>
      </c>
      <c r="I71">
        <v>1</v>
      </c>
      <c r="J71">
        <v>1</v>
      </c>
      <c r="K71">
        <v>1</v>
      </c>
      <c r="L71">
        <v>1</v>
      </c>
      <c r="M71">
        <v>1</v>
      </c>
      <c r="N71">
        <v>1</v>
      </c>
      <c r="O71">
        <v>1</v>
      </c>
      <c r="P71" t="s">
        <v>236</v>
      </c>
    </row>
    <row r="72" spans="1:16" x14ac:dyDescent="0.25">
      <c r="A72" t="s">
        <v>94</v>
      </c>
      <c r="B72" t="s">
        <v>46</v>
      </c>
      <c r="C72">
        <v>0</v>
      </c>
      <c r="D72">
        <v>2.9979736804962158</v>
      </c>
      <c r="E72">
        <v>1</v>
      </c>
      <c r="F72">
        <v>1</v>
      </c>
      <c r="G72">
        <v>1</v>
      </c>
      <c r="H72">
        <v>1</v>
      </c>
      <c r="I72">
        <v>1</v>
      </c>
      <c r="J72">
        <v>1</v>
      </c>
      <c r="K72">
        <v>1</v>
      </c>
      <c r="L72">
        <v>1</v>
      </c>
      <c r="M72">
        <v>1</v>
      </c>
      <c r="N72">
        <v>1</v>
      </c>
      <c r="O72">
        <v>1</v>
      </c>
    </row>
    <row r="73" spans="1:16" x14ac:dyDescent="0.25">
      <c r="A73" t="s">
        <v>94</v>
      </c>
      <c r="B73" t="s">
        <v>48</v>
      </c>
      <c r="C73">
        <v>0</v>
      </c>
      <c r="D73">
        <v>11.37855052947998</v>
      </c>
      <c r="E73">
        <v>1</v>
      </c>
      <c r="F73">
        <v>1</v>
      </c>
      <c r="G73">
        <v>1</v>
      </c>
      <c r="H73">
        <v>1</v>
      </c>
      <c r="I73">
        <v>1</v>
      </c>
      <c r="J73">
        <v>1</v>
      </c>
      <c r="K73">
        <v>1</v>
      </c>
      <c r="L73">
        <v>1</v>
      </c>
      <c r="M73">
        <v>1</v>
      </c>
      <c r="N73">
        <v>1</v>
      </c>
      <c r="O73">
        <v>1</v>
      </c>
    </row>
    <row r="74" spans="1:16" x14ac:dyDescent="0.25">
      <c r="A74" t="s">
        <v>94</v>
      </c>
      <c r="B74" t="s">
        <v>49</v>
      </c>
      <c r="C74">
        <v>0</v>
      </c>
      <c r="D74">
        <v>5.2543327808380127</v>
      </c>
      <c r="E74">
        <v>1</v>
      </c>
      <c r="F74">
        <v>1</v>
      </c>
      <c r="G74">
        <v>0</v>
      </c>
      <c r="H74" t="s">
        <v>19</v>
      </c>
      <c r="I74">
        <v>1</v>
      </c>
      <c r="J74">
        <v>1</v>
      </c>
      <c r="K74">
        <v>1</v>
      </c>
      <c r="L74">
        <v>1</v>
      </c>
      <c r="M74">
        <v>1</v>
      </c>
      <c r="N74">
        <v>1</v>
      </c>
      <c r="O74">
        <v>1</v>
      </c>
      <c r="P74" t="s">
        <v>237</v>
      </c>
    </row>
    <row r="75" spans="1:16" x14ac:dyDescent="0.25">
      <c r="A75" t="s">
        <v>94</v>
      </c>
      <c r="B75" t="s">
        <v>51</v>
      </c>
      <c r="C75">
        <v>0</v>
      </c>
      <c r="D75">
        <v>5.5233538150787354</v>
      </c>
      <c r="E75">
        <v>1</v>
      </c>
      <c r="F75">
        <v>1</v>
      </c>
      <c r="G75">
        <v>0</v>
      </c>
      <c r="H75" t="s">
        <v>19</v>
      </c>
      <c r="I75">
        <v>1</v>
      </c>
      <c r="J75">
        <v>1</v>
      </c>
      <c r="K75">
        <v>1</v>
      </c>
      <c r="L75">
        <v>1</v>
      </c>
      <c r="M75">
        <v>1</v>
      </c>
      <c r="N75">
        <v>1</v>
      </c>
      <c r="O75">
        <v>1</v>
      </c>
      <c r="P75" t="s">
        <v>238</v>
      </c>
    </row>
    <row r="76" spans="1:16" x14ac:dyDescent="0.25">
      <c r="A76" t="s">
        <v>94</v>
      </c>
      <c r="B76" t="s">
        <v>52</v>
      </c>
      <c r="C76">
        <v>0</v>
      </c>
      <c r="D76">
        <v>4.1071507930755624</v>
      </c>
      <c r="E76">
        <v>1</v>
      </c>
      <c r="F76">
        <v>1</v>
      </c>
      <c r="G76">
        <v>1</v>
      </c>
      <c r="H76">
        <v>1</v>
      </c>
      <c r="I76">
        <v>0</v>
      </c>
      <c r="J76">
        <v>1</v>
      </c>
      <c r="K76">
        <v>1</v>
      </c>
      <c r="L76">
        <v>1</v>
      </c>
      <c r="M76">
        <v>1</v>
      </c>
      <c r="N76">
        <v>1</v>
      </c>
      <c r="O76">
        <v>1</v>
      </c>
      <c r="P76" t="s">
        <v>239</v>
      </c>
    </row>
    <row r="77" spans="1:16" x14ac:dyDescent="0.25">
      <c r="A77" t="s">
        <v>94</v>
      </c>
      <c r="B77" t="s">
        <v>54</v>
      </c>
      <c r="C77">
        <v>0</v>
      </c>
      <c r="D77">
        <v>11.606492280960079</v>
      </c>
      <c r="E77">
        <v>1</v>
      </c>
      <c r="F77">
        <v>0</v>
      </c>
      <c r="G77">
        <v>1</v>
      </c>
      <c r="H77" t="s">
        <v>19</v>
      </c>
      <c r="I77">
        <v>1</v>
      </c>
      <c r="J77" t="s">
        <v>19</v>
      </c>
      <c r="K77">
        <v>1</v>
      </c>
      <c r="L77">
        <v>1</v>
      </c>
      <c r="M77">
        <v>1</v>
      </c>
      <c r="N77">
        <v>1</v>
      </c>
      <c r="O77">
        <v>1</v>
      </c>
      <c r="P77" t="s">
        <v>240</v>
      </c>
    </row>
    <row r="78" spans="1:16" x14ac:dyDescent="0.25">
      <c r="A78" t="s">
        <v>94</v>
      </c>
      <c r="B78" t="s">
        <v>56</v>
      </c>
      <c r="C78">
        <v>0</v>
      </c>
      <c r="D78">
        <v>10.685814142227169</v>
      </c>
      <c r="E78">
        <v>1</v>
      </c>
      <c r="F78">
        <v>1</v>
      </c>
      <c r="G78">
        <v>1</v>
      </c>
      <c r="H78">
        <v>1</v>
      </c>
      <c r="I78">
        <v>1</v>
      </c>
      <c r="J78">
        <v>1</v>
      </c>
      <c r="K78">
        <v>1</v>
      </c>
      <c r="L78">
        <v>1</v>
      </c>
      <c r="M78">
        <v>1</v>
      </c>
      <c r="N78">
        <v>1</v>
      </c>
      <c r="O78">
        <v>1</v>
      </c>
    </row>
    <row r="79" spans="1:16" x14ac:dyDescent="0.25">
      <c r="A79" t="s">
        <v>94</v>
      </c>
      <c r="B79" t="s">
        <v>58</v>
      </c>
      <c r="C79">
        <v>0</v>
      </c>
      <c r="D79">
        <v>8.3326044082641602</v>
      </c>
      <c r="E79">
        <v>1</v>
      </c>
      <c r="F79">
        <v>1</v>
      </c>
      <c r="G79">
        <v>1</v>
      </c>
      <c r="H79">
        <v>1</v>
      </c>
      <c r="I79">
        <v>1</v>
      </c>
      <c r="J79">
        <v>1</v>
      </c>
      <c r="K79">
        <v>0</v>
      </c>
      <c r="L79">
        <v>1</v>
      </c>
      <c r="M79">
        <v>1</v>
      </c>
      <c r="N79">
        <v>1</v>
      </c>
      <c r="O79">
        <v>1</v>
      </c>
      <c r="P79" t="s">
        <v>241</v>
      </c>
    </row>
    <row r="80" spans="1:16" x14ac:dyDescent="0.25">
      <c r="A80" t="s">
        <v>94</v>
      </c>
      <c r="B80" t="s">
        <v>60</v>
      </c>
      <c r="C80">
        <v>0</v>
      </c>
      <c r="D80">
        <v>2.864251852035522</v>
      </c>
      <c r="E80">
        <v>1</v>
      </c>
      <c r="F80">
        <v>1</v>
      </c>
      <c r="G80">
        <v>1</v>
      </c>
      <c r="H80">
        <v>1</v>
      </c>
      <c r="I80">
        <v>1</v>
      </c>
      <c r="J80">
        <v>1</v>
      </c>
      <c r="K80">
        <v>1</v>
      </c>
      <c r="L80">
        <v>1</v>
      </c>
      <c r="M80">
        <v>1</v>
      </c>
      <c r="N80">
        <v>1</v>
      </c>
      <c r="O80">
        <v>1</v>
      </c>
    </row>
    <row r="81" spans="1:16" x14ac:dyDescent="0.25">
      <c r="A81" t="s">
        <v>94</v>
      </c>
      <c r="B81" t="s">
        <v>62</v>
      </c>
      <c r="C81">
        <v>0</v>
      </c>
      <c r="D81">
        <v>6.7791633605957031</v>
      </c>
      <c r="E81">
        <v>1</v>
      </c>
      <c r="F81">
        <v>1</v>
      </c>
      <c r="G81">
        <v>1</v>
      </c>
      <c r="H81">
        <v>1</v>
      </c>
      <c r="I81">
        <v>1</v>
      </c>
      <c r="J81">
        <v>1</v>
      </c>
      <c r="K81">
        <v>1</v>
      </c>
      <c r="L81">
        <v>1</v>
      </c>
      <c r="M81">
        <v>1</v>
      </c>
      <c r="N81">
        <v>1</v>
      </c>
      <c r="O81">
        <v>1</v>
      </c>
    </row>
    <row r="82" spans="1:16" x14ac:dyDescent="0.25">
      <c r="A82" t="s">
        <v>94</v>
      </c>
      <c r="B82" t="s">
        <v>64</v>
      </c>
      <c r="C82">
        <v>0</v>
      </c>
      <c r="D82">
        <v>5.13486647605896</v>
      </c>
      <c r="E82">
        <v>1</v>
      </c>
      <c r="F82">
        <v>0</v>
      </c>
      <c r="G82">
        <v>1</v>
      </c>
      <c r="H82" t="s">
        <v>19</v>
      </c>
      <c r="I82">
        <v>1</v>
      </c>
      <c r="J82" t="s">
        <v>19</v>
      </c>
      <c r="K82">
        <v>1</v>
      </c>
      <c r="L82">
        <v>1</v>
      </c>
      <c r="M82">
        <v>1</v>
      </c>
      <c r="N82">
        <v>1</v>
      </c>
      <c r="O82">
        <v>1</v>
      </c>
      <c r="P82" t="s">
        <v>242</v>
      </c>
    </row>
    <row r="83" spans="1:16" x14ac:dyDescent="0.25">
      <c r="A83" t="s">
        <v>94</v>
      </c>
      <c r="B83" t="s">
        <v>65</v>
      </c>
      <c r="C83">
        <v>0</v>
      </c>
      <c r="D83">
        <v>10.37695789337158</v>
      </c>
      <c r="E83">
        <v>1</v>
      </c>
      <c r="F83">
        <v>1</v>
      </c>
      <c r="G83">
        <v>0</v>
      </c>
      <c r="H83" t="s">
        <v>19</v>
      </c>
      <c r="I83">
        <v>0</v>
      </c>
      <c r="J83">
        <v>1</v>
      </c>
      <c r="K83">
        <v>1</v>
      </c>
      <c r="L83">
        <v>1</v>
      </c>
      <c r="M83">
        <v>1</v>
      </c>
      <c r="N83">
        <v>1</v>
      </c>
      <c r="O83">
        <v>1</v>
      </c>
      <c r="P83" t="s">
        <v>243</v>
      </c>
    </row>
    <row r="84" spans="1:16" x14ac:dyDescent="0.25">
      <c r="A84" t="s">
        <v>94</v>
      </c>
      <c r="B84" t="s">
        <v>67</v>
      </c>
      <c r="C84">
        <v>0</v>
      </c>
      <c r="D84">
        <v>2.866571426391602</v>
      </c>
      <c r="E84">
        <v>1</v>
      </c>
      <c r="F84">
        <v>1</v>
      </c>
      <c r="G84">
        <v>1</v>
      </c>
      <c r="H84">
        <v>1</v>
      </c>
      <c r="I84">
        <v>1</v>
      </c>
      <c r="J84">
        <v>1</v>
      </c>
      <c r="K84">
        <v>1</v>
      </c>
      <c r="L84">
        <v>1</v>
      </c>
      <c r="M84">
        <v>1</v>
      </c>
      <c r="N84">
        <v>1</v>
      </c>
      <c r="O84">
        <v>1</v>
      </c>
    </row>
    <row r="85" spans="1:16" x14ac:dyDescent="0.25">
      <c r="A85" t="s">
        <v>94</v>
      </c>
      <c r="B85" t="s">
        <v>69</v>
      </c>
      <c r="C85">
        <v>0</v>
      </c>
      <c r="D85">
        <v>7.9284908771514893</v>
      </c>
      <c r="E85">
        <v>1</v>
      </c>
      <c r="F85">
        <v>1</v>
      </c>
      <c r="G85">
        <v>0</v>
      </c>
      <c r="H85" t="s">
        <v>19</v>
      </c>
      <c r="I85">
        <v>0</v>
      </c>
      <c r="J85">
        <v>1</v>
      </c>
      <c r="K85">
        <v>1</v>
      </c>
      <c r="L85">
        <v>1</v>
      </c>
      <c r="M85">
        <v>1</v>
      </c>
      <c r="N85">
        <v>1</v>
      </c>
      <c r="O85">
        <v>1</v>
      </c>
      <c r="P85" t="s">
        <v>244</v>
      </c>
    </row>
    <row r="86" spans="1:16" x14ac:dyDescent="0.25">
      <c r="A86" t="s">
        <v>94</v>
      </c>
      <c r="B86" t="s">
        <v>70</v>
      </c>
      <c r="C86">
        <v>0</v>
      </c>
      <c r="D86">
        <v>11.284634113311769</v>
      </c>
      <c r="E86">
        <v>1</v>
      </c>
      <c r="F86">
        <v>1</v>
      </c>
      <c r="G86">
        <v>0</v>
      </c>
      <c r="H86" t="s">
        <v>19</v>
      </c>
      <c r="I86">
        <v>1</v>
      </c>
      <c r="J86">
        <v>1</v>
      </c>
      <c r="K86">
        <v>1</v>
      </c>
      <c r="L86">
        <v>1</v>
      </c>
      <c r="M86">
        <v>1</v>
      </c>
      <c r="N86">
        <v>1</v>
      </c>
      <c r="O86">
        <v>1</v>
      </c>
      <c r="P86" t="s">
        <v>245</v>
      </c>
    </row>
    <row r="87" spans="1:16" x14ac:dyDescent="0.25">
      <c r="A87" t="s">
        <v>94</v>
      </c>
      <c r="B87" t="s">
        <v>71</v>
      </c>
      <c r="C87">
        <v>0</v>
      </c>
      <c r="D87">
        <v>2.8862535953521729</v>
      </c>
      <c r="E87">
        <v>1</v>
      </c>
      <c r="F87">
        <v>1</v>
      </c>
      <c r="G87">
        <v>1</v>
      </c>
      <c r="H87">
        <v>1</v>
      </c>
      <c r="I87">
        <v>1</v>
      </c>
      <c r="J87">
        <v>1</v>
      </c>
      <c r="K87">
        <v>1</v>
      </c>
      <c r="L87">
        <v>1</v>
      </c>
      <c r="M87">
        <v>1</v>
      </c>
      <c r="N87">
        <v>1</v>
      </c>
      <c r="O87">
        <v>1</v>
      </c>
    </row>
    <row r="88" spans="1:16" x14ac:dyDescent="0.25">
      <c r="A88" t="s">
        <v>94</v>
      </c>
      <c r="B88" t="s">
        <v>72</v>
      </c>
      <c r="C88">
        <v>0</v>
      </c>
      <c r="D88">
        <v>7.1746804714202881</v>
      </c>
      <c r="E88">
        <v>1</v>
      </c>
      <c r="F88">
        <v>1</v>
      </c>
      <c r="G88">
        <v>0</v>
      </c>
      <c r="H88" t="s">
        <v>19</v>
      </c>
      <c r="I88">
        <v>1</v>
      </c>
      <c r="J88">
        <v>1</v>
      </c>
      <c r="K88">
        <v>0</v>
      </c>
      <c r="L88">
        <v>1</v>
      </c>
      <c r="M88">
        <v>1</v>
      </c>
      <c r="N88">
        <v>1</v>
      </c>
      <c r="O88">
        <v>1</v>
      </c>
      <c r="P88" t="s">
        <v>246</v>
      </c>
    </row>
    <row r="89" spans="1:16" x14ac:dyDescent="0.25">
      <c r="A89" t="s">
        <v>94</v>
      </c>
      <c r="B89" t="s">
        <v>74</v>
      </c>
      <c r="C89">
        <v>0</v>
      </c>
      <c r="D89">
        <v>12.140693664550779</v>
      </c>
      <c r="E89">
        <v>0</v>
      </c>
      <c r="F89" t="s">
        <v>19</v>
      </c>
      <c r="G89" t="s">
        <v>19</v>
      </c>
      <c r="H89" t="s">
        <v>19</v>
      </c>
      <c r="I89" t="s">
        <v>19</v>
      </c>
      <c r="J89" t="s">
        <v>19</v>
      </c>
      <c r="K89" t="s">
        <v>19</v>
      </c>
      <c r="L89" t="s">
        <v>19</v>
      </c>
      <c r="M89" t="s">
        <v>19</v>
      </c>
      <c r="N89" t="s">
        <v>19</v>
      </c>
      <c r="O89" t="s">
        <v>19</v>
      </c>
      <c r="P89" t="s">
        <v>247</v>
      </c>
    </row>
    <row r="90" spans="1:16" x14ac:dyDescent="0.25">
      <c r="A90" t="s">
        <v>94</v>
      </c>
      <c r="B90" t="s">
        <v>76</v>
      </c>
      <c r="C90">
        <v>0</v>
      </c>
      <c r="D90">
        <v>8.8167345523834229</v>
      </c>
      <c r="E90">
        <v>0</v>
      </c>
      <c r="F90" t="s">
        <v>19</v>
      </c>
      <c r="G90" t="s">
        <v>19</v>
      </c>
      <c r="H90" t="s">
        <v>19</v>
      </c>
      <c r="I90" t="s">
        <v>19</v>
      </c>
      <c r="J90" t="s">
        <v>19</v>
      </c>
      <c r="K90" t="s">
        <v>19</v>
      </c>
      <c r="L90" t="s">
        <v>19</v>
      </c>
      <c r="M90" t="s">
        <v>19</v>
      </c>
      <c r="N90" t="s">
        <v>19</v>
      </c>
      <c r="O90" t="s">
        <v>19</v>
      </c>
      <c r="P90" t="s">
        <v>248</v>
      </c>
    </row>
    <row r="91" spans="1:16" x14ac:dyDescent="0.25">
      <c r="A91" t="s">
        <v>94</v>
      </c>
      <c r="B91" t="s">
        <v>78</v>
      </c>
      <c r="C91">
        <v>0</v>
      </c>
      <c r="D91">
        <v>9.4490444660186768</v>
      </c>
      <c r="E91">
        <v>1</v>
      </c>
      <c r="F91">
        <v>1</v>
      </c>
      <c r="G91">
        <v>1</v>
      </c>
      <c r="H91">
        <v>1</v>
      </c>
      <c r="I91">
        <v>1</v>
      </c>
      <c r="J91">
        <v>1</v>
      </c>
      <c r="K91">
        <v>1</v>
      </c>
      <c r="L91">
        <v>1</v>
      </c>
      <c r="M91">
        <v>1</v>
      </c>
      <c r="N91">
        <v>1</v>
      </c>
      <c r="O91">
        <v>1</v>
      </c>
    </row>
    <row r="92" spans="1:16" x14ac:dyDescent="0.25">
      <c r="A92" t="s">
        <v>94</v>
      </c>
      <c r="B92" t="s">
        <v>80</v>
      </c>
      <c r="C92">
        <v>0</v>
      </c>
      <c r="D92">
        <v>2.896928071975708</v>
      </c>
      <c r="E92">
        <v>1</v>
      </c>
      <c r="F92">
        <v>1</v>
      </c>
      <c r="G92">
        <v>1</v>
      </c>
      <c r="H92">
        <v>1</v>
      </c>
      <c r="I92">
        <v>1</v>
      </c>
      <c r="J92">
        <v>1</v>
      </c>
      <c r="K92">
        <v>1</v>
      </c>
      <c r="L92">
        <v>1</v>
      </c>
      <c r="M92">
        <v>1</v>
      </c>
      <c r="N92">
        <v>1</v>
      </c>
      <c r="O92">
        <v>1</v>
      </c>
    </row>
    <row r="93" spans="1:16" x14ac:dyDescent="0.25">
      <c r="A93" t="s">
        <v>94</v>
      </c>
      <c r="B93" t="s">
        <v>81</v>
      </c>
      <c r="C93">
        <v>0</v>
      </c>
      <c r="D93">
        <v>4.3867461681365967</v>
      </c>
      <c r="E93">
        <v>1</v>
      </c>
      <c r="F93">
        <v>1</v>
      </c>
      <c r="G93">
        <v>1</v>
      </c>
      <c r="H93">
        <v>1</v>
      </c>
      <c r="I93">
        <v>1</v>
      </c>
      <c r="J93">
        <v>0</v>
      </c>
      <c r="K93">
        <v>1</v>
      </c>
      <c r="L93">
        <v>1</v>
      </c>
      <c r="M93">
        <v>1</v>
      </c>
      <c r="N93">
        <v>1</v>
      </c>
      <c r="O93">
        <v>1</v>
      </c>
      <c r="P93" t="s">
        <v>249</v>
      </c>
    </row>
    <row r="94" spans="1:16" x14ac:dyDescent="0.25">
      <c r="A94" t="s">
        <v>94</v>
      </c>
      <c r="B94" t="s">
        <v>83</v>
      </c>
      <c r="C94">
        <v>0</v>
      </c>
      <c r="D94">
        <v>2.9003779888153081</v>
      </c>
      <c r="E94">
        <v>1</v>
      </c>
      <c r="F94">
        <v>1</v>
      </c>
      <c r="G94">
        <v>1</v>
      </c>
      <c r="H94">
        <v>1</v>
      </c>
      <c r="I94">
        <v>1</v>
      </c>
      <c r="J94">
        <v>1</v>
      </c>
      <c r="K94">
        <v>1</v>
      </c>
      <c r="L94">
        <v>1</v>
      </c>
      <c r="M94">
        <v>1</v>
      </c>
      <c r="N94">
        <v>1</v>
      </c>
      <c r="O94">
        <v>1</v>
      </c>
    </row>
    <row r="95" spans="1:16" x14ac:dyDescent="0.25">
      <c r="A95" t="s">
        <v>94</v>
      </c>
      <c r="B95" t="s">
        <v>85</v>
      </c>
      <c r="C95">
        <v>0</v>
      </c>
      <c r="D95">
        <v>16.101745843887329</v>
      </c>
      <c r="E95">
        <v>1</v>
      </c>
      <c r="F95">
        <v>1</v>
      </c>
      <c r="G95">
        <v>0</v>
      </c>
      <c r="H95" t="s">
        <v>19</v>
      </c>
      <c r="I95">
        <v>1</v>
      </c>
      <c r="J95">
        <v>0</v>
      </c>
      <c r="K95">
        <v>1</v>
      </c>
      <c r="L95">
        <v>1</v>
      </c>
      <c r="M95">
        <v>1</v>
      </c>
      <c r="N95">
        <v>1</v>
      </c>
      <c r="O95">
        <v>1</v>
      </c>
      <c r="P95" t="s">
        <v>250</v>
      </c>
    </row>
    <row r="96" spans="1:16" x14ac:dyDescent="0.25">
      <c r="A96" t="s">
        <v>94</v>
      </c>
      <c r="B96" t="s">
        <v>87</v>
      </c>
      <c r="C96">
        <v>0</v>
      </c>
      <c r="D96">
        <v>12.63747549057007</v>
      </c>
      <c r="E96">
        <v>1</v>
      </c>
      <c r="F96">
        <v>1</v>
      </c>
      <c r="G96">
        <v>0</v>
      </c>
      <c r="H96" t="s">
        <v>19</v>
      </c>
      <c r="I96">
        <v>1</v>
      </c>
      <c r="J96">
        <v>0</v>
      </c>
      <c r="K96">
        <v>1</v>
      </c>
      <c r="L96">
        <v>1</v>
      </c>
      <c r="M96">
        <v>1</v>
      </c>
      <c r="N96">
        <v>1</v>
      </c>
      <c r="O96">
        <v>1</v>
      </c>
      <c r="P96" t="s">
        <v>251</v>
      </c>
    </row>
    <row r="97" spans="1:16" x14ac:dyDescent="0.25">
      <c r="A97" t="s">
        <v>94</v>
      </c>
      <c r="B97" t="s">
        <v>89</v>
      </c>
      <c r="C97">
        <v>0</v>
      </c>
      <c r="D97">
        <v>7.1997950077056876</v>
      </c>
      <c r="E97">
        <v>1</v>
      </c>
      <c r="F97">
        <v>1</v>
      </c>
      <c r="G97">
        <v>1</v>
      </c>
      <c r="H97">
        <v>1</v>
      </c>
      <c r="I97">
        <v>1</v>
      </c>
      <c r="J97">
        <v>0</v>
      </c>
      <c r="K97">
        <v>1</v>
      </c>
      <c r="L97">
        <v>1</v>
      </c>
      <c r="M97">
        <v>1</v>
      </c>
      <c r="N97">
        <v>1</v>
      </c>
      <c r="O97">
        <v>1</v>
      </c>
      <c r="P97" t="s">
        <v>252</v>
      </c>
    </row>
    <row r="98" spans="1:16" x14ac:dyDescent="0.25">
      <c r="A98" t="s">
        <v>94</v>
      </c>
      <c r="B98" t="s">
        <v>91</v>
      </c>
      <c r="C98">
        <v>0</v>
      </c>
      <c r="D98">
        <v>3.789493322372437</v>
      </c>
      <c r="E98">
        <v>1</v>
      </c>
      <c r="F98">
        <v>1</v>
      </c>
      <c r="G98">
        <v>1</v>
      </c>
      <c r="H98">
        <v>1</v>
      </c>
      <c r="I98">
        <v>1</v>
      </c>
      <c r="J98">
        <v>1</v>
      </c>
      <c r="K98">
        <v>0</v>
      </c>
      <c r="L98">
        <v>1</v>
      </c>
      <c r="M98">
        <v>1</v>
      </c>
      <c r="N98">
        <v>1</v>
      </c>
      <c r="O98">
        <v>1</v>
      </c>
      <c r="P98" t="s">
        <v>253</v>
      </c>
    </row>
    <row r="99" spans="1:16" x14ac:dyDescent="0.25">
      <c r="A99" t="s">
        <v>94</v>
      </c>
      <c r="B99" t="s">
        <v>93</v>
      </c>
      <c r="C99">
        <v>0</v>
      </c>
      <c r="D99">
        <v>6.196101188659668</v>
      </c>
      <c r="E99">
        <v>1</v>
      </c>
      <c r="F99">
        <v>1</v>
      </c>
      <c r="G99">
        <v>0</v>
      </c>
      <c r="H99" t="s">
        <v>19</v>
      </c>
      <c r="I99">
        <v>1</v>
      </c>
      <c r="J99">
        <v>0</v>
      </c>
      <c r="K99">
        <v>1</v>
      </c>
      <c r="L99">
        <v>1</v>
      </c>
      <c r="M99">
        <v>1</v>
      </c>
      <c r="N99">
        <v>1</v>
      </c>
      <c r="O99">
        <v>1</v>
      </c>
      <c r="P99" t="s">
        <v>254</v>
      </c>
    </row>
    <row r="100" spans="1:16" x14ac:dyDescent="0.25">
      <c r="A100" t="s">
        <v>94</v>
      </c>
      <c r="B100" t="s">
        <v>128</v>
      </c>
      <c r="C100">
        <v>0</v>
      </c>
      <c r="D100">
        <v>2.9335119724273682</v>
      </c>
      <c r="E100">
        <v>1</v>
      </c>
      <c r="F100">
        <v>1</v>
      </c>
      <c r="G100">
        <v>1</v>
      </c>
      <c r="H100">
        <v>1</v>
      </c>
      <c r="I100">
        <v>1</v>
      </c>
      <c r="J100">
        <v>1</v>
      </c>
      <c r="K100">
        <v>1</v>
      </c>
      <c r="L100">
        <v>1</v>
      </c>
      <c r="M100">
        <v>1</v>
      </c>
      <c r="N100">
        <v>1</v>
      </c>
      <c r="O100">
        <v>1</v>
      </c>
    </row>
    <row r="101" spans="1:16" x14ac:dyDescent="0.25">
      <c r="A101" t="s">
        <v>94</v>
      </c>
      <c r="B101" t="s">
        <v>129</v>
      </c>
      <c r="C101">
        <v>0</v>
      </c>
      <c r="D101">
        <v>7.5983691215515137</v>
      </c>
      <c r="E101">
        <v>1</v>
      </c>
      <c r="F101">
        <v>1</v>
      </c>
      <c r="G101">
        <v>1</v>
      </c>
      <c r="H101">
        <v>1</v>
      </c>
      <c r="I101">
        <v>1</v>
      </c>
      <c r="J101">
        <v>0</v>
      </c>
      <c r="K101">
        <v>1</v>
      </c>
      <c r="L101">
        <v>1</v>
      </c>
      <c r="M101">
        <v>1</v>
      </c>
      <c r="N101">
        <v>1</v>
      </c>
      <c r="O101">
        <v>1</v>
      </c>
      <c r="P101" t="s">
        <v>255</v>
      </c>
    </row>
    <row r="102" spans="1:16" x14ac:dyDescent="0.25">
      <c r="A102" t="s">
        <v>94</v>
      </c>
      <c r="B102" t="s">
        <v>131</v>
      </c>
      <c r="C102">
        <v>0</v>
      </c>
      <c r="D102">
        <v>8.2165567874908447</v>
      </c>
      <c r="E102">
        <v>0</v>
      </c>
      <c r="F102" t="s">
        <v>19</v>
      </c>
      <c r="G102" t="s">
        <v>19</v>
      </c>
      <c r="H102" t="s">
        <v>19</v>
      </c>
      <c r="I102" t="s">
        <v>19</v>
      </c>
      <c r="J102" t="s">
        <v>19</v>
      </c>
      <c r="K102" t="s">
        <v>19</v>
      </c>
      <c r="L102" t="s">
        <v>19</v>
      </c>
      <c r="M102" t="s">
        <v>19</v>
      </c>
      <c r="N102" t="s">
        <v>19</v>
      </c>
      <c r="O102" t="s">
        <v>19</v>
      </c>
      <c r="P102" t="s">
        <v>256</v>
      </c>
    </row>
    <row r="103" spans="1:16" x14ac:dyDescent="0.25">
      <c r="A103" t="s">
        <v>94</v>
      </c>
      <c r="B103" t="s">
        <v>133</v>
      </c>
      <c r="C103">
        <v>0</v>
      </c>
      <c r="D103">
        <v>2.923815011978149</v>
      </c>
      <c r="E103">
        <v>1</v>
      </c>
      <c r="F103">
        <v>1</v>
      </c>
      <c r="G103">
        <v>1</v>
      </c>
      <c r="H103">
        <v>1</v>
      </c>
      <c r="I103">
        <v>1</v>
      </c>
      <c r="J103">
        <v>1</v>
      </c>
      <c r="K103">
        <v>1</v>
      </c>
      <c r="L103">
        <v>1</v>
      </c>
      <c r="M103">
        <v>1</v>
      </c>
      <c r="N103">
        <v>1</v>
      </c>
      <c r="O103">
        <v>1</v>
      </c>
    </row>
    <row r="104" spans="1:16" x14ac:dyDescent="0.25">
      <c r="A104" t="s">
        <v>94</v>
      </c>
      <c r="B104" t="s">
        <v>134</v>
      </c>
      <c r="C104">
        <v>0</v>
      </c>
      <c r="D104">
        <v>6.3193976879119873</v>
      </c>
      <c r="E104">
        <v>1</v>
      </c>
      <c r="F104">
        <v>1</v>
      </c>
      <c r="G104">
        <v>1</v>
      </c>
      <c r="H104">
        <v>0</v>
      </c>
      <c r="I104">
        <v>1</v>
      </c>
      <c r="J104">
        <v>0</v>
      </c>
      <c r="K104">
        <v>1</v>
      </c>
      <c r="L104">
        <v>1</v>
      </c>
      <c r="M104">
        <v>1</v>
      </c>
      <c r="N104">
        <v>1</v>
      </c>
      <c r="O104">
        <v>1</v>
      </c>
      <c r="P104" t="s">
        <v>257</v>
      </c>
    </row>
    <row r="105" spans="1:16" x14ac:dyDescent="0.25">
      <c r="A105" t="s">
        <v>94</v>
      </c>
      <c r="B105" t="s">
        <v>136</v>
      </c>
      <c r="C105">
        <v>0</v>
      </c>
      <c r="D105">
        <v>11.13239359855652</v>
      </c>
      <c r="E105">
        <v>1</v>
      </c>
      <c r="F105">
        <v>1</v>
      </c>
      <c r="G105">
        <v>1</v>
      </c>
      <c r="H105">
        <v>0</v>
      </c>
      <c r="I105">
        <v>1</v>
      </c>
      <c r="J105">
        <v>1</v>
      </c>
      <c r="K105">
        <v>1</v>
      </c>
      <c r="L105">
        <v>1</v>
      </c>
      <c r="M105">
        <v>1</v>
      </c>
      <c r="N105">
        <v>1</v>
      </c>
      <c r="O105">
        <v>1</v>
      </c>
      <c r="P105" t="s">
        <v>258</v>
      </c>
    </row>
    <row r="106" spans="1:16" x14ac:dyDescent="0.25">
      <c r="A106" t="s">
        <v>94</v>
      </c>
      <c r="B106" t="s">
        <v>138</v>
      </c>
      <c r="C106">
        <v>0</v>
      </c>
      <c r="D106">
        <v>6.8897168636322021</v>
      </c>
      <c r="E106">
        <v>0</v>
      </c>
      <c r="F106" t="s">
        <v>19</v>
      </c>
      <c r="G106" t="s">
        <v>19</v>
      </c>
      <c r="H106" t="s">
        <v>19</v>
      </c>
      <c r="I106" t="s">
        <v>19</v>
      </c>
      <c r="J106" t="s">
        <v>19</v>
      </c>
      <c r="K106" t="s">
        <v>19</v>
      </c>
      <c r="L106" t="s">
        <v>19</v>
      </c>
      <c r="M106" t="s">
        <v>19</v>
      </c>
      <c r="N106" t="s">
        <v>19</v>
      </c>
      <c r="O106" t="s">
        <v>19</v>
      </c>
      <c r="P106" t="s">
        <v>259</v>
      </c>
    </row>
    <row r="107" spans="1:16" x14ac:dyDescent="0.25">
      <c r="A107" t="s">
        <v>94</v>
      </c>
      <c r="B107" t="s">
        <v>140</v>
      </c>
      <c r="C107">
        <v>0</v>
      </c>
      <c r="D107">
        <v>4.8742024898529053</v>
      </c>
      <c r="E107">
        <v>1</v>
      </c>
      <c r="F107">
        <v>1</v>
      </c>
      <c r="G107">
        <v>1</v>
      </c>
      <c r="H107">
        <v>1</v>
      </c>
      <c r="I107">
        <v>1</v>
      </c>
      <c r="J107">
        <v>1</v>
      </c>
      <c r="K107">
        <v>0</v>
      </c>
      <c r="L107">
        <v>1</v>
      </c>
      <c r="M107">
        <v>1</v>
      </c>
      <c r="N107">
        <v>1</v>
      </c>
      <c r="O107">
        <v>1</v>
      </c>
      <c r="P107" t="s">
        <v>260</v>
      </c>
    </row>
    <row r="108" spans="1:16" x14ac:dyDescent="0.25">
      <c r="A108" t="s">
        <v>94</v>
      </c>
      <c r="B108" t="s">
        <v>142</v>
      </c>
      <c r="C108">
        <v>0</v>
      </c>
      <c r="D108">
        <v>9.3634977340698242</v>
      </c>
      <c r="E108">
        <v>1</v>
      </c>
      <c r="F108">
        <v>1</v>
      </c>
      <c r="G108">
        <v>1</v>
      </c>
      <c r="H108">
        <v>1</v>
      </c>
      <c r="I108">
        <v>1</v>
      </c>
      <c r="J108">
        <v>1</v>
      </c>
      <c r="K108">
        <v>1</v>
      </c>
      <c r="L108">
        <v>1</v>
      </c>
      <c r="M108">
        <v>1</v>
      </c>
      <c r="N108">
        <v>1</v>
      </c>
      <c r="O108">
        <v>1</v>
      </c>
    </row>
    <row r="109" spans="1:16" x14ac:dyDescent="0.25">
      <c r="A109" t="s">
        <v>94</v>
      </c>
      <c r="B109" t="s">
        <v>143</v>
      </c>
      <c r="C109">
        <v>0</v>
      </c>
      <c r="D109">
        <v>13.76330041885376</v>
      </c>
      <c r="E109">
        <v>1</v>
      </c>
      <c r="F109">
        <v>1</v>
      </c>
      <c r="G109">
        <v>1</v>
      </c>
      <c r="H109">
        <v>1</v>
      </c>
      <c r="I109">
        <v>1</v>
      </c>
      <c r="J109">
        <v>0</v>
      </c>
      <c r="K109">
        <v>1</v>
      </c>
      <c r="L109">
        <v>1</v>
      </c>
      <c r="M109">
        <v>1</v>
      </c>
      <c r="N109">
        <v>1</v>
      </c>
      <c r="O109">
        <v>1</v>
      </c>
      <c r="P109" t="s">
        <v>261</v>
      </c>
    </row>
    <row r="110" spans="1:16" x14ac:dyDescent="0.25">
      <c r="A110" t="s">
        <v>94</v>
      </c>
      <c r="B110" t="s">
        <v>145</v>
      </c>
      <c r="C110">
        <v>0</v>
      </c>
      <c r="D110">
        <v>2.854433536529541</v>
      </c>
      <c r="E110">
        <v>1</v>
      </c>
      <c r="F110">
        <v>1</v>
      </c>
      <c r="G110">
        <v>1</v>
      </c>
      <c r="H110">
        <v>1</v>
      </c>
      <c r="I110">
        <v>1</v>
      </c>
      <c r="J110">
        <v>1</v>
      </c>
      <c r="K110">
        <v>1</v>
      </c>
      <c r="L110">
        <v>1</v>
      </c>
      <c r="M110">
        <v>1</v>
      </c>
      <c r="N110">
        <v>1</v>
      </c>
      <c r="O110">
        <v>1</v>
      </c>
    </row>
    <row r="111" spans="1:16" x14ac:dyDescent="0.25">
      <c r="A111" t="s">
        <v>94</v>
      </c>
      <c r="B111" t="s">
        <v>146</v>
      </c>
      <c r="C111">
        <v>0</v>
      </c>
      <c r="D111">
        <v>7.7522356510162354</v>
      </c>
      <c r="E111">
        <v>1</v>
      </c>
      <c r="F111">
        <v>0</v>
      </c>
      <c r="G111">
        <v>1</v>
      </c>
      <c r="H111" t="s">
        <v>19</v>
      </c>
      <c r="I111">
        <v>1</v>
      </c>
      <c r="J111" t="s">
        <v>19</v>
      </c>
      <c r="K111">
        <v>1</v>
      </c>
      <c r="L111">
        <v>0</v>
      </c>
      <c r="M111">
        <v>1</v>
      </c>
      <c r="N111">
        <v>1</v>
      </c>
      <c r="O111">
        <v>1</v>
      </c>
      <c r="P111" t="s">
        <v>262</v>
      </c>
    </row>
    <row r="112" spans="1:16" x14ac:dyDescent="0.25">
      <c r="A112" t="s">
        <v>94</v>
      </c>
      <c r="B112" t="s">
        <v>148</v>
      </c>
      <c r="C112">
        <v>0</v>
      </c>
      <c r="D112">
        <v>2.9182109832763672</v>
      </c>
      <c r="E112">
        <v>1</v>
      </c>
      <c r="F112">
        <v>1</v>
      </c>
      <c r="G112">
        <v>1</v>
      </c>
      <c r="H112">
        <v>1</v>
      </c>
      <c r="I112">
        <v>1</v>
      </c>
      <c r="J112">
        <v>1</v>
      </c>
      <c r="K112">
        <v>1</v>
      </c>
      <c r="L112">
        <v>1</v>
      </c>
      <c r="M112">
        <v>1</v>
      </c>
      <c r="N112">
        <v>1</v>
      </c>
      <c r="O112">
        <v>1</v>
      </c>
    </row>
    <row r="113" spans="1:16" x14ac:dyDescent="0.25">
      <c r="A113" t="s">
        <v>94</v>
      </c>
      <c r="B113" t="s">
        <v>149</v>
      </c>
      <c r="C113">
        <v>0</v>
      </c>
      <c r="D113">
        <v>4.7222154140472412</v>
      </c>
      <c r="E113">
        <v>0</v>
      </c>
      <c r="F113" t="s">
        <v>19</v>
      </c>
      <c r="G113" t="s">
        <v>19</v>
      </c>
      <c r="H113" t="s">
        <v>19</v>
      </c>
      <c r="I113" t="s">
        <v>19</v>
      </c>
      <c r="J113" t="s">
        <v>19</v>
      </c>
      <c r="K113" t="s">
        <v>19</v>
      </c>
      <c r="L113" t="s">
        <v>19</v>
      </c>
      <c r="M113" t="s">
        <v>19</v>
      </c>
      <c r="N113" t="s">
        <v>19</v>
      </c>
      <c r="O113" t="s">
        <v>19</v>
      </c>
      <c r="P113" t="s">
        <v>263</v>
      </c>
    </row>
    <row r="114" spans="1:16" x14ac:dyDescent="0.25">
      <c r="A114" t="s">
        <v>151</v>
      </c>
      <c r="B114" t="s">
        <v>17</v>
      </c>
      <c r="C114">
        <v>0</v>
      </c>
      <c r="D114">
        <v>2.882668018341064</v>
      </c>
      <c r="E114">
        <v>1</v>
      </c>
      <c r="F114">
        <v>1</v>
      </c>
      <c r="G114">
        <v>1</v>
      </c>
      <c r="H114">
        <v>1</v>
      </c>
      <c r="I114">
        <v>1</v>
      </c>
      <c r="J114">
        <v>1</v>
      </c>
      <c r="K114">
        <v>1</v>
      </c>
      <c r="L114">
        <v>1</v>
      </c>
      <c r="M114">
        <v>1</v>
      </c>
      <c r="N114">
        <v>1</v>
      </c>
      <c r="O114">
        <v>1</v>
      </c>
    </row>
    <row r="115" spans="1:16" x14ac:dyDescent="0.25">
      <c r="A115" t="s">
        <v>151</v>
      </c>
      <c r="B115" t="s">
        <v>18</v>
      </c>
      <c r="C115">
        <v>0</v>
      </c>
      <c r="D115">
        <v>4.3980660438537598</v>
      </c>
      <c r="E115">
        <v>1</v>
      </c>
      <c r="F115">
        <v>1</v>
      </c>
      <c r="G115">
        <v>1</v>
      </c>
      <c r="H115">
        <v>1</v>
      </c>
      <c r="I115">
        <v>0</v>
      </c>
      <c r="J115">
        <v>1</v>
      </c>
      <c r="K115">
        <v>1</v>
      </c>
      <c r="L115">
        <v>1</v>
      </c>
      <c r="M115">
        <v>1</v>
      </c>
      <c r="N115">
        <v>1</v>
      </c>
      <c r="O115">
        <v>1</v>
      </c>
      <c r="P115" t="s">
        <v>264</v>
      </c>
    </row>
    <row r="116" spans="1:16" x14ac:dyDescent="0.25">
      <c r="A116" t="s">
        <v>151</v>
      </c>
      <c r="B116" t="s">
        <v>21</v>
      </c>
      <c r="C116">
        <v>0</v>
      </c>
      <c r="D116">
        <v>10.58784651756287</v>
      </c>
      <c r="E116">
        <v>1</v>
      </c>
      <c r="F116">
        <v>1</v>
      </c>
      <c r="G116">
        <v>1</v>
      </c>
      <c r="H116">
        <v>1</v>
      </c>
      <c r="I116">
        <v>1</v>
      </c>
      <c r="J116">
        <v>1</v>
      </c>
      <c r="K116">
        <v>1</v>
      </c>
      <c r="L116">
        <v>1</v>
      </c>
      <c r="M116">
        <v>1</v>
      </c>
      <c r="N116">
        <v>1</v>
      </c>
      <c r="O116">
        <v>1</v>
      </c>
    </row>
    <row r="117" spans="1:16" x14ac:dyDescent="0.25">
      <c r="A117" t="s">
        <v>151</v>
      </c>
      <c r="B117" t="s">
        <v>23</v>
      </c>
      <c r="C117">
        <v>0</v>
      </c>
      <c r="D117">
        <v>3.017274141311646</v>
      </c>
      <c r="E117">
        <v>1</v>
      </c>
      <c r="F117">
        <v>1</v>
      </c>
      <c r="G117">
        <v>1</v>
      </c>
      <c r="H117">
        <v>1</v>
      </c>
      <c r="I117">
        <v>1</v>
      </c>
      <c r="J117">
        <v>1</v>
      </c>
      <c r="K117">
        <v>1</v>
      </c>
      <c r="L117">
        <v>1</v>
      </c>
      <c r="M117">
        <v>1</v>
      </c>
      <c r="N117">
        <v>1</v>
      </c>
      <c r="O117">
        <v>1</v>
      </c>
    </row>
    <row r="118" spans="1:16" x14ac:dyDescent="0.25">
      <c r="A118" t="s">
        <v>151</v>
      </c>
      <c r="B118" t="s">
        <v>24</v>
      </c>
      <c r="C118">
        <v>0</v>
      </c>
      <c r="D118">
        <v>4.2652592658996582</v>
      </c>
      <c r="E118">
        <v>1</v>
      </c>
      <c r="F118">
        <v>1</v>
      </c>
      <c r="G118">
        <v>1</v>
      </c>
      <c r="H118">
        <v>1</v>
      </c>
      <c r="I118">
        <v>0</v>
      </c>
      <c r="J118">
        <v>1</v>
      </c>
      <c r="K118">
        <v>1</v>
      </c>
      <c r="L118">
        <v>1</v>
      </c>
      <c r="M118">
        <v>1</v>
      </c>
      <c r="N118">
        <v>1</v>
      </c>
      <c r="O118">
        <v>1</v>
      </c>
      <c r="P118" t="s">
        <v>265</v>
      </c>
    </row>
    <row r="119" spans="1:16" x14ac:dyDescent="0.25">
      <c r="A119" t="s">
        <v>151</v>
      </c>
      <c r="B119" t="s">
        <v>25</v>
      </c>
      <c r="C119">
        <v>0</v>
      </c>
      <c r="D119">
        <v>10.168510437011721</v>
      </c>
      <c r="E119">
        <v>1</v>
      </c>
      <c r="F119">
        <v>1</v>
      </c>
      <c r="G119">
        <v>1</v>
      </c>
      <c r="H119">
        <v>1</v>
      </c>
      <c r="I119">
        <v>1</v>
      </c>
      <c r="J119">
        <v>1</v>
      </c>
      <c r="K119">
        <v>1</v>
      </c>
      <c r="L119">
        <v>1</v>
      </c>
      <c r="M119">
        <v>1</v>
      </c>
      <c r="N119">
        <v>1</v>
      </c>
      <c r="O119">
        <v>1</v>
      </c>
    </row>
    <row r="120" spans="1:16" x14ac:dyDescent="0.25">
      <c r="A120" t="s">
        <v>151</v>
      </c>
      <c r="B120" t="s">
        <v>27</v>
      </c>
      <c r="C120">
        <v>0</v>
      </c>
      <c r="D120">
        <v>8.5189814567565918</v>
      </c>
      <c r="E120">
        <v>1</v>
      </c>
      <c r="F120">
        <v>1</v>
      </c>
      <c r="G120">
        <v>1</v>
      </c>
      <c r="H120">
        <v>1</v>
      </c>
      <c r="I120">
        <v>1</v>
      </c>
      <c r="J120">
        <v>1</v>
      </c>
      <c r="K120">
        <v>1</v>
      </c>
      <c r="L120">
        <v>1</v>
      </c>
      <c r="M120">
        <v>0</v>
      </c>
      <c r="N120">
        <v>1</v>
      </c>
      <c r="O120">
        <v>1</v>
      </c>
      <c r="P120" t="s">
        <v>266</v>
      </c>
    </row>
    <row r="121" spans="1:16" x14ac:dyDescent="0.25">
      <c r="A121" t="s">
        <v>151</v>
      </c>
      <c r="B121" t="s">
        <v>28</v>
      </c>
      <c r="C121">
        <v>0</v>
      </c>
      <c r="D121">
        <v>2.9739177227020259</v>
      </c>
      <c r="E121">
        <v>1</v>
      </c>
      <c r="F121">
        <v>1</v>
      </c>
      <c r="G121">
        <v>1</v>
      </c>
      <c r="H121">
        <v>1</v>
      </c>
      <c r="I121">
        <v>1</v>
      </c>
      <c r="J121">
        <v>1</v>
      </c>
      <c r="K121">
        <v>1</v>
      </c>
      <c r="L121">
        <v>1</v>
      </c>
      <c r="M121">
        <v>1</v>
      </c>
      <c r="N121">
        <v>1</v>
      </c>
      <c r="O121">
        <v>1</v>
      </c>
    </row>
    <row r="122" spans="1:16" x14ac:dyDescent="0.25">
      <c r="A122" t="s">
        <v>151</v>
      </c>
      <c r="B122" t="s">
        <v>29</v>
      </c>
      <c r="C122">
        <v>0</v>
      </c>
      <c r="D122">
        <v>9.5582597255706787</v>
      </c>
      <c r="E122">
        <v>1</v>
      </c>
      <c r="F122">
        <v>1</v>
      </c>
      <c r="G122">
        <v>1</v>
      </c>
      <c r="H122">
        <v>1</v>
      </c>
      <c r="I122">
        <v>1</v>
      </c>
      <c r="J122">
        <v>1</v>
      </c>
      <c r="K122">
        <v>0</v>
      </c>
      <c r="L122">
        <v>0</v>
      </c>
      <c r="M122">
        <v>1</v>
      </c>
      <c r="N122">
        <v>1</v>
      </c>
      <c r="O122">
        <v>1</v>
      </c>
      <c r="P122" t="s">
        <v>267</v>
      </c>
    </row>
    <row r="123" spans="1:16" x14ac:dyDescent="0.25">
      <c r="A123" t="s">
        <v>151</v>
      </c>
      <c r="B123" t="s">
        <v>30</v>
      </c>
      <c r="C123">
        <v>0</v>
      </c>
      <c r="D123">
        <v>10.881973743438721</v>
      </c>
      <c r="E123">
        <v>1</v>
      </c>
      <c r="F123">
        <v>1</v>
      </c>
      <c r="G123">
        <v>1</v>
      </c>
      <c r="H123">
        <v>1</v>
      </c>
      <c r="I123">
        <v>1</v>
      </c>
      <c r="J123">
        <v>1</v>
      </c>
      <c r="K123">
        <v>1</v>
      </c>
      <c r="L123">
        <v>1</v>
      </c>
      <c r="M123">
        <v>1</v>
      </c>
      <c r="N123">
        <v>1</v>
      </c>
      <c r="O123">
        <v>1</v>
      </c>
    </row>
    <row r="124" spans="1:16" x14ac:dyDescent="0.25">
      <c r="A124" t="s">
        <v>151</v>
      </c>
      <c r="B124" t="s">
        <v>31</v>
      </c>
      <c r="C124">
        <v>0</v>
      </c>
      <c r="D124">
        <v>10.01718139648438</v>
      </c>
      <c r="E124">
        <v>1</v>
      </c>
      <c r="F124">
        <v>1</v>
      </c>
      <c r="G124">
        <v>1</v>
      </c>
      <c r="H124">
        <v>1</v>
      </c>
      <c r="I124">
        <v>1</v>
      </c>
      <c r="J124">
        <v>1</v>
      </c>
      <c r="K124">
        <v>1</v>
      </c>
      <c r="L124">
        <v>1</v>
      </c>
      <c r="M124">
        <v>1</v>
      </c>
      <c r="N124">
        <v>1</v>
      </c>
      <c r="O124">
        <v>1</v>
      </c>
    </row>
    <row r="125" spans="1:16" x14ac:dyDescent="0.25">
      <c r="A125" t="s">
        <v>151</v>
      </c>
      <c r="B125" t="s">
        <v>32</v>
      </c>
      <c r="C125">
        <v>0</v>
      </c>
      <c r="D125">
        <v>10.74217748641968</v>
      </c>
      <c r="E125">
        <v>1</v>
      </c>
      <c r="F125">
        <v>1</v>
      </c>
      <c r="G125">
        <v>1</v>
      </c>
      <c r="H125">
        <v>1</v>
      </c>
      <c r="I125">
        <v>1</v>
      </c>
      <c r="J125">
        <v>1</v>
      </c>
      <c r="K125">
        <v>1</v>
      </c>
      <c r="L125">
        <v>1</v>
      </c>
      <c r="M125">
        <v>1</v>
      </c>
      <c r="N125">
        <v>1</v>
      </c>
      <c r="O125">
        <v>1</v>
      </c>
    </row>
    <row r="126" spans="1:16" x14ac:dyDescent="0.25">
      <c r="A126" t="s">
        <v>151</v>
      </c>
      <c r="B126" t="s">
        <v>33</v>
      </c>
      <c r="C126">
        <v>0</v>
      </c>
      <c r="D126">
        <v>8.523730993270874</v>
      </c>
      <c r="E126">
        <v>1</v>
      </c>
      <c r="F126">
        <v>1</v>
      </c>
      <c r="G126">
        <v>1</v>
      </c>
      <c r="H126">
        <v>1</v>
      </c>
      <c r="I126">
        <v>1</v>
      </c>
      <c r="J126">
        <v>1</v>
      </c>
      <c r="K126">
        <v>1</v>
      </c>
      <c r="L126">
        <v>1</v>
      </c>
      <c r="M126">
        <v>1</v>
      </c>
      <c r="N126">
        <v>1</v>
      </c>
      <c r="O126">
        <v>1</v>
      </c>
    </row>
    <row r="127" spans="1:16" x14ac:dyDescent="0.25">
      <c r="A127" t="s">
        <v>151</v>
      </c>
      <c r="B127" t="s">
        <v>35</v>
      </c>
      <c r="C127">
        <v>0</v>
      </c>
      <c r="D127">
        <v>9.4253506660461426</v>
      </c>
      <c r="E127">
        <v>1</v>
      </c>
      <c r="F127">
        <v>1</v>
      </c>
      <c r="G127">
        <v>1</v>
      </c>
      <c r="H127">
        <v>1</v>
      </c>
      <c r="I127">
        <v>1</v>
      </c>
      <c r="J127">
        <v>1</v>
      </c>
      <c r="K127">
        <v>1</v>
      </c>
      <c r="L127">
        <v>1</v>
      </c>
      <c r="M127">
        <v>1</v>
      </c>
      <c r="N127">
        <v>1</v>
      </c>
      <c r="O127">
        <v>1</v>
      </c>
    </row>
    <row r="128" spans="1:16" x14ac:dyDescent="0.25">
      <c r="A128" t="s">
        <v>151</v>
      </c>
      <c r="B128" t="s">
        <v>36</v>
      </c>
      <c r="C128">
        <v>0</v>
      </c>
      <c r="D128">
        <v>2.8695220947265621</v>
      </c>
      <c r="E128">
        <v>1</v>
      </c>
      <c r="F128">
        <v>1</v>
      </c>
      <c r="G128">
        <v>1</v>
      </c>
      <c r="H128">
        <v>1</v>
      </c>
      <c r="I128">
        <v>1</v>
      </c>
      <c r="J128">
        <v>1</v>
      </c>
      <c r="K128">
        <v>1</v>
      </c>
      <c r="L128">
        <v>1</v>
      </c>
      <c r="M128">
        <v>1</v>
      </c>
      <c r="N128">
        <v>1</v>
      </c>
      <c r="O128">
        <v>1</v>
      </c>
    </row>
    <row r="129" spans="1:16" x14ac:dyDescent="0.25">
      <c r="A129" t="s">
        <v>151</v>
      </c>
      <c r="B129" t="s">
        <v>37</v>
      </c>
      <c r="C129">
        <v>0</v>
      </c>
      <c r="D129">
        <v>2.6745684146881099</v>
      </c>
      <c r="E129">
        <v>1</v>
      </c>
      <c r="F129">
        <v>1</v>
      </c>
      <c r="G129">
        <v>1</v>
      </c>
      <c r="H129">
        <v>1</v>
      </c>
      <c r="I129">
        <v>1</v>
      </c>
      <c r="J129">
        <v>1</v>
      </c>
      <c r="K129">
        <v>1</v>
      </c>
      <c r="L129">
        <v>1</v>
      </c>
      <c r="M129">
        <v>1</v>
      </c>
      <c r="N129">
        <v>1</v>
      </c>
      <c r="O129">
        <v>1</v>
      </c>
    </row>
    <row r="130" spans="1:16" x14ac:dyDescent="0.25">
      <c r="A130" t="s">
        <v>151</v>
      </c>
      <c r="B130" t="s">
        <v>39</v>
      </c>
      <c r="C130">
        <v>0</v>
      </c>
      <c r="D130">
        <v>10.6663064956665</v>
      </c>
      <c r="E130">
        <v>1</v>
      </c>
      <c r="F130">
        <v>1</v>
      </c>
      <c r="G130">
        <v>1</v>
      </c>
      <c r="H130">
        <v>1</v>
      </c>
      <c r="I130">
        <v>0</v>
      </c>
      <c r="J130">
        <v>1</v>
      </c>
      <c r="K130">
        <v>1</v>
      </c>
      <c r="L130">
        <v>1</v>
      </c>
      <c r="M130">
        <v>1</v>
      </c>
      <c r="N130">
        <v>1</v>
      </c>
      <c r="O130">
        <v>1</v>
      </c>
      <c r="P130" t="s">
        <v>268</v>
      </c>
    </row>
    <row r="131" spans="1:16" x14ac:dyDescent="0.25">
      <c r="A131" t="s">
        <v>151</v>
      </c>
      <c r="B131" t="s">
        <v>40</v>
      </c>
      <c r="C131">
        <v>0</v>
      </c>
      <c r="D131">
        <v>6.8753774166107178</v>
      </c>
      <c r="E131">
        <v>1</v>
      </c>
      <c r="F131">
        <v>1</v>
      </c>
      <c r="G131">
        <v>1</v>
      </c>
      <c r="H131">
        <v>1</v>
      </c>
      <c r="I131">
        <v>1</v>
      </c>
      <c r="J131">
        <v>1</v>
      </c>
      <c r="K131">
        <v>0</v>
      </c>
      <c r="L131">
        <v>1</v>
      </c>
      <c r="M131">
        <v>1</v>
      </c>
      <c r="N131">
        <v>1</v>
      </c>
      <c r="O131">
        <v>1</v>
      </c>
      <c r="P131" t="s">
        <v>269</v>
      </c>
    </row>
    <row r="132" spans="1:16" x14ac:dyDescent="0.25">
      <c r="A132" t="s">
        <v>151</v>
      </c>
      <c r="B132" t="s">
        <v>41</v>
      </c>
      <c r="C132">
        <v>0</v>
      </c>
      <c r="D132">
        <v>2.9007103443145752</v>
      </c>
      <c r="E132">
        <v>1</v>
      </c>
      <c r="F132">
        <v>1</v>
      </c>
      <c r="G132">
        <v>1</v>
      </c>
      <c r="H132">
        <v>1</v>
      </c>
      <c r="I132">
        <v>1</v>
      </c>
      <c r="J132">
        <v>1</v>
      </c>
      <c r="K132">
        <v>1</v>
      </c>
      <c r="L132">
        <v>1</v>
      </c>
      <c r="M132">
        <v>1</v>
      </c>
      <c r="N132">
        <v>1</v>
      </c>
      <c r="O132">
        <v>1</v>
      </c>
    </row>
    <row r="133" spans="1:16" x14ac:dyDescent="0.25">
      <c r="A133" t="s">
        <v>151</v>
      </c>
      <c r="B133" t="s">
        <v>42</v>
      </c>
      <c r="C133">
        <v>0</v>
      </c>
      <c r="D133">
        <v>6.6647477149963379</v>
      </c>
      <c r="E133">
        <v>1</v>
      </c>
      <c r="F133">
        <v>1</v>
      </c>
      <c r="G133">
        <v>1</v>
      </c>
      <c r="H133">
        <v>1</v>
      </c>
      <c r="I133">
        <v>1</v>
      </c>
      <c r="J133">
        <v>1</v>
      </c>
      <c r="K133">
        <v>0</v>
      </c>
      <c r="L133">
        <v>1</v>
      </c>
      <c r="M133">
        <v>0</v>
      </c>
      <c r="N133">
        <v>1</v>
      </c>
      <c r="O133">
        <v>1</v>
      </c>
      <c r="P133" t="s">
        <v>270</v>
      </c>
    </row>
    <row r="134" spans="1:16" x14ac:dyDescent="0.25">
      <c r="A134" t="s">
        <v>151</v>
      </c>
      <c r="B134" t="s">
        <v>44</v>
      </c>
      <c r="C134">
        <v>0</v>
      </c>
      <c r="D134">
        <v>3.0436677932739258</v>
      </c>
      <c r="E134">
        <v>1</v>
      </c>
      <c r="F134">
        <v>1</v>
      </c>
      <c r="G134">
        <v>1</v>
      </c>
      <c r="H134">
        <v>1</v>
      </c>
      <c r="I134">
        <v>1</v>
      </c>
      <c r="J134">
        <v>1</v>
      </c>
      <c r="K134">
        <v>1</v>
      </c>
      <c r="L134">
        <v>1</v>
      </c>
      <c r="M134">
        <v>1</v>
      </c>
      <c r="N134">
        <v>1</v>
      </c>
      <c r="O134">
        <v>1</v>
      </c>
    </row>
    <row r="135" spans="1:16" x14ac:dyDescent="0.25">
      <c r="A135" t="s">
        <v>151</v>
      </c>
      <c r="B135" t="s">
        <v>46</v>
      </c>
      <c r="C135">
        <v>0</v>
      </c>
      <c r="D135">
        <v>11.64896082878113</v>
      </c>
      <c r="E135">
        <v>1</v>
      </c>
      <c r="F135">
        <v>0</v>
      </c>
      <c r="G135">
        <v>1</v>
      </c>
      <c r="H135" t="s">
        <v>19</v>
      </c>
      <c r="I135">
        <v>1</v>
      </c>
      <c r="J135" t="s">
        <v>19</v>
      </c>
      <c r="K135">
        <v>1</v>
      </c>
      <c r="L135">
        <v>1</v>
      </c>
      <c r="M135">
        <v>1</v>
      </c>
      <c r="N135">
        <v>1</v>
      </c>
      <c r="O135">
        <v>1</v>
      </c>
      <c r="P135" t="s">
        <v>271</v>
      </c>
    </row>
    <row r="136" spans="1:16" x14ac:dyDescent="0.25">
      <c r="A136" t="s">
        <v>151</v>
      </c>
      <c r="B136" t="s">
        <v>48</v>
      </c>
      <c r="C136">
        <v>0</v>
      </c>
      <c r="D136">
        <v>2.842086553573608</v>
      </c>
      <c r="E136">
        <v>1</v>
      </c>
      <c r="F136">
        <v>1</v>
      </c>
      <c r="G136">
        <v>1</v>
      </c>
      <c r="H136">
        <v>1</v>
      </c>
      <c r="I136">
        <v>1</v>
      </c>
      <c r="J136">
        <v>1</v>
      </c>
      <c r="K136">
        <v>1</v>
      </c>
      <c r="L136">
        <v>1</v>
      </c>
      <c r="M136">
        <v>1</v>
      </c>
      <c r="N136">
        <v>1</v>
      </c>
      <c r="O136">
        <v>1</v>
      </c>
    </row>
    <row r="137" spans="1:16" x14ac:dyDescent="0.25">
      <c r="A137" t="s">
        <v>151</v>
      </c>
      <c r="B137" t="s">
        <v>49</v>
      </c>
      <c r="C137">
        <v>0</v>
      </c>
      <c r="D137">
        <v>5.6475174427032471</v>
      </c>
      <c r="E137">
        <v>1</v>
      </c>
      <c r="F137">
        <v>0</v>
      </c>
      <c r="G137">
        <v>1</v>
      </c>
      <c r="H137" t="s">
        <v>19</v>
      </c>
      <c r="I137">
        <v>1</v>
      </c>
      <c r="J137" t="s">
        <v>19</v>
      </c>
      <c r="K137">
        <v>1</v>
      </c>
      <c r="L137">
        <v>1</v>
      </c>
      <c r="M137">
        <v>1</v>
      </c>
      <c r="N137">
        <v>1</v>
      </c>
      <c r="O137">
        <v>1</v>
      </c>
      <c r="P137" t="s">
        <v>272</v>
      </c>
    </row>
    <row r="138" spans="1:16" x14ac:dyDescent="0.25">
      <c r="A138" t="s">
        <v>151</v>
      </c>
      <c r="B138" t="s">
        <v>51</v>
      </c>
      <c r="C138">
        <v>0</v>
      </c>
      <c r="D138">
        <v>7.4044826030731201</v>
      </c>
      <c r="E138">
        <v>0</v>
      </c>
      <c r="F138" t="s">
        <v>19</v>
      </c>
      <c r="G138" t="s">
        <v>19</v>
      </c>
      <c r="H138" t="s">
        <v>19</v>
      </c>
      <c r="I138" t="s">
        <v>19</v>
      </c>
      <c r="J138" t="s">
        <v>19</v>
      </c>
      <c r="K138" t="s">
        <v>19</v>
      </c>
      <c r="L138" t="s">
        <v>19</v>
      </c>
      <c r="M138" t="s">
        <v>19</v>
      </c>
      <c r="N138" t="s">
        <v>19</v>
      </c>
      <c r="O138" t="s">
        <v>19</v>
      </c>
      <c r="P138" t="s">
        <v>273</v>
      </c>
    </row>
    <row r="139" spans="1:16" x14ac:dyDescent="0.25">
      <c r="A139" t="s">
        <v>151</v>
      </c>
      <c r="B139" t="s">
        <v>52</v>
      </c>
      <c r="C139">
        <v>0</v>
      </c>
      <c r="D139">
        <v>4.3191895484924316</v>
      </c>
      <c r="E139">
        <v>1</v>
      </c>
      <c r="F139">
        <v>0</v>
      </c>
      <c r="G139">
        <v>1</v>
      </c>
      <c r="H139" t="s">
        <v>19</v>
      </c>
      <c r="I139">
        <v>1</v>
      </c>
      <c r="J139" t="s">
        <v>19</v>
      </c>
      <c r="K139">
        <v>1</v>
      </c>
      <c r="L139">
        <v>1</v>
      </c>
      <c r="M139">
        <v>1</v>
      </c>
      <c r="N139">
        <v>1</v>
      </c>
      <c r="O139">
        <v>1</v>
      </c>
      <c r="P139" t="s">
        <v>274</v>
      </c>
    </row>
    <row r="140" spans="1:16" x14ac:dyDescent="0.25">
      <c r="A140" t="s">
        <v>151</v>
      </c>
      <c r="B140" t="s">
        <v>54</v>
      </c>
      <c r="C140">
        <v>0</v>
      </c>
      <c r="D140">
        <v>11.280518293380741</v>
      </c>
      <c r="E140">
        <v>1</v>
      </c>
      <c r="F140">
        <v>1</v>
      </c>
      <c r="G140">
        <v>0</v>
      </c>
      <c r="H140" t="s">
        <v>19</v>
      </c>
      <c r="I140">
        <v>1</v>
      </c>
      <c r="J140">
        <v>1</v>
      </c>
      <c r="K140">
        <v>1</v>
      </c>
      <c r="L140">
        <v>1</v>
      </c>
      <c r="M140">
        <v>1</v>
      </c>
      <c r="N140">
        <v>1</v>
      </c>
      <c r="O140">
        <v>1</v>
      </c>
      <c r="P140" t="s">
        <v>275</v>
      </c>
    </row>
    <row r="141" spans="1:16" x14ac:dyDescent="0.25">
      <c r="A141" t="s">
        <v>151</v>
      </c>
      <c r="B141" t="s">
        <v>56</v>
      </c>
      <c r="C141">
        <v>0</v>
      </c>
      <c r="D141">
        <v>10.16211938858032</v>
      </c>
      <c r="E141">
        <v>1</v>
      </c>
      <c r="F141">
        <v>1</v>
      </c>
      <c r="G141">
        <v>1</v>
      </c>
      <c r="H141">
        <v>1</v>
      </c>
      <c r="I141">
        <v>1</v>
      </c>
      <c r="J141">
        <v>1</v>
      </c>
      <c r="K141">
        <v>1</v>
      </c>
      <c r="L141">
        <v>1</v>
      </c>
      <c r="M141">
        <v>1</v>
      </c>
      <c r="N141">
        <v>1</v>
      </c>
      <c r="O141">
        <v>1</v>
      </c>
    </row>
    <row r="142" spans="1:16" x14ac:dyDescent="0.25">
      <c r="A142" t="s">
        <v>151</v>
      </c>
      <c r="B142" t="s">
        <v>58</v>
      </c>
      <c r="C142">
        <v>0</v>
      </c>
      <c r="D142">
        <v>3.0826258659362789</v>
      </c>
      <c r="E142">
        <v>1</v>
      </c>
      <c r="F142">
        <v>1</v>
      </c>
      <c r="G142">
        <v>1</v>
      </c>
      <c r="H142">
        <v>1</v>
      </c>
      <c r="I142">
        <v>1</v>
      </c>
      <c r="J142">
        <v>1</v>
      </c>
      <c r="K142">
        <v>1</v>
      </c>
      <c r="L142">
        <v>1</v>
      </c>
      <c r="M142">
        <v>1</v>
      </c>
      <c r="N142">
        <v>1</v>
      </c>
      <c r="O142">
        <v>1</v>
      </c>
    </row>
    <row r="143" spans="1:16" x14ac:dyDescent="0.25">
      <c r="A143" t="s">
        <v>151</v>
      </c>
      <c r="B143" t="s">
        <v>60</v>
      </c>
      <c r="C143">
        <v>0</v>
      </c>
      <c r="D143">
        <v>2.9701685905456539</v>
      </c>
      <c r="E143">
        <v>1</v>
      </c>
      <c r="F143">
        <v>1</v>
      </c>
      <c r="G143">
        <v>1</v>
      </c>
      <c r="H143">
        <v>1</v>
      </c>
      <c r="I143">
        <v>1</v>
      </c>
      <c r="J143">
        <v>1</v>
      </c>
      <c r="K143">
        <v>1</v>
      </c>
      <c r="L143">
        <v>1</v>
      </c>
      <c r="M143">
        <v>1</v>
      </c>
      <c r="N143">
        <v>1</v>
      </c>
      <c r="O143">
        <v>1</v>
      </c>
    </row>
    <row r="144" spans="1:16" x14ac:dyDescent="0.25">
      <c r="A144" t="s">
        <v>151</v>
      </c>
      <c r="B144" t="s">
        <v>62</v>
      </c>
      <c r="C144">
        <v>0</v>
      </c>
      <c r="D144">
        <v>12.286174058914179</v>
      </c>
      <c r="E144">
        <v>1</v>
      </c>
      <c r="F144">
        <v>0</v>
      </c>
      <c r="G144">
        <v>1</v>
      </c>
      <c r="H144" t="s">
        <v>19</v>
      </c>
      <c r="I144">
        <v>1</v>
      </c>
      <c r="J144" t="s">
        <v>19</v>
      </c>
      <c r="K144">
        <v>1</v>
      </c>
      <c r="L144">
        <v>1</v>
      </c>
      <c r="M144">
        <v>1</v>
      </c>
      <c r="N144">
        <v>1</v>
      </c>
      <c r="O144">
        <v>1</v>
      </c>
      <c r="P144" t="s">
        <v>276</v>
      </c>
    </row>
    <row r="145" spans="1:16" x14ac:dyDescent="0.25">
      <c r="A145" t="s">
        <v>151</v>
      </c>
      <c r="B145" t="s">
        <v>64</v>
      </c>
      <c r="C145">
        <v>0</v>
      </c>
      <c r="D145">
        <v>2.9360191822052002</v>
      </c>
      <c r="E145">
        <v>1</v>
      </c>
      <c r="F145">
        <v>1</v>
      </c>
      <c r="G145">
        <v>1</v>
      </c>
      <c r="H145">
        <v>1</v>
      </c>
      <c r="I145">
        <v>1</v>
      </c>
      <c r="J145">
        <v>1</v>
      </c>
      <c r="K145">
        <v>1</v>
      </c>
      <c r="L145">
        <v>1</v>
      </c>
      <c r="M145">
        <v>1</v>
      </c>
      <c r="N145">
        <v>1</v>
      </c>
      <c r="O145">
        <v>1</v>
      </c>
    </row>
    <row r="146" spans="1:16" x14ac:dyDescent="0.25">
      <c r="A146" t="s">
        <v>151</v>
      </c>
      <c r="B146" t="s">
        <v>65</v>
      </c>
      <c r="C146">
        <v>0</v>
      </c>
      <c r="D146">
        <v>7.7997932434082031</v>
      </c>
      <c r="E146">
        <v>1</v>
      </c>
      <c r="F146">
        <v>0</v>
      </c>
      <c r="G146">
        <v>1</v>
      </c>
      <c r="H146" t="s">
        <v>19</v>
      </c>
      <c r="I146">
        <v>1</v>
      </c>
      <c r="J146" t="s">
        <v>19</v>
      </c>
      <c r="K146">
        <v>1</v>
      </c>
      <c r="L146">
        <v>1</v>
      </c>
      <c r="M146">
        <v>1</v>
      </c>
      <c r="N146">
        <v>1</v>
      </c>
      <c r="O146">
        <v>1</v>
      </c>
      <c r="P146" t="s">
        <v>277</v>
      </c>
    </row>
    <row r="147" spans="1:16" x14ac:dyDescent="0.25">
      <c r="A147" t="s">
        <v>151</v>
      </c>
      <c r="B147" t="s">
        <v>67</v>
      </c>
      <c r="C147">
        <v>0</v>
      </c>
      <c r="D147">
        <v>4.0958635807037354</v>
      </c>
      <c r="E147">
        <v>1</v>
      </c>
      <c r="F147">
        <v>1</v>
      </c>
      <c r="G147">
        <v>1</v>
      </c>
      <c r="H147">
        <v>1</v>
      </c>
      <c r="I147">
        <v>0</v>
      </c>
      <c r="J147">
        <v>1</v>
      </c>
      <c r="K147">
        <v>1</v>
      </c>
      <c r="L147">
        <v>1</v>
      </c>
      <c r="M147">
        <v>1</v>
      </c>
      <c r="N147">
        <v>1</v>
      </c>
      <c r="O147">
        <v>1</v>
      </c>
      <c r="P147" t="s">
        <v>278</v>
      </c>
    </row>
    <row r="148" spans="1:16" x14ac:dyDescent="0.25">
      <c r="A148" t="s">
        <v>151</v>
      </c>
      <c r="B148" t="s">
        <v>69</v>
      </c>
      <c r="C148">
        <v>0</v>
      </c>
      <c r="D148">
        <v>8.5563540458679199</v>
      </c>
      <c r="E148">
        <v>1</v>
      </c>
      <c r="F148">
        <v>0</v>
      </c>
      <c r="G148">
        <v>1</v>
      </c>
      <c r="H148" t="s">
        <v>19</v>
      </c>
      <c r="I148">
        <v>1</v>
      </c>
      <c r="J148" t="s">
        <v>19</v>
      </c>
      <c r="K148">
        <v>1</v>
      </c>
      <c r="L148">
        <v>1</v>
      </c>
      <c r="M148">
        <v>1</v>
      </c>
      <c r="N148">
        <v>1</v>
      </c>
      <c r="O148">
        <v>1</v>
      </c>
      <c r="P148" t="s">
        <v>279</v>
      </c>
    </row>
    <row r="149" spans="1:16" x14ac:dyDescent="0.25">
      <c r="A149" t="s">
        <v>151</v>
      </c>
      <c r="B149" t="s">
        <v>70</v>
      </c>
      <c r="C149">
        <v>0</v>
      </c>
      <c r="D149">
        <v>11.053156137466431</v>
      </c>
      <c r="E149">
        <v>1</v>
      </c>
      <c r="F149">
        <v>1</v>
      </c>
      <c r="G149">
        <v>1</v>
      </c>
      <c r="H149">
        <v>1</v>
      </c>
      <c r="I149">
        <v>1</v>
      </c>
      <c r="J149">
        <v>1</v>
      </c>
      <c r="K149">
        <v>1</v>
      </c>
      <c r="L149">
        <v>1</v>
      </c>
      <c r="M149">
        <v>1</v>
      </c>
      <c r="N149">
        <v>1</v>
      </c>
      <c r="O149">
        <v>1</v>
      </c>
    </row>
    <row r="150" spans="1:16" x14ac:dyDescent="0.25">
      <c r="A150" t="s">
        <v>151</v>
      </c>
      <c r="B150" t="s">
        <v>71</v>
      </c>
      <c r="C150">
        <v>0</v>
      </c>
      <c r="D150">
        <v>3.086355447769165</v>
      </c>
      <c r="E150">
        <v>1</v>
      </c>
      <c r="F150">
        <v>1</v>
      </c>
      <c r="G150">
        <v>1</v>
      </c>
      <c r="H150">
        <v>1</v>
      </c>
      <c r="I150">
        <v>1</v>
      </c>
      <c r="J150">
        <v>1</v>
      </c>
      <c r="K150">
        <v>1</v>
      </c>
      <c r="L150">
        <v>1</v>
      </c>
      <c r="M150">
        <v>1</v>
      </c>
      <c r="N150">
        <v>1</v>
      </c>
      <c r="O150">
        <v>1</v>
      </c>
    </row>
    <row r="151" spans="1:16" x14ac:dyDescent="0.25">
      <c r="A151" t="s">
        <v>151</v>
      </c>
      <c r="B151" t="s">
        <v>72</v>
      </c>
      <c r="C151">
        <v>0</v>
      </c>
      <c r="D151">
        <v>6.1794307231903076</v>
      </c>
      <c r="E151">
        <v>1</v>
      </c>
      <c r="F151">
        <v>1</v>
      </c>
      <c r="G151">
        <v>0</v>
      </c>
      <c r="H151" t="s">
        <v>19</v>
      </c>
      <c r="I151">
        <v>1</v>
      </c>
      <c r="J151">
        <v>1</v>
      </c>
      <c r="K151">
        <v>1</v>
      </c>
      <c r="L151">
        <v>1</v>
      </c>
      <c r="M151">
        <v>1</v>
      </c>
      <c r="N151">
        <v>1</v>
      </c>
      <c r="O151">
        <v>1</v>
      </c>
      <c r="P151" t="s">
        <v>280</v>
      </c>
    </row>
    <row r="152" spans="1:16" x14ac:dyDescent="0.25">
      <c r="A152" t="s">
        <v>151</v>
      </c>
      <c r="B152" t="s">
        <v>74</v>
      </c>
      <c r="C152">
        <v>0</v>
      </c>
      <c r="D152">
        <v>2.8516170978546138</v>
      </c>
      <c r="E152">
        <v>1</v>
      </c>
      <c r="F152">
        <v>1</v>
      </c>
      <c r="G152">
        <v>1</v>
      </c>
      <c r="H152">
        <v>1</v>
      </c>
      <c r="I152">
        <v>1</v>
      </c>
      <c r="J152">
        <v>1</v>
      </c>
      <c r="K152">
        <v>1</v>
      </c>
      <c r="L152">
        <v>1</v>
      </c>
      <c r="M152">
        <v>1</v>
      </c>
      <c r="N152">
        <v>1</v>
      </c>
      <c r="O152">
        <v>1</v>
      </c>
    </row>
    <row r="153" spans="1:16" x14ac:dyDescent="0.25">
      <c r="A153" t="s">
        <v>151</v>
      </c>
      <c r="B153" t="s">
        <v>76</v>
      </c>
      <c r="C153">
        <v>0</v>
      </c>
      <c r="D153">
        <v>3.076281070709229</v>
      </c>
      <c r="E153">
        <v>1</v>
      </c>
      <c r="F153">
        <v>1</v>
      </c>
      <c r="G153">
        <v>1</v>
      </c>
      <c r="H153">
        <v>1</v>
      </c>
      <c r="I153">
        <v>1</v>
      </c>
      <c r="J153">
        <v>1</v>
      </c>
      <c r="K153">
        <v>1</v>
      </c>
      <c r="L153">
        <v>1</v>
      </c>
      <c r="M153">
        <v>1</v>
      </c>
      <c r="N153">
        <v>1</v>
      </c>
      <c r="O153">
        <v>1</v>
      </c>
    </row>
    <row r="154" spans="1:16" x14ac:dyDescent="0.25">
      <c r="A154" t="s">
        <v>151</v>
      </c>
      <c r="B154" t="s">
        <v>78</v>
      </c>
      <c r="C154">
        <v>0</v>
      </c>
      <c r="D154">
        <v>2.9721240997314449</v>
      </c>
      <c r="E154">
        <v>1</v>
      </c>
      <c r="F154">
        <v>1</v>
      </c>
      <c r="G154">
        <v>1</v>
      </c>
      <c r="H154">
        <v>1</v>
      </c>
      <c r="I154">
        <v>1</v>
      </c>
      <c r="J154">
        <v>1</v>
      </c>
      <c r="K154">
        <v>1</v>
      </c>
      <c r="L154">
        <v>1</v>
      </c>
      <c r="M154">
        <v>1</v>
      </c>
      <c r="N154">
        <v>1</v>
      </c>
      <c r="O154">
        <v>1</v>
      </c>
    </row>
    <row r="155" spans="1:16" x14ac:dyDescent="0.25">
      <c r="A155" t="s">
        <v>151</v>
      </c>
      <c r="B155" t="s">
        <v>80</v>
      </c>
      <c r="C155">
        <v>0</v>
      </c>
      <c r="D155">
        <v>10.66485381126404</v>
      </c>
      <c r="E155">
        <v>0</v>
      </c>
      <c r="F155" t="s">
        <v>19</v>
      </c>
      <c r="G155" t="s">
        <v>19</v>
      </c>
      <c r="H155" t="s">
        <v>19</v>
      </c>
      <c r="I155" t="s">
        <v>19</v>
      </c>
      <c r="J155" t="s">
        <v>19</v>
      </c>
      <c r="K155" t="s">
        <v>19</v>
      </c>
      <c r="L155" t="s">
        <v>19</v>
      </c>
      <c r="M155" t="s">
        <v>19</v>
      </c>
      <c r="N155" t="s">
        <v>19</v>
      </c>
      <c r="O155" t="s">
        <v>19</v>
      </c>
      <c r="P155" t="s">
        <v>281</v>
      </c>
    </row>
    <row r="156" spans="1:16" x14ac:dyDescent="0.25">
      <c r="A156" t="s">
        <v>151</v>
      </c>
      <c r="B156" t="s">
        <v>81</v>
      </c>
      <c r="C156">
        <v>0</v>
      </c>
      <c r="D156">
        <v>8.0126039981842041</v>
      </c>
      <c r="E156">
        <v>1</v>
      </c>
      <c r="F156">
        <v>1</v>
      </c>
      <c r="G156">
        <v>1</v>
      </c>
      <c r="H156">
        <v>1</v>
      </c>
      <c r="I156">
        <v>1</v>
      </c>
      <c r="J156">
        <v>0</v>
      </c>
      <c r="K156">
        <v>1</v>
      </c>
      <c r="L156">
        <v>1</v>
      </c>
      <c r="M156">
        <v>1</v>
      </c>
      <c r="N156">
        <v>1</v>
      </c>
      <c r="O156">
        <v>1</v>
      </c>
      <c r="P156" t="s">
        <v>282</v>
      </c>
    </row>
    <row r="157" spans="1:16" x14ac:dyDescent="0.25">
      <c r="A157" t="s">
        <v>151</v>
      </c>
      <c r="B157" t="s">
        <v>83</v>
      </c>
      <c r="C157">
        <v>0</v>
      </c>
      <c r="D157">
        <v>6.657315731048584</v>
      </c>
      <c r="E157">
        <v>1</v>
      </c>
      <c r="F157">
        <v>1</v>
      </c>
      <c r="G157">
        <v>0</v>
      </c>
      <c r="H157" t="s">
        <v>19</v>
      </c>
      <c r="I157">
        <v>1</v>
      </c>
      <c r="J157">
        <v>1</v>
      </c>
      <c r="K157">
        <v>1</v>
      </c>
      <c r="L157">
        <v>1</v>
      </c>
      <c r="M157">
        <v>1</v>
      </c>
      <c r="N157">
        <v>1</v>
      </c>
      <c r="O157">
        <v>1</v>
      </c>
      <c r="P157" t="s">
        <v>283</v>
      </c>
    </row>
    <row r="158" spans="1:16" x14ac:dyDescent="0.25">
      <c r="A158" t="s">
        <v>151</v>
      </c>
      <c r="B158" t="s">
        <v>85</v>
      </c>
      <c r="C158">
        <v>0</v>
      </c>
      <c r="D158">
        <v>11.29093956947327</v>
      </c>
      <c r="E158">
        <v>1</v>
      </c>
      <c r="F158">
        <v>1</v>
      </c>
      <c r="G158">
        <v>1</v>
      </c>
      <c r="H158">
        <v>1</v>
      </c>
      <c r="I158">
        <v>1</v>
      </c>
      <c r="J158">
        <v>0</v>
      </c>
      <c r="K158">
        <v>1</v>
      </c>
      <c r="L158">
        <v>1</v>
      </c>
      <c r="M158">
        <v>1</v>
      </c>
      <c r="N158">
        <v>1</v>
      </c>
      <c r="O158">
        <v>1</v>
      </c>
      <c r="P158" t="s">
        <v>284</v>
      </c>
    </row>
    <row r="159" spans="1:16" x14ac:dyDescent="0.25">
      <c r="A159" t="s">
        <v>151</v>
      </c>
      <c r="B159" t="s">
        <v>87</v>
      </c>
      <c r="C159">
        <v>0</v>
      </c>
      <c r="D159">
        <v>8.0286755561828613</v>
      </c>
      <c r="E159">
        <v>1</v>
      </c>
      <c r="F159">
        <v>1</v>
      </c>
      <c r="G159">
        <v>0</v>
      </c>
      <c r="H159" t="s">
        <v>19</v>
      </c>
      <c r="I159">
        <v>1</v>
      </c>
      <c r="J159">
        <v>1</v>
      </c>
      <c r="K159">
        <v>1</v>
      </c>
      <c r="L159">
        <v>1</v>
      </c>
      <c r="M159">
        <v>1</v>
      </c>
      <c r="N159">
        <v>1</v>
      </c>
      <c r="O159">
        <v>1</v>
      </c>
      <c r="P159" t="s">
        <v>285</v>
      </c>
    </row>
    <row r="160" spans="1:16" x14ac:dyDescent="0.25">
      <c r="A160" t="s">
        <v>151</v>
      </c>
      <c r="B160" t="s">
        <v>89</v>
      </c>
      <c r="C160">
        <v>0</v>
      </c>
      <c r="D160">
        <v>4.7044150829315194</v>
      </c>
      <c r="E160">
        <v>1</v>
      </c>
      <c r="F160">
        <v>1</v>
      </c>
      <c r="G160">
        <v>1</v>
      </c>
      <c r="H160">
        <v>1</v>
      </c>
      <c r="I160">
        <v>1</v>
      </c>
      <c r="J160">
        <v>0</v>
      </c>
      <c r="K160">
        <v>1</v>
      </c>
      <c r="L160">
        <v>1</v>
      </c>
      <c r="M160">
        <v>1</v>
      </c>
      <c r="N160">
        <v>1</v>
      </c>
      <c r="O160">
        <v>1</v>
      </c>
      <c r="P160" t="s">
        <v>286</v>
      </c>
    </row>
    <row r="161" spans="1:16" x14ac:dyDescent="0.25">
      <c r="A161" t="s">
        <v>151</v>
      </c>
      <c r="B161" t="s">
        <v>91</v>
      </c>
      <c r="C161">
        <v>0</v>
      </c>
      <c r="D161">
        <v>3.0722835063934331</v>
      </c>
      <c r="E161">
        <v>1</v>
      </c>
      <c r="F161">
        <v>1</v>
      </c>
      <c r="G161">
        <v>1</v>
      </c>
      <c r="H161">
        <v>1</v>
      </c>
      <c r="I161">
        <v>1</v>
      </c>
      <c r="J161">
        <v>1</v>
      </c>
      <c r="K161">
        <v>1</v>
      </c>
      <c r="L161">
        <v>1</v>
      </c>
      <c r="M161">
        <v>1</v>
      </c>
      <c r="N161">
        <v>1</v>
      </c>
      <c r="O161">
        <v>1</v>
      </c>
    </row>
    <row r="162" spans="1:16" x14ac:dyDescent="0.25">
      <c r="A162" t="s">
        <v>151</v>
      </c>
      <c r="B162" t="s">
        <v>93</v>
      </c>
      <c r="C162">
        <v>0</v>
      </c>
      <c r="D162">
        <v>6.5672726631164551</v>
      </c>
      <c r="E162">
        <v>1</v>
      </c>
      <c r="F162">
        <v>1</v>
      </c>
      <c r="G162">
        <v>1</v>
      </c>
      <c r="H162">
        <v>1</v>
      </c>
      <c r="I162">
        <v>1</v>
      </c>
      <c r="J162">
        <v>0</v>
      </c>
      <c r="K162">
        <v>1</v>
      </c>
      <c r="L162">
        <v>1</v>
      </c>
      <c r="M162">
        <v>1</v>
      </c>
      <c r="N162">
        <v>1</v>
      </c>
      <c r="O162">
        <v>1</v>
      </c>
      <c r="P162" t="s">
        <v>287</v>
      </c>
    </row>
    <row r="163" spans="1:16" x14ac:dyDescent="0.25">
      <c r="A163" t="s">
        <v>151</v>
      </c>
      <c r="B163" t="s">
        <v>128</v>
      </c>
      <c r="C163">
        <v>0</v>
      </c>
      <c r="D163">
        <v>7.3861947059631348</v>
      </c>
      <c r="E163">
        <v>1</v>
      </c>
      <c r="F163">
        <v>1</v>
      </c>
      <c r="G163">
        <v>0</v>
      </c>
      <c r="H163" t="s">
        <v>19</v>
      </c>
      <c r="I163">
        <v>1</v>
      </c>
      <c r="J163">
        <v>0</v>
      </c>
      <c r="K163">
        <v>1</v>
      </c>
      <c r="L163">
        <v>1</v>
      </c>
      <c r="M163">
        <v>1</v>
      </c>
      <c r="N163">
        <v>1</v>
      </c>
      <c r="O163">
        <v>1</v>
      </c>
      <c r="P163" t="s">
        <v>288</v>
      </c>
    </row>
    <row r="164" spans="1:16" x14ac:dyDescent="0.25">
      <c r="A164" t="s">
        <v>151</v>
      </c>
      <c r="B164" t="s">
        <v>129</v>
      </c>
      <c r="C164">
        <v>0</v>
      </c>
      <c r="D164">
        <v>9.6611440181732178</v>
      </c>
      <c r="E164">
        <v>1</v>
      </c>
      <c r="F164">
        <v>1</v>
      </c>
      <c r="G164">
        <v>1</v>
      </c>
      <c r="H164">
        <v>1</v>
      </c>
      <c r="I164">
        <v>1</v>
      </c>
      <c r="J164">
        <v>1</v>
      </c>
      <c r="K164">
        <v>1</v>
      </c>
      <c r="L164">
        <v>1</v>
      </c>
      <c r="M164">
        <v>1</v>
      </c>
      <c r="N164">
        <v>1</v>
      </c>
      <c r="O164">
        <v>1</v>
      </c>
    </row>
    <row r="165" spans="1:16" x14ac:dyDescent="0.25">
      <c r="A165" t="s">
        <v>151</v>
      </c>
      <c r="B165" t="s">
        <v>131</v>
      </c>
      <c r="C165">
        <v>0</v>
      </c>
      <c r="D165">
        <v>5.3519353866577148</v>
      </c>
      <c r="E165">
        <v>1</v>
      </c>
      <c r="F165">
        <v>1</v>
      </c>
      <c r="G165">
        <v>1</v>
      </c>
      <c r="H165">
        <v>1</v>
      </c>
      <c r="I165">
        <v>1</v>
      </c>
      <c r="J165">
        <v>0</v>
      </c>
      <c r="K165">
        <v>1</v>
      </c>
      <c r="L165">
        <v>1</v>
      </c>
      <c r="M165">
        <v>1</v>
      </c>
      <c r="N165">
        <v>1</v>
      </c>
      <c r="O165">
        <v>1</v>
      </c>
      <c r="P165" t="s">
        <v>289</v>
      </c>
    </row>
    <row r="166" spans="1:16" x14ac:dyDescent="0.25">
      <c r="A166" t="s">
        <v>151</v>
      </c>
      <c r="B166" t="s">
        <v>133</v>
      </c>
      <c r="C166">
        <v>0</v>
      </c>
      <c r="D166">
        <v>4.4960553646087646</v>
      </c>
      <c r="E166">
        <v>1</v>
      </c>
      <c r="F166">
        <v>1</v>
      </c>
      <c r="G166">
        <v>1</v>
      </c>
      <c r="H166">
        <v>1</v>
      </c>
      <c r="I166">
        <v>1</v>
      </c>
      <c r="J166">
        <v>0</v>
      </c>
      <c r="K166">
        <v>1</v>
      </c>
      <c r="L166">
        <v>1</v>
      </c>
      <c r="M166">
        <v>1</v>
      </c>
      <c r="N166">
        <v>1</v>
      </c>
      <c r="O166">
        <v>1</v>
      </c>
      <c r="P166" t="s">
        <v>290</v>
      </c>
    </row>
    <row r="167" spans="1:16" x14ac:dyDescent="0.25">
      <c r="A167" t="s">
        <v>151</v>
      </c>
      <c r="B167" t="s">
        <v>134</v>
      </c>
      <c r="C167">
        <v>0</v>
      </c>
      <c r="D167">
        <v>5.0566787719726563</v>
      </c>
      <c r="E167">
        <v>1</v>
      </c>
      <c r="F167">
        <v>1</v>
      </c>
      <c r="G167">
        <v>1</v>
      </c>
      <c r="H167">
        <v>1</v>
      </c>
      <c r="I167">
        <v>1</v>
      </c>
      <c r="J167">
        <v>0</v>
      </c>
      <c r="K167">
        <v>1</v>
      </c>
      <c r="L167">
        <v>1</v>
      </c>
      <c r="M167">
        <v>1</v>
      </c>
      <c r="N167">
        <v>1</v>
      </c>
      <c r="O167">
        <v>1</v>
      </c>
      <c r="P167" t="s">
        <v>291</v>
      </c>
    </row>
    <row r="168" spans="1:16" x14ac:dyDescent="0.25">
      <c r="A168" t="s">
        <v>151</v>
      </c>
      <c r="B168" t="s">
        <v>136</v>
      </c>
      <c r="C168">
        <v>0</v>
      </c>
      <c r="D168">
        <v>5.0084424018859863</v>
      </c>
      <c r="E168">
        <v>1</v>
      </c>
      <c r="F168">
        <v>1</v>
      </c>
      <c r="G168">
        <v>1</v>
      </c>
      <c r="H168">
        <v>1</v>
      </c>
      <c r="I168">
        <v>1</v>
      </c>
      <c r="J168">
        <v>0</v>
      </c>
      <c r="K168">
        <v>1</v>
      </c>
      <c r="L168">
        <v>1</v>
      </c>
      <c r="M168">
        <v>1</v>
      </c>
      <c r="N168">
        <v>1</v>
      </c>
      <c r="O168">
        <v>1</v>
      </c>
      <c r="P168" t="s">
        <v>292</v>
      </c>
    </row>
    <row r="169" spans="1:16" x14ac:dyDescent="0.25">
      <c r="A169" t="s">
        <v>151</v>
      </c>
      <c r="B169" t="s">
        <v>138</v>
      </c>
      <c r="C169">
        <v>0</v>
      </c>
      <c r="D169">
        <v>2.9837555885314941</v>
      </c>
      <c r="E169">
        <v>1</v>
      </c>
      <c r="F169">
        <v>1</v>
      </c>
      <c r="G169">
        <v>1</v>
      </c>
      <c r="H169">
        <v>1</v>
      </c>
      <c r="I169">
        <v>1</v>
      </c>
      <c r="J169">
        <v>1</v>
      </c>
      <c r="K169">
        <v>1</v>
      </c>
      <c r="L169">
        <v>1</v>
      </c>
      <c r="M169">
        <v>1</v>
      </c>
      <c r="N169">
        <v>1</v>
      </c>
      <c r="O169">
        <v>1</v>
      </c>
    </row>
    <row r="170" spans="1:16" x14ac:dyDescent="0.25">
      <c r="A170" t="s">
        <v>151</v>
      </c>
      <c r="B170" t="s">
        <v>140</v>
      </c>
      <c r="C170">
        <v>0</v>
      </c>
      <c r="D170">
        <v>4.8102595806121826</v>
      </c>
      <c r="E170">
        <v>1</v>
      </c>
      <c r="F170">
        <v>1</v>
      </c>
      <c r="G170">
        <v>1</v>
      </c>
      <c r="H170">
        <v>0</v>
      </c>
      <c r="I170">
        <v>1</v>
      </c>
      <c r="J170">
        <v>1</v>
      </c>
      <c r="K170">
        <v>1</v>
      </c>
      <c r="L170">
        <v>1</v>
      </c>
      <c r="M170">
        <v>1</v>
      </c>
      <c r="N170">
        <v>1</v>
      </c>
      <c r="O170">
        <v>1</v>
      </c>
      <c r="P170" t="s">
        <v>293</v>
      </c>
    </row>
    <row r="171" spans="1:16" x14ac:dyDescent="0.25">
      <c r="A171" t="s">
        <v>151</v>
      </c>
      <c r="B171" t="s">
        <v>142</v>
      </c>
      <c r="C171">
        <v>0</v>
      </c>
      <c r="D171">
        <v>4.5083556175231934</v>
      </c>
      <c r="E171">
        <v>1</v>
      </c>
      <c r="F171">
        <v>1</v>
      </c>
      <c r="G171">
        <v>1</v>
      </c>
      <c r="H171">
        <v>1</v>
      </c>
      <c r="I171">
        <v>1</v>
      </c>
      <c r="J171">
        <v>1</v>
      </c>
      <c r="K171">
        <v>0</v>
      </c>
      <c r="L171">
        <v>1</v>
      </c>
      <c r="M171">
        <v>1</v>
      </c>
      <c r="N171">
        <v>1</v>
      </c>
      <c r="O171">
        <v>1</v>
      </c>
      <c r="P171" t="s">
        <v>294</v>
      </c>
    </row>
    <row r="172" spans="1:16" x14ac:dyDescent="0.25">
      <c r="A172" t="s">
        <v>151</v>
      </c>
      <c r="B172" t="s">
        <v>143</v>
      </c>
      <c r="C172">
        <v>0</v>
      </c>
      <c r="D172">
        <v>12.841631174087521</v>
      </c>
      <c r="E172">
        <v>0</v>
      </c>
      <c r="F172" t="s">
        <v>19</v>
      </c>
      <c r="G172" t="s">
        <v>19</v>
      </c>
      <c r="H172" t="s">
        <v>19</v>
      </c>
      <c r="I172" t="s">
        <v>19</v>
      </c>
      <c r="J172" t="s">
        <v>19</v>
      </c>
      <c r="K172" t="s">
        <v>19</v>
      </c>
      <c r="L172" t="s">
        <v>19</v>
      </c>
      <c r="M172" t="s">
        <v>19</v>
      </c>
      <c r="N172" t="s">
        <v>19</v>
      </c>
      <c r="O172" t="s">
        <v>19</v>
      </c>
      <c r="P172" t="s">
        <v>295</v>
      </c>
    </row>
    <row r="173" spans="1:16" x14ac:dyDescent="0.25">
      <c r="A173" t="s">
        <v>151</v>
      </c>
      <c r="B173" t="s">
        <v>145</v>
      </c>
      <c r="C173">
        <v>0</v>
      </c>
      <c r="D173">
        <v>4.5140881538391113</v>
      </c>
      <c r="E173">
        <v>1</v>
      </c>
      <c r="F173">
        <v>1</v>
      </c>
      <c r="G173">
        <v>1</v>
      </c>
      <c r="H173">
        <v>1</v>
      </c>
      <c r="I173">
        <v>1</v>
      </c>
      <c r="J173">
        <v>0</v>
      </c>
      <c r="K173">
        <v>1</v>
      </c>
      <c r="L173">
        <v>1</v>
      </c>
      <c r="M173">
        <v>1</v>
      </c>
      <c r="N173">
        <v>1</v>
      </c>
      <c r="O173">
        <v>1</v>
      </c>
      <c r="P173" t="s">
        <v>296</v>
      </c>
    </row>
    <row r="174" spans="1:16" x14ac:dyDescent="0.25">
      <c r="A174" t="s">
        <v>151</v>
      </c>
      <c r="B174" t="s">
        <v>146</v>
      </c>
      <c r="C174">
        <v>0</v>
      </c>
      <c r="D174">
        <v>4.307842493057251</v>
      </c>
      <c r="E174">
        <v>1</v>
      </c>
      <c r="F174">
        <v>1</v>
      </c>
      <c r="G174">
        <v>1</v>
      </c>
      <c r="H174">
        <v>1</v>
      </c>
      <c r="I174">
        <v>1</v>
      </c>
      <c r="J174">
        <v>0</v>
      </c>
      <c r="K174">
        <v>1</v>
      </c>
      <c r="L174">
        <v>1</v>
      </c>
      <c r="M174">
        <v>1</v>
      </c>
      <c r="N174">
        <v>1</v>
      </c>
      <c r="O174">
        <v>1</v>
      </c>
      <c r="P174" t="s">
        <v>297</v>
      </c>
    </row>
    <row r="175" spans="1:16" x14ac:dyDescent="0.25">
      <c r="A175" t="s">
        <v>151</v>
      </c>
      <c r="B175" t="s">
        <v>148</v>
      </c>
      <c r="C175">
        <v>0</v>
      </c>
      <c r="D175">
        <v>4.923480749130249</v>
      </c>
      <c r="E175">
        <v>1</v>
      </c>
      <c r="F175">
        <v>1</v>
      </c>
      <c r="G175">
        <v>1</v>
      </c>
      <c r="H175">
        <v>1</v>
      </c>
      <c r="I175">
        <v>1</v>
      </c>
      <c r="J175">
        <v>0</v>
      </c>
      <c r="K175">
        <v>0</v>
      </c>
      <c r="L175">
        <v>1</v>
      </c>
      <c r="M175">
        <v>1</v>
      </c>
      <c r="N175">
        <v>1</v>
      </c>
      <c r="O175">
        <v>1</v>
      </c>
      <c r="P175" t="s">
        <v>298</v>
      </c>
    </row>
    <row r="176" spans="1:16" x14ac:dyDescent="0.25">
      <c r="A176" t="s">
        <v>151</v>
      </c>
      <c r="B176" t="s">
        <v>149</v>
      </c>
      <c r="C176">
        <v>0</v>
      </c>
      <c r="D176">
        <v>2.8692388534545898</v>
      </c>
      <c r="E176">
        <v>1</v>
      </c>
      <c r="F176">
        <v>1</v>
      </c>
      <c r="G176">
        <v>1</v>
      </c>
      <c r="H176">
        <v>1</v>
      </c>
      <c r="I176">
        <v>1</v>
      </c>
      <c r="J176">
        <v>1</v>
      </c>
      <c r="K176">
        <v>1</v>
      </c>
      <c r="L176">
        <v>1</v>
      </c>
      <c r="M176">
        <v>1</v>
      </c>
      <c r="N176">
        <v>1</v>
      </c>
      <c r="O176">
        <v>1</v>
      </c>
    </row>
    <row r="177" spans="1:16" x14ac:dyDescent="0.25">
      <c r="A177" t="s">
        <v>151</v>
      </c>
      <c r="B177" t="s">
        <v>190</v>
      </c>
      <c r="C177">
        <v>0</v>
      </c>
      <c r="D177">
        <v>5.2324924468994141</v>
      </c>
      <c r="E177">
        <v>1</v>
      </c>
      <c r="F177">
        <v>1</v>
      </c>
      <c r="G177">
        <v>1</v>
      </c>
      <c r="H177">
        <v>1</v>
      </c>
      <c r="I177">
        <v>1</v>
      </c>
      <c r="J177">
        <v>1</v>
      </c>
      <c r="K177">
        <v>1</v>
      </c>
      <c r="L177">
        <v>0</v>
      </c>
      <c r="M177">
        <v>1</v>
      </c>
      <c r="N177">
        <v>0</v>
      </c>
      <c r="O177">
        <v>1</v>
      </c>
      <c r="P177" t="s">
        <v>299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177"/>
  <sheetViews>
    <sheetView workbookViewId="0"/>
  </sheetViews>
  <sheetFormatPr defaultRowHeight="13.8" x14ac:dyDescent="0.25"/>
  <sheetData>
    <row r="1" spans="1:16"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5">
      <c r="A2" t="s">
        <v>16</v>
      </c>
      <c r="B2" t="s">
        <v>17</v>
      </c>
      <c r="C2">
        <v>0</v>
      </c>
      <c r="D2">
        <v>2.9586365222930908</v>
      </c>
      <c r="E2">
        <v>1</v>
      </c>
      <c r="F2">
        <v>1</v>
      </c>
      <c r="G2">
        <v>1</v>
      </c>
      <c r="H2">
        <v>1</v>
      </c>
      <c r="I2">
        <v>1</v>
      </c>
      <c r="J2">
        <v>1</v>
      </c>
      <c r="K2">
        <v>1</v>
      </c>
      <c r="L2">
        <v>1</v>
      </c>
      <c r="M2">
        <v>1</v>
      </c>
      <c r="N2">
        <v>1</v>
      </c>
      <c r="O2">
        <v>1</v>
      </c>
    </row>
    <row r="3" spans="1:16" x14ac:dyDescent="0.25">
      <c r="A3" t="s">
        <v>16</v>
      </c>
      <c r="B3" t="s">
        <v>18</v>
      </c>
      <c r="C3">
        <v>0</v>
      </c>
      <c r="D3">
        <v>11.211002349853519</v>
      </c>
      <c r="E3">
        <v>1</v>
      </c>
      <c r="F3">
        <v>1</v>
      </c>
      <c r="G3">
        <v>0</v>
      </c>
      <c r="H3" t="s">
        <v>19</v>
      </c>
      <c r="I3">
        <v>1</v>
      </c>
      <c r="J3">
        <v>1</v>
      </c>
      <c r="K3">
        <v>1</v>
      </c>
      <c r="L3">
        <v>1</v>
      </c>
      <c r="M3">
        <v>0</v>
      </c>
      <c r="N3">
        <v>1</v>
      </c>
      <c r="O3">
        <v>1</v>
      </c>
      <c r="P3" t="s">
        <v>300</v>
      </c>
    </row>
    <row r="4" spans="1:16" x14ac:dyDescent="0.25">
      <c r="A4" t="s">
        <v>16</v>
      </c>
      <c r="B4" t="s">
        <v>21</v>
      </c>
      <c r="C4">
        <v>0</v>
      </c>
      <c r="D4">
        <v>9.9578664302825928</v>
      </c>
      <c r="E4">
        <v>1</v>
      </c>
      <c r="F4">
        <v>1</v>
      </c>
      <c r="G4">
        <v>1</v>
      </c>
      <c r="H4">
        <v>1</v>
      </c>
      <c r="I4">
        <v>0</v>
      </c>
      <c r="J4">
        <v>1</v>
      </c>
      <c r="K4">
        <v>1</v>
      </c>
      <c r="L4">
        <v>1</v>
      </c>
      <c r="M4">
        <v>1</v>
      </c>
      <c r="N4">
        <v>1</v>
      </c>
      <c r="O4">
        <v>1</v>
      </c>
      <c r="P4" t="s">
        <v>301</v>
      </c>
    </row>
    <row r="5" spans="1:16" x14ac:dyDescent="0.25">
      <c r="A5" t="s">
        <v>16</v>
      </c>
      <c r="B5" t="s">
        <v>23</v>
      </c>
      <c r="C5">
        <v>0</v>
      </c>
      <c r="D5">
        <v>10.283071994781491</v>
      </c>
      <c r="E5">
        <v>1</v>
      </c>
      <c r="F5">
        <v>1</v>
      </c>
      <c r="G5">
        <v>1</v>
      </c>
      <c r="H5">
        <v>1</v>
      </c>
      <c r="I5">
        <v>1</v>
      </c>
      <c r="J5">
        <v>1</v>
      </c>
      <c r="K5">
        <v>1</v>
      </c>
      <c r="L5">
        <v>1</v>
      </c>
      <c r="M5">
        <v>1</v>
      </c>
      <c r="N5">
        <v>1</v>
      </c>
      <c r="O5">
        <v>1</v>
      </c>
    </row>
    <row r="6" spans="1:16" x14ac:dyDescent="0.25">
      <c r="A6" t="s">
        <v>16</v>
      </c>
      <c r="B6" t="s">
        <v>24</v>
      </c>
      <c r="C6">
        <v>0</v>
      </c>
      <c r="D6">
        <v>10.37295079231262</v>
      </c>
      <c r="E6">
        <v>1</v>
      </c>
      <c r="F6">
        <v>1</v>
      </c>
      <c r="G6">
        <v>1</v>
      </c>
      <c r="H6">
        <v>1</v>
      </c>
      <c r="I6">
        <v>1</v>
      </c>
      <c r="J6">
        <v>1</v>
      </c>
      <c r="K6">
        <v>1</v>
      </c>
      <c r="L6">
        <v>1</v>
      </c>
      <c r="M6">
        <v>1</v>
      </c>
      <c r="N6">
        <v>1</v>
      </c>
      <c r="O6">
        <v>1</v>
      </c>
    </row>
    <row r="7" spans="1:16" x14ac:dyDescent="0.25">
      <c r="A7" t="s">
        <v>16</v>
      </c>
      <c r="B7" t="s">
        <v>25</v>
      </c>
      <c r="C7">
        <v>0</v>
      </c>
      <c r="D7">
        <v>6.2830965518951416</v>
      </c>
      <c r="E7">
        <v>1</v>
      </c>
      <c r="F7">
        <v>1</v>
      </c>
      <c r="G7">
        <v>1</v>
      </c>
      <c r="H7">
        <v>0</v>
      </c>
      <c r="I7">
        <v>1</v>
      </c>
      <c r="J7">
        <v>0</v>
      </c>
      <c r="K7">
        <v>1</v>
      </c>
      <c r="L7">
        <v>1</v>
      </c>
      <c r="M7">
        <v>1</v>
      </c>
      <c r="N7">
        <v>1</v>
      </c>
      <c r="O7">
        <v>1</v>
      </c>
      <c r="P7" t="s">
        <v>302</v>
      </c>
    </row>
    <row r="8" spans="1:16" x14ac:dyDescent="0.25">
      <c r="A8" t="s">
        <v>16</v>
      </c>
      <c r="B8" t="s">
        <v>27</v>
      </c>
      <c r="C8">
        <v>0</v>
      </c>
      <c r="D8">
        <v>2.8644082546234131</v>
      </c>
      <c r="E8">
        <v>1</v>
      </c>
      <c r="F8">
        <v>1</v>
      </c>
      <c r="G8">
        <v>1</v>
      </c>
      <c r="H8">
        <v>1</v>
      </c>
      <c r="I8">
        <v>1</v>
      </c>
      <c r="J8">
        <v>1</v>
      </c>
      <c r="K8">
        <v>1</v>
      </c>
      <c r="L8">
        <v>1</v>
      </c>
      <c r="M8">
        <v>1</v>
      </c>
      <c r="N8">
        <v>1</v>
      </c>
      <c r="O8">
        <v>1</v>
      </c>
    </row>
    <row r="9" spans="1:16" x14ac:dyDescent="0.25">
      <c r="A9" t="s">
        <v>16</v>
      </c>
      <c r="B9" t="s">
        <v>28</v>
      </c>
      <c r="C9">
        <v>0</v>
      </c>
      <c r="D9">
        <v>5.7703127861022949</v>
      </c>
      <c r="E9">
        <v>1</v>
      </c>
      <c r="F9">
        <v>1</v>
      </c>
      <c r="G9">
        <v>0</v>
      </c>
      <c r="H9" t="s">
        <v>19</v>
      </c>
      <c r="I9">
        <v>1</v>
      </c>
      <c r="J9">
        <v>1</v>
      </c>
      <c r="K9">
        <v>1</v>
      </c>
      <c r="L9">
        <v>1</v>
      </c>
      <c r="M9">
        <v>1</v>
      </c>
      <c r="N9">
        <v>1</v>
      </c>
      <c r="O9">
        <v>1</v>
      </c>
      <c r="P9" t="s">
        <v>303</v>
      </c>
    </row>
    <row r="10" spans="1:16" x14ac:dyDescent="0.25">
      <c r="A10" t="s">
        <v>16</v>
      </c>
      <c r="B10" t="s">
        <v>29</v>
      </c>
      <c r="C10">
        <v>0</v>
      </c>
      <c r="D10">
        <v>10.26443576812744</v>
      </c>
      <c r="E10">
        <v>1</v>
      </c>
      <c r="F10">
        <v>1</v>
      </c>
      <c r="G10">
        <v>1</v>
      </c>
      <c r="H10">
        <v>1</v>
      </c>
      <c r="I10">
        <v>1</v>
      </c>
      <c r="J10">
        <v>1</v>
      </c>
      <c r="K10">
        <v>1</v>
      </c>
      <c r="L10">
        <v>1</v>
      </c>
      <c r="M10">
        <v>1</v>
      </c>
      <c r="N10">
        <v>1</v>
      </c>
      <c r="O10">
        <v>1</v>
      </c>
    </row>
    <row r="11" spans="1:16" x14ac:dyDescent="0.25">
      <c r="A11" t="s">
        <v>16</v>
      </c>
      <c r="B11" t="s">
        <v>30</v>
      </c>
      <c r="C11">
        <v>0</v>
      </c>
      <c r="D11">
        <v>9.3520939350128174</v>
      </c>
      <c r="E11">
        <v>1</v>
      </c>
      <c r="F11">
        <v>1</v>
      </c>
      <c r="G11">
        <v>1</v>
      </c>
      <c r="H11">
        <v>1</v>
      </c>
      <c r="I11">
        <v>1</v>
      </c>
      <c r="J11">
        <v>1</v>
      </c>
      <c r="K11">
        <v>1</v>
      </c>
      <c r="L11">
        <v>1</v>
      </c>
      <c r="M11">
        <v>1</v>
      </c>
      <c r="N11">
        <v>1</v>
      </c>
      <c r="O11">
        <v>1</v>
      </c>
    </row>
    <row r="12" spans="1:16" x14ac:dyDescent="0.25">
      <c r="A12" t="s">
        <v>16</v>
      </c>
      <c r="B12" t="s">
        <v>31</v>
      </c>
      <c r="C12">
        <v>0</v>
      </c>
      <c r="D12">
        <v>10.71903824806213</v>
      </c>
      <c r="E12">
        <v>0</v>
      </c>
      <c r="F12" t="s">
        <v>19</v>
      </c>
      <c r="G12" t="s">
        <v>19</v>
      </c>
      <c r="H12" t="s">
        <v>19</v>
      </c>
      <c r="I12" t="s">
        <v>19</v>
      </c>
      <c r="J12" t="s">
        <v>19</v>
      </c>
      <c r="K12" t="s">
        <v>19</v>
      </c>
      <c r="L12" t="s">
        <v>19</v>
      </c>
      <c r="M12" t="s">
        <v>19</v>
      </c>
      <c r="N12" t="s">
        <v>19</v>
      </c>
      <c r="O12" t="s">
        <v>19</v>
      </c>
      <c r="P12" t="s">
        <v>304</v>
      </c>
    </row>
    <row r="13" spans="1:16" x14ac:dyDescent="0.25">
      <c r="A13" t="s">
        <v>16</v>
      </c>
      <c r="B13" t="s">
        <v>32</v>
      </c>
      <c r="C13">
        <v>0</v>
      </c>
      <c r="D13">
        <v>11.570011377334589</v>
      </c>
      <c r="E13">
        <v>1</v>
      </c>
      <c r="F13">
        <v>1</v>
      </c>
      <c r="G13">
        <v>1</v>
      </c>
      <c r="H13">
        <v>1</v>
      </c>
      <c r="I13">
        <v>1</v>
      </c>
      <c r="J13">
        <v>1</v>
      </c>
      <c r="K13">
        <v>1</v>
      </c>
      <c r="L13">
        <v>1</v>
      </c>
      <c r="M13">
        <v>1</v>
      </c>
      <c r="N13">
        <v>1</v>
      </c>
      <c r="O13">
        <v>1</v>
      </c>
    </row>
    <row r="14" spans="1:16" x14ac:dyDescent="0.25">
      <c r="A14" t="s">
        <v>16</v>
      </c>
      <c r="B14" t="s">
        <v>33</v>
      </c>
      <c r="C14">
        <v>0</v>
      </c>
      <c r="D14">
        <v>9.6837184429168701</v>
      </c>
      <c r="E14">
        <v>1</v>
      </c>
      <c r="F14">
        <v>1</v>
      </c>
      <c r="G14">
        <v>1</v>
      </c>
      <c r="H14">
        <v>0</v>
      </c>
      <c r="I14">
        <v>1</v>
      </c>
      <c r="J14">
        <v>1</v>
      </c>
      <c r="K14">
        <v>1</v>
      </c>
      <c r="L14">
        <v>1</v>
      </c>
      <c r="M14">
        <v>1</v>
      </c>
      <c r="N14">
        <v>1</v>
      </c>
      <c r="O14">
        <v>1</v>
      </c>
      <c r="P14" t="s">
        <v>305</v>
      </c>
    </row>
    <row r="15" spans="1:16" x14ac:dyDescent="0.25">
      <c r="A15" t="s">
        <v>16</v>
      </c>
      <c r="B15" t="s">
        <v>35</v>
      </c>
      <c r="C15">
        <v>0</v>
      </c>
      <c r="D15">
        <v>2.975818395614624</v>
      </c>
      <c r="E15">
        <v>1</v>
      </c>
      <c r="F15">
        <v>1</v>
      </c>
      <c r="G15">
        <v>1</v>
      </c>
      <c r="H15">
        <v>1</v>
      </c>
      <c r="I15">
        <v>1</v>
      </c>
      <c r="J15">
        <v>1</v>
      </c>
      <c r="K15">
        <v>1</v>
      </c>
      <c r="L15">
        <v>1</v>
      </c>
      <c r="M15">
        <v>1</v>
      </c>
      <c r="N15">
        <v>1</v>
      </c>
      <c r="O15">
        <v>1</v>
      </c>
    </row>
    <row r="16" spans="1:16" x14ac:dyDescent="0.25">
      <c r="A16" t="s">
        <v>16</v>
      </c>
      <c r="B16" t="s">
        <v>36</v>
      </c>
      <c r="C16">
        <v>0</v>
      </c>
      <c r="D16">
        <v>2.977737665176392</v>
      </c>
      <c r="E16">
        <v>1</v>
      </c>
      <c r="F16">
        <v>1</v>
      </c>
      <c r="G16">
        <v>1</v>
      </c>
      <c r="H16">
        <v>1</v>
      </c>
      <c r="I16">
        <v>1</v>
      </c>
      <c r="J16">
        <v>1</v>
      </c>
      <c r="K16">
        <v>1</v>
      </c>
      <c r="L16">
        <v>1</v>
      </c>
      <c r="M16">
        <v>1</v>
      </c>
      <c r="N16">
        <v>1</v>
      </c>
      <c r="O16">
        <v>1</v>
      </c>
    </row>
    <row r="17" spans="1:16" x14ac:dyDescent="0.25">
      <c r="A17" t="s">
        <v>16</v>
      </c>
      <c r="B17" t="s">
        <v>37</v>
      </c>
      <c r="C17">
        <v>0</v>
      </c>
      <c r="D17">
        <v>5.139080286026001</v>
      </c>
      <c r="E17">
        <v>1</v>
      </c>
      <c r="F17">
        <v>1</v>
      </c>
      <c r="G17">
        <v>1</v>
      </c>
      <c r="H17">
        <v>0</v>
      </c>
      <c r="I17">
        <v>1</v>
      </c>
      <c r="J17">
        <v>1</v>
      </c>
      <c r="K17">
        <v>1</v>
      </c>
      <c r="L17">
        <v>1</v>
      </c>
      <c r="M17">
        <v>1</v>
      </c>
      <c r="N17">
        <v>1</v>
      </c>
      <c r="O17">
        <v>1</v>
      </c>
      <c r="P17" t="s">
        <v>306</v>
      </c>
    </row>
    <row r="18" spans="1:16" x14ac:dyDescent="0.25">
      <c r="A18" t="s">
        <v>16</v>
      </c>
      <c r="B18" t="s">
        <v>39</v>
      </c>
      <c r="C18">
        <v>0</v>
      </c>
      <c r="D18">
        <v>10.212518930435181</v>
      </c>
      <c r="E18">
        <v>1</v>
      </c>
      <c r="F18">
        <v>1</v>
      </c>
      <c r="G18">
        <v>1</v>
      </c>
      <c r="H18">
        <v>1</v>
      </c>
      <c r="I18">
        <v>1</v>
      </c>
      <c r="J18">
        <v>1</v>
      </c>
      <c r="K18">
        <v>1</v>
      </c>
      <c r="L18">
        <v>1</v>
      </c>
      <c r="M18">
        <v>1</v>
      </c>
      <c r="N18">
        <v>1</v>
      </c>
      <c r="O18">
        <v>1</v>
      </c>
    </row>
    <row r="19" spans="1:16" x14ac:dyDescent="0.25">
      <c r="A19" t="s">
        <v>16</v>
      </c>
      <c r="B19" t="s">
        <v>40</v>
      </c>
      <c r="C19">
        <v>0</v>
      </c>
      <c r="D19">
        <v>9.4264595508575439</v>
      </c>
      <c r="E19">
        <v>1</v>
      </c>
      <c r="F19">
        <v>1</v>
      </c>
      <c r="G19">
        <v>1</v>
      </c>
      <c r="H19">
        <v>1</v>
      </c>
      <c r="I19">
        <v>1</v>
      </c>
      <c r="J19">
        <v>1</v>
      </c>
      <c r="K19">
        <v>1</v>
      </c>
      <c r="L19">
        <v>1</v>
      </c>
      <c r="M19">
        <v>1</v>
      </c>
      <c r="N19">
        <v>1</v>
      </c>
      <c r="O19">
        <v>1</v>
      </c>
    </row>
    <row r="20" spans="1:16" x14ac:dyDescent="0.25">
      <c r="A20" t="s">
        <v>16</v>
      </c>
      <c r="B20" t="s">
        <v>41</v>
      </c>
      <c r="C20">
        <v>0</v>
      </c>
      <c r="D20">
        <v>11.775518655776979</v>
      </c>
      <c r="E20">
        <v>1</v>
      </c>
      <c r="F20">
        <v>1</v>
      </c>
      <c r="G20">
        <v>1</v>
      </c>
      <c r="H20">
        <v>1</v>
      </c>
      <c r="I20">
        <v>1</v>
      </c>
      <c r="J20">
        <v>1</v>
      </c>
      <c r="K20">
        <v>1</v>
      </c>
      <c r="L20">
        <v>1</v>
      </c>
      <c r="M20">
        <v>1</v>
      </c>
      <c r="N20">
        <v>1</v>
      </c>
      <c r="O20">
        <v>1</v>
      </c>
    </row>
    <row r="21" spans="1:16" x14ac:dyDescent="0.25">
      <c r="A21" t="s">
        <v>16</v>
      </c>
      <c r="B21" t="s">
        <v>42</v>
      </c>
      <c r="C21">
        <v>0</v>
      </c>
      <c r="D21">
        <v>11.756492853164669</v>
      </c>
      <c r="E21">
        <v>0</v>
      </c>
      <c r="F21" t="s">
        <v>19</v>
      </c>
      <c r="G21" t="s">
        <v>19</v>
      </c>
      <c r="H21" t="s">
        <v>19</v>
      </c>
      <c r="I21" t="s">
        <v>19</v>
      </c>
      <c r="J21" t="s">
        <v>19</v>
      </c>
      <c r="K21" t="s">
        <v>19</v>
      </c>
      <c r="L21" t="s">
        <v>19</v>
      </c>
      <c r="M21" t="s">
        <v>19</v>
      </c>
      <c r="N21" t="s">
        <v>19</v>
      </c>
      <c r="O21" t="s">
        <v>19</v>
      </c>
      <c r="P21" t="s">
        <v>307</v>
      </c>
    </row>
    <row r="22" spans="1:16" x14ac:dyDescent="0.25">
      <c r="A22" t="s">
        <v>16</v>
      </c>
      <c r="B22" t="s">
        <v>44</v>
      </c>
      <c r="C22">
        <v>0</v>
      </c>
      <c r="D22">
        <v>9.9716451168060303</v>
      </c>
      <c r="E22">
        <v>1</v>
      </c>
      <c r="F22">
        <v>1</v>
      </c>
      <c r="G22">
        <v>1</v>
      </c>
      <c r="H22">
        <v>1</v>
      </c>
      <c r="I22">
        <v>1</v>
      </c>
      <c r="J22">
        <v>1</v>
      </c>
      <c r="K22">
        <v>1</v>
      </c>
      <c r="L22">
        <v>1</v>
      </c>
      <c r="M22">
        <v>1</v>
      </c>
      <c r="N22">
        <v>1</v>
      </c>
      <c r="O22">
        <v>1</v>
      </c>
    </row>
    <row r="23" spans="1:16" x14ac:dyDescent="0.25">
      <c r="A23" t="s">
        <v>16</v>
      </c>
      <c r="B23" t="s">
        <v>46</v>
      </c>
      <c r="C23">
        <v>0</v>
      </c>
      <c r="D23">
        <v>12.13180184364319</v>
      </c>
      <c r="E23">
        <v>1</v>
      </c>
      <c r="F23">
        <v>1</v>
      </c>
      <c r="G23">
        <v>1</v>
      </c>
      <c r="H23">
        <v>1</v>
      </c>
      <c r="I23">
        <v>1</v>
      </c>
      <c r="J23">
        <v>1</v>
      </c>
      <c r="K23">
        <v>0</v>
      </c>
      <c r="L23">
        <v>1</v>
      </c>
      <c r="M23">
        <v>1</v>
      </c>
      <c r="N23">
        <v>1</v>
      </c>
      <c r="O23">
        <v>1</v>
      </c>
      <c r="P23" t="s">
        <v>308</v>
      </c>
    </row>
    <row r="24" spans="1:16" x14ac:dyDescent="0.25">
      <c r="A24" t="s">
        <v>16</v>
      </c>
      <c r="B24" t="s">
        <v>48</v>
      </c>
      <c r="C24">
        <v>0</v>
      </c>
      <c r="D24">
        <v>2.9763913154602051</v>
      </c>
      <c r="E24">
        <v>1</v>
      </c>
      <c r="F24">
        <v>1</v>
      </c>
      <c r="G24">
        <v>1</v>
      </c>
      <c r="H24">
        <v>1</v>
      </c>
      <c r="I24">
        <v>1</v>
      </c>
      <c r="J24">
        <v>1</v>
      </c>
      <c r="K24">
        <v>1</v>
      </c>
      <c r="L24">
        <v>1</v>
      </c>
      <c r="M24">
        <v>1</v>
      </c>
      <c r="N24">
        <v>1</v>
      </c>
      <c r="O24">
        <v>1</v>
      </c>
    </row>
    <row r="25" spans="1:16" x14ac:dyDescent="0.25">
      <c r="A25" t="s">
        <v>16</v>
      </c>
      <c r="B25" t="s">
        <v>49</v>
      </c>
      <c r="C25">
        <v>0</v>
      </c>
      <c r="D25">
        <v>12.44957828521729</v>
      </c>
      <c r="E25">
        <v>1</v>
      </c>
      <c r="F25">
        <v>1</v>
      </c>
      <c r="G25">
        <v>0</v>
      </c>
      <c r="H25" t="s">
        <v>19</v>
      </c>
      <c r="I25">
        <v>1</v>
      </c>
      <c r="J25">
        <v>1</v>
      </c>
      <c r="K25">
        <v>1</v>
      </c>
      <c r="L25">
        <v>1</v>
      </c>
      <c r="M25">
        <v>1</v>
      </c>
      <c r="N25">
        <v>1</v>
      </c>
      <c r="O25">
        <v>1</v>
      </c>
      <c r="P25" t="s">
        <v>309</v>
      </c>
    </row>
    <row r="26" spans="1:16" x14ac:dyDescent="0.25">
      <c r="A26" t="s">
        <v>16</v>
      </c>
      <c r="B26" t="s">
        <v>51</v>
      </c>
      <c r="C26">
        <v>0</v>
      </c>
      <c r="D26">
        <v>6.7170522212982178</v>
      </c>
      <c r="E26">
        <v>1</v>
      </c>
      <c r="F26">
        <v>1</v>
      </c>
      <c r="G26">
        <v>0</v>
      </c>
      <c r="H26" t="s">
        <v>19</v>
      </c>
      <c r="I26">
        <v>1</v>
      </c>
      <c r="J26">
        <v>1</v>
      </c>
      <c r="K26">
        <v>1</v>
      </c>
      <c r="L26">
        <v>1</v>
      </c>
      <c r="M26">
        <v>1</v>
      </c>
      <c r="N26">
        <v>1</v>
      </c>
      <c r="O26">
        <v>1</v>
      </c>
      <c r="P26" t="s">
        <v>310</v>
      </c>
    </row>
    <row r="27" spans="1:16" x14ac:dyDescent="0.25">
      <c r="A27" t="s">
        <v>16</v>
      </c>
      <c r="B27" t="s">
        <v>52</v>
      </c>
      <c r="C27">
        <v>0</v>
      </c>
      <c r="D27">
        <v>10.02763724327087</v>
      </c>
      <c r="E27">
        <v>1</v>
      </c>
      <c r="F27">
        <v>1</v>
      </c>
      <c r="G27">
        <v>1</v>
      </c>
      <c r="H27">
        <v>1</v>
      </c>
      <c r="I27">
        <v>0</v>
      </c>
      <c r="J27">
        <v>1</v>
      </c>
      <c r="K27">
        <v>1</v>
      </c>
      <c r="L27">
        <v>1</v>
      </c>
      <c r="M27">
        <v>1</v>
      </c>
      <c r="N27">
        <v>1</v>
      </c>
      <c r="O27">
        <v>1</v>
      </c>
      <c r="P27" t="s">
        <v>311</v>
      </c>
    </row>
    <row r="28" spans="1:16" x14ac:dyDescent="0.25">
      <c r="A28" t="s">
        <v>16</v>
      </c>
      <c r="B28" t="s">
        <v>54</v>
      </c>
      <c r="C28">
        <v>0</v>
      </c>
      <c r="D28">
        <v>12.968567132949831</v>
      </c>
      <c r="E28">
        <v>0</v>
      </c>
      <c r="F28" t="s">
        <v>19</v>
      </c>
      <c r="G28" t="s">
        <v>19</v>
      </c>
      <c r="H28" t="s">
        <v>19</v>
      </c>
      <c r="I28" t="s">
        <v>19</v>
      </c>
      <c r="J28" t="s">
        <v>19</v>
      </c>
      <c r="K28" t="s">
        <v>19</v>
      </c>
      <c r="L28" t="s">
        <v>19</v>
      </c>
      <c r="M28" t="s">
        <v>19</v>
      </c>
      <c r="N28" t="s">
        <v>19</v>
      </c>
      <c r="O28" t="s">
        <v>19</v>
      </c>
      <c r="P28" t="s">
        <v>312</v>
      </c>
    </row>
    <row r="29" spans="1:16" x14ac:dyDescent="0.25">
      <c r="A29" t="s">
        <v>16</v>
      </c>
      <c r="B29" t="s">
        <v>56</v>
      </c>
      <c r="C29">
        <v>0</v>
      </c>
      <c r="D29">
        <v>14.374652147293091</v>
      </c>
      <c r="E29">
        <v>0</v>
      </c>
      <c r="F29" t="s">
        <v>19</v>
      </c>
      <c r="G29" t="s">
        <v>19</v>
      </c>
      <c r="H29" t="s">
        <v>19</v>
      </c>
      <c r="I29" t="s">
        <v>19</v>
      </c>
      <c r="J29" t="s">
        <v>19</v>
      </c>
      <c r="K29" t="s">
        <v>19</v>
      </c>
      <c r="L29" t="s">
        <v>19</v>
      </c>
      <c r="M29" t="s">
        <v>19</v>
      </c>
      <c r="N29" t="s">
        <v>19</v>
      </c>
      <c r="O29" t="s">
        <v>19</v>
      </c>
      <c r="P29" t="s">
        <v>313</v>
      </c>
    </row>
    <row r="30" spans="1:16" x14ac:dyDescent="0.25">
      <c r="A30" t="s">
        <v>16</v>
      </c>
      <c r="B30" t="s">
        <v>58</v>
      </c>
      <c r="C30">
        <v>0</v>
      </c>
      <c r="D30">
        <v>11.02164316177368</v>
      </c>
      <c r="E30">
        <v>1</v>
      </c>
      <c r="F30">
        <v>1</v>
      </c>
      <c r="G30">
        <v>1</v>
      </c>
      <c r="H30">
        <v>1</v>
      </c>
      <c r="I30">
        <v>0</v>
      </c>
      <c r="J30">
        <v>1</v>
      </c>
      <c r="K30">
        <v>1</v>
      </c>
      <c r="L30">
        <v>1</v>
      </c>
      <c r="M30">
        <v>1</v>
      </c>
      <c r="N30">
        <v>1</v>
      </c>
      <c r="O30">
        <v>1</v>
      </c>
      <c r="P30" t="s">
        <v>314</v>
      </c>
    </row>
    <row r="31" spans="1:16" x14ac:dyDescent="0.25">
      <c r="A31" t="s">
        <v>16</v>
      </c>
      <c r="B31" t="s">
        <v>60</v>
      </c>
      <c r="C31">
        <v>0</v>
      </c>
      <c r="D31">
        <v>11.393995523452761</v>
      </c>
      <c r="E31">
        <v>1</v>
      </c>
      <c r="F31">
        <v>0</v>
      </c>
      <c r="G31">
        <v>1</v>
      </c>
      <c r="H31" t="s">
        <v>19</v>
      </c>
      <c r="I31">
        <v>1</v>
      </c>
      <c r="J31" t="s">
        <v>19</v>
      </c>
      <c r="K31">
        <v>1</v>
      </c>
      <c r="L31">
        <v>1</v>
      </c>
      <c r="M31">
        <v>1</v>
      </c>
      <c r="N31">
        <v>1</v>
      </c>
      <c r="O31">
        <v>1</v>
      </c>
      <c r="P31" t="s">
        <v>315</v>
      </c>
    </row>
    <row r="32" spans="1:16" x14ac:dyDescent="0.25">
      <c r="A32" t="s">
        <v>16</v>
      </c>
      <c r="B32" t="s">
        <v>62</v>
      </c>
      <c r="C32">
        <v>0</v>
      </c>
      <c r="D32">
        <v>11.574321508407589</v>
      </c>
      <c r="E32">
        <v>1</v>
      </c>
      <c r="F32">
        <v>0</v>
      </c>
      <c r="G32">
        <v>0</v>
      </c>
      <c r="H32" t="s">
        <v>19</v>
      </c>
      <c r="I32">
        <v>1</v>
      </c>
      <c r="J32" t="s">
        <v>19</v>
      </c>
      <c r="K32">
        <v>1</v>
      </c>
      <c r="L32">
        <v>0</v>
      </c>
      <c r="M32">
        <v>1</v>
      </c>
      <c r="N32">
        <v>1</v>
      </c>
      <c r="O32">
        <v>1</v>
      </c>
      <c r="P32" t="s">
        <v>316</v>
      </c>
    </row>
    <row r="33" spans="1:16" x14ac:dyDescent="0.25">
      <c r="A33" t="s">
        <v>16</v>
      </c>
      <c r="B33" t="s">
        <v>64</v>
      </c>
      <c r="C33">
        <v>0</v>
      </c>
      <c r="D33">
        <v>3.0298712253570561</v>
      </c>
      <c r="E33">
        <v>1</v>
      </c>
      <c r="F33">
        <v>1</v>
      </c>
      <c r="G33">
        <v>1</v>
      </c>
      <c r="H33">
        <v>1</v>
      </c>
      <c r="I33">
        <v>1</v>
      </c>
      <c r="J33">
        <v>1</v>
      </c>
      <c r="K33">
        <v>1</v>
      </c>
      <c r="L33">
        <v>1</v>
      </c>
      <c r="M33">
        <v>1</v>
      </c>
      <c r="N33">
        <v>1</v>
      </c>
      <c r="O33">
        <v>1</v>
      </c>
    </row>
    <row r="34" spans="1:16" x14ac:dyDescent="0.25">
      <c r="A34" t="s">
        <v>16</v>
      </c>
      <c r="B34" t="s">
        <v>65</v>
      </c>
      <c r="C34">
        <v>0</v>
      </c>
      <c r="D34">
        <v>13.66041946411133</v>
      </c>
      <c r="E34">
        <v>0</v>
      </c>
      <c r="F34" t="s">
        <v>19</v>
      </c>
      <c r="G34" t="s">
        <v>19</v>
      </c>
      <c r="H34" t="s">
        <v>19</v>
      </c>
      <c r="I34" t="s">
        <v>19</v>
      </c>
      <c r="J34" t="s">
        <v>19</v>
      </c>
      <c r="K34" t="s">
        <v>19</v>
      </c>
      <c r="L34" t="s">
        <v>19</v>
      </c>
      <c r="M34" t="s">
        <v>19</v>
      </c>
      <c r="N34" t="s">
        <v>19</v>
      </c>
      <c r="O34" t="s">
        <v>19</v>
      </c>
      <c r="P34" t="s">
        <v>317</v>
      </c>
    </row>
    <row r="35" spans="1:16" x14ac:dyDescent="0.25">
      <c r="A35" t="s">
        <v>16</v>
      </c>
      <c r="B35" t="s">
        <v>67</v>
      </c>
      <c r="C35">
        <v>0</v>
      </c>
      <c r="D35">
        <v>9.672957181930542</v>
      </c>
      <c r="E35">
        <v>1</v>
      </c>
      <c r="F35">
        <v>1</v>
      </c>
      <c r="G35">
        <v>0</v>
      </c>
      <c r="H35" t="s">
        <v>19</v>
      </c>
      <c r="I35">
        <v>1</v>
      </c>
      <c r="J35">
        <v>1</v>
      </c>
      <c r="K35">
        <v>1</v>
      </c>
      <c r="L35">
        <v>1</v>
      </c>
      <c r="M35">
        <v>1</v>
      </c>
      <c r="N35">
        <v>1</v>
      </c>
      <c r="O35">
        <v>1</v>
      </c>
      <c r="P35" t="s">
        <v>318</v>
      </c>
    </row>
    <row r="36" spans="1:16" x14ac:dyDescent="0.25">
      <c r="A36" t="s">
        <v>16</v>
      </c>
      <c r="B36" t="s">
        <v>69</v>
      </c>
      <c r="C36">
        <v>0</v>
      </c>
      <c r="D36">
        <v>2.9746801853179932</v>
      </c>
      <c r="E36">
        <v>1</v>
      </c>
      <c r="F36">
        <v>1</v>
      </c>
      <c r="G36">
        <v>1</v>
      </c>
      <c r="H36">
        <v>1</v>
      </c>
      <c r="I36">
        <v>1</v>
      </c>
      <c r="J36">
        <v>1</v>
      </c>
      <c r="K36">
        <v>1</v>
      </c>
      <c r="L36">
        <v>1</v>
      </c>
      <c r="M36">
        <v>1</v>
      </c>
      <c r="N36">
        <v>1</v>
      </c>
      <c r="O36">
        <v>1</v>
      </c>
    </row>
    <row r="37" spans="1:16" x14ac:dyDescent="0.25">
      <c r="A37" t="s">
        <v>16</v>
      </c>
      <c r="B37" t="s">
        <v>70</v>
      </c>
      <c r="C37">
        <v>0</v>
      </c>
      <c r="D37">
        <v>9.8585705757141113</v>
      </c>
      <c r="E37">
        <v>1</v>
      </c>
      <c r="F37">
        <v>1</v>
      </c>
      <c r="G37">
        <v>1</v>
      </c>
      <c r="H37">
        <v>1</v>
      </c>
      <c r="I37">
        <v>1</v>
      </c>
      <c r="J37">
        <v>1</v>
      </c>
      <c r="K37">
        <v>1</v>
      </c>
      <c r="L37">
        <v>1</v>
      </c>
      <c r="M37">
        <v>1</v>
      </c>
      <c r="N37">
        <v>1</v>
      </c>
      <c r="O37">
        <v>1</v>
      </c>
    </row>
    <row r="38" spans="1:16" x14ac:dyDescent="0.25">
      <c r="A38" t="s">
        <v>16</v>
      </c>
      <c r="B38" t="s">
        <v>71</v>
      </c>
      <c r="C38">
        <v>0</v>
      </c>
      <c r="D38">
        <v>10.37935304641724</v>
      </c>
      <c r="E38">
        <v>1</v>
      </c>
      <c r="F38">
        <v>0</v>
      </c>
      <c r="G38">
        <v>1</v>
      </c>
      <c r="H38" t="s">
        <v>19</v>
      </c>
      <c r="I38">
        <v>1</v>
      </c>
      <c r="J38" t="s">
        <v>19</v>
      </c>
      <c r="K38">
        <v>1</v>
      </c>
      <c r="L38">
        <v>1</v>
      </c>
      <c r="M38">
        <v>1</v>
      </c>
      <c r="N38">
        <v>1</v>
      </c>
      <c r="O38">
        <v>1</v>
      </c>
      <c r="P38" t="s">
        <v>319</v>
      </c>
    </row>
    <row r="39" spans="1:16" x14ac:dyDescent="0.25">
      <c r="A39" t="s">
        <v>16</v>
      </c>
      <c r="B39" t="s">
        <v>72</v>
      </c>
      <c r="C39">
        <v>0</v>
      </c>
      <c r="D39">
        <v>4.2076389789581299</v>
      </c>
      <c r="E39">
        <v>1</v>
      </c>
      <c r="F39">
        <v>1</v>
      </c>
      <c r="G39">
        <v>1</v>
      </c>
      <c r="H39">
        <v>1</v>
      </c>
      <c r="I39">
        <v>0</v>
      </c>
      <c r="J39">
        <v>1</v>
      </c>
      <c r="K39">
        <v>1</v>
      </c>
      <c r="L39">
        <v>1</v>
      </c>
      <c r="M39">
        <v>1</v>
      </c>
      <c r="N39">
        <v>1</v>
      </c>
      <c r="O39">
        <v>1</v>
      </c>
      <c r="P39" t="s">
        <v>320</v>
      </c>
    </row>
    <row r="40" spans="1:16" x14ac:dyDescent="0.25">
      <c r="A40" t="s">
        <v>16</v>
      </c>
      <c r="B40" t="s">
        <v>74</v>
      </c>
      <c r="C40">
        <v>0</v>
      </c>
      <c r="D40">
        <v>8.8314697742462158</v>
      </c>
      <c r="E40">
        <v>0</v>
      </c>
      <c r="F40" t="s">
        <v>19</v>
      </c>
      <c r="G40" t="s">
        <v>19</v>
      </c>
      <c r="H40" t="s">
        <v>19</v>
      </c>
      <c r="I40" t="s">
        <v>19</v>
      </c>
      <c r="J40" t="s">
        <v>19</v>
      </c>
      <c r="K40" t="s">
        <v>19</v>
      </c>
      <c r="L40" t="s">
        <v>19</v>
      </c>
      <c r="M40" t="s">
        <v>19</v>
      </c>
      <c r="N40" t="s">
        <v>19</v>
      </c>
      <c r="O40" t="s">
        <v>19</v>
      </c>
      <c r="P40" t="s">
        <v>321</v>
      </c>
    </row>
    <row r="41" spans="1:16" x14ac:dyDescent="0.25">
      <c r="A41" t="s">
        <v>16</v>
      </c>
      <c r="B41" t="s">
        <v>76</v>
      </c>
      <c r="C41">
        <v>0</v>
      </c>
      <c r="D41">
        <v>13.27067756652832</v>
      </c>
      <c r="E41">
        <v>0</v>
      </c>
      <c r="F41" t="s">
        <v>19</v>
      </c>
      <c r="G41" t="s">
        <v>19</v>
      </c>
      <c r="H41" t="s">
        <v>19</v>
      </c>
      <c r="I41" t="s">
        <v>19</v>
      </c>
      <c r="J41" t="s">
        <v>19</v>
      </c>
      <c r="K41" t="s">
        <v>19</v>
      </c>
      <c r="L41" t="s">
        <v>19</v>
      </c>
      <c r="M41" t="s">
        <v>19</v>
      </c>
      <c r="N41" t="s">
        <v>19</v>
      </c>
      <c r="O41" t="s">
        <v>19</v>
      </c>
      <c r="P41" t="s">
        <v>322</v>
      </c>
    </row>
    <row r="42" spans="1:16" x14ac:dyDescent="0.25">
      <c r="A42" t="s">
        <v>16</v>
      </c>
      <c r="B42" t="s">
        <v>78</v>
      </c>
      <c r="C42">
        <v>0</v>
      </c>
      <c r="D42">
        <v>10.881007194519039</v>
      </c>
      <c r="E42">
        <v>0</v>
      </c>
      <c r="F42" t="s">
        <v>19</v>
      </c>
      <c r="G42" t="s">
        <v>19</v>
      </c>
      <c r="H42" t="s">
        <v>19</v>
      </c>
      <c r="I42" t="s">
        <v>19</v>
      </c>
      <c r="J42" t="s">
        <v>19</v>
      </c>
      <c r="K42" t="s">
        <v>19</v>
      </c>
      <c r="L42" t="s">
        <v>19</v>
      </c>
      <c r="M42" t="s">
        <v>19</v>
      </c>
      <c r="N42" t="s">
        <v>19</v>
      </c>
      <c r="O42" t="s">
        <v>19</v>
      </c>
      <c r="P42" t="s">
        <v>323</v>
      </c>
    </row>
    <row r="43" spans="1:16" x14ac:dyDescent="0.25">
      <c r="A43" t="s">
        <v>16</v>
      </c>
      <c r="B43" t="s">
        <v>80</v>
      </c>
      <c r="C43">
        <v>0</v>
      </c>
      <c r="D43">
        <v>10.70663094520569</v>
      </c>
      <c r="E43">
        <v>1</v>
      </c>
      <c r="F43">
        <v>1</v>
      </c>
      <c r="G43">
        <v>1</v>
      </c>
      <c r="H43">
        <v>1</v>
      </c>
      <c r="I43">
        <v>1</v>
      </c>
      <c r="J43">
        <v>1</v>
      </c>
      <c r="K43">
        <v>1</v>
      </c>
      <c r="L43">
        <v>1</v>
      </c>
      <c r="M43">
        <v>1</v>
      </c>
      <c r="N43">
        <v>1</v>
      </c>
      <c r="O43">
        <v>1</v>
      </c>
    </row>
    <row r="44" spans="1:16" x14ac:dyDescent="0.25">
      <c r="A44" t="s">
        <v>16</v>
      </c>
      <c r="B44" t="s">
        <v>81</v>
      </c>
      <c r="C44">
        <v>0</v>
      </c>
      <c r="D44">
        <v>4.9160678386688232</v>
      </c>
      <c r="E44">
        <v>1</v>
      </c>
      <c r="F44">
        <v>1</v>
      </c>
      <c r="G44">
        <v>1</v>
      </c>
      <c r="H44">
        <v>0</v>
      </c>
      <c r="I44">
        <v>1</v>
      </c>
      <c r="J44">
        <v>1</v>
      </c>
      <c r="K44">
        <v>1</v>
      </c>
      <c r="L44">
        <v>1</v>
      </c>
      <c r="M44">
        <v>1</v>
      </c>
      <c r="N44">
        <v>1</v>
      </c>
      <c r="O44">
        <v>1</v>
      </c>
      <c r="P44" t="s">
        <v>324</v>
      </c>
    </row>
    <row r="45" spans="1:16" x14ac:dyDescent="0.25">
      <c r="A45" t="s">
        <v>16</v>
      </c>
      <c r="B45" t="s">
        <v>83</v>
      </c>
      <c r="C45">
        <v>0</v>
      </c>
      <c r="D45">
        <v>5.2478077411651611</v>
      </c>
      <c r="E45">
        <v>1</v>
      </c>
      <c r="F45">
        <v>1</v>
      </c>
      <c r="G45">
        <v>0</v>
      </c>
      <c r="H45" t="s">
        <v>19</v>
      </c>
      <c r="I45">
        <v>1</v>
      </c>
      <c r="J45">
        <v>1</v>
      </c>
      <c r="K45">
        <v>1</v>
      </c>
      <c r="L45">
        <v>1</v>
      </c>
      <c r="M45">
        <v>1</v>
      </c>
      <c r="N45">
        <v>1</v>
      </c>
      <c r="O45">
        <v>1</v>
      </c>
      <c r="P45" t="s">
        <v>325</v>
      </c>
    </row>
    <row r="46" spans="1:16" x14ac:dyDescent="0.25">
      <c r="A46" t="s">
        <v>16</v>
      </c>
      <c r="B46" t="s">
        <v>85</v>
      </c>
      <c r="C46">
        <v>0</v>
      </c>
      <c r="D46">
        <v>10.19317722320557</v>
      </c>
      <c r="E46">
        <v>1</v>
      </c>
      <c r="F46">
        <v>1</v>
      </c>
      <c r="G46">
        <v>0</v>
      </c>
      <c r="H46" t="s">
        <v>19</v>
      </c>
      <c r="I46">
        <v>1</v>
      </c>
      <c r="J46">
        <v>0</v>
      </c>
      <c r="K46">
        <v>1</v>
      </c>
      <c r="L46">
        <v>1</v>
      </c>
      <c r="M46">
        <v>0</v>
      </c>
      <c r="N46">
        <v>1</v>
      </c>
      <c r="O46">
        <v>1</v>
      </c>
      <c r="P46" t="s">
        <v>326</v>
      </c>
    </row>
    <row r="47" spans="1:16" x14ac:dyDescent="0.25">
      <c r="A47" t="s">
        <v>16</v>
      </c>
      <c r="B47" t="s">
        <v>87</v>
      </c>
      <c r="C47">
        <v>0</v>
      </c>
      <c r="D47">
        <v>10.81033730506897</v>
      </c>
      <c r="E47">
        <v>1</v>
      </c>
      <c r="F47">
        <v>1</v>
      </c>
      <c r="G47">
        <v>1</v>
      </c>
      <c r="H47">
        <v>1</v>
      </c>
      <c r="I47">
        <v>1</v>
      </c>
      <c r="J47">
        <v>0</v>
      </c>
      <c r="K47">
        <v>1</v>
      </c>
      <c r="L47">
        <v>1</v>
      </c>
      <c r="M47">
        <v>1</v>
      </c>
      <c r="N47">
        <v>1</v>
      </c>
      <c r="O47">
        <v>1</v>
      </c>
      <c r="P47" t="s">
        <v>327</v>
      </c>
    </row>
    <row r="48" spans="1:16" x14ac:dyDescent="0.25">
      <c r="A48" t="s">
        <v>16</v>
      </c>
      <c r="B48" t="s">
        <v>89</v>
      </c>
      <c r="C48">
        <v>0</v>
      </c>
      <c r="D48">
        <v>5.2236783504486084</v>
      </c>
      <c r="E48">
        <v>1</v>
      </c>
      <c r="F48">
        <v>1</v>
      </c>
      <c r="G48">
        <v>1</v>
      </c>
      <c r="H48">
        <v>1</v>
      </c>
      <c r="I48">
        <v>1</v>
      </c>
      <c r="J48">
        <v>0</v>
      </c>
      <c r="K48">
        <v>1</v>
      </c>
      <c r="L48">
        <v>1</v>
      </c>
      <c r="M48">
        <v>1</v>
      </c>
      <c r="N48">
        <v>1</v>
      </c>
      <c r="O48">
        <v>1</v>
      </c>
      <c r="P48" t="s">
        <v>328</v>
      </c>
    </row>
    <row r="49" spans="1:16" x14ac:dyDescent="0.25">
      <c r="A49" t="s">
        <v>16</v>
      </c>
      <c r="B49" t="s">
        <v>91</v>
      </c>
      <c r="C49">
        <v>0</v>
      </c>
      <c r="D49">
        <v>15.19454288482666</v>
      </c>
      <c r="E49">
        <v>0</v>
      </c>
      <c r="F49" t="s">
        <v>19</v>
      </c>
      <c r="G49" t="s">
        <v>19</v>
      </c>
      <c r="H49" t="s">
        <v>19</v>
      </c>
      <c r="I49" t="s">
        <v>19</v>
      </c>
      <c r="J49" t="s">
        <v>19</v>
      </c>
      <c r="K49" t="s">
        <v>19</v>
      </c>
      <c r="L49" t="s">
        <v>19</v>
      </c>
      <c r="M49" t="s">
        <v>19</v>
      </c>
      <c r="N49" t="s">
        <v>19</v>
      </c>
      <c r="O49" t="s">
        <v>19</v>
      </c>
      <c r="P49" t="s">
        <v>329</v>
      </c>
    </row>
    <row r="50" spans="1:16" x14ac:dyDescent="0.25">
      <c r="A50" t="s">
        <v>16</v>
      </c>
      <c r="B50" t="s">
        <v>93</v>
      </c>
      <c r="C50">
        <v>0</v>
      </c>
      <c r="D50">
        <v>10.055563449859619</v>
      </c>
      <c r="E50">
        <v>1</v>
      </c>
      <c r="F50">
        <v>1</v>
      </c>
      <c r="G50">
        <v>0</v>
      </c>
      <c r="H50" t="s">
        <v>19</v>
      </c>
      <c r="I50">
        <v>1</v>
      </c>
      <c r="J50">
        <v>1</v>
      </c>
      <c r="K50">
        <v>1</v>
      </c>
      <c r="L50">
        <v>1</v>
      </c>
      <c r="M50">
        <v>1</v>
      </c>
      <c r="N50">
        <v>1</v>
      </c>
      <c r="O50">
        <v>1</v>
      </c>
      <c r="P50" t="s">
        <v>330</v>
      </c>
    </row>
    <row r="51" spans="1:16" x14ac:dyDescent="0.25">
      <c r="A51" t="s">
        <v>94</v>
      </c>
      <c r="B51" t="s">
        <v>17</v>
      </c>
      <c r="C51">
        <v>0</v>
      </c>
      <c r="D51">
        <v>9.245678186416626</v>
      </c>
      <c r="E51">
        <v>1</v>
      </c>
      <c r="F51">
        <v>1</v>
      </c>
      <c r="G51">
        <v>1</v>
      </c>
      <c r="H51">
        <v>1</v>
      </c>
      <c r="I51">
        <v>1</v>
      </c>
      <c r="J51">
        <v>1</v>
      </c>
      <c r="K51">
        <v>1</v>
      </c>
      <c r="L51">
        <v>1</v>
      </c>
      <c r="M51">
        <v>1</v>
      </c>
      <c r="N51">
        <v>1</v>
      </c>
      <c r="O51">
        <v>1</v>
      </c>
    </row>
    <row r="52" spans="1:16" x14ac:dyDescent="0.25">
      <c r="A52" t="s">
        <v>94</v>
      </c>
      <c r="B52" t="s">
        <v>18</v>
      </c>
      <c r="C52">
        <v>0</v>
      </c>
      <c r="D52">
        <v>2.6750862598419189</v>
      </c>
      <c r="E52">
        <v>1</v>
      </c>
      <c r="F52">
        <v>1</v>
      </c>
      <c r="G52">
        <v>1</v>
      </c>
      <c r="H52">
        <v>1</v>
      </c>
      <c r="I52">
        <v>1</v>
      </c>
      <c r="J52">
        <v>1</v>
      </c>
      <c r="K52">
        <v>1</v>
      </c>
      <c r="L52">
        <v>1</v>
      </c>
      <c r="M52">
        <v>1</v>
      </c>
      <c r="N52">
        <v>1</v>
      </c>
      <c r="O52">
        <v>1</v>
      </c>
    </row>
    <row r="53" spans="1:16" x14ac:dyDescent="0.25">
      <c r="A53" t="s">
        <v>94</v>
      </c>
      <c r="B53" t="s">
        <v>21</v>
      </c>
      <c r="C53">
        <v>0</v>
      </c>
      <c r="D53">
        <v>4.5666570663452148</v>
      </c>
      <c r="E53">
        <v>1</v>
      </c>
      <c r="F53">
        <v>1</v>
      </c>
      <c r="G53">
        <v>1</v>
      </c>
      <c r="H53">
        <v>1</v>
      </c>
      <c r="I53">
        <v>1</v>
      </c>
      <c r="J53">
        <v>1</v>
      </c>
      <c r="K53">
        <v>0</v>
      </c>
      <c r="L53">
        <v>1</v>
      </c>
      <c r="M53">
        <v>1</v>
      </c>
      <c r="N53">
        <v>1</v>
      </c>
      <c r="O53">
        <v>1</v>
      </c>
      <c r="P53" t="s">
        <v>331</v>
      </c>
    </row>
    <row r="54" spans="1:16" x14ac:dyDescent="0.25">
      <c r="A54" t="s">
        <v>94</v>
      </c>
      <c r="B54" t="s">
        <v>23</v>
      </c>
      <c r="C54">
        <v>0</v>
      </c>
      <c r="D54">
        <v>11.97180795669556</v>
      </c>
      <c r="E54">
        <v>1</v>
      </c>
      <c r="F54">
        <v>0</v>
      </c>
      <c r="G54">
        <v>1</v>
      </c>
      <c r="H54" t="s">
        <v>19</v>
      </c>
      <c r="I54">
        <v>1</v>
      </c>
      <c r="J54" t="s">
        <v>19</v>
      </c>
      <c r="K54">
        <v>1</v>
      </c>
      <c r="L54">
        <v>1</v>
      </c>
      <c r="M54">
        <v>0</v>
      </c>
      <c r="N54">
        <v>1</v>
      </c>
      <c r="O54">
        <v>1</v>
      </c>
      <c r="P54" t="s">
        <v>332</v>
      </c>
    </row>
    <row r="55" spans="1:16" x14ac:dyDescent="0.25">
      <c r="A55" t="s">
        <v>94</v>
      </c>
      <c r="B55" t="s">
        <v>24</v>
      </c>
      <c r="C55">
        <v>0</v>
      </c>
      <c r="D55">
        <v>2.8743398189544682</v>
      </c>
      <c r="E55">
        <v>1</v>
      </c>
      <c r="F55">
        <v>1</v>
      </c>
      <c r="G55">
        <v>1</v>
      </c>
      <c r="H55">
        <v>1</v>
      </c>
      <c r="I55">
        <v>1</v>
      </c>
      <c r="J55">
        <v>1</v>
      </c>
      <c r="K55">
        <v>1</v>
      </c>
      <c r="L55">
        <v>1</v>
      </c>
      <c r="M55">
        <v>1</v>
      </c>
      <c r="N55">
        <v>1</v>
      </c>
      <c r="O55">
        <v>1</v>
      </c>
    </row>
    <row r="56" spans="1:16" x14ac:dyDescent="0.25">
      <c r="A56" t="s">
        <v>94</v>
      </c>
      <c r="B56" t="s">
        <v>25</v>
      </c>
      <c r="C56">
        <v>0</v>
      </c>
      <c r="D56">
        <v>2.9781618118286128</v>
      </c>
      <c r="E56">
        <v>1</v>
      </c>
      <c r="F56">
        <v>1</v>
      </c>
      <c r="G56">
        <v>1</v>
      </c>
      <c r="H56">
        <v>1</v>
      </c>
      <c r="I56">
        <v>1</v>
      </c>
      <c r="J56">
        <v>1</v>
      </c>
      <c r="K56">
        <v>1</v>
      </c>
      <c r="L56">
        <v>1</v>
      </c>
      <c r="M56">
        <v>1</v>
      </c>
      <c r="N56">
        <v>1</v>
      </c>
      <c r="O56">
        <v>1</v>
      </c>
    </row>
    <row r="57" spans="1:16" x14ac:dyDescent="0.25">
      <c r="A57" t="s">
        <v>94</v>
      </c>
      <c r="B57" t="s">
        <v>27</v>
      </c>
      <c r="C57">
        <v>0</v>
      </c>
      <c r="D57">
        <v>2.9090592861175542</v>
      </c>
      <c r="E57">
        <v>1</v>
      </c>
      <c r="F57">
        <v>1</v>
      </c>
      <c r="G57">
        <v>1</v>
      </c>
      <c r="H57">
        <v>1</v>
      </c>
      <c r="I57">
        <v>1</v>
      </c>
      <c r="J57">
        <v>1</v>
      </c>
      <c r="K57">
        <v>1</v>
      </c>
      <c r="L57">
        <v>1</v>
      </c>
      <c r="M57">
        <v>1</v>
      </c>
      <c r="N57">
        <v>1</v>
      </c>
      <c r="O57">
        <v>1</v>
      </c>
    </row>
    <row r="58" spans="1:16" x14ac:dyDescent="0.25">
      <c r="A58" t="s">
        <v>94</v>
      </c>
      <c r="B58" t="s">
        <v>28</v>
      </c>
      <c r="C58">
        <v>0</v>
      </c>
      <c r="D58">
        <v>5.3317654132843018</v>
      </c>
      <c r="E58">
        <v>1</v>
      </c>
      <c r="F58">
        <v>1</v>
      </c>
      <c r="G58">
        <v>1</v>
      </c>
      <c r="H58">
        <v>1</v>
      </c>
      <c r="I58">
        <v>0</v>
      </c>
      <c r="J58">
        <v>0</v>
      </c>
      <c r="K58">
        <v>1</v>
      </c>
      <c r="L58">
        <v>1</v>
      </c>
      <c r="M58">
        <v>1</v>
      </c>
      <c r="N58">
        <v>1</v>
      </c>
      <c r="O58">
        <v>1</v>
      </c>
      <c r="P58" t="s">
        <v>333</v>
      </c>
    </row>
    <row r="59" spans="1:16" x14ac:dyDescent="0.25">
      <c r="A59" t="s">
        <v>94</v>
      </c>
      <c r="B59" t="s">
        <v>29</v>
      </c>
      <c r="C59">
        <v>0</v>
      </c>
      <c r="D59">
        <v>5.4224224090576172</v>
      </c>
      <c r="E59">
        <v>1</v>
      </c>
      <c r="F59">
        <v>1</v>
      </c>
      <c r="G59">
        <v>1</v>
      </c>
      <c r="H59">
        <v>1</v>
      </c>
      <c r="I59">
        <v>0</v>
      </c>
      <c r="J59">
        <v>1</v>
      </c>
      <c r="K59">
        <v>0</v>
      </c>
      <c r="L59">
        <v>1</v>
      </c>
      <c r="M59">
        <v>1</v>
      </c>
      <c r="N59">
        <v>1</v>
      </c>
      <c r="O59">
        <v>1</v>
      </c>
      <c r="P59" t="s">
        <v>334</v>
      </c>
    </row>
    <row r="60" spans="1:16" x14ac:dyDescent="0.25">
      <c r="A60" t="s">
        <v>94</v>
      </c>
      <c r="B60" t="s">
        <v>30</v>
      </c>
      <c r="C60">
        <v>0</v>
      </c>
      <c r="D60">
        <v>10.4753303527832</v>
      </c>
      <c r="E60">
        <v>0</v>
      </c>
      <c r="F60" t="s">
        <v>19</v>
      </c>
      <c r="G60" t="s">
        <v>19</v>
      </c>
      <c r="H60" t="s">
        <v>19</v>
      </c>
      <c r="I60" t="s">
        <v>19</v>
      </c>
      <c r="J60" t="s">
        <v>19</v>
      </c>
      <c r="K60" t="s">
        <v>19</v>
      </c>
      <c r="L60" t="s">
        <v>19</v>
      </c>
      <c r="M60" t="s">
        <v>19</v>
      </c>
      <c r="N60" t="s">
        <v>19</v>
      </c>
      <c r="O60" t="s">
        <v>19</v>
      </c>
      <c r="P60" t="s">
        <v>335</v>
      </c>
    </row>
    <row r="61" spans="1:16" x14ac:dyDescent="0.25">
      <c r="A61" t="s">
        <v>94</v>
      </c>
      <c r="B61" t="s">
        <v>31</v>
      </c>
      <c r="C61">
        <v>0</v>
      </c>
      <c r="D61">
        <v>9.6868739128112793</v>
      </c>
      <c r="E61">
        <v>0</v>
      </c>
      <c r="F61" t="s">
        <v>19</v>
      </c>
      <c r="G61" t="s">
        <v>19</v>
      </c>
      <c r="H61" t="s">
        <v>19</v>
      </c>
      <c r="I61" t="s">
        <v>19</v>
      </c>
      <c r="J61" t="s">
        <v>19</v>
      </c>
      <c r="K61" t="s">
        <v>19</v>
      </c>
      <c r="L61" t="s">
        <v>19</v>
      </c>
      <c r="M61" t="s">
        <v>19</v>
      </c>
      <c r="N61" t="s">
        <v>19</v>
      </c>
      <c r="O61" t="s">
        <v>19</v>
      </c>
      <c r="P61" t="s">
        <v>336</v>
      </c>
    </row>
    <row r="62" spans="1:16" x14ac:dyDescent="0.25">
      <c r="A62" t="s">
        <v>94</v>
      </c>
      <c r="B62" t="s">
        <v>32</v>
      </c>
      <c r="C62">
        <v>0</v>
      </c>
      <c r="D62">
        <v>8.3201684951782227</v>
      </c>
      <c r="E62">
        <v>1</v>
      </c>
      <c r="F62">
        <v>1</v>
      </c>
      <c r="G62">
        <v>1</v>
      </c>
      <c r="H62">
        <v>1</v>
      </c>
      <c r="I62">
        <v>1</v>
      </c>
      <c r="J62">
        <v>1</v>
      </c>
      <c r="K62">
        <v>1</v>
      </c>
      <c r="L62">
        <v>1</v>
      </c>
      <c r="M62">
        <v>0</v>
      </c>
      <c r="N62">
        <v>1</v>
      </c>
      <c r="O62">
        <v>1</v>
      </c>
      <c r="P62" t="s">
        <v>337</v>
      </c>
    </row>
    <row r="63" spans="1:16" x14ac:dyDescent="0.25">
      <c r="A63" t="s">
        <v>94</v>
      </c>
      <c r="B63" t="s">
        <v>33</v>
      </c>
      <c r="C63">
        <v>0</v>
      </c>
      <c r="D63">
        <v>10.353633880615231</v>
      </c>
      <c r="E63">
        <v>1</v>
      </c>
      <c r="F63">
        <v>1</v>
      </c>
      <c r="G63">
        <v>1</v>
      </c>
      <c r="H63">
        <v>1</v>
      </c>
      <c r="I63">
        <v>1</v>
      </c>
      <c r="J63">
        <v>1</v>
      </c>
      <c r="K63">
        <v>1</v>
      </c>
      <c r="L63">
        <v>1</v>
      </c>
      <c r="M63">
        <v>1</v>
      </c>
      <c r="N63">
        <v>1</v>
      </c>
      <c r="O63">
        <v>1</v>
      </c>
    </row>
    <row r="64" spans="1:16" x14ac:dyDescent="0.25">
      <c r="A64" t="s">
        <v>94</v>
      </c>
      <c r="B64" t="s">
        <v>35</v>
      </c>
      <c r="C64">
        <v>0</v>
      </c>
      <c r="D64">
        <v>5.0425302982330322</v>
      </c>
      <c r="E64">
        <v>1</v>
      </c>
      <c r="F64">
        <v>1</v>
      </c>
      <c r="G64">
        <v>1</v>
      </c>
      <c r="H64">
        <v>0</v>
      </c>
      <c r="I64">
        <v>1</v>
      </c>
      <c r="J64">
        <v>1</v>
      </c>
      <c r="K64">
        <v>1</v>
      </c>
      <c r="L64">
        <v>1</v>
      </c>
      <c r="M64">
        <v>1</v>
      </c>
      <c r="N64">
        <v>1</v>
      </c>
      <c r="O64">
        <v>1</v>
      </c>
      <c r="P64" t="s">
        <v>104</v>
      </c>
    </row>
    <row r="65" spans="1:16" x14ac:dyDescent="0.25">
      <c r="A65" t="s">
        <v>94</v>
      </c>
      <c r="B65" t="s">
        <v>36</v>
      </c>
      <c r="C65">
        <v>0</v>
      </c>
      <c r="D65">
        <v>9.2522411346435547</v>
      </c>
      <c r="E65">
        <v>1</v>
      </c>
      <c r="F65">
        <v>1</v>
      </c>
      <c r="G65">
        <v>1</v>
      </c>
      <c r="H65">
        <v>1</v>
      </c>
      <c r="I65">
        <v>1</v>
      </c>
      <c r="J65">
        <v>1</v>
      </c>
      <c r="K65">
        <v>1</v>
      </c>
      <c r="L65">
        <v>1</v>
      </c>
      <c r="M65">
        <v>1</v>
      </c>
      <c r="N65">
        <v>1</v>
      </c>
      <c r="O65">
        <v>1</v>
      </c>
    </row>
    <row r="66" spans="1:16" x14ac:dyDescent="0.25">
      <c r="A66" t="s">
        <v>94</v>
      </c>
      <c r="B66" t="s">
        <v>37</v>
      </c>
      <c r="C66">
        <v>0</v>
      </c>
      <c r="D66">
        <v>2.7655611038208008</v>
      </c>
      <c r="E66">
        <v>1</v>
      </c>
      <c r="F66">
        <v>1</v>
      </c>
      <c r="G66">
        <v>1</v>
      </c>
      <c r="H66">
        <v>1</v>
      </c>
      <c r="I66">
        <v>1</v>
      </c>
      <c r="J66">
        <v>1</v>
      </c>
      <c r="K66">
        <v>1</v>
      </c>
      <c r="L66">
        <v>1</v>
      </c>
      <c r="M66">
        <v>1</v>
      </c>
      <c r="N66">
        <v>1</v>
      </c>
      <c r="O66">
        <v>1</v>
      </c>
    </row>
    <row r="67" spans="1:16" x14ac:dyDescent="0.25">
      <c r="A67" t="s">
        <v>94</v>
      </c>
      <c r="B67" t="s">
        <v>39</v>
      </c>
      <c r="C67">
        <v>0</v>
      </c>
      <c r="D67">
        <v>8.6103525161743164</v>
      </c>
      <c r="E67">
        <v>1</v>
      </c>
      <c r="F67">
        <v>1</v>
      </c>
      <c r="G67">
        <v>1</v>
      </c>
      <c r="H67">
        <v>1</v>
      </c>
      <c r="I67">
        <v>1</v>
      </c>
      <c r="J67">
        <v>1</v>
      </c>
      <c r="K67">
        <v>1</v>
      </c>
      <c r="L67">
        <v>1</v>
      </c>
      <c r="M67">
        <v>1</v>
      </c>
      <c r="N67">
        <v>1</v>
      </c>
      <c r="O67">
        <v>1</v>
      </c>
    </row>
    <row r="68" spans="1:16" x14ac:dyDescent="0.25">
      <c r="A68" t="s">
        <v>94</v>
      </c>
      <c r="B68" t="s">
        <v>40</v>
      </c>
      <c r="C68">
        <v>0</v>
      </c>
      <c r="D68">
        <v>6.3694210052490234</v>
      </c>
      <c r="E68">
        <v>1</v>
      </c>
      <c r="F68">
        <v>1</v>
      </c>
      <c r="G68">
        <v>1</v>
      </c>
      <c r="H68">
        <v>1</v>
      </c>
      <c r="I68">
        <v>1</v>
      </c>
      <c r="J68">
        <v>1</v>
      </c>
      <c r="K68">
        <v>0</v>
      </c>
      <c r="L68">
        <v>1</v>
      </c>
      <c r="M68">
        <v>1</v>
      </c>
      <c r="N68">
        <v>1</v>
      </c>
      <c r="O68">
        <v>1</v>
      </c>
      <c r="P68" t="s">
        <v>338</v>
      </c>
    </row>
    <row r="69" spans="1:16" x14ac:dyDescent="0.25">
      <c r="A69" t="s">
        <v>94</v>
      </c>
      <c r="B69" t="s">
        <v>41</v>
      </c>
      <c r="C69">
        <v>0</v>
      </c>
      <c r="D69">
        <v>9.1707820892333984</v>
      </c>
      <c r="E69">
        <v>1</v>
      </c>
      <c r="F69">
        <v>1</v>
      </c>
      <c r="G69">
        <v>1</v>
      </c>
      <c r="H69">
        <v>1</v>
      </c>
      <c r="I69">
        <v>1</v>
      </c>
      <c r="J69">
        <v>1</v>
      </c>
      <c r="K69">
        <v>1</v>
      </c>
      <c r="L69">
        <v>1</v>
      </c>
      <c r="M69">
        <v>1</v>
      </c>
      <c r="N69">
        <v>1</v>
      </c>
      <c r="O69">
        <v>1</v>
      </c>
    </row>
    <row r="70" spans="1:16" x14ac:dyDescent="0.25">
      <c r="A70" t="s">
        <v>94</v>
      </c>
      <c r="B70" t="s">
        <v>42</v>
      </c>
      <c r="C70">
        <v>0</v>
      </c>
      <c r="D70">
        <v>8.8045787811279297</v>
      </c>
      <c r="E70">
        <v>1</v>
      </c>
      <c r="F70">
        <v>1</v>
      </c>
      <c r="G70">
        <v>1</v>
      </c>
      <c r="H70">
        <v>1</v>
      </c>
      <c r="I70">
        <v>1</v>
      </c>
      <c r="J70">
        <v>1</v>
      </c>
      <c r="K70">
        <v>1</v>
      </c>
      <c r="L70">
        <v>1</v>
      </c>
      <c r="M70">
        <v>1</v>
      </c>
      <c r="N70">
        <v>1</v>
      </c>
      <c r="O70">
        <v>1</v>
      </c>
    </row>
    <row r="71" spans="1:16" x14ac:dyDescent="0.25">
      <c r="A71" t="s">
        <v>94</v>
      </c>
      <c r="B71" t="s">
        <v>44</v>
      </c>
      <c r="C71">
        <v>0</v>
      </c>
      <c r="D71">
        <v>6.7916698455810547</v>
      </c>
      <c r="E71">
        <v>1</v>
      </c>
      <c r="F71">
        <v>1</v>
      </c>
      <c r="G71">
        <v>0</v>
      </c>
      <c r="H71" t="s">
        <v>19</v>
      </c>
      <c r="I71">
        <v>1</v>
      </c>
      <c r="J71">
        <v>1</v>
      </c>
      <c r="K71">
        <v>1</v>
      </c>
      <c r="L71">
        <v>1</v>
      </c>
      <c r="M71">
        <v>1</v>
      </c>
      <c r="N71">
        <v>1</v>
      </c>
      <c r="O71">
        <v>1</v>
      </c>
      <c r="P71" t="s">
        <v>339</v>
      </c>
    </row>
    <row r="72" spans="1:16" x14ac:dyDescent="0.25">
      <c r="A72" t="s">
        <v>94</v>
      </c>
      <c r="B72" t="s">
        <v>46</v>
      </c>
      <c r="C72">
        <v>0</v>
      </c>
      <c r="D72">
        <v>7.899320125579834</v>
      </c>
      <c r="E72">
        <v>1</v>
      </c>
      <c r="F72">
        <v>1</v>
      </c>
      <c r="G72">
        <v>1</v>
      </c>
      <c r="H72">
        <v>1</v>
      </c>
      <c r="I72">
        <v>1</v>
      </c>
      <c r="J72">
        <v>1</v>
      </c>
      <c r="K72">
        <v>1</v>
      </c>
      <c r="L72">
        <v>0</v>
      </c>
      <c r="M72">
        <v>1</v>
      </c>
      <c r="N72">
        <v>1</v>
      </c>
      <c r="O72">
        <v>1</v>
      </c>
      <c r="P72" t="s">
        <v>340</v>
      </c>
    </row>
    <row r="73" spans="1:16" x14ac:dyDescent="0.25">
      <c r="A73" t="s">
        <v>94</v>
      </c>
      <c r="B73" t="s">
        <v>48</v>
      </c>
      <c r="C73">
        <v>0</v>
      </c>
      <c r="D73">
        <v>10.784345626831049</v>
      </c>
      <c r="E73">
        <v>1</v>
      </c>
      <c r="F73">
        <v>1</v>
      </c>
      <c r="G73">
        <v>1</v>
      </c>
      <c r="H73">
        <v>1</v>
      </c>
      <c r="I73">
        <v>1</v>
      </c>
      <c r="J73">
        <v>1</v>
      </c>
      <c r="K73">
        <v>1</v>
      </c>
      <c r="L73">
        <v>1</v>
      </c>
      <c r="M73">
        <v>1</v>
      </c>
      <c r="N73">
        <v>1</v>
      </c>
      <c r="O73">
        <v>1</v>
      </c>
    </row>
    <row r="74" spans="1:16" x14ac:dyDescent="0.25">
      <c r="A74" t="s">
        <v>94</v>
      </c>
      <c r="B74" t="s">
        <v>49</v>
      </c>
      <c r="C74">
        <v>0</v>
      </c>
      <c r="D74">
        <v>6.5944621562957764</v>
      </c>
      <c r="E74">
        <v>1</v>
      </c>
      <c r="F74">
        <v>1</v>
      </c>
      <c r="G74">
        <v>0</v>
      </c>
      <c r="H74" t="s">
        <v>19</v>
      </c>
      <c r="I74">
        <v>1</v>
      </c>
      <c r="J74">
        <v>1</v>
      </c>
      <c r="K74">
        <v>1</v>
      </c>
      <c r="L74">
        <v>1</v>
      </c>
      <c r="M74">
        <v>1</v>
      </c>
      <c r="N74">
        <v>1</v>
      </c>
      <c r="O74">
        <v>1</v>
      </c>
      <c r="P74" t="s">
        <v>341</v>
      </c>
    </row>
    <row r="75" spans="1:16" x14ac:dyDescent="0.25">
      <c r="A75" t="s">
        <v>94</v>
      </c>
      <c r="B75" t="s">
        <v>51</v>
      </c>
      <c r="C75">
        <v>0</v>
      </c>
      <c r="D75">
        <v>12.112584829330441</v>
      </c>
      <c r="E75">
        <v>1</v>
      </c>
      <c r="F75">
        <v>1</v>
      </c>
      <c r="G75">
        <v>0</v>
      </c>
      <c r="H75" t="s">
        <v>19</v>
      </c>
      <c r="I75">
        <v>1</v>
      </c>
      <c r="J75">
        <v>1</v>
      </c>
      <c r="K75">
        <v>1</v>
      </c>
      <c r="L75">
        <v>1</v>
      </c>
      <c r="M75">
        <v>1</v>
      </c>
      <c r="N75">
        <v>1</v>
      </c>
      <c r="O75">
        <v>1</v>
      </c>
      <c r="P75" t="s">
        <v>342</v>
      </c>
    </row>
    <row r="76" spans="1:16" x14ac:dyDescent="0.25">
      <c r="A76" t="s">
        <v>94</v>
      </c>
      <c r="B76" t="s">
        <v>52</v>
      </c>
      <c r="C76">
        <v>0</v>
      </c>
      <c r="D76">
        <v>4.1956801414489746</v>
      </c>
      <c r="E76">
        <v>1</v>
      </c>
      <c r="F76">
        <v>1</v>
      </c>
      <c r="G76">
        <v>1</v>
      </c>
      <c r="H76">
        <v>1</v>
      </c>
      <c r="I76">
        <v>0</v>
      </c>
      <c r="J76">
        <v>1</v>
      </c>
      <c r="K76">
        <v>1</v>
      </c>
      <c r="L76">
        <v>1</v>
      </c>
      <c r="M76">
        <v>1</v>
      </c>
      <c r="N76">
        <v>1</v>
      </c>
      <c r="O76">
        <v>1</v>
      </c>
      <c r="P76" t="s">
        <v>343</v>
      </c>
    </row>
    <row r="77" spans="1:16" x14ac:dyDescent="0.25">
      <c r="A77" t="s">
        <v>94</v>
      </c>
      <c r="B77" t="s">
        <v>54</v>
      </c>
      <c r="C77">
        <v>0</v>
      </c>
      <c r="D77">
        <v>10.67897987365723</v>
      </c>
      <c r="E77">
        <v>1</v>
      </c>
      <c r="F77">
        <v>0</v>
      </c>
      <c r="G77">
        <v>1</v>
      </c>
      <c r="H77" t="s">
        <v>19</v>
      </c>
      <c r="I77">
        <v>1</v>
      </c>
      <c r="J77" t="s">
        <v>19</v>
      </c>
      <c r="K77">
        <v>1</v>
      </c>
      <c r="L77">
        <v>1</v>
      </c>
      <c r="M77">
        <v>1</v>
      </c>
      <c r="N77">
        <v>1</v>
      </c>
      <c r="O77">
        <v>1</v>
      </c>
      <c r="P77" t="s">
        <v>344</v>
      </c>
    </row>
    <row r="78" spans="1:16" x14ac:dyDescent="0.25">
      <c r="A78" t="s">
        <v>94</v>
      </c>
      <c r="B78" t="s">
        <v>56</v>
      </c>
      <c r="C78">
        <v>0</v>
      </c>
      <c r="D78">
        <v>4.632969856262207</v>
      </c>
      <c r="E78">
        <v>1</v>
      </c>
      <c r="F78">
        <v>1</v>
      </c>
      <c r="G78">
        <v>1</v>
      </c>
      <c r="H78">
        <v>1</v>
      </c>
      <c r="I78">
        <v>1</v>
      </c>
      <c r="J78">
        <v>1</v>
      </c>
      <c r="K78">
        <v>0</v>
      </c>
      <c r="L78">
        <v>1</v>
      </c>
      <c r="M78">
        <v>1</v>
      </c>
      <c r="N78">
        <v>1</v>
      </c>
      <c r="O78">
        <v>1</v>
      </c>
      <c r="P78" t="s">
        <v>345</v>
      </c>
    </row>
    <row r="79" spans="1:16" x14ac:dyDescent="0.25">
      <c r="A79" t="s">
        <v>94</v>
      </c>
      <c r="B79" t="s">
        <v>58</v>
      </c>
      <c r="C79">
        <v>0</v>
      </c>
      <c r="D79">
        <v>11.4900529384613</v>
      </c>
      <c r="E79">
        <v>1</v>
      </c>
      <c r="F79">
        <v>1</v>
      </c>
      <c r="G79">
        <v>1</v>
      </c>
      <c r="H79">
        <v>1</v>
      </c>
      <c r="I79">
        <v>1</v>
      </c>
      <c r="J79">
        <v>1</v>
      </c>
      <c r="K79">
        <v>0</v>
      </c>
      <c r="L79">
        <v>1</v>
      </c>
      <c r="M79">
        <v>1</v>
      </c>
      <c r="N79">
        <v>1</v>
      </c>
      <c r="O79">
        <v>1</v>
      </c>
      <c r="P79" t="s">
        <v>346</v>
      </c>
    </row>
    <row r="80" spans="1:16" x14ac:dyDescent="0.25">
      <c r="A80" t="s">
        <v>94</v>
      </c>
      <c r="B80" t="s">
        <v>60</v>
      </c>
      <c r="C80">
        <v>0</v>
      </c>
      <c r="D80">
        <v>2.6980206966400151</v>
      </c>
      <c r="E80">
        <v>1</v>
      </c>
      <c r="F80">
        <v>1</v>
      </c>
      <c r="G80">
        <v>1</v>
      </c>
      <c r="H80">
        <v>1</v>
      </c>
      <c r="I80">
        <v>1</v>
      </c>
      <c r="J80">
        <v>1</v>
      </c>
      <c r="K80">
        <v>1</v>
      </c>
      <c r="L80">
        <v>1</v>
      </c>
      <c r="M80">
        <v>1</v>
      </c>
      <c r="N80">
        <v>1</v>
      </c>
      <c r="O80">
        <v>1</v>
      </c>
    </row>
    <row r="81" spans="1:16" x14ac:dyDescent="0.25">
      <c r="A81" t="s">
        <v>94</v>
      </c>
      <c r="B81" t="s">
        <v>62</v>
      </c>
      <c r="C81">
        <v>0</v>
      </c>
      <c r="D81">
        <v>7.4669327735900879</v>
      </c>
      <c r="E81">
        <v>1</v>
      </c>
      <c r="F81">
        <v>1</v>
      </c>
      <c r="G81">
        <v>1</v>
      </c>
      <c r="H81">
        <v>1</v>
      </c>
      <c r="I81">
        <v>1</v>
      </c>
      <c r="J81">
        <v>1</v>
      </c>
      <c r="K81">
        <v>1</v>
      </c>
      <c r="L81">
        <v>1</v>
      </c>
      <c r="M81">
        <v>1</v>
      </c>
      <c r="N81">
        <v>1</v>
      </c>
      <c r="O81">
        <v>1</v>
      </c>
    </row>
    <row r="82" spans="1:16" x14ac:dyDescent="0.25">
      <c r="A82" t="s">
        <v>94</v>
      </c>
      <c r="B82" t="s">
        <v>64</v>
      </c>
      <c r="C82">
        <v>0</v>
      </c>
      <c r="D82">
        <v>6.5707178115844727</v>
      </c>
      <c r="E82">
        <v>1</v>
      </c>
      <c r="F82">
        <v>1</v>
      </c>
      <c r="G82">
        <v>1</v>
      </c>
      <c r="H82">
        <v>1</v>
      </c>
      <c r="I82">
        <v>1</v>
      </c>
      <c r="J82">
        <v>1</v>
      </c>
      <c r="K82">
        <v>0</v>
      </c>
      <c r="L82">
        <v>1</v>
      </c>
      <c r="M82">
        <v>1</v>
      </c>
      <c r="N82">
        <v>1</v>
      </c>
      <c r="O82">
        <v>1</v>
      </c>
      <c r="P82" t="s">
        <v>347</v>
      </c>
    </row>
    <row r="83" spans="1:16" x14ac:dyDescent="0.25">
      <c r="A83" t="s">
        <v>94</v>
      </c>
      <c r="B83" t="s">
        <v>65</v>
      </c>
      <c r="C83">
        <v>0</v>
      </c>
      <c r="D83">
        <v>10.69413113594055</v>
      </c>
      <c r="E83">
        <v>1</v>
      </c>
      <c r="F83">
        <v>1</v>
      </c>
      <c r="G83">
        <v>1</v>
      </c>
      <c r="H83">
        <v>1</v>
      </c>
      <c r="I83">
        <v>0</v>
      </c>
      <c r="J83">
        <v>1</v>
      </c>
      <c r="K83">
        <v>1</v>
      </c>
      <c r="L83">
        <v>1</v>
      </c>
      <c r="M83">
        <v>1</v>
      </c>
      <c r="N83">
        <v>1</v>
      </c>
      <c r="O83">
        <v>1</v>
      </c>
      <c r="P83" t="s">
        <v>348</v>
      </c>
    </row>
    <row r="84" spans="1:16" x14ac:dyDescent="0.25">
      <c r="A84" t="s">
        <v>94</v>
      </c>
      <c r="B84" t="s">
        <v>67</v>
      </c>
      <c r="C84">
        <v>0</v>
      </c>
      <c r="D84">
        <v>2.5477347373962398</v>
      </c>
      <c r="E84">
        <v>1</v>
      </c>
      <c r="F84">
        <v>1</v>
      </c>
      <c r="G84">
        <v>1</v>
      </c>
      <c r="H84">
        <v>1</v>
      </c>
      <c r="I84">
        <v>1</v>
      </c>
      <c r="J84">
        <v>1</v>
      </c>
      <c r="K84">
        <v>1</v>
      </c>
      <c r="L84">
        <v>1</v>
      </c>
      <c r="M84">
        <v>1</v>
      </c>
      <c r="N84">
        <v>1</v>
      </c>
      <c r="O84">
        <v>1</v>
      </c>
    </row>
    <row r="85" spans="1:16" x14ac:dyDescent="0.25">
      <c r="A85" t="s">
        <v>94</v>
      </c>
      <c r="B85" t="s">
        <v>69</v>
      </c>
      <c r="C85">
        <v>0</v>
      </c>
      <c r="D85">
        <v>4.4215283393859863</v>
      </c>
      <c r="E85">
        <v>1</v>
      </c>
      <c r="F85">
        <v>1</v>
      </c>
      <c r="G85">
        <v>1</v>
      </c>
      <c r="H85">
        <v>1</v>
      </c>
      <c r="I85">
        <v>0</v>
      </c>
      <c r="J85">
        <v>1</v>
      </c>
      <c r="K85">
        <v>1</v>
      </c>
      <c r="L85">
        <v>1</v>
      </c>
      <c r="M85">
        <v>1</v>
      </c>
      <c r="N85">
        <v>1</v>
      </c>
      <c r="O85">
        <v>1</v>
      </c>
      <c r="P85" t="s">
        <v>349</v>
      </c>
    </row>
    <row r="86" spans="1:16" x14ac:dyDescent="0.25">
      <c r="A86" t="s">
        <v>94</v>
      </c>
      <c r="B86" t="s">
        <v>70</v>
      </c>
      <c r="C86">
        <v>0</v>
      </c>
      <c r="D86">
        <v>6.6658902168273926</v>
      </c>
      <c r="E86">
        <v>1</v>
      </c>
      <c r="F86">
        <v>1</v>
      </c>
      <c r="G86">
        <v>0</v>
      </c>
      <c r="H86" t="s">
        <v>19</v>
      </c>
      <c r="I86">
        <v>1</v>
      </c>
      <c r="J86">
        <v>1</v>
      </c>
      <c r="K86">
        <v>1</v>
      </c>
      <c r="L86">
        <v>1</v>
      </c>
      <c r="M86">
        <v>1</v>
      </c>
      <c r="N86">
        <v>1</v>
      </c>
      <c r="O86">
        <v>1</v>
      </c>
      <c r="P86" t="s">
        <v>350</v>
      </c>
    </row>
    <row r="87" spans="1:16" x14ac:dyDescent="0.25">
      <c r="A87" t="s">
        <v>94</v>
      </c>
      <c r="B87" t="s">
        <v>71</v>
      </c>
      <c r="C87">
        <v>0</v>
      </c>
      <c r="D87">
        <v>10.067033767700201</v>
      </c>
      <c r="E87">
        <v>1</v>
      </c>
      <c r="F87">
        <v>1</v>
      </c>
      <c r="G87">
        <v>1</v>
      </c>
      <c r="H87">
        <v>1</v>
      </c>
      <c r="I87">
        <v>1</v>
      </c>
      <c r="J87">
        <v>1</v>
      </c>
      <c r="K87">
        <v>1</v>
      </c>
      <c r="L87">
        <v>1</v>
      </c>
      <c r="M87">
        <v>1</v>
      </c>
      <c r="N87">
        <v>1</v>
      </c>
      <c r="O87">
        <v>1</v>
      </c>
    </row>
    <row r="88" spans="1:16" x14ac:dyDescent="0.25">
      <c r="A88" t="s">
        <v>94</v>
      </c>
      <c r="B88" t="s">
        <v>72</v>
      </c>
      <c r="C88">
        <v>0</v>
      </c>
      <c r="D88">
        <v>5.3329274654388428</v>
      </c>
      <c r="E88">
        <v>1</v>
      </c>
      <c r="F88">
        <v>1</v>
      </c>
      <c r="G88">
        <v>0</v>
      </c>
      <c r="H88" t="s">
        <v>19</v>
      </c>
      <c r="I88">
        <v>1</v>
      </c>
      <c r="J88">
        <v>1</v>
      </c>
      <c r="K88">
        <v>0</v>
      </c>
      <c r="L88">
        <v>1</v>
      </c>
      <c r="M88">
        <v>1</v>
      </c>
      <c r="N88">
        <v>1</v>
      </c>
      <c r="O88">
        <v>1</v>
      </c>
      <c r="P88" t="s">
        <v>351</v>
      </c>
    </row>
    <row r="89" spans="1:16" x14ac:dyDescent="0.25">
      <c r="A89" t="s">
        <v>94</v>
      </c>
      <c r="B89" t="s">
        <v>74</v>
      </c>
      <c r="C89">
        <v>0</v>
      </c>
      <c r="D89">
        <v>5.3583385944366464</v>
      </c>
      <c r="E89">
        <v>1</v>
      </c>
      <c r="F89">
        <v>1</v>
      </c>
      <c r="G89">
        <v>1</v>
      </c>
      <c r="H89">
        <v>0</v>
      </c>
      <c r="I89">
        <v>1</v>
      </c>
      <c r="J89">
        <v>1</v>
      </c>
      <c r="K89">
        <v>1</v>
      </c>
      <c r="L89">
        <v>1</v>
      </c>
      <c r="M89">
        <v>1</v>
      </c>
      <c r="N89">
        <v>1</v>
      </c>
      <c r="O89">
        <v>1</v>
      </c>
      <c r="P89" t="s">
        <v>352</v>
      </c>
    </row>
    <row r="90" spans="1:16" x14ac:dyDescent="0.25">
      <c r="A90" t="s">
        <v>94</v>
      </c>
      <c r="B90" t="s">
        <v>76</v>
      </c>
      <c r="C90">
        <v>0</v>
      </c>
      <c r="D90">
        <v>15.183652400970461</v>
      </c>
      <c r="E90">
        <v>0</v>
      </c>
      <c r="F90" t="s">
        <v>19</v>
      </c>
      <c r="G90" t="s">
        <v>19</v>
      </c>
      <c r="H90" t="s">
        <v>19</v>
      </c>
      <c r="I90" t="s">
        <v>19</v>
      </c>
      <c r="J90" t="s">
        <v>19</v>
      </c>
      <c r="K90" t="s">
        <v>19</v>
      </c>
      <c r="L90" t="s">
        <v>19</v>
      </c>
      <c r="M90" t="s">
        <v>19</v>
      </c>
      <c r="N90" t="s">
        <v>19</v>
      </c>
      <c r="O90" t="s">
        <v>19</v>
      </c>
      <c r="P90" t="s">
        <v>353</v>
      </c>
    </row>
    <row r="91" spans="1:16" x14ac:dyDescent="0.25">
      <c r="A91" t="s">
        <v>94</v>
      </c>
      <c r="B91" t="s">
        <v>78</v>
      </c>
      <c r="C91">
        <v>0</v>
      </c>
      <c r="D91">
        <v>9.8657786846160889</v>
      </c>
      <c r="E91">
        <v>1</v>
      </c>
      <c r="F91">
        <v>1</v>
      </c>
      <c r="G91">
        <v>1</v>
      </c>
      <c r="H91">
        <v>1</v>
      </c>
      <c r="I91">
        <v>1</v>
      </c>
      <c r="J91">
        <v>1</v>
      </c>
      <c r="K91">
        <v>1</v>
      </c>
      <c r="L91">
        <v>1</v>
      </c>
      <c r="M91">
        <v>1</v>
      </c>
      <c r="N91">
        <v>1</v>
      </c>
      <c r="O91">
        <v>1</v>
      </c>
    </row>
    <row r="92" spans="1:16" x14ac:dyDescent="0.25">
      <c r="A92" t="s">
        <v>94</v>
      </c>
      <c r="B92" t="s">
        <v>80</v>
      </c>
      <c r="C92">
        <v>0</v>
      </c>
      <c r="D92">
        <v>2.6670083999633789</v>
      </c>
      <c r="E92">
        <v>1</v>
      </c>
      <c r="F92">
        <v>1</v>
      </c>
      <c r="G92">
        <v>1</v>
      </c>
      <c r="H92">
        <v>1</v>
      </c>
      <c r="I92">
        <v>1</v>
      </c>
      <c r="J92">
        <v>1</v>
      </c>
      <c r="K92">
        <v>1</v>
      </c>
      <c r="L92">
        <v>1</v>
      </c>
      <c r="M92">
        <v>1</v>
      </c>
      <c r="N92">
        <v>1</v>
      </c>
      <c r="O92">
        <v>1</v>
      </c>
    </row>
    <row r="93" spans="1:16" x14ac:dyDescent="0.25">
      <c r="A93" t="s">
        <v>94</v>
      </c>
      <c r="B93" t="s">
        <v>81</v>
      </c>
      <c r="C93">
        <v>0</v>
      </c>
      <c r="D93">
        <v>4.6357929706573486</v>
      </c>
      <c r="E93">
        <v>1</v>
      </c>
      <c r="F93">
        <v>1</v>
      </c>
      <c r="G93">
        <v>1</v>
      </c>
      <c r="H93">
        <v>1</v>
      </c>
      <c r="I93">
        <v>1</v>
      </c>
      <c r="J93">
        <v>0</v>
      </c>
      <c r="K93">
        <v>1</v>
      </c>
      <c r="L93">
        <v>1</v>
      </c>
      <c r="M93">
        <v>1</v>
      </c>
      <c r="N93">
        <v>1</v>
      </c>
      <c r="O93">
        <v>1</v>
      </c>
      <c r="P93" t="s">
        <v>354</v>
      </c>
    </row>
    <row r="94" spans="1:16" x14ac:dyDescent="0.25">
      <c r="A94" t="s">
        <v>94</v>
      </c>
      <c r="B94" t="s">
        <v>83</v>
      </c>
      <c r="C94">
        <v>0</v>
      </c>
      <c r="D94">
        <v>2.7672135829925542</v>
      </c>
      <c r="E94">
        <v>1</v>
      </c>
      <c r="F94">
        <v>1</v>
      </c>
      <c r="G94">
        <v>1</v>
      </c>
      <c r="H94">
        <v>1</v>
      </c>
      <c r="I94">
        <v>1</v>
      </c>
      <c r="J94">
        <v>1</v>
      </c>
      <c r="K94">
        <v>1</v>
      </c>
      <c r="L94">
        <v>1</v>
      </c>
      <c r="M94">
        <v>1</v>
      </c>
      <c r="N94">
        <v>1</v>
      </c>
      <c r="O94">
        <v>1</v>
      </c>
    </row>
    <row r="95" spans="1:16" x14ac:dyDescent="0.25">
      <c r="A95" t="s">
        <v>94</v>
      </c>
      <c r="B95" t="s">
        <v>85</v>
      </c>
      <c r="C95">
        <v>0</v>
      </c>
      <c r="D95">
        <v>14.479495525360109</v>
      </c>
      <c r="E95">
        <v>1</v>
      </c>
      <c r="F95">
        <v>1</v>
      </c>
      <c r="G95">
        <v>1</v>
      </c>
      <c r="H95">
        <v>1</v>
      </c>
      <c r="I95">
        <v>1</v>
      </c>
      <c r="J95">
        <v>0</v>
      </c>
      <c r="K95">
        <v>1</v>
      </c>
      <c r="L95">
        <v>1</v>
      </c>
      <c r="M95">
        <v>1</v>
      </c>
      <c r="N95">
        <v>1</v>
      </c>
      <c r="O95">
        <v>1</v>
      </c>
      <c r="P95" t="s">
        <v>355</v>
      </c>
    </row>
    <row r="96" spans="1:16" x14ac:dyDescent="0.25">
      <c r="A96" t="s">
        <v>94</v>
      </c>
      <c r="B96" t="s">
        <v>87</v>
      </c>
      <c r="C96">
        <v>0</v>
      </c>
      <c r="D96">
        <v>10.46782398223877</v>
      </c>
      <c r="E96">
        <v>1</v>
      </c>
      <c r="F96">
        <v>1</v>
      </c>
      <c r="G96">
        <v>0</v>
      </c>
      <c r="H96" t="s">
        <v>19</v>
      </c>
      <c r="I96">
        <v>1</v>
      </c>
      <c r="J96">
        <v>1</v>
      </c>
      <c r="K96">
        <v>1</v>
      </c>
      <c r="L96">
        <v>1</v>
      </c>
      <c r="M96">
        <v>1</v>
      </c>
      <c r="N96">
        <v>1</v>
      </c>
      <c r="O96">
        <v>1</v>
      </c>
      <c r="P96" t="s">
        <v>356</v>
      </c>
    </row>
    <row r="97" spans="1:16" x14ac:dyDescent="0.25">
      <c r="A97" t="s">
        <v>94</v>
      </c>
      <c r="B97" t="s">
        <v>89</v>
      </c>
      <c r="C97">
        <v>0</v>
      </c>
      <c r="D97">
        <v>6.0870637893676758</v>
      </c>
      <c r="E97">
        <v>1</v>
      </c>
      <c r="F97">
        <v>1</v>
      </c>
      <c r="G97">
        <v>0</v>
      </c>
      <c r="H97" t="s">
        <v>19</v>
      </c>
      <c r="I97">
        <v>1</v>
      </c>
      <c r="J97">
        <v>0</v>
      </c>
      <c r="K97">
        <v>1</v>
      </c>
      <c r="L97">
        <v>1</v>
      </c>
      <c r="M97">
        <v>1</v>
      </c>
      <c r="N97">
        <v>1</v>
      </c>
      <c r="O97">
        <v>1</v>
      </c>
      <c r="P97" t="s">
        <v>357</v>
      </c>
    </row>
    <row r="98" spans="1:16" x14ac:dyDescent="0.25">
      <c r="A98" t="s">
        <v>94</v>
      </c>
      <c r="B98" t="s">
        <v>91</v>
      </c>
      <c r="C98">
        <v>0</v>
      </c>
      <c r="D98">
        <v>4.387080192565918</v>
      </c>
      <c r="E98">
        <v>1</v>
      </c>
      <c r="F98">
        <v>1</v>
      </c>
      <c r="G98">
        <v>1</v>
      </c>
      <c r="H98">
        <v>1</v>
      </c>
      <c r="I98">
        <v>1</v>
      </c>
      <c r="J98">
        <v>1</v>
      </c>
      <c r="K98">
        <v>0</v>
      </c>
      <c r="L98">
        <v>1</v>
      </c>
      <c r="M98">
        <v>1</v>
      </c>
      <c r="N98">
        <v>1</v>
      </c>
      <c r="O98">
        <v>1</v>
      </c>
      <c r="P98" t="s">
        <v>358</v>
      </c>
    </row>
    <row r="99" spans="1:16" x14ac:dyDescent="0.25">
      <c r="A99" t="s">
        <v>94</v>
      </c>
      <c r="B99" t="s">
        <v>93</v>
      </c>
      <c r="C99">
        <v>0</v>
      </c>
      <c r="D99">
        <v>5.2355504035949707</v>
      </c>
      <c r="E99">
        <v>1</v>
      </c>
      <c r="F99">
        <v>1</v>
      </c>
      <c r="G99">
        <v>1</v>
      </c>
      <c r="H99">
        <v>1</v>
      </c>
      <c r="I99">
        <v>1</v>
      </c>
      <c r="J99">
        <v>0</v>
      </c>
      <c r="K99">
        <v>1</v>
      </c>
      <c r="L99">
        <v>1</v>
      </c>
      <c r="M99">
        <v>1</v>
      </c>
      <c r="N99">
        <v>1</v>
      </c>
      <c r="O99">
        <v>1</v>
      </c>
      <c r="P99" t="s">
        <v>359</v>
      </c>
    </row>
    <row r="100" spans="1:16" x14ac:dyDescent="0.25">
      <c r="A100" t="s">
        <v>94</v>
      </c>
      <c r="B100" t="s">
        <v>128</v>
      </c>
      <c r="C100">
        <v>0</v>
      </c>
      <c r="D100">
        <v>11.840768814086911</v>
      </c>
      <c r="E100">
        <v>1</v>
      </c>
      <c r="F100">
        <v>1</v>
      </c>
      <c r="G100">
        <v>1</v>
      </c>
      <c r="H100">
        <v>1</v>
      </c>
      <c r="I100">
        <v>1</v>
      </c>
      <c r="J100">
        <v>1</v>
      </c>
      <c r="K100">
        <v>1</v>
      </c>
      <c r="L100">
        <v>1</v>
      </c>
      <c r="M100">
        <v>1</v>
      </c>
      <c r="N100">
        <v>1</v>
      </c>
      <c r="O100">
        <v>1</v>
      </c>
    </row>
    <row r="101" spans="1:16" x14ac:dyDescent="0.25">
      <c r="A101" t="s">
        <v>94</v>
      </c>
      <c r="B101" t="s">
        <v>129</v>
      </c>
      <c r="C101">
        <v>0</v>
      </c>
      <c r="D101">
        <v>7.4778623580932617</v>
      </c>
      <c r="E101">
        <v>1</v>
      </c>
      <c r="F101">
        <v>1</v>
      </c>
      <c r="G101">
        <v>1</v>
      </c>
      <c r="H101">
        <v>1</v>
      </c>
      <c r="I101">
        <v>1</v>
      </c>
      <c r="J101">
        <v>0</v>
      </c>
      <c r="K101">
        <v>1</v>
      </c>
      <c r="L101">
        <v>1</v>
      </c>
      <c r="M101">
        <v>1</v>
      </c>
      <c r="N101">
        <v>1</v>
      </c>
      <c r="O101">
        <v>1</v>
      </c>
      <c r="P101" t="s">
        <v>360</v>
      </c>
    </row>
    <row r="102" spans="1:16" x14ac:dyDescent="0.25">
      <c r="A102" t="s">
        <v>94</v>
      </c>
      <c r="B102" t="s">
        <v>131</v>
      </c>
      <c r="C102">
        <v>0</v>
      </c>
      <c r="D102">
        <v>6.1634252071380624</v>
      </c>
      <c r="E102">
        <v>0</v>
      </c>
      <c r="F102" t="s">
        <v>19</v>
      </c>
      <c r="G102" t="s">
        <v>19</v>
      </c>
      <c r="H102" t="s">
        <v>19</v>
      </c>
      <c r="I102" t="s">
        <v>19</v>
      </c>
      <c r="J102" t="s">
        <v>19</v>
      </c>
      <c r="K102" t="s">
        <v>19</v>
      </c>
      <c r="L102" t="s">
        <v>19</v>
      </c>
      <c r="M102" t="s">
        <v>19</v>
      </c>
      <c r="N102" t="s">
        <v>19</v>
      </c>
      <c r="O102" t="s">
        <v>19</v>
      </c>
      <c r="P102" t="s">
        <v>361</v>
      </c>
    </row>
    <row r="103" spans="1:16" x14ac:dyDescent="0.25">
      <c r="A103" t="s">
        <v>94</v>
      </c>
      <c r="B103" t="s">
        <v>133</v>
      </c>
      <c r="C103">
        <v>0</v>
      </c>
      <c r="D103">
        <v>10.74631142616272</v>
      </c>
      <c r="E103">
        <v>1</v>
      </c>
      <c r="F103">
        <v>1</v>
      </c>
      <c r="G103">
        <v>1</v>
      </c>
      <c r="H103">
        <v>1</v>
      </c>
      <c r="I103">
        <v>1</v>
      </c>
      <c r="J103">
        <v>1</v>
      </c>
      <c r="K103">
        <v>1</v>
      </c>
      <c r="L103">
        <v>1</v>
      </c>
      <c r="M103">
        <v>0</v>
      </c>
      <c r="N103">
        <v>1</v>
      </c>
      <c r="O103">
        <v>1</v>
      </c>
      <c r="P103" t="s">
        <v>362</v>
      </c>
    </row>
    <row r="104" spans="1:16" x14ac:dyDescent="0.25">
      <c r="A104" t="s">
        <v>94</v>
      </c>
      <c r="B104" t="s">
        <v>134</v>
      </c>
      <c r="C104">
        <v>0</v>
      </c>
      <c r="D104">
        <v>13.09220600128174</v>
      </c>
      <c r="E104">
        <v>1</v>
      </c>
      <c r="F104">
        <v>1</v>
      </c>
      <c r="G104">
        <v>1</v>
      </c>
      <c r="H104">
        <v>0</v>
      </c>
      <c r="I104">
        <v>1</v>
      </c>
      <c r="J104">
        <v>0</v>
      </c>
      <c r="K104">
        <v>1</v>
      </c>
      <c r="L104">
        <v>1</v>
      </c>
      <c r="M104">
        <v>1</v>
      </c>
      <c r="N104">
        <v>1</v>
      </c>
      <c r="O104">
        <v>1</v>
      </c>
      <c r="P104" t="s">
        <v>363</v>
      </c>
    </row>
    <row r="105" spans="1:16" x14ac:dyDescent="0.25">
      <c r="A105" t="s">
        <v>94</v>
      </c>
      <c r="B105" t="s">
        <v>136</v>
      </c>
      <c r="C105">
        <v>0</v>
      </c>
      <c r="D105">
        <v>10.46876764297485</v>
      </c>
      <c r="E105">
        <v>1</v>
      </c>
      <c r="F105">
        <v>1</v>
      </c>
      <c r="G105">
        <v>1</v>
      </c>
      <c r="H105">
        <v>0</v>
      </c>
      <c r="I105">
        <v>1</v>
      </c>
      <c r="J105">
        <v>1</v>
      </c>
      <c r="K105">
        <v>1</v>
      </c>
      <c r="L105">
        <v>1</v>
      </c>
      <c r="M105">
        <v>1</v>
      </c>
      <c r="N105">
        <v>1</v>
      </c>
      <c r="O105">
        <v>1</v>
      </c>
      <c r="P105" t="s">
        <v>364</v>
      </c>
    </row>
    <row r="106" spans="1:16" x14ac:dyDescent="0.25">
      <c r="A106" t="s">
        <v>94</v>
      </c>
      <c r="B106" t="s">
        <v>138</v>
      </c>
      <c r="C106">
        <v>0</v>
      </c>
      <c r="D106">
        <v>6.4780511856079102</v>
      </c>
      <c r="E106">
        <v>0</v>
      </c>
      <c r="F106" t="s">
        <v>19</v>
      </c>
      <c r="G106" t="s">
        <v>19</v>
      </c>
      <c r="H106" t="s">
        <v>19</v>
      </c>
      <c r="I106" t="s">
        <v>19</v>
      </c>
      <c r="J106" t="s">
        <v>19</v>
      </c>
      <c r="K106" t="s">
        <v>19</v>
      </c>
      <c r="L106" t="s">
        <v>19</v>
      </c>
      <c r="M106" t="s">
        <v>19</v>
      </c>
      <c r="N106" t="s">
        <v>19</v>
      </c>
      <c r="O106" t="s">
        <v>19</v>
      </c>
      <c r="P106" t="s">
        <v>365</v>
      </c>
    </row>
    <row r="107" spans="1:16" x14ac:dyDescent="0.25">
      <c r="A107" t="s">
        <v>94</v>
      </c>
      <c r="B107" t="s">
        <v>140</v>
      </c>
      <c r="C107">
        <v>0</v>
      </c>
      <c r="D107">
        <v>4.740138053894043</v>
      </c>
      <c r="E107">
        <v>1</v>
      </c>
      <c r="F107">
        <v>1</v>
      </c>
      <c r="G107">
        <v>1</v>
      </c>
      <c r="H107">
        <v>1</v>
      </c>
      <c r="I107">
        <v>1</v>
      </c>
      <c r="J107">
        <v>1</v>
      </c>
      <c r="K107">
        <v>0</v>
      </c>
      <c r="L107">
        <v>1</v>
      </c>
      <c r="M107">
        <v>1</v>
      </c>
      <c r="N107">
        <v>1</v>
      </c>
      <c r="O107">
        <v>1</v>
      </c>
      <c r="P107" t="s">
        <v>366</v>
      </c>
    </row>
    <row r="108" spans="1:16" x14ac:dyDescent="0.25">
      <c r="A108" t="s">
        <v>94</v>
      </c>
      <c r="B108" t="s">
        <v>142</v>
      </c>
      <c r="C108">
        <v>0</v>
      </c>
      <c r="D108">
        <v>9.4555447101593018</v>
      </c>
      <c r="E108">
        <v>1</v>
      </c>
      <c r="F108">
        <v>1</v>
      </c>
      <c r="G108">
        <v>1</v>
      </c>
      <c r="H108">
        <v>1</v>
      </c>
      <c r="I108">
        <v>1</v>
      </c>
      <c r="J108">
        <v>1</v>
      </c>
      <c r="K108">
        <v>1</v>
      </c>
      <c r="L108">
        <v>1</v>
      </c>
      <c r="M108">
        <v>1</v>
      </c>
      <c r="N108">
        <v>1</v>
      </c>
      <c r="O108">
        <v>1</v>
      </c>
    </row>
    <row r="109" spans="1:16" x14ac:dyDescent="0.25">
      <c r="A109" t="s">
        <v>94</v>
      </c>
      <c r="B109" t="s">
        <v>143</v>
      </c>
      <c r="C109">
        <v>0</v>
      </c>
      <c r="D109">
        <v>4.6016099452972412</v>
      </c>
      <c r="E109">
        <v>1</v>
      </c>
      <c r="F109">
        <v>1</v>
      </c>
      <c r="G109">
        <v>1</v>
      </c>
      <c r="H109">
        <v>1</v>
      </c>
      <c r="I109">
        <v>1</v>
      </c>
      <c r="J109">
        <v>0</v>
      </c>
      <c r="K109">
        <v>1</v>
      </c>
      <c r="L109">
        <v>1</v>
      </c>
      <c r="M109">
        <v>1</v>
      </c>
      <c r="N109">
        <v>1</v>
      </c>
      <c r="O109">
        <v>1</v>
      </c>
      <c r="P109" t="s">
        <v>367</v>
      </c>
    </row>
    <row r="110" spans="1:16" x14ac:dyDescent="0.25">
      <c r="A110" t="s">
        <v>94</v>
      </c>
      <c r="B110" t="s">
        <v>145</v>
      </c>
      <c r="C110">
        <v>0</v>
      </c>
      <c r="D110">
        <v>2.7525029182434082</v>
      </c>
      <c r="E110">
        <v>1</v>
      </c>
      <c r="F110">
        <v>1</v>
      </c>
      <c r="G110">
        <v>1</v>
      </c>
      <c r="H110">
        <v>1</v>
      </c>
      <c r="I110">
        <v>1</v>
      </c>
      <c r="J110">
        <v>1</v>
      </c>
      <c r="K110">
        <v>1</v>
      </c>
      <c r="L110">
        <v>1</v>
      </c>
      <c r="M110">
        <v>1</v>
      </c>
      <c r="N110">
        <v>1</v>
      </c>
      <c r="O110">
        <v>1</v>
      </c>
    </row>
    <row r="111" spans="1:16" x14ac:dyDescent="0.25">
      <c r="A111" t="s">
        <v>94</v>
      </c>
      <c r="B111" t="s">
        <v>146</v>
      </c>
      <c r="C111">
        <v>0</v>
      </c>
      <c r="D111">
        <v>6.2641658782958984</v>
      </c>
      <c r="E111">
        <v>1</v>
      </c>
      <c r="F111">
        <v>0</v>
      </c>
      <c r="G111">
        <v>1</v>
      </c>
      <c r="H111" t="s">
        <v>19</v>
      </c>
      <c r="I111">
        <v>1</v>
      </c>
      <c r="J111" t="s">
        <v>19</v>
      </c>
      <c r="K111">
        <v>1</v>
      </c>
      <c r="L111">
        <v>1</v>
      </c>
      <c r="M111">
        <v>1</v>
      </c>
      <c r="N111">
        <v>1</v>
      </c>
      <c r="O111">
        <v>1</v>
      </c>
      <c r="P111" t="s">
        <v>368</v>
      </c>
    </row>
    <row r="112" spans="1:16" x14ac:dyDescent="0.25">
      <c r="A112" t="s">
        <v>94</v>
      </c>
      <c r="B112" t="s">
        <v>148</v>
      </c>
      <c r="C112">
        <v>0</v>
      </c>
      <c r="D112">
        <v>2.7698137760162349</v>
      </c>
      <c r="E112">
        <v>1</v>
      </c>
      <c r="F112">
        <v>1</v>
      </c>
      <c r="G112">
        <v>1</v>
      </c>
      <c r="H112">
        <v>1</v>
      </c>
      <c r="I112">
        <v>1</v>
      </c>
      <c r="J112">
        <v>1</v>
      </c>
      <c r="K112">
        <v>1</v>
      </c>
      <c r="L112">
        <v>1</v>
      </c>
      <c r="M112">
        <v>1</v>
      </c>
      <c r="N112">
        <v>1</v>
      </c>
      <c r="O112">
        <v>1</v>
      </c>
    </row>
    <row r="113" spans="1:16" x14ac:dyDescent="0.25">
      <c r="A113" t="s">
        <v>94</v>
      </c>
      <c r="B113" t="s">
        <v>149</v>
      </c>
      <c r="C113">
        <v>0</v>
      </c>
      <c r="D113">
        <v>4.2180836200714111</v>
      </c>
      <c r="E113">
        <v>0</v>
      </c>
      <c r="F113" t="s">
        <v>19</v>
      </c>
      <c r="G113" t="s">
        <v>19</v>
      </c>
      <c r="H113" t="s">
        <v>19</v>
      </c>
      <c r="I113" t="s">
        <v>19</v>
      </c>
      <c r="J113" t="s">
        <v>19</v>
      </c>
      <c r="K113" t="s">
        <v>19</v>
      </c>
      <c r="L113" t="s">
        <v>19</v>
      </c>
      <c r="M113" t="s">
        <v>19</v>
      </c>
      <c r="N113" t="s">
        <v>19</v>
      </c>
      <c r="O113" t="s">
        <v>19</v>
      </c>
      <c r="P113" t="s">
        <v>369</v>
      </c>
    </row>
    <row r="114" spans="1:16" x14ac:dyDescent="0.25">
      <c r="A114" t="s">
        <v>151</v>
      </c>
      <c r="B114" t="s">
        <v>17</v>
      </c>
      <c r="C114">
        <v>0</v>
      </c>
      <c r="D114">
        <v>2.800642728805542</v>
      </c>
      <c r="E114">
        <v>1</v>
      </c>
      <c r="F114">
        <v>1</v>
      </c>
      <c r="G114">
        <v>1</v>
      </c>
      <c r="H114">
        <v>1</v>
      </c>
      <c r="I114">
        <v>1</v>
      </c>
      <c r="J114">
        <v>1</v>
      </c>
      <c r="K114">
        <v>1</v>
      </c>
      <c r="L114">
        <v>1</v>
      </c>
      <c r="M114">
        <v>1</v>
      </c>
      <c r="N114">
        <v>1</v>
      </c>
      <c r="O114">
        <v>1</v>
      </c>
    </row>
    <row r="115" spans="1:16" x14ac:dyDescent="0.25">
      <c r="A115" t="s">
        <v>151</v>
      </c>
      <c r="B115" t="s">
        <v>18</v>
      </c>
      <c r="C115">
        <v>0</v>
      </c>
      <c r="D115">
        <v>4.8806459903717041</v>
      </c>
      <c r="E115">
        <v>1</v>
      </c>
      <c r="F115">
        <v>1</v>
      </c>
      <c r="G115">
        <v>1</v>
      </c>
      <c r="H115">
        <v>1</v>
      </c>
      <c r="I115">
        <v>0</v>
      </c>
      <c r="J115">
        <v>1</v>
      </c>
      <c r="K115">
        <v>1</v>
      </c>
      <c r="L115">
        <v>1</v>
      </c>
      <c r="M115">
        <v>1</v>
      </c>
      <c r="N115">
        <v>1</v>
      </c>
      <c r="O115">
        <v>1</v>
      </c>
      <c r="P115" t="s">
        <v>370</v>
      </c>
    </row>
    <row r="116" spans="1:16" x14ac:dyDescent="0.25">
      <c r="A116" t="s">
        <v>151</v>
      </c>
      <c r="B116" t="s">
        <v>21</v>
      </c>
      <c r="C116">
        <v>0</v>
      </c>
      <c r="D116">
        <v>2.6675171852111821</v>
      </c>
      <c r="E116">
        <v>1</v>
      </c>
      <c r="F116">
        <v>1</v>
      </c>
      <c r="G116">
        <v>1</v>
      </c>
      <c r="H116">
        <v>1</v>
      </c>
      <c r="I116">
        <v>1</v>
      </c>
      <c r="J116">
        <v>1</v>
      </c>
      <c r="K116">
        <v>1</v>
      </c>
      <c r="L116">
        <v>1</v>
      </c>
      <c r="M116">
        <v>1</v>
      </c>
      <c r="N116">
        <v>1</v>
      </c>
      <c r="O116">
        <v>1</v>
      </c>
    </row>
    <row r="117" spans="1:16" x14ac:dyDescent="0.25">
      <c r="A117" t="s">
        <v>151</v>
      </c>
      <c r="B117" t="s">
        <v>23</v>
      </c>
      <c r="C117">
        <v>0</v>
      </c>
      <c r="D117">
        <v>10.581933259963989</v>
      </c>
      <c r="E117">
        <v>1</v>
      </c>
      <c r="F117">
        <v>1</v>
      </c>
      <c r="G117">
        <v>1</v>
      </c>
      <c r="H117">
        <v>1</v>
      </c>
      <c r="I117">
        <v>1</v>
      </c>
      <c r="J117">
        <v>0</v>
      </c>
      <c r="K117">
        <v>1</v>
      </c>
      <c r="L117">
        <v>1</v>
      </c>
      <c r="M117">
        <v>1</v>
      </c>
      <c r="N117">
        <v>1</v>
      </c>
      <c r="O117">
        <v>1</v>
      </c>
      <c r="P117" t="s">
        <v>371</v>
      </c>
    </row>
    <row r="118" spans="1:16" x14ac:dyDescent="0.25">
      <c r="A118" t="s">
        <v>151</v>
      </c>
      <c r="B118" t="s">
        <v>24</v>
      </c>
      <c r="C118">
        <v>0</v>
      </c>
      <c r="D118">
        <v>4.0112438201904297</v>
      </c>
      <c r="E118">
        <v>1</v>
      </c>
      <c r="F118">
        <v>1</v>
      </c>
      <c r="G118">
        <v>1</v>
      </c>
      <c r="H118">
        <v>1</v>
      </c>
      <c r="I118">
        <v>0</v>
      </c>
      <c r="J118">
        <v>1</v>
      </c>
      <c r="K118">
        <v>1</v>
      </c>
      <c r="L118">
        <v>1</v>
      </c>
      <c r="M118">
        <v>1</v>
      </c>
      <c r="N118">
        <v>1</v>
      </c>
      <c r="O118">
        <v>1</v>
      </c>
      <c r="P118" t="s">
        <v>372</v>
      </c>
    </row>
    <row r="119" spans="1:16" x14ac:dyDescent="0.25">
      <c r="A119" t="s">
        <v>151</v>
      </c>
      <c r="B119" t="s">
        <v>25</v>
      </c>
      <c r="C119">
        <v>0</v>
      </c>
      <c r="D119">
        <v>9.5363514423370361</v>
      </c>
      <c r="E119">
        <v>1</v>
      </c>
      <c r="F119">
        <v>1</v>
      </c>
      <c r="G119">
        <v>1</v>
      </c>
      <c r="H119">
        <v>1</v>
      </c>
      <c r="I119">
        <v>1</v>
      </c>
      <c r="J119">
        <v>1</v>
      </c>
      <c r="K119">
        <v>1</v>
      </c>
      <c r="L119">
        <v>1</v>
      </c>
      <c r="M119">
        <v>1</v>
      </c>
      <c r="N119">
        <v>1</v>
      </c>
      <c r="O119">
        <v>1</v>
      </c>
    </row>
    <row r="120" spans="1:16" x14ac:dyDescent="0.25">
      <c r="A120" t="s">
        <v>151</v>
      </c>
      <c r="B120" t="s">
        <v>27</v>
      </c>
      <c r="C120">
        <v>0</v>
      </c>
      <c r="D120">
        <v>2.6872763633728032</v>
      </c>
      <c r="E120">
        <v>1</v>
      </c>
      <c r="F120">
        <v>1</v>
      </c>
      <c r="G120">
        <v>1</v>
      </c>
      <c r="H120">
        <v>1</v>
      </c>
      <c r="I120">
        <v>1</v>
      </c>
      <c r="J120">
        <v>1</v>
      </c>
      <c r="K120">
        <v>1</v>
      </c>
      <c r="L120">
        <v>1</v>
      </c>
      <c r="M120">
        <v>1</v>
      </c>
      <c r="N120">
        <v>1</v>
      </c>
      <c r="O120">
        <v>1</v>
      </c>
    </row>
    <row r="121" spans="1:16" x14ac:dyDescent="0.25">
      <c r="A121" t="s">
        <v>151</v>
      </c>
      <c r="B121" t="s">
        <v>28</v>
      </c>
      <c r="C121">
        <v>0</v>
      </c>
      <c r="D121">
        <v>11.4803569316864</v>
      </c>
      <c r="E121">
        <v>1</v>
      </c>
      <c r="F121">
        <v>1</v>
      </c>
      <c r="G121">
        <v>1</v>
      </c>
      <c r="H121">
        <v>1</v>
      </c>
      <c r="I121">
        <v>0</v>
      </c>
      <c r="J121">
        <v>1</v>
      </c>
      <c r="K121">
        <v>1</v>
      </c>
      <c r="L121">
        <v>1</v>
      </c>
      <c r="M121">
        <v>1</v>
      </c>
      <c r="N121">
        <v>1</v>
      </c>
      <c r="O121">
        <v>1</v>
      </c>
      <c r="P121" t="s">
        <v>373</v>
      </c>
    </row>
    <row r="122" spans="1:16" x14ac:dyDescent="0.25">
      <c r="A122" t="s">
        <v>151</v>
      </c>
      <c r="B122" t="s">
        <v>29</v>
      </c>
      <c r="C122">
        <v>0</v>
      </c>
      <c r="D122">
        <v>10.997978210449221</v>
      </c>
      <c r="E122">
        <v>0</v>
      </c>
      <c r="F122" t="s">
        <v>19</v>
      </c>
      <c r="G122" t="s">
        <v>19</v>
      </c>
      <c r="H122" t="s">
        <v>19</v>
      </c>
      <c r="I122" t="s">
        <v>19</v>
      </c>
      <c r="J122" t="s">
        <v>19</v>
      </c>
      <c r="K122" t="s">
        <v>19</v>
      </c>
      <c r="L122" t="s">
        <v>19</v>
      </c>
      <c r="M122" t="s">
        <v>19</v>
      </c>
      <c r="N122" t="s">
        <v>19</v>
      </c>
      <c r="O122" t="s">
        <v>19</v>
      </c>
      <c r="P122" t="s">
        <v>374</v>
      </c>
    </row>
    <row r="123" spans="1:16" x14ac:dyDescent="0.25">
      <c r="A123" t="s">
        <v>151</v>
      </c>
      <c r="B123" t="s">
        <v>30</v>
      </c>
      <c r="C123">
        <v>0</v>
      </c>
      <c r="D123">
        <v>2.7763245105743408</v>
      </c>
      <c r="E123">
        <v>1</v>
      </c>
      <c r="F123">
        <v>1</v>
      </c>
      <c r="G123">
        <v>1</v>
      </c>
      <c r="H123">
        <v>1</v>
      </c>
      <c r="I123">
        <v>1</v>
      </c>
      <c r="J123">
        <v>1</v>
      </c>
      <c r="K123">
        <v>1</v>
      </c>
      <c r="L123">
        <v>1</v>
      </c>
      <c r="M123">
        <v>1</v>
      </c>
      <c r="N123">
        <v>1</v>
      </c>
      <c r="O123">
        <v>1</v>
      </c>
    </row>
    <row r="124" spans="1:16" x14ac:dyDescent="0.25">
      <c r="A124" t="s">
        <v>151</v>
      </c>
      <c r="B124" t="s">
        <v>31</v>
      </c>
      <c r="C124">
        <v>0</v>
      </c>
      <c r="D124">
        <v>9.640216588973999</v>
      </c>
      <c r="E124">
        <v>1</v>
      </c>
      <c r="F124">
        <v>1</v>
      </c>
      <c r="G124">
        <v>1</v>
      </c>
      <c r="H124">
        <v>1</v>
      </c>
      <c r="I124">
        <v>1</v>
      </c>
      <c r="J124">
        <v>1</v>
      </c>
      <c r="K124">
        <v>0</v>
      </c>
      <c r="L124">
        <v>1</v>
      </c>
      <c r="M124">
        <v>1</v>
      </c>
      <c r="N124">
        <v>1</v>
      </c>
      <c r="O124">
        <v>1</v>
      </c>
      <c r="P124" t="s">
        <v>375</v>
      </c>
    </row>
    <row r="125" spans="1:16" x14ac:dyDescent="0.25">
      <c r="A125" t="s">
        <v>151</v>
      </c>
      <c r="B125" t="s">
        <v>32</v>
      </c>
      <c r="C125">
        <v>0</v>
      </c>
      <c r="D125">
        <v>2.6848371028900151</v>
      </c>
      <c r="E125">
        <v>1</v>
      </c>
      <c r="F125">
        <v>1</v>
      </c>
      <c r="G125">
        <v>1</v>
      </c>
      <c r="H125">
        <v>1</v>
      </c>
      <c r="I125">
        <v>1</v>
      </c>
      <c r="J125">
        <v>1</v>
      </c>
      <c r="K125">
        <v>1</v>
      </c>
      <c r="L125">
        <v>1</v>
      </c>
      <c r="M125">
        <v>1</v>
      </c>
      <c r="N125">
        <v>1</v>
      </c>
      <c r="O125">
        <v>1</v>
      </c>
    </row>
    <row r="126" spans="1:16" x14ac:dyDescent="0.25">
      <c r="A126" t="s">
        <v>151</v>
      </c>
      <c r="B126" t="s">
        <v>33</v>
      </c>
      <c r="C126">
        <v>0</v>
      </c>
      <c r="D126">
        <v>8.7299869060516357</v>
      </c>
      <c r="E126">
        <v>1</v>
      </c>
      <c r="F126">
        <v>1</v>
      </c>
      <c r="G126">
        <v>1</v>
      </c>
      <c r="H126">
        <v>1</v>
      </c>
      <c r="I126">
        <v>1</v>
      </c>
      <c r="J126">
        <v>1</v>
      </c>
      <c r="K126">
        <v>1</v>
      </c>
      <c r="L126">
        <v>1</v>
      </c>
      <c r="M126">
        <v>1</v>
      </c>
      <c r="N126">
        <v>1</v>
      </c>
      <c r="O126">
        <v>1</v>
      </c>
    </row>
    <row r="127" spans="1:16" x14ac:dyDescent="0.25">
      <c r="A127" t="s">
        <v>151</v>
      </c>
      <c r="B127" t="s">
        <v>35</v>
      </c>
      <c r="C127">
        <v>0</v>
      </c>
      <c r="D127">
        <v>9.2194273471832275</v>
      </c>
      <c r="E127">
        <v>1</v>
      </c>
      <c r="F127">
        <v>1</v>
      </c>
      <c r="G127">
        <v>1</v>
      </c>
      <c r="H127">
        <v>1</v>
      </c>
      <c r="I127">
        <v>1</v>
      </c>
      <c r="J127">
        <v>1</v>
      </c>
      <c r="K127">
        <v>1</v>
      </c>
      <c r="L127">
        <v>1</v>
      </c>
      <c r="M127">
        <v>1</v>
      </c>
      <c r="N127">
        <v>1</v>
      </c>
      <c r="O127">
        <v>1</v>
      </c>
    </row>
    <row r="128" spans="1:16" x14ac:dyDescent="0.25">
      <c r="A128" t="s">
        <v>151</v>
      </c>
      <c r="B128" t="s">
        <v>36</v>
      </c>
      <c r="C128">
        <v>0</v>
      </c>
      <c r="D128">
        <v>2.6784076690673828</v>
      </c>
      <c r="E128">
        <v>1</v>
      </c>
      <c r="F128">
        <v>1</v>
      </c>
      <c r="G128">
        <v>1</v>
      </c>
      <c r="H128">
        <v>1</v>
      </c>
      <c r="I128">
        <v>1</v>
      </c>
      <c r="J128">
        <v>1</v>
      </c>
      <c r="K128">
        <v>1</v>
      </c>
      <c r="L128">
        <v>1</v>
      </c>
      <c r="M128">
        <v>1</v>
      </c>
      <c r="N128">
        <v>1</v>
      </c>
      <c r="O128">
        <v>1</v>
      </c>
    </row>
    <row r="129" spans="1:16" x14ac:dyDescent="0.25">
      <c r="A129" t="s">
        <v>151</v>
      </c>
      <c r="B129" t="s">
        <v>37</v>
      </c>
      <c r="C129">
        <v>0</v>
      </c>
      <c r="D129">
        <v>2.7489297389984131</v>
      </c>
      <c r="E129">
        <v>1</v>
      </c>
      <c r="F129">
        <v>1</v>
      </c>
      <c r="G129">
        <v>1</v>
      </c>
      <c r="H129">
        <v>1</v>
      </c>
      <c r="I129">
        <v>1</v>
      </c>
      <c r="J129">
        <v>1</v>
      </c>
      <c r="K129">
        <v>1</v>
      </c>
      <c r="L129">
        <v>1</v>
      </c>
      <c r="M129">
        <v>1</v>
      </c>
      <c r="N129">
        <v>1</v>
      </c>
      <c r="O129">
        <v>1</v>
      </c>
    </row>
    <row r="130" spans="1:16" x14ac:dyDescent="0.25">
      <c r="A130" t="s">
        <v>151</v>
      </c>
      <c r="B130" t="s">
        <v>39</v>
      </c>
      <c r="C130">
        <v>0</v>
      </c>
      <c r="D130">
        <v>9.3391871452331543</v>
      </c>
      <c r="E130">
        <v>1</v>
      </c>
      <c r="F130">
        <v>1</v>
      </c>
      <c r="G130">
        <v>1</v>
      </c>
      <c r="H130">
        <v>1</v>
      </c>
      <c r="I130">
        <v>1</v>
      </c>
      <c r="J130">
        <v>1</v>
      </c>
      <c r="K130">
        <v>1</v>
      </c>
      <c r="L130">
        <v>1</v>
      </c>
      <c r="M130">
        <v>1</v>
      </c>
      <c r="N130">
        <v>1</v>
      </c>
      <c r="O130">
        <v>1</v>
      </c>
    </row>
    <row r="131" spans="1:16" x14ac:dyDescent="0.25">
      <c r="A131" t="s">
        <v>151</v>
      </c>
      <c r="B131" t="s">
        <v>40</v>
      </c>
      <c r="C131">
        <v>0</v>
      </c>
      <c r="D131">
        <v>5.1286807060241699</v>
      </c>
      <c r="E131">
        <v>1</v>
      </c>
      <c r="F131">
        <v>1</v>
      </c>
      <c r="G131">
        <v>0</v>
      </c>
      <c r="H131" t="s">
        <v>19</v>
      </c>
      <c r="I131">
        <v>1</v>
      </c>
      <c r="J131">
        <v>1</v>
      </c>
      <c r="K131">
        <v>1</v>
      </c>
      <c r="L131">
        <v>1</v>
      </c>
      <c r="M131">
        <v>1</v>
      </c>
      <c r="N131">
        <v>1</v>
      </c>
      <c r="O131">
        <v>1</v>
      </c>
      <c r="P131" t="s">
        <v>376</v>
      </c>
    </row>
    <row r="132" spans="1:16" x14ac:dyDescent="0.25">
      <c r="A132" t="s">
        <v>151</v>
      </c>
      <c r="B132" t="s">
        <v>41</v>
      </c>
      <c r="C132">
        <v>0</v>
      </c>
      <c r="D132">
        <v>2.688989639282227</v>
      </c>
      <c r="E132">
        <v>1</v>
      </c>
      <c r="F132">
        <v>1</v>
      </c>
      <c r="G132">
        <v>1</v>
      </c>
      <c r="H132">
        <v>1</v>
      </c>
      <c r="I132">
        <v>1</v>
      </c>
      <c r="J132">
        <v>1</v>
      </c>
      <c r="K132">
        <v>1</v>
      </c>
      <c r="L132">
        <v>1</v>
      </c>
      <c r="M132">
        <v>1</v>
      </c>
      <c r="N132">
        <v>1</v>
      </c>
      <c r="O132">
        <v>1</v>
      </c>
    </row>
    <row r="133" spans="1:16" x14ac:dyDescent="0.25">
      <c r="A133" t="s">
        <v>151</v>
      </c>
      <c r="B133" t="s">
        <v>42</v>
      </c>
      <c r="C133">
        <v>0</v>
      </c>
      <c r="D133">
        <v>6.6514813899993896</v>
      </c>
      <c r="E133">
        <v>1</v>
      </c>
      <c r="F133">
        <v>1</v>
      </c>
      <c r="G133">
        <v>1</v>
      </c>
      <c r="H133">
        <v>1</v>
      </c>
      <c r="I133">
        <v>1</v>
      </c>
      <c r="J133">
        <v>1</v>
      </c>
      <c r="K133">
        <v>0</v>
      </c>
      <c r="L133">
        <v>1</v>
      </c>
      <c r="M133">
        <v>0</v>
      </c>
      <c r="N133">
        <v>1</v>
      </c>
      <c r="O133">
        <v>1</v>
      </c>
      <c r="P133" t="s">
        <v>377</v>
      </c>
    </row>
    <row r="134" spans="1:16" x14ac:dyDescent="0.25">
      <c r="A134" t="s">
        <v>151</v>
      </c>
      <c r="B134" t="s">
        <v>44</v>
      </c>
      <c r="C134">
        <v>0</v>
      </c>
      <c r="D134">
        <v>2.7632889747619629</v>
      </c>
      <c r="E134">
        <v>1</v>
      </c>
      <c r="F134">
        <v>1</v>
      </c>
      <c r="G134">
        <v>1</v>
      </c>
      <c r="H134">
        <v>1</v>
      </c>
      <c r="I134">
        <v>1</v>
      </c>
      <c r="J134">
        <v>1</v>
      </c>
      <c r="K134">
        <v>1</v>
      </c>
      <c r="L134">
        <v>1</v>
      </c>
      <c r="M134">
        <v>1</v>
      </c>
      <c r="N134">
        <v>1</v>
      </c>
      <c r="O134">
        <v>1</v>
      </c>
    </row>
    <row r="135" spans="1:16" x14ac:dyDescent="0.25">
      <c r="A135" t="s">
        <v>151</v>
      </c>
      <c r="B135" t="s">
        <v>46</v>
      </c>
      <c r="C135">
        <v>0</v>
      </c>
      <c r="D135">
        <v>2.7656280994415279</v>
      </c>
      <c r="E135">
        <v>1</v>
      </c>
      <c r="F135">
        <v>1</v>
      </c>
      <c r="G135">
        <v>1</v>
      </c>
      <c r="H135">
        <v>1</v>
      </c>
      <c r="I135">
        <v>1</v>
      </c>
      <c r="J135">
        <v>1</v>
      </c>
      <c r="K135">
        <v>1</v>
      </c>
      <c r="L135">
        <v>1</v>
      </c>
      <c r="M135">
        <v>1</v>
      </c>
      <c r="N135">
        <v>1</v>
      </c>
      <c r="O135">
        <v>1</v>
      </c>
    </row>
    <row r="136" spans="1:16" x14ac:dyDescent="0.25">
      <c r="A136" t="s">
        <v>151</v>
      </c>
      <c r="B136" t="s">
        <v>48</v>
      </c>
      <c r="C136">
        <v>0</v>
      </c>
      <c r="D136">
        <v>9.5599575042724609</v>
      </c>
      <c r="E136">
        <v>1</v>
      </c>
      <c r="F136">
        <v>1</v>
      </c>
      <c r="G136">
        <v>1</v>
      </c>
      <c r="H136">
        <v>1</v>
      </c>
      <c r="I136">
        <v>1</v>
      </c>
      <c r="J136">
        <v>1</v>
      </c>
      <c r="K136">
        <v>1</v>
      </c>
      <c r="L136">
        <v>1</v>
      </c>
      <c r="M136">
        <v>1</v>
      </c>
      <c r="N136">
        <v>1</v>
      </c>
      <c r="O136">
        <v>1</v>
      </c>
    </row>
    <row r="137" spans="1:16" x14ac:dyDescent="0.25">
      <c r="A137" t="s">
        <v>151</v>
      </c>
      <c r="B137" t="s">
        <v>49</v>
      </c>
      <c r="C137">
        <v>0</v>
      </c>
      <c r="D137">
        <v>5.6556863784790039</v>
      </c>
      <c r="E137">
        <v>1</v>
      </c>
      <c r="F137">
        <v>0</v>
      </c>
      <c r="G137">
        <v>1</v>
      </c>
      <c r="H137" t="s">
        <v>19</v>
      </c>
      <c r="I137">
        <v>1</v>
      </c>
      <c r="J137" t="s">
        <v>19</v>
      </c>
      <c r="K137">
        <v>1</v>
      </c>
      <c r="L137">
        <v>1</v>
      </c>
      <c r="M137">
        <v>1</v>
      </c>
      <c r="N137">
        <v>1</v>
      </c>
      <c r="O137">
        <v>1</v>
      </c>
      <c r="P137" t="s">
        <v>378</v>
      </c>
    </row>
    <row r="138" spans="1:16" x14ac:dyDescent="0.25">
      <c r="A138" t="s">
        <v>151</v>
      </c>
      <c r="B138" t="s">
        <v>51</v>
      </c>
      <c r="C138">
        <v>0</v>
      </c>
      <c r="D138">
        <v>9.0216765403747559</v>
      </c>
      <c r="E138">
        <v>0</v>
      </c>
      <c r="F138" t="s">
        <v>19</v>
      </c>
      <c r="G138" t="s">
        <v>19</v>
      </c>
      <c r="H138" t="s">
        <v>19</v>
      </c>
      <c r="I138" t="s">
        <v>19</v>
      </c>
      <c r="J138" t="s">
        <v>19</v>
      </c>
      <c r="K138" t="s">
        <v>19</v>
      </c>
      <c r="L138" t="s">
        <v>19</v>
      </c>
      <c r="M138" t="s">
        <v>19</v>
      </c>
      <c r="N138" t="s">
        <v>19</v>
      </c>
      <c r="O138" t="s">
        <v>19</v>
      </c>
      <c r="P138" t="s">
        <v>379</v>
      </c>
    </row>
    <row r="139" spans="1:16" x14ac:dyDescent="0.25">
      <c r="A139" t="s">
        <v>151</v>
      </c>
      <c r="B139" t="s">
        <v>52</v>
      </c>
      <c r="C139">
        <v>0</v>
      </c>
      <c r="D139">
        <v>4.0344748497009277</v>
      </c>
      <c r="E139">
        <v>1</v>
      </c>
      <c r="F139">
        <v>0</v>
      </c>
      <c r="G139">
        <v>1</v>
      </c>
      <c r="H139" t="s">
        <v>19</v>
      </c>
      <c r="I139">
        <v>1</v>
      </c>
      <c r="J139" t="s">
        <v>19</v>
      </c>
      <c r="K139">
        <v>1</v>
      </c>
      <c r="L139">
        <v>1</v>
      </c>
      <c r="M139">
        <v>1</v>
      </c>
      <c r="N139">
        <v>1</v>
      </c>
      <c r="O139">
        <v>1</v>
      </c>
      <c r="P139" t="s">
        <v>380</v>
      </c>
    </row>
    <row r="140" spans="1:16" x14ac:dyDescent="0.25">
      <c r="A140" t="s">
        <v>151</v>
      </c>
      <c r="B140" t="s">
        <v>54</v>
      </c>
      <c r="C140">
        <v>0</v>
      </c>
      <c r="D140">
        <v>7.5680458545684806</v>
      </c>
      <c r="E140">
        <v>1</v>
      </c>
      <c r="F140">
        <v>1</v>
      </c>
      <c r="G140">
        <v>0</v>
      </c>
      <c r="H140" t="s">
        <v>19</v>
      </c>
      <c r="I140">
        <v>1</v>
      </c>
      <c r="J140">
        <v>1</v>
      </c>
      <c r="K140">
        <v>1</v>
      </c>
      <c r="L140">
        <v>1</v>
      </c>
      <c r="M140">
        <v>1</v>
      </c>
      <c r="N140">
        <v>1</v>
      </c>
      <c r="O140">
        <v>1</v>
      </c>
      <c r="P140" t="s">
        <v>381</v>
      </c>
    </row>
    <row r="141" spans="1:16" x14ac:dyDescent="0.25">
      <c r="A141" t="s">
        <v>151</v>
      </c>
      <c r="B141" t="s">
        <v>56</v>
      </c>
      <c r="C141">
        <v>0</v>
      </c>
      <c r="D141">
        <v>7.0873932838439941</v>
      </c>
      <c r="E141">
        <v>1</v>
      </c>
      <c r="F141">
        <v>1</v>
      </c>
      <c r="G141">
        <v>1</v>
      </c>
      <c r="H141">
        <v>1</v>
      </c>
      <c r="I141">
        <v>1</v>
      </c>
      <c r="J141">
        <v>1</v>
      </c>
      <c r="K141">
        <v>1</v>
      </c>
      <c r="L141">
        <v>1</v>
      </c>
      <c r="M141">
        <v>1</v>
      </c>
      <c r="N141">
        <v>1</v>
      </c>
      <c r="O141">
        <v>1</v>
      </c>
    </row>
    <row r="142" spans="1:16" x14ac:dyDescent="0.25">
      <c r="A142" t="s">
        <v>151</v>
      </c>
      <c r="B142" t="s">
        <v>58</v>
      </c>
      <c r="C142">
        <v>0</v>
      </c>
      <c r="D142">
        <v>2.784051895141602</v>
      </c>
      <c r="E142">
        <v>1</v>
      </c>
      <c r="F142">
        <v>1</v>
      </c>
      <c r="G142">
        <v>1</v>
      </c>
      <c r="H142">
        <v>1</v>
      </c>
      <c r="I142">
        <v>1</v>
      </c>
      <c r="J142">
        <v>1</v>
      </c>
      <c r="K142">
        <v>1</v>
      </c>
      <c r="L142">
        <v>1</v>
      </c>
      <c r="M142">
        <v>1</v>
      </c>
      <c r="N142">
        <v>1</v>
      </c>
      <c r="O142">
        <v>1</v>
      </c>
    </row>
    <row r="143" spans="1:16" x14ac:dyDescent="0.25">
      <c r="A143" t="s">
        <v>151</v>
      </c>
      <c r="B143" t="s">
        <v>60</v>
      </c>
      <c r="C143">
        <v>0</v>
      </c>
      <c r="D143">
        <v>9.5331652164459229</v>
      </c>
      <c r="E143">
        <v>1</v>
      </c>
      <c r="F143">
        <v>1</v>
      </c>
      <c r="G143">
        <v>1</v>
      </c>
      <c r="H143">
        <v>1</v>
      </c>
      <c r="I143">
        <v>1</v>
      </c>
      <c r="J143">
        <v>1</v>
      </c>
      <c r="K143">
        <v>1</v>
      </c>
      <c r="L143">
        <v>1</v>
      </c>
      <c r="M143">
        <v>1</v>
      </c>
      <c r="N143">
        <v>1</v>
      </c>
      <c r="O143">
        <v>1</v>
      </c>
    </row>
    <row r="144" spans="1:16" x14ac:dyDescent="0.25">
      <c r="A144" t="s">
        <v>151</v>
      </c>
      <c r="B144" t="s">
        <v>62</v>
      </c>
      <c r="C144">
        <v>0</v>
      </c>
      <c r="D144">
        <v>10.36197566986084</v>
      </c>
      <c r="E144">
        <v>1</v>
      </c>
      <c r="F144">
        <v>1</v>
      </c>
      <c r="G144">
        <v>1</v>
      </c>
      <c r="H144">
        <v>1</v>
      </c>
      <c r="I144">
        <v>1</v>
      </c>
      <c r="J144">
        <v>1</v>
      </c>
      <c r="K144">
        <v>1</v>
      </c>
      <c r="L144">
        <v>1</v>
      </c>
      <c r="M144">
        <v>1</v>
      </c>
      <c r="N144">
        <v>1</v>
      </c>
      <c r="O144">
        <v>1</v>
      </c>
    </row>
    <row r="145" spans="1:16" x14ac:dyDescent="0.25">
      <c r="A145" t="s">
        <v>151</v>
      </c>
      <c r="B145" t="s">
        <v>64</v>
      </c>
      <c r="C145">
        <v>0</v>
      </c>
      <c r="D145">
        <v>2.6678366661071782</v>
      </c>
      <c r="E145">
        <v>1</v>
      </c>
      <c r="F145">
        <v>1</v>
      </c>
      <c r="G145">
        <v>1</v>
      </c>
      <c r="H145">
        <v>1</v>
      </c>
      <c r="I145">
        <v>1</v>
      </c>
      <c r="J145">
        <v>1</v>
      </c>
      <c r="K145">
        <v>1</v>
      </c>
      <c r="L145">
        <v>1</v>
      </c>
      <c r="M145">
        <v>1</v>
      </c>
      <c r="N145">
        <v>1</v>
      </c>
      <c r="O145">
        <v>1</v>
      </c>
    </row>
    <row r="146" spans="1:16" x14ac:dyDescent="0.25">
      <c r="A146" t="s">
        <v>151</v>
      </c>
      <c r="B146" t="s">
        <v>65</v>
      </c>
      <c r="C146">
        <v>0</v>
      </c>
      <c r="D146">
        <v>6.7602148056030273</v>
      </c>
      <c r="E146">
        <v>1</v>
      </c>
      <c r="F146">
        <v>0</v>
      </c>
      <c r="G146">
        <v>1</v>
      </c>
      <c r="H146" t="s">
        <v>19</v>
      </c>
      <c r="I146">
        <v>1</v>
      </c>
      <c r="J146" t="s">
        <v>19</v>
      </c>
      <c r="K146">
        <v>1</v>
      </c>
      <c r="L146">
        <v>1</v>
      </c>
      <c r="M146">
        <v>1</v>
      </c>
      <c r="N146">
        <v>1</v>
      </c>
      <c r="O146">
        <v>1</v>
      </c>
      <c r="P146" t="s">
        <v>382</v>
      </c>
    </row>
    <row r="147" spans="1:16" x14ac:dyDescent="0.25">
      <c r="A147" t="s">
        <v>151</v>
      </c>
      <c r="B147" t="s">
        <v>67</v>
      </c>
      <c r="C147">
        <v>0</v>
      </c>
      <c r="D147">
        <v>4.0254099369049072</v>
      </c>
      <c r="E147">
        <v>1</v>
      </c>
      <c r="F147">
        <v>1</v>
      </c>
      <c r="G147">
        <v>1</v>
      </c>
      <c r="H147">
        <v>1</v>
      </c>
      <c r="I147">
        <v>0</v>
      </c>
      <c r="J147">
        <v>1</v>
      </c>
      <c r="K147">
        <v>1</v>
      </c>
      <c r="L147">
        <v>1</v>
      </c>
      <c r="M147">
        <v>1</v>
      </c>
      <c r="N147">
        <v>1</v>
      </c>
      <c r="O147">
        <v>1</v>
      </c>
      <c r="P147" t="s">
        <v>383</v>
      </c>
    </row>
    <row r="148" spans="1:16" x14ac:dyDescent="0.25">
      <c r="A148" t="s">
        <v>151</v>
      </c>
      <c r="B148" t="s">
        <v>69</v>
      </c>
      <c r="C148">
        <v>0</v>
      </c>
      <c r="D148">
        <v>11.79375052452087</v>
      </c>
      <c r="E148">
        <v>1</v>
      </c>
      <c r="F148">
        <v>0</v>
      </c>
      <c r="G148">
        <v>1</v>
      </c>
      <c r="H148" t="s">
        <v>19</v>
      </c>
      <c r="I148">
        <v>1</v>
      </c>
      <c r="J148" t="s">
        <v>19</v>
      </c>
      <c r="K148">
        <v>1</v>
      </c>
      <c r="L148">
        <v>1</v>
      </c>
      <c r="M148">
        <v>1</v>
      </c>
      <c r="N148">
        <v>1</v>
      </c>
      <c r="O148">
        <v>1</v>
      </c>
      <c r="P148" t="s">
        <v>384</v>
      </c>
    </row>
    <row r="149" spans="1:16" x14ac:dyDescent="0.25">
      <c r="A149" t="s">
        <v>151</v>
      </c>
      <c r="B149" t="s">
        <v>70</v>
      </c>
      <c r="C149">
        <v>0</v>
      </c>
      <c r="D149">
        <v>2.9793415069580078</v>
      </c>
      <c r="E149">
        <v>1</v>
      </c>
      <c r="F149">
        <v>1</v>
      </c>
      <c r="G149">
        <v>1</v>
      </c>
      <c r="H149">
        <v>1</v>
      </c>
      <c r="I149">
        <v>1</v>
      </c>
      <c r="J149">
        <v>1</v>
      </c>
      <c r="K149">
        <v>1</v>
      </c>
      <c r="L149">
        <v>1</v>
      </c>
      <c r="M149">
        <v>1</v>
      </c>
      <c r="N149">
        <v>1</v>
      </c>
      <c r="O149">
        <v>1</v>
      </c>
    </row>
    <row r="150" spans="1:16" x14ac:dyDescent="0.25">
      <c r="A150" t="s">
        <v>151</v>
      </c>
      <c r="B150" t="s">
        <v>71</v>
      </c>
      <c r="C150">
        <v>0</v>
      </c>
      <c r="D150">
        <v>2.6594963073730469</v>
      </c>
      <c r="E150">
        <v>1</v>
      </c>
      <c r="F150">
        <v>1</v>
      </c>
      <c r="G150">
        <v>1</v>
      </c>
      <c r="H150">
        <v>1</v>
      </c>
      <c r="I150">
        <v>1</v>
      </c>
      <c r="J150">
        <v>1</v>
      </c>
      <c r="K150">
        <v>1</v>
      </c>
      <c r="L150">
        <v>1</v>
      </c>
      <c r="M150">
        <v>1</v>
      </c>
      <c r="N150">
        <v>1</v>
      </c>
      <c r="O150">
        <v>1</v>
      </c>
    </row>
    <row r="151" spans="1:16" x14ac:dyDescent="0.25">
      <c r="A151" t="s">
        <v>151</v>
      </c>
      <c r="B151" t="s">
        <v>72</v>
      </c>
      <c r="C151">
        <v>0</v>
      </c>
      <c r="D151">
        <v>5.5375957489013672</v>
      </c>
      <c r="E151">
        <v>1</v>
      </c>
      <c r="F151">
        <v>1</v>
      </c>
      <c r="G151">
        <v>0</v>
      </c>
      <c r="H151" t="s">
        <v>19</v>
      </c>
      <c r="I151">
        <v>1</v>
      </c>
      <c r="J151">
        <v>1</v>
      </c>
      <c r="K151">
        <v>1</v>
      </c>
      <c r="L151">
        <v>1</v>
      </c>
      <c r="M151">
        <v>1</v>
      </c>
      <c r="N151">
        <v>1</v>
      </c>
      <c r="O151">
        <v>1</v>
      </c>
      <c r="P151" t="s">
        <v>385</v>
      </c>
    </row>
    <row r="152" spans="1:16" x14ac:dyDescent="0.25">
      <c r="A152" t="s">
        <v>151</v>
      </c>
      <c r="B152" t="s">
        <v>74</v>
      </c>
      <c r="C152">
        <v>0</v>
      </c>
      <c r="D152">
        <v>2.779497385025024</v>
      </c>
      <c r="E152">
        <v>1</v>
      </c>
      <c r="F152">
        <v>1</v>
      </c>
      <c r="G152">
        <v>1</v>
      </c>
      <c r="H152">
        <v>1</v>
      </c>
      <c r="I152">
        <v>1</v>
      </c>
      <c r="J152">
        <v>1</v>
      </c>
      <c r="K152">
        <v>1</v>
      </c>
      <c r="L152">
        <v>1</v>
      </c>
      <c r="M152">
        <v>1</v>
      </c>
      <c r="N152">
        <v>1</v>
      </c>
      <c r="O152">
        <v>1</v>
      </c>
    </row>
    <row r="153" spans="1:16" x14ac:dyDescent="0.25">
      <c r="A153" t="s">
        <v>151</v>
      </c>
      <c r="B153" t="s">
        <v>76</v>
      </c>
      <c r="C153">
        <v>0</v>
      </c>
      <c r="D153">
        <v>9.6369543075561523</v>
      </c>
      <c r="E153">
        <v>1</v>
      </c>
      <c r="F153">
        <v>1</v>
      </c>
      <c r="G153">
        <v>1</v>
      </c>
      <c r="H153">
        <v>1</v>
      </c>
      <c r="I153">
        <v>1</v>
      </c>
      <c r="J153">
        <v>1</v>
      </c>
      <c r="K153">
        <v>1</v>
      </c>
      <c r="L153">
        <v>1</v>
      </c>
      <c r="M153">
        <v>1</v>
      </c>
      <c r="N153">
        <v>1</v>
      </c>
      <c r="O153">
        <v>1</v>
      </c>
    </row>
    <row r="154" spans="1:16" x14ac:dyDescent="0.25">
      <c r="A154" t="s">
        <v>151</v>
      </c>
      <c r="B154" t="s">
        <v>78</v>
      </c>
      <c r="C154">
        <v>0</v>
      </c>
      <c r="D154">
        <v>2.9868464469909668</v>
      </c>
      <c r="E154">
        <v>1</v>
      </c>
      <c r="F154">
        <v>1</v>
      </c>
      <c r="G154">
        <v>1</v>
      </c>
      <c r="H154">
        <v>1</v>
      </c>
      <c r="I154">
        <v>1</v>
      </c>
      <c r="J154">
        <v>1</v>
      </c>
      <c r="K154">
        <v>1</v>
      </c>
      <c r="L154">
        <v>1</v>
      </c>
      <c r="M154">
        <v>1</v>
      </c>
      <c r="N154">
        <v>1</v>
      </c>
      <c r="O154">
        <v>1</v>
      </c>
    </row>
    <row r="155" spans="1:16" x14ac:dyDescent="0.25">
      <c r="A155" t="s">
        <v>151</v>
      </c>
      <c r="B155" t="s">
        <v>80</v>
      </c>
      <c r="C155">
        <v>0</v>
      </c>
      <c r="D155">
        <v>14.583094120025629</v>
      </c>
      <c r="E155">
        <v>1</v>
      </c>
      <c r="F155">
        <v>1</v>
      </c>
      <c r="G155">
        <v>1</v>
      </c>
      <c r="H155">
        <v>1</v>
      </c>
      <c r="I155">
        <v>1</v>
      </c>
      <c r="J155">
        <v>1</v>
      </c>
      <c r="K155">
        <v>0</v>
      </c>
      <c r="L155">
        <v>0</v>
      </c>
      <c r="M155">
        <v>1</v>
      </c>
      <c r="N155">
        <v>1</v>
      </c>
      <c r="O155">
        <v>1</v>
      </c>
      <c r="P155" t="s">
        <v>386</v>
      </c>
    </row>
    <row r="156" spans="1:16" x14ac:dyDescent="0.25">
      <c r="A156" t="s">
        <v>151</v>
      </c>
      <c r="B156" t="s">
        <v>81</v>
      </c>
      <c r="C156">
        <v>0</v>
      </c>
      <c r="D156">
        <v>2.6521832942962651</v>
      </c>
      <c r="E156">
        <v>1</v>
      </c>
      <c r="F156">
        <v>1</v>
      </c>
      <c r="G156">
        <v>1</v>
      </c>
      <c r="H156">
        <v>1</v>
      </c>
      <c r="I156">
        <v>1</v>
      </c>
      <c r="J156">
        <v>1</v>
      </c>
      <c r="K156">
        <v>1</v>
      </c>
      <c r="L156">
        <v>1</v>
      </c>
      <c r="M156">
        <v>1</v>
      </c>
      <c r="N156">
        <v>1</v>
      </c>
      <c r="O156">
        <v>1</v>
      </c>
    </row>
    <row r="157" spans="1:16" x14ac:dyDescent="0.25">
      <c r="A157" t="s">
        <v>151</v>
      </c>
      <c r="B157" t="s">
        <v>83</v>
      </c>
      <c r="C157">
        <v>0</v>
      </c>
      <c r="D157">
        <v>5.9510500431060791</v>
      </c>
      <c r="E157">
        <v>1</v>
      </c>
      <c r="F157">
        <v>1</v>
      </c>
      <c r="G157">
        <v>0</v>
      </c>
      <c r="H157" t="s">
        <v>19</v>
      </c>
      <c r="I157">
        <v>1</v>
      </c>
      <c r="J157">
        <v>1</v>
      </c>
      <c r="K157">
        <v>1</v>
      </c>
      <c r="L157">
        <v>1</v>
      </c>
      <c r="M157">
        <v>1</v>
      </c>
      <c r="N157">
        <v>1</v>
      </c>
      <c r="O157">
        <v>1</v>
      </c>
      <c r="P157" t="s">
        <v>387</v>
      </c>
    </row>
    <row r="158" spans="1:16" x14ac:dyDescent="0.25">
      <c r="A158" t="s">
        <v>151</v>
      </c>
      <c r="B158" t="s">
        <v>85</v>
      </c>
      <c r="C158">
        <v>0</v>
      </c>
      <c r="D158">
        <v>6.7877058982849121</v>
      </c>
      <c r="E158">
        <v>1</v>
      </c>
      <c r="F158">
        <v>1</v>
      </c>
      <c r="G158">
        <v>1</v>
      </c>
      <c r="H158">
        <v>1</v>
      </c>
      <c r="I158">
        <v>1</v>
      </c>
      <c r="J158">
        <v>0</v>
      </c>
      <c r="K158">
        <v>1</v>
      </c>
      <c r="L158">
        <v>1</v>
      </c>
      <c r="M158">
        <v>1</v>
      </c>
      <c r="N158">
        <v>1</v>
      </c>
      <c r="O158">
        <v>1</v>
      </c>
      <c r="P158" t="s">
        <v>388</v>
      </c>
    </row>
    <row r="159" spans="1:16" x14ac:dyDescent="0.25">
      <c r="A159" t="s">
        <v>151</v>
      </c>
      <c r="B159" t="s">
        <v>87</v>
      </c>
      <c r="C159">
        <v>0</v>
      </c>
      <c r="D159">
        <v>8.4088242053985596</v>
      </c>
      <c r="E159">
        <v>1</v>
      </c>
      <c r="F159">
        <v>1</v>
      </c>
      <c r="G159">
        <v>0</v>
      </c>
      <c r="H159" t="s">
        <v>19</v>
      </c>
      <c r="I159">
        <v>1</v>
      </c>
      <c r="J159">
        <v>1</v>
      </c>
      <c r="K159">
        <v>1</v>
      </c>
      <c r="L159">
        <v>1</v>
      </c>
      <c r="M159">
        <v>1</v>
      </c>
      <c r="N159">
        <v>1</v>
      </c>
      <c r="O159">
        <v>1</v>
      </c>
      <c r="P159" t="s">
        <v>389</v>
      </c>
    </row>
    <row r="160" spans="1:16" x14ac:dyDescent="0.25">
      <c r="A160" t="s">
        <v>151</v>
      </c>
      <c r="B160" t="s">
        <v>89</v>
      </c>
      <c r="C160">
        <v>0</v>
      </c>
      <c r="D160">
        <v>4.7648704051971444</v>
      </c>
      <c r="E160">
        <v>1</v>
      </c>
      <c r="F160">
        <v>1</v>
      </c>
      <c r="G160">
        <v>1</v>
      </c>
      <c r="H160">
        <v>1</v>
      </c>
      <c r="I160">
        <v>1</v>
      </c>
      <c r="J160">
        <v>0</v>
      </c>
      <c r="K160">
        <v>1</v>
      </c>
      <c r="L160">
        <v>1</v>
      </c>
      <c r="M160">
        <v>1</v>
      </c>
      <c r="N160">
        <v>1</v>
      </c>
      <c r="O160">
        <v>1</v>
      </c>
      <c r="P160" t="s">
        <v>390</v>
      </c>
    </row>
    <row r="161" spans="1:16" x14ac:dyDescent="0.25">
      <c r="A161" t="s">
        <v>151</v>
      </c>
      <c r="B161" t="s">
        <v>91</v>
      </c>
      <c r="C161">
        <v>0</v>
      </c>
      <c r="D161">
        <v>2.714599609375</v>
      </c>
      <c r="E161">
        <v>1</v>
      </c>
      <c r="F161">
        <v>1</v>
      </c>
      <c r="G161">
        <v>1</v>
      </c>
      <c r="H161">
        <v>1</v>
      </c>
      <c r="I161">
        <v>1</v>
      </c>
      <c r="J161">
        <v>1</v>
      </c>
      <c r="K161">
        <v>1</v>
      </c>
      <c r="L161">
        <v>1</v>
      </c>
      <c r="M161">
        <v>1</v>
      </c>
      <c r="N161">
        <v>1</v>
      </c>
      <c r="O161">
        <v>1</v>
      </c>
    </row>
    <row r="162" spans="1:16" x14ac:dyDescent="0.25">
      <c r="A162" t="s">
        <v>151</v>
      </c>
      <c r="B162" t="s">
        <v>93</v>
      </c>
      <c r="C162">
        <v>0</v>
      </c>
      <c r="D162">
        <v>6.8801746368408203</v>
      </c>
      <c r="E162">
        <v>1</v>
      </c>
      <c r="F162">
        <v>1</v>
      </c>
      <c r="G162">
        <v>0</v>
      </c>
      <c r="H162" t="s">
        <v>19</v>
      </c>
      <c r="I162">
        <v>1</v>
      </c>
      <c r="J162">
        <v>0</v>
      </c>
      <c r="K162">
        <v>1</v>
      </c>
      <c r="L162">
        <v>1</v>
      </c>
      <c r="M162">
        <v>1</v>
      </c>
      <c r="N162">
        <v>1</v>
      </c>
      <c r="O162">
        <v>1</v>
      </c>
      <c r="P162" t="s">
        <v>391</v>
      </c>
    </row>
    <row r="163" spans="1:16" x14ac:dyDescent="0.25">
      <c r="A163" t="s">
        <v>151</v>
      </c>
      <c r="B163" t="s">
        <v>128</v>
      </c>
      <c r="C163">
        <v>0</v>
      </c>
      <c r="D163">
        <v>11.0982129573822</v>
      </c>
      <c r="E163">
        <v>1</v>
      </c>
      <c r="F163">
        <v>1</v>
      </c>
      <c r="G163">
        <v>1</v>
      </c>
      <c r="H163">
        <v>1</v>
      </c>
      <c r="I163">
        <v>1</v>
      </c>
      <c r="J163">
        <v>0</v>
      </c>
      <c r="K163">
        <v>1</v>
      </c>
      <c r="L163">
        <v>1</v>
      </c>
      <c r="M163">
        <v>1</v>
      </c>
      <c r="N163">
        <v>1</v>
      </c>
      <c r="O163">
        <v>1</v>
      </c>
      <c r="P163" t="s">
        <v>392</v>
      </c>
    </row>
    <row r="164" spans="1:16" x14ac:dyDescent="0.25">
      <c r="A164" t="s">
        <v>151</v>
      </c>
      <c r="B164" t="s">
        <v>129</v>
      </c>
      <c r="C164">
        <v>0</v>
      </c>
      <c r="D164">
        <v>2.6612529754638672</v>
      </c>
      <c r="E164">
        <v>1</v>
      </c>
      <c r="F164">
        <v>1</v>
      </c>
      <c r="G164">
        <v>1</v>
      </c>
      <c r="H164">
        <v>1</v>
      </c>
      <c r="I164">
        <v>1</v>
      </c>
      <c r="J164">
        <v>1</v>
      </c>
      <c r="K164">
        <v>1</v>
      </c>
      <c r="L164">
        <v>1</v>
      </c>
      <c r="M164">
        <v>1</v>
      </c>
      <c r="N164">
        <v>1</v>
      </c>
      <c r="O164">
        <v>1</v>
      </c>
    </row>
    <row r="165" spans="1:16" x14ac:dyDescent="0.25">
      <c r="A165" t="s">
        <v>151</v>
      </c>
      <c r="B165" t="s">
        <v>131</v>
      </c>
      <c r="C165">
        <v>0</v>
      </c>
      <c r="D165">
        <v>4.4013466835021973</v>
      </c>
      <c r="E165">
        <v>1</v>
      </c>
      <c r="F165">
        <v>1</v>
      </c>
      <c r="G165">
        <v>1</v>
      </c>
      <c r="H165">
        <v>1</v>
      </c>
      <c r="I165">
        <v>0</v>
      </c>
      <c r="J165">
        <v>1</v>
      </c>
      <c r="K165">
        <v>1</v>
      </c>
      <c r="L165">
        <v>1</v>
      </c>
      <c r="M165">
        <v>1</v>
      </c>
      <c r="N165">
        <v>1</v>
      </c>
      <c r="O165">
        <v>1</v>
      </c>
      <c r="P165" t="s">
        <v>393</v>
      </c>
    </row>
    <row r="166" spans="1:16" x14ac:dyDescent="0.25">
      <c r="A166" t="s">
        <v>151</v>
      </c>
      <c r="B166" t="s">
        <v>133</v>
      </c>
      <c r="C166">
        <v>0</v>
      </c>
      <c r="D166">
        <v>10.18207955360413</v>
      </c>
      <c r="E166">
        <v>1</v>
      </c>
      <c r="F166">
        <v>1</v>
      </c>
      <c r="G166">
        <v>1</v>
      </c>
      <c r="H166">
        <v>1</v>
      </c>
      <c r="I166">
        <v>1</v>
      </c>
      <c r="J166">
        <v>1</v>
      </c>
      <c r="K166">
        <v>1</v>
      </c>
      <c r="L166">
        <v>1</v>
      </c>
      <c r="M166">
        <v>1</v>
      </c>
      <c r="N166">
        <v>1</v>
      </c>
      <c r="O166">
        <v>1</v>
      </c>
    </row>
    <row r="167" spans="1:16" x14ac:dyDescent="0.25">
      <c r="A167" t="s">
        <v>151</v>
      </c>
      <c r="B167" t="s">
        <v>134</v>
      </c>
      <c r="C167">
        <v>0</v>
      </c>
      <c r="D167">
        <v>5.3550422191619873</v>
      </c>
      <c r="E167">
        <v>1</v>
      </c>
      <c r="F167">
        <v>1</v>
      </c>
      <c r="G167">
        <v>1</v>
      </c>
      <c r="H167">
        <v>1</v>
      </c>
      <c r="I167">
        <v>1</v>
      </c>
      <c r="J167">
        <v>0</v>
      </c>
      <c r="K167">
        <v>1</v>
      </c>
      <c r="L167">
        <v>1</v>
      </c>
      <c r="M167">
        <v>1</v>
      </c>
      <c r="N167">
        <v>1</v>
      </c>
      <c r="O167">
        <v>1</v>
      </c>
      <c r="P167" t="s">
        <v>394</v>
      </c>
    </row>
    <row r="168" spans="1:16" x14ac:dyDescent="0.25">
      <c r="A168" t="s">
        <v>151</v>
      </c>
      <c r="B168" t="s">
        <v>136</v>
      </c>
      <c r="C168">
        <v>0</v>
      </c>
      <c r="D168">
        <v>4.688260555267334</v>
      </c>
      <c r="E168">
        <v>1</v>
      </c>
      <c r="F168">
        <v>1</v>
      </c>
      <c r="G168">
        <v>1</v>
      </c>
      <c r="H168">
        <v>1</v>
      </c>
      <c r="I168">
        <v>1</v>
      </c>
      <c r="J168">
        <v>0</v>
      </c>
      <c r="K168">
        <v>1</v>
      </c>
      <c r="L168">
        <v>1</v>
      </c>
      <c r="M168">
        <v>1</v>
      </c>
      <c r="N168">
        <v>1</v>
      </c>
      <c r="O168">
        <v>1</v>
      </c>
      <c r="P168" t="s">
        <v>395</v>
      </c>
    </row>
    <row r="169" spans="1:16" x14ac:dyDescent="0.25">
      <c r="A169" t="s">
        <v>151</v>
      </c>
      <c r="B169" t="s">
        <v>138</v>
      </c>
      <c r="C169">
        <v>0</v>
      </c>
      <c r="D169">
        <v>2.6959435939788818</v>
      </c>
      <c r="E169">
        <v>1</v>
      </c>
      <c r="F169">
        <v>1</v>
      </c>
      <c r="G169">
        <v>1</v>
      </c>
      <c r="H169">
        <v>1</v>
      </c>
      <c r="I169">
        <v>1</v>
      </c>
      <c r="J169">
        <v>1</v>
      </c>
      <c r="K169">
        <v>1</v>
      </c>
      <c r="L169">
        <v>1</v>
      </c>
      <c r="M169">
        <v>1</v>
      </c>
      <c r="N169">
        <v>1</v>
      </c>
      <c r="O169">
        <v>1</v>
      </c>
    </row>
    <row r="170" spans="1:16" x14ac:dyDescent="0.25">
      <c r="A170" t="s">
        <v>151</v>
      </c>
      <c r="B170" t="s">
        <v>140</v>
      </c>
      <c r="C170">
        <v>0</v>
      </c>
      <c r="D170">
        <v>10.95419716835022</v>
      </c>
      <c r="E170">
        <v>1</v>
      </c>
      <c r="F170">
        <v>1</v>
      </c>
      <c r="G170">
        <v>1</v>
      </c>
      <c r="H170">
        <v>0</v>
      </c>
      <c r="I170">
        <v>1</v>
      </c>
      <c r="J170">
        <v>1</v>
      </c>
      <c r="K170">
        <v>1</v>
      </c>
      <c r="L170">
        <v>1</v>
      </c>
      <c r="M170">
        <v>1</v>
      </c>
      <c r="N170">
        <v>1</v>
      </c>
      <c r="O170">
        <v>1</v>
      </c>
      <c r="P170" t="s">
        <v>396</v>
      </c>
    </row>
    <row r="171" spans="1:16" x14ac:dyDescent="0.25">
      <c r="A171" t="s">
        <v>151</v>
      </c>
      <c r="B171" t="s">
        <v>142</v>
      </c>
      <c r="C171">
        <v>0</v>
      </c>
      <c r="D171">
        <v>11.29280734062195</v>
      </c>
      <c r="E171">
        <v>1</v>
      </c>
      <c r="F171">
        <v>1</v>
      </c>
      <c r="G171">
        <v>1</v>
      </c>
      <c r="H171">
        <v>1</v>
      </c>
      <c r="I171">
        <v>1</v>
      </c>
      <c r="J171">
        <v>1</v>
      </c>
      <c r="K171">
        <v>0</v>
      </c>
      <c r="L171">
        <v>1</v>
      </c>
      <c r="M171">
        <v>1</v>
      </c>
      <c r="N171">
        <v>1</v>
      </c>
      <c r="O171">
        <v>1</v>
      </c>
      <c r="P171" t="s">
        <v>397</v>
      </c>
    </row>
    <row r="172" spans="1:16" x14ac:dyDescent="0.25">
      <c r="A172" t="s">
        <v>151</v>
      </c>
      <c r="B172" t="s">
        <v>143</v>
      </c>
      <c r="C172">
        <v>0</v>
      </c>
      <c r="D172">
        <v>11.82148337364197</v>
      </c>
      <c r="E172">
        <v>1</v>
      </c>
      <c r="F172">
        <v>1</v>
      </c>
      <c r="G172">
        <v>1</v>
      </c>
      <c r="H172">
        <v>1</v>
      </c>
      <c r="I172">
        <v>1</v>
      </c>
      <c r="J172">
        <v>1</v>
      </c>
      <c r="K172">
        <v>0</v>
      </c>
      <c r="L172">
        <v>1</v>
      </c>
      <c r="M172">
        <v>1</v>
      </c>
      <c r="N172">
        <v>1</v>
      </c>
      <c r="O172">
        <v>1</v>
      </c>
      <c r="P172" t="s">
        <v>398</v>
      </c>
    </row>
    <row r="173" spans="1:16" x14ac:dyDescent="0.25">
      <c r="A173" t="s">
        <v>151</v>
      </c>
      <c r="B173" t="s">
        <v>145</v>
      </c>
      <c r="C173">
        <v>0</v>
      </c>
      <c r="D173">
        <v>4.2156145572662354</v>
      </c>
      <c r="E173">
        <v>1</v>
      </c>
      <c r="F173">
        <v>1</v>
      </c>
      <c r="G173">
        <v>1</v>
      </c>
      <c r="H173">
        <v>1</v>
      </c>
      <c r="I173">
        <v>1</v>
      </c>
      <c r="J173">
        <v>0</v>
      </c>
      <c r="K173">
        <v>1</v>
      </c>
      <c r="L173">
        <v>1</v>
      </c>
      <c r="M173">
        <v>1</v>
      </c>
      <c r="N173">
        <v>1</v>
      </c>
      <c r="O173">
        <v>1</v>
      </c>
      <c r="P173" t="s">
        <v>399</v>
      </c>
    </row>
    <row r="174" spans="1:16" x14ac:dyDescent="0.25">
      <c r="A174" t="s">
        <v>151</v>
      </c>
      <c r="B174" t="s">
        <v>146</v>
      </c>
      <c r="C174">
        <v>0</v>
      </c>
      <c r="D174">
        <v>4.6957461833953857</v>
      </c>
      <c r="E174">
        <v>1</v>
      </c>
      <c r="F174">
        <v>1</v>
      </c>
      <c r="G174">
        <v>1</v>
      </c>
      <c r="H174">
        <v>1</v>
      </c>
      <c r="I174">
        <v>1</v>
      </c>
      <c r="J174">
        <v>0</v>
      </c>
      <c r="K174">
        <v>1</v>
      </c>
      <c r="L174">
        <v>1</v>
      </c>
      <c r="M174">
        <v>1</v>
      </c>
      <c r="N174">
        <v>1</v>
      </c>
      <c r="O174">
        <v>1</v>
      </c>
      <c r="P174" t="s">
        <v>400</v>
      </c>
    </row>
    <row r="175" spans="1:16" x14ac:dyDescent="0.25">
      <c r="A175" t="s">
        <v>151</v>
      </c>
      <c r="B175" t="s">
        <v>148</v>
      </c>
      <c r="C175">
        <v>0</v>
      </c>
      <c r="D175">
        <v>5.6438224315643311</v>
      </c>
      <c r="E175">
        <v>1</v>
      </c>
      <c r="F175">
        <v>1</v>
      </c>
      <c r="G175">
        <v>1</v>
      </c>
      <c r="H175">
        <v>1</v>
      </c>
      <c r="I175">
        <v>1</v>
      </c>
      <c r="J175">
        <v>0</v>
      </c>
      <c r="K175">
        <v>0</v>
      </c>
      <c r="L175">
        <v>1</v>
      </c>
      <c r="M175">
        <v>1</v>
      </c>
      <c r="N175">
        <v>1</v>
      </c>
      <c r="O175">
        <v>1</v>
      </c>
      <c r="P175" t="s">
        <v>401</v>
      </c>
    </row>
    <row r="176" spans="1:16" x14ac:dyDescent="0.25">
      <c r="A176" t="s">
        <v>151</v>
      </c>
      <c r="B176" t="s">
        <v>149</v>
      </c>
      <c r="C176">
        <v>0</v>
      </c>
      <c r="D176">
        <v>2.768359899520874</v>
      </c>
      <c r="E176">
        <v>1</v>
      </c>
      <c r="F176">
        <v>1</v>
      </c>
      <c r="G176">
        <v>1</v>
      </c>
      <c r="H176">
        <v>1</v>
      </c>
      <c r="I176">
        <v>1</v>
      </c>
      <c r="J176">
        <v>1</v>
      </c>
      <c r="K176">
        <v>1</v>
      </c>
      <c r="L176">
        <v>1</v>
      </c>
      <c r="M176">
        <v>1</v>
      </c>
      <c r="N176">
        <v>1</v>
      </c>
      <c r="O176">
        <v>1</v>
      </c>
    </row>
    <row r="177" spans="1:16" x14ac:dyDescent="0.25">
      <c r="A177" t="s">
        <v>151</v>
      </c>
      <c r="B177" t="s">
        <v>190</v>
      </c>
      <c r="C177">
        <v>0</v>
      </c>
      <c r="D177">
        <v>4.8164947032928467</v>
      </c>
      <c r="E177">
        <v>1</v>
      </c>
      <c r="F177">
        <v>1</v>
      </c>
      <c r="G177">
        <v>1</v>
      </c>
      <c r="H177">
        <v>1</v>
      </c>
      <c r="I177">
        <v>1</v>
      </c>
      <c r="J177">
        <v>1</v>
      </c>
      <c r="K177">
        <v>1</v>
      </c>
      <c r="L177">
        <v>0</v>
      </c>
      <c r="M177">
        <v>1</v>
      </c>
      <c r="N177">
        <v>0</v>
      </c>
      <c r="O177">
        <v>1</v>
      </c>
      <c r="P177" t="s">
        <v>402</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177"/>
  <sheetViews>
    <sheetView workbookViewId="0"/>
  </sheetViews>
  <sheetFormatPr defaultRowHeight="13.8" x14ac:dyDescent="0.25"/>
  <sheetData>
    <row r="1" spans="1:16"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5">
      <c r="A2" t="s">
        <v>16</v>
      </c>
      <c r="B2" t="s">
        <v>17</v>
      </c>
      <c r="C2">
        <v>0</v>
      </c>
      <c r="D2">
        <v>2.7456977367401119</v>
      </c>
      <c r="E2">
        <v>1</v>
      </c>
      <c r="F2">
        <v>1</v>
      </c>
      <c r="G2">
        <v>1</v>
      </c>
      <c r="H2">
        <v>1</v>
      </c>
      <c r="I2">
        <v>1</v>
      </c>
      <c r="J2">
        <v>1</v>
      </c>
      <c r="K2">
        <v>1</v>
      </c>
      <c r="L2">
        <v>1</v>
      </c>
      <c r="M2">
        <v>1</v>
      </c>
      <c r="N2">
        <v>1</v>
      </c>
      <c r="O2">
        <v>1</v>
      </c>
    </row>
    <row r="3" spans="1:16" x14ac:dyDescent="0.25">
      <c r="A3" t="s">
        <v>16</v>
      </c>
      <c r="B3" t="s">
        <v>18</v>
      </c>
      <c r="C3">
        <v>0</v>
      </c>
      <c r="D3">
        <v>6.3697183132171631</v>
      </c>
      <c r="E3">
        <v>1</v>
      </c>
      <c r="F3">
        <v>1</v>
      </c>
      <c r="G3">
        <v>0</v>
      </c>
      <c r="H3" t="s">
        <v>19</v>
      </c>
      <c r="I3">
        <v>1</v>
      </c>
      <c r="J3">
        <v>1</v>
      </c>
      <c r="K3">
        <v>1</v>
      </c>
      <c r="L3">
        <v>1</v>
      </c>
      <c r="M3">
        <v>0</v>
      </c>
      <c r="N3">
        <v>1</v>
      </c>
      <c r="O3">
        <v>1</v>
      </c>
      <c r="P3" t="s">
        <v>403</v>
      </c>
    </row>
    <row r="4" spans="1:16" x14ac:dyDescent="0.25">
      <c r="A4" t="s">
        <v>16</v>
      </c>
      <c r="B4" t="s">
        <v>21</v>
      </c>
      <c r="C4">
        <v>0</v>
      </c>
      <c r="D4">
        <v>10.071184396743771</v>
      </c>
      <c r="E4">
        <v>1</v>
      </c>
      <c r="F4">
        <v>1</v>
      </c>
      <c r="G4">
        <v>1</v>
      </c>
      <c r="H4">
        <v>1</v>
      </c>
      <c r="I4">
        <v>0</v>
      </c>
      <c r="J4">
        <v>1</v>
      </c>
      <c r="K4">
        <v>1</v>
      </c>
      <c r="L4">
        <v>1</v>
      </c>
      <c r="M4">
        <v>1</v>
      </c>
      <c r="N4">
        <v>1</v>
      </c>
      <c r="O4">
        <v>1</v>
      </c>
      <c r="P4" t="s">
        <v>404</v>
      </c>
    </row>
    <row r="5" spans="1:16" x14ac:dyDescent="0.25">
      <c r="A5" t="s">
        <v>16</v>
      </c>
      <c r="B5" t="s">
        <v>23</v>
      </c>
      <c r="C5">
        <v>0</v>
      </c>
      <c r="D5">
        <v>2.7321181297302251</v>
      </c>
      <c r="E5">
        <v>1</v>
      </c>
      <c r="F5">
        <v>1</v>
      </c>
      <c r="G5">
        <v>1</v>
      </c>
      <c r="H5">
        <v>1</v>
      </c>
      <c r="I5">
        <v>1</v>
      </c>
      <c r="J5">
        <v>1</v>
      </c>
      <c r="K5">
        <v>1</v>
      </c>
      <c r="L5">
        <v>1</v>
      </c>
      <c r="M5">
        <v>1</v>
      </c>
      <c r="N5">
        <v>1</v>
      </c>
      <c r="O5">
        <v>1</v>
      </c>
    </row>
    <row r="6" spans="1:16" x14ac:dyDescent="0.25">
      <c r="A6" t="s">
        <v>16</v>
      </c>
      <c r="B6" t="s">
        <v>24</v>
      </c>
      <c r="C6">
        <v>0</v>
      </c>
      <c r="D6">
        <v>10.95104503631592</v>
      </c>
      <c r="E6">
        <v>1</v>
      </c>
      <c r="F6">
        <v>1</v>
      </c>
      <c r="G6">
        <v>1</v>
      </c>
      <c r="H6">
        <v>1</v>
      </c>
      <c r="I6">
        <v>1</v>
      </c>
      <c r="J6">
        <v>1</v>
      </c>
      <c r="K6">
        <v>0</v>
      </c>
      <c r="L6">
        <v>1</v>
      </c>
      <c r="M6">
        <v>1</v>
      </c>
      <c r="N6">
        <v>1</v>
      </c>
      <c r="O6">
        <v>1</v>
      </c>
      <c r="P6" t="s">
        <v>405</v>
      </c>
    </row>
    <row r="7" spans="1:16" x14ac:dyDescent="0.25">
      <c r="A7" t="s">
        <v>16</v>
      </c>
      <c r="B7" t="s">
        <v>25</v>
      </c>
      <c r="C7">
        <v>0</v>
      </c>
      <c r="D7">
        <v>6.2781927585601807</v>
      </c>
      <c r="E7">
        <v>1</v>
      </c>
      <c r="F7">
        <v>1</v>
      </c>
      <c r="G7">
        <v>1</v>
      </c>
      <c r="H7">
        <v>0</v>
      </c>
      <c r="I7">
        <v>1</v>
      </c>
      <c r="J7">
        <v>0</v>
      </c>
      <c r="K7">
        <v>1</v>
      </c>
      <c r="L7">
        <v>1</v>
      </c>
      <c r="M7">
        <v>1</v>
      </c>
      <c r="N7">
        <v>1</v>
      </c>
      <c r="O7">
        <v>1</v>
      </c>
      <c r="P7" t="s">
        <v>406</v>
      </c>
    </row>
    <row r="8" spans="1:16" x14ac:dyDescent="0.25">
      <c r="A8" t="s">
        <v>16</v>
      </c>
      <c r="B8" t="s">
        <v>27</v>
      </c>
      <c r="C8">
        <v>0</v>
      </c>
      <c r="D8">
        <v>2.9518454074859619</v>
      </c>
      <c r="E8">
        <v>1</v>
      </c>
      <c r="F8">
        <v>1</v>
      </c>
      <c r="G8">
        <v>1</v>
      </c>
      <c r="H8">
        <v>1</v>
      </c>
      <c r="I8">
        <v>1</v>
      </c>
      <c r="J8">
        <v>1</v>
      </c>
      <c r="K8">
        <v>1</v>
      </c>
      <c r="L8">
        <v>1</v>
      </c>
      <c r="M8">
        <v>1</v>
      </c>
      <c r="N8">
        <v>1</v>
      </c>
      <c r="O8">
        <v>1</v>
      </c>
    </row>
    <row r="9" spans="1:16" x14ac:dyDescent="0.25">
      <c r="A9" t="s">
        <v>16</v>
      </c>
      <c r="B9" t="s">
        <v>28</v>
      </c>
      <c r="C9">
        <v>0</v>
      </c>
      <c r="D9">
        <v>5.549159049987793</v>
      </c>
      <c r="E9">
        <v>1</v>
      </c>
      <c r="F9">
        <v>1</v>
      </c>
      <c r="G9">
        <v>0</v>
      </c>
      <c r="H9" t="s">
        <v>19</v>
      </c>
      <c r="I9">
        <v>1</v>
      </c>
      <c r="J9">
        <v>1</v>
      </c>
      <c r="K9">
        <v>1</v>
      </c>
      <c r="L9">
        <v>1</v>
      </c>
      <c r="M9">
        <v>1</v>
      </c>
      <c r="N9">
        <v>1</v>
      </c>
      <c r="O9">
        <v>1</v>
      </c>
      <c r="P9" t="s">
        <v>407</v>
      </c>
    </row>
    <row r="10" spans="1:16" x14ac:dyDescent="0.25">
      <c r="A10" t="s">
        <v>16</v>
      </c>
      <c r="B10" t="s">
        <v>29</v>
      </c>
      <c r="C10">
        <v>0</v>
      </c>
      <c r="D10">
        <v>10.58455491065979</v>
      </c>
      <c r="E10">
        <v>1</v>
      </c>
      <c r="F10">
        <v>1</v>
      </c>
      <c r="G10">
        <v>1</v>
      </c>
      <c r="H10">
        <v>1</v>
      </c>
      <c r="I10">
        <v>1</v>
      </c>
      <c r="J10">
        <v>1</v>
      </c>
      <c r="K10">
        <v>1</v>
      </c>
      <c r="L10">
        <v>1</v>
      </c>
      <c r="M10">
        <v>1</v>
      </c>
      <c r="N10">
        <v>1</v>
      </c>
      <c r="O10">
        <v>1</v>
      </c>
    </row>
    <row r="11" spans="1:16" x14ac:dyDescent="0.25">
      <c r="A11" t="s">
        <v>16</v>
      </c>
      <c r="B11" t="s">
        <v>30</v>
      </c>
      <c r="C11">
        <v>0</v>
      </c>
      <c r="D11">
        <v>2.771924734115601</v>
      </c>
      <c r="E11">
        <v>1</v>
      </c>
      <c r="F11">
        <v>1</v>
      </c>
      <c r="G11">
        <v>1</v>
      </c>
      <c r="H11">
        <v>1</v>
      </c>
      <c r="I11">
        <v>1</v>
      </c>
      <c r="J11">
        <v>1</v>
      </c>
      <c r="K11">
        <v>1</v>
      </c>
      <c r="L11">
        <v>1</v>
      </c>
      <c r="M11">
        <v>1</v>
      </c>
      <c r="N11">
        <v>1</v>
      </c>
      <c r="O11">
        <v>1</v>
      </c>
    </row>
    <row r="12" spans="1:16" x14ac:dyDescent="0.25">
      <c r="A12" t="s">
        <v>16</v>
      </c>
      <c r="B12" t="s">
        <v>31</v>
      </c>
      <c r="C12">
        <v>0</v>
      </c>
      <c r="D12">
        <v>8.6305315494537354</v>
      </c>
      <c r="E12">
        <v>1</v>
      </c>
      <c r="F12">
        <v>1</v>
      </c>
      <c r="G12">
        <v>1</v>
      </c>
      <c r="H12">
        <v>1</v>
      </c>
      <c r="I12">
        <v>1</v>
      </c>
      <c r="J12">
        <v>1</v>
      </c>
      <c r="K12">
        <v>1</v>
      </c>
      <c r="L12">
        <v>1</v>
      </c>
      <c r="M12">
        <v>1</v>
      </c>
      <c r="N12">
        <v>1</v>
      </c>
      <c r="O12">
        <v>1</v>
      </c>
    </row>
    <row r="13" spans="1:16" x14ac:dyDescent="0.25">
      <c r="A13" t="s">
        <v>16</v>
      </c>
      <c r="B13" t="s">
        <v>32</v>
      </c>
      <c r="C13">
        <v>0</v>
      </c>
      <c r="D13">
        <v>9.8959743976593018</v>
      </c>
      <c r="E13">
        <v>1</v>
      </c>
      <c r="F13">
        <v>1</v>
      </c>
      <c r="G13">
        <v>0</v>
      </c>
      <c r="H13" t="s">
        <v>19</v>
      </c>
      <c r="I13">
        <v>1</v>
      </c>
      <c r="J13">
        <v>1</v>
      </c>
      <c r="K13">
        <v>1</v>
      </c>
      <c r="L13">
        <v>1</v>
      </c>
      <c r="M13">
        <v>1</v>
      </c>
      <c r="N13">
        <v>1</v>
      </c>
      <c r="O13">
        <v>1</v>
      </c>
      <c r="P13" t="s">
        <v>408</v>
      </c>
    </row>
    <row r="14" spans="1:16" x14ac:dyDescent="0.25">
      <c r="A14" t="s">
        <v>16</v>
      </c>
      <c r="B14" t="s">
        <v>33</v>
      </c>
      <c r="C14">
        <v>0</v>
      </c>
      <c r="D14">
        <v>9.9349145889282227</v>
      </c>
      <c r="E14">
        <v>1</v>
      </c>
      <c r="F14">
        <v>1</v>
      </c>
      <c r="G14">
        <v>1</v>
      </c>
      <c r="H14">
        <v>0</v>
      </c>
      <c r="I14">
        <v>1</v>
      </c>
      <c r="J14">
        <v>1</v>
      </c>
      <c r="K14">
        <v>1</v>
      </c>
      <c r="L14">
        <v>1</v>
      </c>
      <c r="M14">
        <v>1</v>
      </c>
      <c r="N14">
        <v>1</v>
      </c>
      <c r="O14">
        <v>1</v>
      </c>
      <c r="P14" t="s">
        <v>409</v>
      </c>
    </row>
    <row r="15" spans="1:16" x14ac:dyDescent="0.25">
      <c r="A15" t="s">
        <v>16</v>
      </c>
      <c r="B15" t="s">
        <v>35</v>
      </c>
      <c r="C15">
        <v>0</v>
      </c>
      <c r="D15">
        <v>9.4533295631408691</v>
      </c>
      <c r="E15">
        <v>1</v>
      </c>
      <c r="F15">
        <v>1</v>
      </c>
      <c r="G15">
        <v>1</v>
      </c>
      <c r="H15">
        <v>1</v>
      </c>
      <c r="I15">
        <v>1</v>
      </c>
      <c r="J15">
        <v>1</v>
      </c>
      <c r="K15">
        <v>1</v>
      </c>
      <c r="L15">
        <v>1</v>
      </c>
      <c r="M15">
        <v>1</v>
      </c>
      <c r="N15">
        <v>1</v>
      </c>
      <c r="O15">
        <v>1</v>
      </c>
    </row>
    <row r="16" spans="1:16" x14ac:dyDescent="0.25">
      <c r="A16" t="s">
        <v>16</v>
      </c>
      <c r="B16" t="s">
        <v>36</v>
      </c>
      <c r="C16">
        <v>0</v>
      </c>
      <c r="D16">
        <v>2.7560000419616699</v>
      </c>
      <c r="E16">
        <v>1</v>
      </c>
      <c r="F16">
        <v>1</v>
      </c>
      <c r="G16">
        <v>1</v>
      </c>
      <c r="H16">
        <v>1</v>
      </c>
      <c r="I16">
        <v>1</v>
      </c>
      <c r="J16">
        <v>1</v>
      </c>
      <c r="K16">
        <v>1</v>
      </c>
      <c r="L16">
        <v>1</v>
      </c>
      <c r="M16">
        <v>1</v>
      </c>
      <c r="N16">
        <v>1</v>
      </c>
      <c r="O16">
        <v>1</v>
      </c>
    </row>
    <row r="17" spans="1:16" x14ac:dyDescent="0.25">
      <c r="A17" t="s">
        <v>16</v>
      </c>
      <c r="B17" t="s">
        <v>37</v>
      </c>
      <c r="C17">
        <v>0</v>
      </c>
      <c r="D17">
        <v>5.1542160511016846</v>
      </c>
      <c r="E17">
        <v>1</v>
      </c>
      <c r="F17">
        <v>1</v>
      </c>
      <c r="G17">
        <v>1</v>
      </c>
      <c r="H17">
        <v>0</v>
      </c>
      <c r="I17">
        <v>1</v>
      </c>
      <c r="J17">
        <v>1</v>
      </c>
      <c r="K17">
        <v>1</v>
      </c>
      <c r="L17">
        <v>1</v>
      </c>
      <c r="M17">
        <v>1</v>
      </c>
      <c r="N17">
        <v>1</v>
      </c>
      <c r="O17">
        <v>1</v>
      </c>
      <c r="P17" t="s">
        <v>410</v>
      </c>
    </row>
    <row r="18" spans="1:16" x14ac:dyDescent="0.25">
      <c r="A18" t="s">
        <v>16</v>
      </c>
      <c r="B18" t="s">
        <v>39</v>
      </c>
      <c r="C18">
        <v>0</v>
      </c>
      <c r="D18">
        <v>9.7039649486541748</v>
      </c>
      <c r="E18">
        <v>1</v>
      </c>
      <c r="F18">
        <v>1</v>
      </c>
      <c r="G18">
        <v>1</v>
      </c>
      <c r="H18">
        <v>1</v>
      </c>
      <c r="I18">
        <v>1</v>
      </c>
      <c r="J18">
        <v>1</v>
      </c>
      <c r="K18">
        <v>1</v>
      </c>
      <c r="L18">
        <v>1</v>
      </c>
      <c r="M18">
        <v>1</v>
      </c>
      <c r="N18">
        <v>1</v>
      </c>
      <c r="O18">
        <v>1</v>
      </c>
    </row>
    <row r="19" spans="1:16" x14ac:dyDescent="0.25">
      <c r="A19" t="s">
        <v>16</v>
      </c>
      <c r="B19" t="s">
        <v>40</v>
      </c>
      <c r="C19">
        <v>0</v>
      </c>
      <c r="D19">
        <v>9.313373327255249</v>
      </c>
      <c r="E19">
        <v>1</v>
      </c>
      <c r="F19">
        <v>1</v>
      </c>
      <c r="G19">
        <v>1</v>
      </c>
      <c r="H19">
        <v>1</v>
      </c>
      <c r="I19">
        <v>1</v>
      </c>
      <c r="J19">
        <v>1</v>
      </c>
      <c r="K19">
        <v>1</v>
      </c>
      <c r="L19">
        <v>1</v>
      </c>
      <c r="M19">
        <v>1</v>
      </c>
      <c r="N19">
        <v>1</v>
      </c>
      <c r="O19">
        <v>1</v>
      </c>
    </row>
    <row r="20" spans="1:16" x14ac:dyDescent="0.25">
      <c r="A20" t="s">
        <v>16</v>
      </c>
      <c r="B20" t="s">
        <v>41</v>
      </c>
      <c r="C20">
        <v>0</v>
      </c>
      <c r="D20">
        <v>6.8033785820007324</v>
      </c>
      <c r="E20">
        <v>1</v>
      </c>
      <c r="F20">
        <v>1</v>
      </c>
      <c r="G20">
        <v>1</v>
      </c>
      <c r="H20">
        <v>1</v>
      </c>
      <c r="I20">
        <v>1</v>
      </c>
      <c r="J20">
        <v>1</v>
      </c>
      <c r="K20">
        <v>1</v>
      </c>
      <c r="L20">
        <v>1</v>
      </c>
      <c r="M20">
        <v>1</v>
      </c>
      <c r="N20">
        <v>1</v>
      </c>
      <c r="O20">
        <v>1</v>
      </c>
    </row>
    <row r="21" spans="1:16" x14ac:dyDescent="0.25">
      <c r="A21" t="s">
        <v>16</v>
      </c>
      <c r="B21" t="s">
        <v>42</v>
      </c>
      <c r="C21">
        <v>0</v>
      </c>
      <c r="D21">
        <v>10.038022994995121</v>
      </c>
      <c r="E21">
        <v>0</v>
      </c>
      <c r="F21" t="s">
        <v>19</v>
      </c>
      <c r="G21" t="s">
        <v>19</v>
      </c>
      <c r="H21" t="s">
        <v>19</v>
      </c>
      <c r="I21" t="s">
        <v>19</v>
      </c>
      <c r="J21" t="s">
        <v>19</v>
      </c>
      <c r="K21" t="s">
        <v>19</v>
      </c>
      <c r="L21" t="s">
        <v>19</v>
      </c>
      <c r="M21" t="s">
        <v>19</v>
      </c>
      <c r="N21" t="s">
        <v>19</v>
      </c>
      <c r="O21" t="s">
        <v>19</v>
      </c>
      <c r="P21" t="s">
        <v>411</v>
      </c>
    </row>
    <row r="22" spans="1:16" x14ac:dyDescent="0.25">
      <c r="A22" t="s">
        <v>16</v>
      </c>
      <c r="B22" t="s">
        <v>44</v>
      </c>
      <c r="C22">
        <v>0</v>
      </c>
      <c r="D22">
        <v>9.5109996795654297</v>
      </c>
      <c r="E22">
        <v>1</v>
      </c>
      <c r="F22">
        <v>1</v>
      </c>
      <c r="G22">
        <v>1</v>
      </c>
      <c r="H22">
        <v>1</v>
      </c>
      <c r="I22">
        <v>1</v>
      </c>
      <c r="J22">
        <v>1</v>
      </c>
      <c r="K22">
        <v>1</v>
      </c>
      <c r="L22">
        <v>1</v>
      </c>
      <c r="M22">
        <v>1</v>
      </c>
      <c r="N22">
        <v>1</v>
      </c>
      <c r="O22">
        <v>1</v>
      </c>
    </row>
    <row r="23" spans="1:16" x14ac:dyDescent="0.25">
      <c r="A23" t="s">
        <v>16</v>
      </c>
      <c r="B23" t="s">
        <v>46</v>
      </c>
      <c r="C23">
        <v>0</v>
      </c>
      <c r="D23">
        <v>6.6462602615356454</v>
      </c>
      <c r="E23">
        <v>1</v>
      </c>
      <c r="F23">
        <v>1</v>
      </c>
      <c r="G23">
        <v>1</v>
      </c>
      <c r="H23">
        <v>1</v>
      </c>
      <c r="I23">
        <v>1</v>
      </c>
      <c r="J23">
        <v>1</v>
      </c>
      <c r="K23">
        <v>0</v>
      </c>
      <c r="L23">
        <v>1</v>
      </c>
      <c r="M23">
        <v>0</v>
      </c>
      <c r="N23">
        <v>1</v>
      </c>
      <c r="O23">
        <v>1</v>
      </c>
      <c r="P23" t="s">
        <v>412</v>
      </c>
    </row>
    <row r="24" spans="1:16" x14ac:dyDescent="0.25">
      <c r="A24" t="s">
        <v>16</v>
      </c>
      <c r="B24" t="s">
        <v>48</v>
      </c>
      <c r="C24">
        <v>0</v>
      </c>
      <c r="D24">
        <v>2.8456194400787349</v>
      </c>
      <c r="E24">
        <v>1</v>
      </c>
      <c r="F24">
        <v>1</v>
      </c>
      <c r="G24">
        <v>1</v>
      </c>
      <c r="H24">
        <v>1</v>
      </c>
      <c r="I24">
        <v>1</v>
      </c>
      <c r="J24">
        <v>1</v>
      </c>
      <c r="K24">
        <v>1</v>
      </c>
      <c r="L24">
        <v>1</v>
      </c>
      <c r="M24">
        <v>1</v>
      </c>
      <c r="N24">
        <v>1</v>
      </c>
      <c r="O24">
        <v>1</v>
      </c>
    </row>
    <row r="25" spans="1:16" x14ac:dyDescent="0.25">
      <c r="A25" t="s">
        <v>16</v>
      </c>
      <c r="B25" t="s">
        <v>49</v>
      </c>
      <c r="C25">
        <v>0</v>
      </c>
      <c r="D25">
        <v>12.33016872406006</v>
      </c>
      <c r="E25">
        <v>1</v>
      </c>
      <c r="F25">
        <v>1</v>
      </c>
      <c r="G25">
        <v>0</v>
      </c>
      <c r="H25" t="s">
        <v>19</v>
      </c>
      <c r="I25">
        <v>1</v>
      </c>
      <c r="J25">
        <v>1</v>
      </c>
      <c r="K25">
        <v>1</v>
      </c>
      <c r="L25">
        <v>1</v>
      </c>
      <c r="M25">
        <v>1</v>
      </c>
      <c r="N25">
        <v>1</v>
      </c>
      <c r="O25">
        <v>1</v>
      </c>
      <c r="P25" t="s">
        <v>413</v>
      </c>
    </row>
    <row r="26" spans="1:16" x14ac:dyDescent="0.25">
      <c r="A26" t="s">
        <v>16</v>
      </c>
      <c r="B26" t="s">
        <v>51</v>
      </c>
      <c r="C26">
        <v>0</v>
      </c>
      <c r="D26">
        <v>6.7070074081420898</v>
      </c>
      <c r="E26">
        <v>1</v>
      </c>
      <c r="F26">
        <v>1</v>
      </c>
      <c r="G26">
        <v>0</v>
      </c>
      <c r="H26" t="s">
        <v>19</v>
      </c>
      <c r="I26">
        <v>1</v>
      </c>
      <c r="J26">
        <v>1</v>
      </c>
      <c r="K26">
        <v>1</v>
      </c>
      <c r="L26">
        <v>1</v>
      </c>
      <c r="M26">
        <v>1</v>
      </c>
      <c r="N26">
        <v>1</v>
      </c>
      <c r="O26">
        <v>1</v>
      </c>
      <c r="P26" t="s">
        <v>414</v>
      </c>
    </row>
    <row r="27" spans="1:16" x14ac:dyDescent="0.25">
      <c r="A27" t="s">
        <v>16</v>
      </c>
      <c r="B27" t="s">
        <v>52</v>
      </c>
      <c r="C27">
        <v>0</v>
      </c>
      <c r="D27">
        <v>3.8690052032470699</v>
      </c>
      <c r="E27">
        <v>1</v>
      </c>
      <c r="F27">
        <v>1</v>
      </c>
      <c r="G27">
        <v>1</v>
      </c>
      <c r="H27">
        <v>1</v>
      </c>
      <c r="I27">
        <v>0</v>
      </c>
      <c r="J27">
        <v>1</v>
      </c>
      <c r="K27">
        <v>1</v>
      </c>
      <c r="L27">
        <v>1</v>
      </c>
      <c r="M27">
        <v>1</v>
      </c>
      <c r="N27">
        <v>1</v>
      </c>
      <c r="O27">
        <v>1</v>
      </c>
      <c r="P27" t="s">
        <v>415</v>
      </c>
    </row>
    <row r="28" spans="1:16" x14ac:dyDescent="0.25">
      <c r="A28" t="s">
        <v>16</v>
      </c>
      <c r="B28" t="s">
        <v>54</v>
      </c>
      <c r="C28">
        <v>0</v>
      </c>
      <c r="D28">
        <v>11.71718430519104</v>
      </c>
      <c r="E28">
        <v>0</v>
      </c>
      <c r="F28" t="s">
        <v>19</v>
      </c>
      <c r="G28" t="s">
        <v>19</v>
      </c>
      <c r="H28" t="s">
        <v>19</v>
      </c>
      <c r="I28" t="s">
        <v>19</v>
      </c>
      <c r="J28" t="s">
        <v>19</v>
      </c>
      <c r="K28" t="s">
        <v>19</v>
      </c>
      <c r="L28" t="s">
        <v>19</v>
      </c>
      <c r="M28" t="s">
        <v>19</v>
      </c>
      <c r="N28" t="s">
        <v>19</v>
      </c>
      <c r="O28" t="s">
        <v>19</v>
      </c>
      <c r="P28" t="s">
        <v>416</v>
      </c>
    </row>
    <row r="29" spans="1:16" x14ac:dyDescent="0.25">
      <c r="A29" t="s">
        <v>16</v>
      </c>
      <c r="B29" t="s">
        <v>56</v>
      </c>
      <c r="C29">
        <v>0</v>
      </c>
      <c r="D29">
        <v>13.22945141792297</v>
      </c>
      <c r="E29">
        <v>1</v>
      </c>
      <c r="F29">
        <v>1</v>
      </c>
      <c r="G29">
        <v>1</v>
      </c>
      <c r="H29">
        <v>1</v>
      </c>
      <c r="I29">
        <v>1</v>
      </c>
      <c r="J29">
        <v>1</v>
      </c>
      <c r="K29">
        <v>0</v>
      </c>
      <c r="L29">
        <v>1</v>
      </c>
      <c r="M29">
        <v>1</v>
      </c>
      <c r="N29">
        <v>1</v>
      </c>
      <c r="O29">
        <v>1</v>
      </c>
      <c r="P29" t="s">
        <v>417</v>
      </c>
    </row>
    <row r="30" spans="1:16" x14ac:dyDescent="0.25">
      <c r="A30" t="s">
        <v>16</v>
      </c>
      <c r="B30" t="s">
        <v>58</v>
      </c>
      <c r="C30">
        <v>0</v>
      </c>
      <c r="D30">
        <v>10.35802698135376</v>
      </c>
      <c r="E30">
        <v>1</v>
      </c>
      <c r="F30">
        <v>1</v>
      </c>
      <c r="G30">
        <v>1</v>
      </c>
      <c r="H30">
        <v>1</v>
      </c>
      <c r="I30">
        <v>0</v>
      </c>
      <c r="J30">
        <v>1</v>
      </c>
      <c r="K30">
        <v>1</v>
      </c>
      <c r="L30">
        <v>1</v>
      </c>
      <c r="M30">
        <v>1</v>
      </c>
      <c r="N30">
        <v>1</v>
      </c>
      <c r="O30">
        <v>1</v>
      </c>
      <c r="P30" t="s">
        <v>418</v>
      </c>
    </row>
    <row r="31" spans="1:16" x14ac:dyDescent="0.25">
      <c r="A31" t="s">
        <v>16</v>
      </c>
      <c r="B31" t="s">
        <v>60</v>
      </c>
      <c r="C31">
        <v>0</v>
      </c>
      <c r="D31">
        <v>11.880475997924799</v>
      </c>
      <c r="E31">
        <v>1</v>
      </c>
      <c r="F31">
        <v>1</v>
      </c>
      <c r="G31">
        <v>1</v>
      </c>
      <c r="H31">
        <v>0</v>
      </c>
      <c r="I31">
        <v>1</v>
      </c>
      <c r="J31">
        <v>1</v>
      </c>
      <c r="K31">
        <v>1</v>
      </c>
      <c r="L31">
        <v>1</v>
      </c>
      <c r="M31">
        <v>1</v>
      </c>
      <c r="N31">
        <v>1</v>
      </c>
      <c r="O31">
        <v>1</v>
      </c>
      <c r="P31" t="s">
        <v>419</v>
      </c>
    </row>
    <row r="32" spans="1:16" x14ac:dyDescent="0.25">
      <c r="A32" t="s">
        <v>16</v>
      </c>
      <c r="B32" t="s">
        <v>62</v>
      </c>
      <c r="C32">
        <v>0</v>
      </c>
      <c r="D32">
        <v>7.6546406745910636</v>
      </c>
      <c r="E32">
        <v>0</v>
      </c>
      <c r="F32" t="s">
        <v>19</v>
      </c>
      <c r="G32" t="s">
        <v>19</v>
      </c>
      <c r="H32" t="s">
        <v>19</v>
      </c>
      <c r="I32" t="s">
        <v>19</v>
      </c>
      <c r="J32" t="s">
        <v>19</v>
      </c>
      <c r="K32" t="s">
        <v>19</v>
      </c>
      <c r="L32" t="s">
        <v>19</v>
      </c>
      <c r="M32" t="s">
        <v>19</v>
      </c>
      <c r="N32" t="s">
        <v>19</v>
      </c>
      <c r="O32" t="s">
        <v>19</v>
      </c>
      <c r="P32" t="s">
        <v>420</v>
      </c>
    </row>
    <row r="33" spans="1:16" x14ac:dyDescent="0.25">
      <c r="A33" t="s">
        <v>16</v>
      </c>
      <c r="B33" t="s">
        <v>64</v>
      </c>
      <c r="C33">
        <v>0</v>
      </c>
      <c r="D33">
        <v>2.6976480484008789</v>
      </c>
      <c r="E33">
        <v>1</v>
      </c>
      <c r="F33">
        <v>1</v>
      </c>
      <c r="G33">
        <v>1</v>
      </c>
      <c r="H33">
        <v>1</v>
      </c>
      <c r="I33">
        <v>1</v>
      </c>
      <c r="J33">
        <v>1</v>
      </c>
      <c r="K33">
        <v>1</v>
      </c>
      <c r="L33">
        <v>1</v>
      </c>
      <c r="M33">
        <v>1</v>
      </c>
      <c r="N33">
        <v>1</v>
      </c>
      <c r="O33">
        <v>1</v>
      </c>
    </row>
    <row r="34" spans="1:16" x14ac:dyDescent="0.25">
      <c r="A34" t="s">
        <v>16</v>
      </c>
      <c r="B34" t="s">
        <v>65</v>
      </c>
      <c r="C34">
        <v>0</v>
      </c>
      <c r="D34">
        <v>12.739277839660639</v>
      </c>
      <c r="E34">
        <v>0</v>
      </c>
      <c r="F34" t="s">
        <v>19</v>
      </c>
      <c r="G34" t="s">
        <v>19</v>
      </c>
      <c r="H34" t="s">
        <v>19</v>
      </c>
      <c r="I34" t="s">
        <v>19</v>
      </c>
      <c r="J34" t="s">
        <v>19</v>
      </c>
      <c r="K34" t="s">
        <v>19</v>
      </c>
      <c r="L34" t="s">
        <v>19</v>
      </c>
      <c r="M34" t="s">
        <v>19</v>
      </c>
      <c r="N34" t="s">
        <v>19</v>
      </c>
      <c r="O34" t="s">
        <v>19</v>
      </c>
      <c r="P34" t="s">
        <v>421</v>
      </c>
    </row>
    <row r="35" spans="1:16" x14ac:dyDescent="0.25">
      <c r="A35" t="s">
        <v>16</v>
      </c>
      <c r="B35" t="s">
        <v>67</v>
      </c>
      <c r="C35">
        <v>0</v>
      </c>
      <c r="D35">
        <v>11.12280750274658</v>
      </c>
      <c r="E35">
        <v>1</v>
      </c>
      <c r="F35">
        <v>1</v>
      </c>
      <c r="G35">
        <v>0</v>
      </c>
      <c r="H35" t="s">
        <v>19</v>
      </c>
      <c r="I35">
        <v>1</v>
      </c>
      <c r="J35">
        <v>1</v>
      </c>
      <c r="K35">
        <v>1</v>
      </c>
      <c r="L35">
        <v>1</v>
      </c>
      <c r="M35">
        <v>1</v>
      </c>
      <c r="N35">
        <v>1</v>
      </c>
      <c r="O35">
        <v>1</v>
      </c>
      <c r="P35" t="s">
        <v>68</v>
      </c>
    </row>
    <row r="36" spans="1:16" x14ac:dyDescent="0.25">
      <c r="A36" t="s">
        <v>16</v>
      </c>
      <c r="B36" t="s">
        <v>69</v>
      </c>
      <c r="C36">
        <v>0</v>
      </c>
      <c r="D36">
        <v>2.7480590343475342</v>
      </c>
      <c r="E36">
        <v>1</v>
      </c>
      <c r="F36">
        <v>1</v>
      </c>
      <c r="G36">
        <v>1</v>
      </c>
      <c r="H36">
        <v>1</v>
      </c>
      <c r="I36">
        <v>1</v>
      </c>
      <c r="J36">
        <v>1</v>
      </c>
      <c r="K36">
        <v>1</v>
      </c>
      <c r="L36">
        <v>1</v>
      </c>
      <c r="M36">
        <v>1</v>
      </c>
      <c r="N36">
        <v>1</v>
      </c>
      <c r="O36">
        <v>1</v>
      </c>
    </row>
    <row r="37" spans="1:16" x14ac:dyDescent="0.25">
      <c r="A37" t="s">
        <v>16</v>
      </c>
      <c r="B37" t="s">
        <v>70</v>
      </c>
      <c r="C37">
        <v>0</v>
      </c>
      <c r="D37">
        <v>9.170921802520752</v>
      </c>
      <c r="E37">
        <v>1</v>
      </c>
      <c r="F37">
        <v>1</v>
      </c>
      <c r="G37">
        <v>1</v>
      </c>
      <c r="H37">
        <v>1</v>
      </c>
      <c r="I37">
        <v>1</v>
      </c>
      <c r="J37">
        <v>1</v>
      </c>
      <c r="K37">
        <v>1</v>
      </c>
      <c r="L37">
        <v>1</v>
      </c>
      <c r="M37">
        <v>1</v>
      </c>
      <c r="N37">
        <v>1</v>
      </c>
      <c r="O37">
        <v>1</v>
      </c>
    </row>
    <row r="38" spans="1:16" x14ac:dyDescent="0.25">
      <c r="A38" t="s">
        <v>16</v>
      </c>
      <c r="B38" t="s">
        <v>71</v>
      </c>
      <c r="C38">
        <v>0</v>
      </c>
      <c r="D38">
        <v>11.28322339057922</v>
      </c>
      <c r="E38">
        <v>1</v>
      </c>
      <c r="F38">
        <v>0</v>
      </c>
      <c r="G38">
        <v>1</v>
      </c>
      <c r="H38" t="s">
        <v>19</v>
      </c>
      <c r="I38">
        <v>1</v>
      </c>
      <c r="J38" t="s">
        <v>19</v>
      </c>
      <c r="K38">
        <v>1</v>
      </c>
      <c r="L38">
        <v>1</v>
      </c>
      <c r="M38">
        <v>1</v>
      </c>
      <c r="N38">
        <v>1</v>
      </c>
      <c r="O38">
        <v>1</v>
      </c>
      <c r="P38" t="s">
        <v>422</v>
      </c>
    </row>
    <row r="39" spans="1:16" x14ac:dyDescent="0.25">
      <c r="A39" t="s">
        <v>16</v>
      </c>
      <c r="B39" t="s">
        <v>72</v>
      </c>
      <c r="C39">
        <v>0</v>
      </c>
      <c r="D39">
        <v>3.5471656322479248</v>
      </c>
      <c r="E39">
        <v>1</v>
      </c>
      <c r="F39">
        <v>1</v>
      </c>
      <c r="G39">
        <v>1</v>
      </c>
      <c r="H39">
        <v>1</v>
      </c>
      <c r="I39">
        <v>0</v>
      </c>
      <c r="J39">
        <v>1</v>
      </c>
      <c r="K39">
        <v>1</v>
      </c>
      <c r="L39">
        <v>1</v>
      </c>
      <c r="M39">
        <v>1</v>
      </c>
      <c r="N39">
        <v>1</v>
      </c>
      <c r="O39">
        <v>1</v>
      </c>
      <c r="P39" t="s">
        <v>423</v>
      </c>
    </row>
    <row r="40" spans="1:16" x14ac:dyDescent="0.25">
      <c r="A40" t="s">
        <v>16</v>
      </c>
      <c r="B40" t="s">
        <v>74</v>
      </c>
      <c r="C40">
        <v>0</v>
      </c>
      <c r="D40">
        <v>15.16460251808167</v>
      </c>
      <c r="E40">
        <v>0</v>
      </c>
      <c r="F40" t="s">
        <v>19</v>
      </c>
      <c r="G40" t="s">
        <v>19</v>
      </c>
      <c r="H40" t="s">
        <v>19</v>
      </c>
      <c r="I40" t="s">
        <v>19</v>
      </c>
      <c r="J40" t="s">
        <v>19</v>
      </c>
      <c r="K40" t="s">
        <v>19</v>
      </c>
      <c r="L40" t="s">
        <v>19</v>
      </c>
      <c r="M40" t="s">
        <v>19</v>
      </c>
      <c r="N40" t="s">
        <v>19</v>
      </c>
      <c r="O40" t="s">
        <v>19</v>
      </c>
      <c r="P40" t="s">
        <v>424</v>
      </c>
    </row>
    <row r="41" spans="1:16" x14ac:dyDescent="0.25">
      <c r="A41" t="s">
        <v>16</v>
      </c>
      <c r="B41" t="s">
        <v>76</v>
      </c>
      <c r="C41">
        <v>0</v>
      </c>
      <c r="D41">
        <v>5.6154861450195313</v>
      </c>
      <c r="E41">
        <v>0</v>
      </c>
      <c r="F41" t="s">
        <v>19</v>
      </c>
      <c r="G41" t="s">
        <v>19</v>
      </c>
      <c r="H41" t="s">
        <v>19</v>
      </c>
      <c r="I41" t="s">
        <v>19</v>
      </c>
      <c r="J41" t="s">
        <v>19</v>
      </c>
      <c r="K41" t="s">
        <v>19</v>
      </c>
      <c r="L41" t="s">
        <v>19</v>
      </c>
      <c r="M41" t="s">
        <v>19</v>
      </c>
      <c r="N41" t="s">
        <v>19</v>
      </c>
      <c r="O41" t="s">
        <v>19</v>
      </c>
      <c r="P41" t="s">
        <v>425</v>
      </c>
    </row>
    <row r="42" spans="1:16" x14ac:dyDescent="0.25">
      <c r="A42" t="s">
        <v>16</v>
      </c>
      <c r="B42" t="s">
        <v>78</v>
      </c>
      <c r="C42">
        <v>0</v>
      </c>
      <c r="D42">
        <v>10.72291374206543</v>
      </c>
      <c r="E42">
        <v>0</v>
      </c>
      <c r="F42" t="s">
        <v>19</v>
      </c>
      <c r="G42" t="s">
        <v>19</v>
      </c>
      <c r="H42" t="s">
        <v>19</v>
      </c>
      <c r="I42" t="s">
        <v>19</v>
      </c>
      <c r="J42" t="s">
        <v>19</v>
      </c>
      <c r="K42" t="s">
        <v>19</v>
      </c>
      <c r="L42" t="s">
        <v>19</v>
      </c>
      <c r="M42" t="s">
        <v>19</v>
      </c>
      <c r="N42" t="s">
        <v>19</v>
      </c>
      <c r="O42" t="s">
        <v>19</v>
      </c>
      <c r="P42" t="s">
        <v>426</v>
      </c>
    </row>
    <row r="43" spans="1:16" x14ac:dyDescent="0.25">
      <c r="A43" t="s">
        <v>16</v>
      </c>
      <c r="B43" t="s">
        <v>80</v>
      </c>
      <c r="C43">
        <v>0</v>
      </c>
      <c r="D43">
        <v>2.7348232269287109</v>
      </c>
      <c r="E43">
        <v>1</v>
      </c>
      <c r="F43">
        <v>1</v>
      </c>
      <c r="G43">
        <v>1</v>
      </c>
      <c r="H43">
        <v>1</v>
      </c>
      <c r="I43">
        <v>1</v>
      </c>
      <c r="J43">
        <v>1</v>
      </c>
      <c r="K43">
        <v>1</v>
      </c>
      <c r="L43">
        <v>1</v>
      </c>
      <c r="M43">
        <v>1</v>
      </c>
      <c r="N43">
        <v>1</v>
      </c>
      <c r="O43">
        <v>1</v>
      </c>
    </row>
    <row r="44" spans="1:16" x14ac:dyDescent="0.25">
      <c r="A44" t="s">
        <v>16</v>
      </c>
      <c r="B44" t="s">
        <v>81</v>
      </c>
      <c r="C44">
        <v>0</v>
      </c>
      <c r="D44">
        <v>5.0317075252532959</v>
      </c>
      <c r="E44">
        <v>1</v>
      </c>
      <c r="F44">
        <v>1</v>
      </c>
      <c r="G44">
        <v>1</v>
      </c>
      <c r="H44">
        <v>0</v>
      </c>
      <c r="I44">
        <v>1</v>
      </c>
      <c r="J44">
        <v>1</v>
      </c>
      <c r="K44">
        <v>1</v>
      </c>
      <c r="L44">
        <v>1</v>
      </c>
      <c r="M44">
        <v>1</v>
      </c>
      <c r="N44">
        <v>1</v>
      </c>
      <c r="O44">
        <v>1</v>
      </c>
      <c r="P44" t="s">
        <v>427</v>
      </c>
    </row>
    <row r="45" spans="1:16" x14ac:dyDescent="0.25">
      <c r="A45" t="s">
        <v>16</v>
      </c>
      <c r="B45" t="s">
        <v>83</v>
      </c>
      <c r="C45">
        <v>0</v>
      </c>
      <c r="D45">
        <v>5.5438606739044189</v>
      </c>
      <c r="E45">
        <v>1</v>
      </c>
      <c r="F45">
        <v>1</v>
      </c>
      <c r="G45">
        <v>0</v>
      </c>
      <c r="H45" t="s">
        <v>19</v>
      </c>
      <c r="I45">
        <v>1</v>
      </c>
      <c r="J45">
        <v>1</v>
      </c>
      <c r="K45">
        <v>1</v>
      </c>
      <c r="L45">
        <v>1</v>
      </c>
      <c r="M45">
        <v>1</v>
      </c>
      <c r="N45">
        <v>1</v>
      </c>
      <c r="O45">
        <v>1</v>
      </c>
      <c r="P45" t="s">
        <v>428</v>
      </c>
    </row>
    <row r="46" spans="1:16" x14ac:dyDescent="0.25">
      <c r="A46" t="s">
        <v>16</v>
      </c>
      <c r="B46" t="s">
        <v>85</v>
      </c>
      <c r="C46">
        <v>0</v>
      </c>
      <c r="D46">
        <v>6.9864857196807861</v>
      </c>
      <c r="E46">
        <v>1</v>
      </c>
      <c r="F46">
        <v>1</v>
      </c>
      <c r="G46">
        <v>1</v>
      </c>
      <c r="H46">
        <v>1</v>
      </c>
      <c r="I46">
        <v>1</v>
      </c>
      <c r="J46">
        <v>0</v>
      </c>
      <c r="K46">
        <v>1</v>
      </c>
      <c r="L46">
        <v>1</v>
      </c>
      <c r="M46">
        <v>1</v>
      </c>
      <c r="N46">
        <v>1</v>
      </c>
      <c r="O46">
        <v>1</v>
      </c>
      <c r="P46" t="s">
        <v>429</v>
      </c>
    </row>
    <row r="47" spans="1:16" x14ac:dyDescent="0.25">
      <c r="A47" t="s">
        <v>16</v>
      </c>
      <c r="B47" t="s">
        <v>87</v>
      </c>
      <c r="C47">
        <v>0</v>
      </c>
      <c r="D47">
        <v>10.27291035652161</v>
      </c>
      <c r="E47">
        <v>1</v>
      </c>
      <c r="F47">
        <v>1</v>
      </c>
      <c r="G47">
        <v>1</v>
      </c>
      <c r="H47">
        <v>1</v>
      </c>
      <c r="I47">
        <v>1</v>
      </c>
      <c r="J47">
        <v>0</v>
      </c>
      <c r="K47">
        <v>1</v>
      </c>
      <c r="L47">
        <v>1</v>
      </c>
      <c r="M47">
        <v>1</v>
      </c>
      <c r="N47">
        <v>1</v>
      </c>
      <c r="O47">
        <v>1</v>
      </c>
      <c r="P47" t="s">
        <v>430</v>
      </c>
    </row>
    <row r="48" spans="1:16" x14ac:dyDescent="0.25">
      <c r="A48" t="s">
        <v>16</v>
      </c>
      <c r="B48" t="s">
        <v>89</v>
      </c>
      <c r="C48">
        <v>0</v>
      </c>
      <c r="D48">
        <v>4.5249972343444824</v>
      </c>
      <c r="E48">
        <v>1</v>
      </c>
      <c r="F48">
        <v>1</v>
      </c>
      <c r="G48">
        <v>1</v>
      </c>
      <c r="H48">
        <v>1</v>
      </c>
      <c r="I48">
        <v>1</v>
      </c>
      <c r="J48">
        <v>0</v>
      </c>
      <c r="K48">
        <v>1</v>
      </c>
      <c r="L48">
        <v>1</v>
      </c>
      <c r="M48">
        <v>1</v>
      </c>
      <c r="N48">
        <v>1</v>
      </c>
      <c r="O48">
        <v>1</v>
      </c>
      <c r="P48" t="s">
        <v>431</v>
      </c>
    </row>
    <row r="49" spans="1:16" x14ac:dyDescent="0.25">
      <c r="A49" t="s">
        <v>16</v>
      </c>
      <c r="B49" t="s">
        <v>91</v>
      </c>
      <c r="C49">
        <v>0</v>
      </c>
      <c r="D49">
        <v>10.055838584899901</v>
      </c>
      <c r="E49">
        <v>1</v>
      </c>
      <c r="F49">
        <v>0</v>
      </c>
      <c r="G49">
        <v>1</v>
      </c>
      <c r="H49" t="s">
        <v>19</v>
      </c>
      <c r="I49">
        <v>1</v>
      </c>
      <c r="J49" t="s">
        <v>19</v>
      </c>
      <c r="K49">
        <v>0</v>
      </c>
      <c r="L49">
        <v>0</v>
      </c>
      <c r="M49">
        <v>1</v>
      </c>
      <c r="N49">
        <v>1</v>
      </c>
      <c r="O49">
        <v>1</v>
      </c>
      <c r="P49" t="s">
        <v>432</v>
      </c>
    </row>
    <row r="50" spans="1:16" x14ac:dyDescent="0.25">
      <c r="A50" t="s">
        <v>16</v>
      </c>
      <c r="B50" t="s">
        <v>93</v>
      </c>
      <c r="C50">
        <v>0</v>
      </c>
      <c r="D50">
        <v>2.6928501129150391</v>
      </c>
      <c r="E50">
        <v>1</v>
      </c>
      <c r="F50">
        <v>1</v>
      </c>
      <c r="G50">
        <v>1</v>
      </c>
      <c r="H50">
        <v>1</v>
      </c>
      <c r="I50">
        <v>1</v>
      </c>
      <c r="J50">
        <v>1</v>
      </c>
      <c r="K50">
        <v>1</v>
      </c>
      <c r="L50">
        <v>1</v>
      </c>
      <c r="M50">
        <v>1</v>
      </c>
      <c r="N50">
        <v>1</v>
      </c>
      <c r="O50">
        <v>1</v>
      </c>
    </row>
    <row r="51" spans="1:16" x14ac:dyDescent="0.25">
      <c r="A51" t="s">
        <v>94</v>
      </c>
      <c r="B51" t="s">
        <v>17</v>
      </c>
      <c r="C51">
        <v>0</v>
      </c>
      <c r="D51">
        <v>9.6592433452606201</v>
      </c>
      <c r="E51">
        <v>1</v>
      </c>
      <c r="F51">
        <v>1</v>
      </c>
      <c r="G51">
        <v>1</v>
      </c>
      <c r="H51">
        <v>1</v>
      </c>
      <c r="I51">
        <v>1</v>
      </c>
      <c r="J51">
        <v>1</v>
      </c>
      <c r="K51">
        <v>1</v>
      </c>
      <c r="L51">
        <v>1</v>
      </c>
      <c r="M51">
        <v>1</v>
      </c>
      <c r="N51">
        <v>1</v>
      </c>
      <c r="O51">
        <v>1</v>
      </c>
    </row>
    <row r="52" spans="1:16" x14ac:dyDescent="0.25">
      <c r="A52" t="s">
        <v>94</v>
      </c>
      <c r="B52" t="s">
        <v>18</v>
      </c>
      <c r="C52">
        <v>0</v>
      </c>
      <c r="D52">
        <v>11.8299446105957</v>
      </c>
      <c r="E52">
        <v>1</v>
      </c>
      <c r="F52">
        <v>0</v>
      </c>
      <c r="G52">
        <v>1</v>
      </c>
      <c r="H52" t="s">
        <v>19</v>
      </c>
      <c r="I52">
        <v>1</v>
      </c>
      <c r="J52" t="s">
        <v>19</v>
      </c>
      <c r="K52">
        <v>1</v>
      </c>
      <c r="L52">
        <v>1</v>
      </c>
      <c r="M52">
        <v>1</v>
      </c>
      <c r="N52">
        <v>1</v>
      </c>
      <c r="O52">
        <v>1</v>
      </c>
      <c r="P52" t="s">
        <v>433</v>
      </c>
    </row>
    <row r="53" spans="1:16" x14ac:dyDescent="0.25">
      <c r="A53" t="s">
        <v>94</v>
      </c>
      <c r="B53" t="s">
        <v>21</v>
      </c>
      <c r="C53">
        <v>0</v>
      </c>
      <c r="D53">
        <v>8.5315139293670654</v>
      </c>
      <c r="E53">
        <v>1</v>
      </c>
      <c r="F53">
        <v>1</v>
      </c>
      <c r="G53">
        <v>1</v>
      </c>
      <c r="H53">
        <v>1</v>
      </c>
      <c r="I53">
        <v>1</v>
      </c>
      <c r="J53">
        <v>1</v>
      </c>
      <c r="K53">
        <v>1</v>
      </c>
      <c r="L53">
        <v>1</v>
      </c>
      <c r="M53">
        <v>1</v>
      </c>
      <c r="N53">
        <v>1</v>
      </c>
      <c r="O53">
        <v>1</v>
      </c>
    </row>
    <row r="54" spans="1:16" x14ac:dyDescent="0.25">
      <c r="A54" t="s">
        <v>94</v>
      </c>
      <c r="B54" t="s">
        <v>23</v>
      </c>
      <c r="C54">
        <v>0</v>
      </c>
      <c r="D54">
        <v>9.8095455169677734</v>
      </c>
      <c r="E54">
        <v>0</v>
      </c>
      <c r="F54" t="s">
        <v>19</v>
      </c>
      <c r="G54" t="s">
        <v>19</v>
      </c>
      <c r="H54" t="s">
        <v>19</v>
      </c>
      <c r="I54" t="s">
        <v>19</v>
      </c>
      <c r="J54" t="s">
        <v>19</v>
      </c>
      <c r="K54" t="s">
        <v>19</v>
      </c>
      <c r="L54" t="s">
        <v>19</v>
      </c>
      <c r="M54" t="s">
        <v>19</v>
      </c>
      <c r="N54" t="s">
        <v>19</v>
      </c>
      <c r="O54" t="s">
        <v>19</v>
      </c>
      <c r="P54" t="s">
        <v>434</v>
      </c>
    </row>
    <row r="55" spans="1:16" x14ac:dyDescent="0.25">
      <c r="A55" t="s">
        <v>94</v>
      </c>
      <c r="B55" t="s">
        <v>24</v>
      </c>
      <c r="C55">
        <v>0</v>
      </c>
      <c r="D55">
        <v>10.64049553871155</v>
      </c>
      <c r="E55">
        <v>1</v>
      </c>
      <c r="F55">
        <v>1</v>
      </c>
      <c r="G55">
        <v>1</v>
      </c>
      <c r="H55">
        <v>1</v>
      </c>
      <c r="I55">
        <v>1</v>
      </c>
      <c r="J55">
        <v>1</v>
      </c>
      <c r="K55">
        <v>1</v>
      </c>
      <c r="L55">
        <v>1</v>
      </c>
      <c r="M55">
        <v>1</v>
      </c>
      <c r="N55">
        <v>1</v>
      </c>
      <c r="O55">
        <v>1</v>
      </c>
    </row>
    <row r="56" spans="1:16" x14ac:dyDescent="0.25">
      <c r="A56" t="s">
        <v>94</v>
      </c>
      <c r="B56" t="s">
        <v>25</v>
      </c>
      <c r="C56">
        <v>0</v>
      </c>
      <c r="D56">
        <v>6.167001485824585</v>
      </c>
      <c r="E56">
        <v>1</v>
      </c>
      <c r="F56">
        <v>1</v>
      </c>
      <c r="G56">
        <v>1</v>
      </c>
      <c r="H56">
        <v>1</v>
      </c>
      <c r="I56">
        <v>1</v>
      </c>
      <c r="J56">
        <v>0</v>
      </c>
      <c r="K56">
        <v>1</v>
      </c>
      <c r="L56">
        <v>1</v>
      </c>
      <c r="M56">
        <v>1</v>
      </c>
      <c r="N56">
        <v>1</v>
      </c>
      <c r="O56">
        <v>1</v>
      </c>
      <c r="P56" t="s">
        <v>435</v>
      </c>
    </row>
    <row r="57" spans="1:16" x14ac:dyDescent="0.25">
      <c r="A57" t="s">
        <v>94</v>
      </c>
      <c r="B57" t="s">
        <v>27</v>
      </c>
      <c r="C57">
        <v>0</v>
      </c>
      <c r="D57">
        <v>11.958684682846069</v>
      </c>
      <c r="E57">
        <v>1</v>
      </c>
      <c r="F57">
        <v>1</v>
      </c>
      <c r="G57">
        <v>1</v>
      </c>
      <c r="H57">
        <v>1</v>
      </c>
      <c r="I57">
        <v>1</v>
      </c>
      <c r="J57">
        <v>0</v>
      </c>
      <c r="K57">
        <v>1</v>
      </c>
      <c r="L57">
        <v>1</v>
      </c>
      <c r="M57">
        <v>1</v>
      </c>
      <c r="N57">
        <v>1</v>
      </c>
      <c r="O57">
        <v>1</v>
      </c>
      <c r="P57" t="s">
        <v>436</v>
      </c>
    </row>
    <row r="58" spans="1:16" x14ac:dyDescent="0.25">
      <c r="A58" t="s">
        <v>94</v>
      </c>
      <c r="B58" t="s">
        <v>28</v>
      </c>
      <c r="C58">
        <v>0</v>
      </c>
      <c r="D58">
        <v>5.8577044010162354</v>
      </c>
      <c r="E58">
        <v>1</v>
      </c>
      <c r="F58">
        <v>1</v>
      </c>
      <c r="G58">
        <v>1</v>
      </c>
      <c r="H58">
        <v>1</v>
      </c>
      <c r="I58">
        <v>0</v>
      </c>
      <c r="J58">
        <v>0</v>
      </c>
      <c r="K58">
        <v>1</v>
      </c>
      <c r="L58">
        <v>1</v>
      </c>
      <c r="M58">
        <v>1</v>
      </c>
      <c r="N58">
        <v>1</v>
      </c>
      <c r="O58">
        <v>1</v>
      </c>
      <c r="P58" t="s">
        <v>437</v>
      </c>
    </row>
    <row r="59" spans="1:16" x14ac:dyDescent="0.25">
      <c r="A59" t="s">
        <v>94</v>
      </c>
      <c r="B59" t="s">
        <v>29</v>
      </c>
      <c r="C59">
        <v>0</v>
      </c>
      <c r="D59">
        <v>5.6394319534301758</v>
      </c>
      <c r="E59">
        <v>1</v>
      </c>
      <c r="F59">
        <v>1</v>
      </c>
      <c r="G59">
        <v>1</v>
      </c>
      <c r="H59">
        <v>1</v>
      </c>
      <c r="I59">
        <v>0</v>
      </c>
      <c r="J59">
        <v>1</v>
      </c>
      <c r="K59">
        <v>0</v>
      </c>
      <c r="L59">
        <v>1</v>
      </c>
      <c r="M59">
        <v>1</v>
      </c>
      <c r="N59">
        <v>1</v>
      </c>
      <c r="O59">
        <v>1</v>
      </c>
      <c r="P59" t="s">
        <v>438</v>
      </c>
    </row>
    <row r="60" spans="1:16" x14ac:dyDescent="0.25">
      <c r="A60" t="s">
        <v>94</v>
      </c>
      <c r="B60" t="s">
        <v>30</v>
      </c>
      <c r="C60">
        <v>0</v>
      </c>
      <c r="D60">
        <v>10.887531995773321</v>
      </c>
      <c r="E60">
        <v>0</v>
      </c>
      <c r="F60" t="s">
        <v>19</v>
      </c>
      <c r="G60" t="s">
        <v>19</v>
      </c>
      <c r="H60" t="s">
        <v>19</v>
      </c>
      <c r="I60" t="s">
        <v>19</v>
      </c>
      <c r="J60" t="s">
        <v>19</v>
      </c>
      <c r="K60" t="s">
        <v>19</v>
      </c>
      <c r="L60" t="s">
        <v>19</v>
      </c>
      <c r="M60" t="s">
        <v>19</v>
      </c>
      <c r="N60" t="s">
        <v>19</v>
      </c>
      <c r="O60" t="s">
        <v>19</v>
      </c>
      <c r="P60" t="s">
        <v>439</v>
      </c>
    </row>
    <row r="61" spans="1:16" x14ac:dyDescent="0.25">
      <c r="A61" t="s">
        <v>94</v>
      </c>
      <c r="B61" t="s">
        <v>31</v>
      </c>
      <c r="C61">
        <v>0</v>
      </c>
      <c r="D61">
        <v>6.8039793968200684</v>
      </c>
      <c r="E61">
        <v>1</v>
      </c>
      <c r="F61">
        <v>1</v>
      </c>
      <c r="G61">
        <v>1</v>
      </c>
      <c r="H61">
        <v>1</v>
      </c>
      <c r="I61">
        <v>1</v>
      </c>
      <c r="J61">
        <v>1</v>
      </c>
      <c r="K61">
        <v>1</v>
      </c>
      <c r="L61">
        <v>0</v>
      </c>
      <c r="M61">
        <v>1</v>
      </c>
      <c r="N61">
        <v>1</v>
      </c>
      <c r="O61">
        <v>1</v>
      </c>
      <c r="P61" t="s">
        <v>440</v>
      </c>
    </row>
    <row r="62" spans="1:16" x14ac:dyDescent="0.25">
      <c r="A62" t="s">
        <v>94</v>
      </c>
      <c r="B62" t="s">
        <v>32</v>
      </c>
      <c r="C62">
        <v>0</v>
      </c>
      <c r="D62">
        <v>14.616241216659549</v>
      </c>
      <c r="E62">
        <v>1</v>
      </c>
      <c r="F62">
        <v>1</v>
      </c>
      <c r="G62">
        <v>1</v>
      </c>
      <c r="H62">
        <v>1</v>
      </c>
      <c r="I62">
        <v>1</v>
      </c>
      <c r="J62">
        <v>1</v>
      </c>
      <c r="K62">
        <v>1</v>
      </c>
      <c r="L62">
        <v>0</v>
      </c>
      <c r="M62">
        <v>0</v>
      </c>
      <c r="N62">
        <v>1</v>
      </c>
      <c r="O62">
        <v>1</v>
      </c>
      <c r="P62" t="s">
        <v>441</v>
      </c>
    </row>
    <row r="63" spans="1:16" x14ac:dyDescent="0.25">
      <c r="A63" t="s">
        <v>94</v>
      </c>
      <c r="B63" t="s">
        <v>33</v>
      </c>
      <c r="C63">
        <v>0</v>
      </c>
      <c r="D63">
        <v>10.936305046081539</v>
      </c>
      <c r="E63">
        <v>1</v>
      </c>
      <c r="F63">
        <v>1</v>
      </c>
      <c r="G63">
        <v>1</v>
      </c>
      <c r="H63">
        <v>1</v>
      </c>
      <c r="I63">
        <v>1</v>
      </c>
      <c r="J63">
        <v>1</v>
      </c>
      <c r="K63">
        <v>1</v>
      </c>
      <c r="L63">
        <v>1</v>
      </c>
      <c r="M63">
        <v>1</v>
      </c>
      <c r="N63">
        <v>1</v>
      </c>
      <c r="O63">
        <v>1</v>
      </c>
    </row>
    <row r="64" spans="1:16" x14ac:dyDescent="0.25">
      <c r="A64" t="s">
        <v>94</v>
      </c>
      <c r="B64" t="s">
        <v>35</v>
      </c>
      <c r="C64">
        <v>0</v>
      </c>
      <c r="D64">
        <v>5.0590848922729492</v>
      </c>
      <c r="E64">
        <v>1</v>
      </c>
      <c r="F64">
        <v>1</v>
      </c>
      <c r="G64">
        <v>1</v>
      </c>
      <c r="H64">
        <v>0</v>
      </c>
      <c r="I64">
        <v>1</v>
      </c>
      <c r="J64">
        <v>1</v>
      </c>
      <c r="K64">
        <v>1</v>
      </c>
      <c r="L64">
        <v>1</v>
      </c>
      <c r="M64">
        <v>1</v>
      </c>
      <c r="N64">
        <v>1</v>
      </c>
      <c r="O64">
        <v>1</v>
      </c>
      <c r="P64" t="s">
        <v>442</v>
      </c>
    </row>
    <row r="65" spans="1:16" x14ac:dyDescent="0.25">
      <c r="A65" t="s">
        <v>94</v>
      </c>
      <c r="B65" t="s">
        <v>36</v>
      </c>
      <c r="C65">
        <v>0</v>
      </c>
      <c r="D65">
        <v>2.7481703758239751</v>
      </c>
      <c r="E65">
        <v>1</v>
      </c>
      <c r="F65">
        <v>1</v>
      </c>
      <c r="G65">
        <v>1</v>
      </c>
      <c r="H65">
        <v>1</v>
      </c>
      <c r="I65">
        <v>1</v>
      </c>
      <c r="J65">
        <v>1</v>
      </c>
      <c r="K65">
        <v>1</v>
      </c>
      <c r="L65">
        <v>1</v>
      </c>
      <c r="M65">
        <v>1</v>
      </c>
      <c r="N65">
        <v>1</v>
      </c>
      <c r="O65">
        <v>1</v>
      </c>
    </row>
    <row r="66" spans="1:16" x14ac:dyDescent="0.25">
      <c r="A66" t="s">
        <v>94</v>
      </c>
      <c r="B66" t="s">
        <v>37</v>
      </c>
      <c r="C66">
        <v>0</v>
      </c>
      <c r="D66">
        <v>2.757777214050293</v>
      </c>
      <c r="E66">
        <v>1</v>
      </c>
      <c r="F66">
        <v>1</v>
      </c>
      <c r="G66">
        <v>1</v>
      </c>
      <c r="H66">
        <v>1</v>
      </c>
      <c r="I66">
        <v>1</v>
      </c>
      <c r="J66">
        <v>1</v>
      </c>
      <c r="K66">
        <v>1</v>
      </c>
      <c r="L66">
        <v>1</v>
      </c>
      <c r="M66">
        <v>1</v>
      </c>
      <c r="N66">
        <v>1</v>
      </c>
      <c r="O66">
        <v>1</v>
      </c>
    </row>
    <row r="67" spans="1:16" x14ac:dyDescent="0.25">
      <c r="A67" t="s">
        <v>94</v>
      </c>
      <c r="B67" t="s">
        <v>39</v>
      </c>
      <c r="C67">
        <v>0</v>
      </c>
      <c r="D67">
        <v>2.693528413772583</v>
      </c>
      <c r="E67">
        <v>1</v>
      </c>
      <c r="F67">
        <v>1</v>
      </c>
      <c r="G67">
        <v>1</v>
      </c>
      <c r="H67">
        <v>1</v>
      </c>
      <c r="I67">
        <v>1</v>
      </c>
      <c r="J67">
        <v>1</v>
      </c>
      <c r="K67">
        <v>1</v>
      </c>
      <c r="L67">
        <v>1</v>
      </c>
      <c r="M67">
        <v>1</v>
      </c>
      <c r="N67">
        <v>1</v>
      </c>
      <c r="O67">
        <v>1</v>
      </c>
    </row>
    <row r="68" spans="1:16" x14ac:dyDescent="0.25">
      <c r="A68" t="s">
        <v>94</v>
      </c>
      <c r="B68" t="s">
        <v>40</v>
      </c>
      <c r="C68">
        <v>0</v>
      </c>
      <c r="D68">
        <v>7.8825287818908691</v>
      </c>
      <c r="E68">
        <v>1</v>
      </c>
      <c r="F68">
        <v>1</v>
      </c>
      <c r="G68">
        <v>1</v>
      </c>
      <c r="H68">
        <v>1</v>
      </c>
      <c r="I68">
        <v>1</v>
      </c>
      <c r="J68">
        <v>1</v>
      </c>
      <c r="K68">
        <v>1</v>
      </c>
      <c r="L68">
        <v>1</v>
      </c>
      <c r="M68">
        <v>1</v>
      </c>
      <c r="N68">
        <v>1</v>
      </c>
      <c r="O68">
        <v>1</v>
      </c>
    </row>
    <row r="69" spans="1:16" x14ac:dyDescent="0.25">
      <c r="A69" t="s">
        <v>94</v>
      </c>
      <c r="B69" t="s">
        <v>41</v>
      </c>
      <c r="C69">
        <v>0</v>
      </c>
      <c r="D69">
        <v>8.8294570446014404</v>
      </c>
      <c r="E69">
        <v>1</v>
      </c>
      <c r="F69">
        <v>1</v>
      </c>
      <c r="G69">
        <v>1</v>
      </c>
      <c r="H69">
        <v>1</v>
      </c>
      <c r="I69">
        <v>1</v>
      </c>
      <c r="J69">
        <v>1</v>
      </c>
      <c r="K69">
        <v>1</v>
      </c>
      <c r="L69">
        <v>1</v>
      </c>
      <c r="M69">
        <v>1</v>
      </c>
      <c r="N69">
        <v>1</v>
      </c>
      <c r="O69">
        <v>1</v>
      </c>
    </row>
    <row r="70" spans="1:16" x14ac:dyDescent="0.25">
      <c r="A70" t="s">
        <v>94</v>
      </c>
      <c r="B70" t="s">
        <v>42</v>
      </c>
      <c r="C70">
        <v>0</v>
      </c>
      <c r="D70">
        <v>8.4206368923187256</v>
      </c>
      <c r="E70">
        <v>1</v>
      </c>
      <c r="F70">
        <v>1</v>
      </c>
      <c r="G70">
        <v>1</v>
      </c>
      <c r="H70">
        <v>1</v>
      </c>
      <c r="I70">
        <v>1</v>
      </c>
      <c r="J70">
        <v>1</v>
      </c>
      <c r="K70">
        <v>1</v>
      </c>
      <c r="L70">
        <v>1</v>
      </c>
      <c r="M70">
        <v>1</v>
      </c>
      <c r="N70">
        <v>1</v>
      </c>
      <c r="O70">
        <v>1</v>
      </c>
    </row>
    <row r="71" spans="1:16" x14ac:dyDescent="0.25">
      <c r="A71" t="s">
        <v>94</v>
      </c>
      <c r="B71" t="s">
        <v>44</v>
      </c>
      <c r="C71">
        <v>0</v>
      </c>
      <c r="D71">
        <v>12.843443632125849</v>
      </c>
      <c r="E71">
        <v>1</v>
      </c>
      <c r="F71">
        <v>1</v>
      </c>
      <c r="G71">
        <v>0</v>
      </c>
      <c r="H71" t="s">
        <v>19</v>
      </c>
      <c r="I71">
        <v>1</v>
      </c>
      <c r="J71">
        <v>1</v>
      </c>
      <c r="K71">
        <v>1</v>
      </c>
      <c r="L71">
        <v>1</v>
      </c>
      <c r="M71">
        <v>1</v>
      </c>
      <c r="N71">
        <v>1</v>
      </c>
      <c r="O71">
        <v>1</v>
      </c>
      <c r="P71" t="s">
        <v>443</v>
      </c>
    </row>
    <row r="72" spans="1:16" x14ac:dyDescent="0.25">
      <c r="A72" t="s">
        <v>94</v>
      </c>
      <c r="B72" t="s">
        <v>46</v>
      </c>
      <c r="C72">
        <v>0</v>
      </c>
      <c r="D72">
        <v>9.7554073333740234</v>
      </c>
      <c r="E72">
        <v>1</v>
      </c>
      <c r="F72">
        <v>1</v>
      </c>
      <c r="G72">
        <v>0</v>
      </c>
      <c r="H72" t="s">
        <v>19</v>
      </c>
      <c r="I72">
        <v>1</v>
      </c>
      <c r="J72">
        <v>1</v>
      </c>
      <c r="K72">
        <v>1</v>
      </c>
      <c r="L72">
        <v>1</v>
      </c>
      <c r="M72">
        <v>1</v>
      </c>
      <c r="N72">
        <v>1</v>
      </c>
      <c r="O72">
        <v>1</v>
      </c>
      <c r="P72" t="s">
        <v>444</v>
      </c>
    </row>
    <row r="73" spans="1:16" x14ac:dyDescent="0.25">
      <c r="A73" t="s">
        <v>94</v>
      </c>
      <c r="B73" t="s">
        <v>48</v>
      </c>
      <c r="C73">
        <v>0</v>
      </c>
      <c r="D73">
        <v>10.995531320571899</v>
      </c>
      <c r="E73">
        <v>1</v>
      </c>
      <c r="F73">
        <v>1</v>
      </c>
      <c r="G73">
        <v>1</v>
      </c>
      <c r="H73">
        <v>1</v>
      </c>
      <c r="I73">
        <v>1</v>
      </c>
      <c r="J73">
        <v>1</v>
      </c>
      <c r="K73">
        <v>1</v>
      </c>
      <c r="L73">
        <v>1</v>
      </c>
      <c r="M73">
        <v>1</v>
      </c>
      <c r="N73">
        <v>1</v>
      </c>
      <c r="O73">
        <v>1</v>
      </c>
    </row>
    <row r="74" spans="1:16" x14ac:dyDescent="0.25">
      <c r="A74" t="s">
        <v>94</v>
      </c>
      <c r="B74" t="s">
        <v>49</v>
      </c>
      <c r="C74">
        <v>0</v>
      </c>
      <c r="D74">
        <v>5.7485067844390869</v>
      </c>
      <c r="E74">
        <v>1</v>
      </c>
      <c r="F74">
        <v>1</v>
      </c>
      <c r="G74">
        <v>0</v>
      </c>
      <c r="H74" t="s">
        <v>19</v>
      </c>
      <c r="I74">
        <v>1</v>
      </c>
      <c r="J74">
        <v>1</v>
      </c>
      <c r="K74">
        <v>1</v>
      </c>
      <c r="L74">
        <v>1</v>
      </c>
      <c r="M74">
        <v>1</v>
      </c>
      <c r="N74">
        <v>1</v>
      </c>
      <c r="O74">
        <v>1</v>
      </c>
      <c r="P74" t="s">
        <v>445</v>
      </c>
    </row>
    <row r="75" spans="1:16" x14ac:dyDescent="0.25">
      <c r="A75" t="s">
        <v>94</v>
      </c>
      <c r="B75" t="s">
        <v>51</v>
      </c>
      <c r="C75">
        <v>0</v>
      </c>
      <c r="D75">
        <v>11.318339347839361</v>
      </c>
      <c r="E75">
        <v>1</v>
      </c>
      <c r="F75">
        <v>1</v>
      </c>
      <c r="G75">
        <v>0</v>
      </c>
      <c r="H75" t="s">
        <v>19</v>
      </c>
      <c r="I75">
        <v>0</v>
      </c>
      <c r="J75">
        <v>1</v>
      </c>
      <c r="K75">
        <v>1</v>
      </c>
      <c r="L75">
        <v>1</v>
      </c>
      <c r="M75">
        <v>1</v>
      </c>
      <c r="N75">
        <v>1</v>
      </c>
      <c r="O75">
        <v>1</v>
      </c>
      <c r="P75" t="s">
        <v>446</v>
      </c>
    </row>
    <row r="76" spans="1:16" x14ac:dyDescent="0.25">
      <c r="A76" t="s">
        <v>94</v>
      </c>
      <c r="B76" t="s">
        <v>52</v>
      </c>
      <c r="C76">
        <v>0</v>
      </c>
      <c r="D76">
        <v>3.7049744129180908</v>
      </c>
      <c r="E76">
        <v>1</v>
      </c>
      <c r="F76">
        <v>1</v>
      </c>
      <c r="G76">
        <v>1</v>
      </c>
      <c r="H76">
        <v>1</v>
      </c>
      <c r="I76">
        <v>0</v>
      </c>
      <c r="J76">
        <v>1</v>
      </c>
      <c r="K76">
        <v>1</v>
      </c>
      <c r="L76">
        <v>1</v>
      </c>
      <c r="M76">
        <v>1</v>
      </c>
      <c r="N76">
        <v>1</v>
      </c>
      <c r="O76">
        <v>1</v>
      </c>
      <c r="P76" t="s">
        <v>447</v>
      </c>
    </row>
    <row r="77" spans="1:16" x14ac:dyDescent="0.25">
      <c r="A77" t="s">
        <v>94</v>
      </c>
      <c r="B77" t="s">
        <v>54</v>
      </c>
      <c r="C77">
        <v>0</v>
      </c>
      <c r="D77">
        <v>11.379274368286129</v>
      </c>
      <c r="E77">
        <v>1</v>
      </c>
      <c r="F77">
        <v>0</v>
      </c>
      <c r="G77">
        <v>1</v>
      </c>
      <c r="H77" t="s">
        <v>19</v>
      </c>
      <c r="I77">
        <v>1</v>
      </c>
      <c r="J77" t="s">
        <v>19</v>
      </c>
      <c r="K77">
        <v>1</v>
      </c>
      <c r="L77">
        <v>1</v>
      </c>
      <c r="M77">
        <v>1</v>
      </c>
      <c r="N77">
        <v>1</v>
      </c>
      <c r="O77">
        <v>1</v>
      </c>
      <c r="P77" t="s">
        <v>448</v>
      </c>
    </row>
    <row r="78" spans="1:16" x14ac:dyDescent="0.25">
      <c r="A78" t="s">
        <v>94</v>
      </c>
      <c r="B78" t="s">
        <v>56</v>
      </c>
      <c r="C78">
        <v>0</v>
      </c>
      <c r="D78">
        <v>4.3452348709106454</v>
      </c>
      <c r="E78">
        <v>1</v>
      </c>
      <c r="F78">
        <v>1</v>
      </c>
      <c r="G78">
        <v>1</v>
      </c>
      <c r="H78">
        <v>1</v>
      </c>
      <c r="I78">
        <v>1</v>
      </c>
      <c r="J78">
        <v>1</v>
      </c>
      <c r="K78">
        <v>0</v>
      </c>
      <c r="L78">
        <v>1</v>
      </c>
      <c r="M78">
        <v>1</v>
      </c>
      <c r="N78">
        <v>1</v>
      </c>
      <c r="O78">
        <v>1</v>
      </c>
      <c r="P78" t="s">
        <v>449</v>
      </c>
    </row>
    <row r="79" spans="1:16" x14ac:dyDescent="0.25">
      <c r="A79" t="s">
        <v>94</v>
      </c>
      <c r="B79" t="s">
        <v>58</v>
      </c>
      <c r="C79">
        <v>0</v>
      </c>
      <c r="D79">
        <v>8.1907849311828613</v>
      </c>
      <c r="E79">
        <v>1</v>
      </c>
      <c r="F79">
        <v>1</v>
      </c>
      <c r="G79">
        <v>1</v>
      </c>
      <c r="H79">
        <v>1</v>
      </c>
      <c r="I79">
        <v>1</v>
      </c>
      <c r="J79">
        <v>1</v>
      </c>
      <c r="K79">
        <v>0</v>
      </c>
      <c r="L79">
        <v>1</v>
      </c>
      <c r="M79">
        <v>1</v>
      </c>
      <c r="N79">
        <v>1</v>
      </c>
      <c r="O79">
        <v>1</v>
      </c>
      <c r="P79" t="s">
        <v>450</v>
      </c>
    </row>
    <row r="80" spans="1:16" x14ac:dyDescent="0.25">
      <c r="A80" t="s">
        <v>94</v>
      </c>
      <c r="B80" t="s">
        <v>60</v>
      </c>
      <c r="C80">
        <v>0</v>
      </c>
      <c r="D80">
        <v>2.708341121673584</v>
      </c>
      <c r="E80">
        <v>1</v>
      </c>
      <c r="F80">
        <v>1</v>
      </c>
      <c r="G80">
        <v>1</v>
      </c>
      <c r="H80">
        <v>1</v>
      </c>
      <c r="I80">
        <v>1</v>
      </c>
      <c r="J80">
        <v>1</v>
      </c>
      <c r="K80">
        <v>1</v>
      </c>
      <c r="L80">
        <v>1</v>
      </c>
      <c r="M80">
        <v>1</v>
      </c>
      <c r="N80">
        <v>1</v>
      </c>
      <c r="O80">
        <v>1</v>
      </c>
    </row>
    <row r="81" spans="1:16" x14ac:dyDescent="0.25">
      <c r="A81" t="s">
        <v>94</v>
      </c>
      <c r="B81" t="s">
        <v>62</v>
      </c>
      <c r="C81">
        <v>0</v>
      </c>
      <c r="D81">
        <v>8.4764277935028076</v>
      </c>
      <c r="E81">
        <v>1</v>
      </c>
      <c r="F81">
        <v>1</v>
      </c>
      <c r="G81">
        <v>1</v>
      </c>
      <c r="H81">
        <v>1</v>
      </c>
      <c r="I81">
        <v>1</v>
      </c>
      <c r="J81">
        <v>1</v>
      </c>
      <c r="K81">
        <v>1</v>
      </c>
      <c r="L81">
        <v>1</v>
      </c>
      <c r="M81">
        <v>1</v>
      </c>
      <c r="N81">
        <v>1</v>
      </c>
      <c r="O81">
        <v>1</v>
      </c>
    </row>
    <row r="82" spans="1:16" x14ac:dyDescent="0.25">
      <c r="A82" t="s">
        <v>94</v>
      </c>
      <c r="B82" t="s">
        <v>64</v>
      </c>
      <c r="C82">
        <v>0</v>
      </c>
      <c r="D82">
        <v>7.6000280380249023</v>
      </c>
      <c r="E82">
        <v>1</v>
      </c>
      <c r="F82">
        <v>0</v>
      </c>
      <c r="G82">
        <v>1</v>
      </c>
      <c r="H82" t="s">
        <v>19</v>
      </c>
      <c r="I82">
        <v>1</v>
      </c>
      <c r="J82" t="s">
        <v>19</v>
      </c>
      <c r="K82">
        <v>1</v>
      </c>
      <c r="L82">
        <v>1</v>
      </c>
      <c r="M82">
        <v>1</v>
      </c>
      <c r="N82">
        <v>1</v>
      </c>
      <c r="O82">
        <v>1</v>
      </c>
      <c r="P82" t="s">
        <v>451</v>
      </c>
    </row>
    <row r="83" spans="1:16" x14ac:dyDescent="0.25">
      <c r="A83" t="s">
        <v>94</v>
      </c>
      <c r="B83" t="s">
        <v>65</v>
      </c>
      <c r="C83">
        <v>0</v>
      </c>
      <c r="D83">
        <v>10.153990983963009</v>
      </c>
      <c r="E83">
        <v>1</v>
      </c>
      <c r="F83">
        <v>1</v>
      </c>
      <c r="G83">
        <v>0</v>
      </c>
      <c r="H83" t="s">
        <v>19</v>
      </c>
      <c r="I83">
        <v>0</v>
      </c>
      <c r="J83">
        <v>1</v>
      </c>
      <c r="K83">
        <v>1</v>
      </c>
      <c r="L83">
        <v>1</v>
      </c>
      <c r="M83">
        <v>1</v>
      </c>
      <c r="N83">
        <v>1</v>
      </c>
      <c r="O83">
        <v>1</v>
      </c>
      <c r="P83" t="s">
        <v>452</v>
      </c>
    </row>
    <row r="84" spans="1:16" x14ac:dyDescent="0.25">
      <c r="A84" t="s">
        <v>94</v>
      </c>
      <c r="B84" t="s">
        <v>67</v>
      </c>
      <c r="C84">
        <v>0</v>
      </c>
      <c r="D84">
        <v>2.554503440856934</v>
      </c>
      <c r="E84">
        <v>1</v>
      </c>
      <c r="F84">
        <v>1</v>
      </c>
      <c r="G84">
        <v>1</v>
      </c>
      <c r="H84">
        <v>1</v>
      </c>
      <c r="I84">
        <v>1</v>
      </c>
      <c r="J84">
        <v>1</v>
      </c>
      <c r="K84">
        <v>1</v>
      </c>
      <c r="L84">
        <v>1</v>
      </c>
      <c r="M84">
        <v>1</v>
      </c>
      <c r="N84">
        <v>1</v>
      </c>
      <c r="O84">
        <v>1</v>
      </c>
    </row>
    <row r="85" spans="1:16" x14ac:dyDescent="0.25">
      <c r="A85" t="s">
        <v>94</v>
      </c>
      <c r="B85" t="s">
        <v>69</v>
      </c>
      <c r="C85">
        <v>0</v>
      </c>
      <c r="D85">
        <v>4.6166214942932129</v>
      </c>
      <c r="E85">
        <v>1</v>
      </c>
      <c r="F85">
        <v>1</v>
      </c>
      <c r="G85">
        <v>1</v>
      </c>
      <c r="H85">
        <v>1</v>
      </c>
      <c r="I85">
        <v>0</v>
      </c>
      <c r="J85">
        <v>1</v>
      </c>
      <c r="K85">
        <v>1</v>
      </c>
      <c r="L85">
        <v>1</v>
      </c>
      <c r="M85">
        <v>1</v>
      </c>
      <c r="N85">
        <v>1</v>
      </c>
      <c r="O85">
        <v>1</v>
      </c>
      <c r="P85" t="s">
        <v>453</v>
      </c>
    </row>
    <row r="86" spans="1:16" x14ac:dyDescent="0.25">
      <c r="A86" t="s">
        <v>94</v>
      </c>
      <c r="B86" t="s">
        <v>70</v>
      </c>
      <c r="C86">
        <v>0</v>
      </c>
      <c r="D86">
        <v>11.509625196456909</v>
      </c>
      <c r="E86">
        <v>1</v>
      </c>
      <c r="F86">
        <v>1</v>
      </c>
      <c r="G86">
        <v>0</v>
      </c>
      <c r="H86" t="s">
        <v>19</v>
      </c>
      <c r="I86">
        <v>1</v>
      </c>
      <c r="J86">
        <v>1</v>
      </c>
      <c r="K86">
        <v>1</v>
      </c>
      <c r="L86">
        <v>1</v>
      </c>
      <c r="M86">
        <v>1</v>
      </c>
      <c r="N86">
        <v>1</v>
      </c>
      <c r="O86">
        <v>1</v>
      </c>
      <c r="P86" t="s">
        <v>454</v>
      </c>
    </row>
    <row r="87" spans="1:16" x14ac:dyDescent="0.25">
      <c r="A87" t="s">
        <v>94</v>
      </c>
      <c r="B87" t="s">
        <v>71</v>
      </c>
      <c r="C87">
        <v>0</v>
      </c>
      <c r="D87">
        <v>9.4825432300567627</v>
      </c>
      <c r="E87">
        <v>1</v>
      </c>
      <c r="F87">
        <v>1</v>
      </c>
      <c r="G87">
        <v>1</v>
      </c>
      <c r="H87">
        <v>1</v>
      </c>
      <c r="I87">
        <v>1</v>
      </c>
      <c r="J87">
        <v>1</v>
      </c>
      <c r="K87">
        <v>1</v>
      </c>
      <c r="L87">
        <v>1</v>
      </c>
      <c r="M87">
        <v>1</v>
      </c>
      <c r="N87">
        <v>1</v>
      </c>
      <c r="O87">
        <v>1</v>
      </c>
    </row>
    <row r="88" spans="1:16" x14ac:dyDescent="0.25">
      <c r="A88" t="s">
        <v>94</v>
      </c>
      <c r="B88" t="s">
        <v>72</v>
      </c>
      <c r="C88">
        <v>0</v>
      </c>
      <c r="D88">
        <v>10.1296272277832</v>
      </c>
      <c r="E88">
        <v>1</v>
      </c>
      <c r="F88">
        <v>1</v>
      </c>
      <c r="G88">
        <v>1</v>
      </c>
      <c r="H88">
        <v>1</v>
      </c>
      <c r="I88">
        <v>1</v>
      </c>
      <c r="J88">
        <v>1</v>
      </c>
      <c r="K88">
        <v>1</v>
      </c>
      <c r="L88">
        <v>1</v>
      </c>
      <c r="M88">
        <v>1</v>
      </c>
      <c r="N88">
        <v>1</v>
      </c>
      <c r="O88">
        <v>1</v>
      </c>
    </row>
    <row r="89" spans="1:16" x14ac:dyDescent="0.25">
      <c r="A89" t="s">
        <v>94</v>
      </c>
      <c r="B89" t="s">
        <v>74</v>
      </c>
      <c r="C89">
        <v>0</v>
      </c>
      <c r="D89">
        <v>4.8239741325378418</v>
      </c>
      <c r="E89">
        <v>1</v>
      </c>
      <c r="F89">
        <v>1</v>
      </c>
      <c r="G89">
        <v>1</v>
      </c>
      <c r="H89">
        <v>0</v>
      </c>
      <c r="I89">
        <v>1</v>
      </c>
      <c r="J89">
        <v>1</v>
      </c>
      <c r="K89">
        <v>1</v>
      </c>
      <c r="L89">
        <v>1</v>
      </c>
      <c r="M89">
        <v>1</v>
      </c>
      <c r="N89">
        <v>1</v>
      </c>
      <c r="O89">
        <v>1</v>
      </c>
      <c r="P89" t="s">
        <v>455</v>
      </c>
    </row>
    <row r="90" spans="1:16" x14ac:dyDescent="0.25">
      <c r="A90" t="s">
        <v>94</v>
      </c>
      <c r="B90" t="s">
        <v>76</v>
      </c>
      <c r="C90">
        <v>0</v>
      </c>
      <c r="D90">
        <v>14.38212251663208</v>
      </c>
      <c r="E90">
        <v>0</v>
      </c>
      <c r="F90" t="s">
        <v>19</v>
      </c>
      <c r="G90" t="s">
        <v>19</v>
      </c>
      <c r="H90" t="s">
        <v>19</v>
      </c>
      <c r="I90" t="s">
        <v>19</v>
      </c>
      <c r="J90" t="s">
        <v>19</v>
      </c>
      <c r="K90" t="s">
        <v>19</v>
      </c>
      <c r="L90" t="s">
        <v>19</v>
      </c>
      <c r="M90" t="s">
        <v>19</v>
      </c>
      <c r="N90" t="s">
        <v>19</v>
      </c>
      <c r="O90" t="s">
        <v>19</v>
      </c>
      <c r="P90" t="s">
        <v>456</v>
      </c>
    </row>
    <row r="91" spans="1:16" x14ac:dyDescent="0.25">
      <c r="A91" t="s">
        <v>94</v>
      </c>
      <c r="B91" t="s">
        <v>78</v>
      </c>
      <c r="C91">
        <v>0</v>
      </c>
      <c r="D91">
        <v>2.7649774551391602</v>
      </c>
      <c r="E91">
        <v>1</v>
      </c>
      <c r="F91">
        <v>1</v>
      </c>
      <c r="G91">
        <v>1</v>
      </c>
      <c r="H91">
        <v>1</v>
      </c>
      <c r="I91">
        <v>1</v>
      </c>
      <c r="J91">
        <v>1</v>
      </c>
      <c r="K91">
        <v>1</v>
      </c>
      <c r="L91">
        <v>1</v>
      </c>
      <c r="M91">
        <v>1</v>
      </c>
      <c r="N91">
        <v>1</v>
      </c>
      <c r="O91">
        <v>1</v>
      </c>
    </row>
    <row r="92" spans="1:16" x14ac:dyDescent="0.25">
      <c r="A92" t="s">
        <v>94</v>
      </c>
      <c r="B92" t="s">
        <v>80</v>
      </c>
      <c r="C92">
        <v>0</v>
      </c>
      <c r="D92">
        <v>2.8366127014160161</v>
      </c>
      <c r="E92">
        <v>1</v>
      </c>
      <c r="F92">
        <v>1</v>
      </c>
      <c r="G92">
        <v>1</v>
      </c>
      <c r="H92">
        <v>1</v>
      </c>
      <c r="I92">
        <v>1</v>
      </c>
      <c r="J92">
        <v>1</v>
      </c>
      <c r="K92">
        <v>1</v>
      </c>
      <c r="L92">
        <v>1</v>
      </c>
      <c r="M92">
        <v>1</v>
      </c>
      <c r="N92">
        <v>1</v>
      </c>
      <c r="O92">
        <v>1</v>
      </c>
    </row>
    <row r="93" spans="1:16" x14ac:dyDescent="0.25">
      <c r="A93" t="s">
        <v>94</v>
      </c>
      <c r="B93" t="s">
        <v>81</v>
      </c>
      <c r="C93">
        <v>0</v>
      </c>
      <c r="D93">
        <v>4.3665785789489746</v>
      </c>
      <c r="E93">
        <v>1</v>
      </c>
      <c r="F93">
        <v>1</v>
      </c>
      <c r="G93">
        <v>1</v>
      </c>
      <c r="H93">
        <v>1</v>
      </c>
      <c r="I93">
        <v>1</v>
      </c>
      <c r="J93">
        <v>0</v>
      </c>
      <c r="K93">
        <v>1</v>
      </c>
      <c r="L93">
        <v>1</v>
      </c>
      <c r="M93">
        <v>1</v>
      </c>
      <c r="N93">
        <v>1</v>
      </c>
      <c r="O93">
        <v>1</v>
      </c>
      <c r="P93" t="s">
        <v>457</v>
      </c>
    </row>
    <row r="94" spans="1:16" x14ac:dyDescent="0.25">
      <c r="A94" t="s">
        <v>94</v>
      </c>
      <c r="B94" t="s">
        <v>83</v>
      </c>
      <c r="C94">
        <v>0</v>
      </c>
      <c r="D94">
        <v>2.676371812820435</v>
      </c>
      <c r="E94">
        <v>1</v>
      </c>
      <c r="F94">
        <v>1</v>
      </c>
      <c r="G94">
        <v>1</v>
      </c>
      <c r="H94">
        <v>1</v>
      </c>
      <c r="I94">
        <v>1</v>
      </c>
      <c r="J94">
        <v>1</v>
      </c>
      <c r="K94">
        <v>1</v>
      </c>
      <c r="L94">
        <v>1</v>
      </c>
      <c r="M94">
        <v>1</v>
      </c>
      <c r="N94">
        <v>1</v>
      </c>
      <c r="O94">
        <v>1</v>
      </c>
    </row>
    <row r="95" spans="1:16" x14ac:dyDescent="0.25">
      <c r="A95" t="s">
        <v>94</v>
      </c>
      <c r="B95" t="s">
        <v>85</v>
      </c>
      <c r="C95">
        <v>0</v>
      </c>
      <c r="D95">
        <v>14.13575220108032</v>
      </c>
      <c r="E95">
        <v>1</v>
      </c>
      <c r="F95">
        <v>0</v>
      </c>
      <c r="G95">
        <v>0</v>
      </c>
      <c r="H95" t="s">
        <v>19</v>
      </c>
      <c r="I95">
        <v>1</v>
      </c>
      <c r="J95" t="s">
        <v>19</v>
      </c>
      <c r="K95">
        <v>1</v>
      </c>
      <c r="L95">
        <v>1</v>
      </c>
      <c r="M95">
        <v>1</v>
      </c>
      <c r="N95">
        <v>1</v>
      </c>
      <c r="O95">
        <v>1</v>
      </c>
      <c r="P95" t="s">
        <v>458</v>
      </c>
    </row>
    <row r="96" spans="1:16" x14ac:dyDescent="0.25">
      <c r="A96" t="s">
        <v>94</v>
      </c>
      <c r="B96" t="s">
        <v>87</v>
      </c>
      <c r="C96">
        <v>0</v>
      </c>
      <c r="D96">
        <v>8.8186721801757813</v>
      </c>
      <c r="E96">
        <v>1</v>
      </c>
      <c r="F96">
        <v>1</v>
      </c>
      <c r="G96">
        <v>0</v>
      </c>
      <c r="H96" t="s">
        <v>19</v>
      </c>
      <c r="I96">
        <v>1</v>
      </c>
      <c r="J96">
        <v>0</v>
      </c>
      <c r="K96">
        <v>1</v>
      </c>
      <c r="L96">
        <v>1</v>
      </c>
      <c r="M96">
        <v>1</v>
      </c>
      <c r="N96">
        <v>1</v>
      </c>
      <c r="O96">
        <v>1</v>
      </c>
      <c r="P96" t="s">
        <v>459</v>
      </c>
    </row>
    <row r="97" spans="1:16" x14ac:dyDescent="0.25">
      <c r="A97" t="s">
        <v>94</v>
      </c>
      <c r="B97" t="s">
        <v>89</v>
      </c>
      <c r="C97">
        <v>0</v>
      </c>
      <c r="D97">
        <v>6.0672311782836914</v>
      </c>
      <c r="E97">
        <v>1</v>
      </c>
      <c r="F97">
        <v>1</v>
      </c>
      <c r="G97">
        <v>0</v>
      </c>
      <c r="H97" t="s">
        <v>19</v>
      </c>
      <c r="I97">
        <v>1</v>
      </c>
      <c r="J97">
        <v>0</v>
      </c>
      <c r="K97">
        <v>1</v>
      </c>
      <c r="L97">
        <v>1</v>
      </c>
      <c r="M97">
        <v>1</v>
      </c>
      <c r="N97">
        <v>1</v>
      </c>
      <c r="O97">
        <v>1</v>
      </c>
      <c r="P97" t="s">
        <v>460</v>
      </c>
    </row>
    <row r="98" spans="1:16" x14ac:dyDescent="0.25">
      <c r="A98" t="s">
        <v>94</v>
      </c>
      <c r="B98" t="s">
        <v>91</v>
      </c>
      <c r="C98">
        <v>0</v>
      </c>
      <c r="D98">
        <v>3.5880899429321289</v>
      </c>
      <c r="E98">
        <v>1</v>
      </c>
      <c r="F98">
        <v>1</v>
      </c>
      <c r="G98">
        <v>1</v>
      </c>
      <c r="H98">
        <v>1</v>
      </c>
      <c r="I98">
        <v>1</v>
      </c>
      <c r="J98">
        <v>1</v>
      </c>
      <c r="K98">
        <v>0</v>
      </c>
      <c r="L98">
        <v>1</v>
      </c>
      <c r="M98">
        <v>1</v>
      </c>
      <c r="N98">
        <v>1</v>
      </c>
      <c r="O98">
        <v>1</v>
      </c>
      <c r="P98" t="s">
        <v>461</v>
      </c>
    </row>
    <row r="99" spans="1:16" x14ac:dyDescent="0.25">
      <c r="A99" t="s">
        <v>94</v>
      </c>
      <c r="B99" t="s">
        <v>93</v>
      </c>
      <c r="C99">
        <v>0</v>
      </c>
      <c r="D99">
        <v>4.8215346336364746</v>
      </c>
      <c r="E99">
        <v>1</v>
      </c>
      <c r="F99">
        <v>1</v>
      </c>
      <c r="G99">
        <v>1</v>
      </c>
      <c r="H99">
        <v>1</v>
      </c>
      <c r="I99">
        <v>1</v>
      </c>
      <c r="J99">
        <v>0</v>
      </c>
      <c r="K99">
        <v>1</v>
      </c>
      <c r="L99">
        <v>1</v>
      </c>
      <c r="M99">
        <v>1</v>
      </c>
      <c r="N99">
        <v>1</v>
      </c>
      <c r="O99">
        <v>1</v>
      </c>
      <c r="P99" t="s">
        <v>462</v>
      </c>
    </row>
    <row r="100" spans="1:16" x14ac:dyDescent="0.25">
      <c r="A100" t="s">
        <v>94</v>
      </c>
      <c r="B100" t="s">
        <v>128</v>
      </c>
      <c r="C100">
        <v>0</v>
      </c>
      <c r="D100">
        <v>2.6752278804779048</v>
      </c>
      <c r="E100">
        <v>1</v>
      </c>
      <c r="F100">
        <v>1</v>
      </c>
      <c r="G100">
        <v>1</v>
      </c>
      <c r="H100">
        <v>1</v>
      </c>
      <c r="I100">
        <v>1</v>
      </c>
      <c r="J100">
        <v>1</v>
      </c>
      <c r="K100">
        <v>1</v>
      </c>
      <c r="L100">
        <v>1</v>
      </c>
      <c r="M100">
        <v>1</v>
      </c>
      <c r="N100">
        <v>1</v>
      </c>
      <c r="O100">
        <v>1</v>
      </c>
    </row>
    <row r="101" spans="1:16" x14ac:dyDescent="0.25">
      <c r="A101" t="s">
        <v>94</v>
      </c>
      <c r="B101" t="s">
        <v>129</v>
      </c>
      <c r="C101">
        <v>0</v>
      </c>
      <c r="D101">
        <v>7.527930736541748</v>
      </c>
      <c r="E101">
        <v>1</v>
      </c>
      <c r="F101">
        <v>1</v>
      </c>
      <c r="G101">
        <v>1</v>
      </c>
      <c r="H101">
        <v>1</v>
      </c>
      <c r="I101">
        <v>1</v>
      </c>
      <c r="J101">
        <v>0</v>
      </c>
      <c r="K101">
        <v>1</v>
      </c>
      <c r="L101">
        <v>1</v>
      </c>
      <c r="M101">
        <v>1</v>
      </c>
      <c r="N101">
        <v>1</v>
      </c>
      <c r="O101">
        <v>1</v>
      </c>
      <c r="P101" t="s">
        <v>463</v>
      </c>
    </row>
    <row r="102" spans="1:16" x14ac:dyDescent="0.25">
      <c r="A102" t="s">
        <v>94</v>
      </c>
      <c r="B102" t="s">
        <v>131</v>
      </c>
      <c r="C102">
        <v>0</v>
      </c>
      <c r="D102">
        <v>8.0647172927856445</v>
      </c>
      <c r="E102">
        <v>0</v>
      </c>
      <c r="F102" t="s">
        <v>19</v>
      </c>
      <c r="G102" t="s">
        <v>19</v>
      </c>
      <c r="H102" t="s">
        <v>19</v>
      </c>
      <c r="I102" t="s">
        <v>19</v>
      </c>
      <c r="J102" t="s">
        <v>19</v>
      </c>
      <c r="K102" t="s">
        <v>19</v>
      </c>
      <c r="L102" t="s">
        <v>19</v>
      </c>
      <c r="M102" t="s">
        <v>19</v>
      </c>
      <c r="N102" t="s">
        <v>19</v>
      </c>
      <c r="O102" t="s">
        <v>19</v>
      </c>
      <c r="P102" t="s">
        <v>464</v>
      </c>
    </row>
    <row r="103" spans="1:16" x14ac:dyDescent="0.25">
      <c r="A103" t="s">
        <v>94</v>
      </c>
      <c r="B103" t="s">
        <v>133</v>
      </c>
      <c r="C103">
        <v>0</v>
      </c>
      <c r="D103">
        <v>2.720908403396606</v>
      </c>
      <c r="E103">
        <v>1</v>
      </c>
      <c r="F103">
        <v>1</v>
      </c>
      <c r="G103">
        <v>1</v>
      </c>
      <c r="H103">
        <v>1</v>
      </c>
      <c r="I103">
        <v>1</v>
      </c>
      <c r="J103">
        <v>1</v>
      </c>
      <c r="K103">
        <v>1</v>
      </c>
      <c r="L103">
        <v>1</v>
      </c>
      <c r="M103">
        <v>1</v>
      </c>
      <c r="N103">
        <v>1</v>
      </c>
      <c r="O103">
        <v>1</v>
      </c>
    </row>
    <row r="104" spans="1:16" x14ac:dyDescent="0.25">
      <c r="A104" t="s">
        <v>94</v>
      </c>
      <c r="B104" t="s">
        <v>134</v>
      </c>
      <c r="C104">
        <v>0</v>
      </c>
      <c r="D104">
        <v>10.537838459014891</v>
      </c>
      <c r="E104">
        <v>1</v>
      </c>
      <c r="F104">
        <v>1</v>
      </c>
      <c r="G104">
        <v>1</v>
      </c>
      <c r="H104">
        <v>0</v>
      </c>
      <c r="I104">
        <v>1</v>
      </c>
      <c r="J104">
        <v>1</v>
      </c>
      <c r="K104">
        <v>1</v>
      </c>
      <c r="L104">
        <v>1</v>
      </c>
      <c r="M104">
        <v>1</v>
      </c>
      <c r="N104">
        <v>1</v>
      </c>
      <c r="O104">
        <v>1</v>
      </c>
      <c r="P104" t="s">
        <v>465</v>
      </c>
    </row>
    <row r="105" spans="1:16" x14ac:dyDescent="0.25">
      <c r="A105" t="s">
        <v>94</v>
      </c>
      <c r="B105" t="s">
        <v>136</v>
      </c>
      <c r="C105">
        <v>0</v>
      </c>
      <c r="D105">
        <v>10.66698479652405</v>
      </c>
      <c r="E105">
        <v>1</v>
      </c>
      <c r="F105">
        <v>1</v>
      </c>
      <c r="G105">
        <v>1</v>
      </c>
      <c r="H105">
        <v>0</v>
      </c>
      <c r="I105">
        <v>1</v>
      </c>
      <c r="J105">
        <v>1</v>
      </c>
      <c r="K105">
        <v>1</v>
      </c>
      <c r="L105">
        <v>1</v>
      </c>
      <c r="M105">
        <v>1</v>
      </c>
      <c r="N105">
        <v>1</v>
      </c>
      <c r="O105">
        <v>1</v>
      </c>
      <c r="P105" t="s">
        <v>466</v>
      </c>
    </row>
    <row r="106" spans="1:16" x14ac:dyDescent="0.25">
      <c r="A106" t="s">
        <v>94</v>
      </c>
      <c r="B106" t="s">
        <v>138</v>
      </c>
      <c r="C106">
        <v>0</v>
      </c>
      <c r="D106">
        <v>6.9770019054412842</v>
      </c>
      <c r="E106">
        <v>0</v>
      </c>
      <c r="F106" t="s">
        <v>19</v>
      </c>
      <c r="G106" t="s">
        <v>19</v>
      </c>
      <c r="H106" t="s">
        <v>19</v>
      </c>
      <c r="I106" t="s">
        <v>19</v>
      </c>
      <c r="J106" t="s">
        <v>19</v>
      </c>
      <c r="K106" t="s">
        <v>19</v>
      </c>
      <c r="L106" t="s">
        <v>19</v>
      </c>
      <c r="M106" t="s">
        <v>19</v>
      </c>
      <c r="N106" t="s">
        <v>19</v>
      </c>
      <c r="O106" t="s">
        <v>19</v>
      </c>
      <c r="P106" t="s">
        <v>467</v>
      </c>
    </row>
    <row r="107" spans="1:16" x14ac:dyDescent="0.25">
      <c r="A107" t="s">
        <v>94</v>
      </c>
      <c r="B107" t="s">
        <v>140</v>
      </c>
      <c r="C107">
        <v>0</v>
      </c>
      <c r="D107">
        <v>4.8455076217651367</v>
      </c>
      <c r="E107">
        <v>1</v>
      </c>
      <c r="F107">
        <v>1</v>
      </c>
      <c r="G107">
        <v>1</v>
      </c>
      <c r="H107">
        <v>1</v>
      </c>
      <c r="I107">
        <v>1</v>
      </c>
      <c r="J107">
        <v>1</v>
      </c>
      <c r="K107">
        <v>0</v>
      </c>
      <c r="L107">
        <v>1</v>
      </c>
      <c r="M107">
        <v>1</v>
      </c>
      <c r="N107">
        <v>1</v>
      </c>
      <c r="O107">
        <v>1</v>
      </c>
      <c r="P107" t="s">
        <v>468</v>
      </c>
    </row>
    <row r="108" spans="1:16" x14ac:dyDescent="0.25">
      <c r="A108" t="s">
        <v>94</v>
      </c>
      <c r="B108" t="s">
        <v>142</v>
      </c>
      <c r="C108">
        <v>0</v>
      </c>
      <c r="D108">
        <v>4.7952754497528076</v>
      </c>
      <c r="E108">
        <v>1</v>
      </c>
      <c r="F108">
        <v>1</v>
      </c>
      <c r="G108">
        <v>1</v>
      </c>
      <c r="H108">
        <v>1</v>
      </c>
      <c r="I108">
        <v>1</v>
      </c>
      <c r="J108">
        <v>0</v>
      </c>
      <c r="K108">
        <v>1</v>
      </c>
      <c r="L108">
        <v>1</v>
      </c>
      <c r="M108">
        <v>1</v>
      </c>
      <c r="N108">
        <v>1</v>
      </c>
      <c r="O108">
        <v>1</v>
      </c>
      <c r="P108" t="s">
        <v>469</v>
      </c>
    </row>
    <row r="109" spans="1:16" x14ac:dyDescent="0.25">
      <c r="A109" t="s">
        <v>94</v>
      </c>
      <c r="B109" t="s">
        <v>143</v>
      </c>
      <c r="C109">
        <v>0</v>
      </c>
      <c r="D109">
        <v>13.24746131896973</v>
      </c>
      <c r="E109">
        <v>1</v>
      </c>
      <c r="F109">
        <v>1</v>
      </c>
      <c r="G109">
        <v>1</v>
      </c>
      <c r="H109">
        <v>1</v>
      </c>
      <c r="I109">
        <v>1</v>
      </c>
      <c r="J109">
        <v>0</v>
      </c>
      <c r="K109">
        <v>1</v>
      </c>
      <c r="L109">
        <v>1</v>
      </c>
      <c r="M109">
        <v>1</v>
      </c>
      <c r="N109">
        <v>1</v>
      </c>
      <c r="O109">
        <v>1</v>
      </c>
      <c r="P109" t="s">
        <v>470</v>
      </c>
    </row>
    <row r="110" spans="1:16" x14ac:dyDescent="0.25">
      <c r="A110" t="s">
        <v>94</v>
      </c>
      <c r="B110" t="s">
        <v>145</v>
      </c>
      <c r="C110">
        <v>0</v>
      </c>
      <c r="D110">
        <v>8.7504622936248779</v>
      </c>
      <c r="E110">
        <v>1</v>
      </c>
      <c r="F110">
        <v>1</v>
      </c>
      <c r="G110">
        <v>1</v>
      </c>
      <c r="H110">
        <v>1</v>
      </c>
      <c r="I110">
        <v>1</v>
      </c>
      <c r="J110">
        <v>1</v>
      </c>
      <c r="K110">
        <v>1</v>
      </c>
      <c r="L110">
        <v>1</v>
      </c>
      <c r="M110">
        <v>1</v>
      </c>
      <c r="N110">
        <v>1</v>
      </c>
      <c r="O110">
        <v>1</v>
      </c>
    </row>
    <row r="111" spans="1:16" x14ac:dyDescent="0.25">
      <c r="A111" t="s">
        <v>94</v>
      </c>
      <c r="B111" t="s">
        <v>146</v>
      </c>
      <c r="C111">
        <v>0</v>
      </c>
      <c r="D111">
        <v>8.3538227081298828</v>
      </c>
      <c r="E111">
        <v>1</v>
      </c>
      <c r="F111">
        <v>0</v>
      </c>
      <c r="G111">
        <v>1</v>
      </c>
      <c r="H111" t="s">
        <v>19</v>
      </c>
      <c r="I111">
        <v>1</v>
      </c>
      <c r="J111" t="s">
        <v>19</v>
      </c>
      <c r="K111">
        <v>1</v>
      </c>
      <c r="L111">
        <v>0</v>
      </c>
      <c r="M111">
        <v>1</v>
      </c>
      <c r="N111">
        <v>1</v>
      </c>
      <c r="O111">
        <v>1</v>
      </c>
      <c r="P111" t="s">
        <v>471</v>
      </c>
    </row>
    <row r="112" spans="1:16" x14ac:dyDescent="0.25">
      <c r="A112" t="s">
        <v>94</v>
      </c>
      <c r="B112" t="s">
        <v>148</v>
      </c>
      <c r="C112">
        <v>0</v>
      </c>
      <c r="D112">
        <v>2.708185195922852</v>
      </c>
      <c r="E112">
        <v>1</v>
      </c>
      <c r="F112">
        <v>1</v>
      </c>
      <c r="G112">
        <v>1</v>
      </c>
      <c r="H112">
        <v>1</v>
      </c>
      <c r="I112">
        <v>1</v>
      </c>
      <c r="J112">
        <v>1</v>
      </c>
      <c r="K112">
        <v>1</v>
      </c>
      <c r="L112">
        <v>1</v>
      </c>
      <c r="M112">
        <v>1</v>
      </c>
      <c r="N112">
        <v>1</v>
      </c>
      <c r="O112">
        <v>1</v>
      </c>
    </row>
    <row r="113" spans="1:16" x14ac:dyDescent="0.25">
      <c r="A113" t="s">
        <v>94</v>
      </c>
      <c r="B113" t="s">
        <v>149</v>
      </c>
      <c r="C113">
        <v>0</v>
      </c>
      <c r="D113">
        <v>4.4129006862640381</v>
      </c>
      <c r="E113">
        <v>0</v>
      </c>
      <c r="F113" t="s">
        <v>19</v>
      </c>
      <c r="G113" t="s">
        <v>19</v>
      </c>
      <c r="H113" t="s">
        <v>19</v>
      </c>
      <c r="I113" t="s">
        <v>19</v>
      </c>
      <c r="J113" t="s">
        <v>19</v>
      </c>
      <c r="K113" t="s">
        <v>19</v>
      </c>
      <c r="L113" t="s">
        <v>19</v>
      </c>
      <c r="M113" t="s">
        <v>19</v>
      </c>
      <c r="N113" t="s">
        <v>19</v>
      </c>
      <c r="O113" t="s">
        <v>19</v>
      </c>
      <c r="P113" t="s">
        <v>472</v>
      </c>
    </row>
    <row r="114" spans="1:16" x14ac:dyDescent="0.25">
      <c r="A114" t="s">
        <v>151</v>
      </c>
      <c r="B114" t="s">
        <v>17</v>
      </c>
      <c r="C114">
        <v>0</v>
      </c>
      <c r="D114">
        <v>2.7638828754425049</v>
      </c>
      <c r="E114">
        <v>1</v>
      </c>
      <c r="F114">
        <v>1</v>
      </c>
      <c r="G114">
        <v>1</v>
      </c>
      <c r="H114">
        <v>1</v>
      </c>
      <c r="I114">
        <v>1</v>
      </c>
      <c r="J114">
        <v>1</v>
      </c>
      <c r="K114">
        <v>1</v>
      </c>
      <c r="L114">
        <v>1</v>
      </c>
      <c r="M114">
        <v>1</v>
      </c>
      <c r="N114">
        <v>1</v>
      </c>
      <c r="O114">
        <v>1</v>
      </c>
    </row>
    <row r="115" spans="1:16" x14ac:dyDescent="0.25">
      <c r="A115" t="s">
        <v>151</v>
      </c>
      <c r="B115" t="s">
        <v>18</v>
      </c>
      <c r="C115">
        <v>0</v>
      </c>
      <c r="D115">
        <v>5.0394814014434806</v>
      </c>
      <c r="E115">
        <v>1</v>
      </c>
      <c r="F115">
        <v>1</v>
      </c>
      <c r="G115">
        <v>1</v>
      </c>
      <c r="H115">
        <v>1</v>
      </c>
      <c r="I115">
        <v>0</v>
      </c>
      <c r="J115">
        <v>1</v>
      </c>
      <c r="K115">
        <v>1</v>
      </c>
      <c r="L115">
        <v>1</v>
      </c>
      <c r="M115">
        <v>1</v>
      </c>
      <c r="N115">
        <v>1</v>
      </c>
      <c r="O115">
        <v>1</v>
      </c>
      <c r="P115" t="s">
        <v>473</v>
      </c>
    </row>
    <row r="116" spans="1:16" x14ac:dyDescent="0.25">
      <c r="A116" t="s">
        <v>151</v>
      </c>
      <c r="B116" t="s">
        <v>21</v>
      </c>
      <c r="C116">
        <v>0</v>
      </c>
      <c r="D116">
        <v>8.8145701885223389</v>
      </c>
      <c r="E116">
        <v>1</v>
      </c>
      <c r="F116">
        <v>1</v>
      </c>
      <c r="G116">
        <v>1</v>
      </c>
      <c r="H116">
        <v>1</v>
      </c>
      <c r="I116">
        <v>1</v>
      </c>
      <c r="J116">
        <v>1</v>
      </c>
      <c r="K116">
        <v>1</v>
      </c>
      <c r="L116">
        <v>1</v>
      </c>
      <c r="M116">
        <v>1</v>
      </c>
      <c r="N116">
        <v>1</v>
      </c>
      <c r="O116">
        <v>1</v>
      </c>
    </row>
    <row r="117" spans="1:16" x14ac:dyDescent="0.25">
      <c r="A117" t="s">
        <v>151</v>
      </c>
      <c r="B117" t="s">
        <v>23</v>
      </c>
      <c r="C117">
        <v>0</v>
      </c>
      <c r="D117">
        <v>10.717868328094481</v>
      </c>
      <c r="E117">
        <v>1</v>
      </c>
      <c r="F117">
        <v>1</v>
      </c>
      <c r="G117">
        <v>1</v>
      </c>
      <c r="H117">
        <v>1</v>
      </c>
      <c r="I117">
        <v>1</v>
      </c>
      <c r="J117">
        <v>0</v>
      </c>
      <c r="K117">
        <v>1</v>
      </c>
      <c r="L117">
        <v>1</v>
      </c>
      <c r="M117">
        <v>1</v>
      </c>
      <c r="N117">
        <v>1</v>
      </c>
      <c r="O117">
        <v>1</v>
      </c>
      <c r="P117" t="s">
        <v>474</v>
      </c>
    </row>
    <row r="118" spans="1:16" x14ac:dyDescent="0.25">
      <c r="A118" t="s">
        <v>151</v>
      </c>
      <c r="B118" t="s">
        <v>24</v>
      </c>
      <c r="C118">
        <v>0</v>
      </c>
      <c r="D118">
        <v>4.3817408084869376</v>
      </c>
      <c r="E118">
        <v>1</v>
      </c>
      <c r="F118">
        <v>1</v>
      </c>
      <c r="G118">
        <v>1</v>
      </c>
      <c r="H118">
        <v>1</v>
      </c>
      <c r="I118">
        <v>0</v>
      </c>
      <c r="J118">
        <v>1</v>
      </c>
      <c r="K118">
        <v>1</v>
      </c>
      <c r="L118">
        <v>1</v>
      </c>
      <c r="M118">
        <v>1</v>
      </c>
      <c r="N118">
        <v>1</v>
      </c>
      <c r="O118">
        <v>1</v>
      </c>
      <c r="P118" t="s">
        <v>475</v>
      </c>
    </row>
    <row r="119" spans="1:16" x14ac:dyDescent="0.25">
      <c r="A119" t="s">
        <v>151</v>
      </c>
      <c r="B119" t="s">
        <v>25</v>
      </c>
      <c r="C119">
        <v>0</v>
      </c>
      <c r="D119">
        <v>10.382703542709351</v>
      </c>
      <c r="E119">
        <v>1</v>
      </c>
      <c r="F119">
        <v>1</v>
      </c>
      <c r="G119">
        <v>1</v>
      </c>
      <c r="H119">
        <v>1</v>
      </c>
      <c r="I119">
        <v>1</v>
      </c>
      <c r="J119">
        <v>1</v>
      </c>
      <c r="K119">
        <v>1</v>
      </c>
      <c r="L119">
        <v>1</v>
      </c>
      <c r="M119">
        <v>1</v>
      </c>
      <c r="N119">
        <v>1</v>
      </c>
      <c r="O119">
        <v>1</v>
      </c>
    </row>
    <row r="120" spans="1:16" x14ac:dyDescent="0.25">
      <c r="A120" t="s">
        <v>151</v>
      </c>
      <c r="B120" t="s">
        <v>27</v>
      </c>
      <c r="C120">
        <v>0</v>
      </c>
      <c r="D120">
        <v>2.734427928924561</v>
      </c>
      <c r="E120">
        <v>1</v>
      </c>
      <c r="F120">
        <v>1</v>
      </c>
      <c r="G120">
        <v>1</v>
      </c>
      <c r="H120">
        <v>1</v>
      </c>
      <c r="I120">
        <v>1</v>
      </c>
      <c r="J120">
        <v>1</v>
      </c>
      <c r="K120">
        <v>1</v>
      </c>
      <c r="L120">
        <v>1</v>
      </c>
      <c r="M120">
        <v>1</v>
      </c>
      <c r="N120">
        <v>1</v>
      </c>
      <c r="O120">
        <v>1</v>
      </c>
    </row>
    <row r="121" spans="1:16" x14ac:dyDescent="0.25">
      <c r="A121" t="s">
        <v>151</v>
      </c>
      <c r="B121" t="s">
        <v>28</v>
      </c>
      <c r="C121">
        <v>0</v>
      </c>
      <c r="D121">
        <v>2.6886403560638432</v>
      </c>
      <c r="E121">
        <v>1</v>
      </c>
      <c r="F121">
        <v>1</v>
      </c>
      <c r="G121">
        <v>1</v>
      </c>
      <c r="H121">
        <v>1</v>
      </c>
      <c r="I121">
        <v>1</v>
      </c>
      <c r="J121">
        <v>1</v>
      </c>
      <c r="K121">
        <v>1</v>
      </c>
      <c r="L121">
        <v>1</v>
      </c>
      <c r="M121">
        <v>1</v>
      </c>
      <c r="N121">
        <v>1</v>
      </c>
      <c r="O121">
        <v>1</v>
      </c>
    </row>
    <row r="122" spans="1:16" x14ac:dyDescent="0.25">
      <c r="A122" t="s">
        <v>151</v>
      </c>
      <c r="B122" t="s">
        <v>29</v>
      </c>
      <c r="C122">
        <v>0</v>
      </c>
      <c r="D122">
        <v>12.81063532829285</v>
      </c>
      <c r="E122">
        <v>0</v>
      </c>
      <c r="F122" t="s">
        <v>19</v>
      </c>
      <c r="G122" t="s">
        <v>19</v>
      </c>
      <c r="H122" t="s">
        <v>19</v>
      </c>
      <c r="I122" t="s">
        <v>19</v>
      </c>
      <c r="J122" t="s">
        <v>19</v>
      </c>
      <c r="K122" t="s">
        <v>19</v>
      </c>
      <c r="L122" t="s">
        <v>19</v>
      </c>
      <c r="M122" t="s">
        <v>19</v>
      </c>
      <c r="N122" t="s">
        <v>19</v>
      </c>
      <c r="O122" t="s">
        <v>19</v>
      </c>
      <c r="P122" t="s">
        <v>476</v>
      </c>
    </row>
    <row r="123" spans="1:16" x14ac:dyDescent="0.25">
      <c r="A123" t="s">
        <v>151</v>
      </c>
      <c r="B123" t="s">
        <v>30</v>
      </c>
      <c r="C123">
        <v>0</v>
      </c>
      <c r="D123">
        <v>2.7647666931152339</v>
      </c>
      <c r="E123">
        <v>1</v>
      </c>
      <c r="F123">
        <v>1</v>
      </c>
      <c r="G123">
        <v>1</v>
      </c>
      <c r="H123">
        <v>1</v>
      </c>
      <c r="I123">
        <v>1</v>
      </c>
      <c r="J123">
        <v>1</v>
      </c>
      <c r="K123">
        <v>1</v>
      </c>
      <c r="L123">
        <v>1</v>
      </c>
      <c r="M123">
        <v>1</v>
      </c>
      <c r="N123">
        <v>1</v>
      </c>
      <c r="O123">
        <v>1</v>
      </c>
    </row>
    <row r="124" spans="1:16" x14ac:dyDescent="0.25">
      <c r="A124" t="s">
        <v>151</v>
      </c>
      <c r="B124" t="s">
        <v>31</v>
      </c>
      <c r="C124">
        <v>0</v>
      </c>
      <c r="D124">
        <v>9.5479435920715332</v>
      </c>
      <c r="E124">
        <v>1</v>
      </c>
      <c r="F124">
        <v>1</v>
      </c>
      <c r="G124">
        <v>1</v>
      </c>
      <c r="H124">
        <v>1</v>
      </c>
      <c r="I124">
        <v>1</v>
      </c>
      <c r="J124">
        <v>1</v>
      </c>
      <c r="K124">
        <v>0</v>
      </c>
      <c r="L124">
        <v>1</v>
      </c>
      <c r="M124">
        <v>1</v>
      </c>
      <c r="N124">
        <v>1</v>
      </c>
      <c r="O124">
        <v>1</v>
      </c>
      <c r="P124" t="s">
        <v>477</v>
      </c>
    </row>
    <row r="125" spans="1:16" x14ac:dyDescent="0.25">
      <c r="A125" t="s">
        <v>151</v>
      </c>
      <c r="B125" t="s">
        <v>32</v>
      </c>
      <c r="C125">
        <v>0</v>
      </c>
      <c r="D125">
        <v>2.662333488464355</v>
      </c>
      <c r="E125">
        <v>1</v>
      </c>
      <c r="F125">
        <v>1</v>
      </c>
      <c r="G125">
        <v>1</v>
      </c>
      <c r="H125">
        <v>1</v>
      </c>
      <c r="I125">
        <v>1</v>
      </c>
      <c r="J125">
        <v>1</v>
      </c>
      <c r="K125">
        <v>1</v>
      </c>
      <c r="L125">
        <v>1</v>
      </c>
      <c r="M125">
        <v>1</v>
      </c>
      <c r="N125">
        <v>1</v>
      </c>
      <c r="O125">
        <v>1</v>
      </c>
    </row>
    <row r="126" spans="1:16" x14ac:dyDescent="0.25">
      <c r="A126" t="s">
        <v>151</v>
      </c>
      <c r="B126" t="s">
        <v>33</v>
      </c>
      <c r="C126">
        <v>0</v>
      </c>
      <c r="D126">
        <v>9.669083833694458</v>
      </c>
      <c r="E126">
        <v>1</v>
      </c>
      <c r="F126">
        <v>1</v>
      </c>
      <c r="G126">
        <v>1</v>
      </c>
      <c r="H126">
        <v>1</v>
      </c>
      <c r="I126">
        <v>1</v>
      </c>
      <c r="J126">
        <v>1</v>
      </c>
      <c r="K126">
        <v>1</v>
      </c>
      <c r="L126">
        <v>1</v>
      </c>
      <c r="M126">
        <v>1</v>
      </c>
      <c r="N126">
        <v>1</v>
      </c>
      <c r="O126">
        <v>1</v>
      </c>
    </row>
    <row r="127" spans="1:16" x14ac:dyDescent="0.25">
      <c r="A127" t="s">
        <v>151</v>
      </c>
      <c r="B127" t="s">
        <v>35</v>
      </c>
      <c r="C127">
        <v>0</v>
      </c>
      <c r="D127">
        <v>9.756110668182373</v>
      </c>
      <c r="E127">
        <v>1</v>
      </c>
      <c r="F127">
        <v>1</v>
      </c>
      <c r="G127">
        <v>1</v>
      </c>
      <c r="H127">
        <v>1</v>
      </c>
      <c r="I127">
        <v>1</v>
      </c>
      <c r="J127">
        <v>1</v>
      </c>
      <c r="K127">
        <v>1</v>
      </c>
      <c r="L127">
        <v>1</v>
      </c>
      <c r="M127">
        <v>1</v>
      </c>
      <c r="N127">
        <v>1</v>
      </c>
      <c r="O127">
        <v>1</v>
      </c>
    </row>
    <row r="128" spans="1:16" x14ac:dyDescent="0.25">
      <c r="A128" t="s">
        <v>151</v>
      </c>
      <c r="B128" t="s">
        <v>36</v>
      </c>
      <c r="C128">
        <v>0</v>
      </c>
      <c r="D128">
        <v>2.8945820331573491</v>
      </c>
      <c r="E128">
        <v>1</v>
      </c>
      <c r="F128">
        <v>1</v>
      </c>
      <c r="G128">
        <v>1</v>
      </c>
      <c r="H128">
        <v>1</v>
      </c>
      <c r="I128">
        <v>1</v>
      </c>
      <c r="J128">
        <v>1</v>
      </c>
      <c r="K128">
        <v>1</v>
      </c>
      <c r="L128">
        <v>1</v>
      </c>
      <c r="M128">
        <v>1</v>
      </c>
      <c r="N128">
        <v>1</v>
      </c>
      <c r="O128">
        <v>1</v>
      </c>
    </row>
    <row r="129" spans="1:16" x14ac:dyDescent="0.25">
      <c r="A129" t="s">
        <v>151</v>
      </c>
      <c r="B129" t="s">
        <v>37</v>
      </c>
      <c r="C129">
        <v>0</v>
      </c>
      <c r="D129">
        <v>2.7551560401916499</v>
      </c>
      <c r="E129">
        <v>1</v>
      </c>
      <c r="F129">
        <v>1</v>
      </c>
      <c r="G129">
        <v>1</v>
      </c>
      <c r="H129">
        <v>1</v>
      </c>
      <c r="I129">
        <v>1</v>
      </c>
      <c r="J129">
        <v>1</v>
      </c>
      <c r="K129">
        <v>1</v>
      </c>
      <c r="L129">
        <v>1</v>
      </c>
      <c r="M129">
        <v>1</v>
      </c>
      <c r="N129">
        <v>1</v>
      </c>
      <c r="O129">
        <v>1</v>
      </c>
    </row>
    <row r="130" spans="1:16" x14ac:dyDescent="0.25">
      <c r="A130" t="s">
        <v>151</v>
      </c>
      <c r="B130" t="s">
        <v>39</v>
      </c>
      <c r="C130">
        <v>0</v>
      </c>
      <c r="D130">
        <v>4.3148436546325684</v>
      </c>
      <c r="E130">
        <v>1</v>
      </c>
      <c r="F130">
        <v>1</v>
      </c>
      <c r="G130">
        <v>1</v>
      </c>
      <c r="H130">
        <v>1</v>
      </c>
      <c r="I130">
        <v>0</v>
      </c>
      <c r="J130">
        <v>1</v>
      </c>
      <c r="K130">
        <v>1</v>
      </c>
      <c r="L130">
        <v>1</v>
      </c>
      <c r="M130">
        <v>1</v>
      </c>
      <c r="N130">
        <v>1</v>
      </c>
      <c r="O130">
        <v>1</v>
      </c>
      <c r="P130" t="s">
        <v>478</v>
      </c>
    </row>
    <row r="131" spans="1:16" x14ac:dyDescent="0.25">
      <c r="A131" t="s">
        <v>151</v>
      </c>
      <c r="B131" t="s">
        <v>40</v>
      </c>
      <c r="C131">
        <v>0</v>
      </c>
      <c r="D131">
        <v>11.16480231285095</v>
      </c>
      <c r="E131">
        <v>1</v>
      </c>
      <c r="F131">
        <v>0</v>
      </c>
      <c r="G131">
        <v>0</v>
      </c>
      <c r="H131" t="s">
        <v>19</v>
      </c>
      <c r="I131">
        <v>1</v>
      </c>
      <c r="J131" t="s">
        <v>19</v>
      </c>
      <c r="K131">
        <v>0</v>
      </c>
      <c r="L131">
        <v>1</v>
      </c>
      <c r="M131">
        <v>1</v>
      </c>
      <c r="N131">
        <v>1</v>
      </c>
      <c r="O131">
        <v>1</v>
      </c>
      <c r="P131" t="s">
        <v>479</v>
      </c>
    </row>
    <row r="132" spans="1:16" x14ac:dyDescent="0.25">
      <c r="A132" t="s">
        <v>151</v>
      </c>
      <c r="B132" t="s">
        <v>41</v>
      </c>
      <c r="C132">
        <v>0</v>
      </c>
      <c r="D132">
        <v>11.643079996109011</v>
      </c>
      <c r="E132">
        <v>1</v>
      </c>
      <c r="F132">
        <v>1</v>
      </c>
      <c r="G132">
        <v>1</v>
      </c>
      <c r="H132">
        <v>1</v>
      </c>
      <c r="I132">
        <v>1</v>
      </c>
      <c r="J132">
        <v>1</v>
      </c>
      <c r="K132">
        <v>0</v>
      </c>
      <c r="L132">
        <v>1</v>
      </c>
      <c r="M132">
        <v>1</v>
      </c>
      <c r="N132">
        <v>1</v>
      </c>
      <c r="O132">
        <v>1</v>
      </c>
      <c r="P132" t="s">
        <v>480</v>
      </c>
    </row>
    <row r="133" spans="1:16" x14ac:dyDescent="0.25">
      <c r="A133" t="s">
        <v>151</v>
      </c>
      <c r="B133" t="s">
        <v>42</v>
      </c>
      <c r="C133">
        <v>0</v>
      </c>
      <c r="D133">
        <v>6.1674165725708008</v>
      </c>
      <c r="E133">
        <v>1</v>
      </c>
      <c r="F133">
        <v>1</v>
      </c>
      <c r="G133">
        <v>1</v>
      </c>
      <c r="H133">
        <v>1</v>
      </c>
      <c r="I133">
        <v>1</v>
      </c>
      <c r="J133">
        <v>1</v>
      </c>
      <c r="K133">
        <v>0</v>
      </c>
      <c r="L133">
        <v>1</v>
      </c>
      <c r="M133">
        <v>0</v>
      </c>
      <c r="N133">
        <v>1</v>
      </c>
      <c r="O133">
        <v>1</v>
      </c>
      <c r="P133" t="s">
        <v>481</v>
      </c>
    </row>
    <row r="134" spans="1:16" x14ac:dyDescent="0.25">
      <c r="A134" t="s">
        <v>151</v>
      </c>
      <c r="B134" t="s">
        <v>44</v>
      </c>
      <c r="C134">
        <v>0</v>
      </c>
      <c r="D134">
        <v>2.702997207641602</v>
      </c>
      <c r="E134">
        <v>1</v>
      </c>
      <c r="F134">
        <v>1</v>
      </c>
      <c r="G134">
        <v>1</v>
      </c>
      <c r="H134">
        <v>1</v>
      </c>
      <c r="I134">
        <v>1</v>
      </c>
      <c r="J134">
        <v>1</v>
      </c>
      <c r="K134">
        <v>1</v>
      </c>
      <c r="L134">
        <v>1</v>
      </c>
      <c r="M134">
        <v>1</v>
      </c>
      <c r="N134">
        <v>1</v>
      </c>
      <c r="O134">
        <v>1</v>
      </c>
    </row>
    <row r="135" spans="1:16" x14ac:dyDescent="0.25">
      <c r="A135" t="s">
        <v>151</v>
      </c>
      <c r="B135" t="s">
        <v>46</v>
      </c>
      <c r="C135">
        <v>0</v>
      </c>
      <c r="D135">
        <v>6.8722248077392578</v>
      </c>
      <c r="E135">
        <v>1</v>
      </c>
      <c r="F135">
        <v>0</v>
      </c>
      <c r="G135">
        <v>1</v>
      </c>
      <c r="H135" t="s">
        <v>19</v>
      </c>
      <c r="I135">
        <v>1</v>
      </c>
      <c r="J135" t="s">
        <v>19</v>
      </c>
      <c r="K135">
        <v>1</v>
      </c>
      <c r="L135">
        <v>1</v>
      </c>
      <c r="M135">
        <v>1</v>
      </c>
      <c r="N135">
        <v>1</v>
      </c>
      <c r="O135">
        <v>1</v>
      </c>
      <c r="P135" t="s">
        <v>482</v>
      </c>
    </row>
    <row r="136" spans="1:16" x14ac:dyDescent="0.25">
      <c r="A136" t="s">
        <v>151</v>
      </c>
      <c r="B136" t="s">
        <v>48</v>
      </c>
      <c r="C136">
        <v>0</v>
      </c>
      <c r="D136">
        <v>9.9634418487548828</v>
      </c>
      <c r="E136">
        <v>1</v>
      </c>
      <c r="F136">
        <v>1</v>
      </c>
      <c r="G136">
        <v>1</v>
      </c>
      <c r="H136">
        <v>1</v>
      </c>
      <c r="I136">
        <v>1</v>
      </c>
      <c r="J136">
        <v>1</v>
      </c>
      <c r="K136">
        <v>1</v>
      </c>
      <c r="L136">
        <v>1</v>
      </c>
      <c r="M136">
        <v>1</v>
      </c>
      <c r="N136">
        <v>1</v>
      </c>
      <c r="O136">
        <v>1</v>
      </c>
    </row>
    <row r="137" spans="1:16" x14ac:dyDescent="0.25">
      <c r="A137" t="s">
        <v>151</v>
      </c>
      <c r="B137" t="s">
        <v>49</v>
      </c>
      <c r="C137">
        <v>0</v>
      </c>
      <c r="D137">
        <v>12.11835336685181</v>
      </c>
      <c r="E137">
        <v>1</v>
      </c>
      <c r="F137">
        <v>0</v>
      </c>
      <c r="G137">
        <v>1</v>
      </c>
      <c r="H137" t="s">
        <v>19</v>
      </c>
      <c r="I137">
        <v>1</v>
      </c>
      <c r="J137" t="s">
        <v>19</v>
      </c>
      <c r="K137">
        <v>1</v>
      </c>
      <c r="L137">
        <v>1</v>
      </c>
      <c r="M137">
        <v>1</v>
      </c>
      <c r="N137">
        <v>1</v>
      </c>
      <c r="O137">
        <v>1</v>
      </c>
      <c r="P137" t="s">
        <v>483</v>
      </c>
    </row>
    <row r="138" spans="1:16" x14ac:dyDescent="0.25">
      <c r="A138" t="s">
        <v>151</v>
      </c>
      <c r="B138" t="s">
        <v>51</v>
      </c>
      <c r="C138">
        <v>0</v>
      </c>
      <c r="D138">
        <v>7.7215526103973389</v>
      </c>
      <c r="E138">
        <v>0</v>
      </c>
      <c r="F138" t="s">
        <v>19</v>
      </c>
      <c r="G138" t="s">
        <v>19</v>
      </c>
      <c r="H138" t="s">
        <v>19</v>
      </c>
      <c r="I138" t="s">
        <v>19</v>
      </c>
      <c r="J138" t="s">
        <v>19</v>
      </c>
      <c r="K138" t="s">
        <v>19</v>
      </c>
      <c r="L138" t="s">
        <v>19</v>
      </c>
      <c r="M138" t="s">
        <v>19</v>
      </c>
      <c r="N138" t="s">
        <v>19</v>
      </c>
      <c r="O138" t="s">
        <v>19</v>
      </c>
      <c r="P138" t="s">
        <v>484</v>
      </c>
    </row>
    <row r="139" spans="1:16" x14ac:dyDescent="0.25">
      <c r="A139" t="s">
        <v>151</v>
      </c>
      <c r="B139" t="s">
        <v>52</v>
      </c>
      <c r="C139">
        <v>0</v>
      </c>
      <c r="D139">
        <v>9.7378921508789063</v>
      </c>
      <c r="E139">
        <v>1</v>
      </c>
      <c r="F139">
        <v>0</v>
      </c>
      <c r="G139">
        <v>1</v>
      </c>
      <c r="H139" t="s">
        <v>19</v>
      </c>
      <c r="I139">
        <v>1</v>
      </c>
      <c r="J139" t="s">
        <v>19</v>
      </c>
      <c r="K139">
        <v>1</v>
      </c>
      <c r="L139">
        <v>1</v>
      </c>
      <c r="M139">
        <v>1</v>
      </c>
      <c r="N139">
        <v>1</v>
      </c>
      <c r="O139">
        <v>1</v>
      </c>
      <c r="P139" t="s">
        <v>485</v>
      </c>
    </row>
    <row r="140" spans="1:16" x14ac:dyDescent="0.25">
      <c r="A140" t="s">
        <v>151</v>
      </c>
      <c r="B140" t="s">
        <v>54</v>
      </c>
      <c r="C140">
        <v>0</v>
      </c>
      <c r="D140">
        <v>12.649823904037479</v>
      </c>
      <c r="E140">
        <v>1</v>
      </c>
      <c r="F140">
        <v>1</v>
      </c>
      <c r="G140">
        <v>1</v>
      </c>
      <c r="H140">
        <v>1</v>
      </c>
      <c r="I140">
        <v>1</v>
      </c>
      <c r="J140">
        <v>1</v>
      </c>
      <c r="K140">
        <v>0</v>
      </c>
      <c r="L140">
        <v>0</v>
      </c>
      <c r="M140">
        <v>1</v>
      </c>
      <c r="N140">
        <v>1</v>
      </c>
      <c r="O140">
        <v>1</v>
      </c>
      <c r="P140" t="s">
        <v>486</v>
      </c>
    </row>
    <row r="141" spans="1:16" x14ac:dyDescent="0.25">
      <c r="A141" t="s">
        <v>151</v>
      </c>
      <c r="B141" t="s">
        <v>56</v>
      </c>
      <c r="C141">
        <v>0</v>
      </c>
      <c r="D141">
        <v>6.9037570953369141</v>
      </c>
      <c r="E141">
        <v>1</v>
      </c>
      <c r="F141">
        <v>1</v>
      </c>
      <c r="G141">
        <v>1</v>
      </c>
      <c r="H141">
        <v>1</v>
      </c>
      <c r="I141">
        <v>1</v>
      </c>
      <c r="J141">
        <v>1</v>
      </c>
      <c r="K141">
        <v>1</v>
      </c>
      <c r="L141">
        <v>1</v>
      </c>
      <c r="M141">
        <v>1</v>
      </c>
      <c r="N141">
        <v>1</v>
      </c>
      <c r="O141">
        <v>1</v>
      </c>
    </row>
    <row r="142" spans="1:16" x14ac:dyDescent="0.25">
      <c r="A142" t="s">
        <v>151</v>
      </c>
      <c r="B142" t="s">
        <v>58</v>
      </c>
      <c r="C142">
        <v>0</v>
      </c>
      <c r="D142">
        <v>2.8108446598052979</v>
      </c>
      <c r="E142">
        <v>1</v>
      </c>
      <c r="F142">
        <v>1</v>
      </c>
      <c r="G142">
        <v>1</v>
      </c>
      <c r="H142">
        <v>1</v>
      </c>
      <c r="I142">
        <v>1</v>
      </c>
      <c r="J142">
        <v>1</v>
      </c>
      <c r="K142">
        <v>1</v>
      </c>
      <c r="L142">
        <v>1</v>
      </c>
      <c r="M142">
        <v>1</v>
      </c>
      <c r="N142">
        <v>1</v>
      </c>
      <c r="O142">
        <v>1</v>
      </c>
    </row>
    <row r="143" spans="1:16" x14ac:dyDescent="0.25">
      <c r="A143" t="s">
        <v>151</v>
      </c>
      <c r="B143" t="s">
        <v>60</v>
      </c>
      <c r="C143">
        <v>0</v>
      </c>
      <c r="D143">
        <v>2.7628014087677002</v>
      </c>
      <c r="E143">
        <v>1</v>
      </c>
      <c r="F143">
        <v>1</v>
      </c>
      <c r="G143">
        <v>1</v>
      </c>
      <c r="H143">
        <v>1</v>
      </c>
      <c r="I143">
        <v>1</v>
      </c>
      <c r="J143">
        <v>1</v>
      </c>
      <c r="K143">
        <v>1</v>
      </c>
      <c r="L143">
        <v>1</v>
      </c>
      <c r="M143">
        <v>1</v>
      </c>
      <c r="N143">
        <v>1</v>
      </c>
      <c r="O143">
        <v>1</v>
      </c>
    </row>
    <row r="144" spans="1:16" x14ac:dyDescent="0.25">
      <c r="A144" t="s">
        <v>151</v>
      </c>
      <c r="B144" t="s">
        <v>62</v>
      </c>
      <c r="C144">
        <v>0</v>
      </c>
      <c r="D144">
        <v>9.6476843357086182</v>
      </c>
      <c r="E144">
        <v>1</v>
      </c>
      <c r="F144">
        <v>1</v>
      </c>
      <c r="G144">
        <v>1</v>
      </c>
      <c r="H144">
        <v>1</v>
      </c>
      <c r="I144">
        <v>1</v>
      </c>
      <c r="J144">
        <v>1</v>
      </c>
      <c r="K144">
        <v>1</v>
      </c>
      <c r="L144">
        <v>1</v>
      </c>
      <c r="M144">
        <v>1</v>
      </c>
      <c r="N144">
        <v>1</v>
      </c>
      <c r="O144">
        <v>1</v>
      </c>
    </row>
    <row r="145" spans="1:16" x14ac:dyDescent="0.25">
      <c r="A145" t="s">
        <v>151</v>
      </c>
      <c r="B145" t="s">
        <v>64</v>
      </c>
      <c r="C145">
        <v>0</v>
      </c>
      <c r="D145">
        <v>2.7656681537628169</v>
      </c>
      <c r="E145">
        <v>1</v>
      </c>
      <c r="F145">
        <v>1</v>
      </c>
      <c r="G145">
        <v>1</v>
      </c>
      <c r="H145">
        <v>1</v>
      </c>
      <c r="I145">
        <v>1</v>
      </c>
      <c r="J145">
        <v>1</v>
      </c>
      <c r="K145">
        <v>1</v>
      </c>
      <c r="L145">
        <v>1</v>
      </c>
      <c r="M145">
        <v>1</v>
      </c>
      <c r="N145">
        <v>1</v>
      </c>
      <c r="O145">
        <v>1</v>
      </c>
    </row>
    <row r="146" spans="1:16" x14ac:dyDescent="0.25">
      <c r="A146" t="s">
        <v>151</v>
      </c>
      <c r="B146" t="s">
        <v>65</v>
      </c>
      <c r="C146">
        <v>0</v>
      </c>
      <c r="D146">
        <v>8.2503390312194824</v>
      </c>
      <c r="E146">
        <v>1</v>
      </c>
      <c r="F146">
        <v>0</v>
      </c>
      <c r="G146">
        <v>1</v>
      </c>
      <c r="H146" t="s">
        <v>19</v>
      </c>
      <c r="I146">
        <v>1</v>
      </c>
      <c r="J146" t="s">
        <v>19</v>
      </c>
      <c r="K146">
        <v>1</v>
      </c>
      <c r="L146">
        <v>1</v>
      </c>
      <c r="M146">
        <v>1</v>
      </c>
      <c r="N146">
        <v>1</v>
      </c>
      <c r="O146">
        <v>1</v>
      </c>
      <c r="P146" t="s">
        <v>487</v>
      </c>
    </row>
    <row r="147" spans="1:16" x14ac:dyDescent="0.25">
      <c r="A147" t="s">
        <v>151</v>
      </c>
      <c r="B147" t="s">
        <v>67</v>
      </c>
      <c r="C147">
        <v>0</v>
      </c>
      <c r="D147">
        <v>3.9549496173858638</v>
      </c>
      <c r="E147">
        <v>1</v>
      </c>
      <c r="F147">
        <v>1</v>
      </c>
      <c r="G147">
        <v>1</v>
      </c>
      <c r="H147">
        <v>1</v>
      </c>
      <c r="I147">
        <v>0</v>
      </c>
      <c r="J147">
        <v>1</v>
      </c>
      <c r="K147">
        <v>1</v>
      </c>
      <c r="L147">
        <v>1</v>
      </c>
      <c r="M147">
        <v>1</v>
      </c>
      <c r="N147">
        <v>1</v>
      </c>
      <c r="O147">
        <v>1</v>
      </c>
      <c r="P147" t="s">
        <v>488</v>
      </c>
    </row>
    <row r="148" spans="1:16" x14ac:dyDescent="0.25">
      <c r="A148" t="s">
        <v>151</v>
      </c>
      <c r="B148" t="s">
        <v>69</v>
      </c>
      <c r="C148">
        <v>0</v>
      </c>
      <c r="D148">
        <v>12.321486234664921</v>
      </c>
      <c r="E148">
        <v>1</v>
      </c>
      <c r="F148">
        <v>0</v>
      </c>
      <c r="G148">
        <v>1</v>
      </c>
      <c r="H148" t="s">
        <v>19</v>
      </c>
      <c r="I148">
        <v>1</v>
      </c>
      <c r="J148" t="s">
        <v>19</v>
      </c>
      <c r="K148">
        <v>1</v>
      </c>
      <c r="L148">
        <v>1</v>
      </c>
      <c r="M148">
        <v>1</v>
      </c>
      <c r="N148">
        <v>1</v>
      </c>
      <c r="O148">
        <v>1</v>
      </c>
      <c r="P148" t="s">
        <v>489</v>
      </c>
    </row>
    <row r="149" spans="1:16" x14ac:dyDescent="0.25">
      <c r="A149" t="s">
        <v>151</v>
      </c>
      <c r="B149" t="s">
        <v>70</v>
      </c>
      <c r="C149">
        <v>0</v>
      </c>
      <c r="D149">
        <v>2.7747588157653809</v>
      </c>
      <c r="E149">
        <v>1</v>
      </c>
      <c r="F149">
        <v>1</v>
      </c>
      <c r="G149">
        <v>1</v>
      </c>
      <c r="H149">
        <v>1</v>
      </c>
      <c r="I149">
        <v>1</v>
      </c>
      <c r="J149">
        <v>1</v>
      </c>
      <c r="K149">
        <v>1</v>
      </c>
      <c r="L149">
        <v>1</v>
      </c>
      <c r="M149">
        <v>1</v>
      </c>
      <c r="N149">
        <v>1</v>
      </c>
      <c r="O149">
        <v>1</v>
      </c>
    </row>
    <row r="150" spans="1:16" x14ac:dyDescent="0.25">
      <c r="A150" t="s">
        <v>151</v>
      </c>
      <c r="B150" t="s">
        <v>71</v>
      </c>
      <c r="C150">
        <v>0</v>
      </c>
      <c r="D150">
        <v>2.756768941879272</v>
      </c>
      <c r="E150">
        <v>1</v>
      </c>
      <c r="F150">
        <v>1</v>
      </c>
      <c r="G150">
        <v>1</v>
      </c>
      <c r="H150">
        <v>1</v>
      </c>
      <c r="I150">
        <v>1</v>
      </c>
      <c r="J150">
        <v>1</v>
      </c>
      <c r="K150">
        <v>1</v>
      </c>
      <c r="L150">
        <v>1</v>
      </c>
      <c r="M150">
        <v>1</v>
      </c>
      <c r="N150">
        <v>1</v>
      </c>
      <c r="O150">
        <v>1</v>
      </c>
    </row>
    <row r="151" spans="1:16" x14ac:dyDescent="0.25">
      <c r="A151" t="s">
        <v>151</v>
      </c>
      <c r="B151" t="s">
        <v>72</v>
      </c>
      <c r="C151">
        <v>0</v>
      </c>
      <c r="D151">
        <v>5.9472465515136719</v>
      </c>
      <c r="E151">
        <v>1</v>
      </c>
      <c r="F151">
        <v>1</v>
      </c>
      <c r="G151">
        <v>0</v>
      </c>
      <c r="H151" t="s">
        <v>19</v>
      </c>
      <c r="I151">
        <v>1</v>
      </c>
      <c r="J151">
        <v>1</v>
      </c>
      <c r="K151">
        <v>1</v>
      </c>
      <c r="L151">
        <v>1</v>
      </c>
      <c r="M151">
        <v>1</v>
      </c>
      <c r="N151">
        <v>1</v>
      </c>
      <c r="O151">
        <v>1</v>
      </c>
      <c r="P151" t="s">
        <v>490</v>
      </c>
    </row>
    <row r="152" spans="1:16" x14ac:dyDescent="0.25">
      <c r="A152" t="s">
        <v>151</v>
      </c>
      <c r="B152" t="s">
        <v>74</v>
      </c>
      <c r="C152">
        <v>0</v>
      </c>
      <c r="D152">
        <v>2.892515897750854</v>
      </c>
      <c r="E152">
        <v>1</v>
      </c>
      <c r="F152">
        <v>1</v>
      </c>
      <c r="G152">
        <v>1</v>
      </c>
      <c r="H152">
        <v>1</v>
      </c>
      <c r="I152">
        <v>1</v>
      </c>
      <c r="J152">
        <v>1</v>
      </c>
      <c r="K152">
        <v>1</v>
      </c>
      <c r="L152">
        <v>1</v>
      </c>
      <c r="M152">
        <v>1</v>
      </c>
      <c r="N152">
        <v>1</v>
      </c>
      <c r="O152">
        <v>1</v>
      </c>
    </row>
    <row r="153" spans="1:16" x14ac:dyDescent="0.25">
      <c r="A153" t="s">
        <v>151</v>
      </c>
      <c r="B153" t="s">
        <v>76</v>
      </c>
      <c r="C153">
        <v>0</v>
      </c>
      <c r="D153">
        <v>2.7329132556915279</v>
      </c>
      <c r="E153">
        <v>1</v>
      </c>
      <c r="F153">
        <v>1</v>
      </c>
      <c r="G153">
        <v>1</v>
      </c>
      <c r="H153">
        <v>1</v>
      </c>
      <c r="I153">
        <v>1</v>
      </c>
      <c r="J153">
        <v>1</v>
      </c>
      <c r="K153">
        <v>1</v>
      </c>
      <c r="L153">
        <v>1</v>
      </c>
      <c r="M153">
        <v>1</v>
      </c>
      <c r="N153">
        <v>1</v>
      </c>
      <c r="O153">
        <v>1</v>
      </c>
    </row>
    <row r="154" spans="1:16" x14ac:dyDescent="0.25">
      <c r="A154" t="s">
        <v>151</v>
      </c>
      <c r="B154" t="s">
        <v>78</v>
      </c>
      <c r="C154">
        <v>0</v>
      </c>
      <c r="D154">
        <v>2.7013957500457759</v>
      </c>
      <c r="E154">
        <v>1</v>
      </c>
      <c r="F154">
        <v>1</v>
      </c>
      <c r="G154">
        <v>1</v>
      </c>
      <c r="H154">
        <v>1</v>
      </c>
      <c r="I154">
        <v>1</v>
      </c>
      <c r="J154">
        <v>1</v>
      </c>
      <c r="K154">
        <v>1</v>
      </c>
      <c r="L154">
        <v>1</v>
      </c>
      <c r="M154">
        <v>1</v>
      </c>
      <c r="N154">
        <v>1</v>
      </c>
      <c r="O154">
        <v>1</v>
      </c>
    </row>
    <row r="155" spans="1:16" x14ac:dyDescent="0.25">
      <c r="A155" t="s">
        <v>151</v>
      </c>
      <c r="B155" t="s">
        <v>80</v>
      </c>
      <c r="C155">
        <v>0</v>
      </c>
      <c r="D155">
        <v>11.369919538497919</v>
      </c>
      <c r="E155">
        <v>0</v>
      </c>
      <c r="F155" t="s">
        <v>19</v>
      </c>
      <c r="G155" t="s">
        <v>19</v>
      </c>
      <c r="H155" t="s">
        <v>19</v>
      </c>
      <c r="I155" t="s">
        <v>19</v>
      </c>
      <c r="J155" t="s">
        <v>19</v>
      </c>
      <c r="K155" t="s">
        <v>19</v>
      </c>
      <c r="L155" t="s">
        <v>19</v>
      </c>
      <c r="M155" t="s">
        <v>19</v>
      </c>
      <c r="N155" t="s">
        <v>19</v>
      </c>
      <c r="O155" t="s">
        <v>19</v>
      </c>
      <c r="P155" t="s">
        <v>491</v>
      </c>
    </row>
    <row r="156" spans="1:16" x14ac:dyDescent="0.25">
      <c r="A156" t="s">
        <v>151</v>
      </c>
      <c r="B156" t="s">
        <v>81</v>
      </c>
      <c r="C156">
        <v>0</v>
      </c>
      <c r="D156">
        <v>2.7583107948303218</v>
      </c>
      <c r="E156">
        <v>1</v>
      </c>
      <c r="F156">
        <v>1</v>
      </c>
      <c r="G156">
        <v>1</v>
      </c>
      <c r="H156">
        <v>1</v>
      </c>
      <c r="I156">
        <v>1</v>
      </c>
      <c r="J156">
        <v>1</v>
      </c>
      <c r="K156">
        <v>1</v>
      </c>
      <c r="L156">
        <v>1</v>
      </c>
      <c r="M156">
        <v>1</v>
      </c>
      <c r="N156">
        <v>1</v>
      </c>
      <c r="O156">
        <v>1</v>
      </c>
    </row>
    <row r="157" spans="1:16" x14ac:dyDescent="0.25">
      <c r="A157" t="s">
        <v>151</v>
      </c>
      <c r="B157" t="s">
        <v>83</v>
      </c>
      <c r="C157">
        <v>0</v>
      </c>
      <c r="D157">
        <v>6.6029112339019784</v>
      </c>
      <c r="E157">
        <v>1</v>
      </c>
      <c r="F157">
        <v>1</v>
      </c>
      <c r="G157">
        <v>0</v>
      </c>
      <c r="H157" t="s">
        <v>19</v>
      </c>
      <c r="I157">
        <v>1</v>
      </c>
      <c r="J157">
        <v>1</v>
      </c>
      <c r="K157">
        <v>1</v>
      </c>
      <c r="L157">
        <v>1</v>
      </c>
      <c r="M157">
        <v>1</v>
      </c>
      <c r="N157">
        <v>1</v>
      </c>
      <c r="O157">
        <v>1</v>
      </c>
      <c r="P157" t="s">
        <v>492</v>
      </c>
    </row>
    <row r="158" spans="1:16" x14ac:dyDescent="0.25">
      <c r="A158" t="s">
        <v>151</v>
      </c>
      <c r="B158" t="s">
        <v>85</v>
      </c>
      <c r="C158">
        <v>0</v>
      </c>
      <c r="D158">
        <v>7.7616825103759766</v>
      </c>
      <c r="E158">
        <v>1</v>
      </c>
      <c r="F158">
        <v>1</v>
      </c>
      <c r="G158">
        <v>1</v>
      </c>
      <c r="H158">
        <v>1</v>
      </c>
      <c r="I158">
        <v>1</v>
      </c>
      <c r="J158">
        <v>0</v>
      </c>
      <c r="K158">
        <v>1</v>
      </c>
      <c r="L158">
        <v>1</v>
      </c>
      <c r="M158">
        <v>1</v>
      </c>
      <c r="N158">
        <v>1</v>
      </c>
      <c r="O158">
        <v>1</v>
      </c>
      <c r="P158" t="s">
        <v>493</v>
      </c>
    </row>
    <row r="159" spans="1:16" x14ac:dyDescent="0.25">
      <c r="A159" t="s">
        <v>151</v>
      </c>
      <c r="B159" t="s">
        <v>87</v>
      </c>
      <c r="C159">
        <v>0</v>
      </c>
      <c r="D159">
        <v>9.8038365840911865</v>
      </c>
      <c r="E159">
        <v>1</v>
      </c>
      <c r="F159">
        <v>1</v>
      </c>
      <c r="G159">
        <v>0</v>
      </c>
      <c r="H159" t="s">
        <v>19</v>
      </c>
      <c r="I159">
        <v>1</v>
      </c>
      <c r="J159">
        <v>1</v>
      </c>
      <c r="K159">
        <v>1</v>
      </c>
      <c r="L159">
        <v>1</v>
      </c>
      <c r="M159">
        <v>1</v>
      </c>
      <c r="N159">
        <v>1</v>
      </c>
      <c r="O159">
        <v>1</v>
      </c>
      <c r="P159" t="s">
        <v>494</v>
      </c>
    </row>
    <row r="160" spans="1:16" x14ac:dyDescent="0.25">
      <c r="A160" t="s">
        <v>151</v>
      </c>
      <c r="B160" t="s">
        <v>89</v>
      </c>
      <c r="C160">
        <v>0</v>
      </c>
      <c r="D160">
        <v>5.3261487483978271</v>
      </c>
      <c r="E160">
        <v>1</v>
      </c>
      <c r="F160">
        <v>1</v>
      </c>
      <c r="G160">
        <v>1</v>
      </c>
      <c r="H160">
        <v>1</v>
      </c>
      <c r="I160">
        <v>1</v>
      </c>
      <c r="J160">
        <v>0</v>
      </c>
      <c r="K160">
        <v>1</v>
      </c>
      <c r="L160">
        <v>1</v>
      </c>
      <c r="M160">
        <v>1</v>
      </c>
      <c r="N160">
        <v>1</v>
      </c>
      <c r="O160">
        <v>1</v>
      </c>
      <c r="P160" t="s">
        <v>495</v>
      </c>
    </row>
    <row r="161" spans="1:16" x14ac:dyDescent="0.25">
      <c r="A161" t="s">
        <v>151</v>
      </c>
      <c r="B161" t="s">
        <v>91</v>
      </c>
      <c r="C161">
        <v>0</v>
      </c>
      <c r="D161">
        <v>2.7290277481079102</v>
      </c>
      <c r="E161">
        <v>1</v>
      </c>
      <c r="F161">
        <v>1</v>
      </c>
      <c r="G161">
        <v>1</v>
      </c>
      <c r="H161">
        <v>1</v>
      </c>
      <c r="I161">
        <v>1</v>
      </c>
      <c r="J161">
        <v>1</v>
      </c>
      <c r="K161">
        <v>1</v>
      </c>
      <c r="L161">
        <v>1</v>
      </c>
      <c r="M161">
        <v>1</v>
      </c>
      <c r="N161">
        <v>1</v>
      </c>
      <c r="O161">
        <v>1</v>
      </c>
    </row>
    <row r="162" spans="1:16" x14ac:dyDescent="0.25">
      <c r="A162" t="s">
        <v>151</v>
      </c>
      <c r="B162" t="s">
        <v>93</v>
      </c>
      <c r="C162">
        <v>0</v>
      </c>
      <c r="D162">
        <v>6.81365966796875</v>
      </c>
      <c r="E162">
        <v>1</v>
      </c>
      <c r="F162">
        <v>1</v>
      </c>
      <c r="G162">
        <v>1</v>
      </c>
      <c r="H162">
        <v>1</v>
      </c>
      <c r="I162">
        <v>1</v>
      </c>
      <c r="J162">
        <v>0</v>
      </c>
      <c r="K162">
        <v>1</v>
      </c>
      <c r="L162">
        <v>1</v>
      </c>
      <c r="M162">
        <v>1</v>
      </c>
      <c r="N162">
        <v>1</v>
      </c>
      <c r="O162">
        <v>1</v>
      </c>
      <c r="P162" t="s">
        <v>496</v>
      </c>
    </row>
    <row r="163" spans="1:16" x14ac:dyDescent="0.25">
      <c r="A163" t="s">
        <v>151</v>
      </c>
      <c r="B163" t="s">
        <v>128</v>
      </c>
      <c r="C163">
        <v>0</v>
      </c>
      <c r="D163">
        <v>9.0216729640960693</v>
      </c>
      <c r="E163">
        <v>1</v>
      </c>
      <c r="F163">
        <v>1</v>
      </c>
      <c r="G163">
        <v>1</v>
      </c>
      <c r="H163">
        <v>1</v>
      </c>
      <c r="I163">
        <v>1</v>
      </c>
      <c r="J163">
        <v>1</v>
      </c>
      <c r="K163">
        <v>1</v>
      </c>
      <c r="L163">
        <v>1</v>
      </c>
      <c r="M163">
        <v>1</v>
      </c>
      <c r="N163">
        <v>1</v>
      </c>
      <c r="O163">
        <v>1</v>
      </c>
    </row>
    <row r="164" spans="1:16" x14ac:dyDescent="0.25">
      <c r="A164" t="s">
        <v>151</v>
      </c>
      <c r="B164" t="s">
        <v>129</v>
      </c>
      <c r="C164">
        <v>0</v>
      </c>
      <c r="D164">
        <v>2.769985675811768</v>
      </c>
      <c r="E164">
        <v>1</v>
      </c>
      <c r="F164">
        <v>1</v>
      </c>
      <c r="G164">
        <v>1</v>
      </c>
      <c r="H164">
        <v>1</v>
      </c>
      <c r="I164">
        <v>1</v>
      </c>
      <c r="J164">
        <v>1</v>
      </c>
      <c r="K164">
        <v>1</v>
      </c>
      <c r="L164">
        <v>1</v>
      </c>
      <c r="M164">
        <v>1</v>
      </c>
      <c r="N164">
        <v>1</v>
      </c>
      <c r="O164">
        <v>1</v>
      </c>
    </row>
    <row r="165" spans="1:16" x14ac:dyDescent="0.25">
      <c r="A165" t="s">
        <v>151</v>
      </c>
      <c r="B165" t="s">
        <v>131</v>
      </c>
      <c r="C165">
        <v>0</v>
      </c>
      <c r="D165">
        <v>5.0280978679656982</v>
      </c>
      <c r="E165">
        <v>1</v>
      </c>
      <c r="F165">
        <v>1</v>
      </c>
      <c r="G165">
        <v>1</v>
      </c>
      <c r="H165">
        <v>1</v>
      </c>
      <c r="I165">
        <v>1</v>
      </c>
      <c r="J165">
        <v>0</v>
      </c>
      <c r="K165">
        <v>1</v>
      </c>
      <c r="L165">
        <v>1</v>
      </c>
      <c r="M165">
        <v>1</v>
      </c>
      <c r="N165">
        <v>1</v>
      </c>
      <c r="O165">
        <v>1</v>
      </c>
      <c r="P165" t="s">
        <v>497</v>
      </c>
    </row>
    <row r="166" spans="1:16" x14ac:dyDescent="0.25">
      <c r="A166" t="s">
        <v>151</v>
      </c>
      <c r="B166" t="s">
        <v>133</v>
      </c>
      <c r="C166">
        <v>0</v>
      </c>
      <c r="D166">
        <v>4.5608129501342773</v>
      </c>
      <c r="E166">
        <v>1</v>
      </c>
      <c r="F166">
        <v>1</v>
      </c>
      <c r="G166">
        <v>1</v>
      </c>
      <c r="H166">
        <v>1</v>
      </c>
      <c r="I166">
        <v>1</v>
      </c>
      <c r="J166">
        <v>0</v>
      </c>
      <c r="K166">
        <v>1</v>
      </c>
      <c r="L166">
        <v>1</v>
      </c>
      <c r="M166">
        <v>1</v>
      </c>
      <c r="N166">
        <v>1</v>
      </c>
      <c r="O166">
        <v>1</v>
      </c>
      <c r="P166" t="s">
        <v>498</v>
      </c>
    </row>
    <row r="167" spans="1:16" x14ac:dyDescent="0.25">
      <c r="A167" t="s">
        <v>151</v>
      </c>
      <c r="B167" t="s">
        <v>134</v>
      </c>
      <c r="C167">
        <v>0</v>
      </c>
      <c r="D167">
        <v>4.9195535182952881</v>
      </c>
      <c r="E167">
        <v>1</v>
      </c>
      <c r="F167">
        <v>1</v>
      </c>
      <c r="G167">
        <v>1</v>
      </c>
      <c r="H167">
        <v>1</v>
      </c>
      <c r="I167">
        <v>1</v>
      </c>
      <c r="J167">
        <v>0</v>
      </c>
      <c r="K167">
        <v>1</v>
      </c>
      <c r="L167">
        <v>1</v>
      </c>
      <c r="M167">
        <v>1</v>
      </c>
      <c r="N167">
        <v>1</v>
      </c>
      <c r="O167">
        <v>1</v>
      </c>
      <c r="P167" t="s">
        <v>499</v>
      </c>
    </row>
    <row r="168" spans="1:16" x14ac:dyDescent="0.25">
      <c r="A168" t="s">
        <v>151</v>
      </c>
      <c r="B168" t="s">
        <v>136</v>
      </c>
      <c r="C168">
        <v>0</v>
      </c>
      <c r="D168">
        <v>3.6467022895812988</v>
      </c>
      <c r="E168">
        <v>1</v>
      </c>
      <c r="F168">
        <v>1</v>
      </c>
      <c r="G168">
        <v>1</v>
      </c>
      <c r="H168">
        <v>1</v>
      </c>
      <c r="I168">
        <v>1</v>
      </c>
      <c r="J168">
        <v>0</v>
      </c>
      <c r="K168">
        <v>1</v>
      </c>
      <c r="L168">
        <v>1</v>
      </c>
      <c r="M168">
        <v>1</v>
      </c>
      <c r="N168">
        <v>1</v>
      </c>
      <c r="O168">
        <v>1</v>
      </c>
      <c r="P168" t="s">
        <v>500</v>
      </c>
    </row>
    <row r="169" spans="1:16" x14ac:dyDescent="0.25">
      <c r="A169" t="s">
        <v>151</v>
      </c>
      <c r="B169" t="s">
        <v>138</v>
      </c>
      <c r="C169">
        <v>0</v>
      </c>
      <c r="D169">
        <v>2.6962721347808838</v>
      </c>
      <c r="E169">
        <v>1</v>
      </c>
      <c r="F169">
        <v>1</v>
      </c>
      <c r="G169">
        <v>1</v>
      </c>
      <c r="H169">
        <v>1</v>
      </c>
      <c r="I169">
        <v>1</v>
      </c>
      <c r="J169">
        <v>1</v>
      </c>
      <c r="K169">
        <v>1</v>
      </c>
      <c r="L169">
        <v>1</v>
      </c>
      <c r="M169">
        <v>1</v>
      </c>
      <c r="N169">
        <v>1</v>
      </c>
      <c r="O169">
        <v>1</v>
      </c>
    </row>
    <row r="170" spans="1:16" x14ac:dyDescent="0.25">
      <c r="A170" t="s">
        <v>151</v>
      </c>
      <c r="B170" t="s">
        <v>140</v>
      </c>
      <c r="C170">
        <v>0</v>
      </c>
      <c r="D170">
        <v>4.0936386585235596</v>
      </c>
      <c r="E170">
        <v>1</v>
      </c>
      <c r="F170">
        <v>1</v>
      </c>
      <c r="G170">
        <v>1</v>
      </c>
      <c r="H170">
        <v>0</v>
      </c>
      <c r="I170">
        <v>1</v>
      </c>
      <c r="J170">
        <v>1</v>
      </c>
      <c r="K170">
        <v>1</v>
      </c>
      <c r="L170">
        <v>1</v>
      </c>
      <c r="M170">
        <v>1</v>
      </c>
      <c r="N170">
        <v>1</v>
      </c>
      <c r="O170">
        <v>1</v>
      </c>
      <c r="P170" t="s">
        <v>501</v>
      </c>
    </row>
    <row r="171" spans="1:16" x14ac:dyDescent="0.25">
      <c r="A171" t="s">
        <v>151</v>
      </c>
      <c r="B171" t="s">
        <v>142</v>
      </c>
      <c r="C171">
        <v>0</v>
      </c>
      <c r="D171">
        <v>8.6962285041809082</v>
      </c>
      <c r="E171">
        <v>1</v>
      </c>
      <c r="F171">
        <v>1</v>
      </c>
      <c r="G171">
        <v>1</v>
      </c>
      <c r="H171">
        <v>1</v>
      </c>
      <c r="I171">
        <v>1</v>
      </c>
      <c r="J171">
        <v>1</v>
      </c>
      <c r="K171">
        <v>1</v>
      </c>
      <c r="L171">
        <v>1</v>
      </c>
      <c r="M171">
        <v>1</v>
      </c>
      <c r="N171">
        <v>1</v>
      </c>
      <c r="O171">
        <v>1</v>
      </c>
    </row>
    <row r="172" spans="1:16" x14ac:dyDescent="0.25">
      <c r="A172" t="s">
        <v>151</v>
      </c>
      <c r="B172" t="s">
        <v>143</v>
      </c>
      <c r="C172">
        <v>0</v>
      </c>
      <c r="D172">
        <v>12.564183950424191</v>
      </c>
      <c r="E172">
        <v>0</v>
      </c>
      <c r="F172" t="s">
        <v>19</v>
      </c>
      <c r="G172" t="s">
        <v>19</v>
      </c>
      <c r="H172" t="s">
        <v>19</v>
      </c>
      <c r="I172" t="s">
        <v>19</v>
      </c>
      <c r="J172" t="s">
        <v>19</v>
      </c>
      <c r="K172" t="s">
        <v>19</v>
      </c>
      <c r="L172" t="s">
        <v>19</v>
      </c>
      <c r="M172" t="s">
        <v>19</v>
      </c>
      <c r="N172" t="s">
        <v>19</v>
      </c>
      <c r="O172" t="s">
        <v>19</v>
      </c>
      <c r="P172" t="s">
        <v>502</v>
      </c>
    </row>
    <row r="173" spans="1:16" x14ac:dyDescent="0.25">
      <c r="A173" t="s">
        <v>151</v>
      </c>
      <c r="B173" t="s">
        <v>145</v>
      </c>
      <c r="C173">
        <v>0</v>
      </c>
      <c r="D173">
        <v>4.5102534294128418</v>
      </c>
      <c r="E173">
        <v>1</v>
      </c>
      <c r="F173">
        <v>1</v>
      </c>
      <c r="G173">
        <v>1</v>
      </c>
      <c r="H173">
        <v>1</v>
      </c>
      <c r="I173">
        <v>1</v>
      </c>
      <c r="J173">
        <v>0</v>
      </c>
      <c r="K173">
        <v>1</v>
      </c>
      <c r="L173">
        <v>1</v>
      </c>
      <c r="M173">
        <v>1</v>
      </c>
      <c r="N173">
        <v>1</v>
      </c>
      <c r="O173">
        <v>1</v>
      </c>
      <c r="P173" t="s">
        <v>503</v>
      </c>
    </row>
    <row r="174" spans="1:16" x14ac:dyDescent="0.25">
      <c r="A174" t="s">
        <v>151</v>
      </c>
      <c r="B174" t="s">
        <v>146</v>
      </c>
      <c r="C174">
        <v>0</v>
      </c>
      <c r="D174">
        <v>11.301718235015869</v>
      </c>
      <c r="E174">
        <v>1</v>
      </c>
      <c r="F174">
        <v>1</v>
      </c>
      <c r="G174">
        <v>1</v>
      </c>
      <c r="H174">
        <v>0</v>
      </c>
      <c r="I174">
        <v>1</v>
      </c>
      <c r="J174">
        <v>1</v>
      </c>
      <c r="K174">
        <v>1</v>
      </c>
      <c r="L174">
        <v>1</v>
      </c>
      <c r="M174">
        <v>1</v>
      </c>
      <c r="N174">
        <v>1</v>
      </c>
      <c r="O174">
        <v>1</v>
      </c>
      <c r="P174" t="s">
        <v>504</v>
      </c>
    </row>
    <row r="175" spans="1:16" x14ac:dyDescent="0.25">
      <c r="A175" t="s">
        <v>151</v>
      </c>
      <c r="B175" t="s">
        <v>148</v>
      </c>
      <c r="C175">
        <v>0</v>
      </c>
      <c r="D175">
        <v>4.7541117668151864</v>
      </c>
      <c r="E175">
        <v>1</v>
      </c>
      <c r="F175">
        <v>1</v>
      </c>
      <c r="G175">
        <v>1</v>
      </c>
      <c r="H175">
        <v>1</v>
      </c>
      <c r="I175">
        <v>1</v>
      </c>
      <c r="J175">
        <v>0</v>
      </c>
      <c r="K175">
        <v>0</v>
      </c>
      <c r="L175">
        <v>1</v>
      </c>
      <c r="M175">
        <v>1</v>
      </c>
      <c r="N175">
        <v>1</v>
      </c>
      <c r="O175">
        <v>1</v>
      </c>
      <c r="P175" t="s">
        <v>505</v>
      </c>
    </row>
    <row r="176" spans="1:16" x14ac:dyDescent="0.25">
      <c r="A176" t="s">
        <v>151</v>
      </c>
      <c r="B176" t="s">
        <v>149</v>
      </c>
      <c r="C176">
        <v>0</v>
      </c>
      <c r="D176">
        <v>10.87599992752075</v>
      </c>
      <c r="E176">
        <v>1</v>
      </c>
      <c r="F176">
        <v>1</v>
      </c>
      <c r="G176">
        <v>1</v>
      </c>
      <c r="H176">
        <v>1</v>
      </c>
      <c r="I176">
        <v>1</v>
      </c>
      <c r="J176">
        <v>1</v>
      </c>
      <c r="K176">
        <v>1</v>
      </c>
      <c r="L176">
        <v>1</v>
      </c>
      <c r="M176">
        <v>1</v>
      </c>
      <c r="N176">
        <v>1</v>
      </c>
      <c r="O176">
        <v>1</v>
      </c>
    </row>
    <row r="177" spans="1:16" x14ac:dyDescent="0.25">
      <c r="A177" t="s">
        <v>151</v>
      </c>
      <c r="B177" t="s">
        <v>190</v>
      </c>
      <c r="C177">
        <v>0</v>
      </c>
      <c r="D177">
        <v>4.4671227931976318</v>
      </c>
      <c r="E177">
        <v>1</v>
      </c>
      <c r="F177">
        <v>1</v>
      </c>
      <c r="G177">
        <v>1</v>
      </c>
      <c r="H177">
        <v>1</v>
      </c>
      <c r="I177">
        <v>1</v>
      </c>
      <c r="J177">
        <v>1</v>
      </c>
      <c r="K177">
        <v>1</v>
      </c>
      <c r="L177">
        <v>0</v>
      </c>
      <c r="M177">
        <v>1</v>
      </c>
      <c r="N177">
        <v>0</v>
      </c>
      <c r="O177">
        <v>1</v>
      </c>
      <c r="P177" t="s">
        <v>506</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77"/>
  <sheetViews>
    <sheetView workbookViewId="0"/>
  </sheetViews>
  <sheetFormatPr defaultRowHeight="13.8" x14ac:dyDescent="0.25"/>
  <sheetData>
    <row r="1" spans="1:16"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5">
      <c r="A2" t="s">
        <v>16</v>
      </c>
      <c r="B2" t="s">
        <v>17</v>
      </c>
      <c r="C2">
        <v>0</v>
      </c>
      <c r="D2">
        <v>2.7407186031341548</v>
      </c>
      <c r="E2">
        <v>1</v>
      </c>
      <c r="F2">
        <v>1</v>
      </c>
      <c r="G2">
        <v>1</v>
      </c>
      <c r="H2">
        <v>1</v>
      </c>
      <c r="I2">
        <v>1</v>
      </c>
      <c r="J2">
        <v>1</v>
      </c>
      <c r="K2">
        <v>1</v>
      </c>
      <c r="L2">
        <v>1</v>
      </c>
      <c r="M2">
        <v>1</v>
      </c>
      <c r="N2">
        <v>1</v>
      </c>
      <c r="O2">
        <v>1</v>
      </c>
    </row>
    <row r="3" spans="1:16" x14ac:dyDescent="0.25">
      <c r="A3" t="s">
        <v>16</v>
      </c>
      <c r="B3" t="s">
        <v>18</v>
      </c>
      <c r="C3">
        <v>0</v>
      </c>
      <c r="D3">
        <v>7.7022881507873544</v>
      </c>
      <c r="E3">
        <v>1</v>
      </c>
      <c r="F3">
        <v>1</v>
      </c>
      <c r="G3">
        <v>0</v>
      </c>
      <c r="H3" t="s">
        <v>19</v>
      </c>
      <c r="I3">
        <v>1</v>
      </c>
      <c r="J3">
        <v>1</v>
      </c>
      <c r="K3">
        <v>1</v>
      </c>
      <c r="L3">
        <v>1</v>
      </c>
      <c r="M3">
        <v>0</v>
      </c>
      <c r="N3">
        <v>1</v>
      </c>
      <c r="O3">
        <v>1</v>
      </c>
      <c r="P3" t="s">
        <v>507</v>
      </c>
    </row>
    <row r="4" spans="1:16" x14ac:dyDescent="0.25">
      <c r="A4" t="s">
        <v>16</v>
      </c>
      <c r="B4" t="s">
        <v>21</v>
      </c>
      <c r="C4">
        <v>0</v>
      </c>
      <c r="D4">
        <v>11.642370939254761</v>
      </c>
      <c r="E4">
        <v>1</v>
      </c>
      <c r="F4">
        <v>1</v>
      </c>
      <c r="G4">
        <v>1</v>
      </c>
      <c r="H4">
        <v>1</v>
      </c>
      <c r="I4">
        <v>0</v>
      </c>
      <c r="J4">
        <v>1</v>
      </c>
      <c r="K4">
        <v>1</v>
      </c>
      <c r="L4">
        <v>1</v>
      </c>
      <c r="M4">
        <v>1</v>
      </c>
      <c r="N4">
        <v>1</v>
      </c>
      <c r="O4">
        <v>1</v>
      </c>
      <c r="P4" t="s">
        <v>508</v>
      </c>
    </row>
    <row r="5" spans="1:16" x14ac:dyDescent="0.25">
      <c r="A5" t="s">
        <v>16</v>
      </c>
      <c r="B5" t="s">
        <v>23</v>
      </c>
      <c r="C5">
        <v>0</v>
      </c>
      <c r="D5">
        <v>9.5465512275695801</v>
      </c>
      <c r="E5">
        <v>1</v>
      </c>
      <c r="F5">
        <v>1</v>
      </c>
      <c r="G5">
        <v>1</v>
      </c>
      <c r="H5">
        <v>1</v>
      </c>
      <c r="I5">
        <v>1</v>
      </c>
      <c r="J5">
        <v>1</v>
      </c>
      <c r="K5">
        <v>1</v>
      </c>
      <c r="L5">
        <v>1</v>
      </c>
      <c r="M5">
        <v>1</v>
      </c>
      <c r="N5">
        <v>1</v>
      </c>
      <c r="O5">
        <v>1</v>
      </c>
    </row>
    <row r="6" spans="1:16" x14ac:dyDescent="0.25">
      <c r="A6" t="s">
        <v>16</v>
      </c>
      <c r="B6" t="s">
        <v>24</v>
      </c>
      <c r="C6">
        <v>0</v>
      </c>
      <c r="D6">
        <v>2.7545986175537109</v>
      </c>
      <c r="E6">
        <v>1</v>
      </c>
      <c r="F6">
        <v>1</v>
      </c>
      <c r="G6">
        <v>1</v>
      </c>
      <c r="H6">
        <v>1</v>
      </c>
      <c r="I6">
        <v>1</v>
      </c>
      <c r="J6">
        <v>1</v>
      </c>
      <c r="K6">
        <v>1</v>
      </c>
      <c r="L6">
        <v>1</v>
      </c>
      <c r="M6">
        <v>1</v>
      </c>
      <c r="N6">
        <v>1</v>
      </c>
      <c r="O6">
        <v>1</v>
      </c>
    </row>
    <row r="7" spans="1:16" x14ac:dyDescent="0.25">
      <c r="A7" t="s">
        <v>16</v>
      </c>
      <c r="B7" t="s">
        <v>25</v>
      </c>
      <c r="C7">
        <v>0</v>
      </c>
      <c r="D7">
        <v>6.7824647426605216</v>
      </c>
      <c r="E7">
        <v>1</v>
      </c>
      <c r="F7">
        <v>1</v>
      </c>
      <c r="G7">
        <v>1</v>
      </c>
      <c r="H7">
        <v>0</v>
      </c>
      <c r="I7">
        <v>1</v>
      </c>
      <c r="J7">
        <v>0</v>
      </c>
      <c r="K7">
        <v>1</v>
      </c>
      <c r="L7">
        <v>1</v>
      </c>
      <c r="M7">
        <v>1</v>
      </c>
      <c r="N7">
        <v>1</v>
      </c>
      <c r="O7">
        <v>1</v>
      </c>
      <c r="P7" t="s">
        <v>509</v>
      </c>
    </row>
    <row r="8" spans="1:16" x14ac:dyDescent="0.25">
      <c r="A8" t="s">
        <v>16</v>
      </c>
      <c r="B8" t="s">
        <v>27</v>
      </c>
      <c r="C8">
        <v>0</v>
      </c>
      <c r="D8">
        <v>2.7047920227050781</v>
      </c>
      <c r="E8">
        <v>1</v>
      </c>
      <c r="F8">
        <v>1</v>
      </c>
      <c r="G8">
        <v>1</v>
      </c>
      <c r="H8">
        <v>1</v>
      </c>
      <c r="I8">
        <v>1</v>
      </c>
      <c r="J8">
        <v>1</v>
      </c>
      <c r="K8">
        <v>1</v>
      </c>
      <c r="L8">
        <v>1</v>
      </c>
      <c r="M8">
        <v>1</v>
      </c>
      <c r="N8">
        <v>1</v>
      </c>
      <c r="O8">
        <v>1</v>
      </c>
    </row>
    <row r="9" spans="1:16" x14ac:dyDescent="0.25">
      <c r="A9" t="s">
        <v>16</v>
      </c>
      <c r="B9" t="s">
        <v>28</v>
      </c>
      <c r="C9">
        <v>0</v>
      </c>
      <c r="D9">
        <v>5.9487900733947754</v>
      </c>
      <c r="E9">
        <v>1</v>
      </c>
      <c r="F9">
        <v>1</v>
      </c>
      <c r="G9">
        <v>0</v>
      </c>
      <c r="H9" t="s">
        <v>19</v>
      </c>
      <c r="I9">
        <v>1</v>
      </c>
      <c r="J9">
        <v>1</v>
      </c>
      <c r="K9">
        <v>1</v>
      </c>
      <c r="L9">
        <v>1</v>
      </c>
      <c r="M9">
        <v>1</v>
      </c>
      <c r="N9">
        <v>1</v>
      </c>
      <c r="O9">
        <v>1</v>
      </c>
      <c r="P9" t="s">
        <v>510</v>
      </c>
    </row>
    <row r="10" spans="1:16" x14ac:dyDescent="0.25">
      <c r="A10" t="s">
        <v>16</v>
      </c>
      <c r="B10" t="s">
        <v>29</v>
      </c>
      <c r="C10">
        <v>0</v>
      </c>
      <c r="D10">
        <v>10.88411378860474</v>
      </c>
      <c r="E10">
        <v>1</v>
      </c>
      <c r="F10">
        <v>1</v>
      </c>
      <c r="G10">
        <v>1</v>
      </c>
      <c r="H10">
        <v>1</v>
      </c>
      <c r="I10">
        <v>1</v>
      </c>
      <c r="J10">
        <v>1</v>
      </c>
      <c r="K10">
        <v>1</v>
      </c>
      <c r="L10">
        <v>1</v>
      </c>
      <c r="M10">
        <v>1</v>
      </c>
      <c r="N10">
        <v>1</v>
      </c>
      <c r="O10">
        <v>1</v>
      </c>
    </row>
    <row r="11" spans="1:16" x14ac:dyDescent="0.25">
      <c r="A11" t="s">
        <v>16</v>
      </c>
      <c r="B11" t="s">
        <v>30</v>
      </c>
      <c r="C11">
        <v>0</v>
      </c>
      <c r="D11">
        <v>2.5712230205535889</v>
      </c>
      <c r="E11">
        <v>1</v>
      </c>
      <c r="F11">
        <v>1</v>
      </c>
      <c r="G11">
        <v>1</v>
      </c>
      <c r="H11">
        <v>1</v>
      </c>
      <c r="I11">
        <v>1</v>
      </c>
      <c r="J11">
        <v>1</v>
      </c>
      <c r="K11">
        <v>1</v>
      </c>
      <c r="L11">
        <v>1</v>
      </c>
      <c r="M11">
        <v>1</v>
      </c>
      <c r="N11">
        <v>1</v>
      </c>
      <c r="O11">
        <v>1</v>
      </c>
    </row>
    <row r="12" spans="1:16" x14ac:dyDescent="0.25">
      <c r="A12" t="s">
        <v>16</v>
      </c>
      <c r="B12" t="s">
        <v>31</v>
      </c>
      <c r="C12">
        <v>0</v>
      </c>
      <c r="D12">
        <v>10.77615308761597</v>
      </c>
      <c r="E12">
        <v>1</v>
      </c>
      <c r="F12">
        <v>1</v>
      </c>
      <c r="G12">
        <v>1</v>
      </c>
      <c r="H12">
        <v>1</v>
      </c>
      <c r="I12">
        <v>1</v>
      </c>
      <c r="J12">
        <v>1</v>
      </c>
      <c r="K12">
        <v>0</v>
      </c>
      <c r="L12">
        <v>0</v>
      </c>
      <c r="M12">
        <v>1</v>
      </c>
      <c r="N12">
        <v>1</v>
      </c>
      <c r="O12">
        <v>1</v>
      </c>
      <c r="P12" t="s">
        <v>511</v>
      </c>
    </row>
    <row r="13" spans="1:16" x14ac:dyDescent="0.25">
      <c r="A13" t="s">
        <v>16</v>
      </c>
      <c r="B13" t="s">
        <v>32</v>
      </c>
      <c r="C13">
        <v>0</v>
      </c>
      <c r="D13">
        <v>9.7618033885955811</v>
      </c>
      <c r="E13">
        <v>1</v>
      </c>
      <c r="F13">
        <v>1</v>
      </c>
      <c r="G13">
        <v>0</v>
      </c>
      <c r="H13" t="s">
        <v>19</v>
      </c>
      <c r="I13">
        <v>1</v>
      </c>
      <c r="J13">
        <v>1</v>
      </c>
      <c r="K13">
        <v>1</v>
      </c>
      <c r="L13">
        <v>1</v>
      </c>
      <c r="M13">
        <v>1</v>
      </c>
      <c r="N13">
        <v>1</v>
      </c>
      <c r="O13">
        <v>1</v>
      </c>
      <c r="P13" t="s">
        <v>512</v>
      </c>
    </row>
    <row r="14" spans="1:16" x14ac:dyDescent="0.25">
      <c r="A14" t="s">
        <v>16</v>
      </c>
      <c r="B14" t="s">
        <v>33</v>
      </c>
      <c r="C14">
        <v>0</v>
      </c>
      <c r="D14">
        <v>5.1351613998413086</v>
      </c>
      <c r="E14">
        <v>1</v>
      </c>
      <c r="F14">
        <v>1</v>
      </c>
      <c r="G14">
        <v>1</v>
      </c>
      <c r="H14">
        <v>1</v>
      </c>
      <c r="I14">
        <v>1</v>
      </c>
      <c r="J14">
        <v>0</v>
      </c>
      <c r="K14">
        <v>0</v>
      </c>
      <c r="L14">
        <v>1</v>
      </c>
      <c r="M14">
        <v>1</v>
      </c>
      <c r="N14">
        <v>1</v>
      </c>
      <c r="O14">
        <v>1</v>
      </c>
      <c r="P14" t="s">
        <v>513</v>
      </c>
    </row>
    <row r="15" spans="1:16" x14ac:dyDescent="0.25">
      <c r="A15" t="s">
        <v>16</v>
      </c>
      <c r="B15" t="s">
        <v>35</v>
      </c>
      <c r="C15">
        <v>0</v>
      </c>
      <c r="D15">
        <v>2.6396081447601318</v>
      </c>
      <c r="E15">
        <v>1</v>
      </c>
      <c r="F15">
        <v>1</v>
      </c>
      <c r="G15">
        <v>1</v>
      </c>
      <c r="H15">
        <v>1</v>
      </c>
      <c r="I15">
        <v>1</v>
      </c>
      <c r="J15">
        <v>1</v>
      </c>
      <c r="K15">
        <v>1</v>
      </c>
      <c r="L15">
        <v>1</v>
      </c>
      <c r="M15">
        <v>1</v>
      </c>
      <c r="N15">
        <v>1</v>
      </c>
      <c r="O15">
        <v>1</v>
      </c>
    </row>
    <row r="16" spans="1:16" x14ac:dyDescent="0.25">
      <c r="A16" t="s">
        <v>16</v>
      </c>
      <c r="B16" t="s">
        <v>36</v>
      </c>
      <c r="C16">
        <v>0</v>
      </c>
      <c r="D16">
        <v>4.6538760662078857</v>
      </c>
      <c r="E16">
        <v>1</v>
      </c>
      <c r="F16">
        <v>1</v>
      </c>
      <c r="G16">
        <v>0</v>
      </c>
      <c r="H16" t="s">
        <v>19</v>
      </c>
      <c r="I16">
        <v>1</v>
      </c>
      <c r="J16">
        <v>1</v>
      </c>
      <c r="K16">
        <v>1</v>
      </c>
      <c r="L16">
        <v>1</v>
      </c>
      <c r="M16">
        <v>1</v>
      </c>
      <c r="N16">
        <v>1</v>
      </c>
      <c r="O16">
        <v>1</v>
      </c>
      <c r="P16" t="s">
        <v>514</v>
      </c>
    </row>
    <row r="17" spans="1:16" x14ac:dyDescent="0.25">
      <c r="A17" t="s">
        <v>16</v>
      </c>
      <c r="B17" t="s">
        <v>37</v>
      </c>
      <c r="C17">
        <v>0</v>
      </c>
      <c r="D17">
        <v>5.0561981201171884</v>
      </c>
      <c r="E17">
        <v>1</v>
      </c>
      <c r="F17">
        <v>1</v>
      </c>
      <c r="G17">
        <v>1</v>
      </c>
      <c r="H17">
        <v>0</v>
      </c>
      <c r="I17">
        <v>1</v>
      </c>
      <c r="J17">
        <v>1</v>
      </c>
      <c r="K17">
        <v>1</v>
      </c>
      <c r="L17">
        <v>1</v>
      </c>
      <c r="M17">
        <v>1</v>
      </c>
      <c r="N17">
        <v>1</v>
      </c>
      <c r="O17">
        <v>1</v>
      </c>
      <c r="P17" t="s">
        <v>515</v>
      </c>
    </row>
    <row r="18" spans="1:16" x14ac:dyDescent="0.25">
      <c r="A18" t="s">
        <v>16</v>
      </c>
      <c r="B18" t="s">
        <v>39</v>
      </c>
      <c r="C18">
        <v>0</v>
      </c>
      <c r="D18">
        <v>8.7496082782745361</v>
      </c>
      <c r="E18">
        <v>1</v>
      </c>
      <c r="F18">
        <v>1</v>
      </c>
      <c r="G18">
        <v>1</v>
      </c>
      <c r="H18">
        <v>1</v>
      </c>
      <c r="I18">
        <v>1</v>
      </c>
      <c r="J18">
        <v>1</v>
      </c>
      <c r="K18">
        <v>1</v>
      </c>
      <c r="L18">
        <v>1</v>
      </c>
      <c r="M18">
        <v>1</v>
      </c>
      <c r="N18">
        <v>1</v>
      </c>
      <c r="O18">
        <v>1</v>
      </c>
    </row>
    <row r="19" spans="1:16" x14ac:dyDescent="0.25">
      <c r="A19" t="s">
        <v>16</v>
      </c>
      <c r="B19" t="s">
        <v>40</v>
      </c>
      <c r="C19">
        <v>0</v>
      </c>
      <c r="D19">
        <v>2.6760892868041992</v>
      </c>
      <c r="E19">
        <v>1</v>
      </c>
      <c r="F19">
        <v>1</v>
      </c>
      <c r="G19">
        <v>1</v>
      </c>
      <c r="H19">
        <v>1</v>
      </c>
      <c r="I19">
        <v>1</v>
      </c>
      <c r="J19">
        <v>1</v>
      </c>
      <c r="K19">
        <v>1</v>
      </c>
      <c r="L19">
        <v>1</v>
      </c>
      <c r="M19">
        <v>1</v>
      </c>
      <c r="N19">
        <v>1</v>
      </c>
      <c r="O19">
        <v>1</v>
      </c>
    </row>
    <row r="20" spans="1:16" x14ac:dyDescent="0.25">
      <c r="A20" t="s">
        <v>16</v>
      </c>
      <c r="B20" t="s">
        <v>41</v>
      </c>
      <c r="C20">
        <v>0</v>
      </c>
      <c r="D20">
        <v>8.905106782913208</v>
      </c>
      <c r="E20">
        <v>1</v>
      </c>
      <c r="F20">
        <v>1</v>
      </c>
      <c r="G20">
        <v>1</v>
      </c>
      <c r="H20">
        <v>1</v>
      </c>
      <c r="I20">
        <v>1</v>
      </c>
      <c r="J20">
        <v>1</v>
      </c>
      <c r="K20">
        <v>1</v>
      </c>
      <c r="L20">
        <v>1</v>
      </c>
      <c r="M20">
        <v>1</v>
      </c>
      <c r="N20">
        <v>1</v>
      </c>
      <c r="O20">
        <v>1</v>
      </c>
    </row>
    <row r="21" spans="1:16" x14ac:dyDescent="0.25">
      <c r="A21" t="s">
        <v>16</v>
      </c>
      <c r="B21" t="s">
        <v>42</v>
      </c>
      <c r="C21">
        <v>0</v>
      </c>
      <c r="D21">
        <v>10.786957502365111</v>
      </c>
      <c r="E21">
        <v>0</v>
      </c>
      <c r="F21" t="s">
        <v>19</v>
      </c>
      <c r="G21" t="s">
        <v>19</v>
      </c>
      <c r="H21" t="s">
        <v>19</v>
      </c>
      <c r="I21" t="s">
        <v>19</v>
      </c>
      <c r="J21" t="s">
        <v>19</v>
      </c>
      <c r="K21" t="s">
        <v>19</v>
      </c>
      <c r="L21" t="s">
        <v>19</v>
      </c>
      <c r="M21" t="s">
        <v>19</v>
      </c>
      <c r="N21" t="s">
        <v>19</v>
      </c>
      <c r="O21" t="s">
        <v>19</v>
      </c>
      <c r="P21" t="s">
        <v>516</v>
      </c>
    </row>
    <row r="22" spans="1:16" x14ac:dyDescent="0.25">
      <c r="A22" t="s">
        <v>16</v>
      </c>
      <c r="B22" t="s">
        <v>44</v>
      </c>
      <c r="C22">
        <v>0</v>
      </c>
      <c r="D22">
        <v>4.1097722053527832</v>
      </c>
      <c r="E22">
        <v>1</v>
      </c>
      <c r="F22">
        <v>1</v>
      </c>
      <c r="G22">
        <v>1</v>
      </c>
      <c r="H22">
        <v>1</v>
      </c>
      <c r="I22">
        <v>1</v>
      </c>
      <c r="J22">
        <v>1</v>
      </c>
      <c r="K22">
        <v>0</v>
      </c>
      <c r="L22">
        <v>1</v>
      </c>
      <c r="M22">
        <v>1</v>
      </c>
      <c r="N22">
        <v>1</v>
      </c>
      <c r="O22">
        <v>1</v>
      </c>
      <c r="P22" t="s">
        <v>517</v>
      </c>
    </row>
    <row r="23" spans="1:16" x14ac:dyDescent="0.25">
      <c r="A23" t="s">
        <v>16</v>
      </c>
      <c r="B23" t="s">
        <v>46</v>
      </c>
      <c r="C23">
        <v>0</v>
      </c>
      <c r="D23">
        <v>8.5324664115905762</v>
      </c>
      <c r="E23">
        <v>0</v>
      </c>
      <c r="F23" t="s">
        <v>19</v>
      </c>
      <c r="G23" t="s">
        <v>19</v>
      </c>
      <c r="H23" t="s">
        <v>19</v>
      </c>
      <c r="I23" t="s">
        <v>19</v>
      </c>
      <c r="J23" t="s">
        <v>19</v>
      </c>
      <c r="K23" t="s">
        <v>19</v>
      </c>
      <c r="L23" t="s">
        <v>19</v>
      </c>
      <c r="M23" t="s">
        <v>19</v>
      </c>
      <c r="N23" t="s">
        <v>19</v>
      </c>
      <c r="O23" t="s">
        <v>19</v>
      </c>
      <c r="P23" t="s">
        <v>518</v>
      </c>
    </row>
    <row r="24" spans="1:16" x14ac:dyDescent="0.25">
      <c r="A24" t="s">
        <v>16</v>
      </c>
      <c r="B24" t="s">
        <v>48</v>
      </c>
      <c r="C24">
        <v>0</v>
      </c>
      <c r="D24">
        <v>2.8990836143493648</v>
      </c>
      <c r="E24">
        <v>1</v>
      </c>
      <c r="F24">
        <v>1</v>
      </c>
      <c r="G24">
        <v>1</v>
      </c>
      <c r="H24">
        <v>1</v>
      </c>
      <c r="I24">
        <v>1</v>
      </c>
      <c r="J24">
        <v>1</v>
      </c>
      <c r="K24">
        <v>1</v>
      </c>
      <c r="L24">
        <v>1</v>
      </c>
      <c r="M24">
        <v>1</v>
      </c>
      <c r="N24">
        <v>1</v>
      </c>
      <c r="O24">
        <v>1</v>
      </c>
    </row>
    <row r="25" spans="1:16" x14ac:dyDescent="0.25">
      <c r="A25" t="s">
        <v>16</v>
      </c>
      <c r="B25" t="s">
        <v>49</v>
      </c>
      <c r="C25">
        <v>0</v>
      </c>
      <c r="D25">
        <v>12.04695987701416</v>
      </c>
      <c r="E25">
        <v>1</v>
      </c>
      <c r="F25">
        <v>1</v>
      </c>
      <c r="G25">
        <v>0</v>
      </c>
      <c r="H25" t="s">
        <v>19</v>
      </c>
      <c r="I25">
        <v>1</v>
      </c>
      <c r="J25">
        <v>1</v>
      </c>
      <c r="K25">
        <v>1</v>
      </c>
      <c r="L25">
        <v>1</v>
      </c>
      <c r="M25">
        <v>1</v>
      </c>
      <c r="N25">
        <v>1</v>
      </c>
      <c r="O25">
        <v>1</v>
      </c>
      <c r="P25" t="s">
        <v>519</v>
      </c>
    </row>
    <row r="26" spans="1:16" x14ac:dyDescent="0.25">
      <c r="A26" t="s">
        <v>16</v>
      </c>
      <c r="B26" t="s">
        <v>51</v>
      </c>
      <c r="C26">
        <v>0</v>
      </c>
      <c r="D26">
        <v>7.4481592178344727</v>
      </c>
      <c r="E26">
        <v>1</v>
      </c>
      <c r="F26">
        <v>1</v>
      </c>
      <c r="G26">
        <v>1</v>
      </c>
      <c r="H26">
        <v>1</v>
      </c>
      <c r="I26">
        <v>1</v>
      </c>
      <c r="J26">
        <v>1</v>
      </c>
      <c r="K26">
        <v>1</v>
      </c>
      <c r="L26">
        <v>1</v>
      </c>
      <c r="M26">
        <v>1</v>
      </c>
      <c r="N26">
        <v>1</v>
      </c>
      <c r="O26">
        <v>1</v>
      </c>
    </row>
    <row r="27" spans="1:16" x14ac:dyDescent="0.25">
      <c r="A27" t="s">
        <v>16</v>
      </c>
      <c r="B27" t="s">
        <v>52</v>
      </c>
      <c r="C27">
        <v>0</v>
      </c>
      <c r="D27">
        <v>10.479518890380859</v>
      </c>
      <c r="E27">
        <v>1</v>
      </c>
      <c r="F27">
        <v>1</v>
      </c>
      <c r="G27">
        <v>1</v>
      </c>
      <c r="H27">
        <v>1</v>
      </c>
      <c r="I27">
        <v>0</v>
      </c>
      <c r="J27">
        <v>1</v>
      </c>
      <c r="K27">
        <v>1</v>
      </c>
      <c r="L27">
        <v>1</v>
      </c>
      <c r="M27">
        <v>1</v>
      </c>
      <c r="N27">
        <v>1</v>
      </c>
      <c r="O27">
        <v>1</v>
      </c>
      <c r="P27" t="s">
        <v>520</v>
      </c>
    </row>
    <row r="28" spans="1:16" x14ac:dyDescent="0.25">
      <c r="A28" t="s">
        <v>16</v>
      </c>
      <c r="B28" t="s">
        <v>54</v>
      </c>
      <c r="C28">
        <v>0</v>
      </c>
      <c r="D28">
        <v>11.09894013404846</v>
      </c>
      <c r="E28">
        <v>0</v>
      </c>
      <c r="F28" t="s">
        <v>19</v>
      </c>
      <c r="G28" t="s">
        <v>19</v>
      </c>
      <c r="H28" t="s">
        <v>19</v>
      </c>
      <c r="I28" t="s">
        <v>19</v>
      </c>
      <c r="J28" t="s">
        <v>19</v>
      </c>
      <c r="K28" t="s">
        <v>19</v>
      </c>
      <c r="L28" t="s">
        <v>19</v>
      </c>
      <c r="M28" t="s">
        <v>19</v>
      </c>
      <c r="N28" t="s">
        <v>19</v>
      </c>
      <c r="O28" t="s">
        <v>19</v>
      </c>
      <c r="P28" t="s">
        <v>521</v>
      </c>
    </row>
    <row r="29" spans="1:16" x14ac:dyDescent="0.25">
      <c r="A29" t="s">
        <v>16</v>
      </c>
      <c r="B29" t="s">
        <v>56</v>
      </c>
      <c r="C29">
        <v>0</v>
      </c>
      <c r="D29">
        <v>13.666467428207399</v>
      </c>
      <c r="E29">
        <v>0</v>
      </c>
      <c r="F29" t="s">
        <v>19</v>
      </c>
      <c r="G29" t="s">
        <v>19</v>
      </c>
      <c r="H29" t="s">
        <v>19</v>
      </c>
      <c r="I29" t="s">
        <v>19</v>
      </c>
      <c r="J29" t="s">
        <v>19</v>
      </c>
      <c r="K29" t="s">
        <v>19</v>
      </c>
      <c r="L29" t="s">
        <v>19</v>
      </c>
      <c r="M29" t="s">
        <v>19</v>
      </c>
      <c r="N29" t="s">
        <v>19</v>
      </c>
      <c r="O29" t="s">
        <v>19</v>
      </c>
      <c r="P29" t="s">
        <v>522</v>
      </c>
    </row>
    <row r="30" spans="1:16" x14ac:dyDescent="0.25">
      <c r="A30" t="s">
        <v>16</v>
      </c>
      <c r="B30" t="s">
        <v>58</v>
      </c>
      <c r="C30">
        <v>0</v>
      </c>
      <c r="D30">
        <v>9.875931978225708</v>
      </c>
      <c r="E30">
        <v>1</v>
      </c>
      <c r="F30">
        <v>1</v>
      </c>
      <c r="G30">
        <v>1</v>
      </c>
      <c r="H30">
        <v>1</v>
      </c>
      <c r="I30">
        <v>0</v>
      </c>
      <c r="J30">
        <v>1</v>
      </c>
      <c r="K30">
        <v>1</v>
      </c>
      <c r="L30">
        <v>1</v>
      </c>
      <c r="M30">
        <v>1</v>
      </c>
      <c r="N30">
        <v>1</v>
      </c>
      <c r="O30">
        <v>1</v>
      </c>
      <c r="P30" t="s">
        <v>523</v>
      </c>
    </row>
    <row r="31" spans="1:16" x14ac:dyDescent="0.25">
      <c r="A31" t="s">
        <v>16</v>
      </c>
      <c r="B31" t="s">
        <v>60</v>
      </c>
      <c r="C31">
        <v>0</v>
      </c>
      <c r="D31">
        <v>11.35631537437439</v>
      </c>
      <c r="E31">
        <v>1</v>
      </c>
      <c r="F31">
        <v>1</v>
      </c>
      <c r="G31">
        <v>1</v>
      </c>
      <c r="H31">
        <v>0</v>
      </c>
      <c r="I31">
        <v>1</v>
      </c>
      <c r="J31">
        <v>1</v>
      </c>
      <c r="K31">
        <v>1</v>
      </c>
      <c r="L31">
        <v>1</v>
      </c>
      <c r="M31">
        <v>1</v>
      </c>
      <c r="N31">
        <v>1</v>
      </c>
      <c r="O31">
        <v>1</v>
      </c>
      <c r="P31" t="s">
        <v>524</v>
      </c>
    </row>
    <row r="32" spans="1:16" x14ac:dyDescent="0.25">
      <c r="A32" t="s">
        <v>16</v>
      </c>
      <c r="B32" t="s">
        <v>62</v>
      </c>
      <c r="C32">
        <v>0</v>
      </c>
      <c r="D32">
        <v>11.963971376419069</v>
      </c>
      <c r="E32">
        <v>0</v>
      </c>
      <c r="F32" t="s">
        <v>19</v>
      </c>
      <c r="G32" t="s">
        <v>19</v>
      </c>
      <c r="H32" t="s">
        <v>19</v>
      </c>
      <c r="I32" t="s">
        <v>19</v>
      </c>
      <c r="J32" t="s">
        <v>19</v>
      </c>
      <c r="K32" t="s">
        <v>19</v>
      </c>
      <c r="L32" t="s">
        <v>19</v>
      </c>
      <c r="M32" t="s">
        <v>19</v>
      </c>
      <c r="N32" t="s">
        <v>19</v>
      </c>
      <c r="O32" t="s">
        <v>19</v>
      </c>
      <c r="P32" t="s">
        <v>525</v>
      </c>
    </row>
    <row r="33" spans="1:16" x14ac:dyDescent="0.25">
      <c r="A33" t="s">
        <v>16</v>
      </c>
      <c r="B33" t="s">
        <v>64</v>
      </c>
      <c r="C33">
        <v>0</v>
      </c>
      <c r="D33">
        <v>2.776627779006958</v>
      </c>
      <c r="E33">
        <v>1</v>
      </c>
      <c r="F33">
        <v>1</v>
      </c>
      <c r="G33">
        <v>1</v>
      </c>
      <c r="H33">
        <v>1</v>
      </c>
      <c r="I33">
        <v>1</v>
      </c>
      <c r="J33">
        <v>1</v>
      </c>
      <c r="K33">
        <v>1</v>
      </c>
      <c r="L33">
        <v>1</v>
      </c>
      <c r="M33">
        <v>1</v>
      </c>
      <c r="N33">
        <v>1</v>
      </c>
      <c r="O33">
        <v>1</v>
      </c>
    </row>
    <row r="34" spans="1:16" x14ac:dyDescent="0.25">
      <c r="A34" t="s">
        <v>16</v>
      </c>
      <c r="B34" t="s">
        <v>65</v>
      </c>
      <c r="C34">
        <v>0</v>
      </c>
      <c r="D34">
        <v>8.6345546245574951</v>
      </c>
      <c r="E34">
        <v>0</v>
      </c>
      <c r="F34" t="s">
        <v>19</v>
      </c>
      <c r="G34" t="s">
        <v>19</v>
      </c>
      <c r="H34" t="s">
        <v>19</v>
      </c>
      <c r="I34" t="s">
        <v>19</v>
      </c>
      <c r="J34" t="s">
        <v>19</v>
      </c>
      <c r="K34" t="s">
        <v>19</v>
      </c>
      <c r="L34" t="s">
        <v>19</v>
      </c>
      <c r="M34" t="s">
        <v>19</v>
      </c>
      <c r="N34" t="s">
        <v>19</v>
      </c>
      <c r="O34" t="s">
        <v>19</v>
      </c>
      <c r="P34" t="s">
        <v>526</v>
      </c>
    </row>
    <row r="35" spans="1:16" x14ac:dyDescent="0.25">
      <c r="A35" t="s">
        <v>16</v>
      </c>
      <c r="B35" t="s">
        <v>67</v>
      </c>
      <c r="C35">
        <v>0</v>
      </c>
      <c r="D35">
        <v>10.033899545669559</v>
      </c>
      <c r="E35">
        <v>1</v>
      </c>
      <c r="F35">
        <v>1</v>
      </c>
      <c r="G35">
        <v>0</v>
      </c>
      <c r="H35" t="s">
        <v>19</v>
      </c>
      <c r="I35">
        <v>1</v>
      </c>
      <c r="J35">
        <v>1</v>
      </c>
      <c r="K35">
        <v>1</v>
      </c>
      <c r="L35">
        <v>1</v>
      </c>
      <c r="M35">
        <v>1</v>
      </c>
      <c r="N35">
        <v>1</v>
      </c>
      <c r="O35">
        <v>1</v>
      </c>
      <c r="P35" t="s">
        <v>527</v>
      </c>
    </row>
    <row r="36" spans="1:16" x14ac:dyDescent="0.25">
      <c r="A36" t="s">
        <v>16</v>
      </c>
      <c r="B36" t="s">
        <v>69</v>
      </c>
      <c r="C36">
        <v>0</v>
      </c>
      <c r="D36">
        <v>2.796617984771729</v>
      </c>
      <c r="E36">
        <v>1</v>
      </c>
      <c r="F36">
        <v>1</v>
      </c>
      <c r="G36">
        <v>1</v>
      </c>
      <c r="H36">
        <v>1</v>
      </c>
      <c r="I36">
        <v>1</v>
      </c>
      <c r="J36">
        <v>1</v>
      </c>
      <c r="K36">
        <v>1</v>
      </c>
      <c r="L36">
        <v>1</v>
      </c>
      <c r="M36">
        <v>1</v>
      </c>
      <c r="N36">
        <v>1</v>
      </c>
      <c r="O36">
        <v>1</v>
      </c>
    </row>
    <row r="37" spans="1:16" x14ac:dyDescent="0.25">
      <c r="A37" t="s">
        <v>16</v>
      </c>
      <c r="B37" t="s">
        <v>70</v>
      </c>
      <c r="C37">
        <v>0</v>
      </c>
      <c r="D37">
        <v>11.02986311912537</v>
      </c>
      <c r="E37">
        <v>1</v>
      </c>
      <c r="F37">
        <v>1</v>
      </c>
      <c r="G37">
        <v>1</v>
      </c>
      <c r="H37">
        <v>1</v>
      </c>
      <c r="I37">
        <v>1</v>
      </c>
      <c r="J37">
        <v>1</v>
      </c>
      <c r="K37">
        <v>1</v>
      </c>
      <c r="L37">
        <v>1</v>
      </c>
      <c r="M37">
        <v>1</v>
      </c>
      <c r="N37">
        <v>1</v>
      </c>
      <c r="O37">
        <v>1</v>
      </c>
    </row>
    <row r="38" spans="1:16" x14ac:dyDescent="0.25">
      <c r="A38" t="s">
        <v>16</v>
      </c>
      <c r="B38" t="s">
        <v>71</v>
      </c>
      <c r="C38">
        <v>0</v>
      </c>
      <c r="D38">
        <v>2.7114109992980961</v>
      </c>
      <c r="E38">
        <v>1</v>
      </c>
      <c r="F38">
        <v>1</v>
      </c>
      <c r="G38">
        <v>1</v>
      </c>
      <c r="H38">
        <v>1</v>
      </c>
      <c r="I38">
        <v>1</v>
      </c>
      <c r="J38">
        <v>1</v>
      </c>
      <c r="K38">
        <v>1</v>
      </c>
      <c r="L38">
        <v>1</v>
      </c>
      <c r="M38">
        <v>1</v>
      </c>
      <c r="N38">
        <v>1</v>
      </c>
      <c r="O38">
        <v>1</v>
      </c>
    </row>
    <row r="39" spans="1:16" x14ac:dyDescent="0.25">
      <c r="A39" t="s">
        <v>16</v>
      </c>
      <c r="B39" t="s">
        <v>72</v>
      </c>
      <c r="C39">
        <v>0</v>
      </c>
      <c r="D39">
        <v>3.837893962860107</v>
      </c>
      <c r="E39">
        <v>1</v>
      </c>
      <c r="F39">
        <v>1</v>
      </c>
      <c r="G39">
        <v>1</v>
      </c>
      <c r="H39">
        <v>1</v>
      </c>
      <c r="I39">
        <v>0</v>
      </c>
      <c r="J39">
        <v>1</v>
      </c>
      <c r="K39">
        <v>1</v>
      </c>
      <c r="L39">
        <v>1</v>
      </c>
      <c r="M39">
        <v>1</v>
      </c>
      <c r="N39">
        <v>1</v>
      </c>
      <c r="O39">
        <v>1</v>
      </c>
      <c r="P39" t="s">
        <v>528</v>
      </c>
    </row>
    <row r="40" spans="1:16" x14ac:dyDescent="0.25">
      <c r="A40" t="s">
        <v>16</v>
      </c>
      <c r="B40" t="s">
        <v>74</v>
      </c>
      <c r="C40">
        <v>0</v>
      </c>
      <c r="D40">
        <v>9.0942306518554688</v>
      </c>
      <c r="E40">
        <v>0</v>
      </c>
      <c r="F40" t="s">
        <v>19</v>
      </c>
      <c r="G40" t="s">
        <v>19</v>
      </c>
      <c r="H40" t="s">
        <v>19</v>
      </c>
      <c r="I40" t="s">
        <v>19</v>
      </c>
      <c r="J40" t="s">
        <v>19</v>
      </c>
      <c r="K40" t="s">
        <v>19</v>
      </c>
      <c r="L40" t="s">
        <v>19</v>
      </c>
      <c r="M40" t="s">
        <v>19</v>
      </c>
      <c r="N40" t="s">
        <v>19</v>
      </c>
      <c r="O40" t="s">
        <v>19</v>
      </c>
      <c r="P40" t="s">
        <v>529</v>
      </c>
    </row>
    <row r="41" spans="1:16" x14ac:dyDescent="0.25">
      <c r="A41" t="s">
        <v>16</v>
      </c>
      <c r="B41" t="s">
        <v>76</v>
      </c>
      <c r="C41">
        <v>0</v>
      </c>
      <c r="D41">
        <v>12.474157094955441</v>
      </c>
      <c r="E41">
        <v>0</v>
      </c>
      <c r="F41" t="s">
        <v>19</v>
      </c>
      <c r="G41" t="s">
        <v>19</v>
      </c>
      <c r="H41" t="s">
        <v>19</v>
      </c>
      <c r="I41" t="s">
        <v>19</v>
      </c>
      <c r="J41" t="s">
        <v>19</v>
      </c>
      <c r="K41" t="s">
        <v>19</v>
      </c>
      <c r="L41" t="s">
        <v>19</v>
      </c>
      <c r="M41" t="s">
        <v>19</v>
      </c>
      <c r="N41" t="s">
        <v>19</v>
      </c>
      <c r="O41" t="s">
        <v>19</v>
      </c>
      <c r="P41" t="s">
        <v>530</v>
      </c>
    </row>
    <row r="42" spans="1:16" x14ac:dyDescent="0.25">
      <c r="A42" t="s">
        <v>16</v>
      </c>
      <c r="B42" t="s">
        <v>78</v>
      </c>
      <c r="C42">
        <v>0</v>
      </c>
      <c r="D42">
        <v>9.3671610355377197</v>
      </c>
      <c r="E42">
        <v>1</v>
      </c>
      <c r="F42">
        <v>1</v>
      </c>
      <c r="G42">
        <v>0</v>
      </c>
      <c r="H42" t="s">
        <v>19</v>
      </c>
      <c r="I42">
        <v>1</v>
      </c>
      <c r="J42">
        <v>1</v>
      </c>
      <c r="K42">
        <v>1</v>
      </c>
      <c r="L42">
        <v>1</v>
      </c>
      <c r="M42">
        <v>0</v>
      </c>
      <c r="N42">
        <v>1</v>
      </c>
      <c r="O42">
        <v>1</v>
      </c>
      <c r="P42" t="s">
        <v>531</v>
      </c>
    </row>
    <row r="43" spans="1:16" x14ac:dyDescent="0.25">
      <c r="A43" t="s">
        <v>16</v>
      </c>
      <c r="B43" t="s">
        <v>80</v>
      </c>
      <c r="C43">
        <v>0</v>
      </c>
      <c r="D43">
        <v>2.681580543518066</v>
      </c>
      <c r="E43">
        <v>1</v>
      </c>
      <c r="F43">
        <v>1</v>
      </c>
      <c r="G43">
        <v>1</v>
      </c>
      <c r="H43">
        <v>1</v>
      </c>
      <c r="I43">
        <v>1</v>
      </c>
      <c r="J43">
        <v>1</v>
      </c>
      <c r="K43">
        <v>1</v>
      </c>
      <c r="L43">
        <v>1</v>
      </c>
      <c r="M43">
        <v>1</v>
      </c>
      <c r="N43">
        <v>1</v>
      </c>
      <c r="O43">
        <v>1</v>
      </c>
    </row>
    <row r="44" spans="1:16" x14ac:dyDescent="0.25">
      <c r="A44" t="s">
        <v>16</v>
      </c>
      <c r="B44" t="s">
        <v>81</v>
      </c>
      <c r="C44">
        <v>0</v>
      </c>
      <c r="D44">
        <v>4.8882651329040527</v>
      </c>
      <c r="E44">
        <v>1</v>
      </c>
      <c r="F44">
        <v>1</v>
      </c>
      <c r="G44">
        <v>1</v>
      </c>
      <c r="H44">
        <v>0</v>
      </c>
      <c r="I44">
        <v>1</v>
      </c>
      <c r="J44">
        <v>1</v>
      </c>
      <c r="K44">
        <v>1</v>
      </c>
      <c r="L44">
        <v>1</v>
      </c>
      <c r="M44">
        <v>1</v>
      </c>
      <c r="N44">
        <v>1</v>
      </c>
      <c r="O44">
        <v>1</v>
      </c>
      <c r="P44" t="s">
        <v>532</v>
      </c>
    </row>
    <row r="45" spans="1:16" x14ac:dyDescent="0.25">
      <c r="A45" t="s">
        <v>16</v>
      </c>
      <c r="B45" t="s">
        <v>83</v>
      </c>
      <c r="C45">
        <v>0</v>
      </c>
      <c r="D45">
        <v>4.9245893955230713</v>
      </c>
      <c r="E45">
        <v>1</v>
      </c>
      <c r="F45">
        <v>1</v>
      </c>
      <c r="G45">
        <v>0</v>
      </c>
      <c r="H45" t="s">
        <v>19</v>
      </c>
      <c r="I45">
        <v>1</v>
      </c>
      <c r="J45">
        <v>1</v>
      </c>
      <c r="K45">
        <v>1</v>
      </c>
      <c r="L45">
        <v>1</v>
      </c>
      <c r="M45">
        <v>1</v>
      </c>
      <c r="N45">
        <v>1</v>
      </c>
      <c r="O45">
        <v>1</v>
      </c>
      <c r="P45" t="s">
        <v>533</v>
      </c>
    </row>
    <row r="46" spans="1:16" x14ac:dyDescent="0.25">
      <c r="A46" t="s">
        <v>16</v>
      </c>
      <c r="B46" t="s">
        <v>85</v>
      </c>
      <c r="C46">
        <v>0</v>
      </c>
      <c r="D46">
        <v>10.78405499458313</v>
      </c>
      <c r="E46">
        <v>1</v>
      </c>
      <c r="F46">
        <v>1</v>
      </c>
      <c r="G46">
        <v>0</v>
      </c>
      <c r="H46" t="s">
        <v>19</v>
      </c>
      <c r="I46">
        <v>1</v>
      </c>
      <c r="J46">
        <v>0</v>
      </c>
      <c r="K46">
        <v>0</v>
      </c>
      <c r="L46">
        <v>1</v>
      </c>
      <c r="M46">
        <v>1</v>
      </c>
      <c r="N46">
        <v>1</v>
      </c>
      <c r="O46">
        <v>1</v>
      </c>
      <c r="P46" t="s">
        <v>534</v>
      </c>
    </row>
    <row r="47" spans="1:16" x14ac:dyDescent="0.25">
      <c r="A47" t="s">
        <v>16</v>
      </c>
      <c r="B47" t="s">
        <v>87</v>
      </c>
      <c r="C47">
        <v>0</v>
      </c>
      <c r="D47">
        <v>11.535320043563839</v>
      </c>
      <c r="E47">
        <v>1</v>
      </c>
      <c r="F47">
        <v>1</v>
      </c>
      <c r="G47">
        <v>1</v>
      </c>
      <c r="H47">
        <v>1</v>
      </c>
      <c r="I47">
        <v>1</v>
      </c>
      <c r="J47">
        <v>0</v>
      </c>
      <c r="K47">
        <v>1</v>
      </c>
      <c r="L47">
        <v>1</v>
      </c>
      <c r="M47">
        <v>1</v>
      </c>
      <c r="N47">
        <v>1</v>
      </c>
      <c r="O47">
        <v>1</v>
      </c>
      <c r="P47" t="s">
        <v>535</v>
      </c>
    </row>
    <row r="48" spans="1:16" x14ac:dyDescent="0.25">
      <c r="A48" t="s">
        <v>16</v>
      </c>
      <c r="B48" t="s">
        <v>89</v>
      </c>
      <c r="C48">
        <v>0</v>
      </c>
      <c r="D48">
        <v>4.7045726776123047</v>
      </c>
      <c r="E48">
        <v>1</v>
      </c>
      <c r="F48">
        <v>1</v>
      </c>
      <c r="G48">
        <v>1</v>
      </c>
      <c r="H48">
        <v>1</v>
      </c>
      <c r="I48">
        <v>1</v>
      </c>
      <c r="J48">
        <v>0</v>
      </c>
      <c r="K48">
        <v>1</v>
      </c>
      <c r="L48">
        <v>1</v>
      </c>
      <c r="M48">
        <v>1</v>
      </c>
      <c r="N48">
        <v>1</v>
      </c>
      <c r="O48">
        <v>1</v>
      </c>
      <c r="P48" t="s">
        <v>536</v>
      </c>
    </row>
    <row r="49" spans="1:16" x14ac:dyDescent="0.25">
      <c r="A49" t="s">
        <v>16</v>
      </c>
      <c r="B49" t="s">
        <v>91</v>
      </c>
      <c r="C49">
        <v>0</v>
      </c>
      <c r="D49">
        <v>14.99663615226746</v>
      </c>
      <c r="E49">
        <v>0</v>
      </c>
      <c r="F49" t="s">
        <v>19</v>
      </c>
      <c r="G49" t="s">
        <v>19</v>
      </c>
      <c r="H49" t="s">
        <v>19</v>
      </c>
      <c r="I49" t="s">
        <v>19</v>
      </c>
      <c r="J49" t="s">
        <v>19</v>
      </c>
      <c r="K49" t="s">
        <v>19</v>
      </c>
      <c r="L49" t="s">
        <v>19</v>
      </c>
      <c r="M49" t="s">
        <v>19</v>
      </c>
      <c r="N49" t="s">
        <v>19</v>
      </c>
      <c r="O49" t="s">
        <v>19</v>
      </c>
      <c r="P49" t="s">
        <v>537</v>
      </c>
    </row>
    <row r="50" spans="1:16" x14ac:dyDescent="0.25">
      <c r="A50" t="s">
        <v>16</v>
      </c>
      <c r="B50" t="s">
        <v>93</v>
      </c>
      <c r="C50">
        <v>0</v>
      </c>
      <c r="D50">
        <v>8.534022331237793</v>
      </c>
      <c r="E50">
        <v>1</v>
      </c>
      <c r="F50">
        <v>1</v>
      </c>
      <c r="G50">
        <v>1</v>
      </c>
      <c r="H50">
        <v>1</v>
      </c>
      <c r="I50">
        <v>1</v>
      </c>
      <c r="J50">
        <v>1</v>
      </c>
      <c r="K50">
        <v>1</v>
      </c>
      <c r="L50">
        <v>1</v>
      </c>
      <c r="M50">
        <v>1</v>
      </c>
      <c r="N50">
        <v>1</v>
      </c>
      <c r="O50">
        <v>1</v>
      </c>
    </row>
    <row r="51" spans="1:16" x14ac:dyDescent="0.25">
      <c r="A51" t="s">
        <v>94</v>
      </c>
      <c r="B51" t="s">
        <v>17</v>
      </c>
      <c r="C51">
        <v>0</v>
      </c>
      <c r="D51">
        <v>5.7415072917938232</v>
      </c>
      <c r="E51">
        <v>1</v>
      </c>
      <c r="F51">
        <v>1</v>
      </c>
      <c r="G51">
        <v>1</v>
      </c>
      <c r="H51">
        <v>1</v>
      </c>
      <c r="I51">
        <v>1</v>
      </c>
      <c r="J51">
        <v>0</v>
      </c>
      <c r="K51">
        <v>1</v>
      </c>
      <c r="L51">
        <v>1</v>
      </c>
      <c r="M51">
        <v>1</v>
      </c>
      <c r="N51">
        <v>1</v>
      </c>
      <c r="O51">
        <v>1</v>
      </c>
      <c r="P51" t="s">
        <v>538</v>
      </c>
    </row>
    <row r="52" spans="1:16" x14ac:dyDescent="0.25">
      <c r="A52" t="s">
        <v>94</v>
      </c>
      <c r="B52" t="s">
        <v>18</v>
      </c>
      <c r="C52">
        <v>0</v>
      </c>
      <c r="D52">
        <v>7.4905741214752197</v>
      </c>
      <c r="E52">
        <v>1</v>
      </c>
      <c r="F52">
        <v>0</v>
      </c>
      <c r="G52">
        <v>1</v>
      </c>
      <c r="H52" t="s">
        <v>19</v>
      </c>
      <c r="I52">
        <v>1</v>
      </c>
      <c r="J52" t="s">
        <v>19</v>
      </c>
      <c r="K52">
        <v>1</v>
      </c>
      <c r="L52">
        <v>1</v>
      </c>
      <c r="M52">
        <v>1</v>
      </c>
      <c r="N52">
        <v>1</v>
      </c>
      <c r="O52">
        <v>1</v>
      </c>
      <c r="P52" t="s">
        <v>539</v>
      </c>
    </row>
    <row r="53" spans="1:16" x14ac:dyDescent="0.25">
      <c r="A53" t="s">
        <v>94</v>
      </c>
      <c r="B53" t="s">
        <v>21</v>
      </c>
      <c r="C53">
        <v>0</v>
      </c>
      <c r="D53">
        <v>6.6764047145843506</v>
      </c>
      <c r="E53">
        <v>1</v>
      </c>
      <c r="F53">
        <v>1</v>
      </c>
      <c r="G53">
        <v>1</v>
      </c>
      <c r="H53">
        <v>1</v>
      </c>
      <c r="I53">
        <v>1</v>
      </c>
      <c r="J53">
        <v>1</v>
      </c>
      <c r="K53">
        <v>0</v>
      </c>
      <c r="L53">
        <v>1</v>
      </c>
      <c r="M53">
        <v>1</v>
      </c>
      <c r="N53">
        <v>1</v>
      </c>
      <c r="O53">
        <v>1</v>
      </c>
      <c r="P53" t="s">
        <v>540</v>
      </c>
    </row>
    <row r="54" spans="1:16" x14ac:dyDescent="0.25">
      <c r="A54" t="s">
        <v>94</v>
      </c>
      <c r="B54" t="s">
        <v>23</v>
      </c>
      <c r="C54">
        <v>0</v>
      </c>
      <c r="D54">
        <v>9.1433334350585938</v>
      </c>
      <c r="E54">
        <v>1</v>
      </c>
      <c r="F54">
        <v>1</v>
      </c>
      <c r="G54">
        <v>1</v>
      </c>
      <c r="H54">
        <v>1</v>
      </c>
      <c r="I54">
        <v>1</v>
      </c>
      <c r="J54">
        <v>1</v>
      </c>
      <c r="K54">
        <v>1</v>
      </c>
      <c r="L54">
        <v>1</v>
      </c>
      <c r="M54">
        <v>1</v>
      </c>
      <c r="N54">
        <v>1</v>
      </c>
      <c r="O54">
        <v>1</v>
      </c>
    </row>
    <row r="55" spans="1:16" x14ac:dyDescent="0.25">
      <c r="A55" t="s">
        <v>94</v>
      </c>
      <c r="B55" t="s">
        <v>24</v>
      </c>
      <c r="C55">
        <v>0</v>
      </c>
      <c r="D55">
        <v>8.6878421306610107</v>
      </c>
      <c r="E55">
        <v>1</v>
      </c>
      <c r="F55">
        <v>1</v>
      </c>
      <c r="G55">
        <v>1</v>
      </c>
      <c r="H55">
        <v>1</v>
      </c>
      <c r="I55">
        <v>1</v>
      </c>
      <c r="J55">
        <v>1</v>
      </c>
      <c r="K55">
        <v>1</v>
      </c>
      <c r="L55">
        <v>1</v>
      </c>
      <c r="M55">
        <v>1</v>
      </c>
      <c r="N55">
        <v>1</v>
      </c>
      <c r="O55">
        <v>1</v>
      </c>
    </row>
    <row r="56" spans="1:16" x14ac:dyDescent="0.25">
      <c r="A56" t="s">
        <v>94</v>
      </c>
      <c r="B56" t="s">
        <v>25</v>
      </c>
      <c r="C56">
        <v>0</v>
      </c>
      <c r="D56">
        <v>11.3582444190979</v>
      </c>
      <c r="E56">
        <v>1</v>
      </c>
      <c r="F56">
        <v>1</v>
      </c>
      <c r="G56">
        <v>1</v>
      </c>
      <c r="H56">
        <v>1</v>
      </c>
      <c r="I56">
        <v>1</v>
      </c>
      <c r="J56">
        <v>0</v>
      </c>
      <c r="K56">
        <v>1</v>
      </c>
      <c r="L56">
        <v>1</v>
      </c>
      <c r="M56">
        <v>1</v>
      </c>
      <c r="N56">
        <v>1</v>
      </c>
      <c r="O56">
        <v>1</v>
      </c>
      <c r="P56" t="s">
        <v>541</v>
      </c>
    </row>
    <row r="57" spans="1:16" x14ac:dyDescent="0.25">
      <c r="A57" t="s">
        <v>94</v>
      </c>
      <c r="B57" t="s">
        <v>27</v>
      </c>
      <c r="C57">
        <v>0</v>
      </c>
      <c r="D57">
        <v>11.838924407958981</v>
      </c>
      <c r="E57">
        <v>1</v>
      </c>
      <c r="F57">
        <v>1</v>
      </c>
      <c r="G57">
        <v>1</v>
      </c>
      <c r="H57">
        <v>1</v>
      </c>
      <c r="I57">
        <v>1</v>
      </c>
      <c r="J57">
        <v>0</v>
      </c>
      <c r="K57">
        <v>1</v>
      </c>
      <c r="L57">
        <v>1</v>
      </c>
      <c r="M57">
        <v>1</v>
      </c>
      <c r="N57">
        <v>1</v>
      </c>
      <c r="O57">
        <v>1</v>
      </c>
      <c r="P57" t="s">
        <v>542</v>
      </c>
    </row>
    <row r="58" spans="1:16" x14ac:dyDescent="0.25">
      <c r="A58" t="s">
        <v>94</v>
      </c>
      <c r="B58" t="s">
        <v>28</v>
      </c>
      <c r="C58">
        <v>0</v>
      </c>
      <c r="D58">
        <v>5.2391135692596444</v>
      </c>
      <c r="E58">
        <v>1</v>
      </c>
      <c r="F58">
        <v>1</v>
      </c>
      <c r="G58">
        <v>1</v>
      </c>
      <c r="H58">
        <v>1</v>
      </c>
      <c r="I58">
        <v>0</v>
      </c>
      <c r="J58">
        <v>0</v>
      </c>
      <c r="K58">
        <v>1</v>
      </c>
      <c r="L58">
        <v>1</v>
      </c>
      <c r="M58">
        <v>1</v>
      </c>
      <c r="N58">
        <v>1</v>
      </c>
      <c r="O58">
        <v>1</v>
      </c>
      <c r="P58" t="s">
        <v>543</v>
      </c>
    </row>
    <row r="59" spans="1:16" x14ac:dyDescent="0.25">
      <c r="A59" t="s">
        <v>94</v>
      </c>
      <c r="B59" t="s">
        <v>29</v>
      </c>
      <c r="C59">
        <v>0</v>
      </c>
      <c r="D59">
        <v>5.5002901554107666</v>
      </c>
      <c r="E59">
        <v>1</v>
      </c>
      <c r="F59">
        <v>1</v>
      </c>
      <c r="G59">
        <v>1</v>
      </c>
      <c r="H59">
        <v>1</v>
      </c>
      <c r="I59">
        <v>0</v>
      </c>
      <c r="J59">
        <v>1</v>
      </c>
      <c r="K59">
        <v>0</v>
      </c>
      <c r="L59">
        <v>1</v>
      </c>
      <c r="M59">
        <v>1</v>
      </c>
      <c r="N59">
        <v>1</v>
      </c>
      <c r="O59">
        <v>1</v>
      </c>
      <c r="P59" t="s">
        <v>544</v>
      </c>
    </row>
    <row r="60" spans="1:16" x14ac:dyDescent="0.25">
      <c r="A60" t="s">
        <v>94</v>
      </c>
      <c r="B60" t="s">
        <v>30</v>
      </c>
      <c r="C60">
        <v>0</v>
      </c>
      <c r="D60">
        <v>10.99028253555298</v>
      </c>
      <c r="E60">
        <v>1</v>
      </c>
      <c r="F60">
        <v>1</v>
      </c>
      <c r="G60">
        <v>1</v>
      </c>
      <c r="H60">
        <v>0</v>
      </c>
      <c r="I60">
        <v>1</v>
      </c>
      <c r="J60">
        <v>1</v>
      </c>
      <c r="K60">
        <v>0</v>
      </c>
      <c r="L60">
        <v>1</v>
      </c>
      <c r="M60">
        <v>1</v>
      </c>
      <c r="N60">
        <v>1</v>
      </c>
      <c r="O60">
        <v>1</v>
      </c>
      <c r="P60" t="s">
        <v>545</v>
      </c>
    </row>
    <row r="61" spans="1:16" x14ac:dyDescent="0.25">
      <c r="A61" t="s">
        <v>94</v>
      </c>
      <c r="B61" t="s">
        <v>31</v>
      </c>
      <c r="C61">
        <v>0</v>
      </c>
      <c r="D61">
        <v>6.691631555557251</v>
      </c>
      <c r="E61">
        <v>1</v>
      </c>
      <c r="F61">
        <v>1</v>
      </c>
      <c r="G61">
        <v>1</v>
      </c>
      <c r="H61">
        <v>1</v>
      </c>
      <c r="I61">
        <v>1</v>
      </c>
      <c r="J61">
        <v>1</v>
      </c>
      <c r="K61">
        <v>1</v>
      </c>
      <c r="L61">
        <v>0</v>
      </c>
      <c r="M61">
        <v>1</v>
      </c>
      <c r="N61">
        <v>1</v>
      </c>
      <c r="O61">
        <v>1</v>
      </c>
      <c r="P61" t="s">
        <v>546</v>
      </c>
    </row>
    <row r="62" spans="1:16" x14ac:dyDescent="0.25">
      <c r="A62" t="s">
        <v>94</v>
      </c>
      <c r="B62" t="s">
        <v>32</v>
      </c>
      <c r="C62">
        <v>0</v>
      </c>
      <c r="D62">
        <v>5.7410669326782227</v>
      </c>
      <c r="E62">
        <v>0</v>
      </c>
      <c r="F62" t="s">
        <v>19</v>
      </c>
      <c r="G62" t="s">
        <v>19</v>
      </c>
      <c r="H62" t="s">
        <v>19</v>
      </c>
      <c r="I62" t="s">
        <v>19</v>
      </c>
      <c r="J62" t="s">
        <v>19</v>
      </c>
      <c r="K62" t="s">
        <v>19</v>
      </c>
      <c r="L62" t="s">
        <v>19</v>
      </c>
      <c r="M62" t="s">
        <v>19</v>
      </c>
      <c r="N62" t="s">
        <v>19</v>
      </c>
      <c r="O62" t="s">
        <v>19</v>
      </c>
      <c r="P62" t="s">
        <v>547</v>
      </c>
    </row>
    <row r="63" spans="1:16" x14ac:dyDescent="0.25">
      <c r="A63" t="s">
        <v>94</v>
      </c>
      <c r="B63" t="s">
        <v>33</v>
      </c>
      <c r="C63">
        <v>0</v>
      </c>
      <c r="D63">
        <v>10.873083829879761</v>
      </c>
      <c r="E63">
        <v>1</v>
      </c>
      <c r="F63">
        <v>1</v>
      </c>
      <c r="G63">
        <v>1</v>
      </c>
      <c r="H63">
        <v>1</v>
      </c>
      <c r="I63">
        <v>1</v>
      </c>
      <c r="J63">
        <v>1</v>
      </c>
      <c r="K63">
        <v>1</v>
      </c>
      <c r="L63">
        <v>1</v>
      </c>
      <c r="M63">
        <v>1</v>
      </c>
      <c r="N63">
        <v>1</v>
      </c>
      <c r="O63">
        <v>1</v>
      </c>
    </row>
    <row r="64" spans="1:16" x14ac:dyDescent="0.25">
      <c r="A64" t="s">
        <v>94</v>
      </c>
      <c r="B64" t="s">
        <v>35</v>
      </c>
      <c r="C64">
        <v>0</v>
      </c>
      <c r="D64">
        <v>4.6189708709716797</v>
      </c>
      <c r="E64">
        <v>1</v>
      </c>
      <c r="F64">
        <v>1</v>
      </c>
      <c r="G64">
        <v>1</v>
      </c>
      <c r="H64">
        <v>0</v>
      </c>
      <c r="I64">
        <v>1</v>
      </c>
      <c r="J64">
        <v>1</v>
      </c>
      <c r="K64">
        <v>1</v>
      </c>
      <c r="L64">
        <v>1</v>
      </c>
      <c r="M64">
        <v>1</v>
      </c>
      <c r="N64">
        <v>1</v>
      </c>
      <c r="O64">
        <v>1</v>
      </c>
      <c r="P64" t="s">
        <v>104</v>
      </c>
    </row>
    <row r="65" spans="1:16" x14ac:dyDescent="0.25">
      <c r="A65" t="s">
        <v>94</v>
      </c>
      <c r="B65" t="s">
        <v>36</v>
      </c>
      <c r="C65">
        <v>0</v>
      </c>
      <c r="D65">
        <v>10.27255201339722</v>
      </c>
      <c r="E65">
        <v>1</v>
      </c>
      <c r="F65">
        <v>1</v>
      </c>
      <c r="G65">
        <v>1</v>
      </c>
      <c r="H65">
        <v>1</v>
      </c>
      <c r="I65">
        <v>1</v>
      </c>
      <c r="J65">
        <v>1</v>
      </c>
      <c r="K65">
        <v>1</v>
      </c>
      <c r="L65">
        <v>1</v>
      </c>
      <c r="M65">
        <v>1</v>
      </c>
      <c r="N65">
        <v>1</v>
      </c>
      <c r="O65">
        <v>1</v>
      </c>
    </row>
    <row r="66" spans="1:16" x14ac:dyDescent="0.25">
      <c r="A66" t="s">
        <v>94</v>
      </c>
      <c r="B66" t="s">
        <v>37</v>
      </c>
      <c r="C66">
        <v>0</v>
      </c>
      <c r="D66">
        <v>2.7180023193359379</v>
      </c>
      <c r="E66">
        <v>1</v>
      </c>
      <c r="F66">
        <v>1</v>
      </c>
      <c r="G66">
        <v>1</v>
      </c>
      <c r="H66">
        <v>1</v>
      </c>
      <c r="I66">
        <v>1</v>
      </c>
      <c r="J66">
        <v>1</v>
      </c>
      <c r="K66">
        <v>1</v>
      </c>
      <c r="L66">
        <v>1</v>
      </c>
      <c r="M66">
        <v>1</v>
      </c>
      <c r="N66">
        <v>1</v>
      </c>
      <c r="O66">
        <v>1</v>
      </c>
    </row>
    <row r="67" spans="1:16" x14ac:dyDescent="0.25">
      <c r="A67" t="s">
        <v>94</v>
      </c>
      <c r="B67" t="s">
        <v>39</v>
      </c>
      <c r="C67">
        <v>0</v>
      </c>
      <c r="D67">
        <v>9.9166667461395264</v>
      </c>
      <c r="E67">
        <v>1</v>
      </c>
      <c r="F67">
        <v>1</v>
      </c>
      <c r="G67">
        <v>1</v>
      </c>
      <c r="H67">
        <v>1</v>
      </c>
      <c r="I67">
        <v>1</v>
      </c>
      <c r="J67">
        <v>1</v>
      </c>
      <c r="K67">
        <v>1</v>
      </c>
      <c r="L67">
        <v>1</v>
      </c>
      <c r="M67">
        <v>1</v>
      </c>
      <c r="N67">
        <v>1</v>
      </c>
      <c r="O67">
        <v>1</v>
      </c>
    </row>
    <row r="68" spans="1:16" x14ac:dyDescent="0.25">
      <c r="A68" t="s">
        <v>94</v>
      </c>
      <c r="B68" t="s">
        <v>40</v>
      </c>
      <c r="C68">
        <v>0</v>
      </c>
      <c r="D68">
        <v>9.7558574676513672</v>
      </c>
      <c r="E68">
        <v>1</v>
      </c>
      <c r="F68">
        <v>1</v>
      </c>
      <c r="G68">
        <v>1</v>
      </c>
      <c r="H68">
        <v>1</v>
      </c>
      <c r="I68">
        <v>1</v>
      </c>
      <c r="J68">
        <v>1</v>
      </c>
      <c r="K68">
        <v>1</v>
      </c>
      <c r="L68">
        <v>1</v>
      </c>
      <c r="M68">
        <v>1</v>
      </c>
      <c r="N68">
        <v>1</v>
      </c>
      <c r="O68">
        <v>1</v>
      </c>
    </row>
    <row r="69" spans="1:16" x14ac:dyDescent="0.25">
      <c r="A69" t="s">
        <v>94</v>
      </c>
      <c r="B69" t="s">
        <v>41</v>
      </c>
      <c r="C69">
        <v>0</v>
      </c>
      <c r="D69">
        <v>9.2426660060882568</v>
      </c>
      <c r="E69">
        <v>1</v>
      </c>
      <c r="F69">
        <v>1</v>
      </c>
      <c r="G69">
        <v>1</v>
      </c>
      <c r="H69">
        <v>1</v>
      </c>
      <c r="I69">
        <v>1</v>
      </c>
      <c r="J69">
        <v>1</v>
      </c>
      <c r="K69">
        <v>1</v>
      </c>
      <c r="L69">
        <v>1</v>
      </c>
      <c r="M69">
        <v>1</v>
      </c>
      <c r="N69">
        <v>1</v>
      </c>
      <c r="O69">
        <v>1</v>
      </c>
    </row>
    <row r="70" spans="1:16" x14ac:dyDescent="0.25">
      <c r="A70" t="s">
        <v>94</v>
      </c>
      <c r="B70" t="s">
        <v>42</v>
      </c>
      <c r="C70">
        <v>0</v>
      </c>
      <c r="D70">
        <v>8.8443889617919922</v>
      </c>
      <c r="E70">
        <v>1</v>
      </c>
      <c r="F70">
        <v>1</v>
      </c>
      <c r="G70">
        <v>1</v>
      </c>
      <c r="H70">
        <v>1</v>
      </c>
      <c r="I70">
        <v>1</v>
      </c>
      <c r="J70">
        <v>1</v>
      </c>
      <c r="K70">
        <v>1</v>
      </c>
      <c r="L70">
        <v>1</v>
      </c>
      <c r="M70">
        <v>1</v>
      </c>
      <c r="N70">
        <v>1</v>
      </c>
      <c r="O70">
        <v>1</v>
      </c>
    </row>
    <row r="71" spans="1:16" x14ac:dyDescent="0.25">
      <c r="A71" t="s">
        <v>94</v>
      </c>
      <c r="B71" t="s">
        <v>44</v>
      </c>
      <c r="C71">
        <v>0</v>
      </c>
      <c r="D71">
        <v>6.1511070728302002</v>
      </c>
      <c r="E71">
        <v>1</v>
      </c>
      <c r="F71">
        <v>1</v>
      </c>
      <c r="G71">
        <v>0</v>
      </c>
      <c r="H71" t="s">
        <v>19</v>
      </c>
      <c r="I71">
        <v>1</v>
      </c>
      <c r="J71">
        <v>1</v>
      </c>
      <c r="K71">
        <v>1</v>
      </c>
      <c r="L71">
        <v>1</v>
      </c>
      <c r="M71">
        <v>1</v>
      </c>
      <c r="N71">
        <v>1</v>
      </c>
      <c r="O71">
        <v>1</v>
      </c>
      <c r="P71" t="s">
        <v>548</v>
      </c>
    </row>
    <row r="72" spans="1:16" x14ac:dyDescent="0.25">
      <c r="A72" t="s">
        <v>94</v>
      </c>
      <c r="B72" t="s">
        <v>46</v>
      </c>
      <c r="C72">
        <v>0</v>
      </c>
      <c r="D72">
        <v>7.4971296787261963</v>
      </c>
      <c r="E72">
        <v>1</v>
      </c>
      <c r="F72">
        <v>1</v>
      </c>
      <c r="G72">
        <v>1</v>
      </c>
      <c r="H72">
        <v>1</v>
      </c>
      <c r="I72">
        <v>1</v>
      </c>
      <c r="J72">
        <v>1</v>
      </c>
      <c r="K72">
        <v>1</v>
      </c>
      <c r="L72">
        <v>0</v>
      </c>
      <c r="M72">
        <v>1</v>
      </c>
      <c r="N72">
        <v>1</v>
      </c>
      <c r="O72">
        <v>1</v>
      </c>
      <c r="P72" t="s">
        <v>549</v>
      </c>
    </row>
    <row r="73" spans="1:16" x14ac:dyDescent="0.25">
      <c r="A73" t="s">
        <v>94</v>
      </c>
      <c r="B73" t="s">
        <v>48</v>
      </c>
      <c r="C73">
        <v>0</v>
      </c>
      <c r="D73">
        <v>10.295753955841059</v>
      </c>
      <c r="E73">
        <v>1</v>
      </c>
      <c r="F73">
        <v>1</v>
      </c>
      <c r="G73">
        <v>1</v>
      </c>
      <c r="H73">
        <v>1</v>
      </c>
      <c r="I73">
        <v>1</v>
      </c>
      <c r="J73">
        <v>1</v>
      </c>
      <c r="K73">
        <v>1</v>
      </c>
      <c r="L73">
        <v>1</v>
      </c>
      <c r="M73">
        <v>1</v>
      </c>
      <c r="N73">
        <v>1</v>
      </c>
      <c r="O73">
        <v>1</v>
      </c>
    </row>
    <row r="74" spans="1:16" x14ac:dyDescent="0.25">
      <c r="A74" t="s">
        <v>94</v>
      </c>
      <c r="B74" t="s">
        <v>49</v>
      </c>
      <c r="C74">
        <v>0</v>
      </c>
      <c r="D74">
        <v>6.1463401317596444</v>
      </c>
      <c r="E74">
        <v>1</v>
      </c>
      <c r="F74">
        <v>1</v>
      </c>
      <c r="G74">
        <v>0</v>
      </c>
      <c r="H74" t="s">
        <v>19</v>
      </c>
      <c r="I74">
        <v>1</v>
      </c>
      <c r="J74">
        <v>1</v>
      </c>
      <c r="K74">
        <v>1</v>
      </c>
      <c r="L74">
        <v>1</v>
      </c>
      <c r="M74">
        <v>1</v>
      </c>
      <c r="N74">
        <v>1</v>
      </c>
      <c r="O74">
        <v>1</v>
      </c>
      <c r="P74" t="s">
        <v>550</v>
      </c>
    </row>
    <row r="75" spans="1:16" x14ac:dyDescent="0.25">
      <c r="A75" t="s">
        <v>94</v>
      </c>
      <c r="B75" t="s">
        <v>51</v>
      </c>
      <c r="C75">
        <v>0</v>
      </c>
      <c r="D75">
        <v>11.29000687599182</v>
      </c>
      <c r="E75">
        <v>1</v>
      </c>
      <c r="F75">
        <v>1</v>
      </c>
      <c r="G75">
        <v>0</v>
      </c>
      <c r="H75" t="s">
        <v>19</v>
      </c>
      <c r="I75">
        <v>1</v>
      </c>
      <c r="J75">
        <v>1</v>
      </c>
      <c r="K75">
        <v>1</v>
      </c>
      <c r="L75">
        <v>1</v>
      </c>
      <c r="M75">
        <v>1</v>
      </c>
      <c r="N75">
        <v>1</v>
      </c>
      <c r="O75">
        <v>1</v>
      </c>
      <c r="P75" t="s">
        <v>551</v>
      </c>
    </row>
    <row r="76" spans="1:16" x14ac:dyDescent="0.25">
      <c r="A76" t="s">
        <v>94</v>
      </c>
      <c r="B76" t="s">
        <v>52</v>
      </c>
      <c r="C76">
        <v>0</v>
      </c>
      <c r="D76">
        <v>3.6947898864746089</v>
      </c>
      <c r="E76">
        <v>1</v>
      </c>
      <c r="F76">
        <v>1</v>
      </c>
      <c r="G76">
        <v>1</v>
      </c>
      <c r="H76">
        <v>1</v>
      </c>
      <c r="I76">
        <v>0</v>
      </c>
      <c r="J76">
        <v>1</v>
      </c>
      <c r="K76">
        <v>1</v>
      </c>
      <c r="L76">
        <v>1</v>
      </c>
      <c r="M76">
        <v>1</v>
      </c>
      <c r="N76">
        <v>1</v>
      </c>
      <c r="O76">
        <v>1</v>
      </c>
      <c r="P76" t="s">
        <v>552</v>
      </c>
    </row>
    <row r="77" spans="1:16" x14ac:dyDescent="0.25">
      <c r="A77" t="s">
        <v>94</v>
      </c>
      <c r="B77" t="s">
        <v>54</v>
      </c>
      <c r="C77">
        <v>0</v>
      </c>
      <c r="D77">
        <v>9.6775164604187012</v>
      </c>
      <c r="E77">
        <v>1</v>
      </c>
      <c r="F77">
        <v>0</v>
      </c>
      <c r="G77">
        <v>1</v>
      </c>
      <c r="H77" t="s">
        <v>19</v>
      </c>
      <c r="I77">
        <v>1</v>
      </c>
      <c r="J77" t="s">
        <v>19</v>
      </c>
      <c r="K77">
        <v>1</v>
      </c>
      <c r="L77">
        <v>1</v>
      </c>
      <c r="M77">
        <v>1</v>
      </c>
      <c r="N77">
        <v>1</v>
      </c>
      <c r="O77">
        <v>1</v>
      </c>
      <c r="P77" t="s">
        <v>344</v>
      </c>
    </row>
    <row r="78" spans="1:16" x14ac:dyDescent="0.25">
      <c r="A78" t="s">
        <v>94</v>
      </c>
      <c r="B78" t="s">
        <v>56</v>
      </c>
      <c r="C78">
        <v>0</v>
      </c>
      <c r="D78">
        <v>4.5913295745849609</v>
      </c>
      <c r="E78">
        <v>1</v>
      </c>
      <c r="F78">
        <v>1</v>
      </c>
      <c r="G78">
        <v>1</v>
      </c>
      <c r="H78">
        <v>1</v>
      </c>
      <c r="I78">
        <v>1</v>
      </c>
      <c r="J78">
        <v>1</v>
      </c>
      <c r="K78">
        <v>0</v>
      </c>
      <c r="L78">
        <v>1</v>
      </c>
      <c r="M78">
        <v>1</v>
      </c>
      <c r="N78">
        <v>1</v>
      </c>
      <c r="O78">
        <v>1</v>
      </c>
      <c r="P78" t="s">
        <v>553</v>
      </c>
    </row>
    <row r="79" spans="1:16" x14ac:dyDescent="0.25">
      <c r="A79" t="s">
        <v>94</v>
      </c>
      <c r="B79" t="s">
        <v>58</v>
      </c>
      <c r="C79">
        <v>0</v>
      </c>
      <c r="D79">
        <v>10.891048908233641</v>
      </c>
      <c r="E79">
        <v>1</v>
      </c>
      <c r="F79">
        <v>1</v>
      </c>
      <c r="G79">
        <v>1</v>
      </c>
      <c r="H79">
        <v>1</v>
      </c>
      <c r="I79">
        <v>1</v>
      </c>
      <c r="J79">
        <v>1</v>
      </c>
      <c r="K79">
        <v>0</v>
      </c>
      <c r="L79">
        <v>1</v>
      </c>
      <c r="M79">
        <v>1</v>
      </c>
      <c r="N79">
        <v>1</v>
      </c>
      <c r="O79">
        <v>1</v>
      </c>
      <c r="P79" t="s">
        <v>554</v>
      </c>
    </row>
    <row r="80" spans="1:16" x14ac:dyDescent="0.25">
      <c r="A80" t="s">
        <v>94</v>
      </c>
      <c r="B80" t="s">
        <v>60</v>
      </c>
      <c r="C80">
        <v>0</v>
      </c>
      <c r="D80">
        <v>2.6753866672515869</v>
      </c>
      <c r="E80">
        <v>1</v>
      </c>
      <c r="F80">
        <v>1</v>
      </c>
      <c r="G80">
        <v>1</v>
      </c>
      <c r="H80">
        <v>1</v>
      </c>
      <c r="I80">
        <v>1</v>
      </c>
      <c r="J80">
        <v>1</v>
      </c>
      <c r="K80">
        <v>1</v>
      </c>
      <c r="L80">
        <v>1</v>
      </c>
      <c r="M80">
        <v>1</v>
      </c>
      <c r="N80">
        <v>1</v>
      </c>
      <c r="O80">
        <v>1</v>
      </c>
    </row>
    <row r="81" spans="1:16" x14ac:dyDescent="0.25">
      <c r="A81" t="s">
        <v>94</v>
      </c>
      <c r="B81" t="s">
        <v>62</v>
      </c>
      <c r="C81">
        <v>0</v>
      </c>
      <c r="D81">
        <v>9.8586399555206299</v>
      </c>
      <c r="E81">
        <v>1</v>
      </c>
      <c r="F81">
        <v>1</v>
      </c>
      <c r="G81">
        <v>1</v>
      </c>
      <c r="H81">
        <v>1</v>
      </c>
      <c r="I81">
        <v>1</v>
      </c>
      <c r="J81">
        <v>1</v>
      </c>
      <c r="K81">
        <v>1</v>
      </c>
      <c r="L81">
        <v>1</v>
      </c>
      <c r="M81">
        <v>1</v>
      </c>
      <c r="N81">
        <v>1</v>
      </c>
      <c r="O81">
        <v>1</v>
      </c>
    </row>
    <row r="82" spans="1:16" x14ac:dyDescent="0.25">
      <c r="A82" t="s">
        <v>94</v>
      </c>
      <c r="B82" t="s">
        <v>64</v>
      </c>
      <c r="C82">
        <v>0</v>
      </c>
      <c r="D82">
        <v>9.1281435489654541</v>
      </c>
      <c r="E82">
        <v>1</v>
      </c>
      <c r="F82">
        <v>0</v>
      </c>
      <c r="G82">
        <v>1</v>
      </c>
      <c r="H82" t="s">
        <v>19</v>
      </c>
      <c r="I82">
        <v>1</v>
      </c>
      <c r="J82" t="s">
        <v>19</v>
      </c>
      <c r="K82">
        <v>1</v>
      </c>
      <c r="L82">
        <v>1</v>
      </c>
      <c r="M82">
        <v>1</v>
      </c>
      <c r="N82">
        <v>1</v>
      </c>
      <c r="O82">
        <v>1</v>
      </c>
      <c r="P82" t="s">
        <v>555</v>
      </c>
    </row>
    <row r="83" spans="1:16" x14ac:dyDescent="0.25">
      <c r="A83" t="s">
        <v>94</v>
      </c>
      <c r="B83" t="s">
        <v>65</v>
      </c>
      <c r="C83">
        <v>0</v>
      </c>
      <c r="D83">
        <v>9.6773500442504883</v>
      </c>
      <c r="E83">
        <v>1</v>
      </c>
      <c r="F83">
        <v>1</v>
      </c>
      <c r="G83">
        <v>1</v>
      </c>
      <c r="H83">
        <v>1</v>
      </c>
      <c r="I83">
        <v>0</v>
      </c>
      <c r="J83">
        <v>1</v>
      </c>
      <c r="K83">
        <v>1</v>
      </c>
      <c r="L83">
        <v>1</v>
      </c>
      <c r="M83">
        <v>1</v>
      </c>
      <c r="N83">
        <v>1</v>
      </c>
      <c r="O83">
        <v>1</v>
      </c>
      <c r="P83" t="s">
        <v>556</v>
      </c>
    </row>
    <row r="84" spans="1:16" x14ac:dyDescent="0.25">
      <c r="A84" t="s">
        <v>94</v>
      </c>
      <c r="B84" t="s">
        <v>67</v>
      </c>
      <c r="C84">
        <v>0</v>
      </c>
      <c r="D84">
        <v>2.7595963478088379</v>
      </c>
      <c r="E84">
        <v>1</v>
      </c>
      <c r="F84">
        <v>1</v>
      </c>
      <c r="G84">
        <v>1</v>
      </c>
      <c r="H84">
        <v>1</v>
      </c>
      <c r="I84">
        <v>1</v>
      </c>
      <c r="J84">
        <v>1</v>
      </c>
      <c r="K84">
        <v>1</v>
      </c>
      <c r="L84">
        <v>1</v>
      </c>
      <c r="M84">
        <v>1</v>
      </c>
      <c r="N84">
        <v>1</v>
      </c>
      <c r="O84">
        <v>1</v>
      </c>
    </row>
    <row r="85" spans="1:16" x14ac:dyDescent="0.25">
      <c r="A85" t="s">
        <v>94</v>
      </c>
      <c r="B85" t="s">
        <v>69</v>
      </c>
      <c r="C85">
        <v>0</v>
      </c>
      <c r="D85">
        <v>4.4094250202178964</v>
      </c>
      <c r="E85">
        <v>1</v>
      </c>
      <c r="F85">
        <v>1</v>
      </c>
      <c r="G85">
        <v>1</v>
      </c>
      <c r="H85">
        <v>1</v>
      </c>
      <c r="I85">
        <v>0</v>
      </c>
      <c r="J85">
        <v>1</v>
      </c>
      <c r="K85">
        <v>1</v>
      </c>
      <c r="L85">
        <v>1</v>
      </c>
      <c r="M85">
        <v>1</v>
      </c>
      <c r="N85">
        <v>1</v>
      </c>
      <c r="O85">
        <v>1</v>
      </c>
      <c r="P85" t="s">
        <v>557</v>
      </c>
    </row>
    <row r="86" spans="1:16" x14ac:dyDescent="0.25">
      <c r="A86" t="s">
        <v>94</v>
      </c>
      <c r="B86" t="s">
        <v>70</v>
      </c>
      <c r="C86">
        <v>0</v>
      </c>
      <c r="D86">
        <v>11.91041421890259</v>
      </c>
      <c r="E86">
        <v>1</v>
      </c>
      <c r="F86">
        <v>1</v>
      </c>
      <c r="G86">
        <v>0</v>
      </c>
      <c r="H86" t="s">
        <v>19</v>
      </c>
      <c r="I86">
        <v>1</v>
      </c>
      <c r="J86">
        <v>0</v>
      </c>
      <c r="K86">
        <v>1</v>
      </c>
      <c r="L86">
        <v>1</v>
      </c>
      <c r="M86">
        <v>1</v>
      </c>
      <c r="N86">
        <v>1</v>
      </c>
      <c r="O86">
        <v>1</v>
      </c>
      <c r="P86" t="s">
        <v>558</v>
      </c>
    </row>
    <row r="87" spans="1:16" x14ac:dyDescent="0.25">
      <c r="A87" t="s">
        <v>94</v>
      </c>
      <c r="B87" t="s">
        <v>71</v>
      </c>
      <c r="C87">
        <v>0</v>
      </c>
      <c r="D87">
        <v>2.706435918807983</v>
      </c>
      <c r="E87">
        <v>1</v>
      </c>
      <c r="F87">
        <v>1</v>
      </c>
      <c r="G87">
        <v>1</v>
      </c>
      <c r="H87">
        <v>1</v>
      </c>
      <c r="I87">
        <v>1</v>
      </c>
      <c r="J87">
        <v>1</v>
      </c>
      <c r="K87">
        <v>1</v>
      </c>
      <c r="L87">
        <v>1</v>
      </c>
      <c r="M87">
        <v>1</v>
      </c>
      <c r="N87">
        <v>1</v>
      </c>
      <c r="O87">
        <v>1</v>
      </c>
    </row>
    <row r="88" spans="1:16" x14ac:dyDescent="0.25">
      <c r="A88" t="s">
        <v>94</v>
      </c>
      <c r="B88" t="s">
        <v>72</v>
      </c>
      <c r="C88">
        <v>0</v>
      </c>
      <c r="D88">
        <v>7.4578771591186523</v>
      </c>
      <c r="E88">
        <v>1</v>
      </c>
      <c r="F88">
        <v>1</v>
      </c>
      <c r="G88">
        <v>0</v>
      </c>
      <c r="H88" t="s">
        <v>19</v>
      </c>
      <c r="I88">
        <v>1</v>
      </c>
      <c r="J88">
        <v>1</v>
      </c>
      <c r="K88">
        <v>0</v>
      </c>
      <c r="L88">
        <v>1</v>
      </c>
      <c r="M88">
        <v>1</v>
      </c>
      <c r="N88">
        <v>1</v>
      </c>
      <c r="O88">
        <v>1</v>
      </c>
      <c r="P88" t="s">
        <v>559</v>
      </c>
    </row>
    <row r="89" spans="1:16" x14ac:dyDescent="0.25">
      <c r="A89" t="s">
        <v>94</v>
      </c>
      <c r="B89" t="s">
        <v>74</v>
      </c>
      <c r="C89">
        <v>0</v>
      </c>
      <c r="D89">
        <v>8.9349339008331299</v>
      </c>
      <c r="E89">
        <v>1</v>
      </c>
      <c r="F89">
        <v>1</v>
      </c>
      <c r="G89">
        <v>1</v>
      </c>
      <c r="H89">
        <v>1</v>
      </c>
      <c r="I89">
        <v>1</v>
      </c>
      <c r="J89">
        <v>1</v>
      </c>
      <c r="K89">
        <v>1</v>
      </c>
      <c r="L89">
        <v>1</v>
      </c>
      <c r="M89">
        <v>1</v>
      </c>
      <c r="N89">
        <v>1</v>
      </c>
      <c r="O89">
        <v>1</v>
      </c>
    </row>
    <row r="90" spans="1:16" x14ac:dyDescent="0.25">
      <c r="A90" t="s">
        <v>94</v>
      </c>
      <c r="B90" t="s">
        <v>76</v>
      </c>
      <c r="C90">
        <v>0</v>
      </c>
      <c r="D90">
        <v>8.28633713722229</v>
      </c>
      <c r="E90">
        <v>0</v>
      </c>
      <c r="F90" t="s">
        <v>19</v>
      </c>
      <c r="G90" t="s">
        <v>19</v>
      </c>
      <c r="H90" t="s">
        <v>19</v>
      </c>
      <c r="I90" t="s">
        <v>19</v>
      </c>
      <c r="J90" t="s">
        <v>19</v>
      </c>
      <c r="K90" t="s">
        <v>19</v>
      </c>
      <c r="L90" t="s">
        <v>19</v>
      </c>
      <c r="M90" t="s">
        <v>19</v>
      </c>
      <c r="N90" t="s">
        <v>19</v>
      </c>
      <c r="O90" t="s">
        <v>19</v>
      </c>
      <c r="P90" t="s">
        <v>560</v>
      </c>
    </row>
    <row r="91" spans="1:16" x14ac:dyDescent="0.25">
      <c r="A91" t="s">
        <v>94</v>
      </c>
      <c r="B91" t="s">
        <v>78</v>
      </c>
      <c r="C91">
        <v>0</v>
      </c>
      <c r="D91">
        <v>10.104971408843991</v>
      </c>
      <c r="E91">
        <v>1</v>
      </c>
      <c r="F91">
        <v>1</v>
      </c>
      <c r="G91">
        <v>1</v>
      </c>
      <c r="H91">
        <v>1</v>
      </c>
      <c r="I91">
        <v>1</v>
      </c>
      <c r="J91">
        <v>1</v>
      </c>
      <c r="K91">
        <v>1</v>
      </c>
      <c r="L91">
        <v>1</v>
      </c>
      <c r="M91">
        <v>1</v>
      </c>
      <c r="N91">
        <v>1</v>
      </c>
      <c r="O91">
        <v>1</v>
      </c>
    </row>
    <row r="92" spans="1:16" x14ac:dyDescent="0.25">
      <c r="A92" t="s">
        <v>94</v>
      </c>
      <c r="B92" t="s">
        <v>80</v>
      </c>
      <c r="C92">
        <v>0</v>
      </c>
      <c r="D92">
        <v>11.09907174110413</v>
      </c>
      <c r="E92">
        <v>0</v>
      </c>
      <c r="F92" t="s">
        <v>19</v>
      </c>
      <c r="G92" t="s">
        <v>19</v>
      </c>
      <c r="H92" t="s">
        <v>19</v>
      </c>
      <c r="I92" t="s">
        <v>19</v>
      </c>
      <c r="J92" t="s">
        <v>19</v>
      </c>
      <c r="K92" t="s">
        <v>19</v>
      </c>
      <c r="L92" t="s">
        <v>19</v>
      </c>
      <c r="M92" t="s">
        <v>19</v>
      </c>
      <c r="N92" t="s">
        <v>19</v>
      </c>
      <c r="O92" t="s">
        <v>19</v>
      </c>
      <c r="P92" t="s">
        <v>561</v>
      </c>
    </row>
    <row r="93" spans="1:16" x14ac:dyDescent="0.25">
      <c r="A93" t="s">
        <v>94</v>
      </c>
      <c r="B93" t="s">
        <v>81</v>
      </c>
      <c r="C93">
        <v>0</v>
      </c>
      <c r="D93">
        <v>4.5131838321685791</v>
      </c>
      <c r="E93">
        <v>1</v>
      </c>
      <c r="F93">
        <v>1</v>
      </c>
      <c r="G93">
        <v>1</v>
      </c>
      <c r="H93">
        <v>1</v>
      </c>
      <c r="I93">
        <v>1</v>
      </c>
      <c r="J93">
        <v>0</v>
      </c>
      <c r="K93">
        <v>1</v>
      </c>
      <c r="L93">
        <v>1</v>
      </c>
      <c r="M93">
        <v>1</v>
      </c>
      <c r="N93">
        <v>1</v>
      </c>
      <c r="O93">
        <v>1</v>
      </c>
      <c r="P93" t="s">
        <v>562</v>
      </c>
    </row>
    <row r="94" spans="1:16" x14ac:dyDescent="0.25">
      <c r="A94" t="s">
        <v>94</v>
      </c>
      <c r="B94" t="s">
        <v>83</v>
      </c>
      <c r="C94">
        <v>0</v>
      </c>
      <c r="D94">
        <v>11.620019197463989</v>
      </c>
      <c r="E94">
        <v>1</v>
      </c>
      <c r="F94">
        <v>1</v>
      </c>
      <c r="G94">
        <v>1</v>
      </c>
      <c r="H94">
        <v>1</v>
      </c>
      <c r="I94">
        <v>1</v>
      </c>
      <c r="J94">
        <v>0</v>
      </c>
      <c r="K94">
        <v>1</v>
      </c>
      <c r="L94">
        <v>1</v>
      </c>
      <c r="M94">
        <v>1</v>
      </c>
      <c r="N94">
        <v>1</v>
      </c>
      <c r="O94">
        <v>1</v>
      </c>
      <c r="P94" t="s">
        <v>563</v>
      </c>
    </row>
    <row r="95" spans="1:16" x14ac:dyDescent="0.25">
      <c r="A95" t="s">
        <v>94</v>
      </c>
      <c r="B95" t="s">
        <v>85</v>
      </c>
      <c r="C95">
        <v>0</v>
      </c>
      <c r="D95">
        <v>14.50329804420471</v>
      </c>
      <c r="E95">
        <v>1</v>
      </c>
      <c r="F95">
        <v>1</v>
      </c>
      <c r="G95">
        <v>0</v>
      </c>
      <c r="H95" t="s">
        <v>19</v>
      </c>
      <c r="I95">
        <v>1</v>
      </c>
      <c r="J95">
        <v>1</v>
      </c>
      <c r="K95">
        <v>1</v>
      </c>
      <c r="L95">
        <v>1</v>
      </c>
      <c r="M95">
        <v>1</v>
      </c>
      <c r="N95">
        <v>1</v>
      </c>
      <c r="O95">
        <v>1</v>
      </c>
      <c r="P95" t="s">
        <v>564</v>
      </c>
    </row>
    <row r="96" spans="1:16" x14ac:dyDescent="0.25">
      <c r="A96" t="s">
        <v>94</v>
      </c>
      <c r="B96" t="s">
        <v>87</v>
      </c>
      <c r="C96">
        <v>0</v>
      </c>
      <c r="D96">
        <v>7.6811301708221444</v>
      </c>
      <c r="E96">
        <v>1</v>
      </c>
      <c r="F96">
        <v>1</v>
      </c>
      <c r="G96">
        <v>0</v>
      </c>
      <c r="H96" t="s">
        <v>19</v>
      </c>
      <c r="I96">
        <v>1</v>
      </c>
      <c r="J96">
        <v>0</v>
      </c>
      <c r="K96">
        <v>1</v>
      </c>
      <c r="L96">
        <v>1</v>
      </c>
      <c r="M96">
        <v>1</v>
      </c>
      <c r="N96">
        <v>1</v>
      </c>
      <c r="O96">
        <v>1</v>
      </c>
      <c r="P96" t="s">
        <v>565</v>
      </c>
    </row>
    <row r="97" spans="1:16" x14ac:dyDescent="0.25">
      <c r="A97" t="s">
        <v>94</v>
      </c>
      <c r="B97" t="s">
        <v>89</v>
      </c>
      <c r="C97">
        <v>0</v>
      </c>
      <c r="D97">
        <v>6.3777894973754883</v>
      </c>
      <c r="E97">
        <v>1</v>
      </c>
      <c r="F97">
        <v>1</v>
      </c>
      <c r="G97">
        <v>0</v>
      </c>
      <c r="H97" t="s">
        <v>19</v>
      </c>
      <c r="I97">
        <v>1</v>
      </c>
      <c r="J97">
        <v>0</v>
      </c>
      <c r="K97">
        <v>1</v>
      </c>
      <c r="L97">
        <v>1</v>
      </c>
      <c r="M97">
        <v>1</v>
      </c>
      <c r="N97">
        <v>1</v>
      </c>
      <c r="O97">
        <v>1</v>
      </c>
      <c r="P97" t="s">
        <v>566</v>
      </c>
    </row>
    <row r="98" spans="1:16" x14ac:dyDescent="0.25">
      <c r="A98" t="s">
        <v>94</v>
      </c>
      <c r="B98" t="s">
        <v>91</v>
      </c>
      <c r="C98">
        <v>0</v>
      </c>
      <c r="D98">
        <v>4.0172991752624512</v>
      </c>
      <c r="E98">
        <v>1</v>
      </c>
      <c r="F98">
        <v>1</v>
      </c>
      <c r="G98">
        <v>1</v>
      </c>
      <c r="H98">
        <v>1</v>
      </c>
      <c r="I98">
        <v>1</v>
      </c>
      <c r="J98">
        <v>1</v>
      </c>
      <c r="K98">
        <v>0</v>
      </c>
      <c r="L98">
        <v>1</v>
      </c>
      <c r="M98">
        <v>1</v>
      </c>
      <c r="N98">
        <v>1</v>
      </c>
      <c r="O98">
        <v>1</v>
      </c>
      <c r="P98" t="s">
        <v>567</v>
      </c>
    </row>
    <row r="99" spans="1:16" x14ac:dyDescent="0.25">
      <c r="A99" t="s">
        <v>94</v>
      </c>
      <c r="B99" t="s">
        <v>93</v>
      </c>
      <c r="C99">
        <v>0</v>
      </c>
      <c r="D99">
        <v>4.6214489936828613</v>
      </c>
      <c r="E99">
        <v>1</v>
      </c>
      <c r="F99">
        <v>1</v>
      </c>
      <c r="G99">
        <v>1</v>
      </c>
      <c r="H99">
        <v>1</v>
      </c>
      <c r="I99">
        <v>1</v>
      </c>
      <c r="J99">
        <v>0</v>
      </c>
      <c r="K99">
        <v>1</v>
      </c>
      <c r="L99">
        <v>1</v>
      </c>
      <c r="M99">
        <v>1</v>
      </c>
      <c r="N99">
        <v>1</v>
      </c>
      <c r="O99">
        <v>1</v>
      </c>
      <c r="P99" t="s">
        <v>568</v>
      </c>
    </row>
    <row r="100" spans="1:16" x14ac:dyDescent="0.25">
      <c r="A100" t="s">
        <v>94</v>
      </c>
      <c r="B100" t="s">
        <v>128</v>
      </c>
      <c r="C100">
        <v>0</v>
      </c>
      <c r="D100">
        <v>2.7356162071228032</v>
      </c>
      <c r="E100">
        <v>1</v>
      </c>
      <c r="F100">
        <v>1</v>
      </c>
      <c r="G100">
        <v>1</v>
      </c>
      <c r="H100">
        <v>1</v>
      </c>
      <c r="I100">
        <v>1</v>
      </c>
      <c r="J100">
        <v>1</v>
      </c>
      <c r="K100">
        <v>1</v>
      </c>
      <c r="L100">
        <v>1</v>
      </c>
      <c r="M100">
        <v>1</v>
      </c>
      <c r="N100">
        <v>1</v>
      </c>
      <c r="O100">
        <v>1</v>
      </c>
    </row>
    <row r="101" spans="1:16" x14ac:dyDescent="0.25">
      <c r="A101" t="s">
        <v>94</v>
      </c>
      <c r="B101" t="s">
        <v>129</v>
      </c>
      <c r="C101">
        <v>0</v>
      </c>
      <c r="D101">
        <v>7.0876922607421884</v>
      </c>
      <c r="E101">
        <v>1</v>
      </c>
      <c r="F101">
        <v>1</v>
      </c>
      <c r="G101">
        <v>1</v>
      </c>
      <c r="H101">
        <v>1</v>
      </c>
      <c r="I101">
        <v>1</v>
      </c>
      <c r="J101">
        <v>0</v>
      </c>
      <c r="K101">
        <v>1</v>
      </c>
      <c r="L101">
        <v>1</v>
      </c>
      <c r="M101">
        <v>1</v>
      </c>
      <c r="N101">
        <v>1</v>
      </c>
      <c r="O101">
        <v>1</v>
      </c>
      <c r="P101" t="s">
        <v>569</v>
      </c>
    </row>
    <row r="102" spans="1:16" x14ac:dyDescent="0.25">
      <c r="A102" t="s">
        <v>94</v>
      </c>
      <c r="B102" t="s">
        <v>131</v>
      </c>
      <c r="C102">
        <v>0</v>
      </c>
      <c r="D102">
        <v>10.075482606887819</v>
      </c>
      <c r="E102">
        <v>0</v>
      </c>
      <c r="F102" t="s">
        <v>19</v>
      </c>
      <c r="G102" t="s">
        <v>19</v>
      </c>
      <c r="H102" t="s">
        <v>19</v>
      </c>
      <c r="I102" t="s">
        <v>19</v>
      </c>
      <c r="J102" t="s">
        <v>19</v>
      </c>
      <c r="K102" t="s">
        <v>19</v>
      </c>
      <c r="L102" t="s">
        <v>19</v>
      </c>
      <c r="M102" t="s">
        <v>19</v>
      </c>
      <c r="N102" t="s">
        <v>19</v>
      </c>
      <c r="O102" t="s">
        <v>19</v>
      </c>
      <c r="P102" t="s">
        <v>570</v>
      </c>
    </row>
    <row r="103" spans="1:16" x14ac:dyDescent="0.25">
      <c r="A103" t="s">
        <v>94</v>
      </c>
      <c r="B103" t="s">
        <v>133</v>
      </c>
      <c r="C103">
        <v>0</v>
      </c>
      <c r="D103">
        <v>10.05920100212097</v>
      </c>
      <c r="E103">
        <v>1</v>
      </c>
      <c r="F103">
        <v>1</v>
      </c>
      <c r="G103">
        <v>1</v>
      </c>
      <c r="H103">
        <v>1</v>
      </c>
      <c r="I103">
        <v>1</v>
      </c>
      <c r="J103">
        <v>1</v>
      </c>
      <c r="K103">
        <v>1</v>
      </c>
      <c r="L103">
        <v>1</v>
      </c>
      <c r="M103">
        <v>1</v>
      </c>
      <c r="N103">
        <v>1</v>
      </c>
      <c r="O103">
        <v>1</v>
      </c>
    </row>
    <row r="104" spans="1:16" x14ac:dyDescent="0.25">
      <c r="A104" t="s">
        <v>94</v>
      </c>
      <c r="B104" t="s">
        <v>134</v>
      </c>
      <c r="C104">
        <v>0</v>
      </c>
      <c r="D104">
        <v>5.7510888576507568</v>
      </c>
      <c r="E104">
        <v>1</v>
      </c>
      <c r="F104">
        <v>1</v>
      </c>
      <c r="G104">
        <v>1</v>
      </c>
      <c r="H104">
        <v>0</v>
      </c>
      <c r="I104">
        <v>1</v>
      </c>
      <c r="J104">
        <v>0</v>
      </c>
      <c r="K104">
        <v>1</v>
      </c>
      <c r="L104">
        <v>1</v>
      </c>
      <c r="M104">
        <v>1</v>
      </c>
      <c r="N104">
        <v>1</v>
      </c>
      <c r="O104">
        <v>1</v>
      </c>
      <c r="P104" t="s">
        <v>571</v>
      </c>
    </row>
    <row r="105" spans="1:16" x14ac:dyDescent="0.25">
      <c r="A105" t="s">
        <v>94</v>
      </c>
      <c r="B105" t="s">
        <v>136</v>
      </c>
      <c r="C105">
        <v>0</v>
      </c>
      <c r="D105">
        <v>9.547752857208252</v>
      </c>
      <c r="E105">
        <v>1</v>
      </c>
      <c r="F105">
        <v>1</v>
      </c>
      <c r="G105">
        <v>1</v>
      </c>
      <c r="H105">
        <v>1</v>
      </c>
      <c r="I105">
        <v>1</v>
      </c>
      <c r="J105">
        <v>1</v>
      </c>
      <c r="K105">
        <v>1</v>
      </c>
      <c r="L105">
        <v>1</v>
      </c>
      <c r="M105">
        <v>1</v>
      </c>
      <c r="N105">
        <v>1</v>
      </c>
      <c r="O105">
        <v>1</v>
      </c>
    </row>
    <row r="106" spans="1:16" x14ac:dyDescent="0.25">
      <c r="A106" t="s">
        <v>94</v>
      </c>
      <c r="B106" t="s">
        <v>138</v>
      </c>
      <c r="C106">
        <v>0</v>
      </c>
      <c r="D106">
        <v>6.3626058101654053</v>
      </c>
      <c r="E106">
        <v>0</v>
      </c>
      <c r="F106" t="s">
        <v>19</v>
      </c>
      <c r="G106" t="s">
        <v>19</v>
      </c>
      <c r="H106" t="s">
        <v>19</v>
      </c>
      <c r="I106" t="s">
        <v>19</v>
      </c>
      <c r="J106" t="s">
        <v>19</v>
      </c>
      <c r="K106" t="s">
        <v>19</v>
      </c>
      <c r="L106" t="s">
        <v>19</v>
      </c>
      <c r="M106" t="s">
        <v>19</v>
      </c>
      <c r="N106" t="s">
        <v>19</v>
      </c>
      <c r="O106" t="s">
        <v>19</v>
      </c>
      <c r="P106" t="s">
        <v>572</v>
      </c>
    </row>
    <row r="107" spans="1:16" x14ac:dyDescent="0.25">
      <c r="A107" t="s">
        <v>94</v>
      </c>
      <c r="B107" t="s">
        <v>140</v>
      </c>
      <c r="C107">
        <v>0</v>
      </c>
      <c r="D107">
        <v>5.35589599609375</v>
      </c>
      <c r="E107">
        <v>1</v>
      </c>
      <c r="F107">
        <v>1</v>
      </c>
      <c r="G107">
        <v>1</v>
      </c>
      <c r="H107">
        <v>1</v>
      </c>
      <c r="I107">
        <v>1</v>
      </c>
      <c r="J107">
        <v>1</v>
      </c>
      <c r="K107">
        <v>0</v>
      </c>
      <c r="L107">
        <v>1</v>
      </c>
      <c r="M107">
        <v>1</v>
      </c>
      <c r="N107">
        <v>1</v>
      </c>
      <c r="O107">
        <v>1</v>
      </c>
      <c r="P107" t="s">
        <v>573</v>
      </c>
    </row>
    <row r="108" spans="1:16" x14ac:dyDescent="0.25">
      <c r="A108" t="s">
        <v>94</v>
      </c>
      <c r="B108" t="s">
        <v>142</v>
      </c>
      <c r="C108">
        <v>0</v>
      </c>
      <c r="D108">
        <v>4.5093755722045898</v>
      </c>
      <c r="E108">
        <v>1</v>
      </c>
      <c r="F108">
        <v>1</v>
      </c>
      <c r="G108">
        <v>1</v>
      </c>
      <c r="H108">
        <v>1</v>
      </c>
      <c r="I108">
        <v>1</v>
      </c>
      <c r="J108">
        <v>0</v>
      </c>
      <c r="K108">
        <v>1</v>
      </c>
      <c r="L108">
        <v>1</v>
      </c>
      <c r="M108">
        <v>1</v>
      </c>
      <c r="N108">
        <v>1</v>
      </c>
      <c r="O108">
        <v>1</v>
      </c>
      <c r="P108" t="s">
        <v>574</v>
      </c>
    </row>
    <row r="109" spans="1:16" x14ac:dyDescent="0.25">
      <c r="A109" t="s">
        <v>94</v>
      </c>
      <c r="B109" t="s">
        <v>143</v>
      </c>
      <c r="C109">
        <v>0</v>
      </c>
      <c r="D109">
        <v>4.4450361728668213</v>
      </c>
      <c r="E109">
        <v>1</v>
      </c>
      <c r="F109">
        <v>1</v>
      </c>
      <c r="G109">
        <v>1</v>
      </c>
      <c r="H109">
        <v>1</v>
      </c>
      <c r="I109">
        <v>1</v>
      </c>
      <c r="J109">
        <v>0</v>
      </c>
      <c r="K109">
        <v>1</v>
      </c>
      <c r="L109">
        <v>1</v>
      </c>
      <c r="M109">
        <v>1</v>
      </c>
      <c r="N109">
        <v>1</v>
      </c>
      <c r="O109">
        <v>1</v>
      </c>
      <c r="P109" t="s">
        <v>575</v>
      </c>
    </row>
    <row r="110" spans="1:16" x14ac:dyDescent="0.25">
      <c r="A110" t="s">
        <v>94</v>
      </c>
      <c r="B110" t="s">
        <v>145</v>
      </c>
      <c r="C110">
        <v>0</v>
      </c>
      <c r="D110">
        <v>2.8228902816772461</v>
      </c>
      <c r="E110">
        <v>1</v>
      </c>
      <c r="F110">
        <v>1</v>
      </c>
      <c r="G110">
        <v>1</v>
      </c>
      <c r="H110">
        <v>1</v>
      </c>
      <c r="I110">
        <v>1</v>
      </c>
      <c r="J110">
        <v>1</v>
      </c>
      <c r="K110">
        <v>1</v>
      </c>
      <c r="L110">
        <v>1</v>
      </c>
      <c r="M110">
        <v>1</v>
      </c>
      <c r="N110">
        <v>1</v>
      </c>
      <c r="O110">
        <v>1</v>
      </c>
    </row>
    <row r="111" spans="1:16" x14ac:dyDescent="0.25">
      <c r="A111" t="s">
        <v>94</v>
      </c>
      <c r="B111" t="s">
        <v>146</v>
      </c>
      <c r="C111">
        <v>0</v>
      </c>
      <c r="D111">
        <v>7.8043127059936523</v>
      </c>
      <c r="E111">
        <v>1</v>
      </c>
      <c r="F111">
        <v>0</v>
      </c>
      <c r="G111">
        <v>1</v>
      </c>
      <c r="H111" t="s">
        <v>19</v>
      </c>
      <c r="I111">
        <v>1</v>
      </c>
      <c r="J111" t="s">
        <v>19</v>
      </c>
      <c r="K111">
        <v>1</v>
      </c>
      <c r="L111">
        <v>0</v>
      </c>
      <c r="M111">
        <v>1</v>
      </c>
      <c r="N111">
        <v>1</v>
      </c>
      <c r="O111">
        <v>1</v>
      </c>
      <c r="P111" t="s">
        <v>576</v>
      </c>
    </row>
    <row r="112" spans="1:16" x14ac:dyDescent="0.25">
      <c r="A112" t="s">
        <v>94</v>
      </c>
      <c r="B112" t="s">
        <v>148</v>
      </c>
      <c r="C112">
        <v>0</v>
      </c>
      <c r="D112">
        <v>10.27639937400818</v>
      </c>
      <c r="E112">
        <v>1</v>
      </c>
      <c r="F112">
        <v>1</v>
      </c>
      <c r="G112">
        <v>1</v>
      </c>
      <c r="H112">
        <v>1</v>
      </c>
      <c r="I112">
        <v>1</v>
      </c>
      <c r="J112">
        <v>1</v>
      </c>
      <c r="K112">
        <v>1</v>
      </c>
      <c r="L112">
        <v>1</v>
      </c>
      <c r="M112">
        <v>1</v>
      </c>
      <c r="N112">
        <v>1</v>
      </c>
      <c r="O112">
        <v>1</v>
      </c>
    </row>
    <row r="113" spans="1:16" x14ac:dyDescent="0.25">
      <c r="A113" t="s">
        <v>94</v>
      </c>
      <c r="B113" t="s">
        <v>149</v>
      </c>
      <c r="C113">
        <v>0</v>
      </c>
      <c r="D113">
        <v>6.0531136989593506</v>
      </c>
      <c r="E113">
        <v>0</v>
      </c>
      <c r="F113" t="s">
        <v>19</v>
      </c>
      <c r="G113" t="s">
        <v>19</v>
      </c>
      <c r="H113" t="s">
        <v>19</v>
      </c>
      <c r="I113" t="s">
        <v>19</v>
      </c>
      <c r="J113" t="s">
        <v>19</v>
      </c>
      <c r="K113" t="s">
        <v>19</v>
      </c>
      <c r="L113" t="s">
        <v>19</v>
      </c>
      <c r="M113" t="s">
        <v>19</v>
      </c>
      <c r="N113" t="s">
        <v>19</v>
      </c>
      <c r="O113" t="s">
        <v>19</v>
      </c>
      <c r="P113" t="s">
        <v>577</v>
      </c>
    </row>
    <row r="114" spans="1:16" x14ac:dyDescent="0.25">
      <c r="A114" t="s">
        <v>151</v>
      </c>
      <c r="B114" t="s">
        <v>17</v>
      </c>
      <c r="C114">
        <v>0</v>
      </c>
      <c r="D114">
        <v>2.767708301544189</v>
      </c>
      <c r="E114">
        <v>1</v>
      </c>
      <c r="F114">
        <v>1</v>
      </c>
      <c r="G114">
        <v>1</v>
      </c>
      <c r="H114">
        <v>1</v>
      </c>
      <c r="I114">
        <v>1</v>
      </c>
      <c r="J114">
        <v>1</v>
      </c>
      <c r="K114">
        <v>1</v>
      </c>
      <c r="L114">
        <v>1</v>
      </c>
      <c r="M114">
        <v>1</v>
      </c>
      <c r="N114">
        <v>1</v>
      </c>
      <c r="O114">
        <v>1</v>
      </c>
    </row>
    <row r="115" spans="1:16" x14ac:dyDescent="0.25">
      <c r="A115" t="s">
        <v>151</v>
      </c>
      <c r="B115" t="s">
        <v>18</v>
      </c>
      <c r="C115">
        <v>0</v>
      </c>
      <c r="D115">
        <v>4.319490909576416</v>
      </c>
      <c r="E115">
        <v>1</v>
      </c>
      <c r="F115">
        <v>1</v>
      </c>
      <c r="G115">
        <v>1</v>
      </c>
      <c r="H115">
        <v>1</v>
      </c>
      <c r="I115">
        <v>0</v>
      </c>
      <c r="J115">
        <v>1</v>
      </c>
      <c r="K115">
        <v>1</v>
      </c>
      <c r="L115">
        <v>1</v>
      </c>
      <c r="M115">
        <v>1</v>
      </c>
      <c r="N115">
        <v>1</v>
      </c>
      <c r="O115">
        <v>1</v>
      </c>
      <c r="P115" t="s">
        <v>578</v>
      </c>
    </row>
    <row r="116" spans="1:16" x14ac:dyDescent="0.25">
      <c r="A116" t="s">
        <v>151</v>
      </c>
      <c r="B116" t="s">
        <v>21</v>
      </c>
      <c r="C116">
        <v>0</v>
      </c>
      <c r="D116">
        <v>2.7377581596374512</v>
      </c>
      <c r="E116">
        <v>1</v>
      </c>
      <c r="F116">
        <v>1</v>
      </c>
      <c r="G116">
        <v>1</v>
      </c>
      <c r="H116">
        <v>1</v>
      </c>
      <c r="I116">
        <v>1</v>
      </c>
      <c r="J116">
        <v>1</v>
      </c>
      <c r="K116">
        <v>1</v>
      </c>
      <c r="L116">
        <v>1</v>
      </c>
      <c r="M116">
        <v>1</v>
      </c>
      <c r="N116">
        <v>1</v>
      </c>
      <c r="O116">
        <v>1</v>
      </c>
    </row>
    <row r="117" spans="1:16" x14ac:dyDescent="0.25">
      <c r="A117" t="s">
        <v>151</v>
      </c>
      <c r="B117" t="s">
        <v>23</v>
      </c>
      <c r="C117">
        <v>0</v>
      </c>
      <c r="D117">
        <v>2.7332582473754878</v>
      </c>
      <c r="E117">
        <v>1</v>
      </c>
      <c r="F117">
        <v>1</v>
      </c>
      <c r="G117">
        <v>1</v>
      </c>
      <c r="H117">
        <v>1</v>
      </c>
      <c r="I117">
        <v>1</v>
      </c>
      <c r="J117">
        <v>1</v>
      </c>
      <c r="K117">
        <v>1</v>
      </c>
      <c r="L117">
        <v>1</v>
      </c>
      <c r="M117">
        <v>1</v>
      </c>
      <c r="N117">
        <v>1</v>
      </c>
      <c r="O117">
        <v>1</v>
      </c>
    </row>
    <row r="118" spans="1:16" x14ac:dyDescent="0.25">
      <c r="A118" t="s">
        <v>151</v>
      </c>
      <c r="B118" t="s">
        <v>24</v>
      </c>
      <c r="C118">
        <v>0</v>
      </c>
      <c r="D118">
        <v>3.7403690814971919</v>
      </c>
      <c r="E118">
        <v>1</v>
      </c>
      <c r="F118">
        <v>1</v>
      </c>
      <c r="G118">
        <v>1</v>
      </c>
      <c r="H118">
        <v>1</v>
      </c>
      <c r="I118">
        <v>0</v>
      </c>
      <c r="J118">
        <v>1</v>
      </c>
      <c r="K118">
        <v>1</v>
      </c>
      <c r="L118">
        <v>1</v>
      </c>
      <c r="M118">
        <v>1</v>
      </c>
      <c r="N118">
        <v>1</v>
      </c>
      <c r="O118">
        <v>1</v>
      </c>
      <c r="P118" t="s">
        <v>579</v>
      </c>
    </row>
    <row r="119" spans="1:16" x14ac:dyDescent="0.25">
      <c r="A119" t="s">
        <v>151</v>
      </c>
      <c r="B119" t="s">
        <v>25</v>
      </c>
      <c r="C119">
        <v>0</v>
      </c>
      <c r="D119">
        <v>10.198101758956909</v>
      </c>
      <c r="E119">
        <v>1</v>
      </c>
      <c r="F119">
        <v>1</v>
      </c>
      <c r="G119">
        <v>1</v>
      </c>
      <c r="H119">
        <v>1</v>
      </c>
      <c r="I119">
        <v>1</v>
      </c>
      <c r="J119">
        <v>1</v>
      </c>
      <c r="K119">
        <v>1</v>
      </c>
      <c r="L119">
        <v>1</v>
      </c>
      <c r="M119">
        <v>1</v>
      </c>
      <c r="N119">
        <v>1</v>
      </c>
      <c r="O119">
        <v>1</v>
      </c>
    </row>
    <row r="120" spans="1:16" x14ac:dyDescent="0.25">
      <c r="A120" t="s">
        <v>151</v>
      </c>
      <c r="B120" t="s">
        <v>27</v>
      </c>
      <c r="C120">
        <v>0</v>
      </c>
      <c r="D120">
        <v>2.7432413101196289</v>
      </c>
      <c r="E120">
        <v>1</v>
      </c>
      <c r="F120">
        <v>1</v>
      </c>
      <c r="G120">
        <v>1</v>
      </c>
      <c r="H120">
        <v>1</v>
      </c>
      <c r="I120">
        <v>1</v>
      </c>
      <c r="J120">
        <v>1</v>
      </c>
      <c r="K120">
        <v>1</v>
      </c>
      <c r="L120">
        <v>1</v>
      </c>
      <c r="M120">
        <v>1</v>
      </c>
      <c r="N120">
        <v>1</v>
      </c>
      <c r="O120">
        <v>1</v>
      </c>
    </row>
    <row r="121" spans="1:16" x14ac:dyDescent="0.25">
      <c r="A121" t="s">
        <v>151</v>
      </c>
      <c r="B121" t="s">
        <v>28</v>
      </c>
      <c r="C121">
        <v>0</v>
      </c>
      <c r="D121">
        <v>9.9703214168548584</v>
      </c>
      <c r="E121">
        <v>1</v>
      </c>
      <c r="F121">
        <v>1</v>
      </c>
      <c r="G121">
        <v>1</v>
      </c>
      <c r="H121">
        <v>1</v>
      </c>
      <c r="I121">
        <v>1</v>
      </c>
      <c r="J121">
        <v>1</v>
      </c>
      <c r="K121">
        <v>1</v>
      </c>
      <c r="L121">
        <v>1</v>
      </c>
      <c r="M121">
        <v>1</v>
      </c>
      <c r="N121">
        <v>1</v>
      </c>
      <c r="O121">
        <v>1</v>
      </c>
    </row>
    <row r="122" spans="1:16" x14ac:dyDescent="0.25">
      <c r="A122" t="s">
        <v>151</v>
      </c>
      <c r="B122" t="s">
        <v>29</v>
      </c>
      <c r="C122">
        <v>0</v>
      </c>
      <c r="D122">
        <v>7.7054581642150879</v>
      </c>
      <c r="E122">
        <v>0</v>
      </c>
      <c r="F122" t="s">
        <v>19</v>
      </c>
      <c r="G122" t="s">
        <v>19</v>
      </c>
      <c r="H122" t="s">
        <v>19</v>
      </c>
      <c r="I122" t="s">
        <v>19</v>
      </c>
      <c r="J122" t="s">
        <v>19</v>
      </c>
      <c r="K122" t="s">
        <v>19</v>
      </c>
      <c r="L122" t="s">
        <v>19</v>
      </c>
      <c r="M122" t="s">
        <v>19</v>
      </c>
      <c r="N122" t="s">
        <v>19</v>
      </c>
      <c r="O122" t="s">
        <v>19</v>
      </c>
      <c r="P122" t="s">
        <v>580</v>
      </c>
    </row>
    <row r="123" spans="1:16" x14ac:dyDescent="0.25">
      <c r="A123" t="s">
        <v>151</v>
      </c>
      <c r="B123" t="s">
        <v>30</v>
      </c>
      <c r="C123">
        <v>0</v>
      </c>
      <c r="D123">
        <v>2.7542157173156738</v>
      </c>
      <c r="E123">
        <v>1</v>
      </c>
      <c r="F123">
        <v>1</v>
      </c>
      <c r="G123">
        <v>1</v>
      </c>
      <c r="H123">
        <v>1</v>
      </c>
      <c r="I123">
        <v>1</v>
      </c>
      <c r="J123">
        <v>1</v>
      </c>
      <c r="K123">
        <v>1</v>
      </c>
      <c r="L123">
        <v>1</v>
      </c>
      <c r="M123">
        <v>1</v>
      </c>
      <c r="N123">
        <v>1</v>
      </c>
      <c r="O123">
        <v>1</v>
      </c>
    </row>
    <row r="124" spans="1:16" x14ac:dyDescent="0.25">
      <c r="A124" t="s">
        <v>151</v>
      </c>
      <c r="B124" t="s">
        <v>31</v>
      </c>
      <c r="C124">
        <v>0</v>
      </c>
      <c r="D124">
        <v>13.9767906665802</v>
      </c>
      <c r="E124">
        <v>1</v>
      </c>
      <c r="F124">
        <v>1</v>
      </c>
      <c r="G124">
        <v>1</v>
      </c>
      <c r="H124">
        <v>1</v>
      </c>
      <c r="I124">
        <v>1</v>
      </c>
      <c r="J124">
        <v>0</v>
      </c>
      <c r="K124">
        <v>0</v>
      </c>
      <c r="L124">
        <v>1</v>
      </c>
      <c r="M124">
        <v>1</v>
      </c>
      <c r="N124">
        <v>1</v>
      </c>
      <c r="O124">
        <v>1</v>
      </c>
      <c r="P124" t="s">
        <v>581</v>
      </c>
    </row>
    <row r="125" spans="1:16" x14ac:dyDescent="0.25">
      <c r="A125" t="s">
        <v>151</v>
      </c>
      <c r="B125" t="s">
        <v>32</v>
      </c>
      <c r="C125">
        <v>0</v>
      </c>
      <c r="D125">
        <v>9.8524935245513916</v>
      </c>
      <c r="E125">
        <v>1</v>
      </c>
      <c r="F125">
        <v>1</v>
      </c>
      <c r="G125">
        <v>1</v>
      </c>
      <c r="H125">
        <v>1</v>
      </c>
      <c r="I125">
        <v>1</v>
      </c>
      <c r="J125">
        <v>1</v>
      </c>
      <c r="K125">
        <v>1</v>
      </c>
      <c r="L125">
        <v>1</v>
      </c>
      <c r="M125">
        <v>1</v>
      </c>
      <c r="N125">
        <v>1</v>
      </c>
      <c r="O125">
        <v>1</v>
      </c>
    </row>
    <row r="126" spans="1:16" x14ac:dyDescent="0.25">
      <c r="A126" t="s">
        <v>151</v>
      </c>
      <c r="B126" t="s">
        <v>33</v>
      </c>
      <c r="C126">
        <v>0</v>
      </c>
      <c r="D126">
        <v>6.6793813705444336</v>
      </c>
      <c r="E126">
        <v>1</v>
      </c>
      <c r="F126">
        <v>1</v>
      </c>
      <c r="G126">
        <v>1</v>
      </c>
      <c r="H126">
        <v>1</v>
      </c>
      <c r="I126">
        <v>1</v>
      </c>
      <c r="J126">
        <v>1</v>
      </c>
      <c r="K126">
        <v>1</v>
      </c>
      <c r="L126">
        <v>1</v>
      </c>
      <c r="M126">
        <v>1</v>
      </c>
      <c r="N126">
        <v>1</v>
      </c>
      <c r="O126">
        <v>1</v>
      </c>
    </row>
    <row r="127" spans="1:16" x14ac:dyDescent="0.25">
      <c r="A127" t="s">
        <v>151</v>
      </c>
      <c r="B127" t="s">
        <v>35</v>
      </c>
      <c r="C127">
        <v>0</v>
      </c>
      <c r="D127">
        <v>13.97095775604248</v>
      </c>
      <c r="E127">
        <v>1</v>
      </c>
      <c r="F127">
        <v>1</v>
      </c>
      <c r="G127">
        <v>1</v>
      </c>
      <c r="H127">
        <v>1</v>
      </c>
      <c r="I127">
        <v>1</v>
      </c>
      <c r="J127">
        <v>0</v>
      </c>
      <c r="K127">
        <v>1</v>
      </c>
      <c r="L127">
        <v>1</v>
      </c>
      <c r="M127">
        <v>1</v>
      </c>
      <c r="N127">
        <v>1</v>
      </c>
      <c r="O127">
        <v>1</v>
      </c>
      <c r="P127" t="s">
        <v>582</v>
      </c>
    </row>
    <row r="128" spans="1:16" x14ac:dyDescent="0.25">
      <c r="A128" t="s">
        <v>151</v>
      </c>
      <c r="B128" t="s">
        <v>36</v>
      </c>
      <c r="C128">
        <v>0</v>
      </c>
      <c r="D128">
        <v>2.8128359317779541</v>
      </c>
      <c r="E128">
        <v>1</v>
      </c>
      <c r="F128">
        <v>1</v>
      </c>
      <c r="G128">
        <v>1</v>
      </c>
      <c r="H128">
        <v>1</v>
      </c>
      <c r="I128">
        <v>1</v>
      </c>
      <c r="J128">
        <v>1</v>
      </c>
      <c r="K128">
        <v>1</v>
      </c>
      <c r="L128">
        <v>1</v>
      </c>
      <c r="M128">
        <v>1</v>
      </c>
      <c r="N128">
        <v>1</v>
      </c>
      <c r="O128">
        <v>1</v>
      </c>
    </row>
    <row r="129" spans="1:16" x14ac:dyDescent="0.25">
      <c r="A129" t="s">
        <v>151</v>
      </c>
      <c r="B129" t="s">
        <v>37</v>
      </c>
      <c r="C129">
        <v>0</v>
      </c>
      <c r="D129">
        <v>2.7943108081817631</v>
      </c>
      <c r="E129">
        <v>1</v>
      </c>
      <c r="F129">
        <v>1</v>
      </c>
      <c r="G129">
        <v>1</v>
      </c>
      <c r="H129">
        <v>1</v>
      </c>
      <c r="I129">
        <v>1</v>
      </c>
      <c r="J129">
        <v>1</v>
      </c>
      <c r="K129">
        <v>1</v>
      </c>
      <c r="L129">
        <v>1</v>
      </c>
      <c r="M129">
        <v>1</v>
      </c>
      <c r="N129">
        <v>1</v>
      </c>
      <c r="O129">
        <v>1</v>
      </c>
    </row>
    <row r="130" spans="1:16" x14ac:dyDescent="0.25">
      <c r="A130" t="s">
        <v>151</v>
      </c>
      <c r="B130" t="s">
        <v>39</v>
      </c>
      <c r="C130">
        <v>0</v>
      </c>
      <c r="D130">
        <v>4.0735900402069092</v>
      </c>
      <c r="E130">
        <v>1</v>
      </c>
      <c r="F130">
        <v>1</v>
      </c>
      <c r="G130">
        <v>1</v>
      </c>
      <c r="H130">
        <v>1</v>
      </c>
      <c r="I130">
        <v>0</v>
      </c>
      <c r="J130">
        <v>1</v>
      </c>
      <c r="K130">
        <v>1</v>
      </c>
      <c r="L130">
        <v>1</v>
      </c>
      <c r="M130">
        <v>1</v>
      </c>
      <c r="N130">
        <v>1</v>
      </c>
      <c r="O130">
        <v>1</v>
      </c>
      <c r="P130" t="s">
        <v>583</v>
      </c>
    </row>
    <row r="131" spans="1:16" x14ac:dyDescent="0.25">
      <c r="A131" t="s">
        <v>151</v>
      </c>
      <c r="B131" t="s">
        <v>40</v>
      </c>
      <c r="C131">
        <v>0</v>
      </c>
      <c r="D131">
        <v>6.545616626739502</v>
      </c>
      <c r="E131">
        <v>1</v>
      </c>
      <c r="F131">
        <v>1</v>
      </c>
      <c r="G131">
        <v>0</v>
      </c>
      <c r="H131" t="s">
        <v>19</v>
      </c>
      <c r="I131">
        <v>1</v>
      </c>
      <c r="J131">
        <v>1</v>
      </c>
      <c r="K131">
        <v>1</v>
      </c>
      <c r="L131">
        <v>1</v>
      </c>
      <c r="M131">
        <v>1</v>
      </c>
      <c r="N131">
        <v>1</v>
      </c>
      <c r="O131">
        <v>1</v>
      </c>
      <c r="P131" t="s">
        <v>584</v>
      </c>
    </row>
    <row r="132" spans="1:16" x14ac:dyDescent="0.25">
      <c r="A132" t="s">
        <v>151</v>
      </c>
      <c r="B132" t="s">
        <v>41</v>
      </c>
      <c r="C132">
        <v>0</v>
      </c>
      <c r="D132">
        <v>11.04436469078064</v>
      </c>
      <c r="E132">
        <v>1</v>
      </c>
      <c r="F132">
        <v>1</v>
      </c>
      <c r="G132">
        <v>1</v>
      </c>
      <c r="H132">
        <v>1</v>
      </c>
      <c r="I132">
        <v>1</v>
      </c>
      <c r="J132">
        <v>1</v>
      </c>
      <c r="K132">
        <v>0</v>
      </c>
      <c r="L132">
        <v>1</v>
      </c>
      <c r="M132">
        <v>1</v>
      </c>
      <c r="N132">
        <v>1</v>
      </c>
      <c r="O132">
        <v>1</v>
      </c>
      <c r="P132" t="s">
        <v>585</v>
      </c>
    </row>
    <row r="133" spans="1:16" x14ac:dyDescent="0.25">
      <c r="A133" t="s">
        <v>151</v>
      </c>
      <c r="B133" t="s">
        <v>42</v>
      </c>
      <c r="C133">
        <v>0</v>
      </c>
      <c r="D133">
        <v>6.6891493797302246</v>
      </c>
      <c r="E133">
        <v>1</v>
      </c>
      <c r="F133">
        <v>1</v>
      </c>
      <c r="G133">
        <v>1</v>
      </c>
      <c r="H133">
        <v>1</v>
      </c>
      <c r="I133">
        <v>1</v>
      </c>
      <c r="J133">
        <v>1</v>
      </c>
      <c r="K133">
        <v>0</v>
      </c>
      <c r="L133">
        <v>1</v>
      </c>
      <c r="M133">
        <v>0</v>
      </c>
      <c r="N133">
        <v>1</v>
      </c>
      <c r="O133">
        <v>1</v>
      </c>
      <c r="P133" t="s">
        <v>586</v>
      </c>
    </row>
    <row r="134" spans="1:16" x14ac:dyDescent="0.25">
      <c r="A134" t="s">
        <v>151</v>
      </c>
      <c r="B134" t="s">
        <v>44</v>
      </c>
      <c r="C134">
        <v>0</v>
      </c>
      <c r="D134">
        <v>2.7636945247650151</v>
      </c>
      <c r="E134">
        <v>1</v>
      </c>
      <c r="F134">
        <v>1</v>
      </c>
      <c r="G134">
        <v>1</v>
      </c>
      <c r="H134">
        <v>1</v>
      </c>
      <c r="I134">
        <v>1</v>
      </c>
      <c r="J134">
        <v>1</v>
      </c>
      <c r="K134">
        <v>1</v>
      </c>
      <c r="L134">
        <v>1</v>
      </c>
      <c r="M134">
        <v>1</v>
      </c>
      <c r="N134">
        <v>1</v>
      </c>
      <c r="O134">
        <v>1</v>
      </c>
    </row>
    <row r="135" spans="1:16" x14ac:dyDescent="0.25">
      <c r="A135" t="s">
        <v>151</v>
      </c>
      <c r="B135" t="s">
        <v>46</v>
      </c>
      <c r="C135">
        <v>0</v>
      </c>
      <c r="D135">
        <v>2.7126317024230961</v>
      </c>
      <c r="E135">
        <v>1</v>
      </c>
      <c r="F135">
        <v>1</v>
      </c>
      <c r="G135">
        <v>1</v>
      </c>
      <c r="H135">
        <v>1</v>
      </c>
      <c r="I135">
        <v>1</v>
      </c>
      <c r="J135">
        <v>1</v>
      </c>
      <c r="K135">
        <v>1</v>
      </c>
      <c r="L135">
        <v>1</v>
      </c>
      <c r="M135">
        <v>1</v>
      </c>
      <c r="N135">
        <v>1</v>
      </c>
      <c r="O135">
        <v>1</v>
      </c>
    </row>
    <row r="136" spans="1:16" x14ac:dyDescent="0.25">
      <c r="A136" t="s">
        <v>151</v>
      </c>
      <c r="B136" t="s">
        <v>48</v>
      </c>
      <c r="C136">
        <v>0</v>
      </c>
      <c r="D136">
        <v>8.4471502304077148</v>
      </c>
      <c r="E136">
        <v>1</v>
      </c>
      <c r="F136">
        <v>1</v>
      </c>
      <c r="G136">
        <v>1</v>
      </c>
      <c r="H136">
        <v>1</v>
      </c>
      <c r="I136">
        <v>1</v>
      </c>
      <c r="J136">
        <v>1</v>
      </c>
      <c r="K136">
        <v>1</v>
      </c>
      <c r="L136">
        <v>1</v>
      </c>
      <c r="M136">
        <v>1</v>
      </c>
      <c r="N136">
        <v>1</v>
      </c>
      <c r="O136">
        <v>1</v>
      </c>
    </row>
    <row r="137" spans="1:16" x14ac:dyDescent="0.25">
      <c r="A137" t="s">
        <v>151</v>
      </c>
      <c r="B137" t="s">
        <v>49</v>
      </c>
      <c r="C137">
        <v>0</v>
      </c>
      <c r="D137">
        <v>10.604897499084471</v>
      </c>
      <c r="E137">
        <v>1</v>
      </c>
      <c r="F137">
        <v>0</v>
      </c>
      <c r="G137">
        <v>1</v>
      </c>
      <c r="H137" t="s">
        <v>19</v>
      </c>
      <c r="I137">
        <v>1</v>
      </c>
      <c r="J137" t="s">
        <v>19</v>
      </c>
      <c r="K137">
        <v>1</v>
      </c>
      <c r="L137">
        <v>1</v>
      </c>
      <c r="M137">
        <v>1</v>
      </c>
      <c r="N137">
        <v>1</v>
      </c>
      <c r="O137">
        <v>1</v>
      </c>
      <c r="P137" t="s">
        <v>587</v>
      </c>
    </row>
    <row r="138" spans="1:16" x14ac:dyDescent="0.25">
      <c r="A138" t="s">
        <v>151</v>
      </c>
      <c r="B138" t="s">
        <v>51</v>
      </c>
      <c r="C138">
        <v>0</v>
      </c>
      <c r="D138">
        <v>8.5210387706756592</v>
      </c>
      <c r="E138">
        <v>0</v>
      </c>
      <c r="F138" t="s">
        <v>19</v>
      </c>
      <c r="G138" t="s">
        <v>19</v>
      </c>
      <c r="H138" t="s">
        <v>19</v>
      </c>
      <c r="I138" t="s">
        <v>19</v>
      </c>
      <c r="J138" t="s">
        <v>19</v>
      </c>
      <c r="K138" t="s">
        <v>19</v>
      </c>
      <c r="L138" t="s">
        <v>19</v>
      </c>
      <c r="M138" t="s">
        <v>19</v>
      </c>
      <c r="N138" t="s">
        <v>19</v>
      </c>
      <c r="O138" t="s">
        <v>19</v>
      </c>
      <c r="P138" t="s">
        <v>588</v>
      </c>
    </row>
    <row r="139" spans="1:16" x14ac:dyDescent="0.25">
      <c r="A139" t="s">
        <v>151</v>
      </c>
      <c r="B139" t="s">
        <v>52</v>
      </c>
      <c r="C139">
        <v>0</v>
      </c>
      <c r="D139">
        <v>4.9356710910797119</v>
      </c>
      <c r="E139">
        <v>1</v>
      </c>
      <c r="F139">
        <v>0</v>
      </c>
      <c r="G139">
        <v>1</v>
      </c>
      <c r="H139" t="s">
        <v>19</v>
      </c>
      <c r="I139">
        <v>1</v>
      </c>
      <c r="J139" t="s">
        <v>19</v>
      </c>
      <c r="K139">
        <v>1</v>
      </c>
      <c r="L139">
        <v>1</v>
      </c>
      <c r="M139">
        <v>1</v>
      </c>
      <c r="N139">
        <v>1</v>
      </c>
      <c r="O139">
        <v>1</v>
      </c>
      <c r="P139" t="s">
        <v>589</v>
      </c>
    </row>
    <row r="140" spans="1:16" x14ac:dyDescent="0.25">
      <c r="A140" t="s">
        <v>151</v>
      </c>
      <c r="B140" t="s">
        <v>54</v>
      </c>
      <c r="C140">
        <v>0</v>
      </c>
      <c r="D140">
        <v>10.65773558616638</v>
      </c>
      <c r="E140">
        <v>0</v>
      </c>
      <c r="F140" t="s">
        <v>19</v>
      </c>
      <c r="G140" t="s">
        <v>19</v>
      </c>
      <c r="H140" t="s">
        <v>19</v>
      </c>
      <c r="I140" t="s">
        <v>19</v>
      </c>
      <c r="J140" t="s">
        <v>19</v>
      </c>
      <c r="K140" t="s">
        <v>19</v>
      </c>
      <c r="L140" t="s">
        <v>19</v>
      </c>
      <c r="M140" t="s">
        <v>19</v>
      </c>
      <c r="N140" t="s">
        <v>19</v>
      </c>
      <c r="O140" t="s">
        <v>19</v>
      </c>
      <c r="P140" t="s">
        <v>590</v>
      </c>
    </row>
    <row r="141" spans="1:16" x14ac:dyDescent="0.25">
      <c r="A141" t="s">
        <v>151</v>
      </c>
      <c r="B141" t="s">
        <v>56</v>
      </c>
      <c r="C141">
        <v>0</v>
      </c>
      <c r="D141">
        <v>2.7074179649353032</v>
      </c>
      <c r="E141">
        <v>1</v>
      </c>
      <c r="F141">
        <v>1</v>
      </c>
      <c r="G141">
        <v>1</v>
      </c>
      <c r="H141">
        <v>1</v>
      </c>
      <c r="I141">
        <v>1</v>
      </c>
      <c r="J141">
        <v>1</v>
      </c>
      <c r="K141">
        <v>1</v>
      </c>
      <c r="L141">
        <v>1</v>
      </c>
      <c r="M141">
        <v>1</v>
      </c>
      <c r="N141">
        <v>1</v>
      </c>
      <c r="O141">
        <v>1</v>
      </c>
    </row>
    <row r="142" spans="1:16" x14ac:dyDescent="0.25">
      <c r="A142" t="s">
        <v>151</v>
      </c>
      <c r="B142" t="s">
        <v>58</v>
      </c>
      <c r="C142">
        <v>0</v>
      </c>
      <c r="D142">
        <v>2.7053794860839839</v>
      </c>
      <c r="E142">
        <v>1</v>
      </c>
      <c r="F142">
        <v>1</v>
      </c>
      <c r="G142">
        <v>1</v>
      </c>
      <c r="H142">
        <v>1</v>
      </c>
      <c r="I142">
        <v>1</v>
      </c>
      <c r="J142">
        <v>1</v>
      </c>
      <c r="K142">
        <v>1</v>
      </c>
      <c r="L142">
        <v>1</v>
      </c>
      <c r="M142">
        <v>1</v>
      </c>
      <c r="N142">
        <v>1</v>
      </c>
      <c r="O142">
        <v>1</v>
      </c>
    </row>
    <row r="143" spans="1:16" x14ac:dyDescent="0.25">
      <c r="A143" t="s">
        <v>151</v>
      </c>
      <c r="B143" t="s">
        <v>60</v>
      </c>
      <c r="C143">
        <v>0</v>
      </c>
      <c r="D143">
        <v>9.6893305778503418</v>
      </c>
      <c r="E143">
        <v>1</v>
      </c>
      <c r="F143">
        <v>1</v>
      </c>
      <c r="G143">
        <v>1</v>
      </c>
      <c r="H143">
        <v>1</v>
      </c>
      <c r="I143">
        <v>1</v>
      </c>
      <c r="J143">
        <v>1</v>
      </c>
      <c r="K143">
        <v>1</v>
      </c>
      <c r="L143">
        <v>1</v>
      </c>
      <c r="M143">
        <v>1</v>
      </c>
      <c r="N143">
        <v>1</v>
      </c>
      <c r="O143">
        <v>1</v>
      </c>
    </row>
    <row r="144" spans="1:16" x14ac:dyDescent="0.25">
      <c r="A144" t="s">
        <v>151</v>
      </c>
      <c r="B144" t="s">
        <v>62</v>
      </c>
      <c r="C144">
        <v>0</v>
      </c>
      <c r="D144">
        <v>13.965763330459589</v>
      </c>
      <c r="E144">
        <v>1</v>
      </c>
      <c r="F144">
        <v>0</v>
      </c>
      <c r="G144">
        <v>1</v>
      </c>
      <c r="H144" t="s">
        <v>19</v>
      </c>
      <c r="I144">
        <v>1</v>
      </c>
      <c r="J144" t="s">
        <v>19</v>
      </c>
      <c r="K144">
        <v>0</v>
      </c>
      <c r="L144">
        <v>0</v>
      </c>
      <c r="M144">
        <v>0</v>
      </c>
      <c r="N144">
        <v>1</v>
      </c>
      <c r="O144">
        <v>1</v>
      </c>
      <c r="P144" t="s">
        <v>591</v>
      </c>
    </row>
    <row r="145" spans="1:16" x14ac:dyDescent="0.25">
      <c r="A145" t="s">
        <v>151</v>
      </c>
      <c r="B145" t="s">
        <v>64</v>
      </c>
      <c r="C145">
        <v>0</v>
      </c>
      <c r="D145">
        <v>2.6631970405578609</v>
      </c>
      <c r="E145">
        <v>1</v>
      </c>
      <c r="F145">
        <v>1</v>
      </c>
      <c r="G145">
        <v>1</v>
      </c>
      <c r="H145">
        <v>1</v>
      </c>
      <c r="I145">
        <v>1</v>
      </c>
      <c r="J145">
        <v>1</v>
      </c>
      <c r="K145">
        <v>1</v>
      </c>
      <c r="L145">
        <v>1</v>
      </c>
      <c r="M145">
        <v>1</v>
      </c>
      <c r="N145">
        <v>1</v>
      </c>
      <c r="O145">
        <v>1</v>
      </c>
    </row>
    <row r="146" spans="1:16" x14ac:dyDescent="0.25">
      <c r="A146" t="s">
        <v>151</v>
      </c>
      <c r="B146" t="s">
        <v>65</v>
      </c>
      <c r="C146">
        <v>0</v>
      </c>
      <c r="D146">
        <v>7.5915067195892334</v>
      </c>
      <c r="E146">
        <v>1</v>
      </c>
      <c r="F146">
        <v>0</v>
      </c>
      <c r="G146">
        <v>1</v>
      </c>
      <c r="H146" t="s">
        <v>19</v>
      </c>
      <c r="I146">
        <v>1</v>
      </c>
      <c r="J146" t="s">
        <v>19</v>
      </c>
      <c r="K146">
        <v>1</v>
      </c>
      <c r="L146">
        <v>1</v>
      </c>
      <c r="M146">
        <v>1</v>
      </c>
      <c r="N146">
        <v>1</v>
      </c>
      <c r="O146">
        <v>1</v>
      </c>
      <c r="P146" t="s">
        <v>592</v>
      </c>
    </row>
    <row r="147" spans="1:16" x14ac:dyDescent="0.25">
      <c r="A147" t="s">
        <v>151</v>
      </c>
      <c r="B147" t="s">
        <v>67</v>
      </c>
      <c r="C147">
        <v>0</v>
      </c>
      <c r="D147">
        <v>3.8926527500152588</v>
      </c>
      <c r="E147">
        <v>1</v>
      </c>
      <c r="F147">
        <v>1</v>
      </c>
      <c r="G147">
        <v>1</v>
      </c>
      <c r="H147">
        <v>1</v>
      </c>
      <c r="I147">
        <v>0</v>
      </c>
      <c r="J147">
        <v>1</v>
      </c>
      <c r="K147">
        <v>1</v>
      </c>
      <c r="L147">
        <v>1</v>
      </c>
      <c r="M147">
        <v>1</v>
      </c>
      <c r="N147">
        <v>1</v>
      </c>
      <c r="O147">
        <v>1</v>
      </c>
      <c r="P147" t="s">
        <v>593</v>
      </c>
    </row>
    <row r="148" spans="1:16" x14ac:dyDescent="0.25">
      <c r="A148" t="s">
        <v>151</v>
      </c>
      <c r="B148" t="s">
        <v>69</v>
      </c>
      <c r="C148">
        <v>0</v>
      </c>
      <c r="D148">
        <v>6.8763105869293213</v>
      </c>
      <c r="E148">
        <v>1</v>
      </c>
      <c r="F148">
        <v>0</v>
      </c>
      <c r="G148">
        <v>1</v>
      </c>
      <c r="H148" t="s">
        <v>19</v>
      </c>
      <c r="I148">
        <v>1</v>
      </c>
      <c r="J148" t="s">
        <v>19</v>
      </c>
      <c r="K148">
        <v>1</v>
      </c>
      <c r="L148">
        <v>1</v>
      </c>
      <c r="M148">
        <v>1</v>
      </c>
      <c r="N148">
        <v>1</v>
      </c>
      <c r="O148">
        <v>1</v>
      </c>
      <c r="P148" t="s">
        <v>594</v>
      </c>
    </row>
    <row r="149" spans="1:16" x14ac:dyDescent="0.25">
      <c r="A149" t="s">
        <v>151</v>
      </c>
      <c r="B149" t="s">
        <v>70</v>
      </c>
      <c r="C149">
        <v>0</v>
      </c>
      <c r="D149">
        <v>2.7646105289459229</v>
      </c>
      <c r="E149">
        <v>1</v>
      </c>
      <c r="F149">
        <v>1</v>
      </c>
      <c r="G149">
        <v>1</v>
      </c>
      <c r="H149">
        <v>1</v>
      </c>
      <c r="I149">
        <v>1</v>
      </c>
      <c r="J149">
        <v>1</v>
      </c>
      <c r="K149">
        <v>1</v>
      </c>
      <c r="L149">
        <v>1</v>
      </c>
      <c r="M149">
        <v>1</v>
      </c>
      <c r="N149">
        <v>1</v>
      </c>
      <c r="O149">
        <v>1</v>
      </c>
    </row>
    <row r="150" spans="1:16" x14ac:dyDescent="0.25">
      <c r="A150" t="s">
        <v>151</v>
      </c>
      <c r="B150" t="s">
        <v>71</v>
      </c>
      <c r="C150">
        <v>0</v>
      </c>
      <c r="D150">
        <v>2.675153493881226</v>
      </c>
      <c r="E150">
        <v>1</v>
      </c>
      <c r="F150">
        <v>1</v>
      </c>
      <c r="G150">
        <v>1</v>
      </c>
      <c r="H150">
        <v>1</v>
      </c>
      <c r="I150">
        <v>1</v>
      </c>
      <c r="J150">
        <v>1</v>
      </c>
      <c r="K150">
        <v>1</v>
      </c>
      <c r="L150">
        <v>1</v>
      </c>
      <c r="M150">
        <v>1</v>
      </c>
      <c r="N150">
        <v>1</v>
      </c>
      <c r="O150">
        <v>1</v>
      </c>
    </row>
    <row r="151" spans="1:16" x14ac:dyDescent="0.25">
      <c r="A151" t="s">
        <v>151</v>
      </c>
      <c r="B151" t="s">
        <v>72</v>
      </c>
      <c r="C151">
        <v>0</v>
      </c>
      <c r="D151">
        <v>5.9984691143035889</v>
      </c>
      <c r="E151">
        <v>1</v>
      </c>
      <c r="F151">
        <v>1</v>
      </c>
      <c r="G151">
        <v>0</v>
      </c>
      <c r="H151" t="s">
        <v>19</v>
      </c>
      <c r="I151">
        <v>1</v>
      </c>
      <c r="J151">
        <v>1</v>
      </c>
      <c r="K151">
        <v>1</v>
      </c>
      <c r="L151">
        <v>1</v>
      </c>
      <c r="M151">
        <v>1</v>
      </c>
      <c r="N151">
        <v>1</v>
      </c>
      <c r="O151">
        <v>1</v>
      </c>
      <c r="P151" t="s">
        <v>595</v>
      </c>
    </row>
    <row r="152" spans="1:16" x14ac:dyDescent="0.25">
      <c r="A152" t="s">
        <v>151</v>
      </c>
      <c r="B152" t="s">
        <v>74</v>
      </c>
      <c r="C152">
        <v>0</v>
      </c>
      <c r="D152">
        <v>9.6713693141937256</v>
      </c>
      <c r="E152">
        <v>1</v>
      </c>
      <c r="F152">
        <v>1</v>
      </c>
      <c r="G152">
        <v>1</v>
      </c>
      <c r="H152">
        <v>1</v>
      </c>
      <c r="I152">
        <v>1</v>
      </c>
      <c r="J152">
        <v>1</v>
      </c>
      <c r="K152">
        <v>1</v>
      </c>
      <c r="L152">
        <v>1</v>
      </c>
      <c r="M152">
        <v>1</v>
      </c>
      <c r="N152">
        <v>1</v>
      </c>
      <c r="O152">
        <v>1</v>
      </c>
    </row>
    <row r="153" spans="1:16" x14ac:dyDescent="0.25">
      <c r="A153" t="s">
        <v>151</v>
      </c>
      <c r="B153" t="s">
        <v>76</v>
      </c>
      <c r="C153">
        <v>0</v>
      </c>
      <c r="D153">
        <v>9.1622300148010254</v>
      </c>
      <c r="E153">
        <v>1</v>
      </c>
      <c r="F153">
        <v>1</v>
      </c>
      <c r="G153">
        <v>1</v>
      </c>
      <c r="H153">
        <v>1</v>
      </c>
      <c r="I153">
        <v>1</v>
      </c>
      <c r="J153">
        <v>1</v>
      </c>
      <c r="K153">
        <v>1</v>
      </c>
      <c r="L153">
        <v>1</v>
      </c>
      <c r="M153">
        <v>1</v>
      </c>
      <c r="N153">
        <v>1</v>
      </c>
      <c r="O153">
        <v>1</v>
      </c>
    </row>
    <row r="154" spans="1:16" x14ac:dyDescent="0.25">
      <c r="A154" t="s">
        <v>151</v>
      </c>
      <c r="B154" t="s">
        <v>78</v>
      </c>
      <c r="C154">
        <v>0</v>
      </c>
      <c r="D154">
        <v>2.764556884765625</v>
      </c>
      <c r="E154">
        <v>1</v>
      </c>
      <c r="F154">
        <v>1</v>
      </c>
      <c r="G154">
        <v>1</v>
      </c>
      <c r="H154">
        <v>1</v>
      </c>
      <c r="I154">
        <v>1</v>
      </c>
      <c r="J154">
        <v>1</v>
      </c>
      <c r="K154">
        <v>1</v>
      </c>
      <c r="L154">
        <v>1</v>
      </c>
      <c r="M154">
        <v>1</v>
      </c>
      <c r="N154">
        <v>1</v>
      </c>
      <c r="O154">
        <v>1</v>
      </c>
    </row>
    <row r="155" spans="1:16" x14ac:dyDescent="0.25">
      <c r="A155" t="s">
        <v>151</v>
      </c>
      <c r="B155" t="s">
        <v>80</v>
      </c>
      <c r="C155">
        <v>0</v>
      </c>
      <c r="D155">
        <v>12.735770225524901</v>
      </c>
      <c r="E155">
        <v>0</v>
      </c>
      <c r="F155" t="s">
        <v>19</v>
      </c>
      <c r="G155" t="s">
        <v>19</v>
      </c>
      <c r="H155" t="s">
        <v>19</v>
      </c>
      <c r="I155" t="s">
        <v>19</v>
      </c>
      <c r="J155" t="s">
        <v>19</v>
      </c>
      <c r="K155" t="s">
        <v>19</v>
      </c>
      <c r="L155" t="s">
        <v>19</v>
      </c>
      <c r="M155" t="s">
        <v>19</v>
      </c>
      <c r="N155" t="s">
        <v>19</v>
      </c>
      <c r="O155" t="s">
        <v>19</v>
      </c>
      <c r="P155" t="s">
        <v>596</v>
      </c>
    </row>
    <row r="156" spans="1:16" x14ac:dyDescent="0.25">
      <c r="A156" t="s">
        <v>151</v>
      </c>
      <c r="B156" t="s">
        <v>81</v>
      </c>
      <c r="C156">
        <v>0</v>
      </c>
      <c r="D156">
        <v>2.773678302764893</v>
      </c>
      <c r="E156">
        <v>1</v>
      </c>
      <c r="F156">
        <v>1</v>
      </c>
      <c r="G156">
        <v>1</v>
      </c>
      <c r="H156">
        <v>1</v>
      </c>
      <c r="I156">
        <v>1</v>
      </c>
      <c r="J156">
        <v>1</v>
      </c>
      <c r="K156">
        <v>1</v>
      </c>
      <c r="L156">
        <v>1</v>
      </c>
      <c r="M156">
        <v>1</v>
      </c>
      <c r="N156">
        <v>1</v>
      </c>
      <c r="O156">
        <v>1</v>
      </c>
    </row>
    <row r="157" spans="1:16" x14ac:dyDescent="0.25">
      <c r="A157" t="s">
        <v>151</v>
      </c>
      <c r="B157" t="s">
        <v>83</v>
      </c>
      <c r="C157">
        <v>0</v>
      </c>
      <c r="D157">
        <v>6.1424040794372559</v>
      </c>
      <c r="E157">
        <v>1</v>
      </c>
      <c r="F157">
        <v>1</v>
      </c>
      <c r="G157">
        <v>0</v>
      </c>
      <c r="H157" t="s">
        <v>19</v>
      </c>
      <c r="I157">
        <v>1</v>
      </c>
      <c r="J157">
        <v>1</v>
      </c>
      <c r="K157">
        <v>1</v>
      </c>
      <c r="L157">
        <v>1</v>
      </c>
      <c r="M157">
        <v>1</v>
      </c>
      <c r="N157">
        <v>1</v>
      </c>
      <c r="O157">
        <v>1</v>
      </c>
      <c r="P157" t="s">
        <v>597</v>
      </c>
    </row>
    <row r="158" spans="1:16" x14ac:dyDescent="0.25">
      <c r="A158" t="s">
        <v>151</v>
      </c>
      <c r="B158" t="s">
        <v>85</v>
      </c>
      <c r="C158">
        <v>0</v>
      </c>
      <c r="D158">
        <v>9.8547828197479248</v>
      </c>
      <c r="E158">
        <v>1</v>
      </c>
      <c r="F158">
        <v>1</v>
      </c>
      <c r="G158">
        <v>1</v>
      </c>
      <c r="H158">
        <v>1</v>
      </c>
      <c r="I158">
        <v>1</v>
      </c>
      <c r="J158">
        <v>1</v>
      </c>
      <c r="K158">
        <v>1</v>
      </c>
      <c r="L158">
        <v>1</v>
      </c>
      <c r="M158">
        <v>1</v>
      </c>
      <c r="N158">
        <v>1</v>
      </c>
      <c r="O158">
        <v>1</v>
      </c>
    </row>
    <row r="159" spans="1:16" x14ac:dyDescent="0.25">
      <c r="A159" t="s">
        <v>151</v>
      </c>
      <c r="B159" t="s">
        <v>87</v>
      </c>
      <c r="C159">
        <v>0</v>
      </c>
      <c r="D159">
        <v>8.2453029155731201</v>
      </c>
      <c r="E159">
        <v>1</v>
      </c>
      <c r="F159">
        <v>1</v>
      </c>
      <c r="G159">
        <v>0</v>
      </c>
      <c r="H159" t="s">
        <v>19</v>
      </c>
      <c r="I159">
        <v>1</v>
      </c>
      <c r="J159">
        <v>1</v>
      </c>
      <c r="K159">
        <v>1</v>
      </c>
      <c r="L159">
        <v>1</v>
      </c>
      <c r="M159">
        <v>1</v>
      </c>
      <c r="N159">
        <v>1</v>
      </c>
      <c r="O159">
        <v>1</v>
      </c>
      <c r="P159" t="s">
        <v>598</v>
      </c>
    </row>
    <row r="160" spans="1:16" x14ac:dyDescent="0.25">
      <c r="A160" t="s">
        <v>151</v>
      </c>
      <c r="B160" t="s">
        <v>89</v>
      </c>
      <c r="C160">
        <v>0</v>
      </c>
      <c r="D160">
        <v>5.0351755619049072</v>
      </c>
      <c r="E160">
        <v>1</v>
      </c>
      <c r="F160">
        <v>1</v>
      </c>
      <c r="G160">
        <v>1</v>
      </c>
      <c r="H160">
        <v>1</v>
      </c>
      <c r="I160">
        <v>1</v>
      </c>
      <c r="J160">
        <v>0</v>
      </c>
      <c r="K160">
        <v>1</v>
      </c>
      <c r="L160">
        <v>1</v>
      </c>
      <c r="M160">
        <v>1</v>
      </c>
      <c r="N160">
        <v>1</v>
      </c>
      <c r="O160">
        <v>1</v>
      </c>
      <c r="P160" t="s">
        <v>599</v>
      </c>
    </row>
    <row r="161" spans="1:16" x14ac:dyDescent="0.25">
      <c r="A161" t="s">
        <v>151</v>
      </c>
      <c r="B161" t="s">
        <v>91</v>
      </c>
      <c r="C161">
        <v>0</v>
      </c>
      <c r="D161">
        <v>2.7340035438537602</v>
      </c>
      <c r="E161">
        <v>1</v>
      </c>
      <c r="F161">
        <v>1</v>
      </c>
      <c r="G161">
        <v>1</v>
      </c>
      <c r="H161">
        <v>1</v>
      </c>
      <c r="I161">
        <v>1</v>
      </c>
      <c r="J161">
        <v>1</v>
      </c>
      <c r="K161">
        <v>1</v>
      </c>
      <c r="L161">
        <v>1</v>
      </c>
      <c r="M161">
        <v>1</v>
      </c>
      <c r="N161">
        <v>1</v>
      </c>
      <c r="O161">
        <v>1</v>
      </c>
    </row>
    <row r="162" spans="1:16" x14ac:dyDescent="0.25">
      <c r="A162" t="s">
        <v>151</v>
      </c>
      <c r="B162" t="s">
        <v>93</v>
      </c>
      <c r="C162">
        <v>0</v>
      </c>
      <c r="D162">
        <v>4.6346580982208252</v>
      </c>
      <c r="E162">
        <v>1</v>
      </c>
      <c r="F162">
        <v>1</v>
      </c>
      <c r="G162">
        <v>1</v>
      </c>
      <c r="H162">
        <v>1</v>
      </c>
      <c r="I162">
        <v>1</v>
      </c>
      <c r="J162">
        <v>0</v>
      </c>
      <c r="K162">
        <v>1</v>
      </c>
      <c r="L162">
        <v>1</v>
      </c>
      <c r="M162">
        <v>1</v>
      </c>
      <c r="N162">
        <v>1</v>
      </c>
      <c r="O162">
        <v>1</v>
      </c>
      <c r="P162" t="s">
        <v>600</v>
      </c>
    </row>
    <row r="163" spans="1:16" x14ac:dyDescent="0.25">
      <c r="A163" t="s">
        <v>151</v>
      </c>
      <c r="B163" t="s">
        <v>128</v>
      </c>
      <c r="C163">
        <v>0</v>
      </c>
      <c r="D163">
        <v>6.9483942985534668</v>
      </c>
      <c r="E163">
        <v>1</v>
      </c>
      <c r="F163">
        <v>1</v>
      </c>
      <c r="G163">
        <v>0</v>
      </c>
      <c r="H163" t="s">
        <v>19</v>
      </c>
      <c r="I163">
        <v>1</v>
      </c>
      <c r="J163">
        <v>0</v>
      </c>
      <c r="K163">
        <v>1</v>
      </c>
      <c r="L163">
        <v>1</v>
      </c>
      <c r="M163">
        <v>1</v>
      </c>
      <c r="N163">
        <v>1</v>
      </c>
      <c r="O163">
        <v>1</v>
      </c>
      <c r="P163" t="s">
        <v>601</v>
      </c>
    </row>
    <row r="164" spans="1:16" x14ac:dyDescent="0.25">
      <c r="A164" t="s">
        <v>151</v>
      </c>
      <c r="B164" t="s">
        <v>129</v>
      </c>
      <c r="C164">
        <v>0</v>
      </c>
      <c r="D164">
        <v>8.9830703735351563</v>
      </c>
      <c r="E164">
        <v>1</v>
      </c>
      <c r="F164">
        <v>1</v>
      </c>
      <c r="G164">
        <v>1</v>
      </c>
      <c r="H164">
        <v>1</v>
      </c>
      <c r="I164">
        <v>1</v>
      </c>
      <c r="J164">
        <v>1</v>
      </c>
      <c r="K164">
        <v>1</v>
      </c>
      <c r="L164">
        <v>1</v>
      </c>
      <c r="M164">
        <v>1</v>
      </c>
      <c r="N164">
        <v>1</v>
      </c>
      <c r="O164">
        <v>1</v>
      </c>
    </row>
    <row r="165" spans="1:16" x14ac:dyDescent="0.25">
      <c r="A165" t="s">
        <v>151</v>
      </c>
      <c r="B165" t="s">
        <v>131</v>
      </c>
      <c r="C165">
        <v>0</v>
      </c>
      <c r="D165">
        <v>4.3649106025695801</v>
      </c>
      <c r="E165">
        <v>1</v>
      </c>
      <c r="F165">
        <v>1</v>
      </c>
      <c r="G165">
        <v>1</v>
      </c>
      <c r="H165">
        <v>1</v>
      </c>
      <c r="I165">
        <v>0</v>
      </c>
      <c r="J165">
        <v>1</v>
      </c>
      <c r="K165">
        <v>1</v>
      </c>
      <c r="L165">
        <v>1</v>
      </c>
      <c r="M165">
        <v>1</v>
      </c>
      <c r="N165">
        <v>1</v>
      </c>
      <c r="O165">
        <v>1</v>
      </c>
      <c r="P165" t="s">
        <v>602</v>
      </c>
    </row>
    <row r="166" spans="1:16" x14ac:dyDescent="0.25">
      <c r="A166" t="s">
        <v>151</v>
      </c>
      <c r="B166" t="s">
        <v>133</v>
      </c>
      <c r="C166">
        <v>0</v>
      </c>
      <c r="D166">
        <v>5.0030436515808114</v>
      </c>
      <c r="E166">
        <v>1</v>
      </c>
      <c r="F166">
        <v>1</v>
      </c>
      <c r="G166">
        <v>1</v>
      </c>
      <c r="H166">
        <v>1</v>
      </c>
      <c r="I166">
        <v>1</v>
      </c>
      <c r="J166">
        <v>0</v>
      </c>
      <c r="K166">
        <v>1</v>
      </c>
      <c r="L166">
        <v>1</v>
      </c>
      <c r="M166">
        <v>1</v>
      </c>
      <c r="N166">
        <v>1</v>
      </c>
      <c r="O166">
        <v>1</v>
      </c>
      <c r="P166" t="s">
        <v>603</v>
      </c>
    </row>
    <row r="167" spans="1:16" x14ac:dyDescent="0.25">
      <c r="A167" t="s">
        <v>151</v>
      </c>
      <c r="B167" t="s">
        <v>134</v>
      </c>
      <c r="C167">
        <v>0</v>
      </c>
      <c r="D167">
        <v>4.8872356414794922</v>
      </c>
      <c r="E167">
        <v>1</v>
      </c>
      <c r="F167">
        <v>1</v>
      </c>
      <c r="G167">
        <v>1</v>
      </c>
      <c r="H167">
        <v>1</v>
      </c>
      <c r="I167">
        <v>1</v>
      </c>
      <c r="J167">
        <v>0</v>
      </c>
      <c r="K167">
        <v>1</v>
      </c>
      <c r="L167">
        <v>1</v>
      </c>
      <c r="M167">
        <v>1</v>
      </c>
      <c r="N167">
        <v>1</v>
      </c>
      <c r="O167">
        <v>1</v>
      </c>
      <c r="P167" t="s">
        <v>604</v>
      </c>
    </row>
    <row r="168" spans="1:16" x14ac:dyDescent="0.25">
      <c r="A168" t="s">
        <v>151</v>
      </c>
      <c r="B168" t="s">
        <v>136</v>
      </c>
      <c r="C168">
        <v>0</v>
      </c>
      <c r="D168">
        <v>4.3535380363464364</v>
      </c>
      <c r="E168">
        <v>1</v>
      </c>
      <c r="F168">
        <v>1</v>
      </c>
      <c r="G168">
        <v>1</v>
      </c>
      <c r="H168">
        <v>1</v>
      </c>
      <c r="I168">
        <v>1</v>
      </c>
      <c r="J168">
        <v>0</v>
      </c>
      <c r="K168">
        <v>1</v>
      </c>
      <c r="L168">
        <v>1</v>
      </c>
      <c r="M168">
        <v>1</v>
      </c>
      <c r="N168">
        <v>1</v>
      </c>
      <c r="O168">
        <v>1</v>
      </c>
      <c r="P168" t="s">
        <v>605</v>
      </c>
    </row>
    <row r="169" spans="1:16" x14ac:dyDescent="0.25">
      <c r="A169" t="s">
        <v>151</v>
      </c>
      <c r="B169" t="s">
        <v>138</v>
      </c>
      <c r="C169">
        <v>0</v>
      </c>
      <c r="D169">
        <v>2.7616410255432129</v>
      </c>
      <c r="E169">
        <v>1</v>
      </c>
      <c r="F169">
        <v>1</v>
      </c>
      <c r="G169">
        <v>1</v>
      </c>
      <c r="H169">
        <v>1</v>
      </c>
      <c r="I169">
        <v>1</v>
      </c>
      <c r="J169">
        <v>1</v>
      </c>
      <c r="K169">
        <v>1</v>
      </c>
      <c r="L169">
        <v>1</v>
      </c>
      <c r="M169">
        <v>1</v>
      </c>
      <c r="N169">
        <v>1</v>
      </c>
      <c r="O169">
        <v>1</v>
      </c>
    </row>
    <row r="170" spans="1:16" x14ac:dyDescent="0.25">
      <c r="A170" t="s">
        <v>151</v>
      </c>
      <c r="B170" t="s">
        <v>140</v>
      </c>
      <c r="C170">
        <v>0</v>
      </c>
      <c r="D170">
        <v>4.8179821968078613</v>
      </c>
      <c r="E170">
        <v>1</v>
      </c>
      <c r="F170">
        <v>1</v>
      </c>
      <c r="G170">
        <v>1</v>
      </c>
      <c r="H170">
        <v>0</v>
      </c>
      <c r="I170">
        <v>1</v>
      </c>
      <c r="J170">
        <v>1</v>
      </c>
      <c r="K170">
        <v>1</v>
      </c>
      <c r="L170">
        <v>1</v>
      </c>
      <c r="M170">
        <v>1</v>
      </c>
      <c r="N170">
        <v>1</v>
      </c>
      <c r="O170">
        <v>1</v>
      </c>
      <c r="P170" t="s">
        <v>606</v>
      </c>
    </row>
    <row r="171" spans="1:16" x14ac:dyDescent="0.25">
      <c r="A171" t="s">
        <v>151</v>
      </c>
      <c r="B171" t="s">
        <v>142</v>
      </c>
      <c r="C171">
        <v>0</v>
      </c>
      <c r="D171">
        <v>10.930216312408451</v>
      </c>
      <c r="E171">
        <v>1</v>
      </c>
      <c r="F171">
        <v>1</v>
      </c>
      <c r="G171">
        <v>1</v>
      </c>
      <c r="H171">
        <v>1</v>
      </c>
      <c r="I171">
        <v>1</v>
      </c>
      <c r="J171">
        <v>1</v>
      </c>
      <c r="K171">
        <v>1</v>
      </c>
      <c r="L171">
        <v>1</v>
      </c>
      <c r="M171">
        <v>1</v>
      </c>
      <c r="N171">
        <v>1</v>
      </c>
      <c r="O171">
        <v>1</v>
      </c>
    </row>
    <row r="172" spans="1:16" x14ac:dyDescent="0.25">
      <c r="A172" t="s">
        <v>151</v>
      </c>
      <c r="B172" t="s">
        <v>143</v>
      </c>
      <c r="C172">
        <v>0</v>
      </c>
      <c r="D172">
        <v>9.6157073974609375</v>
      </c>
      <c r="E172">
        <v>0</v>
      </c>
      <c r="F172" t="s">
        <v>19</v>
      </c>
      <c r="G172" t="s">
        <v>19</v>
      </c>
      <c r="H172" t="s">
        <v>19</v>
      </c>
      <c r="I172" t="s">
        <v>19</v>
      </c>
      <c r="J172" t="s">
        <v>19</v>
      </c>
      <c r="K172" t="s">
        <v>19</v>
      </c>
      <c r="L172" t="s">
        <v>19</v>
      </c>
      <c r="M172" t="s">
        <v>19</v>
      </c>
      <c r="N172" t="s">
        <v>19</v>
      </c>
      <c r="O172" t="s">
        <v>19</v>
      </c>
      <c r="P172" t="s">
        <v>607</v>
      </c>
    </row>
    <row r="173" spans="1:16" x14ac:dyDescent="0.25">
      <c r="A173" t="s">
        <v>151</v>
      </c>
      <c r="B173" t="s">
        <v>145</v>
      </c>
      <c r="C173">
        <v>0</v>
      </c>
      <c r="D173">
        <v>4.5099787712097168</v>
      </c>
      <c r="E173">
        <v>1</v>
      </c>
      <c r="F173">
        <v>1</v>
      </c>
      <c r="G173">
        <v>1</v>
      </c>
      <c r="H173">
        <v>1</v>
      </c>
      <c r="I173">
        <v>1</v>
      </c>
      <c r="J173">
        <v>0</v>
      </c>
      <c r="K173">
        <v>1</v>
      </c>
      <c r="L173">
        <v>1</v>
      </c>
      <c r="M173">
        <v>1</v>
      </c>
      <c r="N173">
        <v>1</v>
      </c>
      <c r="O173">
        <v>1</v>
      </c>
      <c r="P173" t="s">
        <v>608</v>
      </c>
    </row>
    <row r="174" spans="1:16" x14ac:dyDescent="0.25">
      <c r="A174" t="s">
        <v>151</v>
      </c>
      <c r="B174" t="s">
        <v>146</v>
      </c>
      <c r="C174">
        <v>0</v>
      </c>
      <c r="D174">
        <v>4.3053722381591797</v>
      </c>
      <c r="E174">
        <v>1</v>
      </c>
      <c r="F174">
        <v>1</v>
      </c>
      <c r="G174">
        <v>1</v>
      </c>
      <c r="H174">
        <v>1</v>
      </c>
      <c r="I174">
        <v>1</v>
      </c>
      <c r="J174">
        <v>0</v>
      </c>
      <c r="K174">
        <v>1</v>
      </c>
      <c r="L174">
        <v>1</v>
      </c>
      <c r="M174">
        <v>1</v>
      </c>
      <c r="N174">
        <v>1</v>
      </c>
      <c r="O174">
        <v>1</v>
      </c>
      <c r="P174" t="s">
        <v>609</v>
      </c>
    </row>
    <row r="175" spans="1:16" x14ac:dyDescent="0.25">
      <c r="A175" t="s">
        <v>151</v>
      </c>
      <c r="B175" t="s">
        <v>148</v>
      </c>
      <c r="C175">
        <v>0</v>
      </c>
      <c r="D175">
        <v>5.645627498626709</v>
      </c>
      <c r="E175">
        <v>1</v>
      </c>
      <c r="F175">
        <v>1</v>
      </c>
      <c r="G175">
        <v>1</v>
      </c>
      <c r="H175">
        <v>1</v>
      </c>
      <c r="I175">
        <v>1</v>
      </c>
      <c r="J175">
        <v>0</v>
      </c>
      <c r="K175">
        <v>0</v>
      </c>
      <c r="L175">
        <v>1</v>
      </c>
      <c r="M175">
        <v>1</v>
      </c>
      <c r="N175">
        <v>1</v>
      </c>
      <c r="O175">
        <v>1</v>
      </c>
      <c r="P175" t="s">
        <v>610</v>
      </c>
    </row>
    <row r="176" spans="1:16" x14ac:dyDescent="0.25">
      <c r="A176" t="s">
        <v>151</v>
      </c>
      <c r="B176" t="s">
        <v>149</v>
      </c>
      <c r="C176">
        <v>0</v>
      </c>
      <c r="D176">
        <v>2.864721298217773</v>
      </c>
      <c r="E176">
        <v>1</v>
      </c>
      <c r="F176">
        <v>1</v>
      </c>
      <c r="G176">
        <v>1</v>
      </c>
      <c r="H176">
        <v>1</v>
      </c>
      <c r="I176">
        <v>1</v>
      </c>
      <c r="J176">
        <v>1</v>
      </c>
      <c r="K176">
        <v>1</v>
      </c>
      <c r="L176">
        <v>1</v>
      </c>
      <c r="M176">
        <v>1</v>
      </c>
      <c r="N176">
        <v>1</v>
      </c>
      <c r="O176">
        <v>1</v>
      </c>
    </row>
    <row r="177" spans="1:16" x14ac:dyDescent="0.25">
      <c r="A177" t="s">
        <v>151</v>
      </c>
      <c r="B177" t="s">
        <v>190</v>
      </c>
      <c r="C177">
        <v>0</v>
      </c>
      <c r="D177">
        <v>5.0431206226348877</v>
      </c>
      <c r="E177">
        <v>1</v>
      </c>
      <c r="F177">
        <v>1</v>
      </c>
      <c r="G177">
        <v>1</v>
      </c>
      <c r="H177">
        <v>1</v>
      </c>
      <c r="I177">
        <v>1</v>
      </c>
      <c r="J177">
        <v>1</v>
      </c>
      <c r="K177">
        <v>1</v>
      </c>
      <c r="L177">
        <v>0</v>
      </c>
      <c r="M177">
        <v>1</v>
      </c>
      <c r="N177">
        <v>0</v>
      </c>
      <c r="O177">
        <v>1</v>
      </c>
      <c r="P177" t="s">
        <v>611</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8CE3F-5C09-408C-A491-320D9AEA9F59}">
  <dimension ref="A1:P177"/>
  <sheetViews>
    <sheetView tabSelected="1" workbookViewId="0">
      <selection activeCell="F4" sqref="F4"/>
    </sheetView>
  </sheetViews>
  <sheetFormatPr defaultRowHeight="13.8" x14ac:dyDescent="0.25"/>
  <sheetData>
    <row r="1" spans="1:16"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row>
    <row r="2" spans="1:16" x14ac:dyDescent="0.25">
      <c r="A2" t="s">
        <v>16</v>
      </c>
      <c r="B2" t="s">
        <v>17</v>
      </c>
      <c r="C2">
        <v>0</v>
      </c>
      <c r="D2">
        <v>2.7407186031341548</v>
      </c>
      <c r="E2">
        <f>ROUND(SUM(householdfinance_v2_9!E2,householdfinance_v2_8!E2,householdfinance_v2_7!E2,householdfinance_v2_6!E2,householdfinance_v2_10!E2)/COUNT(householdfinance_v2_9!E2,householdfinance_v2_8!E2,householdfinance_v2_7!E2,householdfinance_v2_6!E2,householdfinance_v2_10!E2),0)</f>
        <v>1</v>
      </c>
      <c r="F2">
        <f>IF($E2=0,"NA",ROUND(SUM(householdfinance_v2_9!F2,householdfinance_v2_8!F2,householdfinance_v2_7!F2,householdfinance_v2_6!F2,householdfinance_v2_10!F2)/COUNT(householdfinance_v2_9!F2,householdfinance_v2_8!F2,householdfinance_v2_7!F2,householdfinance_v2_6!F2,householdfinance_v2_10!F2),0))</f>
        <v>1</v>
      </c>
      <c r="G2">
        <f>IF($E2=0,"NA",ROUND(SUM(householdfinance_v2_9!G2,householdfinance_v2_8!G2,householdfinance_v2_7!G2,householdfinance_v2_6!G2,householdfinance_v2_10!G2)/COUNT(householdfinance_v2_9!G2,householdfinance_v2_8!G2,householdfinance_v2_7!G2,householdfinance_v2_6!G2,householdfinance_v2_10!G2),0))</f>
        <v>1</v>
      </c>
      <c r="H2">
        <f>IF(AND(F2=1,G2=1),ROUND(SUM(householdfinance_v2_9!H2,householdfinance_v2_8!H2,householdfinance_v2_7!H2,householdfinance_v2_6!H2,householdfinance_v2_10!H2)/COUNT(householdfinance_v2_9!H2,householdfinance_v2_8!H2,householdfinance_v2_7!H2,householdfinance_v2_6!H2,householdfinance_v2_10!H2),0),"NA")</f>
        <v>1</v>
      </c>
      <c r="I2">
        <f>IF($E2=0,"NA",ROUND(SUM(householdfinance_v2_9!I2,householdfinance_v2_8!I2,householdfinance_v2_7!I2,householdfinance_v2_6!I2,householdfinance_v2_10!I2)/COUNT(householdfinance_v2_9!I2,householdfinance_v2_8!I2,householdfinance_v2_7!I2,householdfinance_v2_6!I2,householdfinance_v2_10!I2),0))</f>
        <v>1</v>
      </c>
      <c r="J2">
        <f>IF(F2=1,ROUND(SUM(householdfinance_v2_9!J2,householdfinance_v2_8!J2,householdfinance_v2_7!J2,householdfinance_v2_6!J2,householdfinance_v2_10!J2)/COUNT(householdfinance_v2_9!J2,householdfinance_v2_8!J2,householdfinance_v2_7!J2,householdfinance_v2_6!J2,householdfinance_v2_10!J2),0),"NA")</f>
        <v>1</v>
      </c>
      <c r="K2">
        <f>IF($E2=0,"NA",ROUND(SUM(householdfinance_v2_9!K2,householdfinance_v2_8!K2,householdfinance_v2_7!K2,householdfinance_v2_6!K2,householdfinance_v2_10!K2)/COUNT(householdfinance_v2_9!K2,householdfinance_v2_8!K2,householdfinance_v2_7!K2,householdfinance_v2_6!K2,householdfinance_v2_10!K2),0))</f>
        <v>1</v>
      </c>
      <c r="L2">
        <f>IF($E2=0,"NA",ROUND(SUM(householdfinance_v2_9!L2,householdfinance_v2_8!L2,householdfinance_v2_7!L2,householdfinance_v2_6!L2,householdfinance_v2_10!L2)/COUNT(householdfinance_v2_9!L2,householdfinance_v2_8!L2,householdfinance_v2_7!L2,householdfinance_v2_6!L2,householdfinance_v2_10!L2),0))</f>
        <v>1</v>
      </c>
      <c r="M2">
        <f>IF($E2=0,"NA",ROUND(SUM(householdfinance_v2_9!M2,householdfinance_v2_8!M2,householdfinance_v2_7!M2,householdfinance_v2_6!M2,householdfinance_v2_10!M2)/COUNT(householdfinance_v2_9!M2,householdfinance_v2_8!M2,householdfinance_v2_7!M2,householdfinance_v2_6!M2,householdfinance_v2_10!M2),0))</f>
        <v>1</v>
      </c>
      <c r="N2">
        <f>IF($E2=0,"NA",ROUND(SUM(householdfinance_v2_9!N2,householdfinance_v2_8!N2,householdfinance_v2_7!N2,householdfinance_v2_6!N2,householdfinance_v2_10!N2)/COUNT(householdfinance_v2_9!N2,householdfinance_v2_8!N2,householdfinance_v2_7!N2,householdfinance_v2_6!N2,householdfinance_v2_10!N2),0))</f>
        <v>1</v>
      </c>
      <c r="O2">
        <f>IF($E2=0,"NA",ROUND(SUM(householdfinance_v2_9!O2,householdfinance_v2_8!O2,householdfinance_v2_7!O2,householdfinance_v2_6!O2,householdfinance_v2_10!O2)/COUNT(householdfinance_v2_9!O2,householdfinance_v2_8!O2,householdfinance_v2_7!O2,householdfinance_v2_6!O2,householdfinance_v2_10!O2),0))</f>
        <v>1</v>
      </c>
    </row>
    <row r="3" spans="1:16" x14ac:dyDescent="0.25">
      <c r="A3" t="s">
        <v>16</v>
      </c>
      <c r="B3" t="s">
        <v>18</v>
      </c>
      <c r="C3">
        <v>0</v>
      </c>
      <c r="D3">
        <v>7.7022881507873544</v>
      </c>
      <c r="E3">
        <f>ROUND(SUM(householdfinance_v2_9!E3,householdfinance_v2_8!E3,householdfinance_v2_7!E3,householdfinance_v2_6!E3,householdfinance_v2_10!E3)/COUNT(householdfinance_v2_9!E3,householdfinance_v2_8!E3,householdfinance_v2_7!E3,householdfinance_v2_6!E3,householdfinance_v2_10!E3),0)</f>
        <v>1</v>
      </c>
      <c r="F3">
        <f>IF($E3=0,"NA",ROUND(SUM(householdfinance_v2_9!F3,householdfinance_v2_8!F3,householdfinance_v2_7!F3,householdfinance_v2_6!F3,householdfinance_v2_10!F3)/COUNT(householdfinance_v2_9!F3,householdfinance_v2_8!F3,householdfinance_v2_7!F3,householdfinance_v2_6!F3,householdfinance_v2_10!F3),0))</f>
        <v>1</v>
      </c>
      <c r="G3">
        <f>IF($E3=0,"NA",ROUND(SUM(householdfinance_v2_9!G3,householdfinance_v2_8!G3,householdfinance_v2_7!G3,householdfinance_v2_6!G3,householdfinance_v2_10!G3)/COUNT(householdfinance_v2_9!G3,householdfinance_v2_8!G3,householdfinance_v2_7!G3,householdfinance_v2_6!G3,householdfinance_v2_10!G3),0))</f>
        <v>0</v>
      </c>
      <c r="H3" t="str">
        <f>IF(AND(F3=1,G3=1),ROUND(SUM(householdfinance_v2_9!H3,householdfinance_v2_8!H3,householdfinance_v2_7!H3,householdfinance_v2_6!H3,householdfinance_v2_10!H3)/COUNT(householdfinance_v2_9!H3,householdfinance_v2_8!H3,householdfinance_v2_7!H3,householdfinance_v2_6!H3,householdfinance_v2_10!H3),0),"NA")</f>
        <v>NA</v>
      </c>
      <c r="I3">
        <f>IF($E3=0,"NA",ROUND(SUM(householdfinance_v2_9!I3,householdfinance_v2_8!I3,householdfinance_v2_7!I3,householdfinance_v2_6!I3,householdfinance_v2_10!I3)/COUNT(householdfinance_v2_9!I3,householdfinance_v2_8!I3,householdfinance_v2_7!I3,householdfinance_v2_6!I3,householdfinance_v2_10!I3),0))</f>
        <v>1</v>
      </c>
      <c r="J3">
        <f>IF(F3=1,ROUND(SUM(householdfinance_v2_9!J3,householdfinance_v2_8!J3,householdfinance_v2_7!J3,householdfinance_v2_6!J3,householdfinance_v2_10!J3)/COUNT(householdfinance_v2_9!J3,householdfinance_v2_8!J3,householdfinance_v2_7!J3,householdfinance_v2_6!J3,householdfinance_v2_10!J3),0),"NA")</f>
        <v>1</v>
      </c>
      <c r="K3">
        <f>IF($E3=0,"NA",ROUND(SUM(householdfinance_v2_9!K3,householdfinance_v2_8!K3,householdfinance_v2_7!K3,householdfinance_v2_6!K3,householdfinance_v2_10!K3)/COUNT(householdfinance_v2_9!K3,householdfinance_v2_8!K3,householdfinance_v2_7!K3,householdfinance_v2_6!K3,householdfinance_v2_10!K3),0))</f>
        <v>1</v>
      </c>
      <c r="L3">
        <f>IF($E3=0,"NA",ROUND(SUM(householdfinance_v2_9!L3,householdfinance_v2_8!L3,householdfinance_v2_7!L3,householdfinance_v2_6!L3,householdfinance_v2_10!L3)/COUNT(householdfinance_v2_9!L3,householdfinance_v2_8!L3,householdfinance_v2_7!L3,householdfinance_v2_6!L3,householdfinance_v2_10!L3),0))</f>
        <v>1</v>
      </c>
      <c r="M3">
        <f>IF($E3=0,"NA",ROUND(SUM(householdfinance_v2_9!M3,householdfinance_v2_8!M3,householdfinance_v2_7!M3,householdfinance_v2_6!M3,householdfinance_v2_10!M3)/COUNT(householdfinance_v2_9!M3,householdfinance_v2_8!M3,householdfinance_v2_7!M3,householdfinance_v2_6!M3,householdfinance_v2_10!M3),0))</f>
        <v>0</v>
      </c>
      <c r="N3">
        <f>IF($E3=0,"NA",ROUND(SUM(householdfinance_v2_9!N3,householdfinance_v2_8!N3,householdfinance_v2_7!N3,householdfinance_v2_6!N3,householdfinance_v2_10!N3)/COUNT(householdfinance_v2_9!N3,householdfinance_v2_8!N3,householdfinance_v2_7!N3,householdfinance_v2_6!N3,householdfinance_v2_10!N3),0))</f>
        <v>1</v>
      </c>
      <c r="O3">
        <f>IF($E3=0,"NA",ROUND(SUM(householdfinance_v2_9!O3,householdfinance_v2_8!O3,householdfinance_v2_7!O3,householdfinance_v2_6!O3,householdfinance_v2_10!O3)/COUNT(householdfinance_v2_9!O3,householdfinance_v2_8!O3,householdfinance_v2_7!O3,householdfinance_v2_6!O3,householdfinance_v2_10!O3),0))</f>
        <v>1</v>
      </c>
    </row>
    <row r="4" spans="1:16" x14ac:dyDescent="0.25">
      <c r="A4" t="s">
        <v>16</v>
      </c>
      <c r="B4" t="s">
        <v>21</v>
      </c>
      <c r="C4">
        <v>0</v>
      </c>
      <c r="D4">
        <v>11.642370939254761</v>
      </c>
      <c r="E4">
        <f>ROUND(SUM(householdfinance_v2_9!E4,householdfinance_v2_8!E4,householdfinance_v2_7!E4,householdfinance_v2_6!E4,householdfinance_v2_10!E4)/COUNT(householdfinance_v2_9!E4,householdfinance_v2_8!E4,householdfinance_v2_7!E4,householdfinance_v2_6!E4,householdfinance_v2_10!E4),0)</f>
        <v>1</v>
      </c>
      <c r="F4">
        <f>IF($E4=0,"NA",ROUND(SUM(householdfinance_v2_9!F4,householdfinance_v2_8!F4,householdfinance_v2_7!F4,householdfinance_v2_6!F4,householdfinance_v2_10!F4)/COUNT(householdfinance_v2_9!F4,householdfinance_v2_8!F4,householdfinance_v2_7!F4,householdfinance_v2_6!F4,householdfinance_v2_10!F4),0))</f>
        <v>1</v>
      </c>
      <c r="G4">
        <f>IF($E4=0,"NA",ROUND(SUM(householdfinance_v2_9!G4,householdfinance_v2_8!G4,householdfinance_v2_7!G4,householdfinance_v2_6!G4,householdfinance_v2_10!G4)/COUNT(householdfinance_v2_9!G4,householdfinance_v2_8!G4,householdfinance_v2_7!G4,householdfinance_v2_6!G4,householdfinance_v2_10!G4),0))</f>
        <v>1</v>
      </c>
      <c r="H4">
        <f>IF(AND(F4=1,G4=1),ROUND(SUM(householdfinance_v2_9!H4,householdfinance_v2_8!H4,householdfinance_v2_7!H4,householdfinance_v2_6!H4,householdfinance_v2_10!H4)/COUNT(householdfinance_v2_9!H4,householdfinance_v2_8!H4,householdfinance_v2_7!H4,householdfinance_v2_6!H4,householdfinance_v2_10!H4),0),"NA")</f>
        <v>1</v>
      </c>
      <c r="I4">
        <f>IF($E4=0,"NA",ROUND(SUM(householdfinance_v2_9!I4,householdfinance_v2_8!I4,householdfinance_v2_7!I4,householdfinance_v2_6!I4,householdfinance_v2_10!I4)/COUNT(householdfinance_v2_9!I4,householdfinance_v2_8!I4,householdfinance_v2_7!I4,householdfinance_v2_6!I4,householdfinance_v2_10!I4),0))</f>
        <v>0</v>
      </c>
      <c r="J4">
        <f>IF(F4=1,ROUND(SUM(householdfinance_v2_9!J4,householdfinance_v2_8!J4,householdfinance_v2_7!J4,householdfinance_v2_6!J4,householdfinance_v2_10!J4)/COUNT(householdfinance_v2_9!J4,householdfinance_v2_8!J4,householdfinance_v2_7!J4,householdfinance_v2_6!J4,householdfinance_v2_10!J4),0),"NA")</f>
        <v>1</v>
      </c>
      <c r="K4">
        <f>IF($E4=0,"NA",ROUND(SUM(householdfinance_v2_9!K4,householdfinance_v2_8!K4,householdfinance_v2_7!K4,householdfinance_v2_6!K4,householdfinance_v2_10!K4)/COUNT(householdfinance_v2_9!K4,householdfinance_v2_8!K4,householdfinance_v2_7!K4,householdfinance_v2_6!K4,householdfinance_v2_10!K4),0))</f>
        <v>1</v>
      </c>
      <c r="L4">
        <f>IF($E4=0,"NA",ROUND(SUM(householdfinance_v2_9!L4,householdfinance_v2_8!L4,householdfinance_v2_7!L4,householdfinance_v2_6!L4,householdfinance_v2_10!L4)/COUNT(householdfinance_v2_9!L4,householdfinance_v2_8!L4,householdfinance_v2_7!L4,householdfinance_v2_6!L4,householdfinance_v2_10!L4),0))</f>
        <v>1</v>
      </c>
      <c r="M4">
        <f>IF($E4=0,"NA",ROUND(SUM(householdfinance_v2_9!M4,householdfinance_v2_8!M4,householdfinance_v2_7!M4,householdfinance_v2_6!M4,householdfinance_v2_10!M4)/COUNT(householdfinance_v2_9!M4,householdfinance_v2_8!M4,householdfinance_v2_7!M4,householdfinance_v2_6!M4,householdfinance_v2_10!M4),0))</f>
        <v>1</v>
      </c>
      <c r="N4">
        <f>IF($E4=0,"NA",ROUND(SUM(householdfinance_v2_9!N4,householdfinance_v2_8!N4,householdfinance_v2_7!N4,householdfinance_v2_6!N4,householdfinance_v2_10!N4)/COUNT(householdfinance_v2_9!N4,householdfinance_v2_8!N4,householdfinance_v2_7!N4,householdfinance_v2_6!N4,householdfinance_v2_10!N4),0))</f>
        <v>1</v>
      </c>
      <c r="O4">
        <f>IF($E4=0,"NA",ROUND(SUM(householdfinance_v2_9!O4,householdfinance_v2_8!O4,householdfinance_v2_7!O4,householdfinance_v2_6!O4,householdfinance_v2_10!O4)/COUNT(householdfinance_v2_9!O4,householdfinance_v2_8!O4,householdfinance_v2_7!O4,householdfinance_v2_6!O4,householdfinance_v2_10!O4),0))</f>
        <v>1</v>
      </c>
    </row>
    <row r="5" spans="1:16" x14ac:dyDescent="0.25">
      <c r="A5" t="s">
        <v>16</v>
      </c>
      <c r="B5" t="s">
        <v>23</v>
      </c>
      <c r="C5">
        <v>0</v>
      </c>
      <c r="D5">
        <v>9.5465512275695801</v>
      </c>
      <c r="E5">
        <f>ROUND(SUM(householdfinance_v2_9!E5,householdfinance_v2_8!E5,householdfinance_v2_7!E5,householdfinance_v2_6!E5,householdfinance_v2_10!E5)/COUNT(householdfinance_v2_9!E5,householdfinance_v2_8!E5,householdfinance_v2_7!E5,householdfinance_v2_6!E5,householdfinance_v2_10!E5),0)</f>
        <v>1</v>
      </c>
      <c r="F5">
        <f>IF($E5=0,"NA",ROUND(SUM(householdfinance_v2_9!F5,householdfinance_v2_8!F5,householdfinance_v2_7!F5,householdfinance_v2_6!F5,householdfinance_v2_10!F5)/COUNT(householdfinance_v2_9!F5,householdfinance_v2_8!F5,householdfinance_v2_7!F5,householdfinance_v2_6!F5,householdfinance_v2_10!F5),0))</f>
        <v>1</v>
      </c>
      <c r="G5">
        <f>IF($E5=0,"NA",ROUND(SUM(householdfinance_v2_9!G5,householdfinance_v2_8!G5,householdfinance_v2_7!G5,householdfinance_v2_6!G5,householdfinance_v2_10!G5)/COUNT(householdfinance_v2_9!G5,householdfinance_v2_8!G5,householdfinance_v2_7!G5,householdfinance_v2_6!G5,householdfinance_v2_10!G5),0))</f>
        <v>1</v>
      </c>
      <c r="H5">
        <f>IF(AND(F5=1,G5=1),ROUND(SUM(householdfinance_v2_9!H5,householdfinance_v2_8!H5,householdfinance_v2_7!H5,householdfinance_v2_6!H5,householdfinance_v2_10!H5)/COUNT(householdfinance_v2_9!H5,householdfinance_v2_8!H5,householdfinance_v2_7!H5,householdfinance_v2_6!H5,householdfinance_v2_10!H5),0),"NA")</f>
        <v>1</v>
      </c>
      <c r="I5">
        <f>IF($E5=0,"NA",ROUND(SUM(householdfinance_v2_9!I5,householdfinance_v2_8!I5,householdfinance_v2_7!I5,householdfinance_v2_6!I5,householdfinance_v2_10!I5)/COUNT(householdfinance_v2_9!I5,householdfinance_v2_8!I5,householdfinance_v2_7!I5,householdfinance_v2_6!I5,householdfinance_v2_10!I5),0))</f>
        <v>1</v>
      </c>
      <c r="J5">
        <f>IF(F5=1,ROUND(SUM(householdfinance_v2_9!J5,householdfinance_v2_8!J5,householdfinance_v2_7!J5,householdfinance_v2_6!J5,householdfinance_v2_10!J5)/COUNT(householdfinance_v2_9!J5,householdfinance_v2_8!J5,householdfinance_v2_7!J5,householdfinance_v2_6!J5,householdfinance_v2_10!J5),0),"NA")</f>
        <v>1</v>
      </c>
      <c r="K5">
        <f>IF($E5=0,"NA",ROUND(SUM(householdfinance_v2_9!K5,householdfinance_v2_8!K5,householdfinance_v2_7!K5,householdfinance_v2_6!K5,householdfinance_v2_10!K5)/COUNT(householdfinance_v2_9!K5,householdfinance_v2_8!K5,householdfinance_v2_7!K5,householdfinance_v2_6!K5,householdfinance_v2_10!K5),0))</f>
        <v>1</v>
      </c>
      <c r="L5">
        <f>IF($E5=0,"NA",ROUND(SUM(householdfinance_v2_9!L5,householdfinance_v2_8!L5,householdfinance_v2_7!L5,householdfinance_v2_6!L5,householdfinance_v2_10!L5)/COUNT(householdfinance_v2_9!L5,householdfinance_v2_8!L5,householdfinance_v2_7!L5,householdfinance_v2_6!L5,householdfinance_v2_10!L5),0))</f>
        <v>1</v>
      </c>
      <c r="M5">
        <f>IF($E5=0,"NA",ROUND(SUM(householdfinance_v2_9!M5,householdfinance_v2_8!M5,householdfinance_v2_7!M5,householdfinance_v2_6!M5,householdfinance_v2_10!M5)/COUNT(householdfinance_v2_9!M5,householdfinance_v2_8!M5,householdfinance_v2_7!M5,householdfinance_v2_6!M5,householdfinance_v2_10!M5),0))</f>
        <v>1</v>
      </c>
      <c r="N5">
        <f>IF($E5=0,"NA",ROUND(SUM(householdfinance_v2_9!N5,householdfinance_v2_8!N5,householdfinance_v2_7!N5,householdfinance_v2_6!N5,householdfinance_v2_10!N5)/COUNT(householdfinance_v2_9!N5,householdfinance_v2_8!N5,householdfinance_v2_7!N5,householdfinance_v2_6!N5,householdfinance_v2_10!N5),0))</f>
        <v>1</v>
      </c>
      <c r="O5">
        <f>IF($E5=0,"NA",ROUND(SUM(householdfinance_v2_9!O5,householdfinance_v2_8!O5,householdfinance_v2_7!O5,householdfinance_v2_6!O5,householdfinance_v2_10!O5)/COUNT(householdfinance_v2_9!O5,householdfinance_v2_8!O5,householdfinance_v2_7!O5,householdfinance_v2_6!O5,householdfinance_v2_10!O5),0))</f>
        <v>1</v>
      </c>
    </row>
    <row r="6" spans="1:16" x14ac:dyDescent="0.25">
      <c r="A6" t="s">
        <v>16</v>
      </c>
      <c r="B6" t="s">
        <v>24</v>
      </c>
      <c r="C6">
        <v>0</v>
      </c>
      <c r="D6">
        <v>2.7545986175537109</v>
      </c>
      <c r="E6">
        <f>ROUND(SUM(householdfinance_v2_9!E6,householdfinance_v2_8!E6,householdfinance_v2_7!E6,householdfinance_v2_6!E6,householdfinance_v2_10!E6)/COUNT(householdfinance_v2_9!E6,householdfinance_v2_8!E6,householdfinance_v2_7!E6,householdfinance_v2_6!E6,householdfinance_v2_10!E6),0)</f>
        <v>1</v>
      </c>
      <c r="F6">
        <f>IF($E6=0,"NA",ROUND(SUM(householdfinance_v2_9!F6,householdfinance_v2_8!F6,householdfinance_v2_7!F6,householdfinance_v2_6!F6,householdfinance_v2_10!F6)/COUNT(householdfinance_v2_9!F6,householdfinance_v2_8!F6,householdfinance_v2_7!F6,householdfinance_v2_6!F6,householdfinance_v2_10!F6),0))</f>
        <v>1</v>
      </c>
      <c r="G6">
        <f>IF($E6=0,"NA",ROUND(SUM(householdfinance_v2_9!G6,householdfinance_v2_8!G6,householdfinance_v2_7!G6,householdfinance_v2_6!G6,householdfinance_v2_10!G6)/COUNT(householdfinance_v2_9!G6,householdfinance_v2_8!G6,householdfinance_v2_7!G6,householdfinance_v2_6!G6,householdfinance_v2_10!G6),0))</f>
        <v>1</v>
      </c>
      <c r="H6">
        <f>IF(AND(F6=1,G6=1),ROUND(SUM(householdfinance_v2_9!H6,householdfinance_v2_8!H6,householdfinance_v2_7!H6,householdfinance_v2_6!H6,householdfinance_v2_10!H6)/COUNT(householdfinance_v2_9!H6,householdfinance_v2_8!H6,householdfinance_v2_7!H6,householdfinance_v2_6!H6,householdfinance_v2_10!H6),0),"NA")</f>
        <v>1</v>
      </c>
      <c r="I6">
        <f>IF($E6=0,"NA",ROUND(SUM(householdfinance_v2_9!I6,householdfinance_v2_8!I6,householdfinance_v2_7!I6,householdfinance_v2_6!I6,householdfinance_v2_10!I6)/COUNT(householdfinance_v2_9!I6,householdfinance_v2_8!I6,householdfinance_v2_7!I6,householdfinance_v2_6!I6,householdfinance_v2_10!I6),0))</f>
        <v>1</v>
      </c>
      <c r="J6">
        <f>IF(F6=1,ROUND(SUM(householdfinance_v2_9!J6,householdfinance_v2_8!J6,householdfinance_v2_7!J6,householdfinance_v2_6!J6,householdfinance_v2_10!J6)/COUNT(householdfinance_v2_9!J6,householdfinance_v2_8!J6,householdfinance_v2_7!J6,householdfinance_v2_6!J6,householdfinance_v2_10!J6),0),"NA")</f>
        <v>1</v>
      </c>
      <c r="K6">
        <f>IF($E6=0,"NA",ROUND(SUM(householdfinance_v2_9!K6,householdfinance_v2_8!K6,householdfinance_v2_7!K6,householdfinance_v2_6!K6,householdfinance_v2_10!K6)/COUNT(householdfinance_v2_9!K6,householdfinance_v2_8!K6,householdfinance_v2_7!K6,householdfinance_v2_6!K6,householdfinance_v2_10!K6),0))</f>
        <v>1</v>
      </c>
      <c r="L6">
        <f>IF($E6=0,"NA",ROUND(SUM(householdfinance_v2_9!L6,householdfinance_v2_8!L6,householdfinance_v2_7!L6,householdfinance_v2_6!L6,householdfinance_v2_10!L6)/COUNT(householdfinance_v2_9!L6,householdfinance_v2_8!L6,householdfinance_v2_7!L6,householdfinance_v2_6!L6,householdfinance_v2_10!L6),0))</f>
        <v>1</v>
      </c>
      <c r="M6">
        <f>IF($E6=0,"NA",ROUND(SUM(householdfinance_v2_9!M6,householdfinance_v2_8!M6,householdfinance_v2_7!M6,householdfinance_v2_6!M6,householdfinance_v2_10!M6)/COUNT(householdfinance_v2_9!M6,householdfinance_v2_8!M6,householdfinance_v2_7!M6,householdfinance_v2_6!M6,householdfinance_v2_10!M6),0))</f>
        <v>1</v>
      </c>
      <c r="N6">
        <f>IF($E6=0,"NA",ROUND(SUM(householdfinance_v2_9!N6,householdfinance_v2_8!N6,householdfinance_v2_7!N6,householdfinance_v2_6!N6,householdfinance_v2_10!N6)/COUNT(householdfinance_v2_9!N6,householdfinance_v2_8!N6,householdfinance_v2_7!N6,householdfinance_v2_6!N6,householdfinance_v2_10!N6),0))</f>
        <v>1</v>
      </c>
      <c r="O6">
        <f>IF($E6=0,"NA",ROUND(SUM(householdfinance_v2_9!O6,householdfinance_v2_8!O6,householdfinance_v2_7!O6,householdfinance_v2_6!O6,householdfinance_v2_10!O6)/COUNT(householdfinance_v2_9!O6,householdfinance_v2_8!O6,householdfinance_v2_7!O6,householdfinance_v2_6!O6,householdfinance_v2_10!O6),0))</f>
        <v>1</v>
      </c>
    </row>
    <row r="7" spans="1:16" x14ac:dyDescent="0.25">
      <c r="A7" t="s">
        <v>16</v>
      </c>
      <c r="B7" t="s">
        <v>25</v>
      </c>
      <c r="C7">
        <v>0</v>
      </c>
      <c r="D7">
        <v>6.7824647426605216</v>
      </c>
      <c r="E7">
        <f>ROUND(SUM(householdfinance_v2_9!E7,householdfinance_v2_8!E7,householdfinance_v2_7!E7,householdfinance_v2_6!E7,householdfinance_v2_10!E7)/COUNT(householdfinance_v2_9!E7,householdfinance_v2_8!E7,householdfinance_v2_7!E7,householdfinance_v2_6!E7,householdfinance_v2_10!E7),0)</f>
        <v>1</v>
      </c>
      <c r="F7">
        <f>IF($E7=0,"NA",ROUND(SUM(householdfinance_v2_9!F7,householdfinance_v2_8!F7,householdfinance_v2_7!F7,householdfinance_v2_6!F7,householdfinance_v2_10!F7)/COUNT(householdfinance_v2_9!F7,householdfinance_v2_8!F7,householdfinance_v2_7!F7,householdfinance_v2_6!F7,householdfinance_v2_10!F7),0))</f>
        <v>1</v>
      </c>
      <c r="G7">
        <f>IF($E7=0,"NA",ROUND(SUM(householdfinance_v2_9!G7,householdfinance_v2_8!G7,householdfinance_v2_7!G7,householdfinance_v2_6!G7,householdfinance_v2_10!G7)/COUNT(householdfinance_v2_9!G7,householdfinance_v2_8!G7,householdfinance_v2_7!G7,householdfinance_v2_6!G7,householdfinance_v2_10!G7),0))</f>
        <v>1</v>
      </c>
      <c r="H7">
        <f>IF(AND(F7=1,G7=1),ROUND(SUM(householdfinance_v2_9!H7,householdfinance_v2_8!H7,householdfinance_v2_7!H7,householdfinance_v2_6!H7,householdfinance_v2_10!H7)/COUNT(householdfinance_v2_9!H7,householdfinance_v2_8!H7,householdfinance_v2_7!H7,householdfinance_v2_6!H7,householdfinance_v2_10!H7),0),"NA")</f>
        <v>0</v>
      </c>
      <c r="I7">
        <f>IF($E7=0,"NA",ROUND(SUM(householdfinance_v2_9!I7,householdfinance_v2_8!I7,householdfinance_v2_7!I7,householdfinance_v2_6!I7,householdfinance_v2_10!I7)/COUNT(householdfinance_v2_9!I7,householdfinance_v2_8!I7,householdfinance_v2_7!I7,householdfinance_v2_6!I7,householdfinance_v2_10!I7),0))</f>
        <v>1</v>
      </c>
      <c r="J7">
        <f>IF(F7=1,ROUND(SUM(householdfinance_v2_9!J7,householdfinance_v2_8!J7,householdfinance_v2_7!J7,householdfinance_v2_6!J7,householdfinance_v2_10!J7)/COUNT(householdfinance_v2_9!J7,householdfinance_v2_8!J7,householdfinance_v2_7!J7,householdfinance_v2_6!J7,householdfinance_v2_10!J7),0),"NA")</f>
        <v>0</v>
      </c>
      <c r="K7">
        <f>IF($E7=0,"NA",ROUND(SUM(householdfinance_v2_9!K7,householdfinance_v2_8!K7,householdfinance_v2_7!K7,householdfinance_v2_6!K7,householdfinance_v2_10!K7)/COUNT(householdfinance_v2_9!K7,householdfinance_v2_8!K7,householdfinance_v2_7!K7,householdfinance_v2_6!K7,householdfinance_v2_10!K7),0))</f>
        <v>1</v>
      </c>
      <c r="L7">
        <f>IF($E7=0,"NA",ROUND(SUM(householdfinance_v2_9!L7,householdfinance_v2_8!L7,householdfinance_v2_7!L7,householdfinance_v2_6!L7,householdfinance_v2_10!L7)/COUNT(householdfinance_v2_9!L7,householdfinance_v2_8!L7,householdfinance_v2_7!L7,householdfinance_v2_6!L7,householdfinance_v2_10!L7),0))</f>
        <v>1</v>
      </c>
      <c r="M7">
        <f>IF($E7=0,"NA",ROUND(SUM(householdfinance_v2_9!M7,householdfinance_v2_8!M7,householdfinance_v2_7!M7,householdfinance_v2_6!M7,householdfinance_v2_10!M7)/COUNT(householdfinance_v2_9!M7,householdfinance_v2_8!M7,householdfinance_v2_7!M7,householdfinance_v2_6!M7,householdfinance_v2_10!M7),0))</f>
        <v>1</v>
      </c>
      <c r="N7">
        <f>IF($E7=0,"NA",ROUND(SUM(householdfinance_v2_9!N7,householdfinance_v2_8!N7,householdfinance_v2_7!N7,householdfinance_v2_6!N7,householdfinance_v2_10!N7)/COUNT(householdfinance_v2_9!N7,householdfinance_v2_8!N7,householdfinance_v2_7!N7,householdfinance_v2_6!N7,householdfinance_v2_10!N7),0))</f>
        <v>1</v>
      </c>
      <c r="O7">
        <f>IF($E7=0,"NA",ROUND(SUM(householdfinance_v2_9!O7,householdfinance_v2_8!O7,householdfinance_v2_7!O7,householdfinance_v2_6!O7,householdfinance_v2_10!O7)/COUNT(householdfinance_v2_9!O7,householdfinance_v2_8!O7,householdfinance_v2_7!O7,householdfinance_v2_6!O7,householdfinance_v2_10!O7),0))</f>
        <v>1</v>
      </c>
    </row>
    <row r="8" spans="1:16" x14ac:dyDescent="0.25">
      <c r="A8" t="s">
        <v>16</v>
      </c>
      <c r="B8" t="s">
        <v>27</v>
      </c>
      <c r="C8">
        <v>0</v>
      </c>
      <c r="D8">
        <v>2.7047920227050781</v>
      </c>
      <c r="E8">
        <f>ROUND(SUM(householdfinance_v2_9!E8,householdfinance_v2_8!E8,householdfinance_v2_7!E8,householdfinance_v2_6!E8,householdfinance_v2_10!E8)/COUNT(householdfinance_v2_9!E8,householdfinance_v2_8!E8,householdfinance_v2_7!E8,householdfinance_v2_6!E8,householdfinance_v2_10!E8),0)</f>
        <v>1</v>
      </c>
      <c r="F8">
        <f>IF($E8=0,"NA",ROUND(SUM(householdfinance_v2_9!F8,householdfinance_v2_8!F8,householdfinance_v2_7!F8,householdfinance_v2_6!F8,householdfinance_v2_10!F8)/COUNT(householdfinance_v2_9!F8,householdfinance_v2_8!F8,householdfinance_v2_7!F8,householdfinance_v2_6!F8,householdfinance_v2_10!F8),0))</f>
        <v>1</v>
      </c>
      <c r="G8">
        <f>IF($E8=0,"NA",ROUND(SUM(householdfinance_v2_9!G8,householdfinance_v2_8!G8,householdfinance_v2_7!G8,householdfinance_v2_6!G8,householdfinance_v2_10!G8)/COUNT(householdfinance_v2_9!G8,householdfinance_v2_8!G8,householdfinance_v2_7!G8,householdfinance_v2_6!G8,householdfinance_v2_10!G8),0))</f>
        <v>1</v>
      </c>
      <c r="H8">
        <f>IF(AND(F8=1,G8=1),ROUND(SUM(householdfinance_v2_9!H8,householdfinance_v2_8!H8,householdfinance_v2_7!H8,householdfinance_v2_6!H8,householdfinance_v2_10!H8)/COUNT(householdfinance_v2_9!H8,householdfinance_v2_8!H8,householdfinance_v2_7!H8,householdfinance_v2_6!H8,householdfinance_v2_10!H8),0),"NA")</f>
        <v>1</v>
      </c>
      <c r="I8">
        <f>IF($E8=0,"NA",ROUND(SUM(householdfinance_v2_9!I8,householdfinance_v2_8!I8,householdfinance_v2_7!I8,householdfinance_v2_6!I8,householdfinance_v2_10!I8)/COUNT(householdfinance_v2_9!I8,householdfinance_v2_8!I8,householdfinance_v2_7!I8,householdfinance_v2_6!I8,householdfinance_v2_10!I8),0))</f>
        <v>1</v>
      </c>
      <c r="J8">
        <f>IF(F8=1,ROUND(SUM(householdfinance_v2_9!J8,householdfinance_v2_8!J8,householdfinance_v2_7!J8,householdfinance_v2_6!J8,householdfinance_v2_10!J8)/COUNT(householdfinance_v2_9!J8,householdfinance_v2_8!J8,householdfinance_v2_7!J8,householdfinance_v2_6!J8,householdfinance_v2_10!J8),0),"NA")</f>
        <v>1</v>
      </c>
      <c r="K8">
        <f>IF($E8=0,"NA",ROUND(SUM(householdfinance_v2_9!K8,householdfinance_v2_8!K8,householdfinance_v2_7!K8,householdfinance_v2_6!K8,householdfinance_v2_10!K8)/COUNT(householdfinance_v2_9!K8,householdfinance_v2_8!K8,householdfinance_v2_7!K8,householdfinance_v2_6!K8,householdfinance_v2_10!K8),0))</f>
        <v>1</v>
      </c>
      <c r="L8">
        <f>IF($E8=0,"NA",ROUND(SUM(householdfinance_v2_9!L8,householdfinance_v2_8!L8,householdfinance_v2_7!L8,householdfinance_v2_6!L8,householdfinance_v2_10!L8)/COUNT(householdfinance_v2_9!L8,householdfinance_v2_8!L8,householdfinance_v2_7!L8,householdfinance_v2_6!L8,householdfinance_v2_10!L8),0))</f>
        <v>1</v>
      </c>
      <c r="M8">
        <f>IF($E8=0,"NA",ROUND(SUM(householdfinance_v2_9!M8,householdfinance_v2_8!M8,householdfinance_v2_7!M8,householdfinance_v2_6!M8,householdfinance_v2_10!M8)/COUNT(householdfinance_v2_9!M8,householdfinance_v2_8!M8,householdfinance_v2_7!M8,householdfinance_v2_6!M8,householdfinance_v2_10!M8),0))</f>
        <v>1</v>
      </c>
      <c r="N8">
        <f>IF($E8=0,"NA",ROUND(SUM(householdfinance_v2_9!N8,householdfinance_v2_8!N8,householdfinance_v2_7!N8,householdfinance_v2_6!N8,householdfinance_v2_10!N8)/COUNT(householdfinance_v2_9!N8,householdfinance_v2_8!N8,householdfinance_v2_7!N8,householdfinance_v2_6!N8,householdfinance_v2_10!N8),0))</f>
        <v>1</v>
      </c>
      <c r="O8">
        <f>IF($E8=0,"NA",ROUND(SUM(householdfinance_v2_9!O8,householdfinance_v2_8!O8,householdfinance_v2_7!O8,householdfinance_v2_6!O8,householdfinance_v2_10!O8)/COUNT(householdfinance_v2_9!O8,householdfinance_v2_8!O8,householdfinance_v2_7!O8,householdfinance_v2_6!O8,householdfinance_v2_10!O8),0))</f>
        <v>1</v>
      </c>
    </row>
    <row r="9" spans="1:16" x14ac:dyDescent="0.25">
      <c r="A9" t="s">
        <v>16</v>
      </c>
      <c r="B9" t="s">
        <v>28</v>
      </c>
      <c r="C9">
        <v>0</v>
      </c>
      <c r="D9">
        <v>5.9487900733947754</v>
      </c>
      <c r="E9">
        <f>ROUND(SUM(householdfinance_v2_9!E9,householdfinance_v2_8!E9,householdfinance_v2_7!E9,householdfinance_v2_6!E9,householdfinance_v2_10!E9)/COUNT(householdfinance_v2_9!E9,householdfinance_v2_8!E9,householdfinance_v2_7!E9,householdfinance_v2_6!E9,householdfinance_v2_10!E9),0)</f>
        <v>1</v>
      </c>
      <c r="F9">
        <f>IF($E9=0,"NA",ROUND(SUM(householdfinance_v2_9!F9,householdfinance_v2_8!F9,householdfinance_v2_7!F9,householdfinance_v2_6!F9,householdfinance_v2_10!F9)/COUNT(householdfinance_v2_9!F9,householdfinance_v2_8!F9,householdfinance_v2_7!F9,householdfinance_v2_6!F9,householdfinance_v2_10!F9),0))</f>
        <v>1</v>
      </c>
      <c r="G9">
        <f>IF($E9=0,"NA",ROUND(SUM(householdfinance_v2_9!G9,householdfinance_v2_8!G9,householdfinance_v2_7!G9,householdfinance_v2_6!G9,householdfinance_v2_10!G9)/COUNT(householdfinance_v2_9!G9,householdfinance_v2_8!G9,householdfinance_v2_7!G9,householdfinance_v2_6!G9,householdfinance_v2_10!G9),0))</f>
        <v>0</v>
      </c>
      <c r="H9" t="str">
        <f>IF(AND(F9=1,G9=1),ROUND(SUM(householdfinance_v2_9!H9,householdfinance_v2_8!H9,householdfinance_v2_7!H9,householdfinance_v2_6!H9,householdfinance_v2_10!H9)/COUNT(householdfinance_v2_9!H9,householdfinance_v2_8!H9,householdfinance_v2_7!H9,householdfinance_v2_6!H9,householdfinance_v2_10!H9),0),"NA")</f>
        <v>NA</v>
      </c>
      <c r="I9">
        <f>IF($E9=0,"NA",ROUND(SUM(householdfinance_v2_9!I9,householdfinance_v2_8!I9,householdfinance_v2_7!I9,householdfinance_v2_6!I9,householdfinance_v2_10!I9)/COUNT(householdfinance_v2_9!I9,householdfinance_v2_8!I9,householdfinance_v2_7!I9,householdfinance_v2_6!I9,householdfinance_v2_10!I9),0))</f>
        <v>1</v>
      </c>
      <c r="J9">
        <f>IF(F9=1,ROUND(SUM(householdfinance_v2_9!J9,householdfinance_v2_8!J9,householdfinance_v2_7!J9,householdfinance_v2_6!J9,householdfinance_v2_10!J9)/COUNT(householdfinance_v2_9!J9,householdfinance_v2_8!J9,householdfinance_v2_7!J9,householdfinance_v2_6!J9,householdfinance_v2_10!J9),0),"NA")</f>
        <v>1</v>
      </c>
      <c r="K9">
        <f>IF($E9=0,"NA",ROUND(SUM(householdfinance_v2_9!K9,householdfinance_v2_8!K9,householdfinance_v2_7!K9,householdfinance_v2_6!K9,householdfinance_v2_10!K9)/COUNT(householdfinance_v2_9!K9,householdfinance_v2_8!K9,householdfinance_v2_7!K9,householdfinance_v2_6!K9,householdfinance_v2_10!K9),0))</f>
        <v>1</v>
      </c>
      <c r="L9">
        <f>IF($E9=0,"NA",ROUND(SUM(householdfinance_v2_9!L9,householdfinance_v2_8!L9,householdfinance_v2_7!L9,householdfinance_v2_6!L9,householdfinance_v2_10!L9)/COUNT(householdfinance_v2_9!L9,householdfinance_v2_8!L9,householdfinance_v2_7!L9,householdfinance_v2_6!L9,householdfinance_v2_10!L9),0))</f>
        <v>1</v>
      </c>
      <c r="M9">
        <f>IF($E9=0,"NA",ROUND(SUM(householdfinance_v2_9!M9,householdfinance_v2_8!M9,householdfinance_v2_7!M9,householdfinance_v2_6!M9,householdfinance_v2_10!M9)/COUNT(householdfinance_v2_9!M9,householdfinance_v2_8!M9,householdfinance_v2_7!M9,householdfinance_v2_6!M9,householdfinance_v2_10!M9),0))</f>
        <v>1</v>
      </c>
      <c r="N9">
        <f>IF($E9=0,"NA",ROUND(SUM(householdfinance_v2_9!N9,householdfinance_v2_8!N9,householdfinance_v2_7!N9,householdfinance_v2_6!N9,householdfinance_v2_10!N9)/COUNT(householdfinance_v2_9!N9,householdfinance_v2_8!N9,householdfinance_v2_7!N9,householdfinance_v2_6!N9,householdfinance_v2_10!N9),0))</f>
        <v>1</v>
      </c>
      <c r="O9">
        <f>IF($E9=0,"NA",ROUND(SUM(householdfinance_v2_9!O9,householdfinance_v2_8!O9,householdfinance_v2_7!O9,householdfinance_v2_6!O9,householdfinance_v2_10!O9)/COUNT(householdfinance_v2_9!O9,householdfinance_v2_8!O9,householdfinance_v2_7!O9,householdfinance_v2_6!O9,householdfinance_v2_10!O9),0))</f>
        <v>1</v>
      </c>
    </row>
    <row r="10" spans="1:16" x14ac:dyDescent="0.25">
      <c r="A10" t="s">
        <v>16</v>
      </c>
      <c r="B10" t="s">
        <v>29</v>
      </c>
      <c r="C10">
        <v>0</v>
      </c>
      <c r="D10">
        <v>10.88411378860474</v>
      </c>
      <c r="E10">
        <f>ROUND(SUM(householdfinance_v2_9!E10,householdfinance_v2_8!E10,householdfinance_v2_7!E10,householdfinance_v2_6!E10,householdfinance_v2_10!E10)/COUNT(householdfinance_v2_9!E10,householdfinance_v2_8!E10,householdfinance_v2_7!E10,householdfinance_v2_6!E10,householdfinance_v2_10!E10),0)</f>
        <v>1</v>
      </c>
      <c r="F10">
        <f>IF($E10=0,"NA",ROUND(SUM(householdfinance_v2_9!F10,householdfinance_v2_8!F10,householdfinance_v2_7!F10,householdfinance_v2_6!F10,householdfinance_v2_10!F10)/COUNT(householdfinance_v2_9!F10,householdfinance_v2_8!F10,householdfinance_v2_7!F10,householdfinance_v2_6!F10,householdfinance_v2_10!F10),0))</f>
        <v>1</v>
      </c>
      <c r="G10">
        <f>IF($E10=0,"NA",ROUND(SUM(householdfinance_v2_9!G10,householdfinance_v2_8!G10,householdfinance_v2_7!G10,householdfinance_v2_6!G10,householdfinance_v2_10!G10)/COUNT(householdfinance_v2_9!G10,householdfinance_v2_8!G10,householdfinance_v2_7!G10,householdfinance_v2_6!G10,householdfinance_v2_10!G10),0))</f>
        <v>1</v>
      </c>
      <c r="H10">
        <f>IF(AND(F10=1,G10=1),ROUND(SUM(householdfinance_v2_9!H10,householdfinance_v2_8!H10,householdfinance_v2_7!H10,householdfinance_v2_6!H10,householdfinance_v2_10!H10)/COUNT(householdfinance_v2_9!H10,householdfinance_v2_8!H10,householdfinance_v2_7!H10,householdfinance_v2_6!H10,householdfinance_v2_10!H10),0),"NA")</f>
        <v>1</v>
      </c>
      <c r="I10">
        <f>IF($E10=0,"NA",ROUND(SUM(householdfinance_v2_9!I10,householdfinance_v2_8!I10,householdfinance_v2_7!I10,householdfinance_v2_6!I10,householdfinance_v2_10!I10)/COUNT(householdfinance_v2_9!I10,householdfinance_v2_8!I10,householdfinance_v2_7!I10,householdfinance_v2_6!I10,householdfinance_v2_10!I10),0))</f>
        <v>1</v>
      </c>
      <c r="J10">
        <f>IF(F10=1,ROUND(SUM(householdfinance_v2_9!J10,householdfinance_v2_8!J10,householdfinance_v2_7!J10,householdfinance_v2_6!J10,householdfinance_v2_10!J10)/COUNT(householdfinance_v2_9!J10,householdfinance_v2_8!J10,householdfinance_v2_7!J10,householdfinance_v2_6!J10,householdfinance_v2_10!J10),0),"NA")</f>
        <v>1</v>
      </c>
      <c r="K10">
        <f>IF($E10=0,"NA",ROUND(SUM(householdfinance_v2_9!K10,householdfinance_v2_8!K10,householdfinance_v2_7!K10,householdfinance_v2_6!K10,householdfinance_v2_10!K10)/COUNT(householdfinance_v2_9!K10,householdfinance_v2_8!K10,householdfinance_v2_7!K10,householdfinance_v2_6!K10,householdfinance_v2_10!K10),0))</f>
        <v>1</v>
      </c>
      <c r="L10">
        <f>IF($E10=0,"NA",ROUND(SUM(householdfinance_v2_9!L10,householdfinance_v2_8!L10,householdfinance_v2_7!L10,householdfinance_v2_6!L10,householdfinance_v2_10!L10)/COUNT(householdfinance_v2_9!L10,householdfinance_v2_8!L10,householdfinance_v2_7!L10,householdfinance_v2_6!L10,householdfinance_v2_10!L10),0))</f>
        <v>1</v>
      </c>
      <c r="M10">
        <f>IF($E10=0,"NA",ROUND(SUM(householdfinance_v2_9!M10,householdfinance_v2_8!M10,householdfinance_v2_7!M10,householdfinance_v2_6!M10,householdfinance_v2_10!M10)/COUNT(householdfinance_v2_9!M10,householdfinance_v2_8!M10,householdfinance_v2_7!M10,householdfinance_v2_6!M10,householdfinance_v2_10!M10),0))</f>
        <v>1</v>
      </c>
      <c r="N10">
        <f>IF($E10=0,"NA",ROUND(SUM(householdfinance_v2_9!N10,householdfinance_v2_8!N10,householdfinance_v2_7!N10,householdfinance_v2_6!N10,householdfinance_v2_10!N10)/COUNT(householdfinance_v2_9!N10,householdfinance_v2_8!N10,householdfinance_v2_7!N10,householdfinance_v2_6!N10,householdfinance_v2_10!N10),0))</f>
        <v>1</v>
      </c>
      <c r="O10">
        <f>IF($E10=0,"NA",ROUND(SUM(householdfinance_v2_9!O10,householdfinance_v2_8!O10,householdfinance_v2_7!O10,householdfinance_v2_6!O10,householdfinance_v2_10!O10)/COUNT(householdfinance_v2_9!O10,householdfinance_v2_8!O10,householdfinance_v2_7!O10,householdfinance_v2_6!O10,householdfinance_v2_10!O10),0))</f>
        <v>1</v>
      </c>
    </row>
    <row r="11" spans="1:16" x14ac:dyDescent="0.25">
      <c r="A11" t="s">
        <v>16</v>
      </c>
      <c r="B11" t="s">
        <v>30</v>
      </c>
      <c r="C11">
        <v>0</v>
      </c>
      <c r="D11">
        <v>2.5712230205535889</v>
      </c>
      <c r="E11">
        <f>ROUND(SUM(householdfinance_v2_9!E11,householdfinance_v2_8!E11,householdfinance_v2_7!E11,householdfinance_v2_6!E11,householdfinance_v2_10!E11)/COUNT(householdfinance_v2_9!E11,householdfinance_v2_8!E11,householdfinance_v2_7!E11,householdfinance_v2_6!E11,householdfinance_v2_10!E11),0)</f>
        <v>1</v>
      </c>
      <c r="F11">
        <f>IF($E11=0,"NA",ROUND(SUM(householdfinance_v2_9!F11,householdfinance_v2_8!F11,householdfinance_v2_7!F11,householdfinance_v2_6!F11,householdfinance_v2_10!F11)/COUNT(householdfinance_v2_9!F11,householdfinance_v2_8!F11,householdfinance_v2_7!F11,householdfinance_v2_6!F11,householdfinance_v2_10!F11),0))</f>
        <v>1</v>
      </c>
      <c r="G11">
        <f>IF($E11=0,"NA",ROUND(SUM(householdfinance_v2_9!G11,householdfinance_v2_8!G11,householdfinance_v2_7!G11,householdfinance_v2_6!G11,householdfinance_v2_10!G11)/COUNT(householdfinance_v2_9!G11,householdfinance_v2_8!G11,householdfinance_v2_7!G11,householdfinance_v2_6!G11,householdfinance_v2_10!G11),0))</f>
        <v>1</v>
      </c>
      <c r="H11">
        <f>IF(AND(F11=1,G11=1),ROUND(SUM(householdfinance_v2_9!H11,householdfinance_v2_8!H11,householdfinance_v2_7!H11,householdfinance_v2_6!H11,householdfinance_v2_10!H11)/COUNT(householdfinance_v2_9!H11,householdfinance_v2_8!H11,householdfinance_v2_7!H11,householdfinance_v2_6!H11,householdfinance_v2_10!H11),0),"NA")</f>
        <v>1</v>
      </c>
      <c r="I11">
        <f>IF($E11=0,"NA",ROUND(SUM(householdfinance_v2_9!I11,householdfinance_v2_8!I11,householdfinance_v2_7!I11,householdfinance_v2_6!I11,householdfinance_v2_10!I11)/COUNT(householdfinance_v2_9!I11,householdfinance_v2_8!I11,householdfinance_v2_7!I11,householdfinance_v2_6!I11,householdfinance_v2_10!I11),0))</f>
        <v>1</v>
      </c>
      <c r="J11">
        <f>IF(F11=1,ROUND(SUM(householdfinance_v2_9!J11,householdfinance_v2_8!J11,householdfinance_v2_7!J11,householdfinance_v2_6!J11,householdfinance_v2_10!J11)/COUNT(householdfinance_v2_9!J11,householdfinance_v2_8!J11,householdfinance_v2_7!J11,householdfinance_v2_6!J11,householdfinance_v2_10!J11),0),"NA")</f>
        <v>1</v>
      </c>
      <c r="K11">
        <f>IF($E11=0,"NA",ROUND(SUM(householdfinance_v2_9!K11,householdfinance_v2_8!K11,householdfinance_v2_7!K11,householdfinance_v2_6!K11,householdfinance_v2_10!K11)/COUNT(householdfinance_v2_9!K11,householdfinance_v2_8!K11,householdfinance_v2_7!K11,householdfinance_v2_6!K11,householdfinance_v2_10!K11),0))</f>
        <v>1</v>
      </c>
      <c r="L11">
        <f>IF($E11=0,"NA",ROUND(SUM(householdfinance_v2_9!L11,householdfinance_v2_8!L11,householdfinance_v2_7!L11,householdfinance_v2_6!L11,householdfinance_v2_10!L11)/COUNT(householdfinance_v2_9!L11,householdfinance_v2_8!L11,householdfinance_v2_7!L11,householdfinance_v2_6!L11,householdfinance_v2_10!L11),0))</f>
        <v>1</v>
      </c>
      <c r="M11">
        <f>IF($E11=0,"NA",ROUND(SUM(householdfinance_v2_9!M11,householdfinance_v2_8!M11,householdfinance_v2_7!M11,householdfinance_v2_6!M11,householdfinance_v2_10!M11)/COUNT(householdfinance_v2_9!M11,householdfinance_v2_8!M11,householdfinance_v2_7!M11,householdfinance_v2_6!M11,householdfinance_v2_10!M11),0))</f>
        <v>1</v>
      </c>
      <c r="N11">
        <f>IF($E11=0,"NA",ROUND(SUM(householdfinance_v2_9!N11,householdfinance_v2_8!N11,householdfinance_v2_7!N11,householdfinance_v2_6!N11,householdfinance_v2_10!N11)/COUNT(householdfinance_v2_9!N11,householdfinance_v2_8!N11,householdfinance_v2_7!N11,householdfinance_v2_6!N11,householdfinance_v2_10!N11),0))</f>
        <v>1</v>
      </c>
      <c r="O11">
        <f>IF($E11=0,"NA",ROUND(SUM(householdfinance_v2_9!O11,householdfinance_v2_8!O11,householdfinance_v2_7!O11,householdfinance_v2_6!O11,householdfinance_v2_10!O11)/COUNT(householdfinance_v2_9!O11,householdfinance_v2_8!O11,householdfinance_v2_7!O11,householdfinance_v2_6!O11,householdfinance_v2_10!O11),0))</f>
        <v>1</v>
      </c>
    </row>
    <row r="12" spans="1:16" x14ac:dyDescent="0.25">
      <c r="A12" t="s">
        <v>16</v>
      </c>
      <c r="B12" t="s">
        <v>31</v>
      </c>
      <c r="C12">
        <v>0</v>
      </c>
      <c r="D12">
        <v>10.77615308761597</v>
      </c>
      <c r="E12">
        <f>ROUND(SUM(householdfinance_v2_9!E12,householdfinance_v2_8!E12,householdfinance_v2_7!E12,householdfinance_v2_6!E12,householdfinance_v2_10!E12)/COUNT(householdfinance_v2_9!E12,householdfinance_v2_8!E12,householdfinance_v2_7!E12,householdfinance_v2_6!E12,householdfinance_v2_10!E12),0)</f>
        <v>1</v>
      </c>
      <c r="F12">
        <f>IF($E12=0,"NA",ROUND(SUM(householdfinance_v2_9!F12,householdfinance_v2_8!F12,householdfinance_v2_7!F12,householdfinance_v2_6!F12,householdfinance_v2_10!F12)/COUNT(householdfinance_v2_9!F12,householdfinance_v2_8!F12,householdfinance_v2_7!F12,householdfinance_v2_6!F12,householdfinance_v2_10!F12),0))</f>
        <v>1</v>
      </c>
      <c r="G12">
        <f>IF($E12=0,"NA",ROUND(SUM(householdfinance_v2_9!G12,householdfinance_v2_8!G12,householdfinance_v2_7!G12,householdfinance_v2_6!G12,householdfinance_v2_10!G12)/COUNT(householdfinance_v2_9!G12,householdfinance_v2_8!G12,householdfinance_v2_7!G12,householdfinance_v2_6!G12,householdfinance_v2_10!G12),0))</f>
        <v>1</v>
      </c>
      <c r="H12">
        <f>IF(AND(F12=1,G12=1),ROUND(SUM(householdfinance_v2_9!H12,householdfinance_v2_8!H12,householdfinance_v2_7!H12,householdfinance_v2_6!H12,householdfinance_v2_10!H12)/COUNT(householdfinance_v2_9!H12,householdfinance_v2_8!H12,householdfinance_v2_7!H12,householdfinance_v2_6!H12,householdfinance_v2_10!H12),0),"NA")</f>
        <v>1</v>
      </c>
      <c r="I12">
        <f>IF($E12=0,"NA",ROUND(SUM(householdfinance_v2_9!I12,householdfinance_v2_8!I12,householdfinance_v2_7!I12,householdfinance_v2_6!I12,householdfinance_v2_10!I12)/COUNT(householdfinance_v2_9!I12,householdfinance_v2_8!I12,householdfinance_v2_7!I12,householdfinance_v2_6!I12,householdfinance_v2_10!I12),0))</f>
        <v>1</v>
      </c>
      <c r="J12">
        <f>IF(F12=1,ROUND(SUM(householdfinance_v2_9!J12,householdfinance_v2_8!J12,householdfinance_v2_7!J12,householdfinance_v2_6!J12,householdfinance_v2_10!J12)/COUNT(householdfinance_v2_9!J12,householdfinance_v2_8!J12,householdfinance_v2_7!J12,householdfinance_v2_6!J12,householdfinance_v2_10!J12),0),"NA")</f>
        <v>1</v>
      </c>
      <c r="K12">
        <f>IF($E12=0,"NA",ROUND(SUM(householdfinance_v2_9!K12,householdfinance_v2_8!K12,householdfinance_v2_7!K12,householdfinance_v2_6!K12,householdfinance_v2_10!K12)/COUNT(householdfinance_v2_9!K12,householdfinance_v2_8!K12,householdfinance_v2_7!K12,householdfinance_v2_6!K12,householdfinance_v2_10!K12),0))</f>
        <v>1</v>
      </c>
      <c r="L12">
        <f>IF($E12=0,"NA",ROUND(SUM(householdfinance_v2_9!L12,householdfinance_v2_8!L12,householdfinance_v2_7!L12,householdfinance_v2_6!L12,householdfinance_v2_10!L12)/COUNT(householdfinance_v2_9!L12,householdfinance_v2_8!L12,householdfinance_v2_7!L12,householdfinance_v2_6!L12,householdfinance_v2_10!L12),0))</f>
        <v>1</v>
      </c>
      <c r="M12">
        <f>IF($E12=0,"NA",ROUND(SUM(householdfinance_v2_9!M12,householdfinance_v2_8!M12,householdfinance_v2_7!M12,householdfinance_v2_6!M12,householdfinance_v2_10!M12)/COUNT(householdfinance_v2_9!M12,householdfinance_v2_8!M12,householdfinance_v2_7!M12,householdfinance_v2_6!M12,householdfinance_v2_10!M12),0))</f>
        <v>1</v>
      </c>
      <c r="N12">
        <f>IF($E12=0,"NA",ROUND(SUM(householdfinance_v2_9!N12,householdfinance_v2_8!N12,householdfinance_v2_7!N12,householdfinance_v2_6!N12,householdfinance_v2_10!N12)/COUNT(householdfinance_v2_9!N12,householdfinance_v2_8!N12,householdfinance_v2_7!N12,householdfinance_v2_6!N12,householdfinance_v2_10!N12),0))</f>
        <v>1</v>
      </c>
      <c r="O12">
        <f>IF($E12=0,"NA",ROUND(SUM(householdfinance_v2_9!O12,householdfinance_v2_8!O12,householdfinance_v2_7!O12,householdfinance_v2_6!O12,householdfinance_v2_10!O12)/COUNT(householdfinance_v2_9!O12,householdfinance_v2_8!O12,householdfinance_v2_7!O12,householdfinance_v2_6!O12,householdfinance_v2_10!O12),0))</f>
        <v>1</v>
      </c>
    </row>
    <row r="13" spans="1:16" x14ac:dyDescent="0.25">
      <c r="A13" t="s">
        <v>16</v>
      </c>
      <c r="B13" t="s">
        <v>32</v>
      </c>
      <c r="C13">
        <v>0</v>
      </c>
      <c r="D13">
        <v>9.7618033885955811</v>
      </c>
      <c r="E13">
        <f>ROUND(SUM(householdfinance_v2_9!E13,householdfinance_v2_8!E13,householdfinance_v2_7!E13,householdfinance_v2_6!E13,householdfinance_v2_10!E13)/COUNT(householdfinance_v2_9!E13,householdfinance_v2_8!E13,householdfinance_v2_7!E13,householdfinance_v2_6!E13,householdfinance_v2_10!E13),0)</f>
        <v>1</v>
      </c>
      <c r="F13">
        <f>IF($E13=0,"NA",ROUND(SUM(householdfinance_v2_9!F13,householdfinance_v2_8!F13,householdfinance_v2_7!F13,householdfinance_v2_6!F13,householdfinance_v2_10!F13)/COUNT(householdfinance_v2_9!F13,householdfinance_v2_8!F13,householdfinance_v2_7!F13,householdfinance_v2_6!F13,householdfinance_v2_10!F13),0))</f>
        <v>1</v>
      </c>
      <c r="G13">
        <f>IF($E13=0,"NA",ROUND(SUM(householdfinance_v2_9!G13,householdfinance_v2_8!G13,householdfinance_v2_7!G13,householdfinance_v2_6!G13,householdfinance_v2_10!G13)/COUNT(householdfinance_v2_9!G13,householdfinance_v2_8!G13,householdfinance_v2_7!G13,householdfinance_v2_6!G13,householdfinance_v2_10!G13),0))</f>
        <v>1</v>
      </c>
      <c r="H13">
        <f>IF(AND(F13=1,G13=1),ROUND(SUM(householdfinance_v2_9!H13,householdfinance_v2_8!H13,householdfinance_v2_7!H13,householdfinance_v2_6!H13,householdfinance_v2_10!H13)/COUNT(householdfinance_v2_9!H13,householdfinance_v2_8!H13,householdfinance_v2_7!H13,householdfinance_v2_6!H13,householdfinance_v2_10!H13),0),"NA")</f>
        <v>1</v>
      </c>
      <c r="I13">
        <f>IF($E13=0,"NA",ROUND(SUM(householdfinance_v2_9!I13,householdfinance_v2_8!I13,householdfinance_v2_7!I13,householdfinance_v2_6!I13,householdfinance_v2_10!I13)/COUNT(householdfinance_v2_9!I13,householdfinance_v2_8!I13,householdfinance_v2_7!I13,householdfinance_v2_6!I13,householdfinance_v2_10!I13),0))</f>
        <v>1</v>
      </c>
      <c r="J13">
        <f>IF(F13=1,ROUND(SUM(householdfinance_v2_9!J13,householdfinance_v2_8!J13,householdfinance_v2_7!J13,householdfinance_v2_6!J13,householdfinance_v2_10!J13)/COUNT(householdfinance_v2_9!J13,householdfinance_v2_8!J13,householdfinance_v2_7!J13,householdfinance_v2_6!J13,householdfinance_v2_10!J13),0),"NA")</f>
        <v>1</v>
      </c>
      <c r="K13">
        <f>IF($E13=0,"NA",ROUND(SUM(householdfinance_v2_9!K13,householdfinance_v2_8!K13,householdfinance_v2_7!K13,householdfinance_v2_6!K13,householdfinance_v2_10!K13)/COUNT(householdfinance_v2_9!K13,householdfinance_v2_8!K13,householdfinance_v2_7!K13,householdfinance_v2_6!K13,householdfinance_v2_10!K13),0))</f>
        <v>1</v>
      </c>
      <c r="L13">
        <f>IF($E13=0,"NA",ROUND(SUM(householdfinance_v2_9!L13,householdfinance_v2_8!L13,householdfinance_v2_7!L13,householdfinance_v2_6!L13,householdfinance_v2_10!L13)/COUNT(householdfinance_v2_9!L13,householdfinance_v2_8!L13,householdfinance_v2_7!L13,householdfinance_v2_6!L13,householdfinance_v2_10!L13),0))</f>
        <v>1</v>
      </c>
      <c r="M13">
        <f>IF($E13=0,"NA",ROUND(SUM(householdfinance_v2_9!M13,householdfinance_v2_8!M13,householdfinance_v2_7!M13,householdfinance_v2_6!M13,householdfinance_v2_10!M13)/COUNT(householdfinance_v2_9!M13,householdfinance_v2_8!M13,householdfinance_v2_7!M13,householdfinance_v2_6!M13,householdfinance_v2_10!M13),0))</f>
        <v>1</v>
      </c>
      <c r="N13">
        <f>IF($E13=0,"NA",ROUND(SUM(householdfinance_v2_9!N13,householdfinance_v2_8!N13,householdfinance_v2_7!N13,householdfinance_v2_6!N13,householdfinance_v2_10!N13)/COUNT(householdfinance_v2_9!N13,householdfinance_v2_8!N13,householdfinance_v2_7!N13,householdfinance_v2_6!N13,householdfinance_v2_10!N13),0))</f>
        <v>1</v>
      </c>
      <c r="O13">
        <f>IF($E13=0,"NA",ROUND(SUM(householdfinance_v2_9!O13,householdfinance_v2_8!O13,householdfinance_v2_7!O13,householdfinance_v2_6!O13,householdfinance_v2_10!O13)/COUNT(householdfinance_v2_9!O13,householdfinance_v2_8!O13,householdfinance_v2_7!O13,householdfinance_v2_6!O13,householdfinance_v2_10!O13),0))</f>
        <v>1</v>
      </c>
    </row>
    <row r="14" spans="1:16" x14ac:dyDescent="0.25">
      <c r="A14" t="s">
        <v>16</v>
      </c>
      <c r="B14" t="s">
        <v>33</v>
      </c>
      <c r="C14">
        <v>0</v>
      </c>
      <c r="D14">
        <v>5.1351613998413086</v>
      </c>
      <c r="E14">
        <f>ROUND(SUM(householdfinance_v2_9!E14,householdfinance_v2_8!E14,householdfinance_v2_7!E14,householdfinance_v2_6!E14,householdfinance_v2_10!E14)/COUNT(householdfinance_v2_9!E14,householdfinance_v2_8!E14,householdfinance_v2_7!E14,householdfinance_v2_6!E14,householdfinance_v2_10!E14),0)</f>
        <v>1</v>
      </c>
      <c r="F14">
        <f>IF($E14=0,"NA",ROUND(SUM(householdfinance_v2_9!F14,householdfinance_v2_8!F14,householdfinance_v2_7!F14,householdfinance_v2_6!F14,householdfinance_v2_10!F14)/COUNT(householdfinance_v2_9!F14,householdfinance_v2_8!F14,householdfinance_v2_7!F14,householdfinance_v2_6!F14,householdfinance_v2_10!F14),0))</f>
        <v>1</v>
      </c>
      <c r="G14">
        <f>IF($E14=0,"NA",ROUND(SUM(householdfinance_v2_9!G14,householdfinance_v2_8!G14,householdfinance_v2_7!G14,householdfinance_v2_6!G14,householdfinance_v2_10!G14)/COUNT(householdfinance_v2_9!G14,householdfinance_v2_8!G14,householdfinance_v2_7!G14,householdfinance_v2_6!G14,householdfinance_v2_10!G14),0))</f>
        <v>1</v>
      </c>
      <c r="H14">
        <f>IF(AND(F14=1,G14=1),ROUND(SUM(householdfinance_v2_9!H14,householdfinance_v2_8!H14,householdfinance_v2_7!H14,householdfinance_v2_6!H14,householdfinance_v2_10!H14)/COUNT(householdfinance_v2_9!H14,householdfinance_v2_8!H14,householdfinance_v2_7!H14,householdfinance_v2_6!H14,householdfinance_v2_10!H14),0),"NA")</f>
        <v>0</v>
      </c>
      <c r="I14">
        <f>IF($E14=0,"NA",ROUND(SUM(householdfinance_v2_9!I14,householdfinance_v2_8!I14,householdfinance_v2_7!I14,householdfinance_v2_6!I14,householdfinance_v2_10!I14)/COUNT(householdfinance_v2_9!I14,householdfinance_v2_8!I14,householdfinance_v2_7!I14,householdfinance_v2_6!I14,householdfinance_v2_10!I14),0))</f>
        <v>1</v>
      </c>
      <c r="J14">
        <f>IF(F14=1,ROUND(SUM(householdfinance_v2_9!J14,householdfinance_v2_8!J14,householdfinance_v2_7!J14,householdfinance_v2_6!J14,householdfinance_v2_10!J14)/COUNT(householdfinance_v2_9!J14,householdfinance_v2_8!J14,householdfinance_v2_7!J14,householdfinance_v2_6!J14,householdfinance_v2_10!J14),0),"NA")</f>
        <v>1</v>
      </c>
      <c r="K14">
        <f>IF($E14=0,"NA",ROUND(SUM(householdfinance_v2_9!K14,householdfinance_v2_8!K14,householdfinance_v2_7!K14,householdfinance_v2_6!K14,householdfinance_v2_10!K14)/COUNT(householdfinance_v2_9!K14,householdfinance_v2_8!K14,householdfinance_v2_7!K14,householdfinance_v2_6!K14,householdfinance_v2_10!K14),0))</f>
        <v>1</v>
      </c>
      <c r="L14">
        <f>IF($E14=0,"NA",ROUND(SUM(householdfinance_v2_9!L14,householdfinance_v2_8!L14,householdfinance_v2_7!L14,householdfinance_v2_6!L14,householdfinance_v2_10!L14)/COUNT(householdfinance_v2_9!L14,householdfinance_v2_8!L14,householdfinance_v2_7!L14,householdfinance_v2_6!L14,householdfinance_v2_10!L14),0))</f>
        <v>1</v>
      </c>
      <c r="M14">
        <f>IF($E14=0,"NA",ROUND(SUM(householdfinance_v2_9!M14,householdfinance_v2_8!M14,householdfinance_v2_7!M14,householdfinance_v2_6!M14,householdfinance_v2_10!M14)/COUNT(householdfinance_v2_9!M14,householdfinance_v2_8!M14,householdfinance_v2_7!M14,householdfinance_v2_6!M14,householdfinance_v2_10!M14),0))</f>
        <v>1</v>
      </c>
      <c r="N14">
        <f>IF($E14=0,"NA",ROUND(SUM(householdfinance_v2_9!N14,householdfinance_v2_8!N14,householdfinance_v2_7!N14,householdfinance_v2_6!N14,householdfinance_v2_10!N14)/COUNT(householdfinance_v2_9!N14,householdfinance_v2_8!N14,householdfinance_v2_7!N14,householdfinance_v2_6!N14,householdfinance_v2_10!N14),0))</f>
        <v>1</v>
      </c>
      <c r="O14">
        <f>IF($E14=0,"NA",ROUND(SUM(householdfinance_v2_9!O14,householdfinance_v2_8!O14,householdfinance_v2_7!O14,householdfinance_v2_6!O14,householdfinance_v2_10!O14)/COUNT(householdfinance_v2_9!O14,householdfinance_v2_8!O14,householdfinance_v2_7!O14,householdfinance_v2_6!O14,householdfinance_v2_10!O14),0))</f>
        <v>1</v>
      </c>
    </row>
    <row r="15" spans="1:16" x14ac:dyDescent="0.25">
      <c r="A15" t="s">
        <v>16</v>
      </c>
      <c r="B15" t="s">
        <v>35</v>
      </c>
      <c r="C15">
        <v>0</v>
      </c>
      <c r="D15">
        <v>2.6396081447601318</v>
      </c>
      <c r="E15">
        <f>ROUND(SUM(householdfinance_v2_9!E15,householdfinance_v2_8!E15,householdfinance_v2_7!E15,householdfinance_v2_6!E15,householdfinance_v2_10!E15)/COUNT(householdfinance_v2_9!E15,householdfinance_v2_8!E15,householdfinance_v2_7!E15,householdfinance_v2_6!E15,householdfinance_v2_10!E15),0)</f>
        <v>1</v>
      </c>
      <c r="F15">
        <f>IF($E15=0,"NA",ROUND(SUM(householdfinance_v2_9!F15,householdfinance_v2_8!F15,householdfinance_v2_7!F15,householdfinance_v2_6!F15,householdfinance_v2_10!F15)/COUNT(householdfinance_v2_9!F15,householdfinance_v2_8!F15,householdfinance_v2_7!F15,householdfinance_v2_6!F15,householdfinance_v2_10!F15),0))</f>
        <v>1</v>
      </c>
      <c r="G15">
        <f>IF($E15=0,"NA",ROUND(SUM(householdfinance_v2_9!G15,householdfinance_v2_8!G15,householdfinance_v2_7!G15,householdfinance_v2_6!G15,householdfinance_v2_10!G15)/COUNT(householdfinance_v2_9!G15,householdfinance_v2_8!G15,householdfinance_v2_7!G15,householdfinance_v2_6!G15,householdfinance_v2_10!G15),0))</f>
        <v>1</v>
      </c>
      <c r="H15">
        <f>IF(AND(F15=1,G15=1),ROUND(SUM(householdfinance_v2_9!H15,householdfinance_v2_8!H15,householdfinance_v2_7!H15,householdfinance_v2_6!H15,householdfinance_v2_10!H15)/COUNT(householdfinance_v2_9!H15,householdfinance_v2_8!H15,householdfinance_v2_7!H15,householdfinance_v2_6!H15,householdfinance_v2_10!H15),0),"NA")</f>
        <v>1</v>
      </c>
      <c r="I15">
        <f>IF($E15=0,"NA",ROUND(SUM(householdfinance_v2_9!I15,householdfinance_v2_8!I15,householdfinance_v2_7!I15,householdfinance_v2_6!I15,householdfinance_v2_10!I15)/COUNT(householdfinance_v2_9!I15,householdfinance_v2_8!I15,householdfinance_v2_7!I15,householdfinance_v2_6!I15,householdfinance_v2_10!I15),0))</f>
        <v>1</v>
      </c>
      <c r="J15">
        <f>IF(F15=1,ROUND(SUM(householdfinance_v2_9!J15,householdfinance_v2_8!J15,householdfinance_v2_7!J15,householdfinance_v2_6!J15,householdfinance_v2_10!J15)/COUNT(householdfinance_v2_9!J15,householdfinance_v2_8!J15,householdfinance_v2_7!J15,householdfinance_v2_6!J15,householdfinance_v2_10!J15),0),"NA")</f>
        <v>1</v>
      </c>
      <c r="K15">
        <f>IF($E15=0,"NA",ROUND(SUM(householdfinance_v2_9!K15,householdfinance_v2_8!K15,householdfinance_v2_7!K15,householdfinance_v2_6!K15,householdfinance_v2_10!K15)/COUNT(householdfinance_v2_9!K15,householdfinance_v2_8!K15,householdfinance_v2_7!K15,householdfinance_v2_6!K15,householdfinance_v2_10!K15),0))</f>
        <v>1</v>
      </c>
      <c r="L15">
        <f>IF($E15=0,"NA",ROUND(SUM(householdfinance_v2_9!L15,householdfinance_v2_8!L15,householdfinance_v2_7!L15,householdfinance_v2_6!L15,householdfinance_v2_10!L15)/COUNT(householdfinance_v2_9!L15,householdfinance_v2_8!L15,householdfinance_v2_7!L15,householdfinance_v2_6!L15,householdfinance_v2_10!L15),0))</f>
        <v>1</v>
      </c>
      <c r="M15">
        <f>IF($E15=0,"NA",ROUND(SUM(householdfinance_v2_9!M15,householdfinance_v2_8!M15,householdfinance_v2_7!M15,householdfinance_v2_6!M15,householdfinance_v2_10!M15)/COUNT(householdfinance_v2_9!M15,householdfinance_v2_8!M15,householdfinance_v2_7!M15,householdfinance_v2_6!M15,householdfinance_v2_10!M15),0))</f>
        <v>1</v>
      </c>
      <c r="N15">
        <f>IF($E15=0,"NA",ROUND(SUM(householdfinance_v2_9!N15,householdfinance_v2_8!N15,householdfinance_v2_7!N15,householdfinance_v2_6!N15,householdfinance_v2_10!N15)/COUNT(householdfinance_v2_9!N15,householdfinance_v2_8!N15,householdfinance_v2_7!N15,householdfinance_v2_6!N15,householdfinance_v2_10!N15),0))</f>
        <v>1</v>
      </c>
      <c r="O15">
        <f>IF($E15=0,"NA",ROUND(SUM(householdfinance_v2_9!O15,householdfinance_v2_8!O15,householdfinance_v2_7!O15,householdfinance_v2_6!O15,householdfinance_v2_10!O15)/COUNT(householdfinance_v2_9!O15,householdfinance_v2_8!O15,householdfinance_v2_7!O15,householdfinance_v2_6!O15,householdfinance_v2_10!O15),0))</f>
        <v>1</v>
      </c>
    </row>
    <row r="16" spans="1:16" x14ac:dyDescent="0.25">
      <c r="A16" t="s">
        <v>16</v>
      </c>
      <c r="B16" t="s">
        <v>36</v>
      </c>
      <c r="C16">
        <v>0</v>
      </c>
      <c r="D16">
        <v>4.6538760662078857</v>
      </c>
      <c r="E16">
        <f>ROUND(SUM(householdfinance_v2_9!E16,householdfinance_v2_8!E16,householdfinance_v2_7!E16,householdfinance_v2_6!E16,householdfinance_v2_10!E16)/COUNT(householdfinance_v2_9!E16,householdfinance_v2_8!E16,householdfinance_v2_7!E16,householdfinance_v2_6!E16,householdfinance_v2_10!E16),0)</f>
        <v>1</v>
      </c>
      <c r="F16">
        <f>IF($E16=0,"NA",ROUND(SUM(householdfinance_v2_9!F16,householdfinance_v2_8!F16,householdfinance_v2_7!F16,householdfinance_v2_6!F16,householdfinance_v2_10!F16)/COUNT(householdfinance_v2_9!F16,householdfinance_v2_8!F16,householdfinance_v2_7!F16,householdfinance_v2_6!F16,householdfinance_v2_10!F16),0))</f>
        <v>1</v>
      </c>
      <c r="G16">
        <f>IF($E16=0,"NA",ROUND(SUM(householdfinance_v2_9!G16,householdfinance_v2_8!G16,householdfinance_v2_7!G16,householdfinance_v2_6!G16,householdfinance_v2_10!G16)/COUNT(householdfinance_v2_9!G16,householdfinance_v2_8!G16,householdfinance_v2_7!G16,householdfinance_v2_6!G16,householdfinance_v2_10!G16),0))</f>
        <v>1</v>
      </c>
      <c r="H16">
        <f>IF(AND(F16=1,G16=1),ROUND(SUM(householdfinance_v2_9!H16,householdfinance_v2_8!H16,householdfinance_v2_7!H16,householdfinance_v2_6!H16,householdfinance_v2_10!H16)/COUNT(householdfinance_v2_9!H16,householdfinance_v2_8!H16,householdfinance_v2_7!H16,householdfinance_v2_6!H16,householdfinance_v2_10!H16),0),"NA")</f>
        <v>1</v>
      </c>
      <c r="I16">
        <f>IF($E16=0,"NA",ROUND(SUM(householdfinance_v2_9!I16,householdfinance_v2_8!I16,householdfinance_v2_7!I16,householdfinance_v2_6!I16,householdfinance_v2_10!I16)/COUNT(householdfinance_v2_9!I16,householdfinance_v2_8!I16,householdfinance_v2_7!I16,householdfinance_v2_6!I16,householdfinance_v2_10!I16),0))</f>
        <v>1</v>
      </c>
      <c r="J16">
        <f>IF(F16=1,ROUND(SUM(householdfinance_v2_9!J16,householdfinance_v2_8!J16,householdfinance_v2_7!J16,householdfinance_v2_6!J16,householdfinance_v2_10!J16)/COUNT(householdfinance_v2_9!J16,householdfinance_v2_8!J16,householdfinance_v2_7!J16,householdfinance_v2_6!J16,householdfinance_v2_10!J16),0),"NA")</f>
        <v>1</v>
      </c>
      <c r="K16">
        <f>IF($E16=0,"NA",ROUND(SUM(householdfinance_v2_9!K16,householdfinance_v2_8!K16,householdfinance_v2_7!K16,householdfinance_v2_6!K16,householdfinance_v2_10!K16)/COUNT(householdfinance_v2_9!K16,householdfinance_v2_8!K16,householdfinance_v2_7!K16,householdfinance_v2_6!K16,householdfinance_v2_10!K16),0))</f>
        <v>1</v>
      </c>
      <c r="L16">
        <f>IF($E16=0,"NA",ROUND(SUM(householdfinance_v2_9!L16,householdfinance_v2_8!L16,householdfinance_v2_7!L16,householdfinance_v2_6!L16,householdfinance_v2_10!L16)/COUNT(householdfinance_v2_9!L16,householdfinance_v2_8!L16,householdfinance_v2_7!L16,householdfinance_v2_6!L16,householdfinance_v2_10!L16),0))</f>
        <v>1</v>
      </c>
      <c r="M16">
        <f>IF($E16=0,"NA",ROUND(SUM(householdfinance_v2_9!M16,householdfinance_v2_8!M16,householdfinance_v2_7!M16,householdfinance_v2_6!M16,householdfinance_v2_10!M16)/COUNT(householdfinance_v2_9!M16,householdfinance_v2_8!M16,householdfinance_v2_7!M16,householdfinance_v2_6!M16,householdfinance_v2_10!M16),0))</f>
        <v>1</v>
      </c>
      <c r="N16">
        <f>IF($E16=0,"NA",ROUND(SUM(householdfinance_v2_9!N16,householdfinance_v2_8!N16,householdfinance_v2_7!N16,householdfinance_v2_6!N16,householdfinance_v2_10!N16)/COUNT(householdfinance_v2_9!N16,householdfinance_v2_8!N16,householdfinance_v2_7!N16,householdfinance_v2_6!N16,householdfinance_v2_10!N16),0))</f>
        <v>1</v>
      </c>
      <c r="O16">
        <f>IF($E16=0,"NA",ROUND(SUM(householdfinance_v2_9!O16,householdfinance_v2_8!O16,householdfinance_v2_7!O16,householdfinance_v2_6!O16,householdfinance_v2_10!O16)/COUNT(householdfinance_v2_9!O16,householdfinance_v2_8!O16,householdfinance_v2_7!O16,householdfinance_v2_6!O16,householdfinance_v2_10!O16),0))</f>
        <v>1</v>
      </c>
    </row>
    <row r="17" spans="1:15" x14ac:dyDescent="0.25">
      <c r="A17" t="s">
        <v>16</v>
      </c>
      <c r="B17" t="s">
        <v>37</v>
      </c>
      <c r="C17">
        <v>0</v>
      </c>
      <c r="D17">
        <v>5.0561981201171884</v>
      </c>
      <c r="E17">
        <f>ROUND(SUM(householdfinance_v2_9!E17,householdfinance_v2_8!E17,householdfinance_v2_7!E17,householdfinance_v2_6!E17,householdfinance_v2_10!E17)/COUNT(householdfinance_v2_9!E17,householdfinance_v2_8!E17,householdfinance_v2_7!E17,householdfinance_v2_6!E17,householdfinance_v2_10!E17),0)</f>
        <v>1</v>
      </c>
      <c r="F17">
        <f>IF($E17=0,"NA",ROUND(SUM(householdfinance_v2_9!F17,householdfinance_v2_8!F17,householdfinance_v2_7!F17,householdfinance_v2_6!F17,householdfinance_v2_10!F17)/COUNT(householdfinance_v2_9!F17,householdfinance_v2_8!F17,householdfinance_v2_7!F17,householdfinance_v2_6!F17,householdfinance_v2_10!F17),0))</f>
        <v>1</v>
      </c>
      <c r="G17">
        <f>IF($E17=0,"NA",ROUND(SUM(householdfinance_v2_9!G17,householdfinance_v2_8!G17,householdfinance_v2_7!G17,householdfinance_v2_6!G17,householdfinance_v2_10!G17)/COUNT(householdfinance_v2_9!G17,householdfinance_v2_8!G17,householdfinance_v2_7!G17,householdfinance_v2_6!G17,householdfinance_v2_10!G17),0))</f>
        <v>1</v>
      </c>
      <c r="H17">
        <f>IF(AND(F17=1,G17=1),ROUND(SUM(householdfinance_v2_9!H17,householdfinance_v2_8!H17,householdfinance_v2_7!H17,householdfinance_v2_6!H17,householdfinance_v2_10!H17)/COUNT(householdfinance_v2_9!H17,householdfinance_v2_8!H17,householdfinance_v2_7!H17,householdfinance_v2_6!H17,householdfinance_v2_10!H17),0),"NA")</f>
        <v>0</v>
      </c>
      <c r="I17">
        <f>IF($E17=0,"NA",ROUND(SUM(householdfinance_v2_9!I17,householdfinance_v2_8!I17,householdfinance_v2_7!I17,householdfinance_v2_6!I17,householdfinance_v2_10!I17)/COUNT(householdfinance_v2_9!I17,householdfinance_v2_8!I17,householdfinance_v2_7!I17,householdfinance_v2_6!I17,householdfinance_v2_10!I17),0))</f>
        <v>1</v>
      </c>
      <c r="J17">
        <f>IF(F17=1,ROUND(SUM(householdfinance_v2_9!J17,householdfinance_v2_8!J17,householdfinance_v2_7!J17,householdfinance_v2_6!J17,householdfinance_v2_10!J17)/COUNT(householdfinance_v2_9!J17,householdfinance_v2_8!J17,householdfinance_v2_7!J17,householdfinance_v2_6!J17,householdfinance_v2_10!J17),0),"NA")</f>
        <v>1</v>
      </c>
      <c r="K17">
        <f>IF($E17=0,"NA",ROUND(SUM(householdfinance_v2_9!K17,householdfinance_v2_8!K17,householdfinance_v2_7!K17,householdfinance_v2_6!K17,householdfinance_v2_10!K17)/COUNT(householdfinance_v2_9!K17,householdfinance_v2_8!K17,householdfinance_v2_7!K17,householdfinance_v2_6!K17,householdfinance_v2_10!K17),0))</f>
        <v>1</v>
      </c>
      <c r="L17">
        <f>IF($E17=0,"NA",ROUND(SUM(householdfinance_v2_9!L17,householdfinance_v2_8!L17,householdfinance_v2_7!L17,householdfinance_v2_6!L17,householdfinance_v2_10!L17)/COUNT(householdfinance_v2_9!L17,householdfinance_v2_8!L17,householdfinance_v2_7!L17,householdfinance_v2_6!L17,householdfinance_v2_10!L17),0))</f>
        <v>1</v>
      </c>
      <c r="M17">
        <f>IF($E17=0,"NA",ROUND(SUM(householdfinance_v2_9!M17,householdfinance_v2_8!M17,householdfinance_v2_7!M17,householdfinance_v2_6!M17,householdfinance_v2_10!M17)/COUNT(householdfinance_v2_9!M17,householdfinance_v2_8!M17,householdfinance_v2_7!M17,householdfinance_v2_6!M17,householdfinance_v2_10!M17),0))</f>
        <v>1</v>
      </c>
      <c r="N17">
        <f>IF($E17=0,"NA",ROUND(SUM(householdfinance_v2_9!N17,householdfinance_v2_8!N17,householdfinance_v2_7!N17,householdfinance_v2_6!N17,householdfinance_v2_10!N17)/COUNT(householdfinance_v2_9!N17,householdfinance_v2_8!N17,householdfinance_v2_7!N17,householdfinance_v2_6!N17,householdfinance_v2_10!N17),0))</f>
        <v>1</v>
      </c>
      <c r="O17">
        <f>IF($E17=0,"NA",ROUND(SUM(householdfinance_v2_9!O17,householdfinance_v2_8!O17,householdfinance_v2_7!O17,householdfinance_v2_6!O17,householdfinance_v2_10!O17)/COUNT(householdfinance_v2_9!O17,householdfinance_v2_8!O17,householdfinance_v2_7!O17,householdfinance_v2_6!O17,householdfinance_v2_10!O17),0))</f>
        <v>1</v>
      </c>
    </row>
    <row r="18" spans="1:15" x14ac:dyDescent="0.25">
      <c r="A18" t="s">
        <v>16</v>
      </c>
      <c r="B18" t="s">
        <v>39</v>
      </c>
      <c r="C18">
        <v>0</v>
      </c>
      <c r="D18">
        <v>8.7496082782745361</v>
      </c>
      <c r="E18">
        <f>ROUND(SUM(householdfinance_v2_9!E18,householdfinance_v2_8!E18,householdfinance_v2_7!E18,householdfinance_v2_6!E18,householdfinance_v2_10!E18)/COUNT(householdfinance_v2_9!E18,householdfinance_v2_8!E18,householdfinance_v2_7!E18,householdfinance_v2_6!E18,householdfinance_v2_10!E18),0)</f>
        <v>1</v>
      </c>
      <c r="F18">
        <f>IF($E18=0,"NA",ROUND(SUM(householdfinance_v2_9!F18,householdfinance_v2_8!F18,householdfinance_v2_7!F18,householdfinance_v2_6!F18,householdfinance_v2_10!F18)/COUNT(householdfinance_v2_9!F18,householdfinance_v2_8!F18,householdfinance_v2_7!F18,householdfinance_v2_6!F18,householdfinance_v2_10!F18),0))</f>
        <v>1</v>
      </c>
      <c r="G18">
        <f>IF($E18=0,"NA",ROUND(SUM(householdfinance_v2_9!G18,householdfinance_v2_8!G18,householdfinance_v2_7!G18,householdfinance_v2_6!G18,householdfinance_v2_10!G18)/COUNT(householdfinance_v2_9!G18,householdfinance_v2_8!G18,householdfinance_v2_7!G18,householdfinance_v2_6!G18,householdfinance_v2_10!G18),0))</f>
        <v>1</v>
      </c>
      <c r="H18">
        <f>IF(AND(F18=1,G18=1),ROUND(SUM(householdfinance_v2_9!H18,householdfinance_v2_8!H18,householdfinance_v2_7!H18,householdfinance_v2_6!H18,householdfinance_v2_10!H18)/COUNT(householdfinance_v2_9!H18,householdfinance_v2_8!H18,householdfinance_v2_7!H18,householdfinance_v2_6!H18,householdfinance_v2_10!H18),0),"NA")</f>
        <v>1</v>
      </c>
      <c r="I18">
        <f>IF($E18=0,"NA",ROUND(SUM(householdfinance_v2_9!I18,householdfinance_v2_8!I18,householdfinance_v2_7!I18,householdfinance_v2_6!I18,householdfinance_v2_10!I18)/COUNT(householdfinance_v2_9!I18,householdfinance_v2_8!I18,householdfinance_v2_7!I18,householdfinance_v2_6!I18,householdfinance_v2_10!I18),0))</f>
        <v>1</v>
      </c>
      <c r="J18">
        <f>IF(F18=1,ROUND(SUM(householdfinance_v2_9!J18,householdfinance_v2_8!J18,householdfinance_v2_7!J18,householdfinance_v2_6!J18,householdfinance_v2_10!J18)/COUNT(householdfinance_v2_9!J18,householdfinance_v2_8!J18,householdfinance_v2_7!J18,householdfinance_v2_6!J18,householdfinance_v2_10!J18),0),"NA")</f>
        <v>1</v>
      </c>
      <c r="K18">
        <f>IF($E18=0,"NA",ROUND(SUM(householdfinance_v2_9!K18,householdfinance_v2_8!K18,householdfinance_v2_7!K18,householdfinance_v2_6!K18,householdfinance_v2_10!K18)/COUNT(householdfinance_v2_9!K18,householdfinance_v2_8!K18,householdfinance_v2_7!K18,householdfinance_v2_6!K18,householdfinance_v2_10!K18),0))</f>
        <v>1</v>
      </c>
      <c r="L18">
        <f>IF($E18=0,"NA",ROUND(SUM(householdfinance_v2_9!L18,householdfinance_v2_8!L18,householdfinance_v2_7!L18,householdfinance_v2_6!L18,householdfinance_v2_10!L18)/COUNT(householdfinance_v2_9!L18,householdfinance_v2_8!L18,householdfinance_v2_7!L18,householdfinance_v2_6!L18,householdfinance_v2_10!L18),0))</f>
        <v>1</v>
      </c>
      <c r="M18">
        <f>IF($E18=0,"NA",ROUND(SUM(householdfinance_v2_9!M18,householdfinance_v2_8!M18,householdfinance_v2_7!M18,householdfinance_v2_6!M18,householdfinance_v2_10!M18)/COUNT(householdfinance_v2_9!M18,householdfinance_v2_8!M18,householdfinance_v2_7!M18,householdfinance_v2_6!M18,householdfinance_v2_10!M18),0))</f>
        <v>1</v>
      </c>
      <c r="N18">
        <f>IF($E18=0,"NA",ROUND(SUM(householdfinance_v2_9!N18,householdfinance_v2_8!N18,householdfinance_v2_7!N18,householdfinance_v2_6!N18,householdfinance_v2_10!N18)/COUNT(householdfinance_v2_9!N18,householdfinance_v2_8!N18,householdfinance_v2_7!N18,householdfinance_v2_6!N18,householdfinance_v2_10!N18),0))</f>
        <v>1</v>
      </c>
      <c r="O18">
        <f>IF($E18=0,"NA",ROUND(SUM(householdfinance_v2_9!O18,householdfinance_v2_8!O18,householdfinance_v2_7!O18,householdfinance_v2_6!O18,householdfinance_v2_10!O18)/COUNT(householdfinance_v2_9!O18,householdfinance_v2_8!O18,householdfinance_v2_7!O18,householdfinance_v2_6!O18,householdfinance_v2_10!O18),0))</f>
        <v>1</v>
      </c>
    </row>
    <row r="19" spans="1:15" x14ac:dyDescent="0.25">
      <c r="A19" t="s">
        <v>16</v>
      </c>
      <c r="B19" t="s">
        <v>40</v>
      </c>
      <c r="C19">
        <v>0</v>
      </c>
      <c r="D19">
        <v>2.6760892868041992</v>
      </c>
      <c r="E19">
        <f>ROUND(SUM(householdfinance_v2_9!E19,householdfinance_v2_8!E19,householdfinance_v2_7!E19,householdfinance_v2_6!E19,householdfinance_v2_10!E19)/COUNT(householdfinance_v2_9!E19,householdfinance_v2_8!E19,householdfinance_v2_7!E19,householdfinance_v2_6!E19,householdfinance_v2_10!E19),0)</f>
        <v>1</v>
      </c>
      <c r="F19">
        <f>IF($E19=0,"NA",ROUND(SUM(householdfinance_v2_9!F19,householdfinance_v2_8!F19,householdfinance_v2_7!F19,householdfinance_v2_6!F19,householdfinance_v2_10!F19)/COUNT(householdfinance_v2_9!F19,householdfinance_v2_8!F19,householdfinance_v2_7!F19,householdfinance_v2_6!F19,householdfinance_v2_10!F19),0))</f>
        <v>1</v>
      </c>
      <c r="G19">
        <f>IF($E19=0,"NA",ROUND(SUM(householdfinance_v2_9!G19,householdfinance_v2_8!G19,householdfinance_v2_7!G19,householdfinance_v2_6!G19,householdfinance_v2_10!G19)/COUNT(householdfinance_v2_9!G19,householdfinance_v2_8!G19,householdfinance_v2_7!G19,householdfinance_v2_6!G19,householdfinance_v2_10!G19),0))</f>
        <v>1</v>
      </c>
      <c r="H19">
        <f>IF(AND(F19=1,G19=1),ROUND(SUM(householdfinance_v2_9!H19,householdfinance_v2_8!H19,householdfinance_v2_7!H19,householdfinance_v2_6!H19,householdfinance_v2_10!H19)/COUNT(householdfinance_v2_9!H19,householdfinance_v2_8!H19,householdfinance_v2_7!H19,householdfinance_v2_6!H19,householdfinance_v2_10!H19),0),"NA")</f>
        <v>1</v>
      </c>
      <c r="I19">
        <f>IF($E19=0,"NA",ROUND(SUM(householdfinance_v2_9!I19,householdfinance_v2_8!I19,householdfinance_v2_7!I19,householdfinance_v2_6!I19,householdfinance_v2_10!I19)/COUNT(householdfinance_v2_9!I19,householdfinance_v2_8!I19,householdfinance_v2_7!I19,householdfinance_v2_6!I19,householdfinance_v2_10!I19),0))</f>
        <v>1</v>
      </c>
      <c r="J19">
        <f>IF(F19=1,ROUND(SUM(householdfinance_v2_9!J19,householdfinance_v2_8!J19,householdfinance_v2_7!J19,householdfinance_v2_6!J19,householdfinance_v2_10!J19)/COUNT(householdfinance_v2_9!J19,householdfinance_v2_8!J19,householdfinance_v2_7!J19,householdfinance_v2_6!J19,householdfinance_v2_10!J19),0),"NA")</f>
        <v>1</v>
      </c>
      <c r="K19">
        <f>IF($E19=0,"NA",ROUND(SUM(householdfinance_v2_9!K19,householdfinance_v2_8!K19,householdfinance_v2_7!K19,householdfinance_v2_6!K19,householdfinance_v2_10!K19)/COUNT(householdfinance_v2_9!K19,householdfinance_v2_8!K19,householdfinance_v2_7!K19,householdfinance_v2_6!K19,householdfinance_v2_10!K19),0))</f>
        <v>1</v>
      </c>
      <c r="L19">
        <f>IF($E19=0,"NA",ROUND(SUM(householdfinance_v2_9!L19,householdfinance_v2_8!L19,householdfinance_v2_7!L19,householdfinance_v2_6!L19,householdfinance_v2_10!L19)/COUNT(householdfinance_v2_9!L19,householdfinance_v2_8!L19,householdfinance_v2_7!L19,householdfinance_v2_6!L19,householdfinance_v2_10!L19),0))</f>
        <v>1</v>
      </c>
      <c r="M19">
        <f>IF($E19=0,"NA",ROUND(SUM(householdfinance_v2_9!M19,householdfinance_v2_8!M19,householdfinance_v2_7!M19,householdfinance_v2_6!M19,householdfinance_v2_10!M19)/COUNT(householdfinance_v2_9!M19,householdfinance_v2_8!M19,householdfinance_v2_7!M19,householdfinance_v2_6!M19,householdfinance_v2_10!M19),0))</f>
        <v>1</v>
      </c>
      <c r="N19">
        <f>IF($E19=0,"NA",ROUND(SUM(householdfinance_v2_9!N19,householdfinance_v2_8!N19,householdfinance_v2_7!N19,householdfinance_v2_6!N19,householdfinance_v2_10!N19)/COUNT(householdfinance_v2_9!N19,householdfinance_v2_8!N19,householdfinance_v2_7!N19,householdfinance_v2_6!N19,householdfinance_v2_10!N19),0))</f>
        <v>1</v>
      </c>
      <c r="O19">
        <f>IF($E19=0,"NA",ROUND(SUM(householdfinance_v2_9!O19,householdfinance_v2_8!O19,householdfinance_v2_7!O19,householdfinance_v2_6!O19,householdfinance_v2_10!O19)/COUNT(householdfinance_v2_9!O19,householdfinance_v2_8!O19,householdfinance_v2_7!O19,householdfinance_v2_6!O19,householdfinance_v2_10!O19),0))</f>
        <v>1</v>
      </c>
    </row>
    <row r="20" spans="1:15" x14ac:dyDescent="0.25">
      <c r="A20" t="s">
        <v>16</v>
      </c>
      <c r="B20" t="s">
        <v>41</v>
      </c>
      <c r="C20">
        <v>0</v>
      </c>
      <c r="D20">
        <v>8.905106782913208</v>
      </c>
      <c r="E20">
        <f>ROUND(SUM(householdfinance_v2_9!E20,householdfinance_v2_8!E20,householdfinance_v2_7!E20,householdfinance_v2_6!E20,householdfinance_v2_10!E20)/COUNT(householdfinance_v2_9!E20,householdfinance_v2_8!E20,householdfinance_v2_7!E20,householdfinance_v2_6!E20,householdfinance_v2_10!E20),0)</f>
        <v>1</v>
      </c>
      <c r="F20">
        <f>IF($E20=0,"NA",ROUND(SUM(householdfinance_v2_9!F20,householdfinance_v2_8!F20,householdfinance_v2_7!F20,householdfinance_v2_6!F20,householdfinance_v2_10!F20)/COUNT(householdfinance_v2_9!F20,householdfinance_v2_8!F20,householdfinance_v2_7!F20,householdfinance_v2_6!F20,householdfinance_v2_10!F20),0))</f>
        <v>1</v>
      </c>
      <c r="G20">
        <f>IF($E20=0,"NA",ROUND(SUM(householdfinance_v2_9!G20,householdfinance_v2_8!G20,householdfinance_v2_7!G20,householdfinance_v2_6!G20,householdfinance_v2_10!G20)/COUNT(householdfinance_v2_9!G20,householdfinance_v2_8!G20,householdfinance_v2_7!G20,householdfinance_v2_6!G20,householdfinance_v2_10!G20),0))</f>
        <v>1</v>
      </c>
      <c r="H20">
        <f>IF(AND(F20=1,G20=1),ROUND(SUM(householdfinance_v2_9!H20,householdfinance_v2_8!H20,householdfinance_v2_7!H20,householdfinance_v2_6!H20,householdfinance_v2_10!H20)/COUNT(householdfinance_v2_9!H20,householdfinance_v2_8!H20,householdfinance_v2_7!H20,householdfinance_v2_6!H20,householdfinance_v2_10!H20),0),"NA")</f>
        <v>1</v>
      </c>
      <c r="I20">
        <f>IF($E20=0,"NA",ROUND(SUM(householdfinance_v2_9!I20,householdfinance_v2_8!I20,householdfinance_v2_7!I20,householdfinance_v2_6!I20,householdfinance_v2_10!I20)/COUNT(householdfinance_v2_9!I20,householdfinance_v2_8!I20,householdfinance_v2_7!I20,householdfinance_v2_6!I20,householdfinance_v2_10!I20),0))</f>
        <v>1</v>
      </c>
      <c r="J20">
        <f>IF(F20=1,ROUND(SUM(householdfinance_v2_9!J20,householdfinance_v2_8!J20,householdfinance_v2_7!J20,householdfinance_v2_6!J20,householdfinance_v2_10!J20)/COUNT(householdfinance_v2_9!J20,householdfinance_v2_8!J20,householdfinance_v2_7!J20,householdfinance_v2_6!J20,householdfinance_v2_10!J20),0),"NA")</f>
        <v>1</v>
      </c>
      <c r="K20">
        <f>IF($E20=0,"NA",ROUND(SUM(householdfinance_v2_9!K20,householdfinance_v2_8!K20,householdfinance_v2_7!K20,householdfinance_v2_6!K20,householdfinance_v2_10!K20)/COUNT(householdfinance_v2_9!K20,householdfinance_v2_8!K20,householdfinance_v2_7!K20,householdfinance_v2_6!K20,householdfinance_v2_10!K20),0))</f>
        <v>1</v>
      </c>
      <c r="L20">
        <f>IF($E20=0,"NA",ROUND(SUM(householdfinance_v2_9!L20,householdfinance_v2_8!L20,householdfinance_v2_7!L20,householdfinance_v2_6!L20,householdfinance_v2_10!L20)/COUNT(householdfinance_v2_9!L20,householdfinance_v2_8!L20,householdfinance_v2_7!L20,householdfinance_v2_6!L20,householdfinance_v2_10!L20),0))</f>
        <v>1</v>
      </c>
      <c r="M20">
        <f>IF($E20=0,"NA",ROUND(SUM(householdfinance_v2_9!M20,householdfinance_v2_8!M20,householdfinance_v2_7!M20,householdfinance_v2_6!M20,householdfinance_v2_10!M20)/COUNT(householdfinance_v2_9!M20,householdfinance_v2_8!M20,householdfinance_v2_7!M20,householdfinance_v2_6!M20,householdfinance_v2_10!M20),0))</f>
        <v>1</v>
      </c>
      <c r="N20">
        <f>IF($E20=0,"NA",ROUND(SUM(householdfinance_v2_9!N20,householdfinance_v2_8!N20,householdfinance_v2_7!N20,householdfinance_v2_6!N20,householdfinance_v2_10!N20)/COUNT(householdfinance_v2_9!N20,householdfinance_v2_8!N20,householdfinance_v2_7!N20,householdfinance_v2_6!N20,householdfinance_v2_10!N20),0))</f>
        <v>1</v>
      </c>
      <c r="O20">
        <f>IF($E20=0,"NA",ROUND(SUM(householdfinance_v2_9!O20,householdfinance_v2_8!O20,householdfinance_v2_7!O20,householdfinance_v2_6!O20,householdfinance_v2_10!O20)/COUNT(householdfinance_v2_9!O20,householdfinance_v2_8!O20,householdfinance_v2_7!O20,householdfinance_v2_6!O20,householdfinance_v2_10!O20),0))</f>
        <v>1</v>
      </c>
    </row>
    <row r="21" spans="1:15" x14ac:dyDescent="0.25">
      <c r="A21" t="s">
        <v>16</v>
      </c>
      <c r="B21" t="s">
        <v>42</v>
      </c>
      <c r="C21">
        <v>0</v>
      </c>
      <c r="D21">
        <v>10.786957502365111</v>
      </c>
      <c r="E21">
        <f>ROUND(SUM(householdfinance_v2_9!E21,householdfinance_v2_8!E21,householdfinance_v2_7!E21,householdfinance_v2_6!E21,householdfinance_v2_10!E21)/COUNT(householdfinance_v2_9!E21,householdfinance_v2_8!E21,householdfinance_v2_7!E21,householdfinance_v2_6!E21,householdfinance_v2_10!E21),0)</f>
        <v>0</v>
      </c>
      <c r="F21" t="str">
        <f>IF($E21=0,"NA",ROUND(SUM(householdfinance_v2_9!F21,householdfinance_v2_8!F21,householdfinance_v2_7!F21,householdfinance_v2_6!F21,householdfinance_v2_10!F21)/COUNT(householdfinance_v2_9!F21,householdfinance_v2_8!F21,householdfinance_v2_7!F21,householdfinance_v2_6!F21,householdfinance_v2_10!F21),0))</f>
        <v>NA</v>
      </c>
      <c r="G21" t="str">
        <f>IF($E21=0,"NA",ROUND(SUM(householdfinance_v2_9!G21,householdfinance_v2_8!G21,householdfinance_v2_7!G21,householdfinance_v2_6!G21,householdfinance_v2_10!G21)/COUNT(householdfinance_v2_9!G21,householdfinance_v2_8!G21,householdfinance_v2_7!G21,householdfinance_v2_6!G21,householdfinance_v2_10!G21),0))</f>
        <v>NA</v>
      </c>
      <c r="H21" t="str">
        <f>IF(AND(F21=1,G21=1),ROUND(SUM(householdfinance_v2_9!H21,householdfinance_v2_8!H21,householdfinance_v2_7!H21,householdfinance_v2_6!H21,householdfinance_v2_10!H21)/COUNT(householdfinance_v2_9!H21,householdfinance_v2_8!H21,householdfinance_v2_7!H21,householdfinance_v2_6!H21,householdfinance_v2_10!H21),0),"NA")</f>
        <v>NA</v>
      </c>
      <c r="I21" t="str">
        <f>IF($E21=0,"NA",ROUND(SUM(householdfinance_v2_9!I21,householdfinance_v2_8!I21,householdfinance_v2_7!I21,householdfinance_v2_6!I21,householdfinance_v2_10!I21)/COUNT(householdfinance_v2_9!I21,householdfinance_v2_8!I21,householdfinance_v2_7!I21,householdfinance_v2_6!I21,householdfinance_v2_10!I21),0))</f>
        <v>NA</v>
      </c>
      <c r="J21" t="str">
        <f>IF(F21=1,ROUND(SUM(householdfinance_v2_9!J21,householdfinance_v2_8!J21,householdfinance_v2_7!J21,householdfinance_v2_6!J21,householdfinance_v2_10!J21)/COUNT(householdfinance_v2_9!J21,householdfinance_v2_8!J21,householdfinance_v2_7!J21,householdfinance_v2_6!J21,householdfinance_v2_10!J21),0),"NA")</f>
        <v>NA</v>
      </c>
      <c r="K21" t="str">
        <f>IF($E21=0,"NA",ROUND(SUM(householdfinance_v2_9!K21,householdfinance_v2_8!K21,householdfinance_v2_7!K21,householdfinance_v2_6!K21,householdfinance_v2_10!K21)/COUNT(householdfinance_v2_9!K21,householdfinance_v2_8!K21,householdfinance_v2_7!K21,householdfinance_v2_6!K21,householdfinance_v2_10!K21),0))</f>
        <v>NA</v>
      </c>
      <c r="L21" t="str">
        <f>IF($E21=0,"NA",ROUND(SUM(householdfinance_v2_9!L21,householdfinance_v2_8!L21,householdfinance_v2_7!L21,householdfinance_v2_6!L21,householdfinance_v2_10!L21)/COUNT(householdfinance_v2_9!L21,householdfinance_v2_8!L21,householdfinance_v2_7!L21,householdfinance_v2_6!L21,householdfinance_v2_10!L21),0))</f>
        <v>NA</v>
      </c>
      <c r="M21" t="str">
        <f>IF($E21=0,"NA",ROUND(SUM(householdfinance_v2_9!M21,householdfinance_v2_8!M21,householdfinance_v2_7!M21,householdfinance_v2_6!M21,householdfinance_v2_10!M21)/COUNT(householdfinance_v2_9!M21,householdfinance_v2_8!M21,householdfinance_v2_7!M21,householdfinance_v2_6!M21,householdfinance_v2_10!M21),0))</f>
        <v>NA</v>
      </c>
      <c r="N21" t="str">
        <f>IF($E21=0,"NA",ROUND(SUM(householdfinance_v2_9!N21,householdfinance_v2_8!N21,householdfinance_v2_7!N21,householdfinance_v2_6!N21,householdfinance_v2_10!N21)/COUNT(householdfinance_v2_9!N21,householdfinance_v2_8!N21,householdfinance_v2_7!N21,householdfinance_v2_6!N21,householdfinance_v2_10!N21),0))</f>
        <v>NA</v>
      </c>
      <c r="O21" t="str">
        <f>IF($E21=0,"NA",ROUND(SUM(householdfinance_v2_9!O21,householdfinance_v2_8!O21,householdfinance_v2_7!O21,householdfinance_v2_6!O21,householdfinance_v2_10!O21)/COUNT(householdfinance_v2_9!O21,householdfinance_v2_8!O21,householdfinance_v2_7!O21,householdfinance_v2_6!O21,householdfinance_v2_10!O21),0))</f>
        <v>NA</v>
      </c>
    </row>
    <row r="22" spans="1:15" x14ac:dyDescent="0.25">
      <c r="A22" t="s">
        <v>16</v>
      </c>
      <c r="B22" t="s">
        <v>44</v>
      </c>
      <c r="C22">
        <v>0</v>
      </c>
      <c r="D22">
        <v>4.1097722053527832</v>
      </c>
      <c r="E22">
        <f>ROUND(SUM(householdfinance_v2_9!E22,householdfinance_v2_8!E22,householdfinance_v2_7!E22,householdfinance_v2_6!E22,householdfinance_v2_10!E22)/COUNT(householdfinance_v2_9!E22,householdfinance_v2_8!E22,householdfinance_v2_7!E22,householdfinance_v2_6!E22,householdfinance_v2_10!E22),0)</f>
        <v>1</v>
      </c>
      <c r="F22">
        <f>IF($E22=0,"NA",ROUND(SUM(householdfinance_v2_9!F22,householdfinance_v2_8!F22,householdfinance_v2_7!F22,householdfinance_v2_6!F22,householdfinance_v2_10!F22)/COUNT(householdfinance_v2_9!F22,householdfinance_v2_8!F22,householdfinance_v2_7!F22,householdfinance_v2_6!F22,householdfinance_v2_10!F22),0))</f>
        <v>1</v>
      </c>
      <c r="G22">
        <f>IF($E22=0,"NA",ROUND(SUM(householdfinance_v2_9!G22,householdfinance_v2_8!G22,householdfinance_v2_7!G22,householdfinance_v2_6!G22,householdfinance_v2_10!G22)/COUNT(householdfinance_v2_9!G22,householdfinance_v2_8!G22,householdfinance_v2_7!G22,householdfinance_v2_6!G22,householdfinance_v2_10!G22),0))</f>
        <v>1</v>
      </c>
      <c r="H22">
        <f>IF(AND(F22=1,G22=1),ROUND(SUM(householdfinance_v2_9!H22,householdfinance_v2_8!H22,householdfinance_v2_7!H22,householdfinance_v2_6!H22,householdfinance_v2_10!H22)/COUNT(householdfinance_v2_9!H22,householdfinance_v2_8!H22,householdfinance_v2_7!H22,householdfinance_v2_6!H22,householdfinance_v2_10!H22),0),"NA")</f>
        <v>1</v>
      </c>
      <c r="I22">
        <f>IF($E22=0,"NA",ROUND(SUM(householdfinance_v2_9!I22,householdfinance_v2_8!I22,householdfinance_v2_7!I22,householdfinance_v2_6!I22,householdfinance_v2_10!I22)/COUNT(householdfinance_v2_9!I22,householdfinance_v2_8!I22,householdfinance_v2_7!I22,householdfinance_v2_6!I22,householdfinance_v2_10!I22),0))</f>
        <v>1</v>
      </c>
      <c r="J22">
        <f>IF(F22=1,ROUND(SUM(householdfinance_v2_9!J22,householdfinance_v2_8!J22,householdfinance_v2_7!J22,householdfinance_v2_6!J22,householdfinance_v2_10!J22)/COUNT(householdfinance_v2_9!J22,householdfinance_v2_8!J22,householdfinance_v2_7!J22,householdfinance_v2_6!J22,householdfinance_v2_10!J22),0),"NA")</f>
        <v>1</v>
      </c>
      <c r="K22">
        <f>IF($E22=0,"NA",ROUND(SUM(householdfinance_v2_9!K22,householdfinance_v2_8!K22,householdfinance_v2_7!K22,householdfinance_v2_6!K22,householdfinance_v2_10!K22)/COUNT(householdfinance_v2_9!K22,householdfinance_v2_8!K22,householdfinance_v2_7!K22,householdfinance_v2_6!K22,householdfinance_v2_10!K22),0))</f>
        <v>1</v>
      </c>
      <c r="L22">
        <f>IF($E22=0,"NA",ROUND(SUM(householdfinance_v2_9!L22,householdfinance_v2_8!L22,householdfinance_v2_7!L22,householdfinance_v2_6!L22,householdfinance_v2_10!L22)/COUNT(householdfinance_v2_9!L22,householdfinance_v2_8!L22,householdfinance_v2_7!L22,householdfinance_v2_6!L22,householdfinance_v2_10!L22),0))</f>
        <v>1</v>
      </c>
      <c r="M22">
        <f>IF($E22=0,"NA",ROUND(SUM(householdfinance_v2_9!M22,householdfinance_v2_8!M22,householdfinance_v2_7!M22,householdfinance_v2_6!M22,householdfinance_v2_10!M22)/COUNT(householdfinance_v2_9!M22,householdfinance_v2_8!M22,householdfinance_v2_7!M22,householdfinance_v2_6!M22,householdfinance_v2_10!M22),0))</f>
        <v>1</v>
      </c>
      <c r="N22">
        <f>IF($E22=0,"NA",ROUND(SUM(householdfinance_v2_9!N22,householdfinance_v2_8!N22,householdfinance_v2_7!N22,householdfinance_v2_6!N22,householdfinance_v2_10!N22)/COUNT(householdfinance_v2_9!N22,householdfinance_v2_8!N22,householdfinance_v2_7!N22,householdfinance_v2_6!N22,householdfinance_v2_10!N22),0))</f>
        <v>1</v>
      </c>
      <c r="O22">
        <f>IF($E22=0,"NA",ROUND(SUM(householdfinance_v2_9!O22,householdfinance_v2_8!O22,householdfinance_v2_7!O22,householdfinance_v2_6!O22,householdfinance_v2_10!O22)/COUNT(householdfinance_v2_9!O22,householdfinance_v2_8!O22,householdfinance_v2_7!O22,householdfinance_v2_6!O22,householdfinance_v2_10!O22),0))</f>
        <v>1</v>
      </c>
    </row>
    <row r="23" spans="1:15" x14ac:dyDescent="0.25">
      <c r="A23" t="s">
        <v>16</v>
      </c>
      <c r="B23" t="s">
        <v>46</v>
      </c>
      <c r="C23">
        <v>0</v>
      </c>
      <c r="D23">
        <v>8.5324664115905762</v>
      </c>
      <c r="E23">
        <f>ROUND(SUM(householdfinance_v2_9!E23,householdfinance_v2_8!E23,householdfinance_v2_7!E23,householdfinance_v2_6!E23,householdfinance_v2_10!E23)/COUNT(householdfinance_v2_9!E23,householdfinance_v2_8!E23,householdfinance_v2_7!E23,householdfinance_v2_6!E23,householdfinance_v2_10!E23),0)</f>
        <v>0</v>
      </c>
      <c r="F23" t="str">
        <f>IF($E23=0,"NA",ROUND(SUM(householdfinance_v2_9!F23,householdfinance_v2_8!F23,householdfinance_v2_7!F23,householdfinance_v2_6!F23,householdfinance_v2_10!F23)/COUNT(householdfinance_v2_9!F23,householdfinance_v2_8!F23,householdfinance_v2_7!F23,householdfinance_v2_6!F23,householdfinance_v2_10!F23),0))</f>
        <v>NA</v>
      </c>
      <c r="G23" t="str">
        <f>IF($E23=0,"NA",ROUND(SUM(householdfinance_v2_9!G23,householdfinance_v2_8!G23,householdfinance_v2_7!G23,householdfinance_v2_6!G23,householdfinance_v2_10!G23)/COUNT(householdfinance_v2_9!G23,householdfinance_v2_8!G23,householdfinance_v2_7!G23,householdfinance_v2_6!G23,householdfinance_v2_10!G23),0))</f>
        <v>NA</v>
      </c>
      <c r="H23" t="str">
        <f>IF(AND(F23=1,G23=1),ROUND(SUM(householdfinance_v2_9!H23,householdfinance_v2_8!H23,householdfinance_v2_7!H23,householdfinance_v2_6!H23,householdfinance_v2_10!H23)/COUNT(householdfinance_v2_9!H23,householdfinance_v2_8!H23,householdfinance_v2_7!H23,householdfinance_v2_6!H23,householdfinance_v2_10!H23),0),"NA")</f>
        <v>NA</v>
      </c>
      <c r="I23" t="str">
        <f>IF($E23=0,"NA",ROUND(SUM(householdfinance_v2_9!I23,householdfinance_v2_8!I23,householdfinance_v2_7!I23,householdfinance_v2_6!I23,householdfinance_v2_10!I23)/COUNT(householdfinance_v2_9!I23,householdfinance_v2_8!I23,householdfinance_v2_7!I23,householdfinance_v2_6!I23,householdfinance_v2_10!I23),0))</f>
        <v>NA</v>
      </c>
      <c r="J23" t="str">
        <f>IF(F23=1,ROUND(SUM(householdfinance_v2_9!J23,householdfinance_v2_8!J23,householdfinance_v2_7!J23,householdfinance_v2_6!J23,householdfinance_v2_10!J23)/COUNT(householdfinance_v2_9!J23,householdfinance_v2_8!J23,householdfinance_v2_7!J23,householdfinance_v2_6!J23,householdfinance_v2_10!J23),0),"NA")</f>
        <v>NA</v>
      </c>
      <c r="K23" t="str">
        <f>IF($E23=0,"NA",ROUND(SUM(householdfinance_v2_9!K23,householdfinance_v2_8!K23,householdfinance_v2_7!K23,householdfinance_v2_6!K23,householdfinance_v2_10!K23)/COUNT(householdfinance_v2_9!K23,householdfinance_v2_8!K23,householdfinance_v2_7!K23,householdfinance_v2_6!K23,householdfinance_v2_10!K23),0))</f>
        <v>NA</v>
      </c>
      <c r="L23" t="str">
        <f>IF($E23=0,"NA",ROUND(SUM(householdfinance_v2_9!L23,householdfinance_v2_8!L23,householdfinance_v2_7!L23,householdfinance_v2_6!L23,householdfinance_v2_10!L23)/COUNT(householdfinance_v2_9!L23,householdfinance_v2_8!L23,householdfinance_v2_7!L23,householdfinance_v2_6!L23,householdfinance_v2_10!L23),0))</f>
        <v>NA</v>
      </c>
      <c r="M23" t="str">
        <f>IF($E23=0,"NA",ROUND(SUM(householdfinance_v2_9!M23,householdfinance_v2_8!M23,householdfinance_v2_7!M23,householdfinance_v2_6!M23,householdfinance_v2_10!M23)/COUNT(householdfinance_v2_9!M23,householdfinance_v2_8!M23,householdfinance_v2_7!M23,householdfinance_v2_6!M23,householdfinance_v2_10!M23),0))</f>
        <v>NA</v>
      </c>
      <c r="N23" t="str">
        <f>IF($E23=0,"NA",ROUND(SUM(householdfinance_v2_9!N23,householdfinance_v2_8!N23,householdfinance_v2_7!N23,householdfinance_v2_6!N23,householdfinance_v2_10!N23)/COUNT(householdfinance_v2_9!N23,householdfinance_v2_8!N23,householdfinance_v2_7!N23,householdfinance_v2_6!N23,householdfinance_v2_10!N23),0))</f>
        <v>NA</v>
      </c>
      <c r="O23" t="str">
        <f>IF($E23=0,"NA",ROUND(SUM(householdfinance_v2_9!O23,householdfinance_v2_8!O23,householdfinance_v2_7!O23,householdfinance_v2_6!O23,householdfinance_v2_10!O23)/COUNT(householdfinance_v2_9!O23,householdfinance_v2_8!O23,householdfinance_v2_7!O23,householdfinance_v2_6!O23,householdfinance_v2_10!O23),0))</f>
        <v>NA</v>
      </c>
    </row>
    <row r="24" spans="1:15" x14ac:dyDescent="0.25">
      <c r="A24" t="s">
        <v>16</v>
      </c>
      <c r="B24" t="s">
        <v>48</v>
      </c>
      <c r="C24">
        <v>0</v>
      </c>
      <c r="D24">
        <v>2.8990836143493648</v>
      </c>
      <c r="E24">
        <f>ROUND(SUM(householdfinance_v2_9!E24,householdfinance_v2_8!E24,householdfinance_v2_7!E24,householdfinance_v2_6!E24,householdfinance_v2_10!E24)/COUNT(householdfinance_v2_9!E24,householdfinance_v2_8!E24,householdfinance_v2_7!E24,householdfinance_v2_6!E24,householdfinance_v2_10!E24),0)</f>
        <v>1</v>
      </c>
      <c r="F24">
        <f>IF($E24=0,"NA",ROUND(SUM(householdfinance_v2_9!F24,householdfinance_v2_8!F24,householdfinance_v2_7!F24,householdfinance_v2_6!F24,householdfinance_v2_10!F24)/COUNT(householdfinance_v2_9!F24,householdfinance_v2_8!F24,householdfinance_v2_7!F24,householdfinance_v2_6!F24,householdfinance_v2_10!F24),0))</f>
        <v>1</v>
      </c>
      <c r="G24">
        <f>IF($E24=0,"NA",ROUND(SUM(householdfinance_v2_9!G24,householdfinance_v2_8!G24,householdfinance_v2_7!G24,householdfinance_v2_6!G24,householdfinance_v2_10!G24)/COUNT(householdfinance_v2_9!G24,householdfinance_v2_8!G24,householdfinance_v2_7!G24,householdfinance_v2_6!G24,householdfinance_v2_10!G24),0))</f>
        <v>1</v>
      </c>
      <c r="H24">
        <f>IF(AND(F24=1,G24=1),ROUND(SUM(householdfinance_v2_9!H24,householdfinance_v2_8!H24,householdfinance_v2_7!H24,householdfinance_v2_6!H24,householdfinance_v2_10!H24)/COUNT(householdfinance_v2_9!H24,householdfinance_v2_8!H24,householdfinance_v2_7!H24,householdfinance_v2_6!H24,householdfinance_v2_10!H24),0),"NA")</f>
        <v>1</v>
      </c>
      <c r="I24">
        <f>IF($E24=0,"NA",ROUND(SUM(householdfinance_v2_9!I24,householdfinance_v2_8!I24,householdfinance_v2_7!I24,householdfinance_v2_6!I24,householdfinance_v2_10!I24)/COUNT(householdfinance_v2_9!I24,householdfinance_v2_8!I24,householdfinance_v2_7!I24,householdfinance_v2_6!I24,householdfinance_v2_10!I24),0))</f>
        <v>1</v>
      </c>
      <c r="J24">
        <f>IF(F24=1,ROUND(SUM(householdfinance_v2_9!J24,householdfinance_v2_8!J24,householdfinance_v2_7!J24,householdfinance_v2_6!J24,householdfinance_v2_10!J24)/COUNT(householdfinance_v2_9!J24,householdfinance_v2_8!J24,householdfinance_v2_7!J24,householdfinance_v2_6!J24,householdfinance_v2_10!J24),0),"NA")</f>
        <v>1</v>
      </c>
      <c r="K24">
        <f>IF($E24=0,"NA",ROUND(SUM(householdfinance_v2_9!K24,householdfinance_v2_8!K24,householdfinance_v2_7!K24,householdfinance_v2_6!K24,householdfinance_v2_10!K24)/COUNT(householdfinance_v2_9!K24,householdfinance_v2_8!K24,householdfinance_v2_7!K24,householdfinance_v2_6!K24,householdfinance_v2_10!K24),0))</f>
        <v>1</v>
      </c>
      <c r="L24">
        <f>IF($E24=0,"NA",ROUND(SUM(householdfinance_v2_9!L24,householdfinance_v2_8!L24,householdfinance_v2_7!L24,householdfinance_v2_6!L24,householdfinance_v2_10!L24)/COUNT(householdfinance_v2_9!L24,householdfinance_v2_8!L24,householdfinance_v2_7!L24,householdfinance_v2_6!L24,householdfinance_v2_10!L24),0))</f>
        <v>1</v>
      </c>
      <c r="M24">
        <f>IF($E24=0,"NA",ROUND(SUM(householdfinance_v2_9!M24,householdfinance_v2_8!M24,householdfinance_v2_7!M24,householdfinance_v2_6!M24,householdfinance_v2_10!M24)/COUNT(householdfinance_v2_9!M24,householdfinance_v2_8!M24,householdfinance_v2_7!M24,householdfinance_v2_6!M24,householdfinance_v2_10!M24),0))</f>
        <v>1</v>
      </c>
      <c r="N24">
        <f>IF($E24=0,"NA",ROUND(SUM(householdfinance_v2_9!N24,householdfinance_v2_8!N24,householdfinance_v2_7!N24,householdfinance_v2_6!N24,householdfinance_v2_10!N24)/COUNT(householdfinance_v2_9!N24,householdfinance_v2_8!N24,householdfinance_v2_7!N24,householdfinance_v2_6!N24,householdfinance_v2_10!N24),0))</f>
        <v>1</v>
      </c>
      <c r="O24">
        <f>IF($E24=0,"NA",ROUND(SUM(householdfinance_v2_9!O24,householdfinance_v2_8!O24,householdfinance_v2_7!O24,householdfinance_v2_6!O24,householdfinance_v2_10!O24)/COUNT(householdfinance_v2_9!O24,householdfinance_v2_8!O24,householdfinance_v2_7!O24,householdfinance_v2_6!O24,householdfinance_v2_10!O24),0))</f>
        <v>1</v>
      </c>
    </row>
    <row r="25" spans="1:15" x14ac:dyDescent="0.25">
      <c r="A25" t="s">
        <v>16</v>
      </c>
      <c r="B25" t="s">
        <v>49</v>
      </c>
      <c r="C25">
        <v>0</v>
      </c>
      <c r="D25">
        <v>12.04695987701416</v>
      </c>
      <c r="E25">
        <f>ROUND(SUM(householdfinance_v2_9!E25,householdfinance_v2_8!E25,householdfinance_v2_7!E25,householdfinance_v2_6!E25,householdfinance_v2_10!E25)/COUNT(householdfinance_v2_9!E25,householdfinance_v2_8!E25,householdfinance_v2_7!E25,householdfinance_v2_6!E25,householdfinance_v2_10!E25),0)</f>
        <v>1</v>
      </c>
      <c r="F25">
        <f>IF($E25=0,"NA",ROUND(SUM(householdfinance_v2_9!F25,householdfinance_v2_8!F25,householdfinance_v2_7!F25,householdfinance_v2_6!F25,householdfinance_v2_10!F25)/COUNT(householdfinance_v2_9!F25,householdfinance_v2_8!F25,householdfinance_v2_7!F25,householdfinance_v2_6!F25,householdfinance_v2_10!F25),0))</f>
        <v>1</v>
      </c>
      <c r="G25">
        <f>IF($E25=0,"NA",ROUND(SUM(householdfinance_v2_9!G25,householdfinance_v2_8!G25,householdfinance_v2_7!G25,householdfinance_v2_6!G25,householdfinance_v2_10!G25)/COUNT(householdfinance_v2_9!G25,householdfinance_v2_8!G25,householdfinance_v2_7!G25,householdfinance_v2_6!G25,householdfinance_v2_10!G25),0))</f>
        <v>0</v>
      </c>
      <c r="H25" t="str">
        <f>IF(AND(F25=1,G25=1),ROUND(SUM(householdfinance_v2_9!H25,householdfinance_v2_8!H25,householdfinance_v2_7!H25,householdfinance_v2_6!H25,householdfinance_v2_10!H25)/COUNT(householdfinance_v2_9!H25,householdfinance_v2_8!H25,householdfinance_v2_7!H25,householdfinance_v2_6!H25,householdfinance_v2_10!H25),0),"NA")</f>
        <v>NA</v>
      </c>
      <c r="I25">
        <f>IF($E25=0,"NA",ROUND(SUM(householdfinance_v2_9!I25,householdfinance_v2_8!I25,householdfinance_v2_7!I25,householdfinance_v2_6!I25,householdfinance_v2_10!I25)/COUNT(householdfinance_v2_9!I25,householdfinance_v2_8!I25,householdfinance_v2_7!I25,householdfinance_v2_6!I25,householdfinance_v2_10!I25),0))</f>
        <v>1</v>
      </c>
      <c r="J25">
        <f>IF(F25=1,ROUND(SUM(householdfinance_v2_9!J25,householdfinance_v2_8!J25,householdfinance_v2_7!J25,householdfinance_v2_6!J25,householdfinance_v2_10!J25)/COUNT(householdfinance_v2_9!J25,householdfinance_v2_8!J25,householdfinance_v2_7!J25,householdfinance_v2_6!J25,householdfinance_v2_10!J25),0),"NA")</f>
        <v>1</v>
      </c>
      <c r="K25">
        <f>IF($E25=0,"NA",ROUND(SUM(householdfinance_v2_9!K25,householdfinance_v2_8!K25,householdfinance_v2_7!K25,householdfinance_v2_6!K25,householdfinance_v2_10!K25)/COUNT(householdfinance_v2_9!K25,householdfinance_v2_8!K25,householdfinance_v2_7!K25,householdfinance_v2_6!K25,householdfinance_v2_10!K25),0))</f>
        <v>1</v>
      </c>
      <c r="L25">
        <f>IF($E25=0,"NA",ROUND(SUM(householdfinance_v2_9!L25,householdfinance_v2_8!L25,householdfinance_v2_7!L25,householdfinance_v2_6!L25,householdfinance_v2_10!L25)/COUNT(householdfinance_v2_9!L25,householdfinance_v2_8!L25,householdfinance_v2_7!L25,householdfinance_v2_6!L25,householdfinance_v2_10!L25),0))</f>
        <v>1</v>
      </c>
      <c r="M25">
        <f>IF($E25=0,"NA",ROUND(SUM(householdfinance_v2_9!M25,householdfinance_v2_8!M25,householdfinance_v2_7!M25,householdfinance_v2_6!M25,householdfinance_v2_10!M25)/COUNT(householdfinance_v2_9!M25,householdfinance_v2_8!M25,householdfinance_v2_7!M25,householdfinance_v2_6!M25,householdfinance_v2_10!M25),0))</f>
        <v>1</v>
      </c>
      <c r="N25">
        <f>IF($E25=0,"NA",ROUND(SUM(householdfinance_v2_9!N25,householdfinance_v2_8!N25,householdfinance_v2_7!N25,householdfinance_v2_6!N25,householdfinance_v2_10!N25)/COUNT(householdfinance_v2_9!N25,householdfinance_v2_8!N25,householdfinance_v2_7!N25,householdfinance_v2_6!N25,householdfinance_v2_10!N25),0))</f>
        <v>1</v>
      </c>
      <c r="O25">
        <f>IF($E25=0,"NA",ROUND(SUM(householdfinance_v2_9!O25,householdfinance_v2_8!O25,householdfinance_v2_7!O25,householdfinance_v2_6!O25,householdfinance_v2_10!O25)/COUNT(householdfinance_v2_9!O25,householdfinance_v2_8!O25,householdfinance_v2_7!O25,householdfinance_v2_6!O25,householdfinance_v2_10!O25),0))</f>
        <v>1</v>
      </c>
    </row>
    <row r="26" spans="1:15" x14ac:dyDescent="0.25">
      <c r="A26" t="s">
        <v>16</v>
      </c>
      <c r="B26" t="s">
        <v>51</v>
      </c>
      <c r="C26">
        <v>0</v>
      </c>
      <c r="D26">
        <v>7.4481592178344727</v>
      </c>
      <c r="E26">
        <f>ROUND(SUM(householdfinance_v2_9!E26,householdfinance_v2_8!E26,householdfinance_v2_7!E26,householdfinance_v2_6!E26,householdfinance_v2_10!E26)/COUNT(householdfinance_v2_9!E26,householdfinance_v2_8!E26,householdfinance_v2_7!E26,householdfinance_v2_6!E26,householdfinance_v2_10!E26),0)</f>
        <v>1</v>
      </c>
      <c r="F26">
        <f>IF($E26=0,"NA",ROUND(SUM(householdfinance_v2_9!F26,householdfinance_v2_8!F26,householdfinance_v2_7!F26,householdfinance_v2_6!F26,householdfinance_v2_10!F26)/COUNT(householdfinance_v2_9!F26,householdfinance_v2_8!F26,householdfinance_v2_7!F26,householdfinance_v2_6!F26,householdfinance_v2_10!F26),0))</f>
        <v>1</v>
      </c>
      <c r="G26">
        <f>IF($E26=0,"NA",ROUND(SUM(householdfinance_v2_9!G26,householdfinance_v2_8!G26,householdfinance_v2_7!G26,householdfinance_v2_6!G26,householdfinance_v2_10!G26)/COUNT(householdfinance_v2_9!G26,householdfinance_v2_8!G26,householdfinance_v2_7!G26,householdfinance_v2_6!G26,householdfinance_v2_10!G26),0))</f>
        <v>0</v>
      </c>
      <c r="H26" t="str">
        <f>IF(AND(F26=1,G26=1),ROUND(SUM(householdfinance_v2_9!H26,householdfinance_v2_8!H26,householdfinance_v2_7!H26,householdfinance_v2_6!H26,householdfinance_v2_10!H26)/COUNT(householdfinance_v2_9!H26,householdfinance_v2_8!H26,householdfinance_v2_7!H26,householdfinance_v2_6!H26,householdfinance_v2_10!H26),0),"NA")</f>
        <v>NA</v>
      </c>
      <c r="I26">
        <f>IF($E26=0,"NA",ROUND(SUM(householdfinance_v2_9!I26,householdfinance_v2_8!I26,householdfinance_v2_7!I26,householdfinance_v2_6!I26,householdfinance_v2_10!I26)/COUNT(householdfinance_v2_9!I26,householdfinance_v2_8!I26,householdfinance_v2_7!I26,householdfinance_v2_6!I26,householdfinance_v2_10!I26),0))</f>
        <v>1</v>
      </c>
      <c r="J26">
        <f>IF(F26=1,ROUND(SUM(householdfinance_v2_9!J26,householdfinance_v2_8!J26,householdfinance_v2_7!J26,householdfinance_v2_6!J26,householdfinance_v2_10!J26)/COUNT(householdfinance_v2_9!J26,householdfinance_v2_8!J26,householdfinance_v2_7!J26,householdfinance_v2_6!J26,householdfinance_v2_10!J26),0),"NA")</f>
        <v>1</v>
      </c>
      <c r="K26">
        <f>IF($E26=0,"NA",ROUND(SUM(householdfinance_v2_9!K26,householdfinance_v2_8!K26,householdfinance_v2_7!K26,householdfinance_v2_6!K26,householdfinance_v2_10!K26)/COUNT(householdfinance_v2_9!K26,householdfinance_v2_8!K26,householdfinance_v2_7!K26,householdfinance_v2_6!K26,householdfinance_v2_10!K26),0))</f>
        <v>1</v>
      </c>
      <c r="L26">
        <f>IF($E26=0,"NA",ROUND(SUM(householdfinance_v2_9!L26,householdfinance_v2_8!L26,householdfinance_v2_7!L26,householdfinance_v2_6!L26,householdfinance_v2_10!L26)/COUNT(householdfinance_v2_9!L26,householdfinance_v2_8!L26,householdfinance_v2_7!L26,householdfinance_v2_6!L26,householdfinance_v2_10!L26),0))</f>
        <v>1</v>
      </c>
      <c r="M26">
        <f>IF($E26=0,"NA",ROUND(SUM(householdfinance_v2_9!M26,householdfinance_v2_8!M26,householdfinance_v2_7!M26,householdfinance_v2_6!M26,householdfinance_v2_10!M26)/COUNT(householdfinance_v2_9!M26,householdfinance_v2_8!M26,householdfinance_v2_7!M26,householdfinance_v2_6!M26,householdfinance_v2_10!M26),0))</f>
        <v>1</v>
      </c>
      <c r="N26">
        <f>IF($E26=0,"NA",ROUND(SUM(householdfinance_v2_9!N26,householdfinance_v2_8!N26,householdfinance_v2_7!N26,householdfinance_v2_6!N26,householdfinance_v2_10!N26)/COUNT(householdfinance_v2_9!N26,householdfinance_v2_8!N26,householdfinance_v2_7!N26,householdfinance_v2_6!N26,householdfinance_v2_10!N26),0))</f>
        <v>1</v>
      </c>
      <c r="O26">
        <f>IF($E26=0,"NA",ROUND(SUM(householdfinance_v2_9!O26,householdfinance_v2_8!O26,householdfinance_v2_7!O26,householdfinance_v2_6!O26,householdfinance_v2_10!O26)/COUNT(householdfinance_v2_9!O26,householdfinance_v2_8!O26,householdfinance_v2_7!O26,householdfinance_v2_6!O26,householdfinance_v2_10!O26),0))</f>
        <v>1</v>
      </c>
    </row>
    <row r="27" spans="1:15" x14ac:dyDescent="0.25">
      <c r="A27" t="s">
        <v>16</v>
      </c>
      <c r="B27" t="s">
        <v>52</v>
      </c>
      <c r="C27">
        <v>0</v>
      </c>
      <c r="D27">
        <v>10.479518890380859</v>
      </c>
      <c r="E27">
        <f>ROUND(SUM(householdfinance_v2_9!E27,householdfinance_v2_8!E27,householdfinance_v2_7!E27,householdfinance_v2_6!E27,householdfinance_v2_10!E27)/COUNT(householdfinance_v2_9!E27,householdfinance_v2_8!E27,householdfinance_v2_7!E27,householdfinance_v2_6!E27,householdfinance_v2_10!E27),0)</f>
        <v>1</v>
      </c>
      <c r="F27">
        <f>IF($E27=0,"NA",ROUND(SUM(householdfinance_v2_9!F27,householdfinance_v2_8!F27,householdfinance_v2_7!F27,householdfinance_v2_6!F27,householdfinance_v2_10!F27)/COUNT(householdfinance_v2_9!F27,householdfinance_v2_8!F27,householdfinance_v2_7!F27,householdfinance_v2_6!F27,householdfinance_v2_10!F27),0))</f>
        <v>1</v>
      </c>
      <c r="G27">
        <f>IF($E27=0,"NA",ROUND(SUM(householdfinance_v2_9!G27,householdfinance_v2_8!G27,householdfinance_v2_7!G27,householdfinance_v2_6!G27,householdfinance_v2_10!G27)/COUNT(householdfinance_v2_9!G27,householdfinance_v2_8!G27,householdfinance_v2_7!G27,householdfinance_v2_6!G27,householdfinance_v2_10!G27),0))</f>
        <v>1</v>
      </c>
      <c r="H27">
        <f>IF(AND(F27=1,G27=1),ROUND(SUM(householdfinance_v2_9!H27,householdfinance_v2_8!H27,householdfinance_v2_7!H27,householdfinance_v2_6!H27,householdfinance_v2_10!H27)/COUNT(householdfinance_v2_9!H27,householdfinance_v2_8!H27,householdfinance_v2_7!H27,householdfinance_v2_6!H27,householdfinance_v2_10!H27),0),"NA")</f>
        <v>1</v>
      </c>
      <c r="I27">
        <f>IF($E27=0,"NA",ROUND(SUM(householdfinance_v2_9!I27,householdfinance_v2_8!I27,householdfinance_v2_7!I27,householdfinance_v2_6!I27,householdfinance_v2_10!I27)/COUNT(householdfinance_v2_9!I27,householdfinance_v2_8!I27,householdfinance_v2_7!I27,householdfinance_v2_6!I27,householdfinance_v2_10!I27),0))</f>
        <v>0</v>
      </c>
      <c r="J27">
        <f>IF(F27=1,ROUND(SUM(householdfinance_v2_9!J27,householdfinance_v2_8!J27,householdfinance_v2_7!J27,householdfinance_v2_6!J27,householdfinance_v2_10!J27)/COUNT(householdfinance_v2_9!J27,householdfinance_v2_8!J27,householdfinance_v2_7!J27,householdfinance_v2_6!J27,householdfinance_v2_10!J27),0),"NA")</f>
        <v>1</v>
      </c>
      <c r="K27">
        <f>IF($E27=0,"NA",ROUND(SUM(householdfinance_v2_9!K27,householdfinance_v2_8!K27,householdfinance_v2_7!K27,householdfinance_v2_6!K27,householdfinance_v2_10!K27)/COUNT(householdfinance_v2_9!K27,householdfinance_v2_8!K27,householdfinance_v2_7!K27,householdfinance_v2_6!K27,householdfinance_v2_10!K27),0))</f>
        <v>1</v>
      </c>
      <c r="L27">
        <f>IF($E27=0,"NA",ROUND(SUM(householdfinance_v2_9!L27,householdfinance_v2_8!L27,householdfinance_v2_7!L27,householdfinance_v2_6!L27,householdfinance_v2_10!L27)/COUNT(householdfinance_v2_9!L27,householdfinance_v2_8!L27,householdfinance_v2_7!L27,householdfinance_v2_6!L27,householdfinance_v2_10!L27),0))</f>
        <v>1</v>
      </c>
      <c r="M27">
        <f>IF($E27=0,"NA",ROUND(SUM(householdfinance_v2_9!M27,householdfinance_v2_8!M27,householdfinance_v2_7!M27,householdfinance_v2_6!M27,householdfinance_v2_10!M27)/COUNT(householdfinance_v2_9!M27,householdfinance_v2_8!M27,householdfinance_v2_7!M27,householdfinance_v2_6!M27,householdfinance_v2_10!M27),0))</f>
        <v>1</v>
      </c>
      <c r="N27">
        <f>IF($E27=0,"NA",ROUND(SUM(householdfinance_v2_9!N27,householdfinance_v2_8!N27,householdfinance_v2_7!N27,householdfinance_v2_6!N27,householdfinance_v2_10!N27)/COUNT(householdfinance_v2_9!N27,householdfinance_v2_8!N27,householdfinance_v2_7!N27,householdfinance_v2_6!N27,householdfinance_v2_10!N27),0))</f>
        <v>1</v>
      </c>
      <c r="O27">
        <f>IF($E27=0,"NA",ROUND(SUM(householdfinance_v2_9!O27,householdfinance_v2_8!O27,householdfinance_v2_7!O27,householdfinance_v2_6!O27,householdfinance_v2_10!O27)/COUNT(householdfinance_v2_9!O27,householdfinance_v2_8!O27,householdfinance_v2_7!O27,householdfinance_v2_6!O27,householdfinance_v2_10!O27),0))</f>
        <v>1</v>
      </c>
    </row>
    <row r="28" spans="1:15" x14ac:dyDescent="0.25">
      <c r="A28" t="s">
        <v>16</v>
      </c>
      <c r="B28" t="s">
        <v>54</v>
      </c>
      <c r="C28">
        <v>0</v>
      </c>
      <c r="D28">
        <v>11.09894013404846</v>
      </c>
      <c r="E28">
        <f>ROUND(SUM(householdfinance_v2_9!E28,householdfinance_v2_8!E28,householdfinance_v2_7!E28,householdfinance_v2_6!E28,householdfinance_v2_10!E28)/COUNT(householdfinance_v2_9!E28,householdfinance_v2_8!E28,householdfinance_v2_7!E28,householdfinance_v2_6!E28,householdfinance_v2_10!E28),0)</f>
        <v>0</v>
      </c>
      <c r="F28" t="str">
        <f>IF($E28=0,"NA",ROUND(SUM(householdfinance_v2_9!F28,householdfinance_v2_8!F28,householdfinance_v2_7!F28,householdfinance_v2_6!F28,householdfinance_v2_10!F28)/COUNT(householdfinance_v2_9!F28,householdfinance_v2_8!F28,householdfinance_v2_7!F28,householdfinance_v2_6!F28,householdfinance_v2_10!F28),0))</f>
        <v>NA</v>
      </c>
      <c r="G28" t="str">
        <f>IF($E28=0,"NA",ROUND(SUM(householdfinance_v2_9!G28,householdfinance_v2_8!G28,householdfinance_v2_7!G28,householdfinance_v2_6!G28,householdfinance_v2_10!G28)/COUNT(householdfinance_v2_9!G28,householdfinance_v2_8!G28,householdfinance_v2_7!G28,householdfinance_v2_6!G28,householdfinance_v2_10!G28),0))</f>
        <v>NA</v>
      </c>
      <c r="H28" t="str">
        <f>IF(AND(F28=1,G28=1),ROUND(SUM(householdfinance_v2_9!H28,householdfinance_v2_8!H28,householdfinance_v2_7!H28,householdfinance_v2_6!H28,householdfinance_v2_10!H28)/COUNT(householdfinance_v2_9!H28,householdfinance_v2_8!H28,householdfinance_v2_7!H28,householdfinance_v2_6!H28,householdfinance_v2_10!H28),0),"NA")</f>
        <v>NA</v>
      </c>
      <c r="I28" t="str">
        <f>IF($E28=0,"NA",ROUND(SUM(householdfinance_v2_9!I28,householdfinance_v2_8!I28,householdfinance_v2_7!I28,householdfinance_v2_6!I28,householdfinance_v2_10!I28)/COUNT(householdfinance_v2_9!I28,householdfinance_v2_8!I28,householdfinance_v2_7!I28,householdfinance_v2_6!I28,householdfinance_v2_10!I28),0))</f>
        <v>NA</v>
      </c>
      <c r="J28" t="str">
        <f>IF(F28=1,ROUND(SUM(householdfinance_v2_9!J28,householdfinance_v2_8!J28,householdfinance_v2_7!J28,householdfinance_v2_6!J28,householdfinance_v2_10!J28)/COUNT(householdfinance_v2_9!J28,householdfinance_v2_8!J28,householdfinance_v2_7!J28,householdfinance_v2_6!J28,householdfinance_v2_10!J28),0),"NA")</f>
        <v>NA</v>
      </c>
      <c r="K28" t="str">
        <f>IF($E28=0,"NA",ROUND(SUM(householdfinance_v2_9!K28,householdfinance_v2_8!K28,householdfinance_v2_7!K28,householdfinance_v2_6!K28,householdfinance_v2_10!K28)/COUNT(householdfinance_v2_9!K28,householdfinance_v2_8!K28,householdfinance_v2_7!K28,householdfinance_v2_6!K28,householdfinance_v2_10!K28),0))</f>
        <v>NA</v>
      </c>
      <c r="L28" t="str">
        <f>IF($E28=0,"NA",ROUND(SUM(householdfinance_v2_9!L28,householdfinance_v2_8!L28,householdfinance_v2_7!L28,householdfinance_v2_6!L28,householdfinance_v2_10!L28)/COUNT(householdfinance_v2_9!L28,householdfinance_v2_8!L28,householdfinance_v2_7!L28,householdfinance_v2_6!L28,householdfinance_v2_10!L28),0))</f>
        <v>NA</v>
      </c>
      <c r="M28" t="str">
        <f>IF($E28=0,"NA",ROUND(SUM(householdfinance_v2_9!M28,householdfinance_v2_8!M28,householdfinance_v2_7!M28,householdfinance_v2_6!M28,householdfinance_v2_10!M28)/COUNT(householdfinance_v2_9!M28,householdfinance_v2_8!M28,householdfinance_v2_7!M28,householdfinance_v2_6!M28,householdfinance_v2_10!M28),0))</f>
        <v>NA</v>
      </c>
      <c r="N28" t="str">
        <f>IF($E28=0,"NA",ROUND(SUM(householdfinance_v2_9!N28,householdfinance_v2_8!N28,householdfinance_v2_7!N28,householdfinance_v2_6!N28,householdfinance_v2_10!N28)/COUNT(householdfinance_v2_9!N28,householdfinance_v2_8!N28,householdfinance_v2_7!N28,householdfinance_v2_6!N28,householdfinance_v2_10!N28),0))</f>
        <v>NA</v>
      </c>
      <c r="O28" t="str">
        <f>IF($E28=0,"NA",ROUND(SUM(householdfinance_v2_9!O28,householdfinance_v2_8!O28,householdfinance_v2_7!O28,householdfinance_v2_6!O28,householdfinance_v2_10!O28)/COUNT(householdfinance_v2_9!O28,householdfinance_v2_8!O28,householdfinance_v2_7!O28,householdfinance_v2_6!O28,householdfinance_v2_10!O28),0))</f>
        <v>NA</v>
      </c>
    </row>
    <row r="29" spans="1:15" x14ac:dyDescent="0.25">
      <c r="A29" t="s">
        <v>16</v>
      </c>
      <c r="B29" t="s">
        <v>56</v>
      </c>
      <c r="C29">
        <v>0</v>
      </c>
      <c r="D29">
        <v>13.666467428207399</v>
      </c>
      <c r="E29">
        <f>ROUND(SUM(householdfinance_v2_9!E29,householdfinance_v2_8!E29,householdfinance_v2_7!E29,householdfinance_v2_6!E29,householdfinance_v2_10!E29)/COUNT(householdfinance_v2_9!E29,householdfinance_v2_8!E29,householdfinance_v2_7!E29,householdfinance_v2_6!E29,householdfinance_v2_10!E29),0)</f>
        <v>0</v>
      </c>
      <c r="F29" t="str">
        <f>IF($E29=0,"NA",ROUND(SUM(householdfinance_v2_9!F29,householdfinance_v2_8!F29,householdfinance_v2_7!F29,householdfinance_v2_6!F29,householdfinance_v2_10!F29)/COUNT(householdfinance_v2_9!F29,householdfinance_v2_8!F29,householdfinance_v2_7!F29,householdfinance_v2_6!F29,householdfinance_v2_10!F29),0))</f>
        <v>NA</v>
      </c>
      <c r="G29" t="str">
        <f>IF($E29=0,"NA",ROUND(SUM(householdfinance_v2_9!G29,householdfinance_v2_8!G29,householdfinance_v2_7!G29,householdfinance_v2_6!G29,householdfinance_v2_10!G29)/COUNT(householdfinance_v2_9!G29,householdfinance_v2_8!G29,householdfinance_v2_7!G29,householdfinance_v2_6!G29,householdfinance_v2_10!G29),0))</f>
        <v>NA</v>
      </c>
      <c r="H29" t="str">
        <f>IF(AND(F29=1,G29=1),ROUND(SUM(householdfinance_v2_9!H29,householdfinance_v2_8!H29,householdfinance_v2_7!H29,householdfinance_v2_6!H29,householdfinance_v2_10!H29)/COUNT(householdfinance_v2_9!H29,householdfinance_v2_8!H29,householdfinance_v2_7!H29,householdfinance_v2_6!H29,householdfinance_v2_10!H29),0),"NA")</f>
        <v>NA</v>
      </c>
      <c r="I29" t="str">
        <f>IF($E29=0,"NA",ROUND(SUM(householdfinance_v2_9!I29,householdfinance_v2_8!I29,householdfinance_v2_7!I29,householdfinance_v2_6!I29,householdfinance_v2_10!I29)/COUNT(householdfinance_v2_9!I29,householdfinance_v2_8!I29,householdfinance_v2_7!I29,householdfinance_v2_6!I29,householdfinance_v2_10!I29),0))</f>
        <v>NA</v>
      </c>
      <c r="J29" t="str">
        <f>IF(F29=1,ROUND(SUM(householdfinance_v2_9!J29,householdfinance_v2_8!J29,householdfinance_v2_7!J29,householdfinance_v2_6!J29,householdfinance_v2_10!J29)/COUNT(householdfinance_v2_9!J29,householdfinance_v2_8!J29,householdfinance_v2_7!J29,householdfinance_v2_6!J29,householdfinance_v2_10!J29),0),"NA")</f>
        <v>NA</v>
      </c>
      <c r="K29" t="str">
        <f>IF($E29=0,"NA",ROUND(SUM(householdfinance_v2_9!K29,householdfinance_v2_8!K29,householdfinance_v2_7!K29,householdfinance_v2_6!K29,householdfinance_v2_10!K29)/COUNT(householdfinance_v2_9!K29,householdfinance_v2_8!K29,householdfinance_v2_7!K29,householdfinance_v2_6!K29,householdfinance_v2_10!K29),0))</f>
        <v>NA</v>
      </c>
      <c r="L29" t="str">
        <f>IF($E29=0,"NA",ROUND(SUM(householdfinance_v2_9!L29,householdfinance_v2_8!L29,householdfinance_v2_7!L29,householdfinance_v2_6!L29,householdfinance_v2_10!L29)/COUNT(householdfinance_v2_9!L29,householdfinance_v2_8!L29,householdfinance_v2_7!L29,householdfinance_v2_6!L29,householdfinance_v2_10!L29),0))</f>
        <v>NA</v>
      </c>
      <c r="M29" t="str">
        <f>IF($E29=0,"NA",ROUND(SUM(householdfinance_v2_9!M29,householdfinance_v2_8!M29,householdfinance_v2_7!M29,householdfinance_v2_6!M29,householdfinance_v2_10!M29)/COUNT(householdfinance_v2_9!M29,householdfinance_v2_8!M29,householdfinance_v2_7!M29,householdfinance_v2_6!M29,householdfinance_v2_10!M29),0))</f>
        <v>NA</v>
      </c>
      <c r="N29" t="str">
        <f>IF($E29=0,"NA",ROUND(SUM(householdfinance_v2_9!N29,householdfinance_v2_8!N29,householdfinance_v2_7!N29,householdfinance_v2_6!N29,householdfinance_v2_10!N29)/COUNT(householdfinance_v2_9!N29,householdfinance_v2_8!N29,householdfinance_v2_7!N29,householdfinance_v2_6!N29,householdfinance_v2_10!N29),0))</f>
        <v>NA</v>
      </c>
      <c r="O29" t="str">
        <f>IF($E29=0,"NA",ROUND(SUM(householdfinance_v2_9!O29,householdfinance_v2_8!O29,householdfinance_v2_7!O29,householdfinance_v2_6!O29,householdfinance_v2_10!O29)/COUNT(householdfinance_v2_9!O29,householdfinance_v2_8!O29,householdfinance_v2_7!O29,householdfinance_v2_6!O29,householdfinance_v2_10!O29),0))</f>
        <v>NA</v>
      </c>
    </row>
    <row r="30" spans="1:15" x14ac:dyDescent="0.25">
      <c r="A30" t="s">
        <v>16</v>
      </c>
      <c r="B30" t="s">
        <v>58</v>
      </c>
      <c r="C30">
        <v>0</v>
      </c>
      <c r="D30">
        <v>9.875931978225708</v>
      </c>
      <c r="E30">
        <f>ROUND(SUM(householdfinance_v2_9!E30,householdfinance_v2_8!E30,householdfinance_v2_7!E30,householdfinance_v2_6!E30,householdfinance_v2_10!E30)/COUNT(householdfinance_v2_9!E30,householdfinance_v2_8!E30,householdfinance_v2_7!E30,householdfinance_v2_6!E30,householdfinance_v2_10!E30),0)</f>
        <v>1</v>
      </c>
      <c r="F30">
        <f>IF($E30=0,"NA",ROUND(SUM(householdfinance_v2_9!F30,householdfinance_v2_8!F30,householdfinance_v2_7!F30,householdfinance_v2_6!F30,householdfinance_v2_10!F30)/COUNT(householdfinance_v2_9!F30,householdfinance_v2_8!F30,householdfinance_v2_7!F30,householdfinance_v2_6!F30,householdfinance_v2_10!F30),0))</f>
        <v>1</v>
      </c>
      <c r="G30">
        <f>IF($E30=0,"NA",ROUND(SUM(householdfinance_v2_9!G30,householdfinance_v2_8!G30,householdfinance_v2_7!G30,householdfinance_v2_6!G30,householdfinance_v2_10!G30)/COUNT(householdfinance_v2_9!G30,householdfinance_v2_8!G30,householdfinance_v2_7!G30,householdfinance_v2_6!G30,householdfinance_v2_10!G30),0))</f>
        <v>1</v>
      </c>
      <c r="H30">
        <f>IF(AND(F30=1,G30=1),ROUND(SUM(householdfinance_v2_9!H30,householdfinance_v2_8!H30,householdfinance_v2_7!H30,householdfinance_v2_6!H30,householdfinance_v2_10!H30)/COUNT(householdfinance_v2_9!H30,householdfinance_v2_8!H30,householdfinance_v2_7!H30,householdfinance_v2_6!H30,householdfinance_v2_10!H30),0),"NA")</f>
        <v>1</v>
      </c>
      <c r="I30">
        <f>IF($E30=0,"NA",ROUND(SUM(householdfinance_v2_9!I30,householdfinance_v2_8!I30,householdfinance_v2_7!I30,householdfinance_v2_6!I30,householdfinance_v2_10!I30)/COUNT(householdfinance_v2_9!I30,householdfinance_v2_8!I30,householdfinance_v2_7!I30,householdfinance_v2_6!I30,householdfinance_v2_10!I30),0))</f>
        <v>0</v>
      </c>
      <c r="J30">
        <f>IF(F30=1,ROUND(SUM(householdfinance_v2_9!J30,householdfinance_v2_8!J30,householdfinance_v2_7!J30,householdfinance_v2_6!J30,householdfinance_v2_10!J30)/COUNT(householdfinance_v2_9!J30,householdfinance_v2_8!J30,householdfinance_v2_7!J30,householdfinance_v2_6!J30,householdfinance_v2_10!J30),0),"NA")</f>
        <v>1</v>
      </c>
      <c r="K30">
        <f>IF($E30=0,"NA",ROUND(SUM(householdfinance_v2_9!K30,householdfinance_v2_8!K30,householdfinance_v2_7!K30,householdfinance_v2_6!K30,householdfinance_v2_10!K30)/COUNT(householdfinance_v2_9!K30,householdfinance_v2_8!K30,householdfinance_v2_7!K30,householdfinance_v2_6!K30,householdfinance_v2_10!K30),0))</f>
        <v>1</v>
      </c>
      <c r="L30">
        <f>IF($E30=0,"NA",ROUND(SUM(householdfinance_v2_9!L30,householdfinance_v2_8!L30,householdfinance_v2_7!L30,householdfinance_v2_6!L30,householdfinance_v2_10!L30)/COUNT(householdfinance_v2_9!L30,householdfinance_v2_8!L30,householdfinance_v2_7!L30,householdfinance_v2_6!L30,householdfinance_v2_10!L30),0))</f>
        <v>1</v>
      </c>
      <c r="M30">
        <f>IF($E30=0,"NA",ROUND(SUM(householdfinance_v2_9!M30,householdfinance_v2_8!M30,householdfinance_v2_7!M30,householdfinance_v2_6!M30,householdfinance_v2_10!M30)/COUNT(householdfinance_v2_9!M30,householdfinance_v2_8!M30,householdfinance_v2_7!M30,householdfinance_v2_6!M30,householdfinance_v2_10!M30),0))</f>
        <v>1</v>
      </c>
      <c r="N30">
        <f>IF($E30=0,"NA",ROUND(SUM(householdfinance_v2_9!N30,householdfinance_v2_8!N30,householdfinance_v2_7!N30,householdfinance_v2_6!N30,householdfinance_v2_10!N30)/COUNT(householdfinance_v2_9!N30,householdfinance_v2_8!N30,householdfinance_v2_7!N30,householdfinance_v2_6!N30,householdfinance_v2_10!N30),0))</f>
        <v>1</v>
      </c>
      <c r="O30">
        <f>IF($E30=0,"NA",ROUND(SUM(householdfinance_v2_9!O30,householdfinance_v2_8!O30,householdfinance_v2_7!O30,householdfinance_v2_6!O30,householdfinance_v2_10!O30)/COUNT(householdfinance_v2_9!O30,householdfinance_v2_8!O30,householdfinance_v2_7!O30,householdfinance_v2_6!O30,householdfinance_v2_10!O30),0))</f>
        <v>1</v>
      </c>
    </row>
    <row r="31" spans="1:15" x14ac:dyDescent="0.25">
      <c r="A31" t="s">
        <v>16</v>
      </c>
      <c r="B31" t="s">
        <v>60</v>
      </c>
      <c r="C31">
        <v>0</v>
      </c>
      <c r="D31">
        <v>11.35631537437439</v>
      </c>
      <c r="E31">
        <f>ROUND(SUM(householdfinance_v2_9!E31,householdfinance_v2_8!E31,householdfinance_v2_7!E31,householdfinance_v2_6!E31,householdfinance_v2_10!E31)/COUNT(householdfinance_v2_9!E31,householdfinance_v2_8!E31,householdfinance_v2_7!E31,householdfinance_v2_6!E31,householdfinance_v2_10!E31),0)</f>
        <v>1</v>
      </c>
      <c r="F31">
        <f>IF($E31=0,"NA",ROUND(SUM(householdfinance_v2_9!F31,householdfinance_v2_8!F31,householdfinance_v2_7!F31,householdfinance_v2_6!F31,householdfinance_v2_10!F31)/COUNT(householdfinance_v2_9!F31,householdfinance_v2_8!F31,householdfinance_v2_7!F31,householdfinance_v2_6!F31,householdfinance_v2_10!F31),0))</f>
        <v>1</v>
      </c>
      <c r="G31">
        <f>IF($E31=0,"NA",ROUND(SUM(householdfinance_v2_9!G31,householdfinance_v2_8!G31,householdfinance_v2_7!G31,householdfinance_v2_6!G31,householdfinance_v2_10!G31)/COUNT(householdfinance_v2_9!G31,householdfinance_v2_8!G31,householdfinance_v2_7!G31,householdfinance_v2_6!G31,householdfinance_v2_10!G31),0))</f>
        <v>1</v>
      </c>
      <c r="H31">
        <f>IF(AND(F31=1,G31=1),ROUND(SUM(householdfinance_v2_9!H31,householdfinance_v2_8!H31,householdfinance_v2_7!H31,householdfinance_v2_6!H31,householdfinance_v2_10!H31)/COUNT(householdfinance_v2_9!H31,householdfinance_v2_8!H31,householdfinance_v2_7!H31,householdfinance_v2_6!H31,householdfinance_v2_10!H31),0),"NA")</f>
        <v>0</v>
      </c>
      <c r="I31">
        <f>IF($E31=0,"NA",ROUND(SUM(householdfinance_v2_9!I31,householdfinance_v2_8!I31,householdfinance_v2_7!I31,householdfinance_v2_6!I31,householdfinance_v2_10!I31)/COUNT(householdfinance_v2_9!I31,householdfinance_v2_8!I31,householdfinance_v2_7!I31,householdfinance_v2_6!I31,householdfinance_v2_10!I31),0))</f>
        <v>1</v>
      </c>
      <c r="J31">
        <f>IF(F31=1,ROUND(SUM(householdfinance_v2_9!J31,householdfinance_v2_8!J31,householdfinance_v2_7!J31,householdfinance_v2_6!J31,householdfinance_v2_10!J31)/COUNT(householdfinance_v2_9!J31,householdfinance_v2_8!J31,householdfinance_v2_7!J31,householdfinance_v2_6!J31,householdfinance_v2_10!J31),0),"NA")</f>
        <v>1</v>
      </c>
      <c r="K31">
        <f>IF($E31=0,"NA",ROUND(SUM(householdfinance_v2_9!K31,householdfinance_v2_8!K31,householdfinance_v2_7!K31,householdfinance_v2_6!K31,householdfinance_v2_10!K31)/COUNT(householdfinance_v2_9!K31,householdfinance_v2_8!K31,householdfinance_v2_7!K31,householdfinance_v2_6!K31,householdfinance_v2_10!K31),0))</f>
        <v>1</v>
      </c>
      <c r="L31">
        <f>IF($E31=0,"NA",ROUND(SUM(householdfinance_v2_9!L31,householdfinance_v2_8!L31,householdfinance_v2_7!L31,householdfinance_v2_6!L31,householdfinance_v2_10!L31)/COUNT(householdfinance_v2_9!L31,householdfinance_v2_8!L31,householdfinance_v2_7!L31,householdfinance_v2_6!L31,householdfinance_v2_10!L31),0))</f>
        <v>1</v>
      </c>
      <c r="M31">
        <f>IF($E31=0,"NA",ROUND(SUM(householdfinance_v2_9!M31,householdfinance_v2_8!M31,householdfinance_v2_7!M31,householdfinance_v2_6!M31,householdfinance_v2_10!M31)/COUNT(householdfinance_v2_9!M31,householdfinance_v2_8!M31,householdfinance_v2_7!M31,householdfinance_v2_6!M31,householdfinance_v2_10!M31),0))</f>
        <v>1</v>
      </c>
      <c r="N31">
        <f>IF($E31=0,"NA",ROUND(SUM(householdfinance_v2_9!N31,householdfinance_v2_8!N31,householdfinance_v2_7!N31,householdfinance_v2_6!N31,householdfinance_v2_10!N31)/COUNT(householdfinance_v2_9!N31,householdfinance_v2_8!N31,householdfinance_v2_7!N31,householdfinance_v2_6!N31,householdfinance_v2_10!N31),0))</f>
        <v>1</v>
      </c>
      <c r="O31">
        <f>IF($E31=0,"NA",ROUND(SUM(householdfinance_v2_9!O31,householdfinance_v2_8!O31,householdfinance_v2_7!O31,householdfinance_v2_6!O31,householdfinance_v2_10!O31)/COUNT(householdfinance_v2_9!O31,householdfinance_v2_8!O31,householdfinance_v2_7!O31,householdfinance_v2_6!O31,householdfinance_v2_10!O31),0))</f>
        <v>1</v>
      </c>
    </row>
    <row r="32" spans="1:15" x14ac:dyDescent="0.25">
      <c r="A32" t="s">
        <v>16</v>
      </c>
      <c r="B32" t="s">
        <v>62</v>
      </c>
      <c r="C32">
        <v>0</v>
      </c>
      <c r="D32">
        <v>11.963971376419069</v>
      </c>
      <c r="E32">
        <f>ROUND(SUM(householdfinance_v2_9!E32,householdfinance_v2_8!E32,householdfinance_v2_7!E32,householdfinance_v2_6!E32,householdfinance_v2_10!E32)/COUNT(householdfinance_v2_9!E32,householdfinance_v2_8!E32,householdfinance_v2_7!E32,householdfinance_v2_6!E32,householdfinance_v2_10!E32),0)</f>
        <v>0</v>
      </c>
      <c r="F32" t="str">
        <f>IF($E32=0,"NA",ROUND(SUM(householdfinance_v2_9!F32,householdfinance_v2_8!F32,householdfinance_v2_7!F32,householdfinance_v2_6!F32,householdfinance_v2_10!F32)/COUNT(householdfinance_v2_9!F32,householdfinance_v2_8!F32,householdfinance_v2_7!F32,householdfinance_v2_6!F32,householdfinance_v2_10!F32),0))</f>
        <v>NA</v>
      </c>
      <c r="G32" t="str">
        <f>IF($E32=0,"NA",ROUND(SUM(householdfinance_v2_9!G32,householdfinance_v2_8!G32,householdfinance_v2_7!G32,householdfinance_v2_6!G32,householdfinance_v2_10!G32)/COUNT(householdfinance_v2_9!G32,householdfinance_v2_8!G32,householdfinance_v2_7!G32,householdfinance_v2_6!G32,householdfinance_v2_10!G32),0))</f>
        <v>NA</v>
      </c>
      <c r="H32" t="str">
        <f>IF(AND(F32=1,G32=1),ROUND(SUM(householdfinance_v2_9!H32,householdfinance_v2_8!H32,householdfinance_v2_7!H32,householdfinance_v2_6!H32,householdfinance_v2_10!H32)/COUNT(householdfinance_v2_9!H32,householdfinance_v2_8!H32,householdfinance_v2_7!H32,householdfinance_v2_6!H32,householdfinance_v2_10!H32),0),"NA")</f>
        <v>NA</v>
      </c>
      <c r="I32" t="str">
        <f>IF($E32=0,"NA",ROUND(SUM(householdfinance_v2_9!I32,householdfinance_v2_8!I32,householdfinance_v2_7!I32,householdfinance_v2_6!I32,householdfinance_v2_10!I32)/COUNT(householdfinance_v2_9!I32,householdfinance_v2_8!I32,householdfinance_v2_7!I32,householdfinance_v2_6!I32,householdfinance_v2_10!I32),0))</f>
        <v>NA</v>
      </c>
      <c r="J32" t="str">
        <f>IF(F32=1,ROUND(SUM(householdfinance_v2_9!J32,householdfinance_v2_8!J32,householdfinance_v2_7!J32,householdfinance_v2_6!J32,householdfinance_v2_10!J32)/COUNT(householdfinance_v2_9!J32,householdfinance_v2_8!J32,householdfinance_v2_7!J32,householdfinance_v2_6!J32,householdfinance_v2_10!J32),0),"NA")</f>
        <v>NA</v>
      </c>
      <c r="K32" t="str">
        <f>IF($E32=0,"NA",ROUND(SUM(householdfinance_v2_9!K32,householdfinance_v2_8!K32,householdfinance_v2_7!K32,householdfinance_v2_6!K32,householdfinance_v2_10!K32)/COUNT(householdfinance_v2_9!K32,householdfinance_v2_8!K32,householdfinance_v2_7!K32,householdfinance_v2_6!K32,householdfinance_v2_10!K32),0))</f>
        <v>NA</v>
      </c>
      <c r="L32" t="str">
        <f>IF($E32=0,"NA",ROUND(SUM(householdfinance_v2_9!L32,householdfinance_v2_8!L32,householdfinance_v2_7!L32,householdfinance_v2_6!L32,householdfinance_v2_10!L32)/COUNT(householdfinance_v2_9!L32,householdfinance_v2_8!L32,householdfinance_v2_7!L32,householdfinance_v2_6!L32,householdfinance_v2_10!L32),0))</f>
        <v>NA</v>
      </c>
      <c r="M32" t="str">
        <f>IF($E32=0,"NA",ROUND(SUM(householdfinance_v2_9!M32,householdfinance_v2_8!M32,householdfinance_v2_7!M32,householdfinance_v2_6!M32,householdfinance_v2_10!M32)/COUNT(householdfinance_v2_9!M32,householdfinance_v2_8!M32,householdfinance_v2_7!M32,householdfinance_v2_6!M32,householdfinance_v2_10!M32),0))</f>
        <v>NA</v>
      </c>
      <c r="N32" t="str">
        <f>IF($E32=0,"NA",ROUND(SUM(householdfinance_v2_9!N32,householdfinance_v2_8!N32,householdfinance_v2_7!N32,householdfinance_v2_6!N32,householdfinance_v2_10!N32)/COUNT(householdfinance_v2_9!N32,householdfinance_v2_8!N32,householdfinance_v2_7!N32,householdfinance_v2_6!N32,householdfinance_v2_10!N32),0))</f>
        <v>NA</v>
      </c>
      <c r="O32" t="str">
        <f>IF($E32=0,"NA",ROUND(SUM(householdfinance_v2_9!O32,householdfinance_v2_8!O32,householdfinance_v2_7!O32,householdfinance_v2_6!O32,householdfinance_v2_10!O32)/COUNT(householdfinance_v2_9!O32,householdfinance_v2_8!O32,householdfinance_v2_7!O32,householdfinance_v2_6!O32,householdfinance_v2_10!O32),0))</f>
        <v>NA</v>
      </c>
    </row>
    <row r="33" spans="1:15" x14ac:dyDescent="0.25">
      <c r="A33" t="s">
        <v>16</v>
      </c>
      <c r="B33" t="s">
        <v>64</v>
      </c>
      <c r="C33">
        <v>0</v>
      </c>
      <c r="D33">
        <v>2.776627779006958</v>
      </c>
      <c r="E33">
        <f>ROUND(SUM(householdfinance_v2_9!E33,householdfinance_v2_8!E33,householdfinance_v2_7!E33,householdfinance_v2_6!E33,householdfinance_v2_10!E33)/COUNT(householdfinance_v2_9!E33,householdfinance_v2_8!E33,householdfinance_v2_7!E33,householdfinance_v2_6!E33,householdfinance_v2_10!E33),0)</f>
        <v>1</v>
      </c>
      <c r="F33">
        <f>IF($E33=0,"NA",ROUND(SUM(householdfinance_v2_9!F33,householdfinance_v2_8!F33,householdfinance_v2_7!F33,householdfinance_v2_6!F33,householdfinance_v2_10!F33)/COUNT(householdfinance_v2_9!F33,householdfinance_v2_8!F33,householdfinance_v2_7!F33,householdfinance_v2_6!F33,householdfinance_v2_10!F33),0))</f>
        <v>1</v>
      </c>
      <c r="G33">
        <f>IF($E33=0,"NA",ROUND(SUM(householdfinance_v2_9!G33,householdfinance_v2_8!G33,householdfinance_v2_7!G33,householdfinance_v2_6!G33,householdfinance_v2_10!G33)/COUNT(householdfinance_v2_9!G33,householdfinance_v2_8!G33,householdfinance_v2_7!G33,householdfinance_v2_6!G33,householdfinance_v2_10!G33),0))</f>
        <v>1</v>
      </c>
      <c r="H33">
        <f>IF(AND(F33=1,G33=1),ROUND(SUM(householdfinance_v2_9!H33,householdfinance_v2_8!H33,householdfinance_v2_7!H33,householdfinance_v2_6!H33,householdfinance_v2_10!H33)/COUNT(householdfinance_v2_9!H33,householdfinance_v2_8!H33,householdfinance_v2_7!H33,householdfinance_v2_6!H33,householdfinance_v2_10!H33),0),"NA")</f>
        <v>1</v>
      </c>
      <c r="I33">
        <f>IF($E33=0,"NA",ROUND(SUM(householdfinance_v2_9!I33,householdfinance_v2_8!I33,householdfinance_v2_7!I33,householdfinance_v2_6!I33,householdfinance_v2_10!I33)/COUNT(householdfinance_v2_9!I33,householdfinance_v2_8!I33,householdfinance_v2_7!I33,householdfinance_v2_6!I33,householdfinance_v2_10!I33),0))</f>
        <v>1</v>
      </c>
      <c r="J33">
        <f>IF(F33=1,ROUND(SUM(householdfinance_v2_9!J33,householdfinance_v2_8!J33,householdfinance_v2_7!J33,householdfinance_v2_6!J33,householdfinance_v2_10!J33)/COUNT(householdfinance_v2_9!J33,householdfinance_v2_8!J33,householdfinance_v2_7!J33,householdfinance_v2_6!J33,householdfinance_v2_10!J33),0),"NA")</f>
        <v>1</v>
      </c>
      <c r="K33">
        <f>IF($E33=0,"NA",ROUND(SUM(householdfinance_v2_9!K33,householdfinance_v2_8!K33,householdfinance_v2_7!K33,householdfinance_v2_6!K33,householdfinance_v2_10!K33)/COUNT(householdfinance_v2_9!K33,householdfinance_v2_8!K33,householdfinance_v2_7!K33,householdfinance_v2_6!K33,householdfinance_v2_10!K33),0))</f>
        <v>1</v>
      </c>
      <c r="L33">
        <f>IF($E33=0,"NA",ROUND(SUM(householdfinance_v2_9!L33,householdfinance_v2_8!L33,householdfinance_v2_7!L33,householdfinance_v2_6!L33,householdfinance_v2_10!L33)/COUNT(householdfinance_v2_9!L33,householdfinance_v2_8!L33,householdfinance_v2_7!L33,householdfinance_v2_6!L33,householdfinance_v2_10!L33),0))</f>
        <v>1</v>
      </c>
      <c r="M33">
        <f>IF($E33=0,"NA",ROUND(SUM(householdfinance_v2_9!M33,householdfinance_v2_8!M33,householdfinance_v2_7!M33,householdfinance_v2_6!M33,householdfinance_v2_10!M33)/COUNT(householdfinance_v2_9!M33,householdfinance_v2_8!M33,householdfinance_v2_7!M33,householdfinance_v2_6!M33,householdfinance_v2_10!M33),0))</f>
        <v>1</v>
      </c>
      <c r="N33">
        <f>IF($E33=0,"NA",ROUND(SUM(householdfinance_v2_9!N33,householdfinance_v2_8!N33,householdfinance_v2_7!N33,householdfinance_v2_6!N33,householdfinance_v2_10!N33)/COUNT(householdfinance_v2_9!N33,householdfinance_v2_8!N33,householdfinance_v2_7!N33,householdfinance_v2_6!N33,householdfinance_v2_10!N33),0))</f>
        <v>1</v>
      </c>
      <c r="O33">
        <f>IF($E33=0,"NA",ROUND(SUM(householdfinance_v2_9!O33,householdfinance_v2_8!O33,householdfinance_v2_7!O33,householdfinance_v2_6!O33,householdfinance_v2_10!O33)/COUNT(householdfinance_v2_9!O33,householdfinance_v2_8!O33,householdfinance_v2_7!O33,householdfinance_v2_6!O33,householdfinance_v2_10!O33),0))</f>
        <v>1</v>
      </c>
    </row>
    <row r="34" spans="1:15" x14ac:dyDescent="0.25">
      <c r="A34" t="s">
        <v>16</v>
      </c>
      <c r="B34" t="s">
        <v>65</v>
      </c>
      <c r="C34">
        <v>0</v>
      </c>
      <c r="D34">
        <v>8.6345546245574951</v>
      </c>
      <c r="E34">
        <f>ROUND(SUM(householdfinance_v2_9!E34,householdfinance_v2_8!E34,householdfinance_v2_7!E34,householdfinance_v2_6!E34,householdfinance_v2_10!E34)/COUNT(householdfinance_v2_9!E34,householdfinance_v2_8!E34,householdfinance_v2_7!E34,householdfinance_v2_6!E34,householdfinance_v2_10!E34),0)</f>
        <v>0</v>
      </c>
      <c r="F34" t="str">
        <f>IF($E34=0,"NA",ROUND(SUM(householdfinance_v2_9!F34,householdfinance_v2_8!F34,householdfinance_v2_7!F34,householdfinance_v2_6!F34,householdfinance_v2_10!F34)/COUNT(householdfinance_v2_9!F34,householdfinance_v2_8!F34,householdfinance_v2_7!F34,householdfinance_v2_6!F34,householdfinance_v2_10!F34),0))</f>
        <v>NA</v>
      </c>
      <c r="G34" t="str">
        <f>IF($E34=0,"NA",ROUND(SUM(householdfinance_v2_9!G34,householdfinance_v2_8!G34,householdfinance_v2_7!G34,householdfinance_v2_6!G34,householdfinance_v2_10!G34)/COUNT(householdfinance_v2_9!G34,householdfinance_v2_8!G34,householdfinance_v2_7!G34,householdfinance_v2_6!G34,householdfinance_v2_10!G34),0))</f>
        <v>NA</v>
      </c>
      <c r="H34" t="str">
        <f>IF(AND(F34=1,G34=1),ROUND(SUM(householdfinance_v2_9!H34,householdfinance_v2_8!H34,householdfinance_v2_7!H34,householdfinance_v2_6!H34,householdfinance_v2_10!H34)/COUNT(householdfinance_v2_9!H34,householdfinance_v2_8!H34,householdfinance_v2_7!H34,householdfinance_v2_6!H34,householdfinance_v2_10!H34),0),"NA")</f>
        <v>NA</v>
      </c>
      <c r="I34" t="str">
        <f>IF($E34=0,"NA",ROUND(SUM(householdfinance_v2_9!I34,householdfinance_v2_8!I34,householdfinance_v2_7!I34,householdfinance_v2_6!I34,householdfinance_v2_10!I34)/COUNT(householdfinance_v2_9!I34,householdfinance_v2_8!I34,householdfinance_v2_7!I34,householdfinance_v2_6!I34,householdfinance_v2_10!I34),0))</f>
        <v>NA</v>
      </c>
      <c r="J34" t="str">
        <f>IF(F34=1,ROUND(SUM(householdfinance_v2_9!J34,householdfinance_v2_8!J34,householdfinance_v2_7!J34,householdfinance_v2_6!J34,householdfinance_v2_10!J34)/COUNT(householdfinance_v2_9!J34,householdfinance_v2_8!J34,householdfinance_v2_7!J34,householdfinance_v2_6!J34,householdfinance_v2_10!J34),0),"NA")</f>
        <v>NA</v>
      </c>
      <c r="K34" t="str">
        <f>IF($E34=0,"NA",ROUND(SUM(householdfinance_v2_9!K34,householdfinance_v2_8!K34,householdfinance_v2_7!K34,householdfinance_v2_6!K34,householdfinance_v2_10!K34)/COUNT(householdfinance_v2_9!K34,householdfinance_v2_8!K34,householdfinance_v2_7!K34,householdfinance_v2_6!K34,householdfinance_v2_10!K34),0))</f>
        <v>NA</v>
      </c>
      <c r="L34" t="str">
        <f>IF($E34=0,"NA",ROUND(SUM(householdfinance_v2_9!L34,householdfinance_v2_8!L34,householdfinance_v2_7!L34,householdfinance_v2_6!L34,householdfinance_v2_10!L34)/COUNT(householdfinance_v2_9!L34,householdfinance_v2_8!L34,householdfinance_v2_7!L34,householdfinance_v2_6!L34,householdfinance_v2_10!L34),0))</f>
        <v>NA</v>
      </c>
      <c r="M34" t="str">
        <f>IF($E34=0,"NA",ROUND(SUM(householdfinance_v2_9!M34,householdfinance_v2_8!M34,householdfinance_v2_7!M34,householdfinance_v2_6!M34,householdfinance_v2_10!M34)/COUNT(householdfinance_v2_9!M34,householdfinance_v2_8!M34,householdfinance_v2_7!M34,householdfinance_v2_6!M34,householdfinance_v2_10!M34),0))</f>
        <v>NA</v>
      </c>
      <c r="N34" t="str">
        <f>IF($E34=0,"NA",ROUND(SUM(householdfinance_v2_9!N34,householdfinance_v2_8!N34,householdfinance_v2_7!N34,householdfinance_v2_6!N34,householdfinance_v2_10!N34)/COUNT(householdfinance_v2_9!N34,householdfinance_v2_8!N34,householdfinance_v2_7!N34,householdfinance_v2_6!N34,householdfinance_v2_10!N34),0))</f>
        <v>NA</v>
      </c>
      <c r="O34" t="str">
        <f>IF($E34=0,"NA",ROUND(SUM(householdfinance_v2_9!O34,householdfinance_v2_8!O34,householdfinance_v2_7!O34,householdfinance_v2_6!O34,householdfinance_v2_10!O34)/COUNT(householdfinance_v2_9!O34,householdfinance_v2_8!O34,householdfinance_v2_7!O34,householdfinance_v2_6!O34,householdfinance_v2_10!O34),0))</f>
        <v>NA</v>
      </c>
    </row>
    <row r="35" spans="1:15" x14ac:dyDescent="0.25">
      <c r="A35" t="s">
        <v>16</v>
      </c>
      <c r="B35" t="s">
        <v>67</v>
      </c>
      <c r="C35">
        <v>0</v>
      </c>
      <c r="D35">
        <v>10.033899545669559</v>
      </c>
      <c r="E35">
        <f>ROUND(SUM(householdfinance_v2_9!E35,householdfinance_v2_8!E35,householdfinance_v2_7!E35,householdfinance_v2_6!E35,householdfinance_v2_10!E35)/COUNT(householdfinance_v2_9!E35,householdfinance_v2_8!E35,householdfinance_v2_7!E35,householdfinance_v2_6!E35,householdfinance_v2_10!E35),0)</f>
        <v>1</v>
      </c>
      <c r="F35">
        <f>IF($E35=0,"NA",ROUND(SUM(householdfinance_v2_9!F35,householdfinance_v2_8!F35,householdfinance_v2_7!F35,householdfinance_v2_6!F35,householdfinance_v2_10!F35)/COUNT(householdfinance_v2_9!F35,householdfinance_v2_8!F35,householdfinance_v2_7!F35,householdfinance_v2_6!F35,householdfinance_v2_10!F35),0))</f>
        <v>1</v>
      </c>
      <c r="G35">
        <f>IF($E35=0,"NA",ROUND(SUM(householdfinance_v2_9!G35,householdfinance_v2_8!G35,householdfinance_v2_7!G35,householdfinance_v2_6!G35,householdfinance_v2_10!G35)/COUNT(householdfinance_v2_9!G35,householdfinance_v2_8!G35,householdfinance_v2_7!G35,householdfinance_v2_6!G35,householdfinance_v2_10!G35),0))</f>
        <v>0</v>
      </c>
      <c r="H35" t="str">
        <f>IF(AND(F35=1,G35=1),ROUND(SUM(householdfinance_v2_9!H35,householdfinance_v2_8!H35,householdfinance_v2_7!H35,householdfinance_v2_6!H35,householdfinance_v2_10!H35)/COUNT(householdfinance_v2_9!H35,householdfinance_v2_8!H35,householdfinance_v2_7!H35,householdfinance_v2_6!H35,householdfinance_v2_10!H35),0),"NA")</f>
        <v>NA</v>
      </c>
      <c r="I35">
        <f>IF($E35=0,"NA",ROUND(SUM(householdfinance_v2_9!I35,householdfinance_v2_8!I35,householdfinance_v2_7!I35,householdfinance_v2_6!I35,householdfinance_v2_10!I35)/COUNT(householdfinance_v2_9!I35,householdfinance_v2_8!I35,householdfinance_v2_7!I35,householdfinance_v2_6!I35,householdfinance_v2_10!I35),0))</f>
        <v>1</v>
      </c>
      <c r="J35">
        <f>IF(F35=1,ROUND(SUM(householdfinance_v2_9!J35,householdfinance_v2_8!J35,householdfinance_v2_7!J35,householdfinance_v2_6!J35,householdfinance_v2_10!J35)/COUNT(householdfinance_v2_9!J35,householdfinance_v2_8!J35,householdfinance_v2_7!J35,householdfinance_v2_6!J35,householdfinance_v2_10!J35),0),"NA")</f>
        <v>1</v>
      </c>
      <c r="K35">
        <f>IF($E35=0,"NA",ROUND(SUM(householdfinance_v2_9!K35,householdfinance_v2_8!K35,householdfinance_v2_7!K35,householdfinance_v2_6!K35,householdfinance_v2_10!K35)/COUNT(householdfinance_v2_9!K35,householdfinance_v2_8!K35,householdfinance_v2_7!K35,householdfinance_v2_6!K35,householdfinance_v2_10!K35),0))</f>
        <v>1</v>
      </c>
      <c r="L35">
        <f>IF($E35=0,"NA",ROUND(SUM(householdfinance_v2_9!L35,householdfinance_v2_8!L35,householdfinance_v2_7!L35,householdfinance_v2_6!L35,householdfinance_v2_10!L35)/COUNT(householdfinance_v2_9!L35,householdfinance_v2_8!L35,householdfinance_v2_7!L35,householdfinance_v2_6!L35,householdfinance_v2_10!L35),0))</f>
        <v>1</v>
      </c>
      <c r="M35">
        <f>IF($E35=0,"NA",ROUND(SUM(householdfinance_v2_9!M35,householdfinance_v2_8!M35,householdfinance_v2_7!M35,householdfinance_v2_6!M35,householdfinance_v2_10!M35)/COUNT(householdfinance_v2_9!M35,householdfinance_v2_8!M35,householdfinance_v2_7!M35,householdfinance_v2_6!M35,householdfinance_v2_10!M35),0))</f>
        <v>1</v>
      </c>
      <c r="N35">
        <f>IF($E35=0,"NA",ROUND(SUM(householdfinance_v2_9!N35,householdfinance_v2_8!N35,householdfinance_v2_7!N35,householdfinance_v2_6!N35,householdfinance_v2_10!N35)/COUNT(householdfinance_v2_9!N35,householdfinance_v2_8!N35,householdfinance_v2_7!N35,householdfinance_v2_6!N35,householdfinance_v2_10!N35),0))</f>
        <v>1</v>
      </c>
      <c r="O35">
        <f>IF($E35=0,"NA",ROUND(SUM(householdfinance_v2_9!O35,householdfinance_v2_8!O35,householdfinance_v2_7!O35,householdfinance_v2_6!O35,householdfinance_v2_10!O35)/COUNT(householdfinance_v2_9!O35,householdfinance_v2_8!O35,householdfinance_v2_7!O35,householdfinance_v2_6!O35,householdfinance_v2_10!O35),0))</f>
        <v>1</v>
      </c>
    </row>
    <row r="36" spans="1:15" x14ac:dyDescent="0.25">
      <c r="A36" t="s">
        <v>16</v>
      </c>
      <c r="B36" t="s">
        <v>69</v>
      </c>
      <c r="C36">
        <v>0</v>
      </c>
      <c r="D36">
        <v>2.796617984771729</v>
      </c>
      <c r="E36">
        <f>ROUND(SUM(householdfinance_v2_9!E36,householdfinance_v2_8!E36,householdfinance_v2_7!E36,householdfinance_v2_6!E36,householdfinance_v2_10!E36)/COUNT(householdfinance_v2_9!E36,householdfinance_v2_8!E36,householdfinance_v2_7!E36,householdfinance_v2_6!E36,householdfinance_v2_10!E36),0)</f>
        <v>1</v>
      </c>
      <c r="F36">
        <f>IF($E36=0,"NA",ROUND(SUM(householdfinance_v2_9!F36,householdfinance_v2_8!F36,householdfinance_v2_7!F36,householdfinance_v2_6!F36,householdfinance_v2_10!F36)/COUNT(householdfinance_v2_9!F36,householdfinance_v2_8!F36,householdfinance_v2_7!F36,householdfinance_v2_6!F36,householdfinance_v2_10!F36),0))</f>
        <v>1</v>
      </c>
      <c r="G36">
        <f>IF($E36=0,"NA",ROUND(SUM(householdfinance_v2_9!G36,householdfinance_v2_8!G36,householdfinance_v2_7!G36,householdfinance_v2_6!G36,householdfinance_v2_10!G36)/COUNT(householdfinance_v2_9!G36,householdfinance_v2_8!G36,householdfinance_v2_7!G36,householdfinance_v2_6!G36,householdfinance_v2_10!G36),0))</f>
        <v>1</v>
      </c>
      <c r="H36">
        <f>IF(AND(F36=1,G36=1),ROUND(SUM(householdfinance_v2_9!H36,householdfinance_v2_8!H36,householdfinance_v2_7!H36,householdfinance_v2_6!H36,householdfinance_v2_10!H36)/COUNT(householdfinance_v2_9!H36,householdfinance_v2_8!H36,householdfinance_v2_7!H36,householdfinance_v2_6!H36,householdfinance_v2_10!H36),0),"NA")</f>
        <v>1</v>
      </c>
      <c r="I36">
        <f>IF($E36=0,"NA",ROUND(SUM(householdfinance_v2_9!I36,householdfinance_v2_8!I36,householdfinance_v2_7!I36,householdfinance_v2_6!I36,householdfinance_v2_10!I36)/COUNT(householdfinance_v2_9!I36,householdfinance_v2_8!I36,householdfinance_v2_7!I36,householdfinance_v2_6!I36,householdfinance_v2_10!I36),0))</f>
        <v>1</v>
      </c>
      <c r="J36">
        <f>IF(F36=1,ROUND(SUM(householdfinance_v2_9!J36,householdfinance_v2_8!J36,householdfinance_v2_7!J36,householdfinance_v2_6!J36,householdfinance_v2_10!J36)/COUNT(householdfinance_v2_9!J36,householdfinance_v2_8!J36,householdfinance_v2_7!J36,householdfinance_v2_6!J36,householdfinance_v2_10!J36),0),"NA")</f>
        <v>1</v>
      </c>
      <c r="K36">
        <f>IF($E36=0,"NA",ROUND(SUM(householdfinance_v2_9!K36,householdfinance_v2_8!K36,householdfinance_v2_7!K36,householdfinance_v2_6!K36,householdfinance_v2_10!K36)/COUNT(householdfinance_v2_9!K36,householdfinance_v2_8!K36,householdfinance_v2_7!K36,householdfinance_v2_6!K36,householdfinance_v2_10!K36),0))</f>
        <v>1</v>
      </c>
      <c r="L36">
        <f>IF($E36=0,"NA",ROUND(SUM(householdfinance_v2_9!L36,householdfinance_v2_8!L36,householdfinance_v2_7!L36,householdfinance_v2_6!L36,householdfinance_v2_10!L36)/COUNT(householdfinance_v2_9!L36,householdfinance_v2_8!L36,householdfinance_v2_7!L36,householdfinance_v2_6!L36,householdfinance_v2_10!L36),0))</f>
        <v>1</v>
      </c>
      <c r="M36">
        <f>IF($E36=0,"NA",ROUND(SUM(householdfinance_v2_9!M36,householdfinance_v2_8!M36,householdfinance_v2_7!M36,householdfinance_v2_6!M36,householdfinance_v2_10!M36)/COUNT(householdfinance_v2_9!M36,householdfinance_v2_8!M36,householdfinance_v2_7!M36,householdfinance_v2_6!M36,householdfinance_v2_10!M36),0))</f>
        <v>1</v>
      </c>
      <c r="N36">
        <f>IF($E36=0,"NA",ROUND(SUM(householdfinance_v2_9!N36,householdfinance_v2_8!N36,householdfinance_v2_7!N36,householdfinance_v2_6!N36,householdfinance_v2_10!N36)/COUNT(householdfinance_v2_9!N36,householdfinance_v2_8!N36,householdfinance_v2_7!N36,householdfinance_v2_6!N36,householdfinance_v2_10!N36),0))</f>
        <v>1</v>
      </c>
      <c r="O36">
        <f>IF($E36=0,"NA",ROUND(SUM(householdfinance_v2_9!O36,householdfinance_v2_8!O36,householdfinance_v2_7!O36,householdfinance_v2_6!O36,householdfinance_v2_10!O36)/COUNT(householdfinance_v2_9!O36,householdfinance_v2_8!O36,householdfinance_v2_7!O36,householdfinance_v2_6!O36,householdfinance_v2_10!O36),0))</f>
        <v>1</v>
      </c>
    </row>
    <row r="37" spans="1:15" x14ac:dyDescent="0.25">
      <c r="A37" t="s">
        <v>16</v>
      </c>
      <c r="B37" t="s">
        <v>70</v>
      </c>
      <c r="C37">
        <v>0</v>
      </c>
      <c r="D37">
        <v>11.02986311912537</v>
      </c>
      <c r="E37">
        <f>ROUND(SUM(householdfinance_v2_9!E37,householdfinance_v2_8!E37,householdfinance_v2_7!E37,householdfinance_v2_6!E37,householdfinance_v2_10!E37)/COUNT(householdfinance_v2_9!E37,householdfinance_v2_8!E37,householdfinance_v2_7!E37,householdfinance_v2_6!E37,householdfinance_v2_10!E37),0)</f>
        <v>1</v>
      </c>
      <c r="F37">
        <f>IF($E37=0,"NA",ROUND(SUM(householdfinance_v2_9!F37,householdfinance_v2_8!F37,householdfinance_v2_7!F37,householdfinance_v2_6!F37,householdfinance_v2_10!F37)/COUNT(householdfinance_v2_9!F37,householdfinance_v2_8!F37,householdfinance_v2_7!F37,householdfinance_v2_6!F37,householdfinance_v2_10!F37),0))</f>
        <v>1</v>
      </c>
      <c r="G37">
        <f>IF($E37=0,"NA",ROUND(SUM(householdfinance_v2_9!G37,householdfinance_v2_8!G37,householdfinance_v2_7!G37,householdfinance_v2_6!G37,householdfinance_v2_10!G37)/COUNT(householdfinance_v2_9!G37,householdfinance_v2_8!G37,householdfinance_v2_7!G37,householdfinance_v2_6!G37,householdfinance_v2_10!G37),0))</f>
        <v>1</v>
      </c>
      <c r="H37">
        <f>IF(AND(F37=1,G37=1),ROUND(SUM(householdfinance_v2_9!H37,householdfinance_v2_8!H37,householdfinance_v2_7!H37,householdfinance_v2_6!H37,householdfinance_v2_10!H37)/COUNT(householdfinance_v2_9!H37,householdfinance_v2_8!H37,householdfinance_v2_7!H37,householdfinance_v2_6!H37,householdfinance_v2_10!H37),0),"NA")</f>
        <v>1</v>
      </c>
      <c r="I37">
        <f>IF($E37=0,"NA",ROUND(SUM(householdfinance_v2_9!I37,householdfinance_v2_8!I37,householdfinance_v2_7!I37,householdfinance_v2_6!I37,householdfinance_v2_10!I37)/COUNT(householdfinance_v2_9!I37,householdfinance_v2_8!I37,householdfinance_v2_7!I37,householdfinance_v2_6!I37,householdfinance_v2_10!I37),0))</f>
        <v>1</v>
      </c>
      <c r="J37">
        <f>IF(F37=1,ROUND(SUM(householdfinance_v2_9!J37,householdfinance_v2_8!J37,householdfinance_v2_7!J37,householdfinance_v2_6!J37,householdfinance_v2_10!J37)/COUNT(householdfinance_v2_9!J37,householdfinance_v2_8!J37,householdfinance_v2_7!J37,householdfinance_v2_6!J37,householdfinance_v2_10!J37),0),"NA")</f>
        <v>1</v>
      </c>
      <c r="K37">
        <f>IF($E37=0,"NA",ROUND(SUM(householdfinance_v2_9!K37,householdfinance_v2_8!K37,householdfinance_v2_7!K37,householdfinance_v2_6!K37,householdfinance_v2_10!K37)/COUNT(householdfinance_v2_9!K37,householdfinance_v2_8!K37,householdfinance_v2_7!K37,householdfinance_v2_6!K37,householdfinance_v2_10!K37),0))</f>
        <v>1</v>
      </c>
      <c r="L37">
        <f>IF($E37=0,"NA",ROUND(SUM(householdfinance_v2_9!L37,householdfinance_v2_8!L37,householdfinance_v2_7!L37,householdfinance_v2_6!L37,householdfinance_v2_10!L37)/COUNT(householdfinance_v2_9!L37,householdfinance_v2_8!L37,householdfinance_v2_7!L37,householdfinance_v2_6!L37,householdfinance_v2_10!L37),0))</f>
        <v>1</v>
      </c>
      <c r="M37">
        <f>IF($E37=0,"NA",ROUND(SUM(householdfinance_v2_9!M37,householdfinance_v2_8!M37,householdfinance_v2_7!M37,householdfinance_v2_6!M37,householdfinance_v2_10!M37)/COUNT(householdfinance_v2_9!M37,householdfinance_v2_8!M37,householdfinance_v2_7!M37,householdfinance_v2_6!M37,householdfinance_v2_10!M37),0))</f>
        <v>1</v>
      </c>
      <c r="N37">
        <f>IF($E37=0,"NA",ROUND(SUM(householdfinance_v2_9!N37,householdfinance_v2_8!N37,householdfinance_v2_7!N37,householdfinance_v2_6!N37,householdfinance_v2_10!N37)/COUNT(householdfinance_v2_9!N37,householdfinance_v2_8!N37,householdfinance_v2_7!N37,householdfinance_v2_6!N37,householdfinance_v2_10!N37),0))</f>
        <v>1</v>
      </c>
      <c r="O37">
        <f>IF($E37=0,"NA",ROUND(SUM(householdfinance_v2_9!O37,householdfinance_v2_8!O37,householdfinance_v2_7!O37,householdfinance_v2_6!O37,householdfinance_v2_10!O37)/COUNT(householdfinance_v2_9!O37,householdfinance_v2_8!O37,householdfinance_v2_7!O37,householdfinance_v2_6!O37,householdfinance_v2_10!O37),0))</f>
        <v>1</v>
      </c>
    </row>
    <row r="38" spans="1:15" x14ac:dyDescent="0.25">
      <c r="A38" t="s">
        <v>16</v>
      </c>
      <c r="B38" t="s">
        <v>71</v>
      </c>
      <c r="C38">
        <v>0</v>
      </c>
      <c r="D38">
        <v>2.7114109992980961</v>
      </c>
      <c r="E38">
        <f>ROUND(SUM(householdfinance_v2_9!E38,householdfinance_v2_8!E38,householdfinance_v2_7!E38,householdfinance_v2_6!E38,householdfinance_v2_10!E38)/COUNT(householdfinance_v2_9!E38,householdfinance_v2_8!E38,householdfinance_v2_7!E38,householdfinance_v2_6!E38,householdfinance_v2_10!E38),0)</f>
        <v>1</v>
      </c>
      <c r="F38">
        <f>IF($E38=0,"NA",ROUND(SUM(householdfinance_v2_9!F38,householdfinance_v2_8!F38,householdfinance_v2_7!F38,householdfinance_v2_6!F38,householdfinance_v2_10!F38)/COUNT(householdfinance_v2_9!F38,householdfinance_v2_8!F38,householdfinance_v2_7!F38,householdfinance_v2_6!F38,householdfinance_v2_10!F38),0))</f>
        <v>1</v>
      </c>
      <c r="G38">
        <f>IF($E38=0,"NA",ROUND(SUM(householdfinance_v2_9!G38,householdfinance_v2_8!G38,householdfinance_v2_7!G38,householdfinance_v2_6!G38,householdfinance_v2_10!G38)/COUNT(householdfinance_v2_9!G38,householdfinance_v2_8!G38,householdfinance_v2_7!G38,householdfinance_v2_6!G38,householdfinance_v2_10!G38),0))</f>
        <v>1</v>
      </c>
      <c r="H38">
        <f>IF(AND(F38=1,G38=1),ROUND(SUM(householdfinance_v2_9!H38,householdfinance_v2_8!H38,householdfinance_v2_7!H38,householdfinance_v2_6!H38,householdfinance_v2_10!H38)/COUNT(householdfinance_v2_9!H38,householdfinance_v2_8!H38,householdfinance_v2_7!H38,householdfinance_v2_6!H38,householdfinance_v2_10!H38),0),"NA")</f>
        <v>1</v>
      </c>
      <c r="I38">
        <f>IF($E38=0,"NA",ROUND(SUM(householdfinance_v2_9!I38,householdfinance_v2_8!I38,householdfinance_v2_7!I38,householdfinance_v2_6!I38,householdfinance_v2_10!I38)/COUNT(householdfinance_v2_9!I38,householdfinance_v2_8!I38,householdfinance_v2_7!I38,householdfinance_v2_6!I38,householdfinance_v2_10!I38),0))</f>
        <v>1</v>
      </c>
      <c r="J38">
        <f>IF(F38=1,ROUND(SUM(householdfinance_v2_9!J38,householdfinance_v2_8!J38,householdfinance_v2_7!J38,householdfinance_v2_6!J38,householdfinance_v2_10!J38)/COUNT(householdfinance_v2_9!J38,householdfinance_v2_8!J38,householdfinance_v2_7!J38,householdfinance_v2_6!J38,householdfinance_v2_10!J38),0),"NA")</f>
        <v>1</v>
      </c>
      <c r="K38">
        <f>IF($E38=0,"NA",ROUND(SUM(householdfinance_v2_9!K38,householdfinance_v2_8!K38,householdfinance_v2_7!K38,householdfinance_v2_6!K38,householdfinance_v2_10!K38)/COUNT(householdfinance_v2_9!K38,householdfinance_v2_8!K38,householdfinance_v2_7!K38,householdfinance_v2_6!K38,householdfinance_v2_10!K38),0))</f>
        <v>1</v>
      </c>
      <c r="L38">
        <f>IF($E38=0,"NA",ROUND(SUM(householdfinance_v2_9!L38,householdfinance_v2_8!L38,householdfinance_v2_7!L38,householdfinance_v2_6!L38,householdfinance_v2_10!L38)/COUNT(householdfinance_v2_9!L38,householdfinance_v2_8!L38,householdfinance_v2_7!L38,householdfinance_v2_6!L38,householdfinance_v2_10!L38),0))</f>
        <v>1</v>
      </c>
      <c r="M38">
        <f>IF($E38=0,"NA",ROUND(SUM(householdfinance_v2_9!M38,householdfinance_v2_8!M38,householdfinance_v2_7!M38,householdfinance_v2_6!M38,householdfinance_v2_10!M38)/COUNT(householdfinance_v2_9!M38,householdfinance_v2_8!M38,householdfinance_v2_7!M38,householdfinance_v2_6!M38,householdfinance_v2_10!M38),0))</f>
        <v>1</v>
      </c>
      <c r="N38">
        <f>IF($E38=0,"NA",ROUND(SUM(householdfinance_v2_9!N38,householdfinance_v2_8!N38,householdfinance_v2_7!N38,householdfinance_v2_6!N38,householdfinance_v2_10!N38)/COUNT(householdfinance_v2_9!N38,householdfinance_v2_8!N38,householdfinance_v2_7!N38,householdfinance_v2_6!N38,householdfinance_v2_10!N38),0))</f>
        <v>1</v>
      </c>
      <c r="O38">
        <f>IF($E38=0,"NA",ROUND(SUM(householdfinance_v2_9!O38,householdfinance_v2_8!O38,householdfinance_v2_7!O38,householdfinance_v2_6!O38,householdfinance_v2_10!O38)/COUNT(householdfinance_v2_9!O38,householdfinance_v2_8!O38,householdfinance_v2_7!O38,householdfinance_v2_6!O38,householdfinance_v2_10!O38),0))</f>
        <v>1</v>
      </c>
    </row>
    <row r="39" spans="1:15" x14ac:dyDescent="0.25">
      <c r="A39" t="s">
        <v>16</v>
      </c>
      <c r="B39" t="s">
        <v>72</v>
      </c>
      <c r="C39">
        <v>0</v>
      </c>
      <c r="D39">
        <v>3.837893962860107</v>
      </c>
      <c r="E39">
        <f>ROUND(SUM(householdfinance_v2_9!E39,householdfinance_v2_8!E39,householdfinance_v2_7!E39,householdfinance_v2_6!E39,householdfinance_v2_10!E39)/COUNT(householdfinance_v2_9!E39,householdfinance_v2_8!E39,householdfinance_v2_7!E39,householdfinance_v2_6!E39,householdfinance_v2_10!E39),0)</f>
        <v>1</v>
      </c>
      <c r="F39">
        <f>IF($E39=0,"NA",ROUND(SUM(householdfinance_v2_9!F39,householdfinance_v2_8!F39,householdfinance_v2_7!F39,householdfinance_v2_6!F39,householdfinance_v2_10!F39)/COUNT(householdfinance_v2_9!F39,householdfinance_v2_8!F39,householdfinance_v2_7!F39,householdfinance_v2_6!F39,householdfinance_v2_10!F39),0))</f>
        <v>1</v>
      </c>
      <c r="G39">
        <f>IF($E39=0,"NA",ROUND(SUM(householdfinance_v2_9!G39,householdfinance_v2_8!G39,householdfinance_v2_7!G39,householdfinance_v2_6!G39,householdfinance_v2_10!G39)/COUNT(householdfinance_v2_9!G39,householdfinance_v2_8!G39,householdfinance_v2_7!G39,householdfinance_v2_6!G39,householdfinance_v2_10!G39),0))</f>
        <v>1</v>
      </c>
      <c r="H39">
        <f>IF(AND(F39=1,G39=1),ROUND(SUM(householdfinance_v2_9!H39,householdfinance_v2_8!H39,householdfinance_v2_7!H39,householdfinance_v2_6!H39,householdfinance_v2_10!H39)/COUNT(householdfinance_v2_9!H39,householdfinance_v2_8!H39,householdfinance_v2_7!H39,householdfinance_v2_6!H39,householdfinance_v2_10!H39),0),"NA")</f>
        <v>1</v>
      </c>
      <c r="I39">
        <f>IF($E39=0,"NA",ROUND(SUM(householdfinance_v2_9!I39,householdfinance_v2_8!I39,householdfinance_v2_7!I39,householdfinance_v2_6!I39,householdfinance_v2_10!I39)/COUNT(householdfinance_v2_9!I39,householdfinance_v2_8!I39,householdfinance_v2_7!I39,householdfinance_v2_6!I39,householdfinance_v2_10!I39),0))</f>
        <v>0</v>
      </c>
      <c r="J39">
        <f>IF(F39=1,ROUND(SUM(householdfinance_v2_9!J39,householdfinance_v2_8!J39,householdfinance_v2_7!J39,householdfinance_v2_6!J39,householdfinance_v2_10!J39)/COUNT(householdfinance_v2_9!J39,householdfinance_v2_8!J39,householdfinance_v2_7!J39,householdfinance_v2_6!J39,householdfinance_v2_10!J39),0),"NA")</f>
        <v>1</v>
      </c>
      <c r="K39">
        <f>IF($E39=0,"NA",ROUND(SUM(householdfinance_v2_9!K39,householdfinance_v2_8!K39,householdfinance_v2_7!K39,householdfinance_v2_6!K39,householdfinance_v2_10!K39)/COUNT(householdfinance_v2_9!K39,householdfinance_v2_8!K39,householdfinance_v2_7!K39,householdfinance_v2_6!K39,householdfinance_v2_10!K39),0))</f>
        <v>1</v>
      </c>
      <c r="L39">
        <f>IF($E39=0,"NA",ROUND(SUM(householdfinance_v2_9!L39,householdfinance_v2_8!L39,householdfinance_v2_7!L39,householdfinance_v2_6!L39,householdfinance_v2_10!L39)/COUNT(householdfinance_v2_9!L39,householdfinance_v2_8!L39,householdfinance_v2_7!L39,householdfinance_v2_6!L39,householdfinance_v2_10!L39),0))</f>
        <v>1</v>
      </c>
      <c r="M39">
        <f>IF($E39=0,"NA",ROUND(SUM(householdfinance_v2_9!M39,householdfinance_v2_8!M39,householdfinance_v2_7!M39,householdfinance_v2_6!M39,householdfinance_v2_10!M39)/COUNT(householdfinance_v2_9!M39,householdfinance_v2_8!M39,householdfinance_v2_7!M39,householdfinance_v2_6!M39,householdfinance_v2_10!M39),0))</f>
        <v>1</v>
      </c>
      <c r="N39">
        <f>IF($E39=0,"NA",ROUND(SUM(householdfinance_v2_9!N39,householdfinance_v2_8!N39,householdfinance_v2_7!N39,householdfinance_v2_6!N39,householdfinance_v2_10!N39)/COUNT(householdfinance_v2_9!N39,householdfinance_v2_8!N39,householdfinance_v2_7!N39,householdfinance_v2_6!N39,householdfinance_v2_10!N39),0))</f>
        <v>1</v>
      </c>
      <c r="O39">
        <f>IF($E39=0,"NA",ROUND(SUM(householdfinance_v2_9!O39,householdfinance_v2_8!O39,householdfinance_v2_7!O39,householdfinance_v2_6!O39,householdfinance_v2_10!O39)/COUNT(householdfinance_v2_9!O39,householdfinance_v2_8!O39,householdfinance_v2_7!O39,householdfinance_v2_6!O39,householdfinance_v2_10!O39),0))</f>
        <v>1</v>
      </c>
    </row>
    <row r="40" spans="1:15" x14ac:dyDescent="0.25">
      <c r="A40" t="s">
        <v>16</v>
      </c>
      <c r="B40" t="s">
        <v>74</v>
      </c>
      <c r="C40">
        <v>0</v>
      </c>
      <c r="D40">
        <v>9.0942306518554688</v>
      </c>
      <c r="E40">
        <f>ROUND(SUM(householdfinance_v2_9!E40,householdfinance_v2_8!E40,householdfinance_v2_7!E40,householdfinance_v2_6!E40,householdfinance_v2_10!E40)/COUNT(householdfinance_v2_9!E40,householdfinance_v2_8!E40,householdfinance_v2_7!E40,householdfinance_v2_6!E40,householdfinance_v2_10!E40),0)</f>
        <v>0</v>
      </c>
      <c r="F40" t="str">
        <f>IF($E40=0,"NA",ROUND(SUM(householdfinance_v2_9!F40,householdfinance_v2_8!F40,householdfinance_v2_7!F40,householdfinance_v2_6!F40,householdfinance_v2_10!F40)/COUNT(householdfinance_v2_9!F40,householdfinance_v2_8!F40,householdfinance_v2_7!F40,householdfinance_v2_6!F40,householdfinance_v2_10!F40),0))</f>
        <v>NA</v>
      </c>
      <c r="G40" t="str">
        <f>IF($E40=0,"NA",ROUND(SUM(householdfinance_v2_9!G40,householdfinance_v2_8!G40,householdfinance_v2_7!G40,householdfinance_v2_6!G40,householdfinance_v2_10!G40)/COUNT(householdfinance_v2_9!G40,householdfinance_v2_8!G40,householdfinance_v2_7!G40,householdfinance_v2_6!G40,householdfinance_v2_10!G40),0))</f>
        <v>NA</v>
      </c>
      <c r="H40" t="str">
        <f>IF(AND(F40=1,G40=1),ROUND(SUM(householdfinance_v2_9!H40,householdfinance_v2_8!H40,householdfinance_v2_7!H40,householdfinance_v2_6!H40,householdfinance_v2_10!H40)/COUNT(householdfinance_v2_9!H40,householdfinance_v2_8!H40,householdfinance_v2_7!H40,householdfinance_v2_6!H40,householdfinance_v2_10!H40),0),"NA")</f>
        <v>NA</v>
      </c>
      <c r="I40" t="str">
        <f>IF($E40=0,"NA",ROUND(SUM(householdfinance_v2_9!I40,householdfinance_v2_8!I40,householdfinance_v2_7!I40,householdfinance_v2_6!I40,householdfinance_v2_10!I40)/COUNT(householdfinance_v2_9!I40,householdfinance_v2_8!I40,householdfinance_v2_7!I40,householdfinance_v2_6!I40,householdfinance_v2_10!I40),0))</f>
        <v>NA</v>
      </c>
      <c r="J40" t="str">
        <f>IF(F40=1,ROUND(SUM(householdfinance_v2_9!J40,householdfinance_v2_8!J40,householdfinance_v2_7!J40,householdfinance_v2_6!J40,householdfinance_v2_10!J40)/COUNT(householdfinance_v2_9!J40,householdfinance_v2_8!J40,householdfinance_v2_7!J40,householdfinance_v2_6!J40,householdfinance_v2_10!J40),0),"NA")</f>
        <v>NA</v>
      </c>
      <c r="K40" t="str">
        <f>IF($E40=0,"NA",ROUND(SUM(householdfinance_v2_9!K40,householdfinance_v2_8!K40,householdfinance_v2_7!K40,householdfinance_v2_6!K40,householdfinance_v2_10!K40)/COUNT(householdfinance_v2_9!K40,householdfinance_v2_8!K40,householdfinance_v2_7!K40,householdfinance_v2_6!K40,householdfinance_v2_10!K40),0))</f>
        <v>NA</v>
      </c>
      <c r="L40" t="str">
        <f>IF($E40=0,"NA",ROUND(SUM(householdfinance_v2_9!L40,householdfinance_v2_8!L40,householdfinance_v2_7!L40,householdfinance_v2_6!L40,householdfinance_v2_10!L40)/COUNT(householdfinance_v2_9!L40,householdfinance_v2_8!L40,householdfinance_v2_7!L40,householdfinance_v2_6!L40,householdfinance_v2_10!L40),0))</f>
        <v>NA</v>
      </c>
      <c r="M40" t="str">
        <f>IF($E40=0,"NA",ROUND(SUM(householdfinance_v2_9!M40,householdfinance_v2_8!M40,householdfinance_v2_7!M40,householdfinance_v2_6!M40,householdfinance_v2_10!M40)/COUNT(householdfinance_v2_9!M40,householdfinance_v2_8!M40,householdfinance_v2_7!M40,householdfinance_v2_6!M40,householdfinance_v2_10!M40),0))</f>
        <v>NA</v>
      </c>
      <c r="N40" t="str">
        <f>IF($E40=0,"NA",ROUND(SUM(householdfinance_v2_9!N40,householdfinance_v2_8!N40,householdfinance_v2_7!N40,householdfinance_v2_6!N40,householdfinance_v2_10!N40)/COUNT(householdfinance_v2_9!N40,householdfinance_v2_8!N40,householdfinance_v2_7!N40,householdfinance_v2_6!N40,householdfinance_v2_10!N40),0))</f>
        <v>NA</v>
      </c>
      <c r="O40" t="str">
        <f>IF($E40=0,"NA",ROUND(SUM(householdfinance_v2_9!O40,householdfinance_v2_8!O40,householdfinance_v2_7!O40,householdfinance_v2_6!O40,householdfinance_v2_10!O40)/COUNT(householdfinance_v2_9!O40,householdfinance_v2_8!O40,householdfinance_v2_7!O40,householdfinance_v2_6!O40,householdfinance_v2_10!O40),0))</f>
        <v>NA</v>
      </c>
    </row>
    <row r="41" spans="1:15" x14ac:dyDescent="0.25">
      <c r="A41" t="s">
        <v>16</v>
      </c>
      <c r="B41" t="s">
        <v>76</v>
      </c>
      <c r="C41">
        <v>0</v>
      </c>
      <c r="D41">
        <v>12.474157094955441</v>
      </c>
      <c r="E41">
        <f>ROUND(SUM(householdfinance_v2_9!E41,householdfinance_v2_8!E41,householdfinance_v2_7!E41,householdfinance_v2_6!E41,householdfinance_v2_10!E41)/COUNT(householdfinance_v2_9!E41,householdfinance_v2_8!E41,householdfinance_v2_7!E41,householdfinance_v2_6!E41,householdfinance_v2_10!E41),0)</f>
        <v>0</v>
      </c>
      <c r="F41" t="str">
        <f>IF($E41=0,"NA",ROUND(SUM(householdfinance_v2_9!F41,householdfinance_v2_8!F41,householdfinance_v2_7!F41,householdfinance_v2_6!F41,householdfinance_v2_10!F41)/COUNT(householdfinance_v2_9!F41,householdfinance_v2_8!F41,householdfinance_v2_7!F41,householdfinance_v2_6!F41,householdfinance_v2_10!F41),0))</f>
        <v>NA</v>
      </c>
      <c r="G41" t="str">
        <f>IF($E41=0,"NA",ROUND(SUM(householdfinance_v2_9!G41,householdfinance_v2_8!G41,householdfinance_v2_7!G41,householdfinance_v2_6!G41,householdfinance_v2_10!G41)/COUNT(householdfinance_v2_9!G41,householdfinance_v2_8!G41,householdfinance_v2_7!G41,householdfinance_v2_6!G41,householdfinance_v2_10!G41),0))</f>
        <v>NA</v>
      </c>
      <c r="H41" t="str">
        <f>IF(AND(F41=1,G41=1),ROUND(SUM(householdfinance_v2_9!H41,householdfinance_v2_8!H41,householdfinance_v2_7!H41,householdfinance_v2_6!H41,householdfinance_v2_10!H41)/COUNT(householdfinance_v2_9!H41,householdfinance_v2_8!H41,householdfinance_v2_7!H41,householdfinance_v2_6!H41,householdfinance_v2_10!H41),0),"NA")</f>
        <v>NA</v>
      </c>
      <c r="I41" t="str">
        <f>IF($E41=0,"NA",ROUND(SUM(householdfinance_v2_9!I41,householdfinance_v2_8!I41,householdfinance_v2_7!I41,householdfinance_v2_6!I41,householdfinance_v2_10!I41)/COUNT(householdfinance_v2_9!I41,householdfinance_v2_8!I41,householdfinance_v2_7!I41,householdfinance_v2_6!I41,householdfinance_v2_10!I41),0))</f>
        <v>NA</v>
      </c>
      <c r="J41" t="str">
        <f>IF(F41=1,ROUND(SUM(householdfinance_v2_9!J41,householdfinance_v2_8!J41,householdfinance_v2_7!J41,householdfinance_v2_6!J41,householdfinance_v2_10!J41)/COUNT(householdfinance_v2_9!J41,householdfinance_v2_8!J41,householdfinance_v2_7!J41,householdfinance_v2_6!J41,householdfinance_v2_10!J41),0),"NA")</f>
        <v>NA</v>
      </c>
      <c r="K41" t="str">
        <f>IF($E41=0,"NA",ROUND(SUM(householdfinance_v2_9!K41,householdfinance_v2_8!K41,householdfinance_v2_7!K41,householdfinance_v2_6!K41,householdfinance_v2_10!K41)/COUNT(householdfinance_v2_9!K41,householdfinance_v2_8!K41,householdfinance_v2_7!K41,householdfinance_v2_6!K41,householdfinance_v2_10!K41),0))</f>
        <v>NA</v>
      </c>
      <c r="L41" t="str">
        <f>IF($E41=0,"NA",ROUND(SUM(householdfinance_v2_9!L41,householdfinance_v2_8!L41,householdfinance_v2_7!L41,householdfinance_v2_6!L41,householdfinance_v2_10!L41)/COUNT(householdfinance_v2_9!L41,householdfinance_v2_8!L41,householdfinance_v2_7!L41,householdfinance_v2_6!L41,householdfinance_v2_10!L41),0))</f>
        <v>NA</v>
      </c>
      <c r="M41" t="str">
        <f>IF($E41=0,"NA",ROUND(SUM(householdfinance_v2_9!M41,householdfinance_v2_8!M41,householdfinance_v2_7!M41,householdfinance_v2_6!M41,householdfinance_v2_10!M41)/COUNT(householdfinance_v2_9!M41,householdfinance_v2_8!M41,householdfinance_v2_7!M41,householdfinance_v2_6!M41,householdfinance_v2_10!M41),0))</f>
        <v>NA</v>
      </c>
      <c r="N41" t="str">
        <f>IF($E41=0,"NA",ROUND(SUM(householdfinance_v2_9!N41,householdfinance_v2_8!N41,householdfinance_v2_7!N41,householdfinance_v2_6!N41,householdfinance_v2_10!N41)/COUNT(householdfinance_v2_9!N41,householdfinance_v2_8!N41,householdfinance_v2_7!N41,householdfinance_v2_6!N41,householdfinance_v2_10!N41),0))</f>
        <v>NA</v>
      </c>
      <c r="O41" t="str">
        <f>IF($E41=0,"NA",ROUND(SUM(householdfinance_v2_9!O41,householdfinance_v2_8!O41,householdfinance_v2_7!O41,householdfinance_v2_6!O41,householdfinance_v2_10!O41)/COUNT(householdfinance_v2_9!O41,householdfinance_v2_8!O41,householdfinance_v2_7!O41,householdfinance_v2_6!O41,householdfinance_v2_10!O41),0))</f>
        <v>NA</v>
      </c>
    </row>
    <row r="42" spans="1:15" x14ac:dyDescent="0.25">
      <c r="A42" t="s">
        <v>16</v>
      </c>
      <c r="B42" t="s">
        <v>78</v>
      </c>
      <c r="C42">
        <v>0</v>
      </c>
      <c r="D42">
        <v>9.3671610355377197</v>
      </c>
      <c r="E42">
        <f>ROUND(SUM(householdfinance_v2_9!E42,householdfinance_v2_8!E42,householdfinance_v2_7!E42,householdfinance_v2_6!E42,householdfinance_v2_10!E42)/COUNT(householdfinance_v2_9!E42,householdfinance_v2_8!E42,householdfinance_v2_7!E42,householdfinance_v2_6!E42,householdfinance_v2_10!E42),0)</f>
        <v>0</v>
      </c>
      <c r="F42" t="str">
        <f>IF($E42=0,"NA",ROUND(SUM(householdfinance_v2_9!F42,householdfinance_v2_8!F42,householdfinance_v2_7!F42,householdfinance_v2_6!F42,householdfinance_v2_10!F42)/COUNT(householdfinance_v2_9!F42,householdfinance_v2_8!F42,householdfinance_v2_7!F42,householdfinance_v2_6!F42,householdfinance_v2_10!F42),0))</f>
        <v>NA</v>
      </c>
      <c r="G42" t="str">
        <f>IF($E42=0,"NA",ROUND(SUM(householdfinance_v2_9!G42,householdfinance_v2_8!G42,householdfinance_v2_7!G42,householdfinance_v2_6!G42,householdfinance_v2_10!G42)/COUNT(householdfinance_v2_9!G42,householdfinance_v2_8!G42,householdfinance_v2_7!G42,householdfinance_v2_6!G42,householdfinance_v2_10!G42),0))</f>
        <v>NA</v>
      </c>
      <c r="H42" t="str">
        <f>IF(AND(F42=1,G42=1),ROUND(SUM(householdfinance_v2_9!H42,householdfinance_v2_8!H42,householdfinance_v2_7!H42,householdfinance_v2_6!H42,householdfinance_v2_10!H42)/COUNT(householdfinance_v2_9!H42,householdfinance_v2_8!H42,householdfinance_v2_7!H42,householdfinance_v2_6!H42,householdfinance_v2_10!H42),0),"NA")</f>
        <v>NA</v>
      </c>
      <c r="I42" t="str">
        <f>IF($E42=0,"NA",ROUND(SUM(householdfinance_v2_9!I42,householdfinance_v2_8!I42,householdfinance_v2_7!I42,householdfinance_v2_6!I42,householdfinance_v2_10!I42)/COUNT(householdfinance_v2_9!I42,householdfinance_v2_8!I42,householdfinance_v2_7!I42,householdfinance_v2_6!I42,householdfinance_v2_10!I42),0))</f>
        <v>NA</v>
      </c>
      <c r="J42" t="str">
        <f>IF(F42=1,ROUND(SUM(householdfinance_v2_9!J42,householdfinance_v2_8!J42,householdfinance_v2_7!J42,householdfinance_v2_6!J42,householdfinance_v2_10!J42)/COUNT(householdfinance_v2_9!J42,householdfinance_v2_8!J42,householdfinance_v2_7!J42,householdfinance_v2_6!J42,householdfinance_v2_10!J42),0),"NA")</f>
        <v>NA</v>
      </c>
      <c r="K42" t="str">
        <f>IF($E42=0,"NA",ROUND(SUM(householdfinance_v2_9!K42,householdfinance_v2_8!K42,householdfinance_v2_7!K42,householdfinance_v2_6!K42,householdfinance_v2_10!K42)/COUNT(householdfinance_v2_9!K42,householdfinance_v2_8!K42,householdfinance_v2_7!K42,householdfinance_v2_6!K42,householdfinance_v2_10!K42),0))</f>
        <v>NA</v>
      </c>
      <c r="L42" t="str">
        <f>IF($E42=0,"NA",ROUND(SUM(householdfinance_v2_9!L42,householdfinance_v2_8!L42,householdfinance_v2_7!L42,householdfinance_v2_6!L42,householdfinance_v2_10!L42)/COUNT(householdfinance_v2_9!L42,householdfinance_v2_8!L42,householdfinance_v2_7!L42,householdfinance_v2_6!L42,householdfinance_v2_10!L42),0))</f>
        <v>NA</v>
      </c>
      <c r="M42" t="str">
        <f>IF($E42=0,"NA",ROUND(SUM(householdfinance_v2_9!M42,householdfinance_v2_8!M42,householdfinance_v2_7!M42,householdfinance_v2_6!M42,householdfinance_v2_10!M42)/COUNT(householdfinance_v2_9!M42,householdfinance_v2_8!M42,householdfinance_v2_7!M42,householdfinance_v2_6!M42,householdfinance_v2_10!M42),0))</f>
        <v>NA</v>
      </c>
      <c r="N42" t="str">
        <f>IF($E42=0,"NA",ROUND(SUM(householdfinance_v2_9!N42,householdfinance_v2_8!N42,householdfinance_v2_7!N42,householdfinance_v2_6!N42,householdfinance_v2_10!N42)/COUNT(householdfinance_v2_9!N42,householdfinance_v2_8!N42,householdfinance_v2_7!N42,householdfinance_v2_6!N42,householdfinance_v2_10!N42),0))</f>
        <v>NA</v>
      </c>
      <c r="O42" t="str">
        <f>IF($E42=0,"NA",ROUND(SUM(householdfinance_v2_9!O42,householdfinance_v2_8!O42,householdfinance_v2_7!O42,householdfinance_v2_6!O42,householdfinance_v2_10!O42)/COUNT(householdfinance_v2_9!O42,householdfinance_v2_8!O42,householdfinance_v2_7!O42,householdfinance_v2_6!O42,householdfinance_v2_10!O42),0))</f>
        <v>NA</v>
      </c>
    </row>
    <row r="43" spans="1:15" x14ac:dyDescent="0.25">
      <c r="A43" t="s">
        <v>16</v>
      </c>
      <c r="B43" t="s">
        <v>80</v>
      </c>
      <c r="C43">
        <v>0</v>
      </c>
      <c r="D43">
        <v>2.681580543518066</v>
      </c>
      <c r="E43">
        <f>ROUND(SUM(householdfinance_v2_9!E43,householdfinance_v2_8!E43,householdfinance_v2_7!E43,householdfinance_v2_6!E43,householdfinance_v2_10!E43)/COUNT(householdfinance_v2_9!E43,householdfinance_v2_8!E43,householdfinance_v2_7!E43,householdfinance_v2_6!E43,householdfinance_v2_10!E43),0)</f>
        <v>1</v>
      </c>
      <c r="F43">
        <f>IF($E43=0,"NA",ROUND(SUM(householdfinance_v2_9!F43,householdfinance_v2_8!F43,householdfinance_v2_7!F43,householdfinance_v2_6!F43,householdfinance_v2_10!F43)/COUNT(householdfinance_v2_9!F43,householdfinance_v2_8!F43,householdfinance_v2_7!F43,householdfinance_v2_6!F43,householdfinance_v2_10!F43),0))</f>
        <v>1</v>
      </c>
      <c r="G43">
        <f>IF($E43=0,"NA",ROUND(SUM(householdfinance_v2_9!G43,householdfinance_v2_8!G43,householdfinance_v2_7!G43,householdfinance_v2_6!G43,householdfinance_v2_10!G43)/COUNT(householdfinance_v2_9!G43,householdfinance_v2_8!G43,householdfinance_v2_7!G43,householdfinance_v2_6!G43,householdfinance_v2_10!G43),0))</f>
        <v>1</v>
      </c>
      <c r="H43">
        <f>IF(AND(F43=1,G43=1),ROUND(SUM(householdfinance_v2_9!H43,householdfinance_v2_8!H43,householdfinance_v2_7!H43,householdfinance_v2_6!H43,householdfinance_v2_10!H43)/COUNT(householdfinance_v2_9!H43,householdfinance_v2_8!H43,householdfinance_v2_7!H43,householdfinance_v2_6!H43,householdfinance_v2_10!H43),0),"NA")</f>
        <v>1</v>
      </c>
      <c r="I43">
        <f>IF($E43=0,"NA",ROUND(SUM(householdfinance_v2_9!I43,householdfinance_v2_8!I43,householdfinance_v2_7!I43,householdfinance_v2_6!I43,householdfinance_v2_10!I43)/COUNT(householdfinance_v2_9!I43,householdfinance_v2_8!I43,householdfinance_v2_7!I43,householdfinance_v2_6!I43,householdfinance_v2_10!I43),0))</f>
        <v>1</v>
      </c>
      <c r="J43">
        <f>IF(F43=1,ROUND(SUM(householdfinance_v2_9!J43,householdfinance_v2_8!J43,householdfinance_v2_7!J43,householdfinance_v2_6!J43,householdfinance_v2_10!J43)/COUNT(householdfinance_v2_9!J43,householdfinance_v2_8!J43,householdfinance_v2_7!J43,householdfinance_v2_6!J43,householdfinance_v2_10!J43),0),"NA")</f>
        <v>1</v>
      </c>
      <c r="K43">
        <f>IF($E43=0,"NA",ROUND(SUM(householdfinance_v2_9!K43,householdfinance_v2_8!K43,householdfinance_v2_7!K43,householdfinance_v2_6!K43,householdfinance_v2_10!K43)/COUNT(householdfinance_v2_9!K43,householdfinance_v2_8!K43,householdfinance_v2_7!K43,householdfinance_v2_6!K43,householdfinance_v2_10!K43),0))</f>
        <v>1</v>
      </c>
      <c r="L43">
        <f>IF($E43=0,"NA",ROUND(SUM(householdfinance_v2_9!L43,householdfinance_v2_8!L43,householdfinance_v2_7!L43,householdfinance_v2_6!L43,householdfinance_v2_10!L43)/COUNT(householdfinance_v2_9!L43,householdfinance_v2_8!L43,householdfinance_v2_7!L43,householdfinance_v2_6!L43,householdfinance_v2_10!L43),0))</f>
        <v>1</v>
      </c>
      <c r="M43">
        <f>IF($E43=0,"NA",ROUND(SUM(householdfinance_v2_9!M43,householdfinance_v2_8!M43,householdfinance_v2_7!M43,householdfinance_v2_6!M43,householdfinance_v2_10!M43)/COUNT(householdfinance_v2_9!M43,householdfinance_v2_8!M43,householdfinance_v2_7!M43,householdfinance_v2_6!M43,householdfinance_v2_10!M43),0))</f>
        <v>1</v>
      </c>
      <c r="N43">
        <f>IF($E43=0,"NA",ROUND(SUM(householdfinance_v2_9!N43,householdfinance_v2_8!N43,householdfinance_v2_7!N43,householdfinance_v2_6!N43,householdfinance_v2_10!N43)/COUNT(householdfinance_v2_9!N43,householdfinance_v2_8!N43,householdfinance_v2_7!N43,householdfinance_v2_6!N43,householdfinance_v2_10!N43),0))</f>
        <v>1</v>
      </c>
      <c r="O43">
        <f>IF($E43=0,"NA",ROUND(SUM(householdfinance_v2_9!O43,householdfinance_v2_8!O43,householdfinance_v2_7!O43,householdfinance_v2_6!O43,householdfinance_v2_10!O43)/COUNT(householdfinance_v2_9!O43,householdfinance_v2_8!O43,householdfinance_v2_7!O43,householdfinance_v2_6!O43,householdfinance_v2_10!O43),0))</f>
        <v>1</v>
      </c>
    </row>
    <row r="44" spans="1:15" x14ac:dyDescent="0.25">
      <c r="A44" t="s">
        <v>16</v>
      </c>
      <c r="B44" t="s">
        <v>81</v>
      </c>
      <c r="C44">
        <v>0</v>
      </c>
      <c r="D44">
        <v>4.8882651329040527</v>
      </c>
      <c r="E44">
        <f>ROUND(SUM(householdfinance_v2_9!E44,householdfinance_v2_8!E44,householdfinance_v2_7!E44,householdfinance_v2_6!E44,householdfinance_v2_10!E44)/COUNT(householdfinance_v2_9!E44,householdfinance_v2_8!E44,householdfinance_v2_7!E44,householdfinance_v2_6!E44,householdfinance_v2_10!E44),0)</f>
        <v>1</v>
      </c>
      <c r="F44">
        <f>IF($E44=0,"NA",ROUND(SUM(householdfinance_v2_9!F44,householdfinance_v2_8!F44,householdfinance_v2_7!F44,householdfinance_v2_6!F44,householdfinance_v2_10!F44)/COUNT(householdfinance_v2_9!F44,householdfinance_v2_8!F44,householdfinance_v2_7!F44,householdfinance_v2_6!F44,householdfinance_v2_10!F44),0))</f>
        <v>1</v>
      </c>
      <c r="G44">
        <f>IF($E44=0,"NA",ROUND(SUM(householdfinance_v2_9!G44,householdfinance_v2_8!G44,householdfinance_v2_7!G44,householdfinance_v2_6!G44,householdfinance_v2_10!G44)/COUNT(householdfinance_v2_9!G44,householdfinance_v2_8!G44,householdfinance_v2_7!G44,householdfinance_v2_6!G44,householdfinance_v2_10!G44),0))</f>
        <v>1</v>
      </c>
      <c r="H44">
        <f>IF(AND(F44=1,G44=1),ROUND(SUM(householdfinance_v2_9!H44,householdfinance_v2_8!H44,householdfinance_v2_7!H44,householdfinance_v2_6!H44,householdfinance_v2_10!H44)/COUNT(householdfinance_v2_9!H44,householdfinance_v2_8!H44,householdfinance_v2_7!H44,householdfinance_v2_6!H44,householdfinance_v2_10!H44),0),"NA")</f>
        <v>0</v>
      </c>
      <c r="I44">
        <f>IF($E44=0,"NA",ROUND(SUM(householdfinance_v2_9!I44,householdfinance_v2_8!I44,householdfinance_v2_7!I44,householdfinance_v2_6!I44,householdfinance_v2_10!I44)/COUNT(householdfinance_v2_9!I44,householdfinance_v2_8!I44,householdfinance_v2_7!I44,householdfinance_v2_6!I44,householdfinance_v2_10!I44),0))</f>
        <v>1</v>
      </c>
      <c r="J44">
        <f>IF(F44=1,ROUND(SUM(householdfinance_v2_9!J44,householdfinance_v2_8!J44,householdfinance_v2_7!J44,householdfinance_v2_6!J44,householdfinance_v2_10!J44)/COUNT(householdfinance_v2_9!J44,householdfinance_v2_8!J44,householdfinance_v2_7!J44,householdfinance_v2_6!J44,householdfinance_v2_10!J44),0),"NA")</f>
        <v>1</v>
      </c>
      <c r="K44">
        <f>IF($E44=0,"NA",ROUND(SUM(householdfinance_v2_9!K44,householdfinance_v2_8!K44,householdfinance_v2_7!K44,householdfinance_v2_6!K44,householdfinance_v2_10!K44)/COUNT(householdfinance_v2_9!K44,householdfinance_v2_8!K44,householdfinance_v2_7!K44,householdfinance_v2_6!K44,householdfinance_v2_10!K44),0))</f>
        <v>1</v>
      </c>
      <c r="L44">
        <f>IF($E44=0,"NA",ROUND(SUM(householdfinance_v2_9!L44,householdfinance_v2_8!L44,householdfinance_v2_7!L44,householdfinance_v2_6!L44,householdfinance_v2_10!L44)/COUNT(householdfinance_v2_9!L44,householdfinance_v2_8!L44,householdfinance_v2_7!L44,householdfinance_v2_6!L44,householdfinance_v2_10!L44),0))</f>
        <v>1</v>
      </c>
      <c r="M44">
        <f>IF($E44=0,"NA",ROUND(SUM(householdfinance_v2_9!M44,householdfinance_v2_8!M44,householdfinance_v2_7!M44,householdfinance_v2_6!M44,householdfinance_v2_10!M44)/COUNT(householdfinance_v2_9!M44,householdfinance_v2_8!M44,householdfinance_v2_7!M44,householdfinance_v2_6!M44,householdfinance_v2_10!M44),0))</f>
        <v>1</v>
      </c>
      <c r="N44">
        <f>IF($E44=0,"NA",ROUND(SUM(householdfinance_v2_9!N44,householdfinance_v2_8!N44,householdfinance_v2_7!N44,householdfinance_v2_6!N44,householdfinance_v2_10!N44)/COUNT(householdfinance_v2_9!N44,householdfinance_v2_8!N44,householdfinance_v2_7!N44,householdfinance_v2_6!N44,householdfinance_v2_10!N44),0))</f>
        <v>1</v>
      </c>
      <c r="O44">
        <f>IF($E44=0,"NA",ROUND(SUM(householdfinance_v2_9!O44,householdfinance_v2_8!O44,householdfinance_v2_7!O44,householdfinance_v2_6!O44,householdfinance_v2_10!O44)/COUNT(householdfinance_v2_9!O44,householdfinance_v2_8!O44,householdfinance_v2_7!O44,householdfinance_v2_6!O44,householdfinance_v2_10!O44),0))</f>
        <v>1</v>
      </c>
    </row>
    <row r="45" spans="1:15" x14ac:dyDescent="0.25">
      <c r="A45" t="s">
        <v>16</v>
      </c>
      <c r="B45" t="s">
        <v>83</v>
      </c>
      <c r="C45">
        <v>0</v>
      </c>
      <c r="D45">
        <v>4.9245893955230713</v>
      </c>
      <c r="E45">
        <f>ROUND(SUM(householdfinance_v2_9!E45,householdfinance_v2_8!E45,householdfinance_v2_7!E45,householdfinance_v2_6!E45,householdfinance_v2_10!E45)/COUNT(householdfinance_v2_9!E45,householdfinance_v2_8!E45,householdfinance_v2_7!E45,householdfinance_v2_6!E45,householdfinance_v2_10!E45),0)</f>
        <v>1</v>
      </c>
      <c r="F45">
        <f>IF($E45=0,"NA",ROUND(SUM(householdfinance_v2_9!F45,householdfinance_v2_8!F45,householdfinance_v2_7!F45,householdfinance_v2_6!F45,householdfinance_v2_10!F45)/COUNT(householdfinance_v2_9!F45,householdfinance_v2_8!F45,householdfinance_v2_7!F45,householdfinance_v2_6!F45,householdfinance_v2_10!F45),0))</f>
        <v>1</v>
      </c>
      <c r="G45">
        <f>IF($E45=0,"NA",ROUND(SUM(householdfinance_v2_9!G45,householdfinance_v2_8!G45,householdfinance_v2_7!G45,householdfinance_v2_6!G45,householdfinance_v2_10!G45)/COUNT(householdfinance_v2_9!G45,householdfinance_v2_8!G45,householdfinance_v2_7!G45,householdfinance_v2_6!G45,householdfinance_v2_10!G45),0))</f>
        <v>0</v>
      </c>
      <c r="H45" t="str">
        <f>IF(AND(F45=1,G45=1),ROUND(SUM(householdfinance_v2_9!H45,householdfinance_v2_8!H45,householdfinance_v2_7!H45,householdfinance_v2_6!H45,householdfinance_v2_10!H45)/COUNT(householdfinance_v2_9!H45,householdfinance_v2_8!H45,householdfinance_v2_7!H45,householdfinance_v2_6!H45,householdfinance_v2_10!H45),0),"NA")</f>
        <v>NA</v>
      </c>
      <c r="I45">
        <f>IF($E45=0,"NA",ROUND(SUM(householdfinance_v2_9!I45,householdfinance_v2_8!I45,householdfinance_v2_7!I45,householdfinance_v2_6!I45,householdfinance_v2_10!I45)/COUNT(householdfinance_v2_9!I45,householdfinance_v2_8!I45,householdfinance_v2_7!I45,householdfinance_v2_6!I45,householdfinance_v2_10!I45),0))</f>
        <v>1</v>
      </c>
      <c r="J45">
        <f>IF(F45=1,ROUND(SUM(householdfinance_v2_9!J45,householdfinance_v2_8!J45,householdfinance_v2_7!J45,householdfinance_v2_6!J45,householdfinance_v2_10!J45)/COUNT(householdfinance_v2_9!J45,householdfinance_v2_8!J45,householdfinance_v2_7!J45,householdfinance_v2_6!J45,householdfinance_v2_10!J45),0),"NA")</f>
        <v>1</v>
      </c>
      <c r="K45">
        <f>IF($E45=0,"NA",ROUND(SUM(householdfinance_v2_9!K45,householdfinance_v2_8!K45,householdfinance_v2_7!K45,householdfinance_v2_6!K45,householdfinance_v2_10!K45)/COUNT(householdfinance_v2_9!K45,householdfinance_v2_8!K45,householdfinance_v2_7!K45,householdfinance_v2_6!K45,householdfinance_v2_10!K45),0))</f>
        <v>1</v>
      </c>
      <c r="L45">
        <f>IF($E45=0,"NA",ROUND(SUM(householdfinance_v2_9!L45,householdfinance_v2_8!L45,householdfinance_v2_7!L45,householdfinance_v2_6!L45,householdfinance_v2_10!L45)/COUNT(householdfinance_v2_9!L45,householdfinance_v2_8!L45,householdfinance_v2_7!L45,householdfinance_v2_6!L45,householdfinance_v2_10!L45),0))</f>
        <v>1</v>
      </c>
      <c r="M45">
        <f>IF($E45=0,"NA",ROUND(SUM(householdfinance_v2_9!M45,householdfinance_v2_8!M45,householdfinance_v2_7!M45,householdfinance_v2_6!M45,householdfinance_v2_10!M45)/COUNT(householdfinance_v2_9!M45,householdfinance_v2_8!M45,householdfinance_v2_7!M45,householdfinance_v2_6!M45,householdfinance_v2_10!M45),0))</f>
        <v>1</v>
      </c>
      <c r="N45">
        <f>IF($E45=0,"NA",ROUND(SUM(householdfinance_v2_9!N45,householdfinance_v2_8!N45,householdfinance_v2_7!N45,householdfinance_v2_6!N45,householdfinance_v2_10!N45)/COUNT(householdfinance_v2_9!N45,householdfinance_v2_8!N45,householdfinance_v2_7!N45,householdfinance_v2_6!N45,householdfinance_v2_10!N45),0))</f>
        <v>1</v>
      </c>
      <c r="O45">
        <f>IF($E45=0,"NA",ROUND(SUM(householdfinance_v2_9!O45,householdfinance_v2_8!O45,householdfinance_v2_7!O45,householdfinance_v2_6!O45,householdfinance_v2_10!O45)/COUNT(householdfinance_v2_9!O45,householdfinance_v2_8!O45,householdfinance_v2_7!O45,householdfinance_v2_6!O45,householdfinance_v2_10!O45),0))</f>
        <v>1</v>
      </c>
    </row>
    <row r="46" spans="1:15" x14ac:dyDescent="0.25">
      <c r="A46" t="s">
        <v>16</v>
      </c>
      <c r="B46" t="s">
        <v>85</v>
      </c>
      <c r="C46">
        <v>0</v>
      </c>
      <c r="D46">
        <v>10.78405499458313</v>
      </c>
      <c r="E46">
        <f>ROUND(SUM(householdfinance_v2_9!E46,householdfinance_v2_8!E46,householdfinance_v2_7!E46,householdfinance_v2_6!E46,householdfinance_v2_10!E46)/COUNT(householdfinance_v2_9!E46,householdfinance_v2_8!E46,householdfinance_v2_7!E46,householdfinance_v2_6!E46,householdfinance_v2_10!E46),0)</f>
        <v>1</v>
      </c>
      <c r="F46">
        <f>IF($E46=0,"NA",ROUND(SUM(householdfinance_v2_9!F46,householdfinance_v2_8!F46,householdfinance_v2_7!F46,householdfinance_v2_6!F46,householdfinance_v2_10!F46)/COUNT(householdfinance_v2_9!F46,householdfinance_v2_8!F46,householdfinance_v2_7!F46,householdfinance_v2_6!F46,householdfinance_v2_10!F46),0))</f>
        <v>1</v>
      </c>
      <c r="G46">
        <f>IF($E46=0,"NA",ROUND(SUM(householdfinance_v2_9!G46,householdfinance_v2_8!G46,householdfinance_v2_7!G46,householdfinance_v2_6!G46,householdfinance_v2_10!G46)/COUNT(householdfinance_v2_9!G46,householdfinance_v2_8!G46,householdfinance_v2_7!G46,householdfinance_v2_6!G46,householdfinance_v2_10!G46),0))</f>
        <v>0</v>
      </c>
      <c r="H46" t="str">
        <f>IF(AND(F46=1,G46=1),ROUND(SUM(householdfinance_v2_9!H46,householdfinance_v2_8!H46,householdfinance_v2_7!H46,householdfinance_v2_6!H46,householdfinance_v2_10!H46)/COUNT(householdfinance_v2_9!H46,householdfinance_v2_8!H46,householdfinance_v2_7!H46,householdfinance_v2_6!H46,householdfinance_v2_10!H46),0),"NA")</f>
        <v>NA</v>
      </c>
      <c r="I46">
        <f>IF($E46=0,"NA",ROUND(SUM(householdfinance_v2_9!I46,householdfinance_v2_8!I46,householdfinance_v2_7!I46,householdfinance_v2_6!I46,householdfinance_v2_10!I46)/COUNT(householdfinance_v2_9!I46,householdfinance_v2_8!I46,householdfinance_v2_7!I46,householdfinance_v2_6!I46,householdfinance_v2_10!I46),0))</f>
        <v>1</v>
      </c>
      <c r="J46">
        <f>IF(F46=1,ROUND(SUM(householdfinance_v2_9!J46,householdfinance_v2_8!J46,householdfinance_v2_7!J46,householdfinance_v2_6!J46,householdfinance_v2_10!J46)/COUNT(householdfinance_v2_9!J46,householdfinance_v2_8!J46,householdfinance_v2_7!J46,householdfinance_v2_6!J46,householdfinance_v2_10!J46),0),"NA")</f>
        <v>0</v>
      </c>
      <c r="K46">
        <f>IF($E46=0,"NA",ROUND(SUM(householdfinance_v2_9!K46,householdfinance_v2_8!K46,householdfinance_v2_7!K46,householdfinance_v2_6!K46,householdfinance_v2_10!K46)/COUNT(householdfinance_v2_9!K46,householdfinance_v2_8!K46,householdfinance_v2_7!K46,householdfinance_v2_6!K46,householdfinance_v2_10!K46),0))</f>
        <v>1</v>
      </c>
      <c r="L46">
        <f>IF($E46=0,"NA",ROUND(SUM(householdfinance_v2_9!L46,householdfinance_v2_8!L46,householdfinance_v2_7!L46,householdfinance_v2_6!L46,householdfinance_v2_10!L46)/COUNT(householdfinance_v2_9!L46,householdfinance_v2_8!L46,householdfinance_v2_7!L46,householdfinance_v2_6!L46,householdfinance_v2_10!L46),0))</f>
        <v>1</v>
      </c>
      <c r="M46">
        <f>IF($E46=0,"NA",ROUND(SUM(householdfinance_v2_9!M46,householdfinance_v2_8!M46,householdfinance_v2_7!M46,householdfinance_v2_6!M46,householdfinance_v2_10!M46)/COUNT(householdfinance_v2_9!M46,householdfinance_v2_8!M46,householdfinance_v2_7!M46,householdfinance_v2_6!M46,householdfinance_v2_10!M46),0))</f>
        <v>1</v>
      </c>
      <c r="N46">
        <f>IF($E46=0,"NA",ROUND(SUM(householdfinance_v2_9!N46,householdfinance_v2_8!N46,householdfinance_v2_7!N46,householdfinance_v2_6!N46,householdfinance_v2_10!N46)/COUNT(householdfinance_v2_9!N46,householdfinance_v2_8!N46,householdfinance_v2_7!N46,householdfinance_v2_6!N46,householdfinance_v2_10!N46),0))</f>
        <v>1</v>
      </c>
      <c r="O46">
        <f>IF($E46=0,"NA",ROUND(SUM(householdfinance_v2_9!O46,householdfinance_v2_8!O46,householdfinance_v2_7!O46,householdfinance_v2_6!O46,householdfinance_v2_10!O46)/COUNT(householdfinance_v2_9!O46,householdfinance_v2_8!O46,householdfinance_v2_7!O46,householdfinance_v2_6!O46,householdfinance_v2_10!O46),0))</f>
        <v>1</v>
      </c>
    </row>
    <row r="47" spans="1:15" x14ac:dyDescent="0.25">
      <c r="A47" t="s">
        <v>16</v>
      </c>
      <c r="B47" t="s">
        <v>87</v>
      </c>
      <c r="C47">
        <v>0</v>
      </c>
      <c r="D47">
        <v>11.535320043563839</v>
      </c>
      <c r="E47">
        <f>ROUND(SUM(householdfinance_v2_9!E47,householdfinance_v2_8!E47,householdfinance_v2_7!E47,householdfinance_v2_6!E47,householdfinance_v2_10!E47)/COUNT(householdfinance_v2_9!E47,householdfinance_v2_8!E47,householdfinance_v2_7!E47,householdfinance_v2_6!E47,householdfinance_v2_10!E47),0)</f>
        <v>1</v>
      </c>
      <c r="F47">
        <f>IF($E47=0,"NA",ROUND(SUM(householdfinance_v2_9!F47,householdfinance_v2_8!F47,householdfinance_v2_7!F47,householdfinance_v2_6!F47,householdfinance_v2_10!F47)/COUNT(householdfinance_v2_9!F47,householdfinance_v2_8!F47,householdfinance_v2_7!F47,householdfinance_v2_6!F47,householdfinance_v2_10!F47),0))</f>
        <v>1</v>
      </c>
      <c r="G47">
        <f>IF($E47=0,"NA",ROUND(SUM(householdfinance_v2_9!G47,householdfinance_v2_8!G47,householdfinance_v2_7!G47,householdfinance_v2_6!G47,householdfinance_v2_10!G47)/COUNT(householdfinance_v2_9!G47,householdfinance_v2_8!G47,householdfinance_v2_7!G47,householdfinance_v2_6!G47,householdfinance_v2_10!G47),0))</f>
        <v>1</v>
      </c>
      <c r="H47">
        <f>IF(AND(F47=1,G47=1),ROUND(SUM(householdfinance_v2_9!H47,householdfinance_v2_8!H47,householdfinance_v2_7!H47,householdfinance_v2_6!H47,householdfinance_v2_10!H47)/COUNT(householdfinance_v2_9!H47,householdfinance_v2_8!H47,householdfinance_v2_7!H47,householdfinance_v2_6!H47,householdfinance_v2_10!H47),0),"NA")</f>
        <v>1</v>
      </c>
      <c r="I47">
        <f>IF($E47=0,"NA",ROUND(SUM(householdfinance_v2_9!I47,householdfinance_v2_8!I47,householdfinance_v2_7!I47,householdfinance_v2_6!I47,householdfinance_v2_10!I47)/COUNT(householdfinance_v2_9!I47,householdfinance_v2_8!I47,householdfinance_v2_7!I47,householdfinance_v2_6!I47,householdfinance_v2_10!I47),0))</f>
        <v>1</v>
      </c>
      <c r="J47">
        <f>IF(F47=1,ROUND(SUM(householdfinance_v2_9!J47,householdfinance_v2_8!J47,householdfinance_v2_7!J47,householdfinance_v2_6!J47,householdfinance_v2_10!J47)/COUNT(householdfinance_v2_9!J47,householdfinance_v2_8!J47,householdfinance_v2_7!J47,householdfinance_v2_6!J47,householdfinance_v2_10!J47),0),"NA")</f>
        <v>0</v>
      </c>
      <c r="K47">
        <f>IF($E47=0,"NA",ROUND(SUM(householdfinance_v2_9!K47,householdfinance_v2_8!K47,householdfinance_v2_7!K47,householdfinance_v2_6!K47,householdfinance_v2_10!K47)/COUNT(householdfinance_v2_9!K47,householdfinance_v2_8!K47,householdfinance_v2_7!K47,householdfinance_v2_6!K47,householdfinance_v2_10!K47),0))</f>
        <v>1</v>
      </c>
      <c r="L47">
        <f>IF($E47=0,"NA",ROUND(SUM(householdfinance_v2_9!L47,householdfinance_v2_8!L47,householdfinance_v2_7!L47,householdfinance_v2_6!L47,householdfinance_v2_10!L47)/COUNT(householdfinance_v2_9!L47,householdfinance_v2_8!L47,householdfinance_v2_7!L47,householdfinance_v2_6!L47,householdfinance_v2_10!L47),0))</f>
        <v>1</v>
      </c>
      <c r="M47">
        <f>IF($E47=0,"NA",ROUND(SUM(householdfinance_v2_9!M47,householdfinance_v2_8!M47,householdfinance_v2_7!M47,householdfinance_v2_6!M47,householdfinance_v2_10!M47)/COUNT(householdfinance_v2_9!M47,householdfinance_v2_8!M47,householdfinance_v2_7!M47,householdfinance_v2_6!M47,householdfinance_v2_10!M47),0))</f>
        <v>1</v>
      </c>
      <c r="N47">
        <f>IF($E47=0,"NA",ROUND(SUM(householdfinance_v2_9!N47,householdfinance_v2_8!N47,householdfinance_v2_7!N47,householdfinance_v2_6!N47,householdfinance_v2_10!N47)/COUNT(householdfinance_v2_9!N47,householdfinance_v2_8!N47,householdfinance_v2_7!N47,householdfinance_v2_6!N47,householdfinance_v2_10!N47),0))</f>
        <v>1</v>
      </c>
      <c r="O47">
        <f>IF($E47=0,"NA",ROUND(SUM(householdfinance_v2_9!O47,householdfinance_v2_8!O47,householdfinance_v2_7!O47,householdfinance_v2_6!O47,householdfinance_v2_10!O47)/COUNT(householdfinance_v2_9!O47,householdfinance_v2_8!O47,householdfinance_v2_7!O47,householdfinance_v2_6!O47,householdfinance_v2_10!O47),0))</f>
        <v>1</v>
      </c>
    </row>
    <row r="48" spans="1:15" x14ac:dyDescent="0.25">
      <c r="A48" t="s">
        <v>16</v>
      </c>
      <c r="B48" t="s">
        <v>89</v>
      </c>
      <c r="C48">
        <v>0</v>
      </c>
      <c r="D48">
        <v>4.7045726776123047</v>
      </c>
      <c r="E48">
        <f>ROUND(SUM(householdfinance_v2_9!E48,householdfinance_v2_8!E48,householdfinance_v2_7!E48,householdfinance_v2_6!E48,householdfinance_v2_10!E48)/COUNT(householdfinance_v2_9!E48,householdfinance_v2_8!E48,householdfinance_v2_7!E48,householdfinance_v2_6!E48,householdfinance_v2_10!E48),0)</f>
        <v>1</v>
      </c>
      <c r="F48">
        <f>IF($E48=0,"NA",ROUND(SUM(householdfinance_v2_9!F48,householdfinance_v2_8!F48,householdfinance_v2_7!F48,householdfinance_v2_6!F48,householdfinance_v2_10!F48)/COUNT(householdfinance_v2_9!F48,householdfinance_v2_8!F48,householdfinance_v2_7!F48,householdfinance_v2_6!F48,householdfinance_v2_10!F48),0))</f>
        <v>1</v>
      </c>
      <c r="G48">
        <f>IF($E48=0,"NA",ROUND(SUM(householdfinance_v2_9!G48,householdfinance_v2_8!G48,householdfinance_v2_7!G48,householdfinance_v2_6!G48,householdfinance_v2_10!G48)/COUNT(householdfinance_v2_9!G48,householdfinance_v2_8!G48,householdfinance_v2_7!G48,householdfinance_v2_6!G48,householdfinance_v2_10!G48),0))</f>
        <v>1</v>
      </c>
      <c r="H48">
        <f>IF(AND(F48=1,G48=1),ROUND(SUM(householdfinance_v2_9!H48,householdfinance_v2_8!H48,householdfinance_v2_7!H48,householdfinance_v2_6!H48,householdfinance_v2_10!H48)/COUNT(householdfinance_v2_9!H48,householdfinance_v2_8!H48,householdfinance_v2_7!H48,householdfinance_v2_6!H48,householdfinance_v2_10!H48),0),"NA")</f>
        <v>1</v>
      </c>
      <c r="I48">
        <f>IF($E48=0,"NA",ROUND(SUM(householdfinance_v2_9!I48,householdfinance_v2_8!I48,householdfinance_v2_7!I48,householdfinance_v2_6!I48,householdfinance_v2_10!I48)/COUNT(householdfinance_v2_9!I48,householdfinance_v2_8!I48,householdfinance_v2_7!I48,householdfinance_v2_6!I48,householdfinance_v2_10!I48),0))</f>
        <v>1</v>
      </c>
      <c r="J48">
        <f>IF(F48=1,ROUND(SUM(householdfinance_v2_9!J48,householdfinance_v2_8!J48,householdfinance_v2_7!J48,householdfinance_v2_6!J48,householdfinance_v2_10!J48)/COUNT(householdfinance_v2_9!J48,householdfinance_v2_8!J48,householdfinance_v2_7!J48,householdfinance_v2_6!J48,householdfinance_v2_10!J48),0),"NA")</f>
        <v>0</v>
      </c>
      <c r="K48">
        <f>IF($E48=0,"NA",ROUND(SUM(householdfinance_v2_9!K48,householdfinance_v2_8!K48,householdfinance_v2_7!K48,householdfinance_v2_6!K48,householdfinance_v2_10!K48)/COUNT(householdfinance_v2_9!K48,householdfinance_v2_8!K48,householdfinance_v2_7!K48,householdfinance_v2_6!K48,householdfinance_v2_10!K48),0))</f>
        <v>1</v>
      </c>
      <c r="L48">
        <f>IF($E48=0,"NA",ROUND(SUM(householdfinance_v2_9!L48,householdfinance_v2_8!L48,householdfinance_v2_7!L48,householdfinance_v2_6!L48,householdfinance_v2_10!L48)/COUNT(householdfinance_v2_9!L48,householdfinance_v2_8!L48,householdfinance_v2_7!L48,householdfinance_v2_6!L48,householdfinance_v2_10!L48),0))</f>
        <v>1</v>
      </c>
      <c r="M48">
        <f>IF($E48=0,"NA",ROUND(SUM(householdfinance_v2_9!M48,householdfinance_v2_8!M48,householdfinance_v2_7!M48,householdfinance_v2_6!M48,householdfinance_v2_10!M48)/COUNT(householdfinance_v2_9!M48,householdfinance_v2_8!M48,householdfinance_v2_7!M48,householdfinance_v2_6!M48,householdfinance_v2_10!M48),0))</f>
        <v>1</v>
      </c>
      <c r="N48">
        <f>IF($E48=0,"NA",ROUND(SUM(householdfinance_v2_9!N48,householdfinance_v2_8!N48,householdfinance_v2_7!N48,householdfinance_v2_6!N48,householdfinance_v2_10!N48)/COUNT(householdfinance_v2_9!N48,householdfinance_v2_8!N48,householdfinance_v2_7!N48,householdfinance_v2_6!N48,householdfinance_v2_10!N48),0))</f>
        <v>1</v>
      </c>
      <c r="O48">
        <f>IF($E48=0,"NA",ROUND(SUM(householdfinance_v2_9!O48,householdfinance_v2_8!O48,householdfinance_v2_7!O48,householdfinance_v2_6!O48,householdfinance_v2_10!O48)/COUNT(householdfinance_v2_9!O48,householdfinance_v2_8!O48,householdfinance_v2_7!O48,householdfinance_v2_6!O48,householdfinance_v2_10!O48),0))</f>
        <v>1</v>
      </c>
    </row>
    <row r="49" spans="1:15" x14ac:dyDescent="0.25">
      <c r="A49" t="s">
        <v>16</v>
      </c>
      <c r="B49" t="s">
        <v>91</v>
      </c>
      <c r="C49">
        <v>0</v>
      </c>
      <c r="D49">
        <v>14.99663615226746</v>
      </c>
      <c r="E49">
        <f>ROUND(SUM(householdfinance_v2_9!E49,householdfinance_v2_8!E49,householdfinance_v2_7!E49,householdfinance_v2_6!E49,householdfinance_v2_10!E49)/COUNT(householdfinance_v2_9!E49,householdfinance_v2_8!E49,householdfinance_v2_7!E49,householdfinance_v2_6!E49,householdfinance_v2_10!E49),0)</f>
        <v>0</v>
      </c>
      <c r="F49" t="str">
        <f>IF($E49=0,"NA",ROUND(SUM(householdfinance_v2_9!F49,householdfinance_v2_8!F49,householdfinance_v2_7!F49,householdfinance_v2_6!F49,householdfinance_v2_10!F49)/COUNT(householdfinance_v2_9!F49,householdfinance_v2_8!F49,householdfinance_v2_7!F49,householdfinance_v2_6!F49,householdfinance_v2_10!F49),0))</f>
        <v>NA</v>
      </c>
      <c r="G49" t="str">
        <f>IF($E49=0,"NA",ROUND(SUM(householdfinance_v2_9!G49,householdfinance_v2_8!G49,householdfinance_v2_7!G49,householdfinance_v2_6!G49,householdfinance_v2_10!G49)/COUNT(householdfinance_v2_9!G49,householdfinance_v2_8!G49,householdfinance_v2_7!G49,householdfinance_v2_6!G49,householdfinance_v2_10!G49),0))</f>
        <v>NA</v>
      </c>
      <c r="H49" t="str">
        <f>IF(AND(F49=1,G49=1),ROUND(SUM(householdfinance_v2_9!H49,householdfinance_v2_8!H49,householdfinance_v2_7!H49,householdfinance_v2_6!H49,householdfinance_v2_10!H49)/COUNT(householdfinance_v2_9!H49,householdfinance_v2_8!H49,householdfinance_v2_7!H49,householdfinance_v2_6!H49,householdfinance_v2_10!H49),0),"NA")</f>
        <v>NA</v>
      </c>
      <c r="I49" t="str">
        <f>IF($E49=0,"NA",ROUND(SUM(householdfinance_v2_9!I49,householdfinance_v2_8!I49,householdfinance_v2_7!I49,householdfinance_v2_6!I49,householdfinance_v2_10!I49)/COUNT(householdfinance_v2_9!I49,householdfinance_v2_8!I49,householdfinance_v2_7!I49,householdfinance_v2_6!I49,householdfinance_v2_10!I49),0))</f>
        <v>NA</v>
      </c>
      <c r="J49" t="str">
        <f>IF(F49=1,ROUND(SUM(householdfinance_v2_9!J49,householdfinance_v2_8!J49,householdfinance_v2_7!J49,householdfinance_v2_6!J49,householdfinance_v2_10!J49)/COUNT(householdfinance_v2_9!J49,householdfinance_v2_8!J49,householdfinance_v2_7!J49,householdfinance_v2_6!J49,householdfinance_v2_10!J49),0),"NA")</f>
        <v>NA</v>
      </c>
      <c r="K49" t="str">
        <f>IF($E49=0,"NA",ROUND(SUM(householdfinance_v2_9!K49,householdfinance_v2_8!K49,householdfinance_v2_7!K49,householdfinance_v2_6!K49,householdfinance_v2_10!K49)/COUNT(householdfinance_v2_9!K49,householdfinance_v2_8!K49,householdfinance_v2_7!K49,householdfinance_v2_6!K49,householdfinance_v2_10!K49),0))</f>
        <v>NA</v>
      </c>
      <c r="L49" t="str">
        <f>IF($E49=0,"NA",ROUND(SUM(householdfinance_v2_9!L49,householdfinance_v2_8!L49,householdfinance_v2_7!L49,householdfinance_v2_6!L49,householdfinance_v2_10!L49)/COUNT(householdfinance_v2_9!L49,householdfinance_v2_8!L49,householdfinance_v2_7!L49,householdfinance_v2_6!L49,householdfinance_v2_10!L49),0))</f>
        <v>NA</v>
      </c>
      <c r="M49" t="str">
        <f>IF($E49=0,"NA",ROUND(SUM(householdfinance_v2_9!M49,householdfinance_v2_8!M49,householdfinance_v2_7!M49,householdfinance_v2_6!M49,householdfinance_v2_10!M49)/COUNT(householdfinance_v2_9!M49,householdfinance_v2_8!M49,householdfinance_v2_7!M49,householdfinance_v2_6!M49,householdfinance_v2_10!M49),0))</f>
        <v>NA</v>
      </c>
      <c r="N49" t="str">
        <f>IF($E49=0,"NA",ROUND(SUM(householdfinance_v2_9!N49,householdfinance_v2_8!N49,householdfinance_v2_7!N49,householdfinance_v2_6!N49,householdfinance_v2_10!N49)/COUNT(householdfinance_v2_9!N49,householdfinance_v2_8!N49,householdfinance_v2_7!N49,householdfinance_v2_6!N49,householdfinance_v2_10!N49),0))</f>
        <v>NA</v>
      </c>
      <c r="O49" t="str">
        <f>IF($E49=0,"NA",ROUND(SUM(householdfinance_v2_9!O49,householdfinance_v2_8!O49,householdfinance_v2_7!O49,householdfinance_v2_6!O49,householdfinance_v2_10!O49)/COUNT(householdfinance_v2_9!O49,householdfinance_v2_8!O49,householdfinance_v2_7!O49,householdfinance_v2_6!O49,householdfinance_v2_10!O49),0))</f>
        <v>NA</v>
      </c>
    </row>
    <row r="50" spans="1:15" x14ac:dyDescent="0.25">
      <c r="A50" t="s">
        <v>16</v>
      </c>
      <c r="B50" t="s">
        <v>93</v>
      </c>
      <c r="C50">
        <v>0</v>
      </c>
      <c r="D50">
        <v>8.534022331237793</v>
      </c>
      <c r="E50">
        <f>ROUND(SUM(householdfinance_v2_9!E50,householdfinance_v2_8!E50,householdfinance_v2_7!E50,householdfinance_v2_6!E50,householdfinance_v2_10!E50)/COUNT(householdfinance_v2_9!E50,householdfinance_v2_8!E50,householdfinance_v2_7!E50,householdfinance_v2_6!E50,householdfinance_v2_10!E50),0)</f>
        <v>1</v>
      </c>
      <c r="F50">
        <f>IF($E50=0,"NA",ROUND(SUM(householdfinance_v2_9!F50,householdfinance_v2_8!F50,householdfinance_v2_7!F50,householdfinance_v2_6!F50,householdfinance_v2_10!F50)/COUNT(householdfinance_v2_9!F50,householdfinance_v2_8!F50,householdfinance_v2_7!F50,householdfinance_v2_6!F50,householdfinance_v2_10!F50),0))</f>
        <v>1</v>
      </c>
      <c r="G50">
        <f>IF($E50=0,"NA",ROUND(SUM(householdfinance_v2_9!G50,householdfinance_v2_8!G50,householdfinance_v2_7!G50,householdfinance_v2_6!G50,householdfinance_v2_10!G50)/COUNT(householdfinance_v2_9!G50,householdfinance_v2_8!G50,householdfinance_v2_7!G50,householdfinance_v2_6!G50,householdfinance_v2_10!G50),0))</f>
        <v>1</v>
      </c>
      <c r="H50">
        <f>IF(AND(F50=1,G50=1),ROUND(SUM(householdfinance_v2_9!H50,householdfinance_v2_8!H50,householdfinance_v2_7!H50,householdfinance_v2_6!H50,householdfinance_v2_10!H50)/COUNT(householdfinance_v2_9!H50,householdfinance_v2_8!H50,householdfinance_v2_7!H50,householdfinance_v2_6!H50,householdfinance_v2_10!H50),0),"NA")</f>
        <v>1</v>
      </c>
      <c r="I50">
        <f>IF($E50=0,"NA",ROUND(SUM(householdfinance_v2_9!I50,householdfinance_v2_8!I50,householdfinance_v2_7!I50,householdfinance_v2_6!I50,householdfinance_v2_10!I50)/COUNT(householdfinance_v2_9!I50,householdfinance_v2_8!I50,householdfinance_v2_7!I50,householdfinance_v2_6!I50,householdfinance_v2_10!I50),0))</f>
        <v>1</v>
      </c>
      <c r="J50">
        <f>IF(F50=1,ROUND(SUM(householdfinance_v2_9!J50,householdfinance_v2_8!J50,householdfinance_v2_7!J50,householdfinance_v2_6!J50,householdfinance_v2_10!J50)/COUNT(householdfinance_v2_9!J50,householdfinance_v2_8!J50,householdfinance_v2_7!J50,householdfinance_v2_6!J50,householdfinance_v2_10!J50),0),"NA")</f>
        <v>1</v>
      </c>
      <c r="K50">
        <f>IF($E50=0,"NA",ROUND(SUM(householdfinance_v2_9!K50,householdfinance_v2_8!K50,householdfinance_v2_7!K50,householdfinance_v2_6!K50,householdfinance_v2_10!K50)/COUNT(householdfinance_v2_9!K50,householdfinance_v2_8!K50,householdfinance_v2_7!K50,householdfinance_v2_6!K50,householdfinance_v2_10!K50),0))</f>
        <v>1</v>
      </c>
      <c r="L50">
        <f>IF($E50=0,"NA",ROUND(SUM(householdfinance_v2_9!L50,householdfinance_v2_8!L50,householdfinance_v2_7!L50,householdfinance_v2_6!L50,householdfinance_v2_10!L50)/COUNT(householdfinance_v2_9!L50,householdfinance_v2_8!L50,householdfinance_v2_7!L50,householdfinance_v2_6!L50,householdfinance_v2_10!L50),0))</f>
        <v>1</v>
      </c>
      <c r="M50">
        <f>IF($E50=0,"NA",ROUND(SUM(householdfinance_v2_9!M50,householdfinance_v2_8!M50,householdfinance_v2_7!M50,householdfinance_v2_6!M50,householdfinance_v2_10!M50)/COUNT(householdfinance_v2_9!M50,householdfinance_v2_8!M50,householdfinance_v2_7!M50,householdfinance_v2_6!M50,householdfinance_v2_10!M50),0))</f>
        <v>1</v>
      </c>
      <c r="N50">
        <f>IF($E50=0,"NA",ROUND(SUM(householdfinance_v2_9!N50,householdfinance_v2_8!N50,householdfinance_v2_7!N50,householdfinance_v2_6!N50,householdfinance_v2_10!N50)/COUNT(householdfinance_v2_9!N50,householdfinance_v2_8!N50,householdfinance_v2_7!N50,householdfinance_v2_6!N50,householdfinance_v2_10!N50),0))</f>
        <v>1</v>
      </c>
      <c r="O50">
        <f>IF($E50=0,"NA",ROUND(SUM(householdfinance_v2_9!O50,householdfinance_v2_8!O50,householdfinance_v2_7!O50,householdfinance_v2_6!O50,householdfinance_v2_10!O50)/COUNT(householdfinance_v2_9!O50,householdfinance_v2_8!O50,householdfinance_v2_7!O50,householdfinance_v2_6!O50,householdfinance_v2_10!O50),0))</f>
        <v>1</v>
      </c>
    </row>
    <row r="51" spans="1:15" x14ac:dyDescent="0.25">
      <c r="A51" t="s">
        <v>94</v>
      </c>
      <c r="B51" t="s">
        <v>17</v>
      </c>
      <c r="C51">
        <v>0</v>
      </c>
      <c r="D51">
        <v>5.7415072917938232</v>
      </c>
      <c r="E51">
        <f>ROUND(SUM(householdfinance_v2_9!E51,householdfinance_v2_8!E51,householdfinance_v2_7!E51,householdfinance_v2_6!E51,householdfinance_v2_10!E51)/COUNT(householdfinance_v2_9!E51,householdfinance_v2_8!E51,householdfinance_v2_7!E51,householdfinance_v2_6!E51,householdfinance_v2_10!E51),0)</f>
        <v>1</v>
      </c>
      <c r="F51">
        <f>IF($E51=0,"NA",ROUND(SUM(householdfinance_v2_9!F51,householdfinance_v2_8!F51,householdfinance_v2_7!F51,householdfinance_v2_6!F51,householdfinance_v2_10!F51)/COUNT(householdfinance_v2_9!F51,householdfinance_v2_8!F51,householdfinance_v2_7!F51,householdfinance_v2_6!F51,householdfinance_v2_10!F51),0))</f>
        <v>1</v>
      </c>
      <c r="G51">
        <f>IF($E51=0,"NA",ROUND(SUM(householdfinance_v2_9!G51,householdfinance_v2_8!G51,householdfinance_v2_7!G51,householdfinance_v2_6!G51,householdfinance_v2_10!G51)/COUNT(householdfinance_v2_9!G51,householdfinance_v2_8!G51,householdfinance_v2_7!G51,householdfinance_v2_6!G51,householdfinance_v2_10!G51),0))</f>
        <v>1</v>
      </c>
      <c r="H51">
        <f>IF(AND(F51=1,G51=1),ROUND(SUM(householdfinance_v2_9!H51,householdfinance_v2_8!H51,householdfinance_v2_7!H51,householdfinance_v2_6!H51,householdfinance_v2_10!H51)/COUNT(householdfinance_v2_9!H51,householdfinance_v2_8!H51,householdfinance_v2_7!H51,householdfinance_v2_6!H51,householdfinance_v2_10!H51),0),"NA")</f>
        <v>1</v>
      </c>
      <c r="I51">
        <f>IF($E51=0,"NA",ROUND(SUM(householdfinance_v2_9!I51,householdfinance_v2_8!I51,householdfinance_v2_7!I51,householdfinance_v2_6!I51,householdfinance_v2_10!I51)/COUNT(householdfinance_v2_9!I51,householdfinance_v2_8!I51,householdfinance_v2_7!I51,householdfinance_v2_6!I51,householdfinance_v2_10!I51),0))</f>
        <v>1</v>
      </c>
      <c r="J51">
        <f>IF(F51=1,ROUND(SUM(householdfinance_v2_9!J51,householdfinance_v2_8!J51,householdfinance_v2_7!J51,householdfinance_v2_6!J51,householdfinance_v2_10!J51)/COUNT(householdfinance_v2_9!J51,householdfinance_v2_8!J51,householdfinance_v2_7!J51,householdfinance_v2_6!J51,householdfinance_v2_10!J51),0),"NA")</f>
        <v>0</v>
      </c>
      <c r="K51">
        <f>IF($E51=0,"NA",ROUND(SUM(householdfinance_v2_9!K51,householdfinance_v2_8!K51,householdfinance_v2_7!K51,householdfinance_v2_6!K51,householdfinance_v2_10!K51)/COUNT(householdfinance_v2_9!K51,householdfinance_v2_8!K51,householdfinance_v2_7!K51,householdfinance_v2_6!K51,householdfinance_v2_10!K51),0))</f>
        <v>1</v>
      </c>
      <c r="L51">
        <f>IF($E51=0,"NA",ROUND(SUM(householdfinance_v2_9!L51,householdfinance_v2_8!L51,householdfinance_v2_7!L51,householdfinance_v2_6!L51,householdfinance_v2_10!L51)/COUNT(householdfinance_v2_9!L51,householdfinance_v2_8!L51,householdfinance_v2_7!L51,householdfinance_v2_6!L51,householdfinance_v2_10!L51),0))</f>
        <v>1</v>
      </c>
      <c r="M51">
        <f>IF($E51=0,"NA",ROUND(SUM(householdfinance_v2_9!M51,householdfinance_v2_8!M51,householdfinance_v2_7!M51,householdfinance_v2_6!M51,householdfinance_v2_10!M51)/COUNT(householdfinance_v2_9!M51,householdfinance_v2_8!M51,householdfinance_v2_7!M51,householdfinance_v2_6!M51,householdfinance_v2_10!M51),0))</f>
        <v>1</v>
      </c>
      <c r="N51">
        <f>IF($E51=0,"NA",ROUND(SUM(householdfinance_v2_9!N51,householdfinance_v2_8!N51,householdfinance_v2_7!N51,householdfinance_v2_6!N51,householdfinance_v2_10!N51)/COUNT(householdfinance_v2_9!N51,householdfinance_v2_8!N51,householdfinance_v2_7!N51,householdfinance_v2_6!N51,householdfinance_v2_10!N51),0))</f>
        <v>1</v>
      </c>
      <c r="O51">
        <f>IF($E51=0,"NA",ROUND(SUM(householdfinance_v2_9!O51,householdfinance_v2_8!O51,householdfinance_v2_7!O51,householdfinance_v2_6!O51,householdfinance_v2_10!O51)/COUNT(householdfinance_v2_9!O51,householdfinance_v2_8!O51,householdfinance_v2_7!O51,householdfinance_v2_6!O51,householdfinance_v2_10!O51),0))</f>
        <v>1</v>
      </c>
    </row>
    <row r="52" spans="1:15" x14ac:dyDescent="0.25">
      <c r="A52" t="s">
        <v>94</v>
      </c>
      <c r="B52" t="s">
        <v>18</v>
      </c>
      <c r="C52">
        <v>0</v>
      </c>
      <c r="D52">
        <v>7.4905741214752197</v>
      </c>
      <c r="E52">
        <f>ROUND(SUM(householdfinance_v2_9!E52,householdfinance_v2_8!E52,householdfinance_v2_7!E52,householdfinance_v2_6!E52,householdfinance_v2_10!E52)/COUNT(householdfinance_v2_9!E52,householdfinance_v2_8!E52,householdfinance_v2_7!E52,householdfinance_v2_6!E52,householdfinance_v2_10!E52),0)</f>
        <v>1</v>
      </c>
      <c r="F52">
        <f>IF($E52=0,"NA",ROUND(SUM(householdfinance_v2_9!F52,householdfinance_v2_8!F52,householdfinance_v2_7!F52,householdfinance_v2_6!F52,householdfinance_v2_10!F52)/COUNT(householdfinance_v2_9!F52,householdfinance_v2_8!F52,householdfinance_v2_7!F52,householdfinance_v2_6!F52,householdfinance_v2_10!F52),0))</f>
        <v>1</v>
      </c>
      <c r="G52">
        <f>IF($E52=0,"NA",ROUND(SUM(householdfinance_v2_9!G52,householdfinance_v2_8!G52,householdfinance_v2_7!G52,householdfinance_v2_6!G52,householdfinance_v2_10!G52)/COUNT(householdfinance_v2_9!G52,householdfinance_v2_8!G52,householdfinance_v2_7!G52,householdfinance_v2_6!G52,householdfinance_v2_10!G52),0))</f>
        <v>1</v>
      </c>
      <c r="H52">
        <f>IF(AND(F52=1,G52=1),ROUND(SUM(householdfinance_v2_9!H52,householdfinance_v2_8!H52,householdfinance_v2_7!H52,householdfinance_v2_6!H52,householdfinance_v2_10!H52)/COUNT(householdfinance_v2_9!H52,householdfinance_v2_8!H52,householdfinance_v2_7!H52,householdfinance_v2_6!H52,householdfinance_v2_10!H52),0),"NA")</f>
        <v>1</v>
      </c>
      <c r="I52">
        <f>IF($E52=0,"NA",ROUND(SUM(householdfinance_v2_9!I52,householdfinance_v2_8!I52,householdfinance_v2_7!I52,householdfinance_v2_6!I52,householdfinance_v2_10!I52)/COUNT(householdfinance_v2_9!I52,householdfinance_v2_8!I52,householdfinance_v2_7!I52,householdfinance_v2_6!I52,householdfinance_v2_10!I52),0))</f>
        <v>1</v>
      </c>
      <c r="J52">
        <f>IF(F52=1,ROUND(SUM(householdfinance_v2_9!J52,householdfinance_v2_8!J52,householdfinance_v2_7!J52,householdfinance_v2_6!J52,householdfinance_v2_10!J52)/COUNT(householdfinance_v2_9!J52,householdfinance_v2_8!J52,householdfinance_v2_7!J52,householdfinance_v2_6!J52,householdfinance_v2_10!J52),0),"NA")</f>
        <v>1</v>
      </c>
      <c r="K52">
        <f>IF($E52=0,"NA",ROUND(SUM(householdfinance_v2_9!K52,householdfinance_v2_8!K52,householdfinance_v2_7!K52,householdfinance_v2_6!K52,householdfinance_v2_10!K52)/COUNT(householdfinance_v2_9!K52,householdfinance_v2_8!K52,householdfinance_v2_7!K52,householdfinance_v2_6!K52,householdfinance_v2_10!K52),0))</f>
        <v>1</v>
      </c>
      <c r="L52">
        <f>IF($E52=0,"NA",ROUND(SUM(householdfinance_v2_9!L52,householdfinance_v2_8!L52,householdfinance_v2_7!L52,householdfinance_v2_6!L52,householdfinance_v2_10!L52)/COUNT(householdfinance_v2_9!L52,householdfinance_v2_8!L52,householdfinance_v2_7!L52,householdfinance_v2_6!L52,householdfinance_v2_10!L52),0))</f>
        <v>1</v>
      </c>
      <c r="M52">
        <f>IF($E52=0,"NA",ROUND(SUM(householdfinance_v2_9!M52,householdfinance_v2_8!M52,householdfinance_v2_7!M52,householdfinance_v2_6!M52,householdfinance_v2_10!M52)/COUNT(householdfinance_v2_9!M52,householdfinance_v2_8!M52,householdfinance_v2_7!M52,householdfinance_v2_6!M52,householdfinance_v2_10!M52),0))</f>
        <v>1</v>
      </c>
      <c r="N52">
        <f>IF($E52=0,"NA",ROUND(SUM(householdfinance_v2_9!N52,householdfinance_v2_8!N52,householdfinance_v2_7!N52,householdfinance_v2_6!N52,householdfinance_v2_10!N52)/COUNT(householdfinance_v2_9!N52,householdfinance_v2_8!N52,householdfinance_v2_7!N52,householdfinance_v2_6!N52,householdfinance_v2_10!N52),0))</f>
        <v>1</v>
      </c>
      <c r="O52">
        <f>IF($E52=0,"NA",ROUND(SUM(householdfinance_v2_9!O52,householdfinance_v2_8!O52,householdfinance_v2_7!O52,householdfinance_v2_6!O52,householdfinance_v2_10!O52)/COUNT(householdfinance_v2_9!O52,householdfinance_v2_8!O52,householdfinance_v2_7!O52,householdfinance_v2_6!O52,householdfinance_v2_10!O52),0))</f>
        <v>1</v>
      </c>
    </row>
    <row r="53" spans="1:15" x14ac:dyDescent="0.25">
      <c r="A53" t="s">
        <v>94</v>
      </c>
      <c r="B53" t="s">
        <v>21</v>
      </c>
      <c r="C53">
        <v>0</v>
      </c>
      <c r="D53">
        <v>6.6764047145843506</v>
      </c>
      <c r="E53">
        <f>ROUND(SUM(householdfinance_v2_9!E53,householdfinance_v2_8!E53,householdfinance_v2_7!E53,householdfinance_v2_6!E53,householdfinance_v2_10!E53)/COUNT(householdfinance_v2_9!E53,householdfinance_v2_8!E53,householdfinance_v2_7!E53,householdfinance_v2_6!E53,householdfinance_v2_10!E53),0)</f>
        <v>1</v>
      </c>
      <c r="F53">
        <f>IF($E53=0,"NA",ROUND(SUM(householdfinance_v2_9!F53,householdfinance_v2_8!F53,householdfinance_v2_7!F53,householdfinance_v2_6!F53,householdfinance_v2_10!F53)/COUNT(householdfinance_v2_9!F53,householdfinance_v2_8!F53,householdfinance_v2_7!F53,householdfinance_v2_6!F53,householdfinance_v2_10!F53),0))</f>
        <v>1</v>
      </c>
      <c r="G53">
        <f>IF($E53=0,"NA",ROUND(SUM(householdfinance_v2_9!G53,householdfinance_v2_8!G53,householdfinance_v2_7!G53,householdfinance_v2_6!G53,householdfinance_v2_10!G53)/COUNT(householdfinance_v2_9!G53,householdfinance_v2_8!G53,householdfinance_v2_7!G53,householdfinance_v2_6!G53,householdfinance_v2_10!G53),0))</f>
        <v>1</v>
      </c>
      <c r="H53">
        <f>IF(AND(F53=1,G53=1),ROUND(SUM(householdfinance_v2_9!H53,householdfinance_v2_8!H53,householdfinance_v2_7!H53,householdfinance_v2_6!H53,householdfinance_v2_10!H53)/COUNT(householdfinance_v2_9!H53,householdfinance_v2_8!H53,householdfinance_v2_7!H53,householdfinance_v2_6!H53,householdfinance_v2_10!H53),0),"NA")</f>
        <v>1</v>
      </c>
      <c r="I53">
        <f>IF($E53=0,"NA",ROUND(SUM(householdfinance_v2_9!I53,householdfinance_v2_8!I53,householdfinance_v2_7!I53,householdfinance_v2_6!I53,householdfinance_v2_10!I53)/COUNT(householdfinance_v2_9!I53,householdfinance_v2_8!I53,householdfinance_v2_7!I53,householdfinance_v2_6!I53,householdfinance_v2_10!I53),0))</f>
        <v>1</v>
      </c>
      <c r="J53">
        <f>IF(F53=1,ROUND(SUM(householdfinance_v2_9!J53,householdfinance_v2_8!J53,householdfinance_v2_7!J53,householdfinance_v2_6!J53,householdfinance_v2_10!J53)/COUNT(householdfinance_v2_9!J53,householdfinance_v2_8!J53,householdfinance_v2_7!J53,householdfinance_v2_6!J53,householdfinance_v2_10!J53),0),"NA")</f>
        <v>1</v>
      </c>
      <c r="K53">
        <f>IF($E53=0,"NA",ROUND(SUM(householdfinance_v2_9!K53,householdfinance_v2_8!K53,householdfinance_v2_7!K53,householdfinance_v2_6!K53,householdfinance_v2_10!K53)/COUNT(householdfinance_v2_9!K53,householdfinance_v2_8!K53,householdfinance_v2_7!K53,householdfinance_v2_6!K53,householdfinance_v2_10!K53),0))</f>
        <v>0</v>
      </c>
      <c r="L53">
        <f>IF($E53=0,"NA",ROUND(SUM(householdfinance_v2_9!L53,householdfinance_v2_8!L53,householdfinance_v2_7!L53,householdfinance_v2_6!L53,householdfinance_v2_10!L53)/COUNT(householdfinance_v2_9!L53,householdfinance_v2_8!L53,householdfinance_v2_7!L53,householdfinance_v2_6!L53,householdfinance_v2_10!L53),0))</f>
        <v>1</v>
      </c>
      <c r="M53">
        <f>IF($E53=0,"NA",ROUND(SUM(householdfinance_v2_9!M53,householdfinance_v2_8!M53,householdfinance_v2_7!M53,householdfinance_v2_6!M53,householdfinance_v2_10!M53)/COUNT(householdfinance_v2_9!M53,householdfinance_v2_8!M53,householdfinance_v2_7!M53,householdfinance_v2_6!M53,householdfinance_v2_10!M53),0))</f>
        <v>1</v>
      </c>
      <c r="N53">
        <f>IF($E53=0,"NA",ROUND(SUM(householdfinance_v2_9!N53,householdfinance_v2_8!N53,householdfinance_v2_7!N53,householdfinance_v2_6!N53,householdfinance_v2_10!N53)/COUNT(householdfinance_v2_9!N53,householdfinance_v2_8!N53,householdfinance_v2_7!N53,householdfinance_v2_6!N53,householdfinance_v2_10!N53),0))</f>
        <v>1</v>
      </c>
      <c r="O53">
        <f>IF($E53=0,"NA",ROUND(SUM(householdfinance_v2_9!O53,householdfinance_v2_8!O53,householdfinance_v2_7!O53,householdfinance_v2_6!O53,householdfinance_v2_10!O53)/COUNT(householdfinance_v2_9!O53,householdfinance_v2_8!O53,householdfinance_v2_7!O53,householdfinance_v2_6!O53,householdfinance_v2_10!O53),0))</f>
        <v>1</v>
      </c>
    </row>
    <row r="54" spans="1:15" x14ac:dyDescent="0.25">
      <c r="A54" t="s">
        <v>94</v>
      </c>
      <c r="B54" t="s">
        <v>23</v>
      </c>
      <c r="C54">
        <v>0</v>
      </c>
      <c r="D54">
        <v>9.1433334350585938</v>
      </c>
      <c r="E54">
        <f>ROUND(SUM(householdfinance_v2_9!E54,householdfinance_v2_8!E54,householdfinance_v2_7!E54,householdfinance_v2_6!E54,householdfinance_v2_10!E54)/COUNT(householdfinance_v2_9!E54,householdfinance_v2_8!E54,householdfinance_v2_7!E54,householdfinance_v2_6!E54,householdfinance_v2_10!E54),0)</f>
        <v>0</v>
      </c>
      <c r="F54" t="str">
        <f>IF($E54=0,"NA",ROUND(SUM(householdfinance_v2_9!F54,householdfinance_v2_8!F54,householdfinance_v2_7!F54,householdfinance_v2_6!F54,householdfinance_v2_10!F54)/COUNT(householdfinance_v2_9!F54,householdfinance_v2_8!F54,householdfinance_v2_7!F54,householdfinance_v2_6!F54,householdfinance_v2_10!F54),0))</f>
        <v>NA</v>
      </c>
      <c r="G54" t="str">
        <f>IF($E54=0,"NA",ROUND(SUM(householdfinance_v2_9!G54,householdfinance_v2_8!G54,householdfinance_v2_7!G54,householdfinance_v2_6!G54,householdfinance_v2_10!G54)/COUNT(householdfinance_v2_9!G54,householdfinance_v2_8!G54,householdfinance_v2_7!G54,householdfinance_v2_6!G54,householdfinance_v2_10!G54),0))</f>
        <v>NA</v>
      </c>
      <c r="H54" t="str">
        <f>IF(AND(F54=1,G54=1),ROUND(SUM(householdfinance_v2_9!H54,householdfinance_v2_8!H54,householdfinance_v2_7!H54,householdfinance_v2_6!H54,householdfinance_v2_10!H54)/COUNT(householdfinance_v2_9!H54,householdfinance_v2_8!H54,householdfinance_v2_7!H54,householdfinance_v2_6!H54,householdfinance_v2_10!H54),0),"NA")</f>
        <v>NA</v>
      </c>
      <c r="I54" t="str">
        <f>IF($E54=0,"NA",ROUND(SUM(householdfinance_v2_9!I54,householdfinance_v2_8!I54,householdfinance_v2_7!I54,householdfinance_v2_6!I54,householdfinance_v2_10!I54)/COUNT(householdfinance_v2_9!I54,householdfinance_v2_8!I54,householdfinance_v2_7!I54,householdfinance_v2_6!I54,householdfinance_v2_10!I54),0))</f>
        <v>NA</v>
      </c>
      <c r="J54" t="str">
        <f>IF(F54=1,ROUND(SUM(householdfinance_v2_9!J54,householdfinance_v2_8!J54,householdfinance_v2_7!J54,householdfinance_v2_6!J54,householdfinance_v2_10!J54)/COUNT(householdfinance_v2_9!J54,householdfinance_v2_8!J54,householdfinance_v2_7!J54,householdfinance_v2_6!J54,householdfinance_v2_10!J54),0),"NA")</f>
        <v>NA</v>
      </c>
      <c r="K54" t="str">
        <f>IF($E54=0,"NA",ROUND(SUM(householdfinance_v2_9!K54,householdfinance_v2_8!K54,householdfinance_v2_7!K54,householdfinance_v2_6!K54,householdfinance_v2_10!K54)/COUNT(householdfinance_v2_9!K54,householdfinance_v2_8!K54,householdfinance_v2_7!K54,householdfinance_v2_6!K54,householdfinance_v2_10!K54),0))</f>
        <v>NA</v>
      </c>
      <c r="L54" t="str">
        <f>IF($E54=0,"NA",ROUND(SUM(householdfinance_v2_9!L54,householdfinance_v2_8!L54,householdfinance_v2_7!L54,householdfinance_v2_6!L54,householdfinance_v2_10!L54)/COUNT(householdfinance_v2_9!L54,householdfinance_v2_8!L54,householdfinance_v2_7!L54,householdfinance_v2_6!L54,householdfinance_v2_10!L54),0))</f>
        <v>NA</v>
      </c>
      <c r="M54" t="str">
        <f>IF($E54=0,"NA",ROUND(SUM(householdfinance_v2_9!M54,householdfinance_v2_8!M54,householdfinance_v2_7!M54,householdfinance_v2_6!M54,householdfinance_v2_10!M54)/COUNT(householdfinance_v2_9!M54,householdfinance_v2_8!M54,householdfinance_v2_7!M54,householdfinance_v2_6!M54,householdfinance_v2_10!M54),0))</f>
        <v>NA</v>
      </c>
      <c r="N54" t="str">
        <f>IF($E54=0,"NA",ROUND(SUM(householdfinance_v2_9!N54,householdfinance_v2_8!N54,householdfinance_v2_7!N54,householdfinance_v2_6!N54,householdfinance_v2_10!N54)/COUNT(householdfinance_v2_9!N54,householdfinance_v2_8!N54,householdfinance_v2_7!N54,householdfinance_v2_6!N54,householdfinance_v2_10!N54),0))</f>
        <v>NA</v>
      </c>
      <c r="O54" t="str">
        <f>IF($E54=0,"NA",ROUND(SUM(householdfinance_v2_9!O54,householdfinance_v2_8!O54,householdfinance_v2_7!O54,householdfinance_v2_6!O54,householdfinance_v2_10!O54)/COUNT(householdfinance_v2_9!O54,householdfinance_v2_8!O54,householdfinance_v2_7!O54,householdfinance_v2_6!O54,householdfinance_v2_10!O54),0))</f>
        <v>NA</v>
      </c>
    </row>
    <row r="55" spans="1:15" x14ac:dyDescent="0.25">
      <c r="A55" t="s">
        <v>94</v>
      </c>
      <c r="B55" t="s">
        <v>24</v>
      </c>
      <c r="C55">
        <v>0</v>
      </c>
      <c r="D55">
        <v>8.6878421306610107</v>
      </c>
      <c r="E55">
        <f>ROUND(SUM(householdfinance_v2_9!E55,householdfinance_v2_8!E55,householdfinance_v2_7!E55,householdfinance_v2_6!E55,householdfinance_v2_10!E55)/COUNT(householdfinance_v2_9!E55,householdfinance_v2_8!E55,householdfinance_v2_7!E55,householdfinance_v2_6!E55,householdfinance_v2_10!E55),0)</f>
        <v>1</v>
      </c>
      <c r="F55">
        <f>IF($E55=0,"NA",ROUND(SUM(householdfinance_v2_9!F55,householdfinance_v2_8!F55,householdfinance_v2_7!F55,householdfinance_v2_6!F55,householdfinance_v2_10!F55)/COUNT(householdfinance_v2_9!F55,householdfinance_v2_8!F55,householdfinance_v2_7!F55,householdfinance_v2_6!F55,householdfinance_v2_10!F55),0))</f>
        <v>1</v>
      </c>
      <c r="G55">
        <f>IF($E55=0,"NA",ROUND(SUM(householdfinance_v2_9!G55,householdfinance_v2_8!G55,householdfinance_v2_7!G55,householdfinance_v2_6!G55,householdfinance_v2_10!G55)/COUNT(householdfinance_v2_9!G55,householdfinance_v2_8!G55,householdfinance_v2_7!G55,householdfinance_v2_6!G55,householdfinance_v2_10!G55),0))</f>
        <v>1</v>
      </c>
      <c r="H55">
        <f>IF(AND(F55=1,G55=1),ROUND(SUM(householdfinance_v2_9!H55,householdfinance_v2_8!H55,householdfinance_v2_7!H55,householdfinance_v2_6!H55,householdfinance_v2_10!H55)/COUNT(householdfinance_v2_9!H55,householdfinance_v2_8!H55,householdfinance_v2_7!H55,householdfinance_v2_6!H55,householdfinance_v2_10!H55),0),"NA")</f>
        <v>1</v>
      </c>
      <c r="I55">
        <f>IF($E55=0,"NA",ROUND(SUM(householdfinance_v2_9!I55,householdfinance_v2_8!I55,householdfinance_v2_7!I55,householdfinance_v2_6!I55,householdfinance_v2_10!I55)/COUNT(householdfinance_v2_9!I55,householdfinance_v2_8!I55,householdfinance_v2_7!I55,householdfinance_v2_6!I55,householdfinance_v2_10!I55),0))</f>
        <v>1</v>
      </c>
      <c r="J55">
        <f>IF(F55=1,ROUND(SUM(householdfinance_v2_9!J55,householdfinance_v2_8!J55,householdfinance_v2_7!J55,householdfinance_v2_6!J55,householdfinance_v2_10!J55)/COUNT(householdfinance_v2_9!J55,householdfinance_v2_8!J55,householdfinance_v2_7!J55,householdfinance_v2_6!J55,householdfinance_v2_10!J55),0),"NA")</f>
        <v>1</v>
      </c>
      <c r="K55">
        <f>IF($E55=0,"NA",ROUND(SUM(householdfinance_v2_9!K55,householdfinance_v2_8!K55,householdfinance_v2_7!K55,householdfinance_v2_6!K55,householdfinance_v2_10!K55)/COUNT(householdfinance_v2_9!K55,householdfinance_v2_8!K55,householdfinance_v2_7!K55,householdfinance_v2_6!K55,householdfinance_v2_10!K55),0))</f>
        <v>1</v>
      </c>
      <c r="L55">
        <f>IF($E55=0,"NA",ROUND(SUM(householdfinance_v2_9!L55,householdfinance_v2_8!L55,householdfinance_v2_7!L55,householdfinance_v2_6!L55,householdfinance_v2_10!L55)/COUNT(householdfinance_v2_9!L55,householdfinance_v2_8!L55,householdfinance_v2_7!L55,householdfinance_v2_6!L55,householdfinance_v2_10!L55),0))</f>
        <v>1</v>
      </c>
      <c r="M55">
        <f>IF($E55=0,"NA",ROUND(SUM(householdfinance_v2_9!M55,householdfinance_v2_8!M55,householdfinance_v2_7!M55,householdfinance_v2_6!M55,householdfinance_v2_10!M55)/COUNT(householdfinance_v2_9!M55,householdfinance_v2_8!M55,householdfinance_v2_7!M55,householdfinance_v2_6!M55,householdfinance_v2_10!M55),0))</f>
        <v>1</v>
      </c>
      <c r="N55">
        <f>IF($E55=0,"NA",ROUND(SUM(householdfinance_v2_9!N55,householdfinance_v2_8!N55,householdfinance_v2_7!N55,householdfinance_v2_6!N55,householdfinance_v2_10!N55)/COUNT(householdfinance_v2_9!N55,householdfinance_v2_8!N55,householdfinance_v2_7!N55,householdfinance_v2_6!N55,householdfinance_v2_10!N55),0))</f>
        <v>1</v>
      </c>
      <c r="O55">
        <f>IF($E55=0,"NA",ROUND(SUM(householdfinance_v2_9!O55,householdfinance_v2_8!O55,householdfinance_v2_7!O55,householdfinance_v2_6!O55,householdfinance_v2_10!O55)/COUNT(householdfinance_v2_9!O55,householdfinance_v2_8!O55,householdfinance_v2_7!O55,householdfinance_v2_6!O55,householdfinance_v2_10!O55),0))</f>
        <v>1</v>
      </c>
    </row>
    <row r="56" spans="1:15" x14ac:dyDescent="0.25">
      <c r="A56" t="s">
        <v>94</v>
      </c>
      <c r="B56" t="s">
        <v>25</v>
      </c>
      <c r="C56">
        <v>0</v>
      </c>
      <c r="D56">
        <v>11.3582444190979</v>
      </c>
      <c r="E56">
        <f>ROUND(SUM(householdfinance_v2_9!E56,householdfinance_v2_8!E56,householdfinance_v2_7!E56,householdfinance_v2_6!E56,householdfinance_v2_10!E56)/COUNT(householdfinance_v2_9!E56,householdfinance_v2_8!E56,householdfinance_v2_7!E56,householdfinance_v2_6!E56,householdfinance_v2_10!E56),0)</f>
        <v>1</v>
      </c>
      <c r="F56">
        <f>IF($E56=0,"NA",ROUND(SUM(householdfinance_v2_9!F56,householdfinance_v2_8!F56,householdfinance_v2_7!F56,householdfinance_v2_6!F56,householdfinance_v2_10!F56)/COUNT(householdfinance_v2_9!F56,householdfinance_v2_8!F56,householdfinance_v2_7!F56,householdfinance_v2_6!F56,householdfinance_v2_10!F56),0))</f>
        <v>1</v>
      </c>
      <c r="G56">
        <f>IF($E56=0,"NA",ROUND(SUM(householdfinance_v2_9!G56,householdfinance_v2_8!G56,householdfinance_v2_7!G56,householdfinance_v2_6!G56,householdfinance_v2_10!G56)/COUNT(householdfinance_v2_9!G56,householdfinance_v2_8!G56,householdfinance_v2_7!G56,householdfinance_v2_6!G56,householdfinance_v2_10!G56),0))</f>
        <v>1</v>
      </c>
      <c r="H56">
        <f>IF(AND(F56=1,G56=1),ROUND(SUM(householdfinance_v2_9!H56,householdfinance_v2_8!H56,householdfinance_v2_7!H56,householdfinance_v2_6!H56,householdfinance_v2_10!H56)/COUNT(householdfinance_v2_9!H56,householdfinance_v2_8!H56,householdfinance_v2_7!H56,householdfinance_v2_6!H56,householdfinance_v2_10!H56),0),"NA")</f>
        <v>1</v>
      </c>
      <c r="I56">
        <f>IF($E56=0,"NA",ROUND(SUM(householdfinance_v2_9!I56,householdfinance_v2_8!I56,householdfinance_v2_7!I56,householdfinance_v2_6!I56,householdfinance_v2_10!I56)/COUNT(householdfinance_v2_9!I56,householdfinance_v2_8!I56,householdfinance_v2_7!I56,householdfinance_v2_6!I56,householdfinance_v2_10!I56),0))</f>
        <v>1</v>
      </c>
      <c r="J56">
        <f>IF(F56=1,ROUND(SUM(householdfinance_v2_9!J56,householdfinance_v2_8!J56,householdfinance_v2_7!J56,householdfinance_v2_6!J56,householdfinance_v2_10!J56)/COUNT(householdfinance_v2_9!J56,householdfinance_v2_8!J56,householdfinance_v2_7!J56,householdfinance_v2_6!J56,householdfinance_v2_10!J56),0),"NA")</f>
        <v>0</v>
      </c>
      <c r="K56">
        <f>IF($E56=0,"NA",ROUND(SUM(householdfinance_v2_9!K56,householdfinance_v2_8!K56,householdfinance_v2_7!K56,householdfinance_v2_6!K56,householdfinance_v2_10!K56)/COUNT(householdfinance_v2_9!K56,householdfinance_v2_8!K56,householdfinance_v2_7!K56,householdfinance_v2_6!K56,householdfinance_v2_10!K56),0))</f>
        <v>1</v>
      </c>
      <c r="L56">
        <f>IF($E56=0,"NA",ROUND(SUM(householdfinance_v2_9!L56,householdfinance_v2_8!L56,householdfinance_v2_7!L56,householdfinance_v2_6!L56,householdfinance_v2_10!L56)/COUNT(householdfinance_v2_9!L56,householdfinance_v2_8!L56,householdfinance_v2_7!L56,householdfinance_v2_6!L56,householdfinance_v2_10!L56),0))</f>
        <v>1</v>
      </c>
      <c r="M56">
        <f>IF($E56=0,"NA",ROUND(SUM(householdfinance_v2_9!M56,householdfinance_v2_8!M56,householdfinance_v2_7!M56,householdfinance_v2_6!M56,householdfinance_v2_10!M56)/COUNT(householdfinance_v2_9!M56,householdfinance_v2_8!M56,householdfinance_v2_7!M56,householdfinance_v2_6!M56,householdfinance_v2_10!M56),0))</f>
        <v>1</v>
      </c>
      <c r="N56">
        <f>IF($E56=0,"NA",ROUND(SUM(householdfinance_v2_9!N56,householdfinance_v2_8!N56,householdfinance_v2_7!N56,householdfinance_v2_6!N56,householdfinance_v2_10!N56)/COUNT(householdfinance_v2_9!N56,householdfinance_v2_8!N56,householdfinance_v2_7!N56,householdfinance_v2_6!N56,householdfinance_v2_10!N56),0))</f>
        <v>1</v>
      </c>
      <c r="O56">
        <f>IF($E56=0,"NA",ROUND(SUM(householdfinance_v2_9!O56,householdfinance_v2_8!O56,householdfinance_v2_7!O56,householdfinance_v2_6!O56,householdfinance_v2_10!O56)/COUNT(householdfinance_v2_9!O56,householdfinance_v2_8!O56,householdfinance_v2_7!O56,householdfinance_v2_6!O56,householdfinance_v2_10!O56),0))</f>
        <v>1</v>
      </c>
    </row>
    <row r="57" spans="1:15" x14ac:dyDescent="0.25">
      <c r="A57" t="s">
        <v>94</v>
      </c>
      <c r="B57" t="s">
        <v>27</v>
      </c>
      <c r="C57">
        <v>0</v>
      </c>
      <c r="D57">
        <v>11.838924407958981</v>
      </c>
      <c r="E57">
        <f>ROUND(SUM(householdfinance_v2_9!E57,householdfinance_v2_8!E57,householdfinance_v2_7!E57,householdfinance_v2_6!E57,householdfinance_v2_10!E57)/COUNT(householdfinance_v2_9!E57,householdfinance_v2_8!E57,householdfinance_v2_7!E57,householdfinance_v2_6!E57,householdfinance_v2_10!E57),0)</f>
        <v>1</v>
      </c>
      <c r="F57">
        <f>IF($E57=0,"NA",ROUND(SUM(householdfinance_v2_9!F57,householdfinance_v2_8!F57,householdfinance_v2_7!F57,householdfinance_v2_6!F57,householdfinance_v2_10!F57)/COUNT(householdfinance_v2_9!F57,householdfinance_v2_8!F57,householdfinance_v2_7!F57,householdfinance_v2_6!F57,householdfinance_v2_10!F57),0))</f>
        <v>1</v>
      </c>
      <c r="G57">
        <f>IF($E57=0,"NA",ROUND(SUM(householdfinance_v2_9!G57,householdfinance_v2_8!G57,householdfinance_v2_7!G57,householdfinance_v2_6!G57,householdfinance_v2_10!G57)/COUNT(householdfinance_v2_9!G57,householdfinance_v2_8!G57,householdfinance_v2_7!G57,householdfinance_v2_6!G57,householdfinance_v2_10!G57),0))</f>
        <v>1</v>
      </c>
      <c r="H57">
        <f>IF(AND(F57=1,G57=1),ROUND(SUM(householdfinance_v2_9!H57,householdfinance_v2_8!H57,householdfinance_v2_7!H57,householdfinance_v2_6!H57,householdfinance_v2_10!H57)/COUNT(householdfinance_v2_9!H57,householdfinance_v2_8!H57,householdfinance_v2_7!H57,householdfinance_v2_6!H57,householdfinance_v2_10!H57),0),"NA")</f>
        <v>1</v>
      </c>
      <c r="I57">
        <f>IF($E57=0,"NA",ROUND(SUM(householdfinance_v2_9!I57,householdfinance_v2_8!I57,householdfinance_v2_7!I57,householdfinance_v2_6!I57,householdfinance_v2_10!I57)/COUNT(householdfinance_v2_9!I57,householdfinance_v2_8!I57,householdfinance_v2_7!I57,householdfinance_v2_6!I57,householdfinance_v2_10!I57),0))</f>
        <v>1</v>
      </c>
      <c r="J57">
        <f>IF(F57=1,ROUND(SUM(householdfinance_v2_9!J57,householdfinance_v2_8!J57,householdfinance_v2_7!J57,householdfinance_v2_6!J57,householdfinance_v2_10!J57)/COUNT(householdfinance_v2_9!J57,householdfinance_v2_8!J57,householdfinance_v2_7!J57,householdfinance_v2_6!J57,householdfinance_v2_10!J57),0),"NA")</f>
        <v>1</v>
      </c>
      <c r="K57">
        <f>IF($E57=0,"NA",ROUND(SUM(householdfinance_v2_9!K57,householdfinance_v2_8!K57,householdfinance_v2_7!K57,householdfinance_v2_6!K57,householdfinance_v2_10!K57)/COUNT(householdfinance_v2_9!K57,householdfinance_v2_8!K57,householdfinance_v2_7!K57,householdfinance_v2_6!K57,householdfinance_v2_10!K57),0))</f>
        <v>1</v>
      </c>
      <c r="L57">
        <f>IF($E57=0,"NA",ROUND(SUM(householdfinance_v2_9!L57,householdfinance_v2_8!L57,householdfinance_v2_7!L57,householdfinance_v2_6!L57,householdfinance_v2_10!L57)/COUNT(householdfinance_v2_9!L57,householdfinance_v2_8!L57,householdfinance_v2_7!L57,householdfinance_v2_6!L57,householdfinance_v2_10!L57),0))</f>
        <v>1</v>
      </c>
      <c r="M57">
        <f>IF($E57=0,"NA",ROUND(SUM(householdfinance_v2_9!M57,householdfinance_v2_8!M57,householdfinance_v2_7!M57,householdfinance_v2_6!M57,householdfinance_v2_10!M57)/COUNT(householdfinance_v2_9!M57,householdfinance_v2_8!M57,householdfinance_v2_7!M57,householdfinance_v2_6!M57,householdfinance_v2_10!M57),0))</f>
        <v>1</v>
      </c>
      <c r="N57">
        <f>IF($E57=0,"NA",ROUND(SUM(householdfinance_v2_9!N57,householdfinance_v2_8!N57,householdfinance_v2_7!N57,householdfinance_v2_6!N57,householdfinance_v2_10!N57)/COUNT(householdfinance_v2_9!N57,householdfinance_v2_8!N57,householdfinance_v2_7!N57,householdfinance_v2_6!N57,householdfinance_v2_10!N57),0))</f>
        <v>1</v>
      </c>
      <c r="O57">
        <f>IF($E57=0,"NA",ROUND(SUM(householdfinance_v2_9!O57,householdfinance_v2_8!O57,householdfinance_v2_7!O57,householdfinance_v2_6!O57,householdfinance_v2_10!O57)/COUNT(householdfinance_v2_9!O57,householdfinance_v2_8!O57,householdfinance_v2_7!O57,householdfinance_v2_6!O57,householdfinance_v2_10!O57),0))</f>
        <v>1</v>
      </c>
    </row>
    <row r="58" spans="1:15" x14ac:dyDescent="0.25">
      <c r="A58" t="s">
        <v>94</v>
      </c>
      <c r="B58" t="s">
        <v>28</v>
      </c>
      <c r="C58">
        <v>0</v>
      </c>
      <c r="D58">
        <v>5.2391135692596444</v>
      </c>
      <c r="E58">
        <f>ROUND(SUM(householdfinance_v2_9!E58,householdfinance_v2_8!E58,householdfinance_v2_7!E58,householdfinance_v2_6!E58,householdfinance_v2_10!E58)/COUNT(householdfinance_v2_9!E58,householdfinance_v2_8!E58,householdfinance_v2_7!E58,householdfinance_v2_6!E58,householdfinance_v2_10!E58),0)</f>
        <v>1</v>
      </c>
      <c r="F58">
        <f>IF($E58=0,"NA",ROUND(SUM(householdfinance_v2_9!F58,householdfinance_v2_8!F58,householdfinance_v2_7!F58,householdfinance_v2_6!F58,householdfinance_v2_10!F58)/COUNT(householdfinance_v2_9!F58,householdfinance_v2_8!F58,householdfinance_v2_7!F58,householdfinance_v2_6!F58,householdfinance_v2_10!F58),0))</f>
        <v>1</v>
      </c>
      <c r="G58">
        <f>IF($E58=0,"NA",ROUND(SUM(householdfinance_v2_9!G58,householdfinance_v2_8!G58,householdfinance_v2_7!G58,householdfinance_v2_6!G58,householdfinance_v2_10!G58)/COUNT(householdfinance_v2_9!G58,householdfinance_v2_8!G58,householdfinance_v2_7!G58,householdfinance_v2_6!G58,householdfinance_v2_10!G58),0))</f>
        <v>1</v>
      </c>
      <c r="H58">
        <f>IF(AND(F58=1,G58=1),ROUND(SUM(householdfinance_v2_9!H58,householdfinance_v2_8!H58,householdfinance_v2_7!H58,householdfinance_v2_6!H58,householdfinance_v2_10!H58)/COUNT(householdfinance_v2_9!H58,householdfinance_v2_8!H58,householdfinance_v2_7!H58,householdfinance_v2_6!H58,householdfinance_v2_10!H58),0),"NA")</f>
        <v>1</v>
      </c>
      <c r="I58">
        <f>IF($E58=0,"NA",ROUND(SUM(householdfinance_v2_9!I58,householdfinance_v2_8!I58,householdfinance_v2_7!I58,householdfinance_v2_6!I58,householdfinance_v2_10!I58)/COUNT(householdfinance_v2_9!I58,householdfinance_v2_8!I58,householdfinance_v2_7!I58,householdfinance_v2_6!I58,householdfinance_v2_10!I58),0))</f>
        <v>0</v>
      </c>
      <c r="J58">
        <f>IF(F58=1,ROUND(SUM(householdfinance_v2_9!J58,householdfinance_v2_8!J58,householdfinance_v2_7!J58,householdfinance_v2_6!J58,householdfinance_v2_10!J58)/COUNT(householdfinance_v2_9!J58,householdfinance_v2_8!J58,householdfinance_v2_7!J58,householdfinance_v2_6!J58,householdfinance_v2_10!J58),0),"NA")</f>
        <v>0</v>
      </c>
      <c r="K58">
        <f>IF($E58=0,"NA",ROUND(SUM(householdfinance_v2_9!K58,householdfinance_v2_8!K58,householdfinance_v2_7!K58,householdfinance_v2_6!K58,householdfinance_v2_10!K58)/COUNT(householdfinance_v2_9!K58,householdfinance_v2_8!K58,householdfinance_v2_7!K58,householdfinance_v2_6!K58,householdfinance_v2_10!K58),0))</f>
        <v>1</v>
      </c>
      <c r="L58">
        <f>IF($E58=0,"NA",ROUND(SUM(householdfinance_v2_9!L58,householdfinance_v2_8!L58,householdfinance_v2_7!L58,householdfinance_v2_6!L58,householdfinance_v2_10!L58)/COUNT(householdfinance_v2_9!L58,householdfinance_v2_8!L58,householdfinance_v2_7!L58,householdfinance_v2_6!L58,householdfinance_v2_10!L58),0))</f>
        <v>1</v>
      </c>
      <c r="M58">
        <f>IF($E58=0,"NA",ROUND(SUM(householdfinance_v2_9!M58,householdfinance_v2_8!M58,householdfinance_v2_7!M58,householdfinance_v2_6!M58,householdfinance_v2_10!M58)/COUNT(householdfinance_v2_9!M58,householdfinance_v2_8!M58,householdfinance_v2_7!M58,householdfinance_v2_6!M58,householdfinance_v2_10!M58),0))</f>
        <v>1</v>
      </c>
      <c r="N58">
        <f>IF($E58=0,"NA",ROUND(SUM(householdfinance_v2_9!N58,householdfinance_v2_8!N58,householdfinance_v2_7!N58,householdfinance_v2_6!N58,householdfinance_v2_10!N58)/COUNT(householdfinance_v2_9!N58,householdfinance_v2_8!N58,householdfinance_v2_7!N58,householdfinance_v2_6!N58,householdfinance_v2_10!N58),0))</f>
        <v>1</v>
      </c>
      <c r="O58">
        <f>IF($E58=0,"NA",ROUND(SUM(householdfinance_v2_9!O58,householdfinance_v2_8!O58,householdfinance_v2_7!O58,householdfinance_v2_6!O58,householdfinance_v2_10!O58)/COUNT(householdfinance_v2_9!O58,householdfinance_v2_8!O58,householdfinance_v2_7!O58,householdfinance_v2_6!O58,householdfinance_v2_10!O58),0))</f>
        <v>1</v>
      </c>
    </row>
    <row r="59" spans="1:15" x14ac:dyDescent="0.25">
      <c r="A59" t="s">
        <v>94</v>
      </c>
      <c r="B59" t="s">
        <v>29</v>
      </c>
      <c r="C59">
        <v>0</v>
      </c>
      <c r="D59">
        <v>5.5002901554107666</v>
      </c>
      <c r="E59">
        <f>ROUND(SUM(householdfinance_v2_9!E59,householdfinance_v2_8!E59,householdfinance_v2_7!E59,householdfinance_v2_6!E59,householdfinance_v2_10!E59)/COUNT(householdfinance_v2_9!E59,householdfinance_v2_8!E59,householdfinance_v2_7!E59,householdfinance_v2_6!E59,householdfinance_v2_10!E59),0)</f>
        <v>1</v>
      </c>
      <c r="F59">
        <f>IF($E59=0,"NA",ROUND(SUM(householdfinance_v2_9!F59,householdfinance_v2_8!F59,householdfinance_v2_7!F59,householdfinance_v2_6!F59,householdfinance_v2_10!F59)/COUNT(householdfinance_v2_9!F59,householdfinance_v2_8!F59,householdfinance_v2_7!F59,householdfinance_v2_6!F59,householdfinance_v2_10!F59),0))</f>
        <v>1</v>
      </c>
      <c r="G59">
        <f>IF($E59=0,"NA",ROUND(SUM(householdfinance_v2_9!G59,householdfinance_v2_8!G59,householdfinance_v2_7!G59,householdfinance_v2_6!G59,householdfinance_v2_10!G59)/COUNT(householdfinance_v2_9!G59,householdfinance_v2_8!G59,householdfinance_v2_7!G59,householdfinance_v2_6!G59,householdfinance_v2_10!G59),0))</f>
        <v>1</v>
      </c>
      <c r="H59">
        <f>IF(AND(F59=1,G59=1),ROUND(SUM(householdfinance_v2_9!H59,householdfinance_v2_8!H59,householdfinance_v2_7!H59,householdfinance_v2_6!H59,householdfinance_v2_10!H59)/COUNT(householdfinance_v2_9!H59,householdfinance_v2_8!H59,householdfinance_v2_7!H59,householdfinance_v2_6!H59,householdfinance_v2_10!H59),0),"NA")</f>
        <v>1</v>
      </c>
      <c r="I59">
        <f>IF($E59=0,"NA",ROUND(SUM(householdfinance_v2_9!I59,householdfinance_v2_8!I59,householdfinance_v2_7!I59,householdfinance_v2_6!I59,householdfinance_v2_10!I59)/COUNT(householdfinance_v2_9!I59,householdfinance_v2_8!I59,householdfinance_v2_7!I59,householdfinance_v2_6!I59,householdfinance_v2_10!I59),0))</f>
        <v>0</v>
      </c>
      <c r="J59">
        <f>IF(F59=1,ROUND(SUM(householdfinance_v2_9!J59,householdfinance_v2_8!J59,householdfinance_v2_7!J59,householdfinance_v2_6!J59,householdfinance_v2_10!J59)/COUNT(householdfinance_v2_9!J59,householdfinance_v2_8!J59,householdfinance_v2_7!J59,householdfinance_v2_6!J59,householdfinance_v2_10!J59),0),"NA")</f>
        <v>1</v>
      </c>
      <c r="K59">
        <f>IF($E59=0,"NA",ROUND(SUM(householdfinance_v2_9!K59,householdfinance_v2_8!K59,householdfinance_v2_7!K59,householdfinance_v2_6!K59,householdfinance_v2_10!K59)/COUNT(householdfinance_v2_9!K59,householdfinance_v2_8!K59,householdfinance_v2_7!K59,householdfinance_v2_6!K59,householdfinance_v2_10!K59),0))</f>
        <v>0</v>
      </c>
      <c r="L59">
        <f>IF($E59=0,"NA",ROUND(SUM(householdfinance_v2_9!L59,householdfinance_v2_8!L59,householdfinance_v2_7!L59,householdfinance_v2_6!L59,householdfinance_v2_10!L59)/COUNT(householdfinance_v2_9!L59,householdfinance_v2_8!L59,householdfinance_v2_7!L59,householdfinance_v2_6!L59,householdfinance_v2_10!L59),0))</f>
        <v>1</v>
      </c>
      <c r="M59">
        <f>IF($E59=0,"NA",ROUND(SUM(householdfinance_v2_9!M59,householdfinance_v2_8!M59,householdfinance_v2_7!M59,householdfinance_v2_6!M59,householdfinance_v2_10!M59)/COUNT(householdfinance_v2_9!M59,householdfinance_v2_8!M59,householdfinance_v2_7!M59,householdfinance_v2_6!M59,householdfinance_v2_10!M59),0))</f>
        <v>1</v>
      </c>
      <c r="N59">
        <f>IF($E59=0,"NA",ROUND(SUM(householdfinance_v2_9!N59,householdfinance_v2_8!N59,householdfinance_v2_7!N59,householdfinance_v2_6!N59,householdfinance_v2_10!N59)/COUNT(householdfinance_v2_9!N59,householdfinance_v2_8!N59,householdfinance_v2_7!N59,householdfinance_v2_6!N59,householdfinance_v2_10!N59),0))</f>
        <v>1</v>
      </c>
      <c r="O59">
        <f>IF($E59=0,"NA",ROUND(SUM(householdfinance_v2_9!O59,householdfinance_v2_8!O59,householdfinance_v2_7!O59,householdfinance_v2_6!O59,householdfinance_v2_10!O59)/COUNT(householdfinance_v2_9!O59,householdfinance_v2_8!O59,householdfinance_v2_7!O59,householdfinance_v2_6!O59,householdfinance_v2_10!O59),0))</f>
        <v>1</v>
      </c>
    </row>
    <row r="60" spans="1:15" x14ac:dyDescent="0.25">
      <c r="A60" t="s">
        <v>94</v>
      </c>
      <c r="B60" t="s">
        <v>30</v>
      </c>
      <c r="C60">
        <v>0</v>
      </c>
      <c r="D60">
        <v>10.99028253555298</v>
      </c>
      <c r="E60">
        <f>ROUND(SUM(householdfinance_v2_9!E60,householdfinance_v2_8!E60,householdfinance_v2_7!E60,householdfinance_v2_6!E60,householdfinance_v2_10!E60)/COUNT(householdfinance_v2_9!E60,householdfinance_v2_8!E60,householdfinance_v2_7!E60,householdfinance_v2_6!E60,householdfinance_v2_10!E60),0)</f>
        <v>0</v>
      </c>
      <c r="F60" t="str">
        <f>IF($E60=0,"NA",ROUND(SUM(householdfinance_v2_9!F60,householdfinance_v2_8!F60,householdfinance_v2_7!F60,householdfinance_v2_6!F60,householdfinance_v2_10!F60)/COUNT(householdfinance_v2_9!F60,householdfinance_v2_8!F60,householdfinance_v2_7!F60,householdfinance_v2_6!F60,householdfinance_v2_10!F60),0))</f>
        <v>NA</v>
      </c>
      <c r="G60" t="str">
        <f>IF($E60=0,"NA",ROUND(SUM(householdfinance_v2_9!G60,householdfinance_v2_8!G60,householdfinance_v2_7!G60,householdfinance_v2_6!G60,householdfinance_v2_10!G60)/COUNT(householdfinance_v2_9!G60,householdfinance_v2_8!G60,householdfinance_v2_7!G60,householdfinance_v2_6!G60,householdfinance_v2_10!G60),0))</f>
        <v>NA</v>
      </c>
      <c r="H60" t="str">
        <f>IF(AND(F60=1,G60=1),ROUND(SUM(householdfinance_v2_9!H60,householdfinance_v2_8!H60,householdfinance_v2_7!H60,householdfinance_v2_6!H60,householdfinance_v2_10!H60)/COUNT(householdfinance_v2_9!H60,householdfinance_v2_8!H60,householdfinance_v2_7!H60,householdfinance_v2_6!H60,householdfinance_v2_10!H60),0),"NA")</f>
        <v>NA</v>
      </c>
      <c r="I60" t="str">
        <f>IF($E60=0,"NA",ROUND(SUM(householdfinance_v2_9!I60,householdfinance_v2_8!I60,householdfinance_v2_7!I60,householdfinance_v2_6!I60,householdfinance_v2_10!I60)/COUNT(householdfinance_v2_9!I60,householdfinance_v2_8!I60,householdfinance_v2_7!I60,householdfinance_v2_6!I60,householdfinance_v2_10!I60),0))</f>
        <v>NA</v>
      </c>
      <c r="J60" t="str">
        <f>IF(F60=1,ROUND(SUM(householdfinance_v2_9!J60,householdfinance_v2_8!J60,householdfinance_v2_7!J60,householdfinance_v2_6!J60,householdfinance_v2_10!J60)/COUNT(householdfinance_v2_9!J60,householdfinance_v2_8!J60,householdfinance_v2_7!J60,householdfinance_v2_6!J60,householdfinance_v2_10!J60),0),"NA")</f>
        <v>NA</v>
      </c>
      <c r="K60" t="str">
        <f>IF($E60=0,"NA",ROUND(SUM(householdfinance_v2_9!K60,householdfinance_v2_8!K60,householdfinance_v2_7!K60,householdfinance_v2_6!K60,householdfinance_v2_10!K60)/COUNT(householdfinance_v2_9!K60,householdfinance_v2_8!K60,householdfinance_v2_7!K60,householdfinance_v2_6!K60,householdfinance_v2_10!K60),0))</f>
        <v>NA</v>
      </c>
      <c r="L60" t="str">
        <f>IF($E60=0,"NA",ROUND(SUM(householdfinance_v2_9!L60,householdfinance_v2_8!L60,householdfinance_v2_7!L60,householdfinance_v2_6!L60,householdfinance_v2_10!L60)/COUNT(householdfinance_v2_9!L60,householdfinance_v2_8!L60,householdfinance_v2_7!L60,householdfinance_v2_6!L60,householdfinance_v2_10!L60),0))</f>
        <v>NA</v>
      </c>
      <c r="M60" t="str">
        <f>IF($E60=0,"NA",ROUND(SUM(householdfinance_v2_9!M60,householdfinance_v2_8!M60,householdfinance_v2_7!M60,householdfinance_v2_6!M60,householdfinance_v2_10!M60)/COUNT(householdfinance_v2_9!M60,householdfinance_v2_8!M60,householdfinance_v2_7!M60,householdfinance_v2_6!M60,householdfinance_v2_10!M60),0))</f>
        <v>NA</v>
      </c>
      <c r="N60" t="str">
        <f>IF($E60=0,"NA",ROUND(SUM(householdfinance_v2_9!N60,householdfinance_v2_8!N60,householdfinance_v2_7!N60,householdfinance_v2_6!N60,householdfinance_v2_10!N60)/COUNT(householdfinance_v2_9!N60,householdfinance_v2_8!N60,householdfinance_v2_7!N60,householdfinance_v2_6!N60,householdfinance_v2_10!N60),0))</f>
        <v>NA</v>
      </c>
      <c r="O60" t="str">
        <f>IF($E60=0,"NA",ROUND(SUM(householdfinance_v2_9!O60,householdfinance_v2_8!O60,householdfinance_v2_7!O60,householdfinance_v2_6!O60,householdfinance_v2_10!O60)/COUNT(householdfinance_v2_9!O60,householdfinance_v2_8!O60,householdfinance_v2_7!O60,householdfinance_v2_6!O60,householdfinance_v2_10!O60),0))</f>
        <v>NA</v>
      </c>
    </row>
    <row r="61" spans="1:15" x14ac:dyDescent="0.25">
      <c r="A61" t="s">
        <v>94</v>
      </c>
      <c r="B61" t="s">
        <v>31</v>
      </c>
      <c r="C61">
        <v>0</v>
      </c>
      <c r="D61">
        <v>6.691631555557251</v>
      </c>
      <c r="E61">
        <f>ROUND(SUM(householdfinance_v2_9!E61,householdfinance_v2_8!E61,householdfinance_v2_7!E61,householdfinance_v2_6!E61,householdfinance_v2_10!E61)/COUNT(householdfinance_v2_9!E61,householdfinance_v2_8!E61,householdfinance_v2_7!E61,householdfinance_v2_6!E61,householdfinance_v2_10!E61),0)</f>
        <v>1</v>
      </c>
      <c r="F61">
        <f>IF($E61=0,"NA",ROUND(SUM(householdfinance_v2_9!F61,householdfinance_v2_8!F61,householdfinance_v2_7!F61,householdfinance_v2_6!F61,householdfinance_v2_10!F61)/COUNT(householdfinance_v2_9!F61,householdfinance_v2_8!F61,householdfinance_v2_7!F61,householdfinance_v2_6!F61,householdfinance_v2_10!F61),0))</f>
        <v>1</v>
      </c>
      <c r="G61">
        <f>IF($E61=0,"NA",ROUND(SUM(householdfinance_v2_9!G61,householdfinance_v2_8!G61,householdfinance_v2_7!G61,householdfinance_v2_6!G61,householdfinance_v2_10!G61)/COUNT(householdfinance_v2_9!G61,householdfinance_v2_8!G61,householdfinance_v2_7!G61,householdfinance_v2_6!G61,householdfinance_v2_10!G61),0))</f>
        <v>1</v>
      </c>
      <c r="H61">
        <f>IF(AND(F61=1,G61=1),ROUND(SUM(householdfinance_v2_9!H61,householdfinance_v2_8!H61,householdfinance_v2_7!H61,householdfinance_v2_6!H61,householdfinance_v2_10!H61)/COUNT(householdfinance_v2_9!H61,householdfinance_v2_8!H61,householdfinance_v2_7!H61,householdfinance_v2_6!H61,householdfinance_v2_10!H61),0),"NA")</f>
        <v>1</v>
      </c>
      <c r="I61">
        <f>IF($E61=0,"NA",ROUND(SUM(householdfinance_v2_9!I61,householdfinance_v2_8!I61,householdfinance_v2_7!I61,householdfinance_v2_6!I61,householdfinance_v2_10!I61)/COUNT(householdfinance_v2_9!I61,householdfinance_v2_8!I61,householdfinance_v2_7!I61,householdfinance_v2_6!I61,householdfinance_v2_10!I61),0))</f>
        <v>1</v>
      </c>
      <c r="J61">
        <f>IF(F61=1,ROUND(SUM(householdfinance_v2_9!J61,householdfinance_v2_8!J61,householdfinance_v2_7!J61,householdfinance_v2_6!J61,householdfinance_v2_10!J61)/COUNT(householdfinance_v2_9!J61,householdfinance_v2_8!J61,householdfinance_v2_7!J61,householdfinance_v2_6!J61,householdfinance_v2_10!J61),0),"NA")</f>
        <v>1</v>
      </c>
      <c r="K61">
        <f>IF($E61=0,"NA",ROUND(SUM(householdfinance_v2_9!K61,householdfinance_v2_8!K61,householdfinance_v2_7!K61,householdfinance_v2_6!K61,householdfinance_v2_10!K61)/COUNT(householdfinance_v2_9!K61,householdfinance_v2_8!K61,householdfinance_v2_7!K61,householdfinance_v2_6!K61,householdfinance_v2_10!K61),0))</f>
        <v>1</v>
      </c>
      <c r="L61">
        <f>IF($E61=0,"NA",ROUND(SUM(householdfinance_v2_9!L61,householdfinance_v2_8!L61,householdfinance_v2_7!L61,householdfinance_v2_6!L61,householdfinance_v2_10!L61)/COUNT(householdfinance_v2_9!L61,householdfinance_v2_8!L61,householdfinance_v2_7!L61,householdfinance_v2_6!L61,householdfinance_v2_10!L61),0))</f>
        <v>0</v>
      </c>
      <c r="M61">
        <f>IF($E61=0,"NA",ROUND(SUM(householdfinance_v2_9!M61,householdfinance_v2_8!M61,householdfinance_v2_7!M61,householdfinance_v2_6!M61,householdfinance_v2_10!M61)/COUNT(householdfinance_v2_9!M61,householdfinance_v2_8!M61,householdfinance_v2_7!M61,householdfinance_v2_6!M61,householdfinance_v2_10!M61),0))</f>
        <v>1</v>
      </c>
      <c r="N61">
        <f>IF($E61=0,"NA",ROUND(SUM(householdfinance_v2_9!N61,householdfinance_v2_8!N61,householdfinance_v2_7!N61,householdfinance_v2_6!N61,householdfinance_v2_10!N61)/COUNT(householdfinance_v2_9!N61,householdfinance_v2_8!N61,householdfinance_v2_7!N61,householdfinance_v2_6!N61,householdfinance_v2_10!N61),0))</f>
        <v>1</v>
      </c>
      <c r="O61">
        <f>IF($E61=0,"NA",ROUND(SUM(householdfinance_v2_9!O61,householdfinance_v2_8!O61,householdfinance_v2_7!O61,householdfinance_v2_6!O61,householdfinance_v2_10!O61)/COUNT(householdfinance_v2_9!O61,householdfinance_v2_8!O61,householdfinance_v2_7!O61,householdfinance_v2_6!O61,householdfinance_v2_10!O61),0))</f>
        <v>1</v>
      </c>
    </row>
    <row r="62" spans="1:15" x14ac:dyDescent="0.25">
      <c r="A62" t="s">
        <v>94</v>
      </c>
      <c r="B62" t="s">
        <v>32</v>
      </c>
      <c r="C62">
        <v>0</v>
      </c>
      <c r="D62">
        <v>5.7410669326782227</v>
      </c>
      <c r="E62">
        <f>ROUND(SUM(householdfinance_v2_9!E62,householdfinance_v2_8!E62,householdfinance_v2_7!E62,householdfinance_v2_6!E62,householdfinance_v2_10!E62)/COUNT(householdfinance_v2_9!E62,householdfinance_v2_8!E62,householdfinance_v2_7!E62,householdfinance_v2_6!E62,householdfinance_v2_10!E62),0)</f>
        <v>0</v>
      </c>
      <c r="F62" t="str">
        <f>IF($E62=0,"NA",ROUND(SUM(householdfinance_v2_9!F62,householdfinance_v2_8!F62,householdfinance_v2_7!F62,householdfinance_v2_6!F62,householdfinance_v2_10!F62)/COUNT(householdfinance_v2_9!F62,householdfinance_v2_8!F62,householdfinance_v2_7!F62,householdfinance_v2_6!F62,householdfinance_v2_10!F62),0))</f>
        <v>NA</v>
      </c>
      <c r="G62" t="str">
        <f>IF($E62=0,"NA",ROUND(SUM(householdfinance_v2_9!G62,householdfinance_v2_8!G62,householdfinance_v2_7!G62,householdfinance_v2_6!G62,householdfinance_v2_10!G62)/COUNT(householdfinance_v2_9!G62,householdfinance_v2_8!G62,householdfinance_v2_7!G62,householdfinance_v2_6!G62,householdfinance_v2_10!G62),0))</f>
        <v>NA</v>
      </c>
      <c r="H62" t="str">
        <f>IF(AND(F62=1,G62=1),ROUND(SUM(householdfinance_v2_9!H62,householdfinance_v2_8!H62,householdfinance_v2_7!H62,householdfinance_v2_6!H62,householdfinance_v2_10!H62)/COUNT(householdfinance_v2_9!H62,householdfinance_v2_8!H62,householdfinance_v2_7!H62,householdfinance_v2_6!H62,householdfinance_v2_10!H62),0),"NA")</f>
        <v>NA</v>
      </c>
      <c r="I62" t="str">
        <f>IF($E62=0,"NA",ROUND(SUM(householdfinance_v2_9!I62,householdfinance_v2_8!I62,householdfinance_v2_7!I62,householdfinance_v2_6!I62,householdfinance_v2_10!I62)/COUNT(householdfinance_v2_9!I62,householdfinance_v2_8!I62,householdfinance_v2_7!I62,householdfinance_v2_6!I62,householdfinance_v2_10!I62),0))</f>
        <v>NA</v>
      </c>
      <c r="J62" t="str">
        <f>IF(F62=1,ROUND(SUM(householdfinance_v2_9!J62,householdfinance_v2_8!J62,householdfinance_v2_7!J62,householdfinance_v2_6!J62,householdfinance_v2_10!J62)/COUNT(householdfinance_v2_9!J62,householdfinance_v2_8!J62,householdfinance_v2_7!J62,householdfinance_v2_6!J62,householdfinance_v2_10!J62),0),"NA")</f>
        <v>NA</v>
      </c>
      <c r="K62" t="str">
        <f>IF($E62=0,"NA",ROUND(SUM(householdfinance_v2_9!K62,householdfinance_v2_8!K62,householdfinance_v2_7!K62,householdfinance_v2_6!K62,householdfinance_v2_10!K62)/COUNT(householdfinance_v2_9!K62,householdfinance_v2_8!K62,householdfinance_v2_7!K62,householdfinance_v2_6!K62,householdfinance_v2_10!K62),0))</f>
        <v>NA</v>
      </c>
      <c r="L62" t="str">
        <f>IF($E62=0,"NA",ROUND(SUM(householdfinance_v2_9!L62,householdfinance_v2_8!L62,householdfinance_v2_7!L62,householdfinance_v2_6!L62,householdfinance_v2_10!L62)/COUNT(householdfinance_v2_9!L62,householdfinance_v2_8!L62,householdfinance_v2_7!L62,householdfinance_v2_6!L62,householdfinance_v2_10!L62),0))</f>
        <v>NA</v>
      </c>
      <c r="M62" t="str">
        <f>IF($E62=0,"NA",ROUND(SUM(householdfinance_v2_9!M62,householdfinance_v2_8!M62,householdfinance_v2_7!M62,householdfinance_v2_6!M62,householdfinance_v2_10!M62)/COUNT(householdfinance_v2_9!M62,householdfinance_v2_8!M62,householdfinance_v2_7!M62,householdfinance_v2_6!M62,householdfinance_v2_10!M62),0))</f>
        <v>NA</v>
      </c>
      <c r="N62" t="str">
        <f>IF($E62=0,"NA",ROUND(SUM(householdfinance_v2_9!N62,householdfinance_v2_8!N62,householdfinance_v2_7!N62,householdfinance_v2_6!N62,householdfinance_v2_10!N62)/COUNT(householdfinance_v2_9!N62,householdfinance_v2_8!N62,householdfinance_v2_7!N62,householdfinance_v2_6!N62,householdfinance_v2_10!N62),0))</f>
        <v>NA</v>
      </c>
      <c r="O62" t="str">
        <f>IF($E62=0,"NA",ROUND(SUM(householdfinance_v2_9!O62,householdfinance_v2_8!O62,householdfinance_v2_7!O62,householdfinance_v2_6!O62,householdfinance_v2_10!O62)/COUNT(householdfinance_v2_9!O62,householdfinance_v2_8!O62,householdfinance_v2_7!O62,householdfinance_v2_6!O62,householdfinance_v2_10!O62),0))</f>
        <v>NA</v>
      </c>
    </row>
    <row r="63" spans="1:15" x14ac:dyDescent="0.25">
      <c r="A63" t="s">
        <v>94</v>
      </c>
      <c r="B63" t="s">
        <v>33</v>
      </c>
      <c r="C63">
        <v>0</v>
      </c>
      <c r="D63">
        <v>10.873083829879761</v>
      </c>
      <c r="E63">
        <f>ROUND(SUM(householdfinance_v2_9!E63,householdfinance_v2_8!E63,householdfinance_v2_7!E63,householdfinance_v2_6!E63,householdfinance_v2_10!E63)/COUNT(householdfinance_v2_9!E63,householdfinance_v2_8!E63,householdfinance_v2_7!E63,householdfinance_v2_6!E63,householdfinance_v2_10!E63),0)</f>
        <v>1</v>
      </c>
      <c r="F63">
        <f>IF($E63=0,"NA",ROUND(SUM(householdfinance_v2_9!F63,householdfinance_v2_8!F63,householdfinance_v2_7!F63,householdfinance_v2_6!F63,householdfinance_v2_10!F63)/COUNT(householdfinance_v2_9!F63,householdfinance_v2_8!F63,householdfinance_v2_7!F63,householdfinance_v2_6!F63,householdfinance_v2_10!F63),0))</f>
        <v>1</v>
      </c>
      <c r="G63">
        <f>IF($E63=0,"NA",ROUND(SUM(householdfinance_v2_9!G63,householdfinance_v2_8!G63,householdfinance_v2_7!G63,householdfinance_v2_6!G63,householdfinance_v2_10!G63)/COUNT(householdfinance_v2_9!G63,householdfinance_v2_8!G63,householdfinance_v2_7!G63,householdfinance_v2_6!G63,householdfinance_v2_10!G63),0))</f>
        <v>1</v>
      </c>
      <c r="H63">
        <f>IF(AND(F63=1,G63=1),ROUND(SUM(householdfinance_v2_9!H63,householdfinance_v2_8!H63,householdfinance_v2_7!H63,householdfinance_v2_6!H63,householdfinance_v2_10!H63)/COUNT(householdfinance_v2_9!H63,householdfinance_v2_8!H63,householdfinance_v2_7!H63,householdfinance_v2_6!H63,householdfinance_v2_10!H63),0),"NA")</f>
        <v>1</v>
      </c>
      <c r="I63">
        <f>IF($E63=0,"NA",ROUND(SUM(householdfinance_v2_9!I63,householdfinance_v2_8!I63,householdfinance_v2_7!I63,householdfinance_v2_6!I63,householdfinance_v2_10!I63)/COUNT(householdfinance_v2_9!I63,householdfinance_v2_8!I63,householdfinance_v2_7!I63,householdfinance_v2_6!I63,householdfinance_v2_10!I63),0))</f>
        <v>1</v>
      </c>
      <c r="J63">
        <f>IF(F63=1,ROUND(SUM(householdfinance_v2_9!J63,householdfinance_v2_8!J63,householdfinance_v2_7!J63,householdfinance_v2_6!J63,householdfinance_v2_10!J63)/COUNT(householdfinance_v2_9!J63,householdfinance_v2_8!J63,householdfinance_v2_7!J63,householdfinance_v2_6!J63,householdfinance_v2_10!J63),0),"NA")</f>
        <v>1</v>
      </c>
      <c r="K63">
        <f>IF($E63=0,"NA",ROUND(SUM(householdfinance_v2_9!K63,householdfinance_v2_8!K63,householdfinance_v2_7!K63,householdfinance_v2_6!K63,householdfinance_v2_10!K63)/COUNT(householdfinance_v2_9!K63,householdfinance_v2_8!K63,householdfinance_v2_7!K63,householdfinance_v2_6!K63,householdfinance_v2_10!K63),0))</f>
        <v>1</v>
      </c>
      <c r="L63">
        <f>IF($E63=0,"NA",ROUND(SUM(householdfinance_v2_9!L63,householdfinance_v2_8!L63,householdfinance_v2_7!L63,householdfinance_v2_6!L63,householdfinance_v2_10!L63)/COUNT(householdfinance_v2_9!L63,householdfinance_v2_8!L63,householdfinance_v2_7!L63,householdfinance_v2_6!L63,householdfinance_v2_10!L63),0))</f>
        <v>1</v>
      </c>
      <c r="M63">
        <f>IF($E63=0,"NA",ROUND(SUM(householdfinance_v2_9!M63,householdfinance_v2_8!M63,householdfinance_v2_7!M63,householdfinance_v2_6!M63,householdfinance_v2_10!M63)/COUNT(householdfinance_v2_9!M63,householdfinance_v2_8!M63,householdfinance_v2_7!M63,householdfinance_v2_6!M63,householdfinance_v2_10!M63),0))</f>
        <v>1</v>
      </c>
      <c r="N63">
        <f>IF($E63=0,"NA",ROUND(SUM(householdfinance_v2_9!N63,householdfinance_v2_8!N63,householdfinance_v2_7!N63,householdfinance_v2_6!N63,householdfinance_v2_10!N63)/COUNT(householdfinance_v2_9!N63,householdfinance_v2_8!N63,householdfinance_v2_7!N63,householdfinance_v2_6!N63,householdfinance_v2_10!N63),0))</f>
        <v>1</v>
      </c>
      <c r="O63">
        <f>IF($E63=0,"NA",ROUND(SUM(householdfinance_v2_9!O63,householdfinance_v2_8!O63,householdfinance_v2_7!O63,householdfinance_v2_6!O63,householdfinance_v2_10!O63)/COUNT(householdfinance_v2_9!O63,householdfinance_v2_8!O63,householdfinance_v2_7!O63,householdfinance_v2_6!O63,householdfinance_v2_10!O63),0))</f>
        <v>1</v>
      </c>
    </row>
    <row r="64" spans="1:15" x14ac:dyDescent="0.25">
      <c r="A64" t="s">
        <v>94</v>
      </c>
      <c r="B64" t="s">
        <v>35</v>
      </c>
      <c r="C64">
        <v>0</v>
      </c>
      <c r="D64">
        <v>4.6189708709716797</v>
      </c>
      <c r="E64">
        <f>ROUND(SUM(householdfinance_v2_9!E64,householdfinance_v2_8!E64,householdfinance_v2_7!E64,householdfinance_v2_6!E64,householdfinance_v2_10!E64)/COUNT(householdfinance_v2_9!E64,householdfinance_v2_8!E64,householdfinance_v2_7!E64,householdfinance_v2_6!E64,householdfinance_v2_10!E64),0)</f>
        <v>1</v>
      </c>
      <c r="F64">
        <f>IF($E64=0,"NA",ROUND(SUM(householdfinance_v2_9!F64,householdfinance_v2_8!F64,householdfinance_v2_7!F64,householdfinance_v2_6!F64,householdfinance_v2_10!F64)/COUNT(householdfinance_v2_9!F64,householdfinance_v2_8!F64,householdfinance_v2_7!F64,householdfinance_v2_6!F64,householdfinance_v2_10!F64),0))</f>
        <v>1</v>
      </c>
      <c r="G64">
        <f>IF($E64=0,"NA",ROUND(SUM(householdfinance_v2_9!G64,householdfinance_v2_8!G64,householdfinance_v2_7!G64,householdfinance_v2_6!G64,householdfinance_v2_10!G64)/COUNT(householdfinance_v2_9!G64,householdfinance_v2_8!G64,householdfinance_v2_7!G64,householdfinance_v2_6!G64,householdfinance_v2_10!G64),0))</f>
        <v>1</v>
      </c>
      <c r="H64">
        <f>IF(AND(F64=1,G64=1),ROUND(SUM(householdfinance_v2_9!H64,householdfinance_v2_8!H64,householdfinance_v2_7!H64,householdfinance_v2_6!H64,householdfinance_v2_10!H64)/COUNT(householdfinance_v2_9!H64,householdfinance_v2_8!H64,householdfinance_v2_7!H64,householdfinance_v2_6!H64,householdfinance_v2_10!H64),0),"NA")</f>
        <v>0</v>
      </c>
      <c r="I64">
        <f>IF($E64=0,"NA",ROUND(SUM(householdfinance_v2_9!I64,householdfinance_v2_8!I64,householdfinance_v2_7!I64,householdfinance_v2_6!I64,householdfinance_v2_10!I64)/COUNT(householdfinance_v2_9!I64,householdfinance_v2_8!I64,householdfinance_v2_7!I64,householdfinance_v2_6!I64,householdfinance_v2_10!I64),0))</f>
        <v>1</v>
      </c>
      <c r="J64">
        <f>IF(F64=1,ROUND(SUM(householdfinance_v2_9!J64,householdfinance_v2_8!J64,householdfinance_v2_7!J64,householdfinance_v2_6!J64,householdfinance_v2_10!J64)/COUNT(householdfinance_v2_9!J64,householdfinance_v2_8!J64,householdfinance_v2_7!J64,householdfinance_v2_6!J64,householdfinance_v2_10!J64),0),"NA")</f>
        <v>1</v>
      </c>
      <c r="K64">
        <f>IF($E64=0,"NA",ROUND(SUM(householdfinance_v2_9!K64,householdfinance_v2_8!K64,householdfinance_v2_7!K64,householdfinance_v2_6!K64,householdfinance_v2_10!K64)/COUNT(householdfinance_v2_9!K64,householdfinance_v2_8!K64,householdfinance_v2_7!K64,householdfinance_v2_6!K64,householdfinance_v2_10!K64),0))</f>
        <v>1</v>
      </c>
      <c r="L64">
        <f>IF($E64=0,"NA",ROUND(SUM(householdfinance_v2_9!L64,householdfinance_v2_8!L64,householdfinance_v2_7!L64,householdfinance_v2_6!L64,householdfinance_v2_10!L64)/COUNT(householdfinance_v2_9!L64,householdfinance_v2_8!L64,householdfinance_v2_7!L64,householdfinance_v2_6!L64,householdfinance_v2_10!L64),0))</f>
        <v>1</v>
      </c>
      <c r="M64">
        <f>IF($E64=0,"NA",ROUND(SUM(householdfinance_v2_9!M64,householdfinance_v2_8!M64,householdfinance_v2_7!M64,householdfinance_v2_6!M64,householdfinance_v2_10!M64)/COUNT(householdfinance_v2_9!M64,householdfinance_v2_8!M64,householdfinance_v2_7!M64,householdfinance_v2_6!M64,householdfinance_v2_10!M64),0))</f>
        <v>1</v>
      </c>
      <c r="N64">
        <f>IF($E64=0,"NA",ROUND(SUM(householdfinance_v2_9!N64,householdfinance_v2_8!N64,householdfinance_v2_7!N64,householdfinance_v2_6!N64,householdfinance_v2_10!N64)/COUNT(householdfinance_v2_9!N64,householdfinance_v2_8!N64,householdfinance_v2_7!N64,householdfinance_v2_6!N64,householdfinance_v2_10!N64),0))</f>
        <v>1</v>
      </c>
      <c r="O64">
        <f>IF($E64=0,"NA",ROUND(SUM(householdfinance_v2_9!O64,householdfinance_v2_8!O64,householdfinance_v2_7!O64,householdfinance_v2_6!O64,householdfinance_v2_10!O64)/COUNT(householdfinance_v2_9!O64,householdfinance_v2_8!O64,householdfinance_v2_7!O64,householdfinance_v2_6!O64,householdfinance_v2_10!O64),0))</f>
        <v>1</v>
      </c>
    </row>
    <row r="65" spans="1:15" x14ac:dyDescent="0.25">
      <c r="A65" t="s">
        <v>94</v>
      </c>
      <c r="B65" t="s">
        <v>36</v>
      </c>
      <c r="C65">
        <v>0</v>
      </c>
      <c r="D65">
        <v>10.27255201339722</v>
      </c>
      <c r="E65">
        <f>ROUND(SUM(householdfinance_v2_9!E65,householdfinance_v2_8!E65,householdfinance_v2_7!E65,householdfinance_v2_6!E65,householdfinance_v2_10!E65)/COUNT(householdfinance_v2_9!E65,householdfinance_v2_8!E65,householdfinance_v2_7!E65,householdfinance_v2_6!E65,householdfinance_v2_10!E65),0)</f>
        <v>1</v>
      </c>
      <c r="F65">
        <f>IF($E65=0,"NA",ROUND(SUM(householdfinance_v2_9!F65,householdfinance_v2_8!F65,householdfinance_v2_7!F65,householdfinance_v2_6!F65,householdfinance_v2_10!F65)/COUNT(householdfinance_v2_9!F65,householdfinance_v2_8!F65,householdfinance_v2_7!F65,householdfinance_v2_6!F65,householdfinance_v2_10!F65),0))</f>
        <v>1</v>
      </c>
      <c r="G65">
        <f>IF($E65=0,"NA",ROUND(SUM(householdfinance_v2_9!G65,householdfinance_v2_8!G65,householdfinance_v2_7!G65,householdfinance_v2_6!G65,householdfinance_v2_10!G65)/COUNT(householdfinance_v2_9!G65,householdfinance_v2_8!G65,householdfinance_v2_7!G65,householdfinance_v2_6!G65,householdfinance_v2_10!G65),0))</f>
        <v>1</v>
      </c>
      <c r="H65">
        <f>IF(AND(F65=1,G65=1),ROUND(SUM(householdfinance_v2_9!H65,householdfinance_v2_8!H65,householdfinance_v2_7!H65,householdfinance_v2_6!H65,householdfinance_v2_10!H65)/COUNT(householdfinance_v2_9!H65,householdfinance_v2_8!H65,householdfinance_v2_7!H65,householdfinance_v2_6!H65,householdfinance_v2_10!H65),0),"NA")</f>
        <v>1</v>
      </c>
      <c r="I65">
        <f>IF($E65=0,"NA",ROUND(SUM(householdfinance_v2_9!I65,householdfinance_v2_8!I65,householdfinance_v2_7!I65,householdfinance_v2_6!I65,householdfinance_v2_10!I65)/COUNT(householdfinance_v2_9!I65,householdfinance_v2_8!I65,householdfinance_v2_7!I65,householdfinance_v2_6!I65,householdfinance_v2_10!I65),0))</f>
        <v>1</v>
      </c>
      <c r="J65">
        <f>IF(F65=1,ROUND(SUM(householdfinance_v2_9!J65,householdfinance_v2_8!J65,householdfinance_v2_7!J65,householdfinance_v2_6!J65,householdfinance_v2_10!J65)/COUNT(householdfinance_v2_9!J65,householdfinance_v2_8!J65,householdfinance_v2_7!J65,householdfinance_v2_6!J65,householdfinance_v2_10!J65),0),"NA")</f>
        <v>1</v>
      </c>
      <c r="K65">
        <f>IF($E65=0,"NA",ROUND(SUM(householdfinance_v2_9!K65,householdfinance_v2_8!K65,householdfinance_v2_7!K65,householdfinance_v2_6!K65,householdfinance_v2_10!K65)/COUNT(householdfinance_v2_9!K65,householdfinance_v2_8!K65,householdfinance_v2_7!K65,householdfinance_v2_6!K65,householdfinance_v2_10!K65),0))</f>
        <v>1</v>
      </c>
      <c r="L65">
        <f>IF($E65=0,"NA",ROUND(SUM(householdfinance_v2_9!L65,householdfinance_v2_8!L65,householdfinance_v2_7!L65,householdfinance_v2_6!L65,householdfinance_v2_10!L65)/COUNT(householdfinance_v2_9!L65,householdfinance_v2_8!L65,householdfinance_v2_7!L65,householdfinance_v2_6!L65,householdfinance_v2_10!L65),0))</f>
        <v>1</v>
      </c>
      <c r="M65">
        <f>IF($E65=0,"NA",ROUND(SUM(householdfinance_v2_9!M65,householdfinance_v2_8!M65,householdfinance_v2_7!M65,householdfinance_v2_6!M65,householdfinance_v2_10!M65)/COUNT(householdfinance_v2_9!M65,householdfinance_v2_8!M65,householdfinance_v2_7!M65,householdfinance_v2_6!M65,householdfinance_v2_10!M65),0))</f>
        <v>1</v>
      </c>
      <c r="N65">
        <f>IF($E65=0,"NA",ROUND(SUM(householdfinance_v2_9!N65,householdfinance_v2_8!N65,householdfinance_v2_7!N65,householdfinance_v2_6!N65,householdfinance_v2_10!N65)/COUNT(householdfinance_v2_9!N65,householdfinance_v2_8!N65,householdfinance_v2_7!N65,householdfinance_v2_6!N65,householdfinance_v2_10!N65),0))</f>
        <v>1</v>
      </c>
      <c r="O65">
        <f>IF($E65=0,"NA",ROUND(SUM(householdfinance_v2_9!O65,householdfinance_v2_8!O65,householdfinance_v2_7!O65,householdfinance_v2_6!O65,householdfinance_v2_10!O65)/COUNT(householdfinance_v2_9!O65,householdfinance_v2_8!O65,householdfinance_v2_7!O65,householdfinance_v2_6!O65,householdfinance_v2_10!O65),0))</f>
        <v>1</v>
      </c>
    </row>
    <row r="66" spans="1:15" x14ac:dyDescent="0.25">
      <c r="A66" t="s">
        <v>94</v>
      </c>
      <c r="B66" t="s">
        <v>37</v>
      </c>
      <c r="C66">
        <v>0</v>
      </c>
      <c r="D66">
        <v>2.7180023193359379</v>
      </c>
      <c r="E66">
        <f>ROUND(SUM(householdfinance_v2_9!E66,householdfinance_v2_8!E66,householdfinance_v2_7!E66,householdfinance_v2_6!E66,householdfinance_v2_10!E66)/COUNT(householdfinance_v2_9!E66,householdfinance_v2_8!E66,householdfinance_v2_7!E66,householdfinance_v2_6!E66,householdfinance_v2_10!E66),0)</f>
        <v>1</v>
      </c>
      <c r="F66">
        <f>IF($E66=0,"NA",ROUND(SUM(householdfinance_v2_9!F66,householdfinance_v2_8!F66,householdfinance_v2_7!F66,householdfinance_v2_6!F66,householdfinance_v2_10!F66)/COUNT(householdfinance_v2_9!F66,householdfinance_v2_8!F66,householdfinance_v2_7!F66,householdfinance_v2_6!F66,householdfinance_v2_10!F66),0))</f>
        <v>1</v>
      </c>
      <c r="G66">
        <f>IF($E66=0,"NA",ROUND(SUM(householdfinance_v2_9!G66,householdfinance_v2_8!G66,householdfinance_v2_7!G66,householdfinance_v2_6!G66,householdfinance_v2_10!G66)/COUNT(householdfinance_v2_9!G66,householdfinance_v2_8!G66,householdfinance_v2_7!G66,householdfinance_v2_6!G66,householdfinance_v2_10!G66),0))</f>
        <v>1</v>
      </c>
      <c r="H66">
        <f>IF(AND(F66=1,G66=1),ROUND(SUM(householdfinance_v2_9!H66,householdfinance_v2_8!H66,householdfinance_v2_7!H66,householdfinance_v2_6!H66,householdfinance_v2_10!H66)/COUNT(householdfinance_v2_9!H66,householdfinance_v2_8!H66,householdfinance_v2_7!H66,householdfinance_v2_6!H66,householdfinance_v2_10!H66),0),"NA")</f>
        <v>1</v>
      </c>
      <c r="I66">
        <f>IF($E66=0,"NA",ROUND(SUM(householdfinance_v2_9!I66,householdfinance_v2_8!I66,householdfinance_v2_7!I66,householdfinance_v2_6!I66,householdfinance_v2_10!I66)/COUNT(householdfinance_v2_9!I66,householdfinance_v2_8!I66,householdfinance_v2_7!I66,householdfinance_v2_6!I66,householdfinance_v2_10!I66),0))</f>
        <v>1</v>
      </c>
      <c r="J66">
        <f>IF(F66=1,ROUND(SUM(householdfinance_v2_9!J66,householdfinance_v2_8!J66,householdfinance_v2_7!J66,householdfinance_v2_6!J66,householdfinance_v2_10!J66)/COUNT(householdfinance_v2_9!J66,householdfinance_v2_8!J66,householdfinance_v2_7!J66,householdfinance_v2_6!J66,householdfinance_v2_10!J66),0),"NA")</f>
        <v>1</v>
      </c>
      <c r="K66">
        <f>IF($E66=0,"NA",ROUND(SUM(householdfinance_v2_9!K66,householdfinance_v2_8!K66,householdfinance_v2_7!K66,householdfinance_v2_6!K66,householdfinance_v2_10!K66)/COUNT(householdfinance_v2_9!K66,householdfinance_v2_8!K66,householdfinance_v2_7!K66,householdfinance_v2_6!K66,householdfinance_v2_10!K66),0))</f>
        <v>1</v>
      </c>
      <c r="L66">
        <f>IF($E66=0,"NA",ROUND(SUM(householdfinance_v2_9!L66,householdfinance_v2_8!L66,householdfinance_v2_7!L66,householdfinance_v2_6!L66,householdfinance_v2_10!L66)/COUNT(householdfinance_v2_9!L66,householdfinance_v2_8!L66,householdfinance_v2_7!L66,householdfinance_v2_6!L66,householdfinance_v2_10!L66),0))</f>
        <v>1</v>
      </c>
      <c r="M66">
        <f>IF($E66=0,"NA",ROUND(SUM(householdfinance_v2_9!M66,householdfinance_v2_8!M66,householdfinance_v2_7!M66,householdfinance_v2_6!M66,householdfinance_v2_10!M66)/COUNT(householdfinance_v2_9!M66,householdfinance_v2_8!M66,householdfinance_v2_7!M66,householdfinance_v2_6!M66,householdfinance_v2_10!M66),0))</f>
        <v>1</v>
      </c>
      <c r="N66">
        <f>IF($E66=0,"NA",ROUND(SUM(householdfinance_v2_9!N66,householdfinance_v2_8!N66,householdfinance_v2_7!N66,householdfinance_v2_6!N66,householdfinance_v2_10!N66)/COUNT(householdfinance_v2_9!N66,householdfinance_v2_8!N66,householdfinance_v2_7!N66,householdfinance_v2_6!N66,householdfinance_v2_10!N66),0))</f>
        <v>1</v>
      </c>
      <c r="O66">
        <f>IF($E66=0,"NA",ROUND(SUM(householdfinance_v2_9!O66,householdfinance_v2_8!O66,householdfinance_v2_7!O66,householdfinance_v2_6!O66,householdfinance_v2_10!O66)/COUNT(householdfinance_v2_9!O66,householdfinance_v2_8!O66,householdfinance_v2_7!O66,householdfinance_v2_6!O66,householdfinance_v2_10!O66),0))</f>
        <v>1</v>
      </c>
    </row>
    <row r="67" spans="1:15" x14ac:dyDescent="0.25">
      <c r="A67" t="s">
        <v>94</v>
      </c>
      <c r="B67" t="s">
        <v>39</v>
      </c>
      <c r="C67">
        <v>0</v>
      </c>
      <c r="D67">
        <v>9.9166667461395264</v>
      </c>
      <c r="E67">
        <f>ROUND(SUM(householdfinance_v2_9!E67,householdfinance_v2_8!E67,householdfinance_v2_7!E67,householdfinance_v2_6!E67,householdfinance_v2_10!E67)/COUNT(householdfinance_v2_9!E67,householdfinance_v2_8!E67,householdfinance_v2_7!E67,householdfinance_v2_6!E67,householdfinance_v2_10!E67),0)</f>
        <v>1</v>
      </c>
      <c r="F67">
        <f>IF($E67=0,"NA",ROUND(SUM(householdfinance_v2_9!F67,householdfinance_v2_8!F67,householdfinance_v2_7!F67,householdfinance_v2_6!F67,householdfinance_v2_10!F67)/COUNT(householdfinance_v2_9!F67,householdfinance_v2_8!F67,householdfinance_v2_7!F67,householdfinance_v2_6!F67,householdfinance_v2_10!F67),0))</f>
        <v>1</v>
      </c>
      <c r="G67">
        <f>IF($E67=0,"NA",ROUND(SUM(householdfinance_v2_9!G67,householdfinance_v2_8!G67,householdfinance_v2_7!G67,householdfinance_v2_6!G67,householdfinance_v2_10!G67)/COUNT(householdfinance_v2_9!G67,householdfinance_v2_8!G67,householdfinance_v2_7!G67,householdfinance_v2_6!G67,householdfinance_v2_10!G67),0))</f>
        <v>1</v>
      </c>
      <c r="H67">
        <f>IF(AND(F67=1,G67=1),ROUND(SUM(householdfinance_v2_9!H67,householdfinance_v2_8!H67,householdfinance_v2_7!H67,householdfinance_v2_6!H67,householdfinance_v2_10!H67)/COUNT(householdfinance_v2_9!H67,householdfinance_v2_8!H67,householdfinance_v2_7!H67,householdfinance_v2_6!H67,householdfinance_v2_10!H67),0),"NA")</f>
        <v>1</v>
      </c>
      <c r="I67">
        <f>IF($E67=0,"NA",ROUND(SUM(householdfinance_v2_9!I67,householdfinance_v2_8!I67,householdfinance_v2_7!I67,householdfinance_v2_6!I67,householdfinance_v2_10!I67)/COUNT(householdfinance_v2_9!I67,householdfinance_v2_8!I67,householdfinance_v2_7!I67,householdfinance_v2_6!I67,householdfinance_v2_10!I67),0))</f>
        <v>1</v>
      </c>
      <c r="J67">
        <f>IF(F67=1,ROUND(SUM(householdfinance_v2_9!J67,householdfinance_v2_8!J67,householdfinance_v2_7!J67,householdfinance_v2_6!J67,householdfinance_v2_10!J67)/COUNT(householdfinance_v2_9!J67,householdfinance_v2_8!J67,householdfinance_v2_7!J67,householdfinance_v2_6!J67,householdfinance_v2_10!J67),0),"NA")</f>
        <v>1</v>
      </c>
      <c r="K67">
        <f>IF($E67=0,"NA",ROUND(SUM(householdfinance_v2_9!K67,householdfinance_v2_8!K67,householdfinance_v2_7!K67,householdfinance_v2_6!K67,householdfinance_v2_10!K67)/COUNT(householdfinance_v2_9!K67,householdfinance_v2_8!K67,householdfinance_v2_7!K67,householdfinance_v2_6!K67,householdfinance_v2_10!K67),0))</f>
        <v>1</v>
      </c>
      <c r="L67">
        <f>IF($E67=0,"NA",ROUND(SUM(householdfinance_v2_9!L67,householdfinance_v2_8!L67,householdfinance_v2_7!L67,householdfinance_v2_6!L67,householdfinance_v2_10!L67)/COUNT(householdfinance_v2_9!L67,householdfinance_v2_8!L67,householdfinance_v2_7!L67,householdfinance_v2_6!L67,householdfinance_v2_10!L67),0))</f>
        <v>1</v>
      </c>
      <c r="M67">
        <f>IF($E67=0,"NA",ROUND(SUM(householdfinance_v2_9!M67,householdfinance_v2_8!M67,householdfinance_v2_7!M67,householdfinance_v2_6!M67,householdfinance_v2_10!M67)/COUNT(householdfinance_v2_9!M67,householdfinance_v2_8!M67,householdfinance_v2_7!M67,householdfinance_v2_6!M67,householdfinance_v2_10!M67),0))</f>
        <v>1</v>
      </c>
      <c r="N67">
        <f>IF($E67=0,"NA",ROUND(SUM(householdfinance_v2_9!N67,householdfinance_v2_8!N67,householdfinance_v2_7!N67,householdfinance_v2_6!N67,householdfinance_v2_10!N67)/COUNT(householdfinance_v2_9!N67,householdfinance_v2_8!N67,householdfinance_v2_7!N67,householdfinance_v2_6!N67,householdfinance_v2_10!N67),0))</f>
        <v>1</v>
      </c>
      <c r="O67">
        <f>IF($E67=0,"NA",ROUND(SUM(householdfinance_v2_9!O67,householdfinance_v2_8!O67,householdfinance_v2_7!O67,householdfinance_v2_6!O67,householdfinance_v2_10!O67)/COUNT(householdfinance_v2_9!O67,householdfinance_v2_8!O67,householdfinance_v2_7!O67,householdfinance_v2_6!O67,householdfinance_v2_10!O67),0))</f>
        <v>1</v>
      </c>
    </row>
    <row r="68" spans="1:15" x14ac:dyDescent="0.25">
      <c r="A68" t="s">
        <v>94</v>
      </c>
      <c r="B68" t="s">
        <v>40</v>
      </c>
      <c r="C68">
        <v>0</v>
      </c>
      <c r="D68">
        <v>9.7558574676513672</v>
      </c>
      <c r="E68">
        <f>ROUND(SUM(householdfinance_v2_9!E68,householdfinance_v2_8!E68,householdfinance_v2_7!E68,householdfinance_v2_6!E68,householdfinance_v2_10!E68)/COUNT(householdfinance_v2_9!E68,householdfinance_v2_8!E68,householdfinance_v2_7!E68,householdfinance_v2_6!E68,householdfinance_v2_10!E68),0)</f>
        <v>1</v>
      </c>
      <c r="F68">
        <f>IF($E68=0,"NA",ROUND(SUM(householdfinance_v2_9!F68,householdfinance_v2_8!F68,householdfinance_v2_7!F68,householdfinance_v2_6!F68,householdfinance_v2_10!F68)/COUNT(householdfinance_v2_9!F68,householdfinance_v2_8!F68,householdfinance_v2_7!F68,householdfinance_v2_6!F68,householdfinance_v2_10!F68),0))</f>
        <v>1</v>
      </c>
      <c r="G68">
        <f>IF($E68=0,"NA",ROUND(SUM(householdfinance_v2_9!G68,householdfinance_v2_8!G68,householdfinance_v2_7!G68,householdfinance_v2_6!G68,householdfinance_v2_10!G68)/COUNT(householdfinance_v2_9!G68,householdfinance_v2_8!G68,householdfinance_v2_7!G68,householdfinance_v2_6!G68,householdfinance_v2_10!G68),0))</f>
        <v>1</v>
      </c>
      <c r="H68">
        <f>IF(AND(F68=1,G68=1),ROUND(SUM(householdfinance_v2_9!H68,householdfinance_v2_8!H68,householdfinance_v2_7!H68,householdfinance_v2_6!H68,householdfinance_v2_10!H68)/COUNT(householdfinance_v2_9!H68,householdfinance_v2_8!H68,householdfinance_v2_7!H68,householdfinance_v2_6!H68,householdfinance_v2_10!H68),0),"NA")</f>
        <v>1</v>
      </c>
      <c r="I68">
        <f>IF($E68=0,"NA",ROUND(SUM(householdfinance_v2_9!I68,householdfinance_v2_8!I68,householdfinance_v2_7!I68,householdfinance_v2_6!I68,householdfinance_v2_10!I68)/COUNT(householdfinance_v2_9!I68,householdfinance_v2_8!I68,householdfinance_v2_7!I68,householdfinance_v2_6!I68,householdfinance_v2_10!I68),0))</f>
        <v>1</v>
      </c>
      <c r="J68">
        <f>IF(F68=1,ROUND(SUM(householdfinance_v2_9!J68,householdfinance_v2_8!J68,householdfinance_v2_7!J68,householdfinance_v2_6!J68,householdfinance_v2_10!J68)/COUNT(householdfinance_v2_9!J68,householdfinance_v2_8!J68,householdfinance_v2_7!J68,householdfinance_v2_6!J68,householdfinance_v2_10!J68),0),"NA")</f>
        <v>1</v>
      </c>
      <c r="K68">
        <f>IF($E68=0,"NA",ROUND(SUM(householdfinance_v2_9!K68,householdfinance_v2_8!K68,householdfinance_v2_7!K68,householdfinance_v2_6!K68,householdfinance_v2_10!K68)/COUNT(householdfinance_v2_9!K68,householdfinance_v2_8!K68,householdfinance_v2_7!K68,householdfinance_v2_6!K68,householdfinance_v2_10!K68),0))</f>
        <v>1</v>
      </c>
      <c r="L68">
        <f>IF($E68=0,"NA",ROUND(SUM(householdfinance_v2_9!L68,householdfinance_v2_8!L68,householdfinance_v2_7!L68,householdfinance_v2_6!L68,householdfinance_v2_10!L68)/COUNT(householdfinance_v2_9!L68,householdfinance_v2_8!L68,householdfinance_v2_7!L68,householdfinance_v2_6!L68,householdfinance_v2_10!L68),0))</f>
        <v>1</v>
      </c>
      <c r="M68">
        <f>IF($E68=0,"NA",ROUND(SUM(householdfinance_v2_9!M68,householdfinance_v2_8!M68,householdfinance_v2_7!M68,householdfinance_v2_6!M68,householdfinance_v2_10!M68)/COUNT(householdfinance_v2_9!M68,householdfinance_v2_8!M68,householdfinance_v2_7!M68,householdfinance_v2_6!M68,householdfinance_v2_10!M68),0))</f>
        <v>1</v>
      </c>
      <c r="N68">
        <f>IF($E68=0,"NA",ROUND(SUM(householdfinance_v2_9!N68,householdfinance_v2_8!N68,householdfinance_v2_7!N68,householdfinance_v2_6!N68,householdfinance_v2_10!N68)/COUNT(householdfinance_v2_9!N68,householdfinance_v2_8!N68,householdfinance_v2_7!N68,householdfinance_v2_6!N68,householdfinance_v2_10!N68),0))</f>
        <v>1</v>
      </c>
      <c r="O68">
        <f>IF($E68=0,"NA",ROUND(SUM(householdfinance_v2_9!O68,householdfinance_v2_8!O68,householdfinance_v2_7!O68,householdfinance_v2_6!O68,householdfinance_v2_10!O68)/COUNT(householdfinance_v2_9!O68,householdfinance_v2_8!O68,householdfinance_v2_7!O68,householdfinance_v2_6!O68,householdfinance_v2_10!O68),0))</f>
        <v>1</v>
      </c>
    </row>
    <row r="69" spans="1:15" x14ac:dyDescent="0.25">
      <c r="A69" t="s">
        <v>94</v>
      </c>
      <c r="B69" t="s">
        <v>41</v>
      </c>
      <c r="C69">
        <v>0</v>
      </c>
      <c r="D69">
        <v>9.2426660060882568</v>
      </c>
      <c r="E69">
        <f>ROUND(SUM(householdfinance_v2_9!E69,householdfinance_v2_8!E69,householdfinance_v2_7!E69,householdfinance_v2_6!E69,householdfinance_v2_10!E69)/COUNT(householdfinance_v2_9!E69,householdfinance_v2_8!E69,householdfinance_v2_7!E69,householdfinance_v2_6!E69,householdfinance_v2_10!E69),0)</f>
        <v>1</v>
      </c>
      <c r="F69">
        <f>IF($E69=0,"NA",ROUND(SUM(householdfinance_v2_9!F69,householdfinance_v2_8!F69,householdfinance_v2_7!F69,householdfinance_v2_6!F69,householdfinance_v2_10!F69)/COUNT(householdfinance_v2_9!F69,householdfinance_v2_8!F69,householdfinance_v2_7!F69,householdfinance_v2_6!F69,householdfinance_v2_10!F69),0))</f>
        <v>1</v>
      </c>
      <c r="G69">
        <f>IF($E69=0,"NA",ROUND(SUM(householdfinance_v2_9!G69,householdfinance_v2_8!G69,householdfinance_v2_7!G69,householdfinance_v2_6!G69,householdfinance_v2_10!G69)/COUNT(householdfinance_v2_9!G69,householdfinance_v2_8!G69,householdfinance_v2_7!G69,householdfinance_v2_6!G69,householdfinance_v2_10!G69),0))</f>
        <v>1</v>
      </c>
      <c r="H69">
        <f>IF(AND(F69=1,G69=1),ROUND(SUM(householdfinance_v2_9!H69,householdfinance_v2_8!H69,householdfinance_v2_7!H69,householdfinance_v2_6!H69,householdfinance_v2_10!H69)/COUNT(householdfinance_v2_9!H69,householdfinance_v2_8!H69,householdfinance_v2_7!H69,householdfinance_v2_6!H69,householdfinance_v2_10!H69),0),"NA")</f>
        <v>1</v>
      </c>
      <c r="I69">
        <f>IF($E69=0,"NA",ROUND(SUM(householdfinance_v2_9!I69,householdfinance_v2_8!I69,householdfinance_v2_7!I69,householdfinance_v2_6!I69,householdfinance_v2_10!I69)/COUNT(householdfinance_v2_9!I69,householdfinance_v2_8!I69,householdfinance_v2_7!I69,householdfinance_v2_6!I69,householdfinance_v2_10!I69),0))</f>
        <v>1</v>
      </c>
      <c r="J69">
        <f>IF(F69=1,ROUND(SUM(householdfinance_v2_9!J69,householdfinance_v2_8!J69,householdfinance_v2_7!J69,householdfinance_v2_6!J69,householdfinance_v2_10!J69)/COUNT(householdfinance_v2_9!J69,householdfinance_v2_8!J69,householdfinance_v2_7!J69,householdfinance_v2_6!J69,householdfinance_v2_10!J69),0),"NA")</f>
        <v>1</v>
      </c>
      <c r="K69">
        <f>IF($E69=0,"NA",ROUND(SUM(householdfinance_v2_9!K69,householdfinance_v2_8!K69,householdfinance_v2_7!K69,householdfinance_v2_6!K69,householdfinance_v2_10!K69)/COUNT(householdfinance_v2_9!K69,householdfinance_v2_8!K69,householdfinance_v2_7!K69,householdfinance_v2_6!K69,householdfinance_v2_10!K69),0))</f>
        <v>1</v>
      </c>
      <c r="L69">
        <f>IF($E69=0,"NA",ROUND(SUM(householdfinance_v2_9!L69,householdfinance_v2_8!L69,householdfinance_v2_7!L69,householdfinance_v2_6!L69,householdfinance_v2_10!L69)/COUNT(householdfinance_v2_9!L69,householdfinance_v2_8!L69,householdfinance_v2_7!L69,householdfinance_v2_6!L69,householdfinance_v2_10!L69),0))</f>
        <v>1</v>
      </c>
      <c r="M69">
        <f>IF($E69=0,"NA",ROUND(SUM(householdfinance_v2_9!M69,householdfinance_v2_8!M69,householdfinance_v2_7!M69,householdfinance_v2_6!M69,householdfinance_v2_10!M69)/COUNT(householdfinance_v2_9!M69,householdfinance_v2_8!M69,householdfinance_v2_7!M69,householdfinance_v2_6!M69,householdfinance_v2_10!M69),0))</f>
        <v>1</v>
      </c>
      <c r="N69">
        <f>IF($E69=0,"NA",ROUND(SUM(householdfinance_v2_9!N69,householdfinance_v2_8!N69,householdfinance_v2_7!N69,householdfinance_v2_6!N69,householdfinance_v2_10!N69)/COUNT(householdfinance_v2_9!N69,householdfinance_v2_8!N69,householdfinance_v2_7!N69,householdfinance_v2_6!N69,householdfinance_v2_10!N69),0))</f>
        <v>1</v>
      </c>
      <c r="O69">
        <f>IF($E69=0,"NA",ROUND(SUM(householdfinance_v2_9!O69,householdfinance_v2_8!O69,householdfinance_v2_7!O69,householdfinance_v2_6!O69,householdfinance_v2_10!O69)/COUNT(householdfinance_v2_9!O69,householdfinance_v2_8!O69,householdfinance_v2_7!O69,householdfinance_v2_6!O69,householdfinance_v2_10!O69),0))</f>
        <v>1</v>
      </c>
    </row>
    <row r="70" spans="1:15" x14ac:dyDescent="0.25">
      <c r="A70" t="s">
        <v>94</v>
      </c>
      <c r="B70" t="s">
        <v>42</v>
      </c>
      <c r="C70">
        <v>0</v>
      </c>
      <c r="D70">
        <v>8.8443889617919922</v>
      </c>
      <c r="E70">
        <f>ROUND(SUM(householdfinance_v2_9!E70,householdfinance_v2_8!E70,householdfinance_v2_7!E70,householdfinance_v2_6!E70,householdfinance_v2_10!E70)/COUNT(householdfinance_v2_9!E70,householdfinance_v2_8!E70,householdfinance_v2_7!E70,householdfinance_v2_6!E70,householdfinance_v2_10!E70),0)</f>
        <v>1</v>
      </c>
      <c r="F70">
        <f>IF($E70=0,"NA",ROUND(SUM(householdfinance_v2_9!F70,householdfinance_v2_8!F70,householdfinance_v2_7!F70,householdfinance_v2_6!F70,householdfinance_v2_10!F70)/COUNT(householdfinance_v2_9!F70,householdfinance_v2_8!F70,householdfinance_v2_7!F70,householdfinance_v2_6!F70,householdfinance_v2_10!F70),0))</f>
        <v>1</v>
      </c>
      <c r="G70">
        <f>IF($E70=0,"NA",ROUND(SUM(householdfinance_v2_9!G70,householdfinance_v2_8!G70,householdfinance_v2_7!G70,householdfinance_v2_6!G70,householdfinance_v2_10!G70)/COUNT(householdfinance_v2_9!G70,householdfinance_v2_8!G70,householdfinance_v2_7!G70,householdfinance_v2_6!G70,householdfinance_v2_10!G70),0))</f>
        <v>1</v>
      </c>
      <c r="H70">
        <f>IF(AND(F70=1,G70=1),ROUND(SUM(householdfinance_v2_9!H70,householdfinance_v2_8!H70,householdfinance_v2_7!H70,householdfinance_v2_6!H70,householdfinance_v2_10!H70)/COUNT(householdfinance_v2_9!H70,householdfinance_v2_8!H70,householdfinance_v2_7!H70,householdfinance_v2_6!H70,householdfinance_v2_10!H70),0),"NA")</f>
        <v>1</v>
      </c>
      <c r="I70">
        <f>IF($E70=0,"NA",ROUND(SUM(householdfinance_v2_9!I70,householdfinance_v2_8!I70,householdfinance_v2_7!I70,householdfinance_v2_6!I70,householdfinance_v2_10!I70)/COUNT(householdfinance_v2_9!I70,householdfinance_v2_8!I70,householdfinance_v2_7!I70,householdfinance_v2_6!I70,householdfinance_v2_10!I70),0))</f>
        <v>1</v>
      </c>
      <c r="J70">
        <f>IF(F70=1,ROUND(SUM(householdfinance_v2_9!J70,householdfinance_v2_8!J70,householdfinance_v2_7!J70,householdfinance_v2_6!J70,householdfinance_v2_10!J70)/COUNT(householdfinance_v2_9!J70,householdfinance_v2_8!J70,householdfinance_v2_7!J70,householdfinance_v2_6!J70,householdfinance_v2_10!J70),0),"NA")</f>
        <v>1</v>
      </c>
      <c r="K70">
        <f>IF($E70=0,"NA",ROUND(SUM(householdfinance_v2_9!K70,householdfinance_v2_8!K70,householdfinance_v2_7!K70,householdfinance_v2_6!K70,householdfinance_v2_10!K70)/COUNT(householdfinance_v2_9!K70,householdfinance_v2_8!K70,householdfinance_v2_7!K70,householdfinance_v2_6!K70,householdfinance_v2_10!K70),0))</f>
        <v>1</v>
      </c>
      <c r="L70">
        <f>IF($E70=0,"NA",ROUND(SUM(householdfinance_v2_9!L70,householdfinance_v2_8!L70,householdfinance_v2_7!L70,householdfinance_v2_6!L70,householdfinance_v2_10!L70)/COUNT(householdfinance_v2_9!L70,householdfinance_v2_8!L70,householdfinance_v2_7!L70,householdfinance_v2_6!L70,householdfinance_v2_10!L70),0))</f>
        <v>1</v>
      </c>
      <c r="M70">
        <f>IF($E70=0,"NA",ROUND(SUM(householdfinance_v2_9!M70,householdfinance_v2_8!M70,householdfinance_v2_7!M70,householdfinance_v2_6!M70,householdfinance_v2_10!M70)/COUNT(householdfinance_v2_9!M70,householdfinance_v2_8!M70,householdfinance_v2_7!M70,householdfinance_v2_6!M70,householdfinance_v2_10!M70),0))</f>
        <v>1</v>
      </c>
      <c r="N70">
        <f>IF($E70=0,"NA",ROUND(SUM(householdfinance_v2_9!N70,householdfinance_v2_8!N70,householdfinance_v2_7!N70,householdfinance_v2_6!N70,householdfinance_v2_10!N70)/COUNT(householdfinance_v2_9!N70,householdfinance_v2_8!N70,householdfinance_v2_7!N70,householdfinance_v2_6!N70,householdfinance_v2_10!N70),0))</f>
        <v>1</v>
      </c>
      <c r="O70">
        <f>IF($E70=0,"NA",ROUND(SUM(householdfinance_v2_9!O70,householdfinance_v2_8!O70,householdfinance_v2_7!O70,householdfinance_v2_6!O70,householdfinance_v2_10!O70)/COUNT(householdfinance_v2_9!O70,householdfinance_v2_8!O70,householdfinance_v2_7!O70,householdfinance_v2_6!O70,householdfinance_v2_10!O70),0))</f>
        <v>1</v>
      </c>
    </row>
    <row r="71" spans="1:15" x14ac:dyDescent="0.25">
      <c r="A71" t="s">
        <v>94</v>
      </c>
      <c r="B71" t="s">
        <v>44</v>
      </c>
      <c r="C71">
        <v>0</v>
      </c>
      <c r="D71">
        <v>6.1511070728302002</v>
      </c>
      <c r="E71">
        <f>ROUND(SUM(householdfinance_v2_9!E71,householdfinance_v2_8!E71,householdfinance_v2_7!E71,householdfinance_v2_6!E71,householdfinance_v2_10!E71)/COUNT(householdfinance_v2_9!E71,householdfinance_v2_8!E71,householdfinance_v2_7!E71,householdfinance_v2_6!E71,householdfinance_v2_10!E71),0)</f>
        <v>1</v>
      </c>
      <c r="F71">
        <f>IF($E71=0,"NA",ROUND(SUM(householdfinance_v2_9!F71,householdfinance_v2_8!F71,householdfinance_v2_7!F71,householdfinance_v2_6!F71,householdfinance_v2_10!F71)/COUNT(householdfinance_v2_9!F71,householdfinance_v2_8!F71,householdfinance_v2_7!F71,householdfinance_v2_6!F71,householdfinance_v2_10!F71),0))</f>
        <v>1</v>
      </c>
      <c r="G71">
        <f>IF($E71=0,"NA",ROUND(SUM(householdfinance_v2_9!G71,householdfinance_v2_8!G71,householdfinance_v2_7!G71,householdfinance_v2_6!G71,householdfinance_v2_10!G71)/COUNT(householdfinance_v2_9!G71,householdfinance_v2_8!G71,householdfinance_v2_7!G71,householdfinance_v2_6!G71,householdfinance_v2_10!G71),0))</f>
        <v>0</v>
      </c>
      <c r="H71" t="str">
        <f>IF(AND(F71=1,G71=1),ROUND(SUM(householdfinance_v2_9!H71,householdfinance_v2_8!H71,householdfinance_v2_7!H71,householdfinance_v2_6!H71,householdfinance_v2_10!H71)/COUNT(householdfinance_v2_9!H71,householdfinance_v2_8!H71,householdfinance_v2_7!H71,householdfinance_v2_6!H71,householdfinance_v2_10!H71),0),"NA")</f>
        <v>NA</v>
      </c>
      <c r="I71">
        <f>IF($E71=0,"NA",ROUND(SUM(householdfinance_v2_9!I71,householdfinance_v2_8!I71,householdfinance_v2_7!I71,householdfinance_v2_6!I71,householdfinance_v2_10!I71)/COUNT(householdfinance_v2_9!I71,householdfinance_v2_8!I71,householdfinance_v2_7!I71,householdfinance_v2_6!I71,householdfinance_v2_10!I71),0))</f>
        <v>1</v>
      </c>
      <c r="J71">
        <f>IF(F71=1,ROUND(SUM(householdfinance_v2_9!J71,householdfinance_v2_8!J71,householdfinance_v2_7!J71,householdfinance_v2_6!J71,householdfinance_v2_10!J71)/COUNT(householdfinance_v2_9!J71,householdfinance_v2_8!J71,householdfinance_v2_7!J71,householdfinance_v2_6!J71,householdfinance_v2_10!J71),0),"NA")</f>
        <v>1</v>
      </c>
      <c r="K71">
        <f>IF($E71=0,"NA",ROUND(SUM(householdfinance_v2_9!K71,householdfinance_v2_8!K71,householdfinance_v2_7!K71,householdfinance_v2_6!K71,householdfinance_v2_10!K71)/COUNT(householdfinance_v2_9!K71,householdfinance_v2_8!K71,householdfinance_v2_7!K71,householdfinance_v2_6!K71,householdfinance_v2_10!K71),0))</f>
        <v>1</v>
      </c>
      <c r="L71">
        <f>IF($E71=0,"NA",ROUND(SUM(householdfinance_v2_9!L71,householdfinance_v2_8!L71,householdfinance_v2_7!L71,householdfinance_v2_6!L71,householdfinance_v2_10!L71)/COUNT(householdfinance_v2_9!L71,householdfinance_v2_8!L71,householdfinance_v2_7!L71,householdfinance_v2_6!L71,householdfinance_v2_10!L71),0))</f>
        <v>1</v>
      </c>
      <c r="M71">
        <f>IF($E71=0,"NA",ROUND(SUM(householdfinance_v2_9!M71,householdfinance_v2_8!M71,householdfinance_v2_7!M71,householdfinance_v2_6!M71,householdfinance_v2_10!M71)/COUNT(householdfinance_v2_9!M71,householdfinance_v2_8!M71,householdfinance_v2_7!M71,householdfinance_v2_6!M71,householdfinance_v2_10!M71),0))</f>
        <v>1</v>
      </c>
      <c r="N71">
        <f>IF($E71=0,"NA",ROUND(SUM(householdfinance_v2_9!N71,householdfinance_v2_8!N71,householdfinance_v2_7!N71,householdfinance_v2_6!N71,householdfinance_v2_10!N71)/COUNT(householdfinance_v2_9!N71,householdfinance_v2_8!N71,householdfinance_v2_7!N71,householdfinance_v2_6!N71,householdfinance_v2_10!N71),0))</f>
        <v>1</v>
      </c>
      <c r="O71">
        <f>IF($E71=0,"NA",ROUND(SUM(householdfinance_v2_9!O71,householdfinance_v2_8!O71,householdfinance_v2_7!O71,householdfinance_v2_6!O71,householdfinance_v2_10!O71)/COUNT(householdfinance_v2_9!O71,householdfinance_v2_8!O71,householdfinance_v2_7!O71,householdfinance_v2_6!O71,householdfinance_v2_10!O71),0))</f>
        <v>1</v>
      </c>
    </row>
    <row r="72" spans="1:15" x14ac:dyDescent="0.25">
      <c r="A72" t="s">
        <v>94</v>
      </c>
      <c r="B72" t="s">
        <v>46</v>
      </c>
      <c r="C72">
        <v>0</v>
      </c>
      <c r="D72">
        <v>7.4971296787261963</v>
      </c>
      <c r="E72">
        <f>ROUND(SUM(householdfinance_v2_9!E72,householdfinance_v2_8!E72,householdfinance_v2_7!E72,householdfinance_v2_6!E72,householdfinance_v2_10!E72)/COUNT(householdfinance_v2_9!E72,householdfinance_v2_8!E72,householdfinance_v2_7!E72,householdfinance_v2_6!E72,householdfinance_v2_10!E72),0)</f>
        <v>1</v>
      </c>
      <c r="F72">
        <f>IF($E72=0,"NA",ROUND(SUM(householdfinance_v2_9!F72,householdfinance_v2_8!F72,householdfinance_v2_7!F72,householdfinance_v2_6!F72,householdfinance_v2_10!F72)/COUNT(householdfinance_v2_9!F72,householdfinance_v2_8!F72,householdfinance_v2_7!F72,householdfinance_v2_6!F72,householdfinance_v2_10!F72),0))</f>
        <v>1</v>
      </c>
      <c r="G72">
        <f>IF($E72=0,"NA",ROUND(SUM(householdfinance_v2_9!G72,householdfinance_v2_8!G72,householdfinance_v2_7!G72,householdfinance_v2_6!G72,householdfinance_v2_10!G72)/COUNT(householdfinance_v2_9!G72,householdfinance_v2_8!G72,householdfinance_v2_7!G72,householdfinance_v2_6!G72,householdfinance_v2_10!G72),0))</f>
        <v>1</v>
      </c>
      <c r="H72">
        <f>IF(AND(F72=1,G72=1),ROUND(SUM(householdfinance_v2_9!H72,householdfinance_v2_8!H72,householdfinance_v2_7!H72,householdfinance_v2_6!H72,householdfinance_v2_10!H72)/COUNT(householdfinance_v2_9!H72,householdfinance_v2_8!H72,householdfinance_v2_7!H72,householdfinance_v2_6!H72,householdfinance_v2_10!H72),0),"NA")</f>
        <v>1</v>
      </c>
      <c r="I72">
        <f>IF($E72=0,"NA",ROUND(SUM(householdfinance_v2_9!I72,householdfinance_v2_8!I72,householdfinance_v2_7!I72,householdfinance_v2_6!I72,householdfinance_v2_10!I72)/COUNT(householdfinance_v2_9!I72,householdfinance_v2_8!I72,householdfinance_v2_7!I72,householdfinance_v2_6!I72,householdfinance_v2_10!I72),0))</f>
        <v>1</v>
      </c>
      <c r="J72">
        <f>IF(F72=1,ROUND(SUM(householdfinance_v2_9!J72,householdfinance_v2_8!J72,householdfinance_v2_7!J72,householdfinance_v2_6!J72,householdfinance_v2_10!J72)/COUNT(householdfinance_v2_9!J72,householdfinance_v2_8!J72,householdfinance_v2_7!J72,householdfinance_v2_6!J72,householdfinance_v2_10!J72),0),"NA")</f>
        <v>1</v>
      </c>
      <c r="K72">
        <f>IF($E72=0,"NA",ROUND(SUM(householdfinance_v2_9!K72,householdfinance_v2_8!K72,householdfinance_v2_7!K72,householdfinance_v2_6!K72,householdfinance_v2_10!K72)/COUNT(householdfinance_v2_9!K72,householdfinance_v2_8!K72,householdfinance_v2_7!K72,householdfinance_v2_6!K72,householdfinance_v2_10!K72),0))</f>
        <v>1</v>
      </c>
      <c r="L72">
        <f>IF($E72=0,"NA",ROUND(SUM(householdfinance_v2_9!L72,householdfinance_v2_8!L72,householdfinance_v2_7!L72,householdfinance_v2_6!L72,householdfinance_v2_10!L72)/COUNT(householdfinance_v2_9!L72,householdfinance_v2_8!L72,householdfinance_v2_7!L72,householdfinance_v2_6!L72,householdfinance_v2_10!L72),0))</f>
        <v>0</v>
      </c>
      <c r="M72">
        <f>IF($E72=0,"NA",ROUND(SUM(householdfinance_v2_9!M72,householdfinance_v2_8!M72,householdfinance_v2_7!M72,householdfinance_v2_6!M72,householdfinance_v2_10!M72)/COUNT(householdfinance_v2_9!M72,householdfinance_v2_8!M72,householdfinance_v2_7!M72,householdfinance_v2_6!M72,householdfinance_v2_10!M72),0))</f>
        <v>1</v>
      </c>
      <c r="N72">
        <f>IF($E72=0,"NA",ROUND(SUM(householdfinance_v2_9!N72,householdfinance_v2_8!N72,householdfinance_v2_7!N72,householdfinance_v2_6!N72,householdfinance_v2_10!N72)/COUNT(householdfinance_v2_9!N72,householdfinance_v2_8!N72,householdfinance_v2_7!N72,householdfinance_v2_6!N72,householdfinance_v2_10!N72),0))</f>
        <v>1</v>
      </c>
      <c r="O72">
        <f>IF($E72=0,"NA",ROUND(SUM(householdfinance_v2_9!O72,householdfinance_v2_8!O72,householdfinance_v2_7!O72,householdfinance_v2_6!O72,householdfinance_v2_10!O72)/COUNT(householdfinance_v2_9!O72,householdfinance_v2_8!O72,householdfinance_v2_7!O72,householdfinance_v2_6!O72,householdfinance_v2_10!O72),0))</f>
        <v>1</v>
      </c>
    </row>
    <row r="73" spans="1:15" x14ac:dyDescent="0.25">
      <c r="A73" t="s">
        <v>94</v>
      </c>
      <c r="B73" t="s">
        <v>48</v>
      </c>
      <c r="C73">
        <v>0</v>
      </c>
      <c r="D73">
        <v>10.295753955841059</v>
      </c>
      <c r="E73">
        <f>ROUND(SUM(householdfinance_v2_9!E73,householdfinance_v2_8!E73,householdfinance_v2_7!E73,householdfinance_v2_6!E73,householdfinance_v2_10!E73)/COUNT(householdfinance_v2_9!E73,householdfinance_v2_8!E73,householdfinance_v2_7!E73,householdfinance_v2_6!E73,householdfinance_v2_10!E73),0)</f>
        <v>1</v>
      </c>
      <c r="F73">
        <f>IF($E73=0,"NA",ROUND(SUM(householdfinance_v2_9!F73,householdfinance_v2_8!F73,householdfinance_v2_7!F73,householdfinance_v2_6!F73,householdfinance_v2_10!F73)/COUNT(householdfinance_v2_9!F73,householdfinance_v2_8!F73,householdfinance_v2_7!F73,householdfinance_v2_6!F73,householdfinance_v2_10!F73),0))</f>
        <v>1</v>
      </c>
      <c r="G73">
        <f>IF($E73=0,"NA",ROUND(SUM(householdfinance_v2_9!G73,householdfinance_v2_8!G73,householdfinance_v2_7!G73,householdfinance_v2_6!G73,householdfinance_v2_10!G73)/COUNT(householdfinance_v2_9!G73,householdfinance_v2_8!G73,householdfinance_v2_7!G73,householdfinance_v2_6!G73,householdfinance_v2_10!G73),0))</f>
        <v>1</v>
      </c>
      <c r="H73">
        <f>IF(AND(F73=1,G73=1),ROUND(SUM(householdfinance_v2_9!H73,householdfinance_v2_8!H73,householdfinance_v2_7!H73,householdfinance_v2_6!H73,householdfinance_v2_10!H73)/COUNT(householdfinance_v2_9!H73,householdfinance_v2_8!H73,householdfinance_v2_7!H73,householdfinance_v2_6!H73,householdfinance_v2_10!H73),0),"NA")</f>
        <v>1</v>
      </c>
      <c r="I73">
        <f>IF($E73=0,"NA",ROUND(SUM(householdfinance_v2_9!I73,householdfinance_v2_8!I73,householdfinance_v2_7!I73,householdfinance_v2_6!I73,householdfinance_v2_10!I73)/COUNT(householdfinance_v2_9!I73,householdfinance_v2_8!I73,householdfinance_v2_7!I73,householdfinance_v2_6!I73,householdfinance_v2_10!I73),0))</f>
        <v>1</v>
      </c>
      <c r="J73">
        <f>IF(F73=1,ROUND(SUM(householdfinance_v2_9!J73,householdfinance_v2_8!J73,householdfinance_v2_7!J73,householdfinance_v2_6!J73,householdfinance_v2_10!J73)/COUNT(householdfinance_v2_9!J73,householdfinance_v2_8!J73,householdfinance_v2_7!J73,householdfinance_v2_6!J73,householdfinance_v2_10!J73),0),"NA")</f>
        <v>1</v>
      </c>
      <c r="K73">
        <f>IF($E73=0,"NA",ROUND(SUM(householdfinance_v2_9!K73,householdfinance_v2_8!K73,householdfinance_v2_7!K73,householdfinance_v2_6!K73,householdfinance_v2_10!K73)/COUNT(householdfinance_v2_9!K73,householdfinance_v2_8!K73,householdfinance_v2_7!K73,householdfinance_v2_6!K73,householdfinance_v2_10!K73),0))</f>
        <v>1</v>
      </c>
      <c r="L73">
        <f>IF($E73=0,"NA",ROUND(SUM(householdfinance_v2_9!L73,householdfinance_v2_8!L73,householdfinance_v2_7!L73,householdfinance_v2_6!L73,householdfinance_v2_10!L73)/COUNT(householdfinance_v2_9!L73,householdfinance_v2_8!L73,householdfinance_v2_7!L73,householdfinance_v2_6!L73,householdfinance_v2_10!L73),0))</f>
        <v>1</v>
      </c>
      <c r="M73">
        <f>IF($E73=0,"NA",ROUND(SUM(householdfinance_v2_9!M73,householdfinance_v2_8!M73,householdfinance_v2_7!M73,householdfinance_v2_6!M73,householdfinance_v2_10!M73)/COUNT(householdfinance_v2_9!M73,householdfinance_v2_8!M73,householdfinance_v2_7!M73,householdfinance_v2_6!M73,householdfinance_v2_10!M73),0))</f>
        <v>1</v>
      </c>
      <c r="N73">
        <f>IF($E73=0,"NA",ROUND(SUM(householdfinance_v2_9!N73,householdfinance_v2_8!N73,householdfinance_v2_7!N73,householdfinance_v2_6!N73,householdfinance_v2_10!N73)/COUNT(householdfinance_v2_9!N73,householdfinance_v2_8!N73,householdfinance_v2_7!N73,householdfinance_v2_6!N73,householdfinance_v2_10!N73),0))</f>
        <v>1</v>
      </c>
      <c r="O73">
        <f>IF($E73=0,"NA",ROUND(SUM(householdfinance_v2_9!O73,householdfinance_v2_8!O73,householdfinance_v2_7!O73,householdfinance_v2_6!O73,householdfinance_v2_10!O73)/COUNT(householdfinance_v2_9!O73,householdfinance_v2_8!O73,householdfinance_v2_7!O73,householdfinance_v2_6!O73,householdfinance_v2_10!O73),0))</f>
        <v>1</v>
      </c>
    </row>
    <row r="74" spans="1:15" x14ac:dyDescent="0.25">
      <c r="A74" t="s">
        <v>94</v>
      </c>
      <c r="B74" t="s">
        <v>49</v>
      </c>
      <c r="C74">
        <v>0</v>
      </c>
      <c r="D74">
        <v>6.1463401317596444</v>
      </c>
      <c r="E74">
        <f>ROUND(SUM(householdfinance_v2_9!E74,householdfinance_v2_8!E74,householdfinance_v2_7!E74,householdfinance_v2_6!E74,householdfinance_v2_10!E74)/COUNT(householdfinance_v2_9!E74,householdfinance_v2_8!E74,householdfinance_v2_7!E74,householdfinance_v2_6!E74,householdfinance_v2_10!E74),0)</f>
        <v>1</v>
      </c>
      <c r="F74">
        <f>IF($E74=0,"NA",ROUND(SUM(householdfinance_v2_9!F74,householdfinance_v2_8!F74,householdfinance_v2_7!F74,householdfinance_v2_6!F74,householdfinance_v2_10!F74)/COUNT(householdfinance_v2_9!F74,householdfinance_v2_8!F74,householdfinance_v2_7!F74,householdfinance_v2_6!F74,householdfinance_v2_10!F74),0))</f>
        <v>1</v>
      </c>
      <c r="G74">
        <f>IF($E74=0,"NA",ROUND(SUM(householdfinance_v2_9!G74,householdfinance_v2_8!G74,householdfinance_v2_7!G74,householdfinance_v2_6!G74,householdfinance_v2_10!G74)/COUNT(householdfinance_v2_9!G74,householdfinance_v2_8!G74,householdfinance_v2_7!G74,householdfinance_v2_6!G74,householdfinance_v2_10!G74),0))</f>
        <v>0</v>
      </c>
      <c r="H74" t="str">
        <f>IF(AND(F74=1,G74=1),ROUND(SUM(householdfinance_v2_9!H74,householdfinance_v2_8!H74,householdfinance_v2_7!H74,householdfinance_v2_6!H74,householdfinance_v2_10!H74)/COUNT(householdfinance_v2_9!H74,householdfinance_v2_8!H74,householdfinance_v2_7!H74,householdfinance_v2_6!H74,householdfinance_v2_10!H74),0),"NA")</f>
        <v>NA</v>
      </c>
      <c r="I74">
        <f>IF($E74=0,"NA",ROUND(SUM(householdfinance_v2_9!I74,householdfinance_v2_8!I74,householdfinance_v2_7!I74,householdfinance_v2_6!I74,householdfinance_v2_10!I74)/COUNT(householdfinance_v2_9!I74,householdfinance_v2_8!I74,householdfinance_v2_7!I74,householdfinance_v2_6!I74,householdfinance_v2_10!I74),0))</f>
        <v>1</v>
      </c>
      <c r="J74">
        <f>IF(F74=1,ROUND(SUM(householdfinance_v2_9!J74,householdfinance_v2_8!J74,householdfinance_v2_7!J74,householdfinance_v2_6!J74,householdfinance_v2_10!J74)/COUNT(householdfinance_v2_9!J74,householdfinance_v2_8!J74,householdfinance_v2_7!J74,householdfinance_v2_6!J74,householdfinance_v2_10!J74),0),"NA")</f>
        <v>1</v>
      </c>
      <c r="K74">
        <f>IF($E74=0,"NA",ROUND(SUM(householdfinance_v2_9!K74,householdfinance_v2_8!K74,householdfinance_v2_7!K74,householdfinance_v2_6!K74,householdfinance_v2_10!K74)/COUNT(householdfinance_v2_9!K74,householdfinance_v2_8!K74,householdfinance_v2_7!K74,householdfinance_v2_6!K74,householdfinance_v2_10!K74),0))</f>
        <v>1</v>
      </c>
      <c r="L74">
        <f>IF($E74=0,"NA",ROUND(SUM(householdfinance_v2_9!L74,householdfinance_v2_8!L74,householdfinance_v2_7!L74,householdfinance_v2_6!L74,householdfinance_v2_10!L74)/COUNT(householdfinance_v2_9!L74,householdfinance_v2_8!L74,householdfinance_v2_7!L74,householdfinance_v2_6!L74,householdfinance_v2_10!L74),0))</f>
        <v>1</v>
      </c>
      <c r="M74">
        <f>IF($E74=0,"NA",ROUND(SUM(householdfinance_v2_9!M74,householdfinance_v2_8!M74,householdfinance_v2_7!M74,householdfinance_v2_6!M74,householdfinance_v2_10!M74)/COUNT(householdfinance_v2_9!M74,householdfinance_v2_8!M74,householdfinance_v2_7!M74,householdfinance_v2_6!M74,householdfinance_v2_10!M74),0))</f>
        <v>1</v>
      </c>
      <c r="N74">
        <f>IF($E74=0,"NA",ROUND(SUM(householdfinance_v2_9!N74,householdfinance_v2_8!N74,householdfinance_v2_7!N74,householdfinance_v2_6!N74,householdfinance_v2_10!N74)/COUNT(householdfinance_v2_9!N74,householdfinance_v2_8!N74,householdfinance_v2_7!N74,householdfinance_v2_6!N74,householdfinance_v2_10!N74),0))</f>
        <v>1</v>
      </c>
      <c r="O74">
        <f>IF($E74=0,"NA",ROUND(SUM(householdfinance_v2_9!O74,householdfinance_v2_8!O74,householdfinance_v2_7!O74,householdfinance_v2_6!O74,householdfinance_v2_10!O74)/COUNT(householdfinance_v2_9!O74,householdfinance_v2_8!O74,householdfinance_v2_7!O74,householdfinance_v2_6!O74,householdfinance_v2_10!O74),0))</f>
        <v>1</v>
      </c>
    </row>
    <row r="75" spans="1:15" x14ac:dyDescent="0.25">
      <c r="A75" t="s">
        <v>94</v>
      </c>
      <c r="B75" t="s">
        <v>51</v>
      </c>
      <c r="C75">
        <v>0</v>
      </c>
      <c r="D75">
        <v>11.29000687599182</v>
      </c>
      <c r="E75">
        <f>ROUND(SUM(householdfinance_v2_9!E75,householdfinance_v2_8!E75,householdfinance_v2_7!E75,householdfinance_v2_6!E75,householdfinance_v2_10!E75)/COUNT(householdfinance_v2_9!E75,householdfinance_v2_8!E75,householdfinance_v2_7!E75,householdfinance_v2_6!E75,householdfinance_v2_10!E75),0)</f>
        <v>1</v>
      </c>
      <c r="F75">
        <f>IF($E75=0,"NA",ROUND(SUM(householdfinance_v2_9!F75,householdfinance_v2_8!F75,householdfinance_v2_7!F75,householdfinance_v2_6!F75,householdfinance_v2_10!F75)/COUNT(householdfinance_v2_9!F75,householdfinance_v2_8!F75,householdfinance_v2_7!F75,householdfinance_v2_6!F75,householdfinance_v2_10!F75),0))</f>
        <v>1</v>
      </c>
      <c r="G75">
        <f>IF($E75=0,"NA",ROUND(SUM(householdfinance_v2_9!G75,householdfinance_v2_8!G75,householdfinance_v2_7!G75,householdfinance_v2_6!G75,householdfinance_v2_10!G75)/COUNT(householdfinance_v2_9!G75,householdfinance_v2_8!G75,householdfinance_v2_7!G75,householdfinance_v2_6!G75,householdfinance_v2_10!G75),0))</f>
        <v>0</v>
      </c>
      <c r="H75" t="str">
        <f>IF(AND(F75=1,G75=1),ROUND(SUM(householdfinance_v2_9!H75,householdfinance_v2_8!H75,householdfinance_v2_7!H75,householdfinance_v2_6!H75,householdfinance_v2_10!H75)/COUNT(householdfinance_v2_9!H75,householdfinance_v2_8!H75,householdfinance_v2_7!H75,householdfinance_v2_6!H75,householdfinance_v2_10!H75),0),"NA")</f>
        <v>NA</v>
      </c>
      <c r="I75">
        <f>IF($E75=0,"NA",ROUND(SUM(householdfinance_v2_9!I75,householdfinance_v2_8!I75,householdfinance_v2_7!I75,householdfinance_v2_6!I75,householdfinance_v2_10!I75)/COUNT(householdfinance_v2_9!I75,householdfinance_v2_8!I75,householdfinance_v2_7!I75,householdfinance_v2_6!I75,householdfinance_v2_10!I75),0))</f>
        <v>1</v>
      </c>
      <c r="J75">
        <f>IF(F75=1,ROUND(SUM(householdfinance_v2_9!J75,householdfinance_v2_8!J75,householdfinance_v2_7!J75,householdfinance_v2_6!J75,householdfinance_v2_10!J75)/COUNT(householdfinance_v2_9!J75,householdfinance_v2_8!J75,householdfinance_v2_7!J75,householdfinance_v2_6!J75,householdfinance_v2_10!J75),0),"NA")</f>
        <v>1</v>
      </c>
      <c r="K75">
        <f>IF($E75=0,"NA",ROUND(SUM(householdfinance_v2_9!K75,householdfinance_v2_8!K75,householdfinance_v2_7!K75,householdfinance_v2_6!K75,householdfinance_v2_10!K75)/COUNT(householdfinance_v2_9!K75,householdfinance_v2_8!K75,householdfinance_v2_7!K75,householdfinance_v2_6!K75,householdfinance_v2_10!K75),0))</f>
        <v>1</v>
      </c>
      <c r="L75">
        <f>IF($E75=0,"NA",ROUND(SUM(householdfinance_v2_9!L75,householdfinance_v2_8!L75,householdfinance_v2_7!L75,householdfinance_v2_6!L75,householdfinance_v2_10!L75)/COUNT(householdfinance_v2_9!L75,householdfinance_v2_8!L75,householdfinance_v2_7!L75,householdfinance_v2_6!L75,householdfinance_v2_10!L75),0))</f>
        <v>1</v>
      </c>
      <c r="M75">
        <f>IF($E75=0,"NA",ROUND(SUM(householdfinance_v2_9!M75,householdfinance_v2_8!M75,householdfinance_v2_7!M75,householdfinance_v2_6!M75,householdfinance_v2_10!M75)/COUNT(householdfinance_v2_9!M75,householdfinance_v2_8!M75,householdfinance_v2_7!M75,householdfinance_v2_6!M75,householdfinance_v2_10!M75),0))</f>
        <v>1</v>
      </c>
      <c r="N75">
        <f>IF($E75=0,"NA",ROUND(SUM(householdfinance_v2_9!N75,householdfinance_v2_8!N75,householdfinance_v2_7!N75,householdfinance_v2_6!N75,householdfinance_v2_10!N75)/COUNT(householdfinance_v2_9!N75,householdfinance_v2_8!N75,householdfinance_v2_7!N75,householdfinance_v2_6!N75,householdfinance_v2_10!N75),0))</f>
        <v>1</v>
      </c>
      <c r="O75">
        <f>IF($E75=0,"NA",ROUND(SUM(householdfinance_v2_9!O75,householdfinance_v2_8!O75,householdfinance_v2_7!O75,householdfinance_v2_6!O75,householdfinance_v2_10!O75)/COUNT(householdfinance_v2_9!O75,householdfinance_v2_8!O75,householdfinance_v2_7!O75,householdfinance_v2_6!O75,householdfinance_v2_10!O75),0))</f>
        <v>1</v>
      </c>
    </row>
    <row r="76" spans="1:15" x14ac:dyDescent="0.25">
      <c r="A76" t="s">
        <v>94</v>
      </c>
      <c r="B76" t="s">
        <v>52</v>
      </c>
      <c r="C76">
        <v>0</v>
      </c>
      <c r="D76">
        <v>3.6947898864746089</v>
      </c>
      <c r="E76">
        <f>ROUND(SUM(householdfinance_v2_9!E76,householdfinance_v2_8!E76,householdfinance_v2_7!E76,householdfinance_v2_6!E76,householdfinance_v2_10!E76)/COUNT(householdfinance_v2_9!E76,householdfinance_v2_8!E76,householdfinance_v2_7!E76,householdfinance_v2_6!E76,householdfinance_v2_10!E76),0)</f>
        <v>1</v>
      </c>
      <c r="F76">
        <f>IF($E76=0,"NA",ROUND(SUM(householdfinance_v2_9!F76,householdfinance_v2_8!F76,householdfinance_v2_7!F76,householdfinance_v2_6!F76,householdfinance_v2_10!F76)/COUNT(householdfinance_v2_9!F76,householdfinance_v2_8!F76,householdfinance_v2_7!F76,householdfinance_v2_6!F76,householdfinance_v2_10!F76),0))</f>
        <v>1</v>
      </c>
      <c r="G76">
        <f>IF($E76=0,"NA",ROUND(SUM(householdfinance_v2_9!G76,householdfinance_v2_8!G76,householdfinance_v2_7!G76,householdfinance_v2_6!G76,householdfinance_v2_10!G76)/COUNT(householdfinance_v2_9!G76,householdfinance_v2_8!G76,householdfinance_v2_7!G76,householdfinance_v2_6!G76,householdfinance_v2_10!G76),0))</f>
        <v>1</v>
      </c>
      <c r="H76">
        <f>IF(AND(F76=1,G76=1),ROUND(SUM(householdfinance_v2_9!H76,householdfinance_v2_8!H76,householdfinance_v2_7!H76,householdfinance_v2_6!H76,householdfinance_v2_10!H76)/COUNT(householdfinance_v2_9!H76,householdfinance_v2_8!H76,householdfinance_v2_7!H76,householdfinance_v2_6!H76,householdfinance_v2_10!H76),0),"NA")</f>
        <v>1</v>
      </c>
      <c r="I76">
        <f>IF($E76=0,"NA",ROUND(SUM(householdfinance_v2_9!I76,householdfinance_v2_8!I76,householdfinance_v2_7!I76,householdfinance_v2_6!I76,householdfinance_v2_10!I76)/COUNT(householdfinance_v2_9!I76,householdfinance_v2_8!I76,householdfinance_v2_7!I76,householdfinance_v2_6!I76,householdfinance_v2_10!I76),0))</f>
        <v>0</v>
      </c>
      <c r="J76">
        <f>IF(F76=1,ROUND(SUM(householdfinance_v2_9!J76,householdfinance_v2_8!J76,householdfinance_v2_7!J76,householdfinance_v2_6!J76,householdfinance_v2_10!J76)/COUNT(householdfinance_v2_9!J76,householdfinance_v2_8!J76,householdfinance_v2_7!J76,householdfinance_v2_6!J76,householdfinance_v2_10!J76),0),"NA")</f>
        <v>1</v>
      </c>
      <c r="K76">
        <f>IF($E76=0,"NA",ROUND(SUM(householdfinance_v2_9!K76,householdfinance_v2_8!K76,householdfinance_v2_7!K76,householdfinance_v2_6!K76,householdfinance_v2_10!K76)/COUNT(householdfinance_v2_9!K76,householdfinance_v2_8!K76,householdfinance_v2_7!K76,householdfinance_v2_6!K76,householdfinance_v2_10!K76),0))</f>
        <v>1</v>
      </c>
      <c r="L76">
        <f>IF($E76=0,"NA",ROUND(SUM(householdfinance_v2_9!L76,householdfinance_v2_8!L76,householdfinance_v2_7!L76,householdfinance_v2_6!L76,householdfinance_v2_10!L76)/COUNT(householdfinance_v2_9!L76,householdfinance_v2_8!L76,householdfinance_v2_7!L76,householdfinance_v2_6!L76,householdfinance_v2_10!L76),0))</f>
        <v>1</v>
      </c>
      <c r="M76">
        <f>IF($E76=0,"NA",ROUND(SUM(householdfinance_v2_9!M76,householdfinance_v2_8!M76,householdfinance_v2_7!M76,householdfinance_v2_6!M76,householdfinance_v2_10!M76)/COUNT(householdfinance_v2_9!M76,householdfinance_v2_8!M76,householdfinance_v2_7!M76,householdfinance_v2_6!M76,householdfinance_v2_10!M76),0))</f>
        <v>1</v>
      </c>
      <c r="N76">
        <f>IF($E76=0,"NA",ROUND(SUM(householdfinance_v2_9!N76,householdfinance_v2_8!N76,householdfinance_v2_7!N76,householdfinance_v2_6!N76,householdfinance_v2_10!N76)/COUNT(householdfinance_v2_9!N76,householdfinance_v2_8!N76,householdfinance_v2_7!N76,householdfinance_v2_6!N76,householdfinance_v2_10!N76),0))</f>
        <v>1</v>
      </c>
      <c r="O76">
        <f>IF($E76=0,"NA",ROUND(SUM(householdfinance_v2_9!O76,householdfinance_v2_8!O76,householdfinance_v2_7!O76,householdfinance_v2_6!O76,householdfinance_v2_10!O76)/COUNT(householdfinance_v2_9!O76,householdfinance_v2_8!O76,householdfinance_v2_7!O76,householdfinance_v2_6!O76,householdfinance_v2_10!O76),0))</f>
        <v>1</v>
      </c>
    </row>
    <row r="77" spans="1:15" x14ac:dyDescent="0.25">
      <c r="A77" t="s">
        <v>94</v>
      </c>
      <c r="B77" t="s">
        <v>54</v>
      </c>
      <c r="C77">
        <v>0</v>
      </c>
      <c r="D77">
        <v>9.6775164604187012</v>
      </c>
      <c r="E77">
        <f>ROUND(SUM(householdfinance_v2_9!E77,householdfinance_v2_8!E77,householdfinance_v2_7!E77,householdfinance_v2_6!E77,householdfinance_v2_10!E77)/COUNT(householdfinance_v2_9!E77,householdfinance_v2_8!E77,householdfinance_v2_7!E77,householdfinance_v2_6!E77,householdfinance_v2_10!E77),0)</f>
        <v>1</v>
      </c>
      <c r="F77">
        <f>IF($E77=0,"NA",ROUND(SUM(householdfinance_v2_9!F77,householdfinance_v2_8!F77,householdfinance_v2_7!F77,householdfinance_v2_6!F77,householdfinance_v2_10!F77)/COUNT(householdfinance_v2_9!F77,householdfinance_v2_8!F77,householdfinance_v2_7!F77,householdfinance_v2_6!F77,householdfinance_v2_10!F77),0))</f>
        <v>0</v>
      </c>
      <c r="G77">
        <f>IF($E77=0,"NA",ROUND(SUM(householdfinance_v2_9!G77,householdfinance_v2_8!G77,householdfinance_v2_7!G77,householdfinance_v2_6!G77,householdfinance_v2_10!G77)/COUNT(householdfinance_v2_9!G77,householdfinance_v2_8!G77,householdfinance_v2_7!G77,householdfinance_v2_6!G77,householdfinance_v2_10!G77),0))</f>
        <v>1</v>
      </c>
      <c r="H77" t="str">
        <f>IF(AND(F77=1,G77=1),ROUND(SUM(householdfinance_v2_9!H77,householdfinance_v2_8!H77,householdfinance_v2_7!H77,householdfinance_v2_6!H77,householdfinance_v2_10!H77)/COUNT(householdfinance_v2_9!H77,householdfinance_v2_8!H77,householdfinance_v2_7!H77,householdfinance_v2_6!H77,householdfinance_v2_10!H77),0),"NA")</f>
        <v>NA</v>
      </c>
      <c r="I77">
        <f>IF($E77=0,"NA",ROUND(SUM(householdfinance_v2_9!I77,householdfinance_v2_8!I77,householdfinance_v2_7!I77,householdfinance_v2_6!I77,householdfinance_v2_10!I77)/COUNT(householdfinance_v2_9!I77,householdfinance_v2_8!I77,householdfinance_v2_7!I77,householdfinance_v2_6!I77,householdfinance_v2_10!I77),0))</f>
        <v>1</v>
      </c>
      <c r="J77" t="str">
        <f>IF(F77=1,ROUND(SUM(householdfinance_v2_9!J77,householdfinance_v2_8!J77,householdfinance_v2_7!J77,householdfinance_v2_6!J77,householdfinance_v2_10!J77)/COUNT(householdfinance_v2_9!J77,householdfinance_v2_8!J77,householdfinance_v2_7!J77,householdfinance_v2_6!J77,householdfinance_v2_10!J77),0),"NA")</f>
        <v>NA</v>
      </c>
      <c r="K77">
        <f>IF($E77=0,"NA",ROUND(SUM(householdfinance_v2_9!K77,householdfinance_v2_8!K77,householdfinance_v2_7!K77,householdfinance_v2_6!K77,householdfinance_v2_10!K77)/COUNT(householdfinance_v2_9!K77,householdfinance_v2_8!K77,householdfinance_v2_7!K77,householdfinance_v2_6!K77,householdfinance_v2_10!K77),0))</f>
        <v>1</v>
      </c>
      <c r="L77">
        <f>IF($E77=0,"NA",ROUND(SUM(householdfinance_v2_9!L77,householdfinance_v2_8!L77,householdfinance_v2_7!L77,householdfinance_v2_6!L77,householdfinance_v2_10!L77)/COUNT(householdfinance_v2_9!L77,householdfinance_v2_8!L77,householdfinance_v2_7!L77,householdfinance_v2_6!L77,householdfinance_v2_10!L77),0))</f>
        <v>1</v>
      </c>
      <c r="M77">
        <f>IF($E77=0,"NA",ROUND(SUM(householdfinance_v2_9!M77,householdfinance_v2_8!M77,householdfinance_v2_7!M77,householdfinance_v2_6!M77,householdfinance_v2_10!M77)/COUNT(householdfinance_v2_9!M77,householdfinance_v2_8!M77,householdfinance_v2_7!M77,householdfinance_v2_6!M77,householdfinance_v2_10!M77),0))</f>
        <v>1</v>
      </c>
      <c r="N77">
        <f>IF($E77=0,"NA",ROUND(SUM(householdfinance_v2_9!N77,householdfinance_v2_8!N77,householdfinance_v2_7!N77,householdfinance_v2_6!N77,householdfinance_v2_10!N77)/COUNT(householdfinance_v2_9!N77,householdfinance_v2_8!N77,householdfinance_v2_7!N77,householdfinance_v2_6!N77,householdfinance_v2_10!N77),0))</f>
        <v>1</v>
      </c>
      <c r="O77">
        <f>IF($E77=0,"NA",ROUND(SUM(householdfinance_v2_9!O77,householdfinance_v2_8!O77,householdfinance_v2_7!O77,householdfinance_v2_6!O77,householdfinance_v2_10!O77)/COUNT(householdfinance_v2_9!O77,householdfinance_v2_8!O77,householdfinance_v2_7!O77,householdfinance_v2_6!O77,householdfinance_v2_10!O77),0))</f>
        <v>1</v>
      </c>
    </row>
    <row r="78" spans="1:15" x14ac:dyDescent="0.25">
      <c r="A78" t="s">
        <v>94</v>
      </c>
      <c r="B78" t="s">
        <v>56</v>
      </c>
      <c r="C78">
        <v>0</v>
      </c>
      <c r="D78">
        <v>4.5913295745849609</v>
      </c>
      <c r="E78">
        <f>ROUND(SUM(householdfinance_v2_9!E78,householdfinance_v2_8!E78,householdfinance_v2_7!E78,householdfinance_v2_6!E78,householdfinance_v2_10!E78)/COUNT(householdfinance_v2_9!E78,householdfinance_v2_8!E78,householdfinance_v2_7!E78,householdfinance_v2_6!E78,householdfinance_v2_10!E78),0)</f>
        <v>1</v>
      </c>
      <c r="F78">
        <f>IF($E78=0,"NA",ROUND(SUM(householdfinance_v2_9!F78,householdfinance_v2_8!F78,householdfinance_v2_7!F78,householdfinance_v2_6!F78,householdfinance_v2_10!F78)/COUNT(householdfinance_v2_9!F78,householdfinance_v2_8!F78,householdfinance_v2_7!F78,householdfinance_v2_6!F78,householdfinance_v2_10!F78),0))</f>
        <v>1</v>
      </c>
      <c r="G78">
        <f>IF($E78=0,"NA",ROUND(SUM(householdfinance_v2_9!G78,householdfinance_v2_8!G78,householdfinance_v2_7!G78,householdfinance_v2_6!G78,householdfinance_v2_10!G78)/COUNT(householdfinance_v2_9!G78,householdfinance_v2_8!G78,householdfinance_v2_7!G78,householdfinance_v2_6!G78,householdfinance_v2_10!G78),0))</f>
        <v>1</v>
      </c>
      <c r="H78">
        <f>IF(AND(F78=1,G78=1),ROUND(SUM(householdfinance_v2_9!H78,householdfinance_v2_8!H78,householdfinance_v2_7!H78,householdfinance_v2_6!H78,householdfinance_v2_10!H78)/COUNT(householdfinance_v2_9!H78,householdfinance_v2_8!H78,householdfinance_v2_7!H78,householdfinance_v2_6!H78,householdfinance_v2_10!H78),0),"NA")</f>
        <v>1</v>
      </c>
      <c r="I78">
        <f>IF($E78=0,"NA",ROUND(SUM(householdfinance_v2_9!I78,householdfinance_v2_8!I78,householdfinance_v2_7!I78,householdfinance_v2_6!I78,householdfinance_v2_10!I78)/COUNT(householdfinance_v2_9!I78,householdfinance_v2_8!I78,householdfinance_v2_7!I78,householdfinance_v2_6!I78,householdfinance_v2_10!I78),0))</f>
        <v>1</v>
      </c>
      <c r="J78">
        <f>IF(F78=1,ROUND(SUM(householdfinance_v2_9!J78,householdfinance_v2_8!J78,householdfinance_v2_7!J78,householdfinance_v2_6!J78,householdfinance_v2_10!J78)/COUNT(householdfinance_v2_9!J78,householdfinance_v2_8!J78,householdfinance_v2_7!J78,householdfinance_v2_6!J78,householdfinance_v2_10!J78),0),"NA")</f>
        <v>1</v>
      </c>
      <c r="K78">
        <f>IF($E78=0,"NA",ROUND(SUM(householdfinance_v2_9!K78,householdfinance_v2_8!K78,householdfinance_v2_7!K78,householdfinance_v2_6!K78,householdfinance_v2_10!K78)/COUNT(householdfinance_v2_9!K78,householdfinance_v2_8!K78,householdfinance_v2_7!K78,householdfinance_v2_6!K78,householdfinance_v2_10!K78),0))</f>
        <v>0</v>
      </c>
      <c r="L78">
        <f>IF($E78=0,"NA",ROUND(SUM(householdfinance_v2_9!L78,householdfinance_v2_8!L78,householdfinance_v2_7!L78,householdfinance_v2_6!L78,householdfinance_v2_10!L78)/COUNT(householdfinance_v2_9!L78,householdfinance_v2_8!L78,householdfinance_v2_7!L78,householdfinance_v2_6!L78,householdfinance_v2_10!L78),0))</f>
        <v>1</v>
      </c>
      <c r="M78">
        <f>IF($E78=0,"NA",ROUND(SUM(householdfinance_v2_9!M78,householdfinance_v2_8!M78,householdfinance_v2_7!M78,householdfinance_v2_6!M78,householdfinance_v2_10!M78)/COUNT(householdfinance_v2_9!M78,householdfinance_v2_8!M78,householdfinance_v2_7!M78,householdfinance_v2_6!M78,householdfinance_v2_10!M78),0))</f>
        <v>1</v>
      </c>
      <c r="N78">
        <f>IF($E78=0,"NA",ROUND(SUM(householdfinance_v2_9!N78,householdfinance_v2_8!N78,householdfinance_v2_7!N78,householdfinance_v2_6!N78,householdfinance_v2_10!N78)/COUNT(householdfinance_v2_9!N78,householdfinance_v2_8!N78,householdfinance_v2_7!N78,householdfinance_v2_6!N78,householdfinance_v2_10!N78),0))</f>
        <v>1</v>
      </c>
      <c r="O78">
        <f>IF($E78=0,"NA",ROUND(SUM(householdfinance_v2_9!O78,householdfinance_v2_8!O78,householdfinance_v2_7!O78,householdfinance_v2_6!O78,householdfinance_v2_10!O78)/COUNT(householdfinance_v2_9!O78,householdfinance_v2_8!O78,householdfinance_v2_7!O78,householdfinance_v2_6!O78,householdfinance_v2_10!O78),0))</f>
        <v>1</v>
      </c>
    </row>
    <row r="79" spans="1:15" x14ac:dyDescent="0.25">
      <c r="A79" t="s">
        <v>94</v>
      </c>
      <c r="B79" t="s">
        <v>58</v>
      </c>
      <c r="C79">
        <v>0</v>
      </c>
      <c r="D79">
        <v>10.891048908233641</v>
      </c>
      <c r="E79">
        <f>ROUND(SUM(householdfinance_v2_9!E79,householdfinance_v2_8!E79,householdfinance_v2_7!E79,householdfinance_v2_6!E79,householdfinance_v2_10!E79)/COUNT(householdfinance_v2_9!E79,householdfinance_v2_8!E79,householdfinance_v2_7!E79,householdfinance_v2_6!E79,householdfinance_v2_10!E79),0)</f>
        <v>1</v>
      </c>
      <c r="F79">
        <f>IF($E79=0,"NA",ROUND(SUM(householdfinance_v2_9!F79,householdfinance_v2_8!F79,householdfinance_v2_7!F79,householdfinance_v2_6!F79,householdfinance_v2_10!F79)/COUNT(householdfinance_v2_9!F79,householdfinance_v2_8!F79,householdfinance_v2_7!F79,householdfinance_v2_6!F79,householdfinance_v2_10!F79),0))</f>
        <v>1</v>
      </c>
      <c r="G79">
        <f>IF($E79=0,"NA",ROUND(SUM(householdfinance_v2_9!G79,householdfinance_v2_8!G79,householdfinance_v2_7!G79,householdfinance_v2_6!G79,householdfinance_v2_10!G79)/COUNT(householdfinance_v2_9!G79,householdfinance_v2_8!G79,householdfinance_v2_7!G79,householdfinance_v2_6!G79,householdfinance_v2_10!G79),0))</f>
        <v>1</v>
      </c>
      <c r="H79">
        <f>IF(AND(F79=1,G79=1),ROUND(SUM(householdfinance_v2_9!H79,householdfinance_v2_8!H79,householdfinance_v2_7!H79,householdfinance_v2_6!H79,householdfinance_v2_10!H79)/COUNT(householdfinance_v2_9!H79,householdfinance_v2_8!H79,householdfinance_v2_7!H79,householdfinance_v2_6!H79,householdfinance_v2_10!H79),0),"NA")</f>
        <v>1</v>
      </c>
      <c r="I79">
        <f>IF($E79=0,"NA",ROUND(SUM(householdfinance_v2_9!I79,householdfinance_v2_8!I79,householdfinance_v2_7!I79,householdfinance_v2_6!I79,householdfinance_v2_10!I79)/COUNT(householdfinance_v2_9!I79,householdfinance_v2_8!I79,householdfinance_v2_7!I79,householdfinance_v2_6!I79,householdfinance_v2_10!I79),0))</f>
        <v>1</v>
      </c>
      <c r="J79">
        <f>IF(F79=1,ROUND(SUM(householdfinance_v2_9!J79,householdfinance_v2_8!J79,householdfinance_v2_7!J79,householdfinance_v2_6!J79,householdfinance_v2_10!J79)/COUNT(householdfinance_v2_9!J79,householdfinance_v2_8!J79,householdfinance_v2_7!J79,householdfinance_v2_6!J79,householdfinance_v2_10!J79),0),"NA")</f>
        <v>1</v>
      </c>
      <c r="K79">
        <f>IF($E79=0,"NA",ROUND(SUM(householdfinance_v2_9!K79,householdfinance_v2_8!K79,householdfinance_v2_7!K79,householdfinance_v2_6!K79,householdfinance_v2_10!K79)/COUNT(householdfinance_v2_9!K79,householdfinance_v2_8!K79,householdfinance_v2_7!K79,householdfinance_v2_6!K79,householdfinance_v2_10!K79),0))</f>
        <v>0</v>
      </c>
      <c r="L79">
        <f>IF($E79=0,"NA",ROUND(SUM(householdfinance_v2_9!L79,householdfinance_v2_8!L79,householdfinance_v2_7!L79,householdfinance_v2_6!L79,householdfinance_v2_10!L79)/COUNT(householdfinance_v2_9!L79,householdfinance_v2_8!L79,householdfinance_v2_7!L79,householdfinance_v2_6!L79,householdfinance_v2_10!L79),0))</f>
        <v>1</v>
      </c>
      <c r="M79">
        <f>IF($E79=0,"NA",ROUND(SUM(householdfinance_v2_9!M79,householdfinance_v2_8!M79,householdfinance_v2_7!M79,householdfinance_v2_6!M79,householdfinance_v2_10!M79)/COUNT(householdfinance_v2_9!M79,householdfinance_v2_8!M79,householdfinance_v2_7!M79,householdfinance_v2_6!M79,householdfinance_v2_10!M79),0))</f>
        <v>1</v>
      </c>
      <c r="N79">
        <f>IF($E79=0,"NA",ROUND(SUM(householdfinance_v2_9!N79,householdfinance_v2_8!N79,householdfinance_v2_7!N79,householdfinance_v2_6!N79,householdfinance_v2_10!N79)/COUNT(householdfinance_v2_9!N79,householdfinance_v2_8!N79,householdfinance_v2_7!N79,householdfinance_v2_6!N79,householdfinance_v2_10!N79),0))</f>
        <v>1</v>
      </c>
      <c r="O79">
        <f>IF($E79=0,"NA",ROUND(SUM(householdfinance_v2_9!O79,householdfinance_v2_8!O79,householdfinance_v2_7!O79,householdfinance_v2_6!O79,householdfinance_v2_10!O79)/COUNT(householdfinance_v2_9!O79,householdfinance_v2_8!O79,householdfinance_v2_7!O79,householdfinance_v2_6!O79,householdfinance_v2_10!O79),0))</f>
        <v>1</v>
      </c>
    </row>
    <row r="80" spans="1:15" x14ac:dyDescent="0.25">
      <c r="A80" t="s">
        <v>94</v>
      </c>
      <c r="B80" t="s">
        <v>60</v>
      </c>
      <c r="C80">
        <v>0</v>
      </c>
      <c r="D80">
        <v>2.6753866672515869</v>
      </c>
      <c r="E80">
        <f>ROUND(SUM(householdfinance_v2_9!E80,householdfinance_v2_8!E80,householdfinance_v2_7!E80,householdfinance_v2_6!E80,householdfinance_v2_10!E80)/COUNT(householdfinance_v2_9!E80,householdfinance_v2_8!E80,householdfinance_v2_7!E80,householdfinance_v2_6!E80,householdfinance_v2_10!E80),0)</f>
        <v>1</v>
      </c>
      <c r="F80">
        <f>IF($E80=0,"NA",ROUND(SUM(householdfinance_v2_9!F80,householdfinance_v2_8!F80,householdfinance_v2_7!F80,householdfinance_v2_6!F80,householdfinance_v2_10!F80)/COUNT(householdfinance_v2_9!F80,householdfinance_v2_8!F80,householdfinance_v2_7!F80,householdfinance_v2_6!F80,householdfinance_v2_10!F80),0))</f>
        <v>1</v>
      </c>
      <c r="G80">
        <f>IF($E80=0,"NA",ROUND(SUM(householdfinance_v2_9!G80,householdfinance_v2_8!G80,householdfinance_v2_7!G80,householdfinance_v2_6!G80,householdfinance_v2_10!G80)/COUNT(householdfinance_v2_9!G80,householdfinance_v2_8!G80,householdfinance_v2_7!G80,householdfinance_v2_6!G80,householdfinance_v2_10!G80),0))</f>
        <v>1</v>
      </c>
      <c r="H80">
        <f>IF(AND(F80=1,G80=1),ROUND(SUM(householdfinance_v2_9!H80,householdfinance_v2_8!H80,householdfinance_v2_7!H80,householdfinance_v2_6!H80,householdfinance_v2_10!H80)/COUNT(householdfinance_v2_9!H80,householdfinance_v2_8!H80,householdfinance_v2_7!H80,householdfinance_v2_6!H80,householdfinance_v2_10!H80),0),"NA")</f>
        <v>1</v>
      </c>
      <c r="I80">
        <f>IF($E80=0,"NA",ROUND(SUM(householdfinance_v2_9!I80,householdfinance_v2_8!I80,householdfinance_v2_7!I80,householdfinance_v2_6!I80,householdfinance_v2_10!I80)/COUNT(householdfinance_v2_9!I80,householdfinance_v2_8!I80,householdfinance_v2_7!I80,householdfinance_v2_6!I80,householdfinance_v2_10!I80),0))</f>
        <v>1</v>
      </c>
      <c r="J80">
        <f>IF(F80=1,ROUND(SUM(householdfinance_v2_9!J80,householdfinance_v2_8!J80,householdfinance_v2_7!J80,householdfinance_v2_6!J80,householdfinance_v2_10!J80)/COUNT(householdfinance_v2_9!J80,householdfinance_v2_8!J80,householdfinance_v2_7!J80,householdfinance_v2_6!J80,householdfinance_v2_10!J80),0),"NA")</f>
        <v>1</v>
      </c>
      <c r="K80">
        <f>IF($E80=0,"NA",ROUND(SUM(householdfinance_v2_9!K80,householdfinance_v2_8!K80,householdfinance_v2_7!K80,householdfinance_v2_6!K80,householdfinance_v2_10!K80)/COUNT(householdfinance_v2_9!K80,householdfinance_v2_8!K80,householdfinance_v2_7!K80,householdfinance_v2_6!K80,householdfinance_v2_10!K80),0))</f>
        <v>1</v>
      </c>
      <c r="L80">
        <f>IF($E80=0,"NA",ROUND(SUM(householdfinance_v2_9!L80,householdfinance_v2_8!L80,householdfinance_v2_7!L80,householdfinance_v2_6!L80,householdfinance_v2_10!L80)/COUNT(householdfinance_v2_9!L80,householdfinance_v2_8!L80,householdfinance_v2_7!L80,householdfinance_v2_6!L80,householdfinance_v2_10!L80),0))</f>
        <v>1</v>
      </c>
      <c r="M80">
        <f>IF($E80=0,"NA",ROUND(SUM(householdfinance_v2_9!M80,householdfinance_v2_8!M80,householdfinance_v2_7!M80,householdfinance_v2_6!M80,householdfinance_v2_10!M80)/COUNT(householdfinance_v2_9!M80,householdfinance_v2_8!M80,householdfinance_v2_7!M80,householdfinance_v2_6!M80,householdfinance_v2_10!M80),0))</f>
        <v>1</v>
      </c>
      <c r="N80">
        <f>IF($E80=0,"NA",ROUND(SUM(householdfinance_v2_9!N80,householdfinance_v2_8!N80,householdfinance_v2_7!N80,householdfinance_v2_6!N80,householdfinance_v2_10!N80)/COUNT(householdfinance_v2_9!N80,householdfinance_v2_8!N80,householdfinance_v2_7!N80,householdfinance_v2_6!N80,householdfinance_v2_10!N80),0))</f>
        <v>1</v>
      </c>
      <c r="O80">
        <f>IF($E80=0,"NA",ROUND(SUM(householdfinance_v2_9!O80,householdfinance_v2_8!O80,householdfinance_v2_7!O80,householdfinance_v2_6!O80,householdfinance_v2_10!O80)/COUNT(householdfinance_v2_9!O80,householdfinance_v2_8!O80,householdfinance_v2_7!O80,householdfinance_v2_6!O80,householdfinance_v2_10!O80),0))</f>
        <v>1</v>
      </c>
    </row>
    <row r="81" spans="1:15" x14ac:dyDescent="0.25">
      <c r="A81" t="s">
        <v>94</v>
      </c>
      <c r="B81" t="s">
        <v>62</v>
      </c>
      <c r="C81">
        <v>0</v>
      </c>
      <c r="D81">
        <v>9.8586399555206299</v>
      </c>
      <c r="E81">
        <f>ROUND(SUM(householdfinance_v2_9!E81,householdfinance_v2_8!E81,householdfinance_v2_7!E81,householdfinance_v2_6!E81,householdfinance_v2_10!E81)/COUNT(householdfinance_v2_9!E81,householdfinance_v2_8!E81,householdfinance_v2_7!E81,householdfinance_v2_6!E81,householdfinance_v2_10!E81),0)</f>
        <v>1</v>
      </c>
      <c r="F81">
        <f>IF($E81=0,"NA",ROUND(SUM(householdfinance_v2_9!F81,householdfinance_v2_8!F81,householdfinance_v2_7!F81,householdfinance_v2_6!F81,householdfinance_v2_10!F81)/COUNT(householdfinance_v2_9!F81,householdfinance_v2_8!F81,householdfinance_v2_7!F81,householdfinance_v2_6!F81,householdfinance_v2_10!F81),0))</f>
        <v>1</v>
      </c>
      <c r="G81">
        <f>IF($E81=0,"NA",ROUND(SUM(householdfinance_v2_9!G81,householdfinance_v2_8!G81,householdfinance_v2_7!G81,householdfinance_v2_6!G81,householdfinance_v2_10!G81)/COUNT(householdfinance_v2_9!G81,householdfinance_v2_8!G81,householdfinance_v2_7!G81,householdfinance_v2_6!G81,householdfinance_v2_10!G81),0))</f>
        <v>1</v>
      </c>
      <c r="H81">
        <f>IF(AND(F81=1,G81=1),ROUND(SUM(householdfinance_v2_9!H81,householdfinance_v2_8!H81,householdfinance_v2_7!H81,householdfinance_v2_6!H81,householdfinance_v2_10!H81)/COUNT(householdfinance_v2_9!H81,householdfinance_v2_8!H81,householdfinance_v2_7!H81,householdfinance_v2_6!H81,householdfinance_v2_10!H81),0),"NA")</f>
        <v>1</v>
      </c>
      <c r="I81">
        <f>IF($E81=0,"NA",ROUND(SUM(householdfinance_v2_9!I81,householdfinance_v2_8!I81,householdfinance_v2_7!I81,householdfinance_v2_6!I81,householdfinance_v2_10!I81)/COUNT(householdfinance_v2_9!I81,householdfinance_v2_8!I81,householdfinance_v2_7!I81,householdfinance_v2_6!I81,householdfinance_v2_10!I81),0))</f>
        <v>1</v>
      </c>
      <c r="J81">
        <f>IF(F81=1,ROUND(SUM(householdfinance_v2_9!J81,householdfinance_v2_8!J81,householdfinance_v2_7!J81,householdfinance_v2_6!J81,householdfinance_v2_10!J81)/COUNT(householdfinance_v2_9!J81,householdfinance_v2_8!J81,householdfinance_v2_7!J81,householdfinance_v2_6!J81,householdfinance_v2_10!J81),0),"NA")</f>
        <v>1</v>
      </c>
      <c r="K81">
        <f>IF($E81=0,"NA",ROUND(SUM(householdfinance_v2_9!K81,householdfinance_v2_8!K81,householdfinance_v2_7!K81,householdfinance_v2_6!K81,householdfinance_v2_10!K81)/COUNT(householdfinance_v2_9!K81,householdfinance_v2_8!K81,householdfinance_v2_7!K81,householdfinance_v2_6!K81,householdfinance_v2_10!K81),0))</f>
        <v>1</v>
      </c>
      <c r="L81">
        <f>IF($E81=0,"NA",ROUND(SUM(householdfinance_v2_9!L81,householdfinance_v2_8!L81,householdfinance_v2_7!L81,householdfinance_v2_6!L81,householdfinance_v2_10!L81)/COUNT(householdfinance_v2_9!L81,householdfinance_v2_8!L81,householdfinance_v2_7!L81,householdfinance_v2_6!L81,householdfinance_v2_10!L81),0))</f>
        <v>1</v>
      </c>
      <c r="M81">
        <f>IF($E81=0,"NA",ROUND(SUM(householdfinance_v2_9!M81,householdfinance_v2_8!M81,householdfinance_v2_7!M81,householdfinance_v2_6!M81,householdfinance_v2_10!M81)/COUNT(householdfinance_v2_9!M81,householdfinance_v2_8!M81,householdfinance_v2_7!M81,householdfinance_v2_6!M81,householdfinance_v2_10!M81),0))</f>
        <v>1</v>
      </c>
      <c r="N81">
        <f>IF($E81=0,"NA",ROUND(SUM(householdfinance_v2_9!N81,householdfinance_v2_8!N81,householdfinance_v2_7!N81,householdfinance_v2_6!N81,householdfinance_v2_10!N81)/COUNT(householdfinance_v2_9!N81,householdfinance_v2_8!N81,householdfinance_v2_7!N81,householdfinance_v2_6!N81,householdfinance_v2_10!N81),0))</f>
        <v>1</v>
      </c>
      <c r="O81">
        <f>IF($E81=0,"NA",ROUND(SUM(householdfinance_v2_9!O81,householdfinance_v2_8!O81,householdfinance_v2_7!O81,householdfinance_v2_6!O81,householdfinance_v2_10!O81)/COUNT(householdfinance_v2_9!O81,householdfinance_v2_8!O81,householdfinance_v2_7!O81,householdfinance_v2_6!O81,householdfinance_v2_10!O81),0))</f>
        <v>1</v>
      </c>
    </row>
    <row r="82" spans="1:15" x14ac:dyDescent="0.25">
      <c r="A82" t="s">
        <v>94</v>
      </c>
      <c r="B82" t="s">
        <v>64</v>
      </c>
      <c r="C82">
        <v>0</v>
      </c>
      <c r="D82">
        <v>9.1281435489654541</v>
      </c>
      <c r="E82">
        <f>ROUND(SUM(householdfinance_v2_9!E82,householdfinance_v2_8!E82,householdfinance_v2_7!E82,householdfinance_v2_6!E82,householdfinance_v2_10!E82)/COUNT(householdfinance_v2_9!E82,householdfinance_v2_8!E82,householdfinance_v2_7!E82,householdfinance_v2_6!E82,householdfinance_v2_10!E82),0)</f>
        <v>1</v>
      </c>
      <c r="F82">
        <f>IF($E82=0,"NA",ROUND(SUM(householdfinance_v2_9!F82,householdfinance_v2_8!F82,householdfinance_v2_7!F82,householdfinance_v2_6!F82,householdfinance_v2_10!F82)/COUNT(householdfinance_v2_9!F82,householdfinance_v2_8!F82,householdfinance_v2_7!F82,householdfinance_v2_6!F82,householdfinance_v2_10!F82),0))</f>
        <v>0</v>
      </c>
      <c r="G82">
        <f>IF($E82=0,"NA",ROUND(SUM(householdfinance_v2_9!G82,householdfinance_v2_8!G82,householdfinance_v2_7!G82,householdfinance_v2_6!G82,householdfinance_v2_10!G82)/COUNT(householdfinance_v2_9!G82,householdfinance_v2_8!G82,householdfinance_v2_7!G82,householdfinance_v2_6!G82,householdfinance_v2_10!G82),0))</f>
        <v>1</v>
      </c>
      <c r="H82" t="str">
        <f>IF(AND(F82=1,G82=1),ROUND(SUM(householdfinance_v2_9!H82,householdfinance_v2_8!H82,householdfinance_v2_7!H82,householdfinance_v2_6!H82,householdfinance_v2_10!H82)/COUNT(householdfinance_v2_9!H82,householdfinance_v2_8!H82,householdfinance_v2_7!H82,householdfinance_v2_6!H82,householdfinance_v2_10!H82),0),"NA")</f>
        <v>NA</v>
      </c>
      <c r="I82">
        <f>IF($E82=0,"NA",ROUND(SUM(householdfinance_v2_9!I82,householdfinance_v2_8!I82,householdfinance_v2_7!I82,householdfinance_v2_6!I82,householdfinance_v2_10!I82)/COUNT(householdfinance_v2_9!I82,householdfinance_v2_8!I82,householdfinance_v2_7!I82,householdfinance_v2_6!I82,householdfinance_v2_10!I82),0))</f>
        <v>1</v>
      </c>
      <c r="J82" t="str">
        <f>IF(F82=1,ROUND(SUM(householdfinance_v2_9!J82,householdfinance_v2_8!J82,householdfinance_v2_7!J82,householdfinance_v2_6!J82,householdfinance_v2_10!J82)/COUNT(householdfinance_v2_9!J82,householdfinance_v2_8!J82,householdfinance_v2_7!J82,householdfinance_v2_6!J82,householdfinance_v2_10!J82),0),"NA")</f>
        <v>NA</v>
      </c>
      <c r="K82">
        <f>IF($E82=0,"NA",ROUND(SUM(householdfinance_v2_9!K82,householdfinance_v2_8!K82,householdfinance_v2_7!K82,householdfinance_v2_6!K82,householdfinance_v2_10!K82)/COUNT(householdfinance_v2_9!K82,householdfinance_v2_8!K82,householdfinance_v2_7!K82,householdfinance_v2_6!K82,householdfinance_v2_10!K82),0))</f>
        <v>1</v>
      </c>
      <c r="L82">
        <f>IF($E82=0,"NA",ROUND(SUM(householdfinance_v2_9!L82,householdfinance_v2_8!L82,householdfinance_v2_7!L82,householdfinance_v2_6!L82,householdfinance_v2_10!L82)/COUNT(householdfinance_v2_9!L82,householdfinance_v2_8!L82,householdfinance_v2_7!L82,householdfinance_v2_6!L82,householdfinance_v2_10!L82),0))</f>
        <v>1</v>
      </c>
      <c r="M82">
        <f>IF($E82=0,"NA",ROUND(SUM(householdfinance_v2_9!M82,householdfinance_v2_8!M82,householdfinance_v2_7!M82,householdfinance_v2_6!M82,householdfinance_v2_10!M82)/COUNT(householdfinance_v2_9!M82,householdfinance_v2_8!M82,householdfinance_v2_7!M82,householdfinance_v2_6!M82,householdfinance_v2_10!M82),0))</f>
        <v>1</v>
      </c>
      <c r="N82">
        <f>IF($E82=0,"NA",ROUND(SUM(householdfinance_v2_9!N82,householdfinance_v2_8!N82,householdfinance_v2_7!N82,householdfinance_v2_6!N82,householdfinance_v2_10!N82)/COUNT(householdfinance_v2_9!N82,householdfinance_v2_8!N82,householdfinance_v2_7!N82,householdfinance_v2_6!N82,householdfinance_v2_10!N82),0))</f>
        <v>1</v>
      </c>
      <c r="O82">
        <f>IF($E82=0,"NA",ROUND(SUM(householdfinance_v2_9!O82,householdfinance_v2_8!O82,householdfinance_v2_7!O82,householdfinance_v2_6!O82,householdfinance_v2_10!O82)/COUNT(householdfinance_v2_9!O82,householdfinance_v2_8!O82,householdfinance_v2_7!O82,householdfinance_v2_6!O82,householdfinance_v2_10!O82),0))</f>
        <v>1</v>
      </c>
    </row>
    <row r="83" spans="1:15" x14ac:dyDescent="0.25">
      <c r="A83" t="s">
        <v>94</v>
      </c>
      <c r="B83" t="s">
        <v>65</v>
      </c>
      <c r="C83">
        <v>0</v>
      </c>
      <c r="D83">
        <v>9.6773500442504883</v>
      </c>
      <c r="E83">
        <f>ROUND(SUM(householdfinance_v2_9!E83,householdfinance_v2_8!E83,householdfinance_v2_7!E83,householdfinance_v2_6!E83,householdfinance_v2_10!E83)/COUNT(householdfinance_v2_9!E83,householdfinance_v2_8!E83,householdfinance_v2_7!E83,householdfinance_v2_6!E83,householdfinance_v2_10!E83),0)</f>
        <v>1</v>
      </c>
      <c r="F83">
        <f>IF($E83=0,"NA",ROUND(SUM(householdfinance_v2_9!F83,householdfinance_v2_8!F83,householdfinance_v2_7!F83,householdfinance_v2_6!F83,householdfinance_v2_10!F83)/COUNT(householdfinance_v2_9!F83,householdfinance_v2_8!F83,householdfinance_v2_7!F83,householdfinance_v2_6!F83,householdfinance_v2_10!F83),0))</f>
        <v>1</v>
      </c>
      <c r="G83">
        <f>IF($E83=0,"NA",ROUND(SUM(householdfinance_v2_9!G83,householdfinance_v2_8!G83,householdfinance_v2_7!G83,householdfinance_v2_6!G83,householdfinance_v2_10!G83)/COUNT(householdfinance_v2_9!G83,householdfinance_v2_8!G83,householdfinance_v2_7!G83,householdfinance_v2_6!G83,householdfinance_v2_10!G83),0))</f>
        <v>1</v>
      </c>
      <c r="H83">
        <f>IF(AND(F83=1,G83=1),ROUND(SUM(householdfinance_v2_9!H83,householdfinance_v2_8!H83,householdfinance_v2_7!H83,householdfinance_v2_6!H83,householdfinance_v2_10!H83)/COUNT(householdfinance_v2_9!H83,householdfinance_v2_8!H83,householdfinance_v2_7!H83,householdfinance_v2_6!H83,householdfinance_v2_10!H83),0),"NA")</f>
        <v>1</v>
      </c>
      <c r="I83">
        <f>IF($E83=0,"NA",ROUND(SUM(householdfinance_v2_9!I83,householdfinance_v2_8!I83,householdfinance_v2_7!I83,householdfinance_v2_6!I83,householdfinance_v2_10!I83)/COUNT(householdfinance_v2_9!I83,householdfinance_v2_8!I83,householdfinance_v2_7!I83,householdfinance_v2_6!I83,householdfinance_v2_10!I83),0))</f>
        <v>0</v>
      </c>
      <c r="J83">
        <f>IF(F83=1,ROUND(SUM(householdfinance_v2_9!J83,householdfinance_v2_8!J83,householdfinance_v2_7!J83,householdfinance_v2_6!J83,householdfinance_v2_10!J83)/COUNT(householdfinance_v2_9!J83,householdfinance_v2_8!J83,householdfinance_v2_7!J83,householdfinance_v2_6!J83,householdfinance_v2_10!J83),0),"NA")</f>
        <v>1</v>
      </c>
      <c r="K83">
        <f>IF($E83=0,"NA",ROUND(SUM(householdfinance_v2_9!K83,householdfinance_v2_8!K83,householdfinance_v2_7!K83,householdfinance_v2_6!K83,householdfinance_v2_10!K83)/COUNT(householdfinance_v2_9!K83,householdfinance_v2_8!K83,householdfinance_v2_7!K83,householdfinance_v2_6!K83,householdfinance_v2_10!K83),0))</f>
        <v>1</v>
      </c>
      <c r="L83">
        <f>IF($E83=0,"NA",ROUND(SUM(householdfinance_v2_9!L83,householdfinance_v2_8!L83,householdfinance_v2_7!L83,householdfinance_v2_6!L83,householdfinance_v2_10!L83)/COUNT(householdfinance_v2_9!L83,householdfinance_v2_8!L83,householdfinance_v2_7!L83,householdfinance_v2_6!L83,householdfinance_v2_10!L83),0))</f>
        <v>1</v>
      </c>
      <c r="M83">
        <f>IF($E83=0,"NA",ROUND(SUM(householdfinance_v2_9!M83,householdfinance_v2_8!M83,householdfinance_v2_7!M83,householdfinance_v2_6!M83,householdfinance_v2_10!M83)/COUNT(householdfinance_v2_9!M83,householdfinance_v2_8!M83,householdfinance_v2_7!M83,householdfinance_v2_6!M83,householdfinance_v2_10!M83),0))</f>
        <v>1</v>
      </c>
      <c r="N83">
        <f>IF($E83=0,"NA",ROUND(SUM(householdfinance_v2_9!N83,householdfinance_v2_8!N83,householdfinance_v2_7!N83,householdfinance_v2_6!N83,householdfinance_v2_10!N83)/COUNT(householdfinance_v2_9!N83,householdfinance_v2_8!N83,householdfinance_v2_7!N83,householdfinance_v2_6!N83,householdfinance_v2_10!N83),0))</f>
        <v>1</v>
      </c>
      <c r="O83">
        <f>IF($E83=0,"NA",ROUND(SUM(householdfinance_v2_9!O83,householdfinance_v2_8!O83,householdfinance_v2_7!O83,householdfinance_v2_6!O83,householdfinance_v2_10!O83)/COUNT(householdfinance_v2_9!O83,householdfinance_v2_8!O83,householdfinance_v2_7!O83,householdfinance_v2_6!O83,householdfinance_v2_10!O83),0))</f>
        <v>1</v>
      </c>
    </row>
    <row r="84" spans="1:15" x14ac:dyDescent="0.25">
      <c r="A84" t="s">
        <v>94</v>
      </c>
      <c r="B84" t="s">
        <v>67</v>
      </c>
      <c r="C84">
        <v>0</v>
      </c>
      <c r="D84">
        <v>2.7595963478088379</v>
      </c>
      <c r="E84">
        <f>ROUND(SUM(householdfinance_v2_9!E84,householdfinance_v2_8!E84,householdfinance_v2_7!E84,householdfinance_v2_6!E84,householdfinance_v2_10!E84)/COUNT(householdfinance_v2_9!E84,householdfinance_v2_8!E84,householdfinance_v2_7!E84,householdfinance_v2_6!E84,householdfinance_v2_10!E84),0)</f>
        <v>1</v>
      </c>
      <c r="F84">
        <f>IF($E84=0,"NA",ROUND(SUM(householdfinance_v2_9!F84,householdfinance_v2_8!F84,householdfinance_v2_7!F84,householdfinance_v2_6!F84,householdfinance_v2_10!F84)/COUNT(householdfinance_v2_9!F84,householdfinance_v2_8!F84,householdfinance_v2_7!F84,householdfinance_v2_6!F84,householdfinance_v2_10!F84),0))</f>
        <v>1</v>
      </c>
      <c r="G84">
        <f>IF($E84=0,"NA",ROUND(SUM(householdfinance_v2_9!G84,householdfinance_v2_8!G84,householdfinance_v2_7!G84,householdfinance_v2_6!G84,householdfinance_v2_10!G84)/COUNT(householdfinance_v2_9!G84,householdfinance_v2_8!G84,householdfinance_v2_7!G84,householdfinance_v2_6!G84,householdfinance_v2_10!G84),0))</f>
        <v>1</v>
      </c>
      <c r="H84">
        <f>IF(AND(F84=1,G84=1),ROUND(SUM(householdfinance_v2_9!H84,householdfinance_v2_8!H84,householdfinance_v2_7!H84,householdfinance_v2_6!H84,householdfinance_v2_10!H84)/COUNT(householdfinance_v2_9!H84,householdfinance_v2_8!H84,householdfinance_v2_7!H84,householdfinance_v2_6!H84,householdfinance_v2_10!H84),0),"NA")</f>
        <v>1</v>
      </c>
      <c r="I84">
        <f>IF($E84=0,"NA",ROUND(SUM(householdfinance_v2_9!I84,householdfinance_v2_8!I84,householdfinance_v2_7!I84,householdfinance_v2_6!I84,householdfinance_v2_10!I84)/COUNT(householdfinance_v2_9!I84,householdfinance_v2_8!I84,householdfinance_v2_7!I84,householdfinance_v2_6!I84,householdfinance_v2_10!I84),0))</f>
        <v>1</v>
      </c>
      <c r="J84">
        <f>IF(F84=1,ROUND(SUM(householdfinance_v2_9!J84,householdfinance_v2_8!J84,householdfinance_v2_7!J84,householdfinance_v2_6!J84,householdfinance_v2_10!J84)/COUNT(householdfinance_v2_9!J84,householdfinance_v2_8!J84,householdfinance_v2_7!J84,householdfinance_v2_6!J84,householdfinance_v2_10!J84),0),"NA")</f>
        <v>1</v>
      </c>
      <c r="K84">
        <f>IF($E84=0,"NA",ROUND(SUM(householdfinance_v2_9!K84,householdfinance_v2_8!K84,householdfinance_v2_7!K84,householdfinance_v2_6!K84,householdfinance_v2_10!K84)/COUNT(householdfinance_v2_9!K84,householdfinance_v2_8!K84,householdfinance_v2_7!K84,householdfinance_v2_6!K84,householdfinance_v2_10!K84),0))</f>
        <v>1</v>
      </c>
      <c r="L84">
        <f>IF($E84=0,"NA",ROUND(SUM(householdfinance_v2_9!L84,householdfinance_v2_8!L84,householdfinance_v2_7!L84,householdfinance_v2_6!L84,householdfinance_v2_10!L84)/COUNT(householdfinance_v2_9!L84,householdfinance_v2_8!L84,householdfinance_v2_7!L84,householdfinance_v2_6!L84,householdfinance_v2_10!L84),0))</f>
        <v>1</v>
      </c>
      <c r="M84">
        <f>IF($E84=0,"NA",ROUND(SUM(householdfinance_v2_9!M84,householdfinance_v2_8!M84,householdfinance_v2_7!M84,householdfinance_v2_6!M84,householdfinance_v2_10!M84)/COUNT(householdfinance_v2_9!M84,householdfinance_v2_8!M84,householdfinance_v2_7!M84,householdfinance_v2_6!M84,householdfinance_v2_10!M84),0))</f>
        <v>1</v>
      </c>
      <c r="N84">
        <f>IF($E84=0,"NA",ROUND(SUM(householdfinance_v2_9!N84,householdfinance_v2_8!N84,householdfinance_v2_7!N84,householdfinance_v2_6!N84,householdfinance_v2_10!N84)/COUNT(householdfinance_v2_9!N84,householdfinance_v2_8!N84,householdfinance_v2_7!N84,householdfinance_v2_6!N84,householdfinance_v2_10!N84),0))</f>
        <v>1</v>
      </c>
      <c r="O84">
        <f>IF($E84=0,"NA",ROUND(SUM(householdfinance_v2_9!O84,householdfinance_v2_8!O84,householdfinance_v2_7!O84,householdfinance_v2_6!O84,householdfinance_v2_10!O84)/COUNT(householdfinance_v2_9!O84,householdfinance_v2_8!O84,householdfinance_v2_7!O84,householdfinance_v2_6!O84,householdfinance_v2_10!O84),0))</f>
        <v>1</v>
      </c>
    </row>
    <row r="85" spans="1:15" x14ac:dyDescent="0.25">
      <c r="A85" t="s">
        <v>94</v>
      </c>
      <c r="B85" t="s">
        <v>69</v>
      </c>
      <c r="C85">
        <v>0</v>
      </c>
      <c r="D85">
        <v>4.4094250202178964</v>
      </c>
      <c r="E85">
        <f>ROUND(SUM(householdfinance_v2_9!E85,householdfinance_v2_8!E85,householdfinance_v2_7!E85,householdfinance_v2_6!E85,householdfinance_v2_10!E85)/COUNT(householdfinance_v2_9!E85,householdfinance_v2_8!E85,householdfinance_v2_7!E85,householdfinance_v2_6!E85,householdfinance_v2_10!E85),0)</f>
        <v>1</v>
      </c>
      <c r="F85">
        <f>IF($E85=0,"NA",ROUND(SUM(householdfinance_v2_9!F85,householdfinance_v2_8!F85,householdfinance_v2_7!F85,householdfinance_v2_6!F85,householdfinance_v2_10!F85)/COUNT(householdfinance_v2_9!F85,householdfinance_v2_8!F85,householdfinance_v2_7!F85,householdfinance_v2_6!F85,householdfinance_v2_10!F85),0))</f>
        <v>1</v>
      </c>
      <c r="G85">
        <f>IF($E85=0,"NA",ROUND(SUM(householdfinance_v2_9!G85,householdfinance_v2_8!G85,householdfinance_v2_7!G85,householdfinance_v2_6!G85,householdfinance_v2_10!G85)/COUNT(householdfinance_v2_9!G85,householdfinance_v2_8!G85,householdfinance_v2_7!G85,householdfinance_v2_6!G85,householdfinance_v2_10!G85),0))</f>
        <v>1</v>
      </c>
      <c r="H85">
        <f>IF(AND(F85=1,G85=1),ROUND(SUM(householdfinance_v2_9!H85,householdfinance_v2_8!H85,householdfinance_v2_7!H85,householdfinance_v2_6!H85,householdfinance_v2_10!H85)/COUNT(householdfinance_v2_9!H85,householdfinance_v2_8!H85,householdfinance_v2_7!H85,householdfinance_v2_6!H85,householdfinance_v2_10!H85),0),"NA")</f>
        <v>1</v>
      </c>
      <c r="I85">
        <f>IF($E85=0,"NA",ROUND(SUM(householdfinance_v2_9!I85,householdfinance_v2_8!I85,householdfinance_v2_7!I85,householdfinance_v2_6!I85,householdfinance_v2_10!I85)/COUNT(householdfinance_v2_9!I85,householdfinance_v2_8!I85,householdfinance_v2_7!I85,householdfinance_v2_6!I85,householdfinance_v2_10!I85),0))</f>
        <v>0</v>
      </c>
      <c r="J85">
        <f>IF(F85=1,ROUND(SUM(householdfinance_v2_9!J85,householdfinance_v2_8!J85,householdfinance_v2_7!J85,householdfinance_v2_6!J85,householdfinance_v2_10!J85)/COUNT(householdfinance_v2_9!J85,householdfinance_v2_8!J85,householdfinance_v2_7!J85,householdfinance_v2_6!J85,householdfinance_v2_10!J85),0),"NA")</f>
        <v>1</v>
      </c>
      <c r="K85">
        <f>IF($E85=0,"NA",ROUND(SUM(householdfinance_v2_9!K85,householdfinance_v2_8!K85,householdfinance_v2_7!K85,householdfinance_v2_6!K85,householdfinance_v2_10!K85)/COUNT(householdfinance_v2_9!K85,householdfinance_v2_8!K85,householdfinance_v2_7!K85,householdfinance_v2_6!K85,householdfinance_v2_10!K85),0))</f>
        <v>1</v>
      </c>
      <c r="L85">
        <f>IF($E85=0,"NA",ROUND(SUM(householdfinance_v2_9!L85,householdfinance_v2_8!L85,householdfinance_v2_7!L85,householdfinance_v2_6!L85,householdfinance_v2_10!L85)/COUNT(householdfinance_v2_9!L85,householdfinance_v2_8!L85,householdfinance_v2_7!L85,householdfinance_v2_6!L85,householdfinance_v2_10!L85),0))</f>
        <v>1</v>
      </c>
      <c r="M85">
        <f>IF($E85=0,"NA",ROUND(SUM(householdfinance_v2_9!M85,householdfinance_v2_8!M85,householdfinance_v2_7!M85,householdfinance_v2_6!M85,householdfinance_v2_10!M85)/COUNT(householdfinance_v2_9!M85,householdfinance_v2_8!M85,householdfinance_v2_7!M85,householdfinance_v2_6!M85,householdfinance_v2_10!M85),0))</f>
        <v>1</v>
      </c>
      <c r="N85">
        <f>IF($E85=0,"NA",ROUND(SUM(householdfinance_v2_9!N85,householdfinance_v2_8!N85,householdfinance_v2_7!N85,householdfinance_v2_6!N85,householdfinance_v2_10!N85)/COUNT(householdfinance_v2_9!N85,householdfinance_v2_8!N85,householdfinance_v2_7!N85,householdfinance_v2_6!N85,householdfinance_v2_10!N85),0))</f>
        <v>1</v>
      </c>
      <c r="O85">
        <f>IF($E85=0,"NA",ROUND(SUM(householdfinance_v2_9!O85,householdfinance_v2_8!O85,householdfinance_v2_7!O85,householdfinance_v2_6!O85,householdfinance_v2_10!O85)/COUNT(householdfinance_v2_9!O85,householdfinance_v2_8!O85,householdfinance_v2_7!O85,householdfinance_v2_6!O85,householdfinance_v2_10!O85),0))</f>
        <v>1</v>
      </c>
    </row>
    <row r="86" spans="1:15" x14ac:dyDescent="0.25">
      <c r="A86" t="s">
        <v>94</v>
      </c>
      <c r="B86" t="s">
        <v>70</v>
      </c>
      <c r="C86">
        <v>0</v>
      </c>
      <c r="D86">
        <v>11.91041421890259</v>
      </c>
      <c r="E86">
        <f>ROUND(SUM(householdfinance_v2_9!E86,householdfinance_v2_8!E86,householdfinance_v2_7!E86,householdfinance_v2_6!E86,householdfinance_v2_10!E86)/COUNT(householdfinance_v2_9!E86,householdfinance_v2_8!E86,householdfinance_v2_7!E86,householdfinance_v2_6!E86,householdfinance_v2_10!E86),0)</f>
        <v>1</v>
      </c>
      <c r="F86">
        <f>IF($E86=0,"NA",ROUND(SUM(householdfinance_v2_9!F86,householdfinance_v2_8!F86,householdfinance_v2_7!F86,householdfinance_v2_6!F86,householdfinance_v2_10!F86)/COUNT(householdfinance_v2_9!F86,householdfinance_v2_8!F86,householdfinance_v2_7!F86,householdfinance_v2_6!F86,householdfinance_v2_10!F86),0))</f>
        <v>1</v>
      </c>
      <c r="G86">
        <f>IF($E86=0,"NA",ROUND(SUM(householdfinance_v2_9!G86,householdfinance_v2_8!G86,householdfinance_v2_7!G86,householdfinance_v2_6!G86,householdfinance_v2_10!G86)/COUNT(householdfinance_v2_9!G86,householdfinance_v2_8!G86,householdfinance_v2_7!G86,householdfinance_v2_6!G86,householdfinance_v2_10!G86),0))</f>
        <v>0</v>
      </c>
      <c r="H86" t="str">
        <f>IF(AND(F86=1,G86=1),ROUND(SUM(householdfinance_v2_9!H86,householdfinance_v2_8!H86,householdfinance_v2_7!H86,householdfinance_v2_6!H86,householdfinance_v2_10!H86)/COUNT(householdfinance_v2_9!H86,householdfinance_v2_8!H86,householdfinance_v2_7!H86,householdfinance_v2_6!H86,householdfinance_v2_10!H86),0),"NA")</f>
        <v>NA</v>
      </c>
      <c r="I86">
        <f>IF($E86=0,"NA",ROUND(SUM(householdfinance_v2_9!I86,householdfinance_v2_8!I86,householdfinance_v2_7!I86,householdfinance_v2_6!I86,householdfinance_v2_10!I86)/COUNT(householdfinance_v2_9!I86,householdfinance_v2_8!I86,householdfinance_v2_7!I86,householdfinance_v2_6!I86,householdfinance_v2_10!I86),0))</f>
        <v>1</v>
      </c>
      <c r="J86">
        <f>IF(F86=1,ROUND(SUM(householdfinance_v2_9!J86,householdfinance_v2_8!J86,householdfinance_v2_7!J86,householdfinance_v2_6!J86,householdfinance_v2_10!J86)/COUNT(householdfinance_v2_9!J86,householdfinance_v2_8!J86,householdfinance_v2_7!J86,householdfinance_v2_6!J86,householdfinance_v2_10!J86),0),"NA")</f>
        <v>1</v>
      </c>
      <c r="K86">
        <f>IF($E86=0,"NA",ROUND(SUM(householdfinance_v2_9!K86,householdfinance_v2_8!K86,householdfinance_v2_7!K86,householdfinance_v2_6!K86,householdfinance_v2_10!K86)/COUNT(householdfinance_v2_9!K86,householdfinance_v2_8!K86,householdfinance_v2_7!K86,householdfinance_v2_6!K86,householdfinance_v2_10!K86),0))</f>
        <v>1</v>
      </c>
      <c r="L86">
        <f>IF($E86=0,"NA",ROUND(SUM(householdfinance_v2_9!L86,householdfinance_v2_8!L86,householdfinance_v2_7!L86,householdfinance_v2_6!L86,householdfinance_v2_10!L86)/COUNT(householdfinance_v2_9!L86,householdfinance_v2_8!L86,householdfinance_v2_7!L86,householdfinance_v2_6!L86,householdfinance_v2_10!L86),0))</f>
        <v>1</v>
      </c>
      <c r="M86">
        <f>IF($E86=0,"NA",ROUND(SUM(householdfinance_v2_9!M86,householdfinance_v2_8!M86,householdfinance_v2_7!M86,householdfinance_v2_6!M86,householdfinance_v2_10!M86)/COUNT(householdfinance_v2_9!M86,householdfinance_v2_8!M86,householdfinance_v2_7!M86,householdfinance_v2_6!M86,householdfinance_v2_10!M86),0))</f>
        <v>1</v>
      </c>
      <c r="N86">
        <f>IF($E86=0,"NA",ROUND(SUM(householdfinance_v2_9!N86,householdfinance_v2_8!N86,householdfinance_v2_7!N86,householdfinance_v2_6!N86,householdfinance_v2_10!N86)/COUNT(householdfinance_v2_9!N86,householdfinance_v2_8!N86,householdfinance_v2_7!N86,householdfinance_v2_6!N86,householdfinance_v2_10!N86),0))</f>
        <v>1</v>
      </c>
      <c r="O86">
        <f>IF($E86=0,"NA",ROUND(SUM(householdfinance_v2_9!O86,householdfinance_v2_8!O86,householdfinance_v2_7!O86,householdfinance_v2_6!O86,householdfinance_v2_10!O86)/COUNT(householdfinance_v2_9!O86,householdfinance_v2_8!O86,householdfinance_v2_7!O86,householdfinance_v2_6!O86,householdfinance_v2_10!O86),0))</f>
        <v>1</v>
      </c>
    </row>
    <row r="87" spans="1:15" x14ac:dyDescent="0.25">
      <c r="A87" t="s">
        <v>94</v>
      </c>
      <c r="B87" t="s">
        <v>71</v>
      </c>
      <c r="C87">
        <v>0</v>
      </c>
      <c r="D87">
        <v>2.706435918807983</v>
      </c>
      <c r="E87">
        <f>ROUND(SUM(householdfinance_v2_9!E87,householdfinance_v2_8!E87,householdfinance_v2_7!E87,householdfinance_v2_6!E87,householdfinance_v2_10!E87)/COUNT(householdfinance_v2_9!E87,householdfinance_v2_8!E87,householdfinance_v2_7!E87,householdfinance_v2_6!E87,householdfinance_v2_10!E87),0)</f>
        <v>1</v>
      </c>
      <c r="F87">
        <f>IF($E87=0,"NA",ROUND(SUM(householdfinance_v2_9!F87,householdfinance_v2_8!F87,householdfinance_v2_7!F87,householdfinance_v2_6!F87,householdfinance_v2_10!F87)/COUNT(householdfinance_v2_9!F87,householdfinance_v2_8!F87,householdfinance_v2_7!F87,householdfinance_v2_6!F87,householdfinance_v2_10!F87),0))</f>
        <v>1</v>
      </c>
      <c r="G87">
        <f>IF($E87=0,"NA",ROUND(SUM(householdfinance_v2_9!G87,householdfinance_v2_8!G87,householdfinance_v2_7!G87,householdfinance_v2_6!G87,householdfinance_v2_10!G87)/COUNT(householdfinance_v2_9!G87,householdfinance_v2_8!G87,householdfinance_v2_7!G87,householdfinance_v2_6!G87,householdfinance_v2_10!G87),0))</f>
        <v>1</v>
      </c>
      <c r="H87">
        <f>IF(AND(F87=1,G87=1),ROUND(SUM(householdfinance_v2_9!H87,householdfinance_v2_8!H87,householdfinance_v2_7!H87,householdfinance_v2_6!H87,householdfinance_v2_10!H87)/COUNT(householdfinance_v2_9!H87,householdfinance_v2_8!H87,householdfinance_v2_7!H87,householdfinance_v2_6!H87,householdfinance_v2_10!H87),0),"NA")</f>
        <v>1</v>
      </c>
      <c r="I87">
        <f>IF($E87=0,"NA",ROUND(SUM(householdfinance_v2_9!I87,householdfinance_v2_8!I87,householdfinance_v2_7!I87,householdfinance_v2_6!I87,householdfinance_v2_10!I87)/COUNT(householdfinance_v2_9!I87,householdfinance_v2_8!I87,householdfinance_v2_7!I87,householdfinance_v2_6!I87,householdfinance_v2_10!I87),0))</f>
        <v>1</v>
      </c>
      <c r="J87">
        <f>IF(F87=1,ROUND(SUM(householdfinance_v2_9!J87,householdfinance_v2_8!J87,householdfinance_v2_7!J87,householdfinance_v2_6!J87,householdfinance_v2_10!J87)/COUNT(householdfinance_v2_9!J87,householdfinance_v2_8!J87,householdfinance_v2_7!J87,householdfinance_v2_6!J87,householdfinance_v2_10!J87),0),"NA")</f>
        <v>1</v>
      </c>
      <c r="K87">
        <f>IF($E87=0,"NA",ROUND(SUM(householdfinance_v2_9!K87,householdfinance_v2_8!K87,householdfinance_v2_7!K87,householdfinance_v2_6!K87,householdfinance_v2_10!K87)/COUNT(householdfinance_v2_9!K87,householdfinance_v2_8!K87,householdfinance_v2_7!K87,householdfinance_v2_6!K87,householdfinance_v2_10!K87),0))</f>
        <v>1</v>
      </c>
      <c r="L87">
        <f>IF($E87=0,"NA",ROUND(SUM(householdfinance_v2_9!L87,householdfinance_v2_8!L87,householdfinance_v2_7!L87,householdfinance_v2_6!L87,householdfinance_v2_10!L87)/COUNT(householdfinance_v2_9!L87,householdfinance_v2_8!L87,householdfinance_v2_7!L87,householdfinance_v2_6!L87,householdfinance_v2_10!L87),0))</f>
        <v>1</v>
      </c>
      <c r="M87">
        <f>IF($E87=0,"NA",ROUND(SUM(householdfinance_v2_9!M87,householdfinance_v2_8!M87,householdfinance_v2_7!M87,householdfinance_v2_6!M87,householdfinance_v2_10!M87)/COUNT(householdfinance_v2_9!M87,householdfinance_v2_8!M87,householdfinance_v2_7!M87,householdfinance_v2_6!M87,householdfinance_v2_10!M87),0))</f>
        <v>1</v>
      </c>
      <c r="N87">
        <f>IF($E87=0,"NA",ROUND(SUM(householdfinance_v2_9!N87,householdfinance_v2_8!N87,householdfinance_v2_7!N87,householdfinance_v2_6!N87,householdfinance_v2_10!N87)/COUNT(householdfinance_v2_9!N87,householdfinance_v2_8!N87,householdfinance_v2_7!N87,householdfinance_v2_6!N87,householdfinance_v2_10!N87),0))</f>
        <v>1</v>
      </c>
      <c r="O87">
        <f>IF($E87=0,"NA",ROUND(SUM(householdfinance_v2_9!O87,householdfinance_v2_8!O87,householdfinance_v2_7!O87,householdfinance_v2_6!O87,householdfinance_v2_10!O87)/COUNT(householdfinance_v2_9!O87,householdfinance_v2_8!O87,householdfinance_v2_7!O87,householdfinance_v2_6!O87,householdfinance_v2_10!O87),0))</f>
        <v>1</v>
      </c>
    </row>
    <row r="88" spans="1:15" x14ac:dyDescent="0.25">
      <c r="A88" t="s">
        <v>94</v>
      </c>
      <c r="B88" t="s">
        <v>72</v>
      </c>
      <c r="C88">
        <v>0</v>
      </c>
      <c r="D88">
        <v>7.4578771591186523</v>
      </c>
      <c r="E88">
        <f>ROUND(SUM(householdfinance_v2_9!E88,householdfinance_v2_8!E88,householdfinance_v2_7!E88,householdfinance_v2_6!E88,householdfinance_v2_10!E88)/COUNT(householdfinance_v2_9!E88,householdfinance_v2_8!E88,householdfinance_v2_7!E88,householdfinance_v2_6!E88,householdfinance_v2_10!E88),0)</f>
        <v>1</v>
      </c>
      <c r="F88">
        <f>IF($E88=0,"NA",ROUND(SUM(householdfinance_v2_9!F88,householdfinance_v2_8!F88,householdfinance_v2_7!F88,householdfinance_v2_6!F88,householdfinance_v2_10!F88)/COUNT(householdfinance_v2_9!F88,householdfinance_v2_8!F88,householdfinance_v2_7!F88,householdfinance_v2_6!F88,householdfinance_v2_10!F88),0))</f>
        <v>1</v>
      </c>
      <c r="G88">
        <f>IF($E88=0,"NA",ROUND(SUM(householdfinance_v2_9!G88,householdfinance_v2_8!G88,householdfinance_v2_7!G88,householdfinance_v2_6!G88,householdfinance_v2_10!G88)/COUNT(householdfinance_v2_9!G88,householdfinance_v2_8!G88,householdfinance_v2_7!G88,householdfinance_v2_6!G88,householdfinance_v2_10!G88),0))</f>
        <v>0</v>
      </c>
      <c r="H88" t="str">
        <f>IF(AND(F88=1,G88=1),ROUND(SUM(householdfinance_v2_9!H88,householdfinance_v2_8!H88,householdfinance_v2_7!H88,householdfinance_v2_6!H88,householdfinance_v2_10!H88)/COUNT(householdfinance_v2_9!H88,householdfinance_v2_8!H88,householdfinance_v2_7!H88,householdfinance_v2_6!H88,householdfinance_v2_10!H88),0),"NA")</f>
        <v>NA</v>
      </c>
      <c r="I88">
        <f>IF($E88=0,"NA",ROUND(SUM(householdfinance_v2_9!I88,householdfinance_v2_8!I88,householdfinance_v2_7!I88,householdfinance_v2_6!I88,householdfinance_v2_10!I88)/COUNT(householdfinance_v2_9!I88,householdfinance_v2_8!I88,householdfinance_v2_7!I88,householdfinance_v2_6!I88,householdfinance_v2_10!I88),0))</f>
        <v>1</v>
      </c>
      <c r="J88">
        <f>IF(F88=1,ROUND(SUM(householdfinance_v2_9!J88,householdfinance_v2_8!J88,householdfinance_v2_7!J88,householdfinance_v2_6!J88,householdfinance_v2_10!J88)/COUNT(householdfinance_v2_9!J88,householdfinance_v2_8!J88,householdfinance_v2_7!J88,householdfinance_v2_6!J88,householdfinance_v2_10!J88),0),"NA")</f>
        <v>1</v>
      </c>
      <c r="K88">
        <f>IF($E88=0,"NA",ROUND(SUM(householdfinance_v2_9!K88,householdfinance_v2_8!K88,householdfinance_v2_7!K88,householdfinance_v2_6!K88,householdfinance_v2_10!K88)/COUNT(householdfinance_v2_9!K88,householdfinance_v2_8!K88,householdfinance_v2_7!K88,householdfinance_v2_6!K88,householdfinance_v2_10!K88),0))</f>
        <v>0</v>
      </c>
      <c r="L88">
        <f>IF($E88=0,"NA",ROUND(SUM(householdfinance_v2_9!L88,householdfinance_v2_8!L88,householdfinance_v2_7!L88,householdfinance_v2_6!L88,householdfinance_v2_10!L88)/COUNT(householdfinance_v2_9!L88,householdfinance_v2_8!L88,householdfinance_v2_7!L88,householdfinance_v2_6!L88,householdfinance_v2_10!L88),0))</f>
        <v>1</v>
      </c>
      <c r="M88">
        <f>IF($E88=0,"NA",ROUND(SUM(householdfinance_v2_9!M88,householdfinance_v2_8!M88,householdfinance_v2_7!M88,householdfinance_v2_6!M88,householdfinance_v2_10!M88)/COUNT(householdfinance_v2_9!M88,householdfinance_v2_8!M88,householdfinance_v2_7!M88,householdfinance_v2_6!M88,householdfinance_v2_10!M88),0))</f>
        <v>1</v>
      </c>
      <c r="N88">
        <f>IF($E88=0,"NA",ROUND(SUM(householdfinance_v2_9!N88,householdfinance_v2_8!N88,householdfinance_v2_7!N88,householdfinance_v2_6!N88,householdfinance_v2_10!N88)/COUNT(householdfinance_v2_9!N88,householdfinance_v2_8!N88,householdfinance_v2_7!N88,householdfinance_v2_6!N88,householdfinance_v2_10!N88),0))</f>
        <v>1</v>
      </c>
      <c r="O88">
        <f>IF($E88=0,"NA",ROUND(SUM(householdfinance_v2_9!O88,householdfinance_v2_8!O88,householdfinance_v2_7!O88,householdfinance_v2_6!O88,householdfinance_v2_10!O88)/COUNT(householdfinance_v2_9!O88,householdfinance_v2_8!O88,householdfinance_v2_7!O88,householdfinance_v2_6!O88,householdfinance_v2_10!O88),0))</f>
        <v>1</v>
      </c>
    </row>
    <row r="89" spans="1:15" x14ac:dyDescent="0.25">
      <c r="A89" t="s">
        <v>94</v>
      </c>
      <c r="B89" t="s">
        <v>74</v>
      </c>
      <c r="C89">
        <v>0</v>
      </c>
      <c r="D89">
        <v>8.9349339008331299</v>
      </c>
      <c r="E89">
        <f>ROUND(SUM(householdfinance_v2_9!E89,householdfinance_v2_8!E89,householdfinance_v2_7!E89,householdfinance_v2_6!E89,householdfinance_v2_10!E89)/COUNT(householdfinance_v2_9!E89,householdfinance_v2_8!E89,householdfinance_v2_7!E89,householdfinance_v2_6!E89,householdfinance_v2_10!E89),0)</f>
        <v>1</v>
      </c>
      <c r="F89">
        <f>IF($E89=0,"NA",ROUND(SUM(householdfinance_v2_9!F89,householdfinance_v2_8!F89,householdfinance_v2_7!F89,householdfinance_v2_6!F89,householdfinance_v2_10!F89)/COUNT(householdfinance_v2_9!F89,householdfinance_v2_8!F89,householdfinance_v2_7!F89,householdfinance_v2_6!F89,householdfinance_v2_10!F89),0))</f>
        <v>1</v>
      </c>
      <c r="G89">
        <f>IF($E89=0,"NA",ROUND(SUM(householdfinance_v2_9!G89,householdfinance_v2_8!G89,householdfinance_v2_7!G89,householdfinance_v2_6!G89,householdfinance_v2_10!G89)/COUNT(householdfinance_v2_9!G89,householdfinance_v2_8!G89,householdfinance_v2_7!G89,householdfinance_v2_6!G89,householdfinance_v2_10!G89),0))</f>
        <v>1</v>
      </c>
      <c r="H89">
        <f>IF(AND(F89=1,G89=1),ROUND(SUM(householdfinance_v2_9!H89,householdfinance_v2_8!H89,householdfinance_v2_7!H89,householdfinance_v2_6!H89,householdfinance_v2_10!H89)/COUNT(householdfinance_v2_9!H89,householdfinance_v2_8!H89,householdfinance_v2_7!H89,householdfinance_v2_6!H89,householdfinance_v2_10!H89),0),"NA")</f>
        <v>1</v>
      </c>
      <c r="I89">
        <f>IF($E89=0,"NA",ROUND(SUM(householdfinance_v2_9!I89,householdfinance_v2_8!I89,householdfinance_v2_7!I89,householdfinance_v2_6!I89,householdfinance_v2_10!I89)/COUNT(householdfinance_v2_9!I89,householdfinance_v2_8!I89,householdfinance_v2_7!I89,householdfinance_v2_6!I89,householdfinance_v2_10!I89),0))</f>
        <v>1</v>
      </c>
      <c r="J89">
        <f>IF(F89=1,ROUND(SUM(householdfinance_v2_9!J89,householdfinance_v2_8!J89,householdfinance_v2_7!J89,householdfinance_v2_6!J89,householdfinance_v2_10!J89)/COUNT(householdfinance_v2_9!J89,householdfinance_v2_8!J89,householdfinance_v2_7!J89,householdfinance_v2_6!J89,householdfinance_v2_10!J89),0),"NA")</f>
        <v>1</v>
      </c>
      <c r="K89">
        <f>IF($E89=0,"NA",ROUND(SUM(householdfinance_v2_9!K89,householdfinance_v2_8!K89,householdfinance_v2_7!K89,householdfinance_v2_6!K89,householdfinance_v2_10!K89)/COUNT(householdfinance_v2_9!K89,householdfinance_v2_8!K89,householdfinance_v2_7!K89,householdfinance_v2_6!K89,householdfinance_v2_10!K89),0))</f>
        <v>1</v>
      </c>
      <c r="L89">
        <f>IF($E89=0,"NA",ROUND(SUM(householdfinance_v2_9!L89,householdfinance_v2_8!L89,householdfinance_v2_7!L89,householdfinance_v2_6!L89,householdfinance_v2_10!L89)/COUNT(householdfinance_v2_9!L89,householdfinance_v2_8!L89,householdfinance_v2_7!L89,householdfinance_v2_6!L89,householdfinance_v2_10!L89),0))</f>
        <v>1</v>
      </c>
      <c r="M89">
        <f>IF($E89=0,"NA",ROUND(SUM(householdfinance_v2_9!M89,householdfinance_v2_8!M89,householdfinance_v2_7!M89,householdfinance_v2_6!M89,householdfinance_v2_10!M89)/COUNT(householdfinance_v2_9!M89,householdfinance_v2_8!M89,householdfinance_v2_7!M89,householdfinance_v2_6!M89,householdfinance_v2_10!M89),0))</f>
        <v>1</v>
      </c>
      <c r="N89">
        <f>IF($E89=0,"NA",ROUND(SUM(householdfinance_v2_9!N89,householdfinance_v2_8!N89,householdfinance_v2_7!N89,householdfinance_v2_6!N89,householdfinance_v2_10!N89)/COUNT(householdfinance_v2_9!N89,householdfinance_v2_8!N89,householdfinance_v2_7!N89,householdfinance_v2_6!N89,householdfinance_v2_10!N89),0))</f>
        <v>1</v>
      </c>
      <c r="O89">
        <f>IF($E89=0,"NA",ROUND(SUM(householdfinance_v2_9!O89,householdfinance_v2_8!O89,householdfinance_v2_7!O89,householdfinance_v2_6!O89,householdfinance_v2_10!O89)/COUNT(householdfinance_v2_9!O89,householdfinance_v2_8!O89,householdfinance_v2_7!O89,householdfinance_v2_6!O89,householdfinance_v2_10!O89),0))</f>
        <v>1</v>
      </c>
    </row>
    <row r="90" spans="1:15" x14ac:dyDescent="0.25">
      <c r="A90" t="s">
        <v>94</v>
      </c>
      <c r="B90" t="s">
        <v>76</v>
      </c>
      <c r="C90">
        <v>0</v>
      </c>
      <c r="D90">
        <v>8.28633713722229</v>
      </c>
      <c r="E90">
        <f>ROUND(SUM(householdfinance_v2_9!E90,householdfinance_v2_8!E90,householdfinance_v2_7!E90,householdfinance_v2_6!E90,householdfinance_v2_10!E90)/COUNT(householdfinance_v2_9!E90,householdfinance_v2_8!E90,householdfinance_v2_7!E90,householdfinance_v2_6!E90,householdfinance_v2_10!E90),0)</f>
        <v>0</v>
      </c>
      <c r="F90" t="str">
        <f>IF($E90=0,"NA",ROUND(SUM(householdfinance_v2_9!F90,householdfinance_v2_8!F90,householdfinance_v2_7!F90,householdfinance_v2_6!F90,householdfinance_v2_10!F90)/COUNT(householdfinance_v2_9!F90,householdfinance_v2_8!F90,householdfinance_v2_7!F90,householdfinance_v2_6!F90,householdfinance_v2_10!F90),0))</f>
        <v>NA</v>
      </c>
      <c r="G90" t="str">
        <f>IF($E90=0,"NA",ROUND(SUM(householdfinance_v2_9!G90,householdfinance_v2_8!G90,householdfinance_v2_7!G90,householdfinance_v2_6!G90,householdfinance_v2_10!G90)/COUNT(householdfinance_v2_9!G90,householdfinance_v2_8!G90,householdfinance_v2_7!G90,householdfinance_v2_6!G90,householdfinance_v2_10!G90),0))</f>
        <v>NA</v>
      </c>
      <c r="H90" t="str">
        <f>IF(AND(F90=1,G90=1),ROUND(SUM(householdfinance_v2_9!H90,householdfinance_v2_8!H90,householdfinance_v2_7!H90,householdfinance_v2_6!H90,householdfinance_v2_10!H90)/COUNT(householdfinance_v2_9!H90,householdfinance_v2_8!H90,householdfinance_v2_7!H90,householdfinance_v2_6!H90,householdfinance_v2_10!H90),0),"NA")</f>
        <v>NA</v>
      </c>
      <c r="I90" t="str">
        <f>IF($E90=0,"NA",ROUND(SUM(householdfinance_v2_9!I90,householdfinance_v2_8!I90,householdfinance_v2_7!I90,householdfinance_v2_6!I90,householdfinance_v2_10!I90)/COUNT(householdfinance_v2_9!I90,householdfinance_v2_8!I90,householdfinance_v2_7!I90,householdfinance_v2_6!I90,householdfinance_v2_10!I90),0))</f>
        <v>NA</v>
      </c>
      <c r="J90" t="str">
        <f>IF(F90=1,ROUND(SUM(householdfinance_v2_9!J90,householdfinance_v2_8!J90,householdfinance_v2_7!J90,householdfinance_v2_6!J90,householdfinance_v2_10!J90)/COUNT(householdfinance_v2_9!J90,householdfinance_v2_8!J90,householdfinance_v2_7!J90,householdfinance_v2_6!J90,householdfinance_v2_10!J90),0),"NA")</f>
        <v>NA</v>
      </c>
      <c r="K90" t="str">
        <f>IF($E90=0,"NA",ROUND(SUM(householdfinance_v2_9!K90,householdfinance_v2_8!K90,householdfinance_v2_7!K90,householdfinance_v2_6!K90,householdfinance_v2_10!K90)/COUNT(householdfinance_v2_9!K90,householdfinance_v2_8!K90,householdfinance_v2_7!K90,householdfinance_v2_6!K90,householdfinance_v2_10!K90),0))</f>
        <v>NA</v>
      </c>
      <c r="L90" t="str">
        <f>IF($E90=0,"NA",ROUND(SUM(householdfinance_v2_9!L90,householdfinance_v2_8!L90,householdfinance_v2_7!L90,householdfinance_v2_6!L90,householdfinance_v2_10!L90)/COUNT(householdfinance_v2_9!L90,householdfinance_v2_8!L90,householdfinance_v2_7!L90,householdfinance_v2_6!L90,householdfinance_v2_10!L90),0))</f>
        <v>NA</v>
      </c>
      <c r="M90" t="str">
        <f>IF($E90=0,"NA",ROUND(SUM(householdfinance_v2_9!M90,householdfinance_v2_8!M90,householdfinance_v2_7!M90,householdfinance_v2_6!M90,householdfinance_v2_10!M90)/COUNT(householdfinance_v2_9!M90,householdfinance_v2_8!M90,householdfinance_v2_7!M90,householdfinance_v2_6!M90,householdfinance_v2_10!M90),0))</f>
        <v>NA</v>
      </c>
      <c r="N90" t="str">
        <f>IF($E90=0,"NA",ROUND(SUM(householdfinance_v2_9!N90,householdfinance_v2_8!N90,householdfinance_v2_7!N90,householdfinance_v2_6!N90,householdfinance_v2_10!N90)/COUNT(householdfinance_v2_9!N90,householdfinance_v2_8!N90,householdfinance_v2_7!N90,householdfinance_v2_6!N90,householdfinance_v2_10!N90),0))</f>
        <v>NA</v>
      </c>
      <c r="O90" t="str">
        <f>IF($E90=0,"NA",ROUND(SUM(householdfinance_v2_9!O90,householdfinance_v2_8!O90,householdfinance_v2_7!O90,householdfinance_v2_6!O90,householdfinance_v2_10!O90)/COUNT(householdfinance_v2_9!O90,householdfinance_v2_8!O90,householdfinance_v2_7!O90,householdfinance_v2_6!O90,householdfinance_v2_10!O90),0))</f>
        <v>NA</v>
      </c>
    </row>
    <row r="91" spans="1:15" x14ac:dyDescent="0.25">
      <c r="A91" t="s">
        <v>94</v>
      </c>
      <c r="B91" t="s">
        <v>78</v>
      </c>
      <c r="C91">
        <v>0</v>
      </c>
      <c r="D91">
        <v>10.104971408843991</v>
      </c>
      <c r="E91">
        <f>ROUND(SUM(householdfinance_v2_9!E91,householdfinance_v2_8!E91,householdfinance_v2_7!E91,householdfinance_v2_6!E91,householdfinance_v2_10!E91)/COUNT(householdfinance_v2_9!E91,householdfinance_v2_8!E91,householdfinance_v2_7!E91,householdfinance_v2_6!E91,householdfinance_v2_10!E91),0)</f>
        <v>1</v>
      </c>
      <c r="F91">
        <f>IF($E91=0,"NA",ROUND(SUM(householdfinance_v2_9!F91,householdfinance_v2_8!F91,householdfinance_v2_7!F91,householdfinance_v2_6!F91,householdfinance_v2_10!F91)/COUNT(householdfinance_v2_9!F91,householdfinance_v2_8!F91,householdfinance_v2_7!F91,householdfinance_v2_6!F91,householdfinance_v2_10!F91),0))</f>
        <v>1</v>
      </c>
      <c r="G91">
        <f>IF($E91=0,"NA",ROUND(SUM(householdfinance_v2_9!G91,householdfinance_v2_8!G91,householdfinance_v2_7!G91,householdfinance_v2_6!G91,householdfinance_v2_10!G91)/COUNT(householdfinance_v2_9!G91,householdfinance_v2_8!G91,householdfinance_v2_7!G91,householdfinance_v2_6!G91,householdfinance_v2_10!G91),0))</f>
        <v>1</v>
      </c>
      <c r="H91">
        <f>IF(AND(F91=1,G91=1),ROUND(SUM(householdfinance_v2_9!H91,householdfinance_v2_8!H91,householdfinance_v2_7!H91,householdfinance_v2_6!H91,householdfinance_v2_10!H91)/COUNT(householdfinance_v2_9!H91,householdfinance_v2_8!H91,householdfinance_v2_7!H91,householdfinance_v2_6!H91,householdfinance_v2_10!H91),0),"NA")</f>
        <v>1</v>
      </c>
      <c r="I91">
        <f>IF($E91=0,"NA",ROUND(SUM(householdfinance_v2_9!I91,householdfinance_v2_8!I91,householdfinance_v2_7!I91,householdfinance_v2_6!I91,householdfinance_v2_10!I91)/COUNT(householdfinance_v2_9!I91,householdfinance_v2_8!I91,householdfinance_v2_7!I91,householdfinance_v2_6!I91,householdfinance_v2_10!I91),0))</f>
        <v>1</v>
      </c>
      <c r="J91">
        <f>IF(F91=1,ROUND(SUM(householdfinance_v2_9!J91,householdfinance_v2_8!J91,householdfinance_v2_7!J91,householdfinance_v2_6!J91,householdfinance_v2_10!J91)/COUNT(householdfinance_v2_9!J91,householdfinance_v2_8!J91,householdfinance_v2_7!J91,householdfinance_v2_6!J91,householdfinance_v2_10!J91),0),"NA")</f>
        <v>1</v>
      </c>
      <c r="K91">
        <f>IF($E91=0,"NA",ROUND(SUM(householdfinance_v2_9!K91,householdfinance_v2_8!K91,householdfinance_v2_7!K91,householdfinance_v2_6!K91,householdfinance_v2_10!K91)/COUNT(householdfinance_v2_9!K91,householdfinance_v2_8!K91,householdfinance_v2_7!K91,householdfinance_v2_6!K91,householdfinance_v2_10!K91),0))</f>
        <v>1</v>
      </c>
      <c r="L91">
        <f>IF($E91=0,"NA",ROUND(SUM(householdfinance_v2_9!L91,householdfinance_v2_8!L91,householdfinance_v2_7!L91,householdfinance_v2_6!L91,householdfinance_v2_10!L91)/COUNT(householdfinance_v2_9!L91,householdfinance_v2_8!L91,householdfinance_v2_7!L91,householdfinance_v2_6!L91,householdfinance_v2_10!L91),0))</f>
        <v>1</v>
      </c>
      <c r="M91">
        <f>IF($E91=0,"NA",ROUND(SUM(householdfinance_v2_9!M91,householdfinance_v2_8!M91,householdfinance_v2_7!M91,householdfinance_v2_6!M91,householdfinance_v2_10!M91)/COUNT(householdfinance_v2_9!M91,householdfinance_v2_8!M91,householdfinance_v2_7!M91,householdfinance_v2_6!M91,householdfinance_v2_10!M91),0))</f>
        <v>1</v>
      </c>
      <c r="N91">
        <f>IF($E91=0,"NA",ROUND(SUM(householdfinance_v2_9!N91,householdfinance_v2_8!N91,householdfinance_v2_7!N91,householdfinance_v2_6!N91,householdfinance_v2_10!N91)/COUNT(householdfinance_v2_9!N91,householdfinance_v2_8!N91,householdfinance_v2_7!N91,householdfinance_v2_6!N91,householdfinance_v2_10!N91),0))</f>
        <v>1</v>
      </c>
      <c r="O91">
        <f>IF($E91=0,"NA",ROUND(SUM(householdfinance_v2_9!O91,householdfinance_v2_8!O91,householdfinance_v2_7!O91,householdfinance_v2_6!O91,householdfinance_v2_10!O91)/COUNT(householdfinance_v2_9!O91,householdfinance_v2_8!O91,householdfinance_v2_7!O91,householdfinance_v2_6!O91,householdfinance_v2_10!O91),0))</f>
        <v>1</v>
      </c>
    </row>
    <row r="92" spans="1:15" x14ac:dyDescent="0.25">
      <c r="A92" t="s">
        <v>94</v>
      </c>
      <c r="B92" t="s">
        <v>80</v>
      </c>
      <c r="C92">
        <v>0</v>
      </c>
      <c r="D92">
        <v>11.09907174110413</v>
      </c>
      <c r="E92">
        <f>ROUND(SUM(householdfinance_v2_9!E92,householdfinance_v2_8!E92,householdfinance_v2_7!E92,householdfinance_v2_6!E92,householdfinance_v2_10!E92)/COUNT(householdfinance_v2_9!E92,householdfinance_v2_8!E92,householdfinance_v2_7!E92,householdfinance_v2_6!E92,householdfinance_v2_10!E92),0)</f>
        <v>1</v>
      </c>
      <c r="F92">
        <f>IF($E92=0,"NA",ROUND(SUM(householdfinance_v2_9!F92,householdfinance_v2_8!F92,householdfinance_v2_7!F92,householdfinance_v2_6!F92,householdfinance_v2_10!F92)/COUNT(householdfinance_v2_9!F92,householdfinance_v2_8!F92,householdfinance_v2_7!F92,householdfinance_v2_6!F92,householdfinance_v2_10!F92),0))</f>
        <v>1</v>
      </c>
      <c r="G92">
        <f>IF($E92=0,"NA",ROUND(SUM(householdfinance_v2_9!G92,householdfinance_v2_8!G92,householdfinance_v2_7!G92,householdfinance_v2_6!G92,householdfinance_v2_10!G92)/COUNT(householdfinance_v2_9!G92,householdfinance_v2_8!G92,householdfinance_v2_7!G92,householdfinance_v2_6!G92,householdfinance_v2_10!G92),0))</f>
        <v>1</v>
      </c>
      <c r="H92">
        <f>IF(AND(F92=1,G92=1),ROUND(SUM(householdfinance_v2_9!H92,householdfinance_v2_8!H92,householdfinance_v2_7!H92,householdfinance_v2_6!H92,householdfinance_v2_10!H92)/COUNT(householdfinance_v2_9!H92,householdfinance_v2_8!H92,householdfinance_v2_7!H92,householdfinance_v2_6!H92,householdfinance_v2_10!H92),0),"NA")</f>
        <v>1</v>
      </c>
      <c r="I92">
        <f>IF($E92=0,"NA",ROUND(SUM(householdfinance_v2_9!I92,householdfinance_v2_8!I92,householdfinance_v2_7!I92,householdfinance_v2_6!I92,householdfinance_v2_10!I92)/COUNT(householdfinance_v2_9!I92,householdfinance_v2_8!I92,householdfinance_v2_7!I92,householdfinance_v2_6!I92,householdfinance_v2_10!I92),0))</f>
        <v>1</v>
      </c>
      <c r="J92">
        <f>IF(F92=1,ROUND(SUM(householdfinance_v2_9!J92,householdfinance_v2_8!J92,householdfinance_v2_7!J92,householdfinance_v2_6!J92,householdfinance_v2_10!J92)/COUNT(householdfinance_v2_9!J92,householdfinance_v2_8!J92,householdfinance_v2_7!J92,householdfinance_v2_6!J92,householdfinance_v2_10!J92),0),"NA")</f>
        <v>1</v>
      </c>
      <c r="K92">
        <f>IF($E92=0,"NA",ROUND(SUM(householdfinance_v2_9!K92,householdfinance_v2_8!K92,householdfinance_v2_7!K92,householdfinance_v2_6!K92,householdfinance_v2_10!K92)/COUNT(householdfinance_v2_9!K92,householdfinance_v2_8!K92,householdfinance_v2_7!K92,householdfinance_v2_6!K92,householdfinance_v2_10!K92),0))</f>
        <v>1</v>
      </c>
      <c r="L92">
        <f>IF($E92=0,"NA",ROUND(SUM(householdfinance_v2_9!L92,householdfinance_v2_8!L92,householdfinance_v2_7!L92,householdfinance_v2_6!L92,householdfinance_v2_10!L92)/COUNT(householdfinance_v2_9!L92,householdfinance_v2_8!L92,householdfinance_v2_7!L92,householdfinance_v2_6!L92,householdfinance_v2_10!L92),0))</f>
        <v>1</v>
      </c>
      <c r="M92">
        <f>IF($E92=0,"NA",ROUND(SUM(householdfinance_v2_9!M92,householdfinance_v2_8!M92,householdfinance_v2_7!M92,householdfinance_v2_6!M92,householdfinance_v2_10!M92)/COUNT(householdfinance_v2_9!M92,householdfinance_v2_8!M92,householdfinance_v2_7!M92,householdfinance_v2_6!M92,householdfinance_v2_10!M92),0))</f>
        <v>1</v>
      </c>
      <c r="N92">
        <f>IF($E92=0,"NA",ROUND(SUM(householdfinance_v2_9!N92,householdfinance_v2_8!N92,householdfinance_v2_7!N92,householdfinance_v2_6!N92,householdfinance_v2_10!N92)/COUNT(householdfinance_v2_9!N92,householdfinance_v2_8!N92,householdfinance_v2_7!N92,householdfinance_v2_6!N92,householdfinance_v2_10!N92),0))</f>
        <v>1</v>
      </c>
      <c r="O92">
        <f>IF($E92=0,"NA",ROUND(SUM(householdfinance_v2_9!O92,householdfinance_v2_8!O92,householdfinance_v2_7!O92,householdfinance_v2_6!O92,householdfinance_v2_10!O92)/COUNT(householdfinance_v2_9!O92,householdfinance_v2_8!O92,householdfinance_v2_7!O92,householdfinance_v2_6!O92,householdfinance_v2_10!O92),0))</f>
        <v>1</v>
      </c>
    </row>
    <row r="93" spans="1:15" x14ac:dyDescent="0.25">
      <c r="A93" t="s">
        <v>94</v>
      </c>
      <c r="B93" t="s">
        <v>81</v>
      </c>
      <c r="C93">
        <v>0</v>
      </c>
      <c r="D93">
        <v>4.5131838321685791</v>
      </c>
      <c r="E93">
        <f>ROUND(SUM(householdfinance_v2_9!E93,householdfinance_v2_8!E93,householdfinance_v2_7!E93,householdfinance_v2_6!E93,householdfinance_v2_10!E93)/COUNT(householdfinance_v2_9!E93,householdfinance_v2_8!E93,householdfinance_v2_7!E93,householdfinance_v2_6!E93,householdfinance_v2_10!E93),0)</f>
        <v>1</v>
      </c>
      <c r="F93">
        <f>IF($E93=0,"NA",ROUND(SUM(householdfinance_v2_9!F93,householdfinance_v2_8!F93,householdfinance_v2_7!F93,householdfinance_v2_6!F93,householdfinance_v2_10!F93)/COUNT(householdfinance_v2_9!F93,householdfinance_v2_8!F93,householdfinance_v2_7!F93,householdfinance_v2_6!F93,householdfinance_v2_10!F93),0))</f>
        <v>1</v>
      </c>
      <c r="G93">
        <f>IF($E93=0,"NA",ROUND(SUM(householdfinance_v2_9!G93,householdfinance_v2_8!G93,householdfinance_v2_7!G93,householdfinance_v2_6!G93,householdfinance_v2_10!G93)/COUNT(householdfinance_v2_9!G93,householdfinance_v2_8!G93,householdfinance_v2_7!G93,householdfinance_v2_6!G93,householdfinance_v2_10!G93),0))</f>
        <v>1</v>
      </c>
      <c r="H93">
        <f>IF(AND(F93=1,G93=1),ROUND(SUM(householdfinance_v2_9!H93,householdfinance_v2_8!H93,householdfinance_v2_7!H93,householdfinance_v2_6!H93,householdfinance_v2_10!H93)/COUNT(householdfinance_v2_9!H93,householdfinance_v2_8!H93,householdfinance_v2_7!H93,householdfinance_v2_6!H93,householdfinance_v2_10!H93),0),"NA")</f>
        <v>1</v>
      </c>
      <c r="I93">
        <f>IF($E93=0,"NA",ROUND(SUM(householdfinance_v2_9!I93,householdfinance_v2_8!I93,householdfinance_v2_7!I93,householdfinance_v2_6!I93,householdfinance_v2_10!I93)/COUNT(householdfinance_v2_9!I93,householdfinance_v2_8!I93,householdfinance_v2_7!I93,householdfinance_v2_6!I93,householdfinance_v2_10!I93),0))</f>
        <v>1</v>
      </c>
      <c r="J93">
        <f>IF(F93=1,ROUND(SUM(householdfinance_v2_9!J93,householdfinance_v2_8!J93,householdfinance_v2_7!J93,householdfinance_v2_6!J93,householdfinance_v2_10!J93)/COUNT(householdfinance_v2_9!J93,householdfinance_v2_8!J93,householdfinance_v2_7!J93,householdfinance_v2_6!J93,householdfinance_v2_10!J93),0),"NA")</f>
        <v>0</v>
      </c>
      <c r="K93">
        <f>IF($E93=0,"NA",ROUND(SUM(householdfinance_v2_9!K93,householdfinance_v2_8!K93,householdfinance_v2_7!K93,householdfinance_v2_6!K93,householdfinance_v2_10!K93)/COUNT(householdfinance_v2_9!K93,householdfinance_v2_8!K93,householdfinance_v2_7!K93,householdfinance_v2_6!K93,householdfinance_v2_10!K93),0))</f>
        <v>1</v>
      </c>
      <c r="L93">
        <f>IF($E93=0,"NA",ROUND(SUM(householdfinance_v2_9!L93,householdfinance_v2_8!L93,householdfinance_v2_7!L93,householdfinance_v2_6!L93,householdfinance_v2_10!L93)/COUNT(householdfinance_v2_9!L93,householdfinance_v2_8!L93,householdfinance_v2_7!L93,householdfinance_v2_6!L93,householdfinance_v2_10!L93),0))</f>
        <v>1</v>
      </c>
      <c r="M93">
        <f>IF($E93=0,"NA",ROUND(SUM(householdfinance_v2_9!M93,householdfinance_v2_8!M93,householdfinance_v2_7!M93,householdfinance_v2_6!M93,householdfinance_v2_10!M93)/COUNT(householdfinance_v2_9!M93,householdfinance_v2_8!M93,householdfinance_v2_7!M93,householdfinance_v2_6!M93,householdfinance_v2_10!M93),0))</f>
        <v>1</v>
      </c>
      <c r="N93">
        <f>IF($E93=0,"NA",ROUND(SUM(householdfinance_v2_9!N93,householdfinance_v2_8!N93,householdfinance_v2_7!N93,householdfinance_v2_6!N93,householdfinance_v2_10!N93)/COUNT(householdfinance_v2_9!N93,householdfinance_v2_8!N93,householdfinance_v2_7!N93,householdfinance_v2_6!N93,householdfinance_v2_10!N93),0))</f>
        <v>1</v>
      </c>
      <c r="O93">
        <f>IF($E93=0,"NA",ROUND(SUM(householdfinance_v2_9!O93,householdfinance_v2_8!O93,householdfinance_v2_7!O93,householdfinance_v2_6!O93,householdfinance_v2_10!O93)/COUNT(householdfinance_v2_9!O93,householdfinance_v2_8!O93,householdfinance_v2_7!O93,householdfinance_v2_6!O93,householdfinance_v2_10!O93),0))</f>
        <v>1</v>
      </c>
    </row>
    <row r="94" spans="1:15" x14ac:dyDescent="0.25">
      <c r="A94" t="s">
        <v>94</v>
      </c>
      <c r="B94" t="s">
        <v>83</v>
      </c>
      <c r="C94">
        <v>0</v>
      </c>
      <c r="D94">
        <v>11.620019197463989</v>
      </c>
      <c r="E94">
        <f>ROUND(SUM(householdfinance_v2_9!E94,householdfinance_v2_8!E94,householdfinance_v2_7!E94,householdfinance_v2_6!E94,householdfinance_v2_10!E94)/COUNT(householdfinance_v2_9!E94,householdfinance_v2_8!E94,householdfinance_v2_7!E94,householdfinance_v2_6!E94,householdfinance_v2_10!E94),0)</f>
        <v>1</v>
      </c>
      <c r="F94">
        <f>IF($E94=0,"NA",ROUND(SUM(householdfinance_v2_9!F94,householdfinance_v2_8!F94,householdfinance_v2_7!F94,householdfinance_v2_6!F94,householdfinance_v2_10!F94)/COUNT(householdfinance_v2_9!F94,householdfinance_v2_8!F94,householdfinance_v2_7!F94,householdfinance_v2_6!F94,householdfinance_v2_10!F94),0))</f>
        <v>1</v>
      </c>
      <c r="G94">
        <f>IF($E94=0,"NA",ROUND(SUM(householdfinance_v2_9!G94,householdfinance_v2_8!G94,householdfinance_v2_7!G94,householdfinance_v2_6!G94,householdfinance_v2_10!G94)/COUNT(householdfinance_v2_9!G94,householdfinance_v2_8!G94,householdfinance_v2_7!G94,householdfinance_v2_6!G94,householdfinance_v2_10!G94),0))</f>
        <v>1</v>
      </c>
      <c r="H94">
        <f>IF(AND(F94=1,G94=1),ROUND(SUM(householdfinance_v2_9!H94,householdfinance_v2_8!H94,householdfinance_v2_7!H94,householdfinance_v2_6!H94,householdfinance_v2_10!H94)/COUNT(householdfinance_v2_9!H94,householdfinance_v2_8!H94,householdfinance_v2_7!H94,householdfinance_v2_6!H94,householdfinance_v2_10!H94),0),"NA")</f>
        <v>1</v>
      </c>
      <c r="I94">
        <f>IF($E94=0,"NA",ROUND(SUM(householdfinance_v2_9!I94,householdfinance_v2_8!I94,householdfinance_v2_7!I94,householdfinance_v2_6!I94,householdfinance_v2_10!I94)/COUNT(householdfinance_v2_9!I94,householdfinance_v2_8!I94,householdfinance_v2_7!I94,householdfinance_v2_6!I94,householdfinance_v2_10!I94),0))</f>
        <v>1</v>
      </c>
      <c r="J94">
        <f>IF(F94=1,ROUND(SUM(householdfinance_v2_9!J94,householdfinance_v2_8!J94,householdfinance_v2_7!J94,householdfinance_v2_6!J94,householdfinance_v2_10!J94)/COUNT(householdfinance_v2_9!J94,householdfinance_v2_8!J94,householdfinance_v2_7!J94,householdfinance_v2_6!J94,householdfinance_v2_10!J94),0),"NA")</f>
        <v>1</v>
      </c>
      <c r="K94">
        <f>IF($E94=0,"NA",ROUND(SUM(householdfinance_v2_9!K94,householdfinance_v2_8!K94,householdfinance_v2_7!K94,householdfinance_v2_6!K94,householdfinance_v2_10!K94)/COUNT(householdfinance_v2_9!K94,householdfinance_v2_8!K94,householdfinance_v2_7!K94,householdfinance_v2_6!K94,householdfinance_v2_10!K94),0))</f>
        <v>1</v>
      </c>
      <c r="L94">
        <f>IF($E94=0,"NA",ROUND(SUM(householdfinance_v2_9!L94,householdfinance_v2_8!L94,householdfinance_v2_7!L94,householdfinance_v2_6!L94,householdfinance_v2_10!L94)/COUNT(householdfinance_v2_9!L94,householdfinance_v2_8!L94,householdfinance_v2_7!L94,householdfinance_v2_6!L94,householdfinance_v2_10!L94),0))</f>
        <v>1</v>
      </c>
      <c r="M94">
        <f>IF($E94=0,"NA",ROUND(SUM(householdfinance_v2_9!M94,householdfinance_v2_8!M94,householdfinance_v2_7!M94,householdfinance_v2_6!M94,householdfinance_v2_10!M94)/COUNT(householdfinance_v2_9!M94,householdfinance_v2_8!M94,householdfinance_v2_7!M94,householdfinance_v2_6!M94,householdfinance_v2_10!M94),0))</f>
        <v>1</v>
      </c>
      <c r="N94">
        <f>IF($E94=0,"NA",ROUND(SUM(householdfinance_v2_9!N94,householdfinance_v2_8!N94,householdfinance_v2_7!N94,householdfinance_v2_6!N94,householdfinance_v2_10!N94)/COUNT(householdfinance_v2_9!N94,householdfinance_v2_8!N94,householdfinance_v2_7!N94,householdfinance_v2_6!N94,householdfinance_v2_10!N94),0))</f>
        <v>1</v>
      </c>
      <c r="O94">
        <f>IF($E94=0,"NA",ROUND(SUM(householdfinance_v2_9!O94,householdfinance_v2_8!O94,householdfinance_v2_7!O94,householdfinance_v2_6!O94,householdfinance_v2_10!O94)/COUNT(householdfinance_v2_9!O94,householdfinance_v2_8!O94,householdfinance_v2_7!O94,householdfinance_v2_6!O94,householdfinance_v2_10!O94),0))</f>
        <v>1</v>
      </c>
    </row>
    <row r="95" spans="1:15" x14ac:dyDescent="0.25">
      <c r="A95" t="s">
        <v>94</v>
      </c>
      <c r="B95" t="s">
        <v>85</v>
      </c>
      <c r="C95">
        <v>0</v>
      </c>
      <c r="D95">
        <v>14.50329804420471</v>
      </c>
      <c r="E95">
        <f>ROUND(SUM(householdfinance_v2_9!E95,householdfinance_v2_8!E95,householdfinance_v2_7!E95,householdfinance_v2_6!E95,householdfinance_v2_10!E95)/COUNT(householdfinance_v2_9!E95,householdfinance_v2_8!E95,householdfinance_v2_7!E95,householdfinance_v2_6!E95,householdfinance_v2_10!E95),0)</f>
        <v>1</v>
      </c>
      <c r="F95">
        <f>IF($E95=0,"NA",ROUND(SUM(householdfinance_v2_9!F95,householdfinance_v2_8!F95,householdfinance_v2_7!F95,householdfinance_v2_6!F95,householdfinance_v2_10!F95)/COUNT(householdfinance_v2_9!F95,householdfinance_v2_8!F95,householdfinance_v2_7!F95,householdfinance_v2_6!F95,householdfinance_v2_10!F95),0))</f>
        <v>1</v>
      </c>
      <c r="G95">
        <f>IF($E95=0,"NA",ROUND(SUM(householdfinance_v2_9!G95,householdfinance_v2_8!G95,householdfinance_v2_7!G95,householdfinance_v2_6!G95,householdfinance_v2_10!G95)/COUNT(householdfinance_v2_9!G95,householdfinance_v2_8!G95,householdfinance_v2_7!G95,householdfinance_v2_6!G95,householdfinance_v2_10!G95),0))</f>
        <v>0</v>
      </c>
      <c r="H95" t="str">
        <f>IF(AND(F95=1,G95=1),ROUND(SUM(householdfinance_v2_9!H95,householdfinance_v2_8!H95,householdfinance_v2_7!H95,householdfinance_v2_6!H95,householdfinance_v2_10!H95)/COUNT(householdfinance_v2_9!H95,householdfinance_v2_8!H95,householdfinance_v2_7!H95,householdfinance_v2_6!H95,householdfinance_v2_10!H95),0),"NA")</f>
        <v>NA</v>
      </c>
      <c r="I95">
        <f>IF($E95=0,"NA",ROUND(SUM(householdfinance_v2_9!I95,householdfinance_v2_8!I95,householdfinance_v2_7!I95,householdfinance_v2_6!I95,householdfinance_v2_10!I95)/COUNT(householdfinance_v2_9!I95,householdfinance_v2_8!I95,householdfinance_v2_7!I95,householdfinance_v2_6!I95,householdfinance_v2_10!I95),0))</f>
        <v>1</v>
      </c>
      <c r="J95">
        <f>IF(F95=1,ROUND(SUM(householdfinance_v2_9!J95,householdfinance_v2_8!J95,householdfinance_v2_7!J95,householdfinance_v2_6!J95,householdfinance_v2_10!J95)/COUNT(householdfinance_v2_9!J95,householdfinance_v2_8!J95,householdfinance_v2_7!J95,householdfinance_v2_6!J95,householdfinance_v2_10!J95),0),"NA")</f>
        <v>0</v>
      </c>
      <c r="K95">
        <f>IF($E95=0,"NA",ROUND(SUM(householdfinance_v2_9!K95,householdfinance_v2_8!K95,householdfinance_v2_7!K95,householdfinance_v2_6!K95,householdfinance_v2_10!K95)/COUNT(householdfinance_v2_9!K95,householdfinance_v2_8!K95,householdfinance_v2_7!K95,householdfinance_v2_6!K95,householdfinance_v2_10!K95),0))</f>
        <v>1</v>
      </c>
      <c r="L95">
        <f>IF($E95=0,"NA",ROUND(SUM(householdfinance_v2_9!L95,householdfinance_v2_8!L95,householdfinance_v2_7!L95,householdfinance_v2_6!L95,householdfinance_v2_10!L95)/COUNT(householdfinance_v2_9!L95,householdfinance_v2_8!L95,householdfinance_v2_7!L95,householdfinance_v2_6!L95,householdfinance_v2_10!L95),0))</f>
        <v>1</v>
      </c>
      <c r="M95">
        <f>IF($E95=0,"NA",ROUND(SUM(householdfinance_v2_9!M95,householdfinance_v2_8!M95,householdfinance_v2_7!M95,householdfinance_v2_6!M95,householdfinance_v2_10!M95)/COUNT(householdfinance_v2_9!M95,householdfinance_v2_8!M95,householdfinance_v2_7!M95,householdfinance_v2_6!M95,householdfinance_v2_10!M95),0))</f>
        <v>1</v>
      </c>
      <c r="N95">
        <f>IF($E95=0,"NA",ROUND(SUM(householdfinance_v2_9!N95,householdfinance_v2_8!N95,householdfinance_v2_7!N95,householdfinance_v2_6!N95,householdfinance_v2_10!N95)/COUNT(householdfinance_v2_9!N95,householdfinance_v2_8!N95,householdfinance_v2_7!N95,householdfinance_v2_6!N95,householdfinance_v2_10!N95),0))</f>
        <v>1</v>
      </c>
      <c r="O95">
        <f>IF($E95=0,"NA",ROUND(SUM(householdfinance_v2_9!O95,householdfinance_v2_8!O95,householdfinance_v2_7!O95,householdfinance_v2_6!O95,householdfinance_v2_10!O95)/COUNT(householdfinance_v2_9!O95,householdfinance_v2_8!O95,householdfinance_v2_7!O95,householdfinance_v2_6!O95,householdfinance_v2_10!O95),0))</f>
        <v>1</v>
      </c>
    </row>
    <row r="96" spans="1:15" x14ac:dyDescent="0.25">
      <c r="A96" t="s">
        <v>94</v>
      </c>
      <c r="B96" t="s">
        <v>87</v>
      </c>
      <c r="C96">
        <v>0</v>
      </c>
      <c r="D96">
        <v>7.6811301708221444</v>
      </c>
      <c r="E96">
        <f>ROUND(SUM(householdfinance_v2_9!E96,householdfinance_v2_8!E96,householdfinance_v2_7!E96,householdfinance_v2_6!E96,householdfinance_v2_10!E96)/COUNT(householdfinance_v2_9!E96,householdfinance_v2_8!E96,householdfinance_v2_7!E96,householdfinance_v2_6!E96,householdfinance_v2_10!E96),0)</f>
        <v>1</v>
      </c>
      <c r="F96">
        <f>IF($E96=0,"NA",ROUND(SUM(householdfinance_v2_9!F96,householdfinance_v2_8!F96,householdfinance_v2_7!F96,householdfinance_v2_6!F96,householdfinance_v2_10!F96)/COUNT(householdfinance_v2_9!F96,householdfinance_v2_8!F96,householdfinance_v2_7!F96,householdfinance_v2_6!F96,householdfinance_v2_10!F96),0))</f>
        <v>1</v>
      </c>
      <c r="G96">
        <f>IF($E96=0,"NA",ROUND(SUM(householdfinance_v2_9!G96,householdfinance_v2_8!G96,householdfinance_v2_7!G96,householdfinance_v2_6!G96,householdfinance_v2_10!G96)/COUNT(householdfinance_v2_9!G96,householdfinance_v2_8!G96,householdfinance_v2_7!G96,householdfinance_v2_6!G96,householdfinance_v2_10!G96),0))</f>
        <v>0</v>
      </c>
      <c r="H96" t="str">
        <f>IF(AND(F96=1,G96=1),ROUND(SUM(householdfinance_v2_9!H96,householdfinance_v2_8!H96,householdfinance_v2_7!H96,householdfinance_v2_6!H96,householdfinance_v2_10!H96)/COUNT(householdfinance_v2_9!H96,householdfinance_v2_8!H96,householdfinance_v2_7!H96,householdfinance_v2_6!H96,householdfinance_v2_10!H96),0),"NA")</f>
        <v>NA</v>
      </c>
      <c r="I96">
        <f>IF($E96=0,"NA",ROUND(SUM(householdfinance_v2_9!I96,householdfinance_v2_8!I96,householdfinance_v2_7!I96,householdfinance_v2_6!I96,householdfinance_v2_10!I96)/COUNT(householdfinance_v2_9!I96,householdfinance_v2_8!I96,householdfinance_v2_7!I96,householdfinance_v2_6!I96,householdfinance_v2_10!I96),0))</f>
        <v>1</v>
      </c>
      <c r="J96">
        <f>IF(F96=1,ROUND(SUM(householdfinance_v2_9!J96,householdfinance_v2_8!J96,householdfinance_v2_7!J96,householdfinance_v2_6!J96,householdfinance_v2_10!J96)/COUNT(householdfinance_v2_9!J96,householdfinance_v2_8!J96,householdfinance_v2_7!J96,householdfinance_v2_6!J96,householdfinance_v2_10!J96),0),"NA")</f>
        <v>0</v>
      </c>
      <c r="K96">
        <f>IF($E96=0,"NA",ROUND(SUM(householdfinance_v2_9!K96,householdfinance_v2_8!K96,householdfinance_v2_7!K96,householdfinance_v2_6!K96,householdfinance_v2_10!K96)/COUNT(householdfinance_v2_9!K96,householdfinance_v2_8!K96,householdfinance_v2_7!K96,householdfinance_v2_6!K96,householdfinance_v2_10!K96),0))</f>
        <v>1</v>
      </c>
      <c r="L96">
        <f>IF($E96=0,"NA",ROUND(SUM(householdfinance_v2_9!L96,householdfinance_v2_8!L96,householdfinance_v2_7!L96,householdfinance_v2_6!L96,householdfinance_v2_10!L96)/COUNT(householdfinance_v2_9!L96,householdfinance_v2_8!L96,householdfinance_v2_7!L96,householdfinance_v2_6!L96,householdfinance_v2_10!L96),0))</f>
        <v>1</v>
      </c>
      <c r="M96">
        <f>IF($E96=0,"NA",ROUND(SUM(householdfinance_v2_9!M96,householdfinance_v2_8!M96,householdfinance_v2_7!M96,householdfinance_v2_6!M96,householdfinance_v2_10!M96)/COUNT(householdfinance_v2_9!M96,householdfinance_v2_8!M96,householdfinance_v2_7!M96,householdfinance_v2_6!M96,householdfinance_v2_10!M96),0))</f>
        <v>1</v>
      </c>
      <c r="N96">
        <f>IF($E96=0,"NA",ROUND(SUM(householdfinance_v2_9!N96,householdfinance_v2_8!N96,householdfinance_v2_7!N96,householdfinance_v2_6!N96,householdfinance_v2_10!N96)/COUNT(householdfinance_v2_9!N96,householdfinance_v2_8!N96,householdfinance_v2_7!N96,householdfinance_v2_6!N96,householdfinance_v2_10!N96),0))</f>
        <v>1</v>
      </c>
      <c r="O96">
        <f>IF($E96=0,"NA",ROUND(SUM(householdfinance_v2_9!O96,householdfinance_v2_8!O96,householdfinance_v2_7!O96,householdfinance_v2_6!O96,householdfinance_v2_10!O96)/COUNT(householdfinance_v2_9!O96,householdfinance_v2_8!O96,householdfinance_v2_7!O96,householdfinance_v2_6!O96,householdfinance_v2_10!O96),0))</f>
        <v>1</v>
      </c>
    </row>
    <row r="97" spans="1:15" x14ac:dyDescent="0.25">
      <c r="A97" t="s">
        <v>94</v>
      </c>
      <c r="B97" t="s">
        <v>89</v>
      </c>
      <c r="C97">
        <v>0</v>
      </c>
      <c r="D97">
        <v>6.3777894973754883</v>
      </c>
      <c r="E97">
        <f>ROUND(SUM(householdfinance_v2_9!E97,householdfinance_v2_8!E97,householdfinance_v2_7!E97,householdfinance_v2_6!E97,householdfinance_v2_10!E97)/COUNT(householdfinance_v2_9!E97,householdfinance_v2_8!E97,householdfinance_v2_7!E97,householdfinance_v2_6!E97,householdfinance_v2_10!E97),0)</f>
        <v>1</v>
      </c>
      <c r="F97">
        <f>IF($E97=0,"NA",ROUND(SUM(householdfinance_v2_9!F97,householdfinance_v2_8!F97,householdfinance_v2_7!F97,householdfinance_v2_6!F97,householdfinance_v2_10!F97)/COUNT(householdfinance_v2_9!F97,householdfinance_v2_8!F97,householdfinance_v2_7!F97,householdfinance_v2_6!F97,householdfinance_v2_10!F97),0))</f>
        <v>1</v>
      </c>
      <c r="G97">
        <f>IF($E97=0,"NA",ROUND(SUM(householdfinance_v2_9!G97,householdfinance_v2_8!G97,householdfinance_v2_7!G97,householdfinance_v2_6!G97,householdfinance_v2_10!G97)/COUNT(householdfinance_v2_9!G97,householdfinance_v2_8!G97,householdfinance_v2_7!G97,householdfinance_v2_6!G97,householdfinance_v2_10!G97),0))</f>
        <v>0</v>
      </c>
      <c r="H97" t="str">
        <f>IF(AND(F97=1,G97=1),ROUND(SUM(householdfinance_v2_9!H97,householdfinance_v2_8!H97,householdfinance_v2_7!H97,householdfinance_v2_6!H97,householdfinance_v2_10!H97)/COUNT(householdfinance_v2_9!H97,householdfinance_v2_8!H97,householdfinance_v2_7!H97,householdfinance_v2_6!H97,householdfinance_v2_10!H97),0),"NA")</f>
        <v>NA</v>
      </c>
      <c r="I97">
        <f>IF($E97=0,"NA",ROUND(SUM(householdfinance_v2_9!I97,householdfinance_v2_8!I97,householdfinance_v2_7!I97,householdfinance_v2_6!I97,householdfinance_v2_10!I97)/COUNT(householdfinance_v2_9!I97,householdfinance_v2_8!I97,householdfinance_v2_7!I97,householdfinance_v2_6!I97,householdfinance_v2_10!I97),0))</f>
        <v>1</v>
      </c>
      <c r="J97">
        <f>IF(F97=1,ROUND(SUM(householdfinance_v2_9!J97,householdfinance_v2_8!J97,householdfinance_v2_7!J97,householdfinance_v2_6!J97,householdfinance_v2_10!J97)/COUNT(householdfinance_v2_9!J97,householdfinance_v2_8!J97,householdfinance_v2_7!J97,householdfinance_v2_6!J97,householdfinance_v2_10!J97),0),"NA")</f>
        <v>0</v>
      </c>
      <c r="K97">
        <f>IF($E97=0,"NA",ROUND(SUM(householdfinance_v2_9!K97,householdfinance_v2_8!K97,householdfinance_v2_7!K97,householdfinance_v2_6!K97,householdfinance_v2_10!K97)/COUNT(householdfinance_v2_9!K97,householdfinance_v2_8!K97,householdfinance_v2_7!K97,householdfinance_v2_6!K97,householdfinance_v2_10!K97),0))</f>
        <v>1</v>
      </c>
      <c r="L97">
        <f>IF($E97=0,"NA",ROUND(SUM(householdfinance_v2_9!L97,householdfinance_v2_8!L97,householdfinance_v2_7!L97,householdfinance_v2_6!L97,householdfinance_v2_10!L97)/COUNT(householdfinance_v2_9!L97,householdfinance_v2_8!L97,householdfinance_v2_7!L97,householdfinance_v2_6!L97,householdfinance_v2_10!L97),0))</f>
        <v>1</v>
      </c>
      <c r="M97">
        <f>IF($E97=0,"NA",ROUND(SUM(householdfinance_v2_9!M97,householdfinance_v2_8!M97,householdfinance_v2_7!M97,householdfinance_v2_6!M97,householdfinance_v2_10!M97)/COUNT(householdfinance_v2_9!M97,householdfinance_v2_8!M97,householdfinance_v2_7!M97,householdfinance_v2_6!M97,householdfinance_v2_10!M97),0))</f>
        <v>1</v>
      </c>
      <c r="N97">
        <f>IF($E97=0,"NA",ROUND(SUM(householdfinance_v2_9!N97,householdfinance_v2_8!N97,householdfinance_v2_7!N97,householdfinance_v2_6!N97,householdfinance_v2_10!N97)/COUNT(householdfinance_v2_9!N97,householdfinance_v2_8!N97,householdfinance_v2_7!N97,householdfinance_v2_6!N97,householdfinance_v2_10!N97),0))</f>
        <v>1</v>
      </c>
      <c r="O97">
        <f>IF($E97=0,"NA",ROUND(SUM(householdfinance_v2_9!O97,householdfinance_v2_8!O97,householdfinance_v2_7!O97,householdfinance_v2_6!O97,householdfinance_v2_10!O97)/COUNT(householdfinance_v2_9!O97,householdfinance_v2_8!O97,householdfinance_v2_7!O97,householdfinance_v2_6!O97,householdfinance_v2_10!O97),0))</f>
        <v>1</v>
      </c>
    </row>
    <row r="98" spans="1:15" x14ac:dyDescent="0.25">
      <c r="A98" t="s">
        <v>94</v>
      </c>
      <c r="B98" t="s">
        <v>91</v>
      </c>
      <c r="C98">
        <v>0</v>
      </c>
      <c r="D98">
        <v>4.0172991752624512</v>
      </c>
      <c r="E98">
        <f>ROUND(SUM(householdfinance_v2_9!E98,householdfinance_v2_8!E98,householdfinance_v2_7!E98,householdfinance_v2_6!E98,householdfinance_v2_10!E98)/COUNT(householdfinance_v2_9!E98,householdfinance_v2_8!E98,householdfinance_v2_7!E98,householdfinance_v2_6!E98,householdfinance_v2_10!E98),0)</f>
        <v>1</v>
      </c>
      <c r="F98">
        <f>IF($E98=0,"NA",ROUND(SUM(householdfinance_v2_9!F98,householdfinance_v2_8!F98,householdfinance_v2_7!F98,householdfinance_v2_6!F98,householdfinance_v2_10!F98)/COUNT(householdfinance_v2_9!F98,householdfinance_v2_8!F98,householdfinance_v2_7!F98,householdfinance_v2_6!F98,householdfinance_v2_10!F98),0))</f>
        <v>1</v>
      </c>
      <c r="G98">
        <f>IF($E98=0,"NA",ROUND(SUM(householdfinance_v2_9!G98,householdfinance_v2_8!G98,householdfinance_v2_7!G98,householdfinance_v2_6!G98,householdfinance_v2_10!G98)/COUNT(householdfinance_v2_9!G98,householdfinance_v2_8!G98,householdfinance_v2_7!G98,householdfinance_v2_6!G98,householdfinance_v2_10!G98),0))</f>
        <v>1</v>
      </c>
      <c r="H98">
        <f>IF(AND(F98=1,G98=1),ROUND(SUM(householdfinance_v2_9!H98,householdfinance_v2_8!H98,householdfinance_v2_7!H98,householdfinance_v2_6!H98,householdfinance_v2_10!H98)/COUNT(householdfinance_v2_9!H98,householdfinance_v2_8!H98,householdfinance_v2_7!H98,householdfinance_v2_6!H98,householdfinance_v2_10!H98),0),"NA")</f>
        <v>1</v>
      </c>
      <c r="I98">
        <f>IF($E98=0,"NA",ROUND(SUM(householdfinance_v2_9!I98,householdfinance_v2_8!I98,householdfinance_v2_7!I98,householdfinance_v2_6!I98,householdfinance_v2_10!I98)/COUNT(householdfinance_v2_9!I98,householdfinance_v2_8!I98,householdfinance_v2_7!I98,householdfinance_v2_6!I98,householdfinance_v2_10!I98),0))</f>
        <v>1</v>
      </c>
      <c r="J98">
        <f>IF(F98=1,ROUND(SUM(householdfinance_v2_9!J98,householdfinance_v2_8!J98,householdfinance_v2_7!J98,householdfinance_v2_6!J98,householdfinance_v2_10!J98)/COUNT(householdfinance_v2_9!J98,householdfinance_v2_8!J98,householdfinance_v2_7!J98,householdfinance_v2_6!J98,householdfinance_v2_10!J98),0),"NA")</f>
        <v>1</v>
      </c>
      <c r="K98">
        <f>IF($E98=0,"NA",ROUND(SUM(householdfinance_v2_9!K98,householdfinance_v2_8!K98,householdfinance_v2_7!K98,householdfinance_v2_6!K98,householdfinance_v2_10!K98)/COUNT(householdfinance_v2_9!K98,householdfinance_v2_8!K98,householdfinance_v2_7!K98,householdfinance_v2_6!K98,householdfinance_v2_10!K98),0))</f>
        <v>0</v>
      </c>
      <c r="L98">
        <f>IF($E98=0,"NA",ROUND(SUM(householdfinance_v2_9!L98,householdfinance_v2_8!L98,householdfinance_v2_7!L98,householdfinance_v2_6!L98,householdfinance_v2_10!L98)/COUNT(householdfinance_v2_9!L98,householdfinance_v2_8!L98,householdfinance_v2_7!L98,householdfinance_v2_6!L98,householdfinance_v2_10!L98),0))</f>
        <v>1</v>
      </c>
      <c r="M98">
        <f>IF($E98=0,"NA",ROUND(SUM(householdfinance_v2_9!M98,householdfinance_v2_8!M98,householdfinance_v2_7!M98,householdfinance_v2_6!M98,householdfinance_v2_10!M98)/COUNT(householdfinance_v2_9!M98,householdfinance_v2_8!M98,householdfinance_v2_7!M98,householdfinance_v2_6!M98,householdfinance_v2_10!M98),0))</f>
        <v>1</v>
      </c>
      <c r="N98">
        <f>IF($E98=0,"NA",ROUND(SUM(householdfinance_v2_9!N98,householdfinance_v2_8!N98,householdfinance_v2_7!N98,householdfinance_v2_6!N98,householdfinance_v2_10!N98)/COUNT(householdfinance_v2_9!N98,householdfinance_v2_8!N98,householdfinance_v2_7!N98,householdfinance_v2_6!N98,householdfinance_v2_10!N98),0))</f>
        <v>1</v>
      </c>
      <c r="O98">
        <f>IF($E98=0,"NA",ROUND(SUM(householdfinance_v2_9!O98,householdfinance_v2_8!O98,householdfinance_v2_7!O98,householdfinance_v2_6!O98,householdfinance_v2_10!O98)/COUNT(householdfinance_v2_9!O98,householdfinance_v2_8!O98,householdfinance_v2_7!O98,householdfinance_v2_6!O98,householdfinance_v2_10!O98),0))</f>
        <v>1</v>
      </c>
    </row>
    <row r="99" spans="1:15" x14ac:dyDescent="0.25">
      <c r="A99" t="s">
        <v>94</v>
      </c>
      <c r="B99" t="s">
        <v>93</v>
      </c>
      <c r="C99">
        <v>0</v>
      </c>
      <c r="D99">
        <v>4.6214489936828613</v>
      </c>
      <c r="E99">
        <f>ROUND(SUM(householdfinance_v2_9!E99,householdfinance_v2_8!E99,householdfinance_v2_7!E99,householdfinance_v2_6!E99,householdfinance_v2_10!E99)/COUNT(householdfinance_v2_9!E99,householdfinance_v2_8!E99,householdfinance_v2_7!E99,householdfinance_v2_6!E99,householdfinance_v2_10!E99),0)</f>
        <v>1</v>
      </c>
      <c r="F99">
        <f>IF($E99=0,"NA",ROUND(SUM(householdfinance_v2_9!F99,householdfinance_v2_8!F99,householdfinance_v2_7!F99,householdfinance_v2_6!F99,householdfinance_v2_10!F99)/COUNT(householdfinance_v2_9!F99,householdfinance_v2_8!F99,householdfinance_v2_7!F99,householdfinance_v2_6!F99,householdfinance_v2_10!F99),0))</f>
        <v>1</v>
      </c>
      <c r="G99">
        <f>IF($E99=0,"NA",ROUND(SUM(householdfinance_v2_9!G99,householdfinance_v2_8!G99,householdfinance_v2_7!G99,householdfinance_v2_6!G99,householdfinance_v2_10!G99)/COUNT(householdfinance_v2_9!G99,householdfinance_v2_8!G99,householdfinance_v2_7!G99,householdfinance_v2_6!G99,householdfinance_v2_10!G99),0))</f>
        <v>1</v>
      </c>
      <c r="H99">
        <f>IF(AND(F99=1,G99=1),ROUND(SUM(householdfinance_v2_9!H99,householdfinance_v2_8!H99,householdfinance_v2_7!H99,householdfinance_v2_6!H99,householdfinance_v2_10!H99)/COUNT(householdfinance_v2_9!H99,householdfinance_v2_8!H99,householdfinance_v2_7!H99,householdfinance_v2_6!H99,householdfinance_v2_10!H99),0),"NA")</f>
        <v>1</v>
      </c>
      <c r="I99">
        <f>IF($E99=0,"NA",ROUND(SUM(householdfinance_v2_9!I99,householdfinance_v2_8!I99,householdfinance_v2_7!I99,householdfinance_v2_6!I99,householdfinance_v2_10!I99)/COUNT(householdfinance_v2_9!I99,householdfinance_v2_8!I99,householdfinance_v2_7!I99,householdfinance_v2_6!I99,householdfinance_v2_10!I99),0))</f>
        <v>1</v>
      </c>
      <c r="J99">
        <f>IF(F99=1,ROUND(SUM(householdfinance_v2_9!J99,householdfinance_v2_8!J99,householdfinance_v2_7!J99,householdfinance_v2_6!J99,householdfinance_v2_10!J99)/COUNT(householdfinance_v2_9!J99,householdfinance_v2_8!J99,householdfinance_v2_7!J99,householdfinance_v2_6!J99,householdfinance_v2_10!J99),0),"NA")</f>
        <v>0</v>
      </c>
      <c r="K99">
        <f>IF($E99=0,"NA",ROUND(SUM(householdfinance_v2_9!K99,householdfinance_v2_8!K99,householdfinance_v2_7!K99,householdfinance_v2_6!K99,householdfinance_v2_10!K99)/COUNT(householdfinance_v2_9!K99,householdfinance_v2_8!K99,householdfinance_v2_7!K99,householdfinance_v2_6!K99,householdfinance_v2_10!K99),0))</f>
        <v>1</v>
      </c>
      <c r="L99">
        <f>IF($E99=0,"NA",ROUND(SUM(householdfinance_v2_9!L99,householdfinance_v2_8!L99,householdfinance_v2_7!L99,householdfinance_v2_6!L99,householdfinance_v2_10!L99)/COUNT(householdfinance_v2_9!L99,householdfinance_v2_8!L99,householdfinance_v2_7!L99,householdfinance_v2_6!L99,householdfinance_v2_10!L99),0))</f>
        <v>1</v>
      </c>
      <c r="M99">
        <f>IF($E99=0,"NA",ROUND(SUM(householdfinance_v2_9!M99,householdfinance_v2_8!M99,householdfinance_v2_7!M99,householdfinance_v2_6!M99,householdfinance_v2_10!M99)/COUNT(householdfinance_v2_9!M99,householdfinance_v2_8!M99,householdfinance_v2_7!M99,householdfinance_v2_6!M99,householdfinance_v2_10!M99),0))</f>
        <v>1</v>
      </c>
      <c r="N99">
        <f>IF($E99=0,"NA",ROUND(SUM(householdfinance_v2_9!N99,householdfinance_v2_8!N99,householdfinance_v2_7!N99,householdfinance_v2_6!N99,householdfinance_v2_10!N99)/COUNT(householdfinance_v2_9!N99,householdfinance_v2_8!N99,householdfinance_v2_7!N99,householdfinance_v2_6!N99,householdfinance_v2_10!N99),0))</f>
        <v>1</v>
      </c>
      <c r="O99">
        <f>IF($E99=0,"NA",ROUND(SUM(householdfinance_v2_9!O99,householdfinance_v2_8!O99,householdfinance_v2_7!O99,householdfinance_v2_6!O99,householdfinance_v2_10!O99)/COUNT(householdfinance_v2_9!O99,householdfinance_v2_8!O99,householdfinance_v2_7!O99,householdfinance_v2_6!O99,householdfinance_v2_10!O99),0))</f>
        <v>1</v>
      </c>
    </row>
    <row r="100" spans="1:15" x14ac:dyDescent="0.25">
      <c r="A100" t="s">
        <v>94</v>
      </c>
      <c r="B100" t="s">
        <v>128</v>
      </c>
      <c r="C100">
        <v>0</v>
      </c>
      <c r="D100">
        <v>2.7356162071228032</v>
      </c>
      <c r="E100">
        <f>ROUND(SUM(householdfinance_v2_9!E100,householdfinance_v2_8!E100,householdfinance_v2_7!E100,householdfinance_v2_6!E100,householdfinance_v2_10!E100)/COUNT(householdfinance_v2_9!E100,householdfinance_v2_8!E100,householdfinance_v2_7!E100,householdfinance_v2_6!E100,householdfinance_v2_10!E100),0)</f>
        <v>1</v>
      </c>
      <c r="F100">
        <f>IF($E100=0,"NA",ROUND(SUM(householdfinance_v2_9!F100,householdfinance_v2_8!F100,householdfinance_v2_7!F100,householdfinance_v2_6!F100,householdfinance_v2_10!F100)/COUNT(householdfinance_v2_9!F100,householdfinance_v2_8!F100,householdfinance_v2_7!F100,householdfinance_v2_6!F100,householdfinance_v2_10!F100),0))</f>
        <v>1</v>
      </c>
      <c r="G100">
        <f>IF($E100=0,"NA",ROUND(SUM(householdfinance_v2_9!G100,householdfinance_v2_8!G100,householdfinance_v2_7!G100,householdfinance_v2_6!G100,householdfinance_v2_10!G100)/COUNT(householdfinance_v2_9!G100,householdfinance_v2_8!G100,householdfinance_v2_7!G100,householdfinance_v2_6!G100,householdfinance_v2_10!G100),0))</f>
        <v>1</v>
      </c>
      <c r="H100">
        <f>IF(AND(F100=1,G100=1),ROUND(SUM(householdfinance_v2_9!H100,householdfinance_v2_8!H100,householdfinance_v2_7!H100,householdfinance_v2_6!H100,householdfinance_v2_10!H100)/COUNT(householdfinance_v2_9!H100,householdfinance_v2_8!H100,householdfinance_v2_7!H100,householdfinance_v2_6!H100,householdfinance_v2_10!H100),0),"NA")</f>
        <v>1</v>
      </c>
      <c r="I100">
        <f>IF($E100=0,"NA",ROUND(SUM(householdfinance_v2_9!I100,householdfinance_v2_8!I100,householdfinance_v2_7!I100,householdfinance_v2_6!I100,householdfinance_v2_10!I100)/COUNT(householdfinance_v2_9!I100,householdfinance_v2_8!I100,householdfinance_v2_7!I100,householdfinance_v2_6!I100,householdfinance_v2_10!I100),0))</f>
        <v>1</v>
      </c>
      <c r="J100">
        <f>IF(F100=1,ROUND(SUM(householdfinance_v2_9!J100,householdfinance_v2_8!J100,householdfinance_v2_7!J100,householdfinance_v2_6!J100,householdfinance_v2_10!J100)/COUNT(householdfinance_v2_9!J100,householdfinance_v2_8!J100,householdfinance_v2_7!J100,householdfinance_v2_6!J100,householdfinance_v2_10!J100),0),"NA")</f>
        <v>1</v>
      </c>
      <c r="K100">
        <f>IF($E100=0,"NA",ROUND(SUM(householdfinance_v2_9!K100,householdfinance_v2_8!K100,householdfinance_v2_7!K100,householdfinance_v2_6!K100,householdfinance_v2_10!K100)/COUNT(householdfinance_v2_9!K100,householdfinance_v2_8!K100,householdfinance_v2_7!K100,householdfinance_v2_6!K100,householdfinance_v2_10!K100),0))</f>
        <v>1</v>
      </c>
      <c r="L100">
        <f>IF($E100=0,"NA",ROUND(SUM(householdfinance_v2_9!L100,householdfinance_v2_8!L100,householdfinance_v2_7!L100,householdfinance_v2_6!L100,householdfinance_v2_10!L100)/COUNT(householdfinance_v2_9!L100,householdfinance_v2_8!L100,householdfinance_v2_7!L100,householdfinance_v2_6!L100,householdfinance_v2_10!L100),0))</f>
        <v>1</v>
      </c>
      <c r="M100">
        <f>IF($E100=0,"NA",ROUND(SUM(householdfinance_v2_9!M100,householdfinance_v2_8!M100,householdfinance_v2_7!M100,householdfinance_v2_6!M100,householdfinance_v2_10!M100)/COUNT(householdfinance_v2_9!M100,householdfinance_v2_8!M100,householdfinance_v2_7!M100,householdfinance_v2_6!M100,householdfinance_v2_10!M100),0))</f>
        <v>1</v>
      </c>
      <c r="N100">
        <f>IF($E100=0,"NA",ROUND(SUM(householdfinance_v2_9!N100,householdfinance_v2_8!N100,householdfinance_v2_7!N100,householdfinance_v2_6!N100,householdfinance_v2_10!N100)/COUNT(householdfinance_v2_9!N100,householdfinance_v2_8!N100,householdfinance_v2_7!N100,householdfinance_v2_6!N100,householdfinance_v2_10!N100),0))</f>
        <v>1</v>
      </c>
      <c r="O100">
        <f>IF($E100=0,"NA",ROUND(SUM(householdfinance_v2_9!O100,householdfinance_v2_8!O100,householdfinance_v2_7!O100,householdfinance_v2_6!O100,householdfinance_v2_10!O100)/COUNT(householdfinance_v2_9!O100,householdfinance_v2_8!O100,householdfinance_v2_7!O100,householdfinance_v2_6!O100,householdfinance_v2_10!O100),0))</f>
        <v>1</v>
      </c>
    </row>
    <row r="101" spans="1:15" x14ac:dyDescent="0.25">
      <c r="A101" t="s">
        <v>94</v>
      </c>
      <c r="B101" t="s">
        <v>129</v>
      </c>
      <c r="C101">
        <v>0</v>
      </c>
      <c r="D101">
        <v>7.0876922607421884</v>
      </c>
      <c r="E101">
        <f>ROUND(SUM(householdfinance_v2_9!E101,householdfinance_v2_8!E101,householdfinance_v2_7!E101,householdfinance_v2_6!E101,householdfinance_v2_10!E101)/COUNT(householdfinance_v2_9!E101,householdfinance_v2_8!E101,householdfinance_v2_7!E101,householdfinance_v2_6!E101,householdfinance_v2_10!E101),0)</f>
        <v>1</v>
      </c>
      <c r="F101">
        <f>IF($E101=0,"NA",ROUND(SUM(householdfinance_v2_9!F101,householdfinance_v2_8!F101,householdfinance_v2_7!F101,householdfinance_v2_6!F101,householdfinance_v2_10!F101)/COUNT(householdfinance_v2_9!F101,householdfinance_v2_8!F101,householdfinance_v2_7!F101,householdfinance_v2_6!F101,householdfinance_v2_10!F101),0))</f>
        <v>1</v>
      </c>
      <c r="G101">
        <f>IF($E101=0,"NA",ROUND(SUM(householdfinance_v2_9!G101,householdfinance_v2_8!G101,householdfinance_v2_7!G101,householdfinance_v2_6!G101,householdfinance_v2_10!G101)/COUNT(householdfinance_v2_9!G101,householdfinance_v2_8!G101,householdfinance_v2_7!G101,householdfinance_v2_6!G101,householdfinance_v2_10!G101),0))</f>
        <v>1</v>
      </c>
      <c r="H101">
        <f>IF(AND(F101=1,G101=1),ROUND(SUM(householdfinance_v2_9!H101,householdfinance_v2_8!H101,householdfinance_v2_7!H101,householdfinance_v2_6!H101,householdfinance_v2_10!H101)/COUNT(householdfinance_v2_9!H101,householdfinance_v2_8!H101,householdfinance_v2_7!H101,householdfinance_v2_6!H101,householdfinance_v2_10!H101),0),"NA")</f>
        <v>1</v>
      </c>
      <c r="I101">
        <f>IF($E101=0,"NA",ROUND(SUM(householdfinance_v2_9!I101,householdfinance_v2_8!I101,householdfinance_v2_7!I101,householdfinance_v2_6!I101,householdfinance_v2_10!I101)/COUNT(householdfinance_v2_9!I101,householdfinance_v2_8!I101,householdfinance_v2_7!I101,householdfinance_v2_6!I101,householdfinance_v2_10!I101),0))</f>
        <v>1</v>
      </c>
      <c r="J101">
        <f>IF(F101=1,ROUND(SUM(householdfinance_v2_9!J101,householdfinance_v2_8!J101,householdfinance_v2_7!J101,householdfinance_v2_6!J101,householdfinance_v2_10!J101)/COUNT(householdfinance_v2_9!J101,householdfinance_v2_8!J101,householdfinance_v2_7!J101,householdfinance_v2_6!J101,householdfinance_v2_10!J101),0),"NA")</f>
        <v>0</v>
      </c>
      <c r="K101">
        <f>IF($E101=0,"NA",ROUND(SUM(householdfinance_v2_9!K101,householdfinance_v2_8!K101,householdfinance_v2_7!K101,householdfinance_v2_6!K101,householdfinance_v2_10!K101)/COUNT(householdfinance_v2_9!K101,householdfinance_v2_8!K101,householdfinance_v2_7!K101,householdfinance_v2_6!K101,householdfinance_v2_10!K101),0))</f>
        <v>1</v>
      </c>
      <c r="L101">
        <f>IF($E101=0,"NA",ROUND(SUM(householdfinance_v2_9!L101,householdfinance_v2_8!L101,householdfinance_v2_7!L101,householdfinance_v2_6!L101,householdfinance_v2_10!L101)/COUNT(householdfinance_v2_9!L101,householdfinance_v2_8!L101,householdfinance_v2_7!L101,householdfinance_v2_6!L101,householdfinance_v2_10!L101),0))</f>
        <v>1</v>
      </c>
      <c r="M101">
        <f>IF($E101=0,"NA",ROUND(SUM(householdfinance_v2_9!M101,householdfinance_v2_8!M101,householdfinance_v2_7!M101,householdfinance_v2_6!M101,householdfinance_v2_10!M101)/COUNT(householdfinance_v2_9!M101,householdfinance_v2_8!M101,householdfinance_v2_7!M101,householdfinance_v2_6!M101,householdfinance_v2_10!M101),0))</f>
        <v>1</v>
      </c>
      <c r="N101">
        <f>IF($E101=0,"NA",ROUND(SUM(householdfinance_v2_9!N101,householdfinance_v2_8!N101,householdfinance_v2_7!N101,householdfinance_v2_6!N101,householdfinance_v2_10!N101)/COUNT(householdfinance_v2_9!N101,householdfinance_v2_8!N101,householdfinance_v2_7!N101,householdfinance_v2_6!N101,householdfinance_v2_10!N101),0))</f>
        <v>1</v>
      </c>
      <c r="O101">
        <f>IF($E101=0,"NA",ROUND(SUM(householdfinance_v2_9!O101,householdfinance_v2_8!O101,householdfinance_v2_7!O101,householdfinance_v2_6!O101,householdfinance_v2_10!O101)/COUNT(householdfinance_v2_9!O101,householdfinance_v2_8!O101,householdfinance_v2_7!O101,householdfinance_v2_6!O101,householdfinance_v2_10!O101),0))</f>
        <v>1</v>
      </c>
    </row>
    <row r="102" spans="1:15" x14ac:dyDescent="0.25">
      <c r="A102" t="s">
        <v>94</v>
      </c>
      <c r="B102" t="s">
        <v>131</v>
      </c>
      <c r="C102">
        <v>0</v>
      </c>
      <c r="D102">
        <v>10.075482606887819</v>
      </c>
      <c r="E102">
        <f>ROUND(SUM(householdfinance_v2_9!E102,householdfinance_v2_8!E102,householdfinance_v2_7!E102,householdfinance_v2_6!E102,householdfinance_v2_10!E102)/COUNT(householdfinance_v2_9!E102,householdfinance_v2_8!E102,householdfinance_v2_7!E102,householdfinance_v2_6!E102,householdfinance_v2_10!E102),0)</f>
        <v>0</v>
      </c>
      <c r="F102" t="str">
        <f>IF($E102=0,"NA",ROUND(SUM(householdfinance_v2_9!F102,householdfinance_v2_8!F102,householdfinance_v2_7!F102,householdfinance_v2_6!F102,householdfinance_v2_10!F102)/COUNT(householdfinance_v2_9!F102,householdfinance_v2_8!F102,householdfinance_v2_7!F102,householdfinance_v2_6!F102,householdfinance_v2_10!F102),0))</f>
        <v>NA</v>
      </c>
      <c r="G102" t="str">
        <f>IF($E102=0,"NA",ROUND(SUM(householdfinance_v2_9!G102,householdfinance_v2_8!G102,householdfinance_v2_7!G102,householdfinance_v2_6!G102,householdfinance_v2_10!G102)/COUNT(householdfinance_v2_9!G102,householdfinance_v2_8!G102,householdfinance_v2_7!G102,householdfinance_v2_6!G102,householdfinance_v2_10!G102),0))</f>
        <v>NA</v>
      </c>
      <c r="H102" t="str">
        <f>IF(AND(F102=1,G102=1),ROUND(SUM(householdfinance_v2_9!H102,householdfinance_v2_8!H102,householdfinance_v2_7!H102,householdfinance_v2_6!H102,householdfinance_v2_10!H102)/COUNT(householdfinance_v2_9!H102,householdfinance_v2_8!H102,householdfinance_v2_7!H102,householdfinance_v2_6!H102,householdfinance_v2_10!H102),0),"NA")</f>
        <v>NA</v>
      </c>
      <c r="I102" t="str">
        <f>IF($E102=0,"NA",ROUND(SUM(householdfinance_v2_9!I102,householdfinance_v2_8!I102,householdfinance_v2_7!I102,householdfinance_v2_6!I102,householdfinance_v2_10!I102)/COUNT(householdfinance_v2_9!I102,householdfinance_v2_8!I102,householdfinance_v2_7!I102,householdfinance_v2_6!I102,householdfinance_v2_10!I102),0))</f>
        <v>NA</v>
      </c>
      <c r="J102" t="str">
        <f>IF(F102=1,ROUND(SUM(householdfinance_v2_9!J102,householdfinance_v2_8!J102,householdfinance_v2_7!J102,householdfinance_v2_6!J102,householdfinance_v2_10!J102)/COUNT(householdfinance_v2_9!J102,householdfinance_v2_8!J102,householdfinance_v2_7!J102,householdfinance_v2_6!J102,householdfinance_v2_10!J102),0),"NA")</f>
        <v>NA</v>
      </c>
      <c r="K102" t="str">
        <f>IF($E102=0,"NA",ROUND(SUM(householdfinance_v2_9!K102,householdfinance_v2_8!K102,householdfinance_v2_7!K102,householdfinance_v2_6!K102,householdfinance_v2_10!K102)/COUNT(householdfinance_v2_9!K102,householdfinance_v2_8!K102,householdfinance_v2_7!K102,householdfinance_v2_6!K102,householdfinance_v2_10!K102),0))</f>
        <v>NA</v>
      </c>
      <c r="L102" t="str">
        <f>IF($E102=0,"NA",ROUND(SUM(householdfinance_v2_9!L102,householdfinance_v2_8!L102,householdfinance_v2_7!L102,householdfinance_v2_6!L102,householdfinance_v2_10!L102)/COUNT(householdfinance_v2_9!L102,householdfinance_v2_8!L102,householdfinance_v2_7!L102,householdfinance_v2_6!L102,householdfinance_v2_10!L102),0))</f>
        <v>NA</v>
      </c>
      <c r="M102" t="str">
        <f>IF($E102=0,"NA",ROUND(SUM(householdfinance_v2_9!M102,householdfinance_v2_8!M102,householdfinance_v2_7!M102,householdfinance_v2_6!M102,householdfinance_v2_10!M102)/COUNT(householdfinance_v2_9!M102,householdfinance_v2_8!M102,householdfinance_v2_7!M102,householdfinance_v2_6!M102,householdfinance_v2_10!M102),0))</f>
        <v>NA</v>
      </c>
      <c r="N102" t="str">
        <f>IF($E102=0,"NA",ROUND(SUM(householdfinance_v2_9!N102,householdfinance_v2_8!N102,householdfinance_v2_7!N102,householdfinance_v2_6!N102,householdfinance_v2_10!N102)/COUNT(householdfinance_v2_9!N102,householdfinance_v2_8!N102,householdfinance_v2_7!N102,householdfinance_v2_6!N102,householdfinance_v2_10!N102),0))</f>
        <v>NA</v>
      </c>
      <c r="O102" t="str">
        <f>IF($E102=0,"NA",ROUND(SUM(householdfinance_v2_9!O102,householdfinance_v2_8!O102,householdfinance_v2_7!O102,householdfinance_v2_6!O102,householdfinance_v2_10!O102)/COUNT(householdfinance_v2_9!O102,householdfinance_v2_8!O102,householdfinance_v2_7!O102,householdfinance_v2_6!O102,householdfinance_v2_10!O102),0))</f>
        <v>NA</v>
      </c>
    </row>
    <row r="103" spans="1:15" x14ac:dyDescent="0.25">
      <c r="A103" t="s">
        <v>94</v>
      </c>
      <c r="B103" t="s">
        <v>133</v>
      </c>
      <c r="C103">
        <v>0</v>
      </c>
      <c r="D103">
        <v>10.05920100212097</v>
      </c>
      <c r="E103">
        <f>ROUND(SUM(householdfinance_v2_9!E103,householdfinance_v2_8!E103,householdfinance_v2_7!E103,householdfinance_v2_6!E103,householdfinance_v2_10!E103)/COUNT(householdfinance_v2_9!E103,householdfinance_v2_8!E103,householdfinance_v2_7!E103,householdfinance_v2_6!E103,householdfinance_v2_10!E103),0)</f>
        <v>1</v>
      </c>
      <c r="F103">
        <f>IF($E103=0,"NA",ROUND(SUM(householdfinance_v2_9!F103,householdfinance_v2_8!F103,householdfinance_v2_7!F103,householdfinance_v2_6!F103,householdfinance_v2_10!F103)/COUNT(householdfinance_v2_9!F103,householdfinance_v2_8!F103,householdfinance_v2_7!F103,householdfinance_v2_6!F103,householdfinance_v2_10!F103),0))</f>
        <v>1</v>
      </c>
      <c r="G103">
        <f>IF($E103=0,"NA",ROUND(SUM(householdfinance_v2_9!G103,householdfinance_v2_8!G103,householdfinance_v2_7!G103,householdfinance_v2_6!G103,householdfinance_v2_10!G103)/COUNT(householdfinance_v2_9!G103,householdfinance_v2_8!G103,householdfinance_v2_7!G103,householdfinance_v2_6!G103,householdfinance_v2_10!G103),0))</f>
        <v>1</v>
      </c>
      <c r="H103">
        <f>IF(AND(F103=1,G103=1),ROUND(SUM(householdfinance_v2_9!H103,householdfinance_v2_8!H103,householdfinance_v2_7!H103,householdfinance_v2_6!H103,householdfinance_v2_10!H103)/COUNT(householdfinance_v2_9!H103,householdfinance_v2_8!H103,householdfinance_v2_7!H103,householdfinance_v2_6!H103,householdfinance_v2_10!H103),0),"NA")</f>
        <v>1</v>
      </c>
      <c r="I103">
        <f>IF($E103=0,"NA",ROUND(SUM(householdfinance_v2_9!I103,householdfinance_v2_8!I103,householdfinance_v2_7!I103,householdfinance_v2_6!I103,householdfinance_v2_10!I103)/COUNT(householdfinance_v2_9!I103,householdfinance_v2_8!I103,householdfinance_v2_7!I103,householdfinance_v2_6!I103,householdfinance_v2_10!I103),0))</f>
        <v>1</v>
      </c>
      <c r="J103">
        <f>IF(F103=1,ROUND(SUM(householdfinance_v2_9!J103,householdfinance_v2_8!J103,householdfinance_v2_7!J103,householdfinance_v2_6!J103,householdfinance_v2_10!J103)/COUNT(householdfinance_v2_9!J103,householdfinance_v2_8!J103,householdfinance_v2_7!J103,householdfinance_v2_6!J103,householdfinance_v2_10!J103),0),"NA")</f>
        <v>1</v>
      </c>
      <c r="K103">
        <f>IF($E103=0,"NA",ROUND(SUM(householdfinance_v2_9!K103,householdfinance_v2_8!K103,householdfinance_v2_7!K103,householdfinance_v2_6!K103,householdfinance_v2_10!K103)/COUNT(householdfinance_v2_9!K103,householdfinance_v2_8!K103,householdfinance_v2_7!K103,householdfinance_v2_6!K103,householdfinance_v2_10!K103),0))</f>
        <v>1</v>
      </c>
      <c r="L103">
        <f>IF($E103=0,"NA",ROUND(SUM(householdfinance_v2_9!L103,householdfinance_v2_8!L103,householdfinance_v2_7!L103,householdfinance_v2_6!L103,householdfinance_v2_10!L103)/COUNT(householdfinance_v2_9!L103,householdfinance_v2_8!L103,householdfinance_v2_7!L103,householdfinance_v2_6!L103,householdfinance_v2_10!L103),0))</f>
        <v>1</v>
      </c>
      <c r="M103">
        <f>IF($E103=0,"NA",ROUND(SUM(householdfinance_v2_9!M103,householdfinance_v2_8!M103,householdfinance_v2_7!M103,householdfinance_v2_6!M103,householdfinance_v2_10!M103)/COUNT(householdfinance_v2_9!M103,householdfinance_v2_8!M103,householdfinance_v2_7!M103,householdfinance_v2_6!M103,householdfinance_v2_10!M103),0))</f>
        <v>1</v>
      </c>
      <c r="N103">
        <f>IF($E103=0,"NA",ROUND(SUM(householdfinance_v2_9!N103,householdfinance_v2_8!N103,householdfinance_v2_7!N103,householdfinance_v2_6!N103,householdfinance_v2_10!N103)/COUNT(householdfinance_v2_9!N103,householdfinance_v2_8!N103,householdfinance_v2_7!N103,householdfinance_v2_6!N103,householdfinance_v2_10!N103),0))</f>
        <v>1</v>
      </c>
      <c r="O103">
        <f>IF($E103=0,"NA",ROUND(SUM(householdfinance_v2_9!O103,householdfinance_v2_8!O103,householdfinance_v2_7!O103,householdfinance_v2_6!O103,householdfinance_v2_10!O103)/COUNT(householdfinance_v2_9!O103,householdfinance_v2_8!O103,householdfinance_v2_7!O103,householdfinance_v2_6!O103,householdfinance_v2_10!O103),0))</f>
        <v>1</v>
      </c>
    </row>
    <row r="104" spans="1:15" x14ac:dyDescent="0.25">
      <c r="A104" t="s">
        <v>94</v>
      </c>
      <c r="B104" t="s">
        <v>134</v>
      </c>
      <c r="C104">
        <v>0</v>
      </c>
      <c r="D104">
        <v>5.7510888576507568</v>
      </c>
      <c r="E104">
        <f>ROUND(SUM(householdfinance_v2_9!E104,householdfinance_v2_8!E104,householdfinance_v2_7!E104,householdfinance_v2_6!E104,householdfinance_v2_10!E104)/COUNT(householdfinance_v2_9!E104,householdfinance_v2_8!E104,householdfinance_v2_7!E104,householdfinance_v2_6!E104,householdfinance_v2_10!E104),0)</f>
        <v>1</v>
      </c>
      <c r="F104">
        <f>IF($E104=0,"NA",ROUND(SUM(householdfinance_v2_9!F104,householdfinance_v2_8!F104,householdfinance_v2_7!F104,householdfinance_v2_6!F104,householdfinance_v2_10!F104)/COUNT(householdfinance_v2_9!F104,householdfinance_v2_8!F104,householdfinance_v2_7!F104,householdfinance_v2_6!F104,householdfinance_v2_10!F104),0))</f>
        <v>1</v>
      </c>
      <c r="G104">
        <f>IF($E104=0,"NA",ROUND(SUM(householdfinance_v2_9!G104,householdfinance_v2_8!G104,householdfinance_v2_7!G104,householdfinance_v2_6!G104,householdfinance_v2_10!G104)/COUNT(householdfinance_v2_9!G104,householdfinance_v2_8!G104,householdfinance_v2_7!G104,householdfinance_v2_6!G104,householdfinance_v2_10!G104),0))</f>
        <v>1</v>
      </c>
      <c r="H104">
        <f>IF(AND(F104=1,G104=1),ROUND(SUM(householdfinance_v2_9!H104,householdfinance_v2_8!H104,householdfinance_v2_7!H104,householdfinance_v2_6!H104,householdfinance_v2_10!H104)/COUNT(householdfinance_v2_9!H104,householdfinance_v2_8!H104,householdfinance_v2_7!H104,householdfinance_v2_6!H104,householdfinance_v2_10!H104),0),"NA")</f>
        <v>0</v>
      </c>
      <c r="I104">
        <f>IF($E104=0,"NA",ROUND(SUM(householdfinance_v2_9!I104,householdfinance_v2_8!I104,householdfinance_v2_7!I104,householdfinance_v2_6!I104,householdfinance_v2_10!I104)/COUNT(householdfinance_v2_9!I104,householdfinance_v2_8!I104,householdfinance_v2_7!I104,householdfinance_v2_6!I104,householdfinance_v2_10!I104),0))</f>
        <v>1</v>
      </c>
      <c r="J104">
        <f>IF(F104=1,ROUND(SUM(householdfinance_v2_9!J104,householdfinance_v2_8!J104,householdfinance_v2_7!J104,householdfinance_v2_6!J104,householdfinance_v2_10!J104)/COUNT(householdfinance_v2_9!J104,householdfinance_v2_8!J104,householdfinance_v2_7!J104,householdfinance_v2_6!J104,householdfinance_v2_10!J104),0),"NA")</f>
        <v>0</v>
      </c>
      <c r="K104">
        <f>IF($E104=0,"NA",ROUND(SUM(householdfinance_v2_9!K104,householdfinance_v2_8!K104,householdfinance_v2_7!K104,householdfinance_v2_6!K104,householdfinance_v2_10!K104)/COUNT(householdfinance_v2_9!K104,householdfinance_v2_8!K104,householdfinance_v2_7!K104,householdfinance_v2_6!K104,householdfinance_v2_10!K104),0))</f>
        <v>1</v>
      </c>
      <c r="L104">
        <f>IF($E104=0,"NA",ROUND(SUM(householdfinance_v2_9!L104,householdfinance_v2_8!L104,householdfinance_v2_7!L104,householdfinance_v2_6!L104,householdfinance_v2_10!L104)/COUNT(householdfinance_v2_9!L104,householdfinance_v2_8!L104,householdfinance_v2_7!L104,householdfinance_v2_6!L104,householdfinance_v2_10!L104),0))</f>
        <v>1</v>
      </c>
      <c r="M104">
        <f>IF($E104=0,"NA",ROUND(SUM(householdfinance_v2_9!M104,householdfinance_v2_8!M104,householdfinance_v2_7!M104,householdfinance_v2_6!M104,householdfinance_v2_10!M104)/COUNT(householdfinance_v2_9!M104,householdfinance_v2_8!M104,householdfinance_v2_7!M104,householdfinance_v2_6!M104,householdfinance_v2_10!M104),0))</f>
        <v>1</v>
      </c>
      <c r="N104">
        <f>IF($E104=0,"NA",ROUND(SUM(householdfinance_v2_9!N104,householdfinance_v2_8!N104,householdfinance_v2_7!N104,householdfinance_v2_6!N104,householdfinance_v2_10!N104)/COUNT(householdfinance_v2_9!N104,householdfinance_v2_8!N104,householdfinance_v2_7!N104,householdfinance_v2_6!N104,householdfinance_v2_10!N104),0))</f>
        <v>1</v>
      </c>
      <c r="O104">
        <f>IF($E104=0,"NA",ROUND(SUM(householdfinance_v2_9!O104,householdfinance_v2_8!O104,householdfinance_v2_7!O104,householdfinance_v2_6!O104,householdfinance_v2_10!O104)/COUNT(householdfinance_v2_9!O104,householdfinance_v2_8!O104,householdfinance_v2_7!O104,householdfinance_v2_6!O104,householdfinance_v2_10!O104),0))</f>
        <v>1</v>
      </c>
    </row>
    <row r="105" spans="1:15" x14ac:dyDescent="0.25">
      <c r="A105" t="s">
        <v>94</v>
      </c>
      <c r="B105" t="s">
        <v>136</v>
      </c>
      <c r="C105">
        <v>0</v>
      </c>
      <c r="D105">
        <v>9.547752857208252</v>
      </c>
      <c r="E105">
        <f>ROUND(SUM(householdfinance_v2_9!E105,householdfinance_v2_8!E105,householdfinance_v2_7!E105,householdfinance_v2_6!E105,householdfinance_v2_10!E105)/COUNT(householdfinance_v2_9!E105,householdfinance_v2_8!E105,householdfinance_v2_7!E105,householdfinance_v2_6!E105,householdfinance_v2_10!E105),0)</f>
        <v>1</v>
      </c>
      <c r="F105">
        <f>IF($E105=0,"NA",ROUND(SUM(householdfinance_v2_9!F105,householdfinance_v2_8!F105,householdfinance_v2_7!F105,householdfinance_v2_6!F105,householdfinance_v2_10!F105)/COUNT(householdfinance_v2_9!F105,householdfinance_v2_8!F105,householdfinance_v2_7!F105,householdfinance_v2_6!F105,householdfinance_v2_10!F105),0))</f>
        <v>1</v>
      </c>
      <c r="G105">
        <f>IF($E105=0,"NA",ROUND(SUM(householdfinance_v2_9!G105,householdfinance_v2_8!G105,householdfinance_v2_7!G105,householdfinance_v2_6!G105,householdfinance_v2_10!G105)/COUNT(householdfinance_v2_9!G105,householdfinance_v2_8!G105,householdfinance_v2_7!G105,householdfinance_v2_6!G105,householdfinance_v2_10!G105),0))</f>
        <v>1</v>
      </c>
      <c r="H105">
        <f>IF(AND(F105=1,G105=1),ROUND(SUM(householdfinance_v2_9!H105,householdfinance_v2_8!H105,householdfinance_v2_7!H105,householdfinance_v2_6!H105,householdfinance_v2_10!H105)/COUNT(householdfinance_v2_9!H105,householdfinance_v2_8!H105,householdfinance_v2_7!H105,householdfinance_v2_6!H105,householdfinance_v2_10!H105),0),"NA")</f>
        <v>0</v>
      </c>
      <c r="I105">
        <f>IF($E105=0,"NA",ROUND(SUM(householdfinance_v2_9!I105,householdfinance_v2_8!I105,householdfinance_v2_7!I105,householdfinance_v2_6!I105,householdfinance_v2_10!I105)/COUNT(householdfinance_v2_9!I105,householdfinance_v2_8!I105,householdfinance_v2_7!I105,householdfinance_v2_6!I105,householdfinance_v2_10!I105),0))</f>
        <v>1</v>
      </c>
      <c r="J105">
        <f>IF(F105=1,ROUND(SUM(householdfinance_v2_9!J105,householdfinance_v2_8!J105,householdfinance_v2_7!J105,householdfinance_v2_6!J105,householdfinance_v2_10!J105)/COUNT(householdfinance_v2_9!J105,householdfinance_v2_8!J105,householdfinance_v2_7!J105,householdfinance_v2_6!J105,householdfinance_v2_10!J105),0),"NA")</f>
        <v>1</v>
      </c>
      <c r="K105">
        <f>IF($E105=0,"NA",ROUND(SUM(householdfinance_v2_9!K105,householdfinance_v2_8!K105,householdfinance_v2_7!K105,householdfinance_v2_6!K105,householdfinance_v2_10!K105)/COUNT(householdfinance_v2_9!K105,householdfinance_v2_8!K105,householdfinance_v2_7!K105,householdfinance_v2_6!K105,householdfinance_v2_10!K105),0))</f>
        <v>1</v>
      </c>
      <c r="L105">
        <f>IF($E105=0,"NA",ROUND(SUM(householdfinance_v2_9!L105,householdfinance_v2_8!L105,householdfinance_v2_7!L105,householdfinance_v2_6!L105,householdfinance_v2_10!L105)/COUNT(householdfinance_v2_9!L105,householdfinance_v2_8!L105,householdfinance_v2_7!L105,householdfinance_v2_6!L105,householdfinance_v2_10!L105),0))</f>
        <v>1</v>
      </c>
      <c r="M105">
        <f>IF($E105=0,"NA",ROUND(SUM(householdfinance_v2_9!M105,householdfinance_v2_8!M105,householdfinance_v2_7!M105,householdfinance_v2_6!M105,householdfinance_v2_10!M105)/COUNT(householdfinance_v2_9!M105,householdfinance_v2_8!M105,householdfinance_v2_7!M105,householdfinance_v2_6!M105,householdfinance_v2_10!M105),0))</f>
        <v>1</v>
      </c>
      <c r="N105">
        <f>IF($E105=0,"NA",ROUND(SUM(householdfinance_v2_9!N105,householdfinance_v2_8!N105,householdfinance_v2_7!N105,householdfinance_v2_6!N105,householdfinance_v2_10!N105)/COUNT(householdfinance_v2_9!N105,householdfinance_v2_8!N105,householdfinance_v2_7!N105,householdfinance_v2_6!N105,householdfinance_v2_10!N105),0))</f>
        <v>1</v>
      </c>
      <c r="O105">
        <f>IF($E105=0,"NA",ROUND(SUM(householdfinance_v2_9!O105,householdfinance_v2_8!O105,householdfinance_v2_7!O105,householdfinance_v2_6!O105,householdfinance_v2_10!O105)/COUNT(householdfinance_v2_9!O105,householdfinance_v2_8!O105,householdfinance_v2_7!O105,householdfinance_v2_6!O105,householdfinance_v2_10!O105),0))</f>
        <v>1</v>
      </c>
    </row>
    <row r="106" spans="1:15" x14ac:dyDescent="0.25">
      <c r="A106" t="s">
        <v>94</v>
      </c>
      <c r="B106" t="s">
        <v>138</v>
      </c>
      <c r="C106">
        <v>0</v>
      </c>
      <c r="D106">
        <v>6.3626058101654053</v>
      </c>
      <c r="E106">
        <f>ROUND(SUM(householdfinance_v2_9!E106,householdfinance_v2_8!E106,householdfinance_v2_7!E106,householdfinance_v2_6!E106,householdfinance_v2_10!E106)/COUNT(householdfinance_v2_9!E106,householdfinance_v2_8!E106,householdfinance_v2_7!E106,householdfinance_v2_6!E106,householdfinance_v2_10!E106),0)</f>
        <v>0</v>
      </c>
      <c r="F106" t="str">
        <f>IF($E106=0,"NA",ROUND(SUM(householdfinance_v2_9!F106,householdfinance_v2_8!F106,householdfinance_v2_7!F106,householdfinance_v2_6!F106,householdfinance_v2_10!F106)/COUNT(householdfinance_v2_9!F106,householdfinance_v2_8!F106,householdfinance_v2_7!F106,householdfinance_v2_6!F106,householdfinance_v2_10!F106),0))</f>
        <v>NA</v>
      </c>
      <c r="G106" t="str">
        <f>IF($E106=0,"NA",ROUND(SUM(householdfinance_v2_9!G106,householdfinance_v2_8!G106,householdfinance_v2_7!G106,householdfinance_v2_6!G106,householdfinance_v2_10!G106)/COUNT(householdfinance_v2_9!G106,householdfinance_v2_8!G106,householdfinance_v2_7!G106,householdfinance_v2_6!G106,householdfinance_v2_10!G106),0))</f>
        <v>NA</v>
      </c>
      <c r="H106" t="str">
        <f>IF(AND(F106=1,G106=1),ROUND(SUM(householdfinance_v2_9!H106,householdfinance_v2_8!H106,householdfinance_v2_7!H106,householdfinance_v2_6!H106,householdfinance_v2_10!H106)/COUNT(householdfinance_v2_9!H106,householdfinance_v2_8!H106,householdfinance_v2_7!H106,householdfinance_v2_6!H106,householdfinance_v2_10!H106),0),"NA")</f>
        <v>NA</v>
      </c>
      <c r="I106" t="str">
        <f>IF($E106=0,"NA",ROUND(SUM(householdfinance_v2_9!I106,householdfinance_v2_8!I106,householdfinance_v2_7!I106,householdfinance_v2_6!I106,householdfinance_v2_10!I106)/COUNT(householdfinance_v2_9!I106,householdfinance_v2_8!I106,householdfinance_v2_7!I106,householdfinance_v2_6!I106,householdfinance_v2_10!I106),0))</f>
        <v>NA</v>
      </c>
      <c r="J106" t="str">
        <f>IF(F106=1,ROUND(SUM(householdfinance_v2_9!J106,householdfinance_v2_8!J106,householdfinance_v2_7!J106,householdfinance_v2_6!J106,householdfinance_v2_10!J106)/COUNT(householdfinance_v2_9!J106,householdfinance_v2_8!J106,householdfinance_v2_7!J106,householdfinance_v2_6!J106,householdfinance_v2_10!J106),0),"NA")</f>
        <v>NA</v>
      </c>
      <c r="K106" t="str">
        <f>IF($E106=0,"NA",ROUND(SUM(householdfinance_v2_9!K106,householdfinance_v2_8!K106,householdfinance_v2_7!K106,householdfinance_v2_6!K106,householdfinance_v2_10!K106)/COUNT(householdfinance_v2_9!K106,householdfinance_v2_8!K106,householdfinance_v2_7!K106,householdfinance_v2_6!K106,householdfinance_v2_10!K106),0))</f>
        <v>NA</v>
      </c>
      <c r="L106" t="str">
        <f>IF($E106=0,"NA",ROUND(SUM(householdfinance_v2_9!L106,householdfinance_v2_8!L106,householdfinance_v2_7!L106,householdfinance_v2_6!L106,householdfinance_v2_10!L106)/COUNT(householdfinance_v2_9!L106,householdfinance_v2_8!L106,householdfinance_v2_7!L106,householdfinance_v2_6!L106,householdfinance_v2_10!L106),0))</f>
        <v>NA</v>
      </c>
      <c r="M106" t="str">
        <f>IF($E106=0,"NA",ROUND(SUM(householdfinance_v2_9!M106,householdfinance_v2_8!M106,householdfinance_v2_7!M106,householdfinance_v2_6!M106,householdfinance_v2_10!M106)/COUNT(householdfinance_v2_9!M106,householdfinance_v2_8!M106,householdfinance_v2_7!M106,householdfinance_v2_6!M106,householdfinance_v2_10!M106),0))</f>
        <v>NA</v>
      </c>
      <c r="N106" t="str">
        <f>IF($E106=0,"NA",ROUND(SUM(householdfinance_v2_9!N106,householdfinance_v2_8!N106,householdfinance_v2_7!N106,householdfinance_v2_6!N106,householdfinance_v2_10!N106)/COUNT(householdfinance_v2_9!N106,householdfinance_v2_8!N106,householdfinance_v2_7!N106,householdfinance_v2_6!N106,householdfinance_v2_10!N106),0))</f>
        <v>NA</v>
      </c>
      <c r="O106" t="str">
        <f>IF($E106=0,"NA",ROUND(SUM(householdfinance_v2_9!O106,householdfinance_v2_8!O106,householdfinance_v2_7!O106,householdfinance_v2_6!O106,householdfinance_v2_10!O106)/COUNT(householdfinance_v2_9!O106,householdfinance_v2_8!O106,householdfinance_v2_7!O106,householdfinance_v2_6!O106,householdfinance_v2_10!O106),0))</f>
        <v>NA</v>
      </c>
    </row>
    <row r="107" spans="1:15" x14ac:dyDescent="0.25">
      <c r="A107" t="s">
        <v>94</v>
      </c>
      <c r="B107" t="s">
        <v>140</v>
      </c>
      <c r="C107">
        <v>0</v>
      </c>
      <c r="D107">
        <v>5.35589599609375</v>
      </c>
      <c r="E107">
        <f>ROUND(SUM(householdfinance_v2_9!E107,householdfinance_v2_8!E107,householdfinance_v2_7!E107,householdfinance_v2_6!E107,householdfinance_v2_10!E107)/COUNT(householdfinance_v2_9!E107,householdfinance_v2_8!E107,householdfinance_v2_7!E107,householdfinance_v2_6!E107,householdfinance_v2_10!E107),0)</f>
        <v>1</v>
      </c>
      <c r="F107">
        <f>IF($E107=0,"NA",ROUND(SUM(householdfinance_v2_9!F107,householdfinance_v2_8!F107,householdfinance_v2_7!F107,householdfinance_v2_6!F107,householdfinance_v2_10!F107)/COUNT(householdfinance_v2_9!F107,householdfinance_v2_8!F107,householdfinance_v2_7!F107,householdfinance_v2_6!F107,householdfinance_v2_10!F107),0))</f>
        <v>1</v>
      </c>
      <c r="G107">
        <f>IF($E107=0,"NA",ROUND(SUM(householdfinance_v2_9!G107,householdfinance_v2_8!G107,householdfinance_v2_7!G107,householdfinance_v2_6!G107,householdfinance_v2_10!G107)/COUNT(householdfinance_v2_9!G107,householdfinance_v2_8!G107,householdfinance_v2_7!G107,householdfinance_v2_6!G107,householdfinance_v2_10!G107),0))</f>
        <v>1</v>
      </c>
      <c r="H107">
        <f>IF(AND(F107=1,G107=1),ROUND(SUM(householdfinance_v2_9!H107,householdfinance_v2_8!H107,householdfinance_v2_7!H107,householdfinance_v2_6!H107,householdfinance_v2_10!H107)/COUNT(householdfinance_v2_9!H107,householdfinance_v2_8!H107,householdfinance_v2_7!H107,householdfinance_v2_6!H107,householdfinance_v2_10!H107),0),"NA")</f>
        <v>1</v>
      </c>
      <c r="I107">
        <f>IF($E107=0,"NA",ROUND(SUM(householdfinance_v2_9!I107,householdfinance_v2_8!I107,householdfinance_v2_7!I107,householdfinance_v2_6!I107,householdfinance_v2_10!I107)/COUNT(householdfinance_v2_9!I107,householdfinance_v2_8!I107,householdfinance_v2_7!I107,householdfinance_v2_6!I107,householdfinance_v2_10!I107),0))</f>
        <v>1</v>
      </c>
      <c r="J107">
        <f>IF(F107=1,ROUND(SUM(householdfinance_v2_9!J107,householdfinance_v2_8!J107,householdfinance_v2_7!J107,householdfinance_v2_6!J107,householdfinance_v2_10!J107)/COUNT(householdfinance_v2_9!J107,householdfinance_v2_8!J107,householdfinance_v2_7!J107,householdfinance_v2_6!J107,householdfinance_v2_10!J107),0),"NA")</f>
        <v>1</v>
      </c>
      <c r="K107">
        <f>IF($E107=0,"NA",ROUND(SUM(householdfinance_v2_9!K107,householdfinance_v2_8!K107,householdfinance_v2_7!K107,householdfinance_v2_6!K107,householdfinance_v2_10!K107)/COUNT(householdfinance_v2_9!K107,householdfinance_v2_8!K107,householdfinance_v2_7!K107,householdfinance_v2_6!K107,householdfinance_v2_10!K107),0))</f>
        <v>0</v>
      </c>
      <c r="L107">
        <f>IF($E107=0,"NA",ROUND(SUM(householdfinance_v2_9!L107,householdfinance_v2_8!L107,householdfinance_v2_7!L107,householdfinance_v2_6!L107,householdfinance_v2_10!L107)/COUNT(householdfinance_v2_9!L107,householdfinance_v2_8!L107,householdfinance_v2_7!L107,householdfinance_v2_6!L107,householdfinance_v2_10!L107),0))</f>
        <v>1</v>
      </c>
      <c r="M107">
        <f>IF($E107=0,"NA",ROUND(SUM(householdfinance_v2_9!M107,householdfinance_v2_8!M107,householdfinance_v2_7!M107,householdfinance_v2_6!M107,householdfinance_v2_10!M107)/COUNT(householdfinance_v2_9!M107,householdfinance_v2_8!M107,householdfinance_v2_7!M107,householdfinance_v2_6!M107,householdfinance_v2_10!M107),0))</f>
        <v>1</v>
      </c>
      <c r="N107">
        <f>IF($E107=0,"NA",ROUND(SUM(householdfinance_v2_9!N107,householdfinance_v2_8!N107,householdfinance_v2_7!N107,householdfinance_v2_6!N107,householdfinance_v2_10!N107)/COUNT(householdfinance_v2_9!N107,householdfinance_v2_8!N107,householdfinance_v2_7!N107,householdfinance_v2_6!N107,householdfinance_v2_10!N107),0))</f>
        <v>1</v>
      </c>
      <c r="O107">
        <f>IF($E107=0,"NA",ROUND(SUM(householdfinance_v2_9!O107,householdfinance_v2_8!O107,householdfinance_v2_7!O107,householdfinance_v2_6!O107,householdfinance_v2_10!O107)/COUNT(householdfinance_v2_9!O107,householdfinance_v2_8!O107,householdfinance_v2_7!O107,householdfinance_v2_6!O107,householdfinance_v2_10!O107),0))</f>
        <v>1</v>
      </c>
    </row>
    <row r="108" spans="1:15" x14ac:dyDescent="0.25">
      <c r="A108" t="s">
        <v>94</v>
      </c>
      <c r="B108" t="s">
        <v>142</v>
      </c>
      <c r="C108">
        <v>0</v>
      </c>
      <c r="D108">
        <v>4.5093755722045898</v>
      </c>
      <c r="E108">
        <f>ROUND(SUM(householdfinance_v2_9!E108,householdfinance_v2_8!E108,householdfinance_v2_7!E108,householdfinance_v2_6!E108,householdfinance_v2_10!E108)/COUNT(householdfinance_v2_9!E108,householdfinance_v2_8!E108,householdfinance_v2_7!E108,householdfinance_v2_6!E108,householdfinance_v2_10!E108),0)</f>
        <v>1</v>
      </c>
      <c r="F108">
        <f>IF($E108=0,"NA",ROUND(SUM(householdfinance_v2_9!F108,householdfinance_v2_8!F108,householdfinance_v2_7!F108,householdfinance_v2_6!F108,householdfinance_v2_10!F108)/COUNT(householdfinance_v2_9!F108,householdfinance_v2_8!F108,householdfinance_v2_7!F108,householdfinance_v2_6!F108,householdfinance_v2_10!F108),0))</f>
        <v>1</v>
      </c>
      <c r="G108">
        <f>IF($E108=0,"NA",ROUND(SUM(householdfinance_v2_9!G108,householdfinance_v2_8!G108,householdfinance_v2_7!G108,householdfinance_v2_6!G108,householdfinance_v2_10!G108)/COUNT(householdfinance_v2_9!G108,householdfinance_v2_8!G108,householdfinance_v2_7!G108,householdfinance_v2_6!G108,householdfinance_v2_10!G108),0))</f>
        <v>1</v>
      </c>
      <c r="H108">
        <f>IF(AND(F108=1,G108=1),ROUND(SUM(householdfinance_v2_9!H108,householdfinance_v2_8!H108,householdfinance_v2_7!H108,householdfinance_v2_6!H108,householdfinance_v2_10!H108)/COUNT(householdfinance_v2_9!H108,householdfinance_v2_8!H108,householdfinance_v2_7!H108,householdfinance_v2_6!H108,householdfinance_v2_10!H108),0),"NA")</f>
        <v>1</v>
      </c>
      <c r="I108">
        <f>IF($E108=0,"NA",ROUND(SUM(householdfinance_v2_9!I108,householdfinance_v2_8!I108,householdfinance_v2_7!I108,householdfinance_v2_6!I108,householdfinance_v2_10!I108)/COUNT(householdfinance_v2_9!I108,householdfinance_v2_8!I108,householdfinance_v2_7!I108,householdfinance_v2_6!I108,householdfinance_v2_10!I108),0))</f>
        <v>1</v>
      </c>
      <c r="J108">
        <f>IF(F108=1,ROUND(SUM(householdfinance_v2_9!J108,householdfinance_v2_8!J108,householdfinance_v2_7!J108,householdfinance_v2_6!J108,householdfinance_v2_10!J108)/COUNT(householdfinance_v2_9!J108,householdfinance_v2_8!J108,householdfinance_v2_7!J108,householdfinance_v2_6!J108,householdfinance_v2_10!J108),0),"NA")</f>
        <v>1</v>
      </c>
      <c r="K108">
        <f>IF($E108=0,"NA",ROUND(SUM(householdfinance_v2_9!K108,householdfinance_v2_8!K108,householdfinance_v2_7!K108,householdfinance_v2_6!K108,householdfinance_v2_10!K108)/COUNT(householdfinance_v2_9!K108,householdfinance_v2_8!K108,householdfinance_v2_7!K108,householdfinance_v2_6!K108,householdfinance_v2_10!K108),0))</f>
        <v>1</v>
      </c>
      <c r="L108">
        <f>IF($E108=0,"NA",ROUND(SUM(householdfinance_v2_9!L108,householdfinance_v2_8!L108,householdfinance_v2_7!L108,householdfinance_v2_6!L108,householdfinance_v2_10!L108)/COUNT(householdfinance_v2_9!L108,householdfinance_v2_8!L108,householdfinance_v2_7!L108,householdfinance_v2_6!L108,householdfinance_v2_10!L108),0))</f>
        <v>1</v>
      </c>
      <c r="M108">
        <f>IF($E108=0,"NA",ROUND(SUM(householdfinance_v2_9!M108,householdfinance_v2_8!M108,householdfinance_v2_7!M108,householdfinance_v2_6!M108,householdfinance_v2_10!M108)/COUNT(householdfinance_v2_9!M108,householdfinance_v2_8!M108,householdfinance_v2_7!M108,householdfinance_v2_6!M108,householdfinance_v2_10!M108),0))</f>
        <v>1</v>
      </c>
      <c r="N108">
        <f>IF($E108=0,"NA",ROUND(SUM(householdfinance_v2_9!N108,householdfinance_v2_8!N108,householdfinance_v2_7!N108,householdfinance_v2_6!N108,householdfinance_v2_10!N108)/COUNT(householdfinance_v2_9!N108,householdfinance_v2_8!N108,householdfinance_v2_7!N108,householdfinance_v2_6!N108,householdfinance_v2_10!N108),0))</f>
        <v>1</v>
      </c>
      <c r="O108">
        <f>IF($E108=0,"NA",ROUND(SUM(householdfinance_v2_9!O108,householdfinance_v2_8!O108,householdfinance_v2_7!O108,householdfinance_v2_6!O108,householdfinance_v2_10!O108)/COUNT(householdfinance_v2_9!O108,householdfinance_v2_8!O108,householdfinance_v2_7!O108,householdfinance_v2_6!O108,householdfinance_v2_10!O108),0))</f>
        <v>1</v>
      </c>
    </row>
    <row r="109" spans="1:15" x14ac:dyDescent="0.25">
      <c r="A109" t="s">
        <v>94</v>
      </c>
      <c r="B109" t="s">
        <v>143</v>
      </c>
      <c r="C109">
        <v>0</v>
      </c>
      <c r="D109">
        <v>4.4450361728668213</v>
      </c>
      <c r="E109">
        <f>ROUND(SUM(householdfinance_v2_9!E109,householdfinance_v2_8!E109,householdfinance_v2_7!E109,householdfinance_v2_6!E109,householdfinance_v2_10!E109)/COUNT(householdfinance_v2_9!E109,householdfinance_v2_8!E109,householdfinance_v2_7!E109,householdfinance_v2_6!E109,householdfinance_v2_10!E109),0)</f>
        <v>1</v>
      </c>
      <c r="F109">
        <f>IF($E109=0,"NA",ROUND(SUM(householdfinance_v2_9!F109,householdfinance_v2_8!F109,householdfinance_v2_7!F109,householdfinance_v2_6!F109,householdfinance_v2_10!F109)/COUNT(householdfinance_v2_9!F109,householdfinance_v2_8!F109,householdfinance_v2_7!F109,householdfinance_v2_6!F109,householdfinance_v2_10!F109),0))</f>
        <v>1</v>
      </c>
      <c r="G109">
        <f>IF($E109=0,"NA",ROUND(SUM(householdfinance_v2_9!G109,householdfinance_v2_8!G109,householdfinance_v2_7!G109,householdfinance_v2_6!G109,householdfinance_v2_10!G109)/COUNT(householdfinance_v2_9!G109,householdfinance_v2_8!G109,householdfinance_v2_7!G109,householdfinance_v2_6!G109,householdfinance_v2_10!G109),0))</f>
        <v>1</v>
      </c>
      <c r="H109">
        <f>IF(AND(F109=1,G109=1),ROUND(SUM(householdfinance_v2_9!H109,householdfinance_v2_8!H109,householdfinance_v2_7!H109,householdfinance_v2_6!H109,householdfinance_v2_10!H109)/COUNT(householdfinance_v2_9!H109,householdfinance_v2_8!H109,householdfinance_v2_7!H109,householdfinance_v2_6!H109,householdfinance_v2_10!H109),0),"NA")</f>
        <v>1</v>
      </c>
      <c r="I109">
        <f>IF($E109=0,"NA",ROUND(SUM(householdfinance_v2_9!I109,householdfinance_v2_8!I109,householdfinance_v2_7!I109,householdfinance_v2_6!I109,householdfinance_v2_10!I109)/COUNT(householdfinance_v2_9!I109,householdfinance_v2_8!I109,householdfinance_v2_7!I109,householdfinance_v2_6!I109,householdfinance_v2_10!I109),0))</f>
        <v>1</v>
      </c>
      <c r="J109">
        <f>IF(F109=1,ROUND(SUM(householdfinance_v2_9!J109,householdfinance_v2_8!J109,householdfinance_v2_7!J109,householdfinance_v2_6!J109,householdfinance_v2_10!J109)/COUNT(householdfinance_v2_9!J109,householdfinance_v2_8!J109,householdfinance_v2_7!J109,householdfinance_v2_6!J109,householdfinance_v2_10!J109),0),"NA")</f>
        <v>0</v>
      </c>
      <c r="K109">
        <f>IF($E109=0,"NA",ROUND(SUM(householdfinance_v2_9!K109,householdfinance_v2_8!K109,householdfinance_v2_7!K109,householdfinance_v2_6!K109,householdfinance_v2_10!K109)/COUNT(householdfinance_v2_9!K109,householdfinance_v2_8!K109,householdfinance_v2_7!K109,householdfinance_v2_6!K109,householdfinance_v2_10!K109),0))</f>
        <v>1</v>
      </c>
      <c r="L109">
        <f>IF($E109=0,"NA",ROUND(SUM(householdfinance_v2_9!L109,householdfinance_v2_8!L109,householdfinance_v2_7!L109,householdfinance_v2_6!L109,householdfinance_v2_10!L109)/COUNT(householdfinance_v2_9!L109,householdfinance_v2_8!L109,householdfinance_v2_7!L109,householdfinance_v2_6!L109,householdfinance_v2_10!L109),0))</f>
        <v>1</v>
      </c>
      <c r="M109">
        <f>IF($E109=0,"NA",ROUND(SUM(householdfinance_v2_9!M109,householdfinance_v2_8!M109,householdfinance_v2_7!M109,householdfinance_v2_6!M109,householdfinance_v2_10!M109)/COUNT(householdfinance_v2_9!M109,householdfinance_v2_8!M109,householdfinance_v2_7!M109,householdfinance_v2_6!M109,householdfinance_v2_10!M109),0))</f>
        <v>1</v>
      </c>
      <c r="N109">
        <f>IF($E109=0,"NA",ROUND(SUM(householdfinance_v2_9!N109,householdfinance_v2_8!N109,householdfinance_v2_7!N109,householdfinance_v2_6!N109,householdfinance_v2_10!N109)/COUNT(householdfinance_v2_9!N109,householdfinance_v2_8!N109,householdfinance_v2_7!N109,householdfinance_v2_6!N109,householdfinance_v2_10!N109),0))</f>
        <v>1</v>
      </c>
      <c r="O109">
        <f>IF($E109=0,"NA",ROUND(SUM(householdfinance_v2_9!O109,householdfinance_v2_8!O109,householdfinance_v2_7!O109,householdfinance_v2_6!O109,householdfinance_v2_10!O109)/COUNT(householdfinance_v2_9!O109,householdfinance_v2_8!O109,householdfinance_v2_7!O109,householdfinance_v2_6!O109,householdfinance_v2_10!O109),0))</f>
        <v>1</v>
      </c>
    </row>
    <row r="110" spans="1:15" x14ac:dyDescent="0.25">
      <c r="A110" t="s">
        <v>94</v>
      </c>
      <c r="B110" t="s">
        <v>145</v>
      </c>
      <c r="C110">
        <v>0</v>
      </c>
      <c r="D110">
        <v>2.8228902816772461</v>
      </c>
      <c r="E110">
        <f>ROUND(SUM(householdfinance_v2_9!E110,householdfinance_v2_8!E110,householdfinance_v2_7!E110,householdfinance_v2_6!E110,householdfinance_v2_10!E110)/COUNT(householdfinance_v2_9!E110,householdfinance_v2_8!E110,householdfinance_v2_7!E110,householdfinance_v2_6!E110,householdfinance_v2_10!E110),0)</f>
        <v>1</v>
      </c>
      <c r="F110">
        <f>IF($E110=0,"NA",ROUND(SUM(householdfinance_v2_9!F110,householdfinance_v2_8!F110,householdfinance_v2_7!F110,householdfinance_v2_6!F110,householdfinance_v2_10!F110)/COUNT(householdfinance_v2_9!F110,householdfinance_v2_8!F110,householdfinance_v2_7!F110,householdfinance_v2_6!F110,householdfinance_v2_10!F110),0))</f>
        <v>1</v>
      </c>
      <c r="G110">
        <f>IF($E110=0,"NA",ROUND(SUM(householdfinance_v2_9!G110,householdfinance_v2_8!G110,householdfinance_v2_7!G110,householdfinance_v2_6!G110,householdfinance_v2_10!G110)/COUNT(householdfinance_v2_9!G110,householdfinance_v2_8!G110,householdfinance_v2_7!G110,householdfinance_v2_6!G110,householdfinance_v2_10!G110),0))</f>
        <v>1</v>
      </c>
      <c r="H110">
        <f>IF(AND(F110=1,G110=1),ROUND(SUM(householdfinance_v2_9!H110,householdfinance_v2_8!H110,householdfinance_v2_7!H110,householdfinance_v2_6!H110,householdfinance_v2_10!H110)/COUNT(householdfinance_v2_9!H110,householdfinance_v2_8!H110,householdfinance_v2_7!H110,householdfinance_v2_6!H110,householdfinance_v2_10!H110),0),"NA")</f>
        <v>1</v>
      </c>
      <c r="I110">
        <f>IF($E110=0,"NA",ROUND(SUM(householdfinance_v2_9!I110,householdfinance_v2_8!I110,householdfinance_v2_7!I110,householdfinance_v2_6!I110,householdfinance_v2_10!I110)/COUNT(householdfinance_v2_9!I110,householdfinance_v2_8!I110,householdfinance_v2_7!I110,householdfinance_v2_6!I110,householdfinance_v2_10!I110),0))</f>
        <v>1</v>
      </c>
      <c r="J110">
        <f>IF(F110=1,ROUND(SUM(householdfinance_v2_9!J110,householdfinance_v2_8!J110,householdfinance_v2_7!J110,householdfinance_v2_6!J110,householdfinance_v2_10!J110)/COUNT(householdfinance_v2_9!J110,householdfinance_v2_8!J110,householdfinance_v2_7!J110,householdfinance_v2_6!J110,householdfinance_v2_10!J110),0),"NA")</f>
        <v>1</v>
      </c>
      <c r="K110">
        <f>IF($E110=0,"NA",ROUND(SUM(householdfinance_v2_9!K110,householdfinance_v2_8!K110,householdfinance_v2_7!K110,householdfinance_v2_6!K110,householdfinance_v2_10!K110)/COUNT(householdfinance_v2_9!K110,householdfinance_v2_8!K110,householdfinance_v2_7!K110,householdfinance_v2_6!K110,householdfinance_v2_10!K110),0))</f>
        <v>1</v>
      </c>
      <c r="L110">
        <f>IF($E110=0,"NA",ROUND(SUM(householdfinance_v2_9!L110,householdfinance_v2_8!L110,householdfinance_v2_7!L110,householdfinance_v2_6!L110,householdfinance_v2_10!L110)/COUNT(householdfinance_v2_9!L110,householdfinance_v2_8!L110,householdfinance_v2_7!L110,householdfinance_v2_6!L110,householdfinance_v2_10!L110),0))</f>
        <v>1</v>
      </c>
      <c r="M110">
        <f>IF($E110=0,"NA",ROUND(SUM(householdfinance_v2_9!M110,householdfinance_v2_8!M110,householdfinance_v2_7!M110,householdfinance_v2_6!M110,householdfinance_v2_10!M110)/COUNT(householdfinance_v2_9!M110,householdfinance_v2_8!M110,householdfinance_v2_7!M110,householdfinance_v2_6!M110,householdfinance_v2_10!M110),0))</f>
        <v>1</v>
      </c>
      <c r="N110">
        <f>IF($E110=0,"NA",ROUND(SUM(householdfinance_v2_9!N110,householdfinance_v2_8!N110,householdfinance_v2_7!N110,householdfinance_v2_6!N110,householdfinance_v2_10!N110)/COUNT(householdfinance_v2_9!N110,householdfinance_v2_8!N110,householdfinance_v2_7!N110,householdfinance_v2_6!N110,householdfinance_v2_10!N110),0))</f>
        <v>1</v>
      </c>
      <c r="O110">
        <f>IF($E110=0,"NA",ROUND(SUM(householdfinance_v2_9!O110,householdfinance_v2_8!O110,householdfinance_v2_7!O110,householdfinance_v2_6!O110,householdfinance_v2_10!O110)/COUNT(householdfinance_v2_9!O110,householdfinance_v2_8!O110,householdfinance_v2_7!O110,householdfinance_v2_6!O110,householdfinance_v2_10!O110),0))</f>
        <v>1</v>
      </c>
    </row>
    <row r="111" spans="1:15" x14ac:dyDescent="0.25">
      <c r="A111" t="s">
        <v>94</v>
      </c>
      <c r="B111" t="s">
        <v>146</v>
      </c>
      <c r="C111">
        <v>0</v>
      </c>
      <c r="D111">
        <v>7.8043127059936523</v>
      </c>
      <c r="E111">
        <f>ROUND(SUM(householdfinance_v2_9!E111,householdfinance_v2_8!E111,householdfinance_v2_7!E111,householdfinance_v2_6!E111,householdfinance_v2_10!E111)/COUNT(householdfinance_v2_9!E111,householdfinance_v2_8!E111,householdfinance_v2_7!E111,householdfinance_v2_6!E111,householdfinance_v2_10!E111),0)</f>
        <v>1</v>
      </c>
      <c r="F111">
        <f>IF($E111=0,"NA",ROUND(SUM(householdfinance_v2_9!F111,householdfinance_v2_8!F111,householdfinance_v2_7!F111,householdfinance_v2_6!F111,householdfinance_v2_10!F111)/COUNT(householdfinance_v2_9!F111,householdfinance_v2_8!F111,householdfinance_v2_7!F111,householdfinance_v2_6!F111,householdfinance_v2_10!F111),0))</f>
        <v>0</v>
      </c>
      <c r="G111">
        <f>IF($E111=0,"NA",ROUND(SUM(householdfinance_v2_9!G111,householdfinance_v2_8!G111,householdfinance_v2_7!G111,householdfinance_v2_6!G111,householdfinance_v2_10!G111)/COUNT(householdfinance_v2_9!G111,householdfinance_v2_8!G111,householdfinance_v2_7!G111,householdfinance_v2_6!G111,householdfinance_v2_10!G111),0))</f>
        <v>1</v>
      </c>
      <c r="H111" t="str">
        <f>IF(AND(F111=1,G111=1),ROUND(SUM(householdfinance_v2_9!H111,householdfinance_v2_8!H111,householdfinance_v2_7!H111,householdfinance_v2_6!H111,householdfinance_v2_10!H111)/COUNT(householdfinance_v2_9!H111,householdfinance_v2_8!H111,householdfinance_v2_7!H111,householdfinance_v2_6!H111,householdfinance_v2_10!H111),0),"NA")</f>
        <v>NA</v>
      </c>
      <c r="I111">
        <f>IF($E111=0,"NA",ROUND(SUM(householdfinance_v2_9!I111,householdfinance_v2_8!I111,householdfinance_v2_7!I111,householdfinance_v2_6!I111,householdfinance_v2_10!I111)/COUNT(householdfinance_v2_9!I111,householdfinance_v2_8!I111,householdfinance_v2_7!I111,householdfinance_v2_6!I111,householdfinance_v2_10!I111),0))</f>
        <v>1</v>
      </c>
      <c r="J111" t="str">
        <f>IF(F111=1,ROUND(SUM(householdfinance_v2_9!J111,householdfinance_v2_8!J111,householdfinance_v2_7!J111,householdfinance_v2_6!J111,householdfinance_v2_10!J111)/COUNT(householdfinance_v2_9!J111,householdfinance_v2_8!J111,householdfinance_v2_7!J111,householdfinance_v2_6!J111,householdfinance_v2_10!J111),0),"NA")</f>
        <v>NA</v>
      </c>
      <c r="K111">
        <f>IF($E111=0,"NA",ROUND(SUM(householdfinance_v2_9!K111,householdfinance_v2_8!K111,householdfinance_v2_7!K111,householdfinance_v2_6!K111,householdfinance_v2_10!K111)/COUNT(householdfinance_v2_9!K111,householdfinance_v2_8!K111,householdfinance_v2_7!K111,householdfinance_v2_6!K111,householdfinance_v2_10!K111),0))</f>
        <v>1</v>
      </c>
      <c r="L111">
        <f>IF($E111=0,"NA",ROUND(SUM(householdfinance_v2_9!L111,householdfinance_v2_8!L111,householdfinance_v2_7!L111,householdfinance_v2_6!L111,householdfinance_v2_10!L111)/COUNT(householdfinance_v2_9!L111,householdfinance_v2_8!L111,householdfinance_v2_7!L111,householdfinance_v2_6!L111,householdfinance_v2_10!L111),0))</f>
        <v>0</v>
      </c>
      <c r="M111">
        <f>IF($E111=0,"NA",ROUND(SUM(householdfinance_v2_9!M111,householdfinance_v2_8!M111,householdfinance_v2_7!M111,householdfinance_v2_6!M111,householdfinance_v2_10!M111)/COUNT(householdfinance_v2_9!M111,householdfinance_v2_8!M111,householdfinance_v2_7!M111,householdfinance_v2_6!M111,householdfinance_v2_10!M111),0))</f>
        <v>1</v>
      </c>
      <c r="N111">
        <f>IF($E111=0,"NA",ROUND(SUM(householdfinance_v2_9!N111,householdfinance_v2_8!N111,householdfinance_v2_7!N111,householdfinance_v2_6!N111,householdfinance_v2_10!N111)/COUNT(householdfinance_v2_9!N111,householdfinance_v2_8!N111,householdfinance_v2_7!N111,householdfinance_v2_6!N111,householdfinance_v2_10!N111),0))</f>
        <v>1</v>
      </c>
      <c r="O111">
        <f>IF($E111=0,"NA",ROUND(SUM(householdfinance_v2_9!O111,householdfinance_v2_8!O111,householdfinance_v2_7!O111,householdfinance_v2_6!O111,householdfinance_v2_10!O111)/COUNT(householdfinance_v2_9!O111,householdfinance_v2_8!O111,householdfinance_v2_7!O111,householdfinance_v2_6!O111,householdfinance_v2_10!O111),0))</f>
        <v>1</v>
      </c>
    </row>
    <row r="112" spans="1:15" x14ac:dyDescent="0.25">
      <c r="A112" t="s">
        <v>94</v>
      </c>
      <c r="B112" t="s">
        <v>148</v>
      </c>
      <c r="C112">
        <v>0</v>
      </c>
      <c r="D112">
        <v>10.27639937400818</v>
      </c>
      <c r="E112">
        <f>ROUND(SUM(householdfinance_v2_9!E112,householdfinance_v2_8!E112,householdfinance_v2_7!E112,householdfinance_v2_6!E112,householdfinance_v2_10!E112)/COUNT(householdfinance_v2_9!E112,householdfinance_v2_8!E112,householdfinance_v2_7!E112,householdfinance_v2_6!E112,householdfinance_v2_10!E112),0)</f>
        <v>1</v>
      </c>
      <c r="F112">
        <f>IF($E112=0,"NA",ROUND(SUM(householdfinance_v2_9!F112,householdfinance_v2_8!F112,householdfinance_v2_7!F112,householdfinance_v2_6!F112,householdfinance_v2_10!F112)/COUNT(householdfinance_v2_9!F112,householdfinance_v2_8!F112,householdfinance_v2_7!F112,householdfinance_v2_6!F112,householdfinance_v2_10!F112),0))</f>
        <v>1</v>
      </c>
      <c r="G112">
        <f>IF($E112=0,"NA",ROUND(SUM(householdfinance_v2_9!G112,householdfinance_v2_8!G112,householdfinance_v2_7!G112,householdfinance_v2_6!G112,householdfinance_v2_10!G112)/COUNT(householdfinance_v2_9!G112,householdfinance_v2_8!G112,householdfinance_v2_7!G112,householdfinance_v2_6!G112,householdfinance_v2_10!G112),0))</f>
        <v>1</v>
      </c>
      <c r="H112">
        <f>IF(AND(F112=1,G112=1),ROUND(SUM(householdfinance_v2_9!H112,householdfinance_v2_8!H112,householdfinance_v2_7!H112,householdfinance_v2_6!H112,householdfinance_v2_10!H112)/COUNT(householdfinance_v2_9!H112,householdfinance_v2_8!H112,householdfinance_v2_7!H112,householdfinance_v2_6!H112,householdfinance_v2_10!H112),0),"NA")</f>
        <v>1</v>
      </c>
      <c r="I112">
        <f>IF($E112=0,"NA",ROUND(SUM(householdfinance_v2_9!I112,householdfinance_v2_8!I112,householdfinance_v2_7!I112,householdfinance_v2_6!I112,householdfinance_v2_10!I112)/COUNT(householdfinance_v2_9!I112,householdfinance_v2_8!I112,householdfinance_v2_7!I112,householdfinance_v2_6!I112,householdfinance_v2_10!I112),0))</f>
        <v>1</v>
      </c>
      <c r="J112">
        <f>IF(F112=1,ROUND(SUM(householdfinance_v2_9!J112,householdfinance_v2_8!J112,householdfinance_v2_7!J112,householdfinance_v2_6!J112,householdfinance_v2_10!J112)/COUNT(householdfinance_v2_9!J112,householdfinance_v2_8!J112,householdfinance_v2_7!J112,householdfinance_v2_6!J112,householdfinance_v2_10!J112),0),"NA")</f>
        <v>1</v>
      </c>
      <c r="K112">
        <f>IF($E112=0,"NA",ROUND(SUM(householdfinance_v2_9!K112,householdfinance_v2_8!K112,householdfinance_v2_7!K112,householdfinance_v2_6!K112,householdfinance_v2_10!K112)/COUNT(householdfinance_v2_9!K112,householdfinance_v2_8!K112,householdfinance_v2_7!K112,householdfinance_v2_6!K112,householdfinance_v2_10!K112),0))</f>
        <v>1</v>
      </c>
      <c r="L112">
        <f>IF($E112=0,"NA",ROUND(SUM(householdfinance_v2_9!L112,householdfinance_v2_8!L112,householdfinance_v2_7!L112,householdfinance_v2_6!L112,householdfinance_v2_10!L112)/COUNT(householdfinance_v2_9!L112,householdfinance_v2_8!L112,householdfinance_v2_7!L112,householdfinance_v2_6!L112,householdfinance_v2_10!L112),0))</f>
        <v>1</v>
      </c>
      <c r="M112">
        <f>IF($E112=0,"NA",ROUND(SUM(householdfinance_v2_9!M112,householdfinance_v2_8!M112,householdfinance_v2_7!M112,householdfinance_v2_6!M112,householdfinance_v2_10!M112)/COUNT(householdfinance_v2_9!M112,householdfinance_v2_8!M112,householdfinance_v2_7!M112,householdfinance_v2_6!M112,householdfinance_v2_10!M112),0))</f>
        <v>1</v>
      </c>
      <c r="N112">
        <f>IF($E112=0,"NA",ROUND(SUM(householdfinance_v2_9!N112,householdfinance_v2_8!N112,householdfinance_v2_7!N112,householdfinance_v2_6!N112,householdfinance_v2_10!N112)/COUNT(householdfinance_v2_9!N112,householdfinance_v2_8!N112,householdfinance_v2_7!N112,householdfinance_v2_6!N112,householdfinance_v2_10!N112),0))</f>
        <v>1</v>
      </c>
      <c r="O112">
        <f>IF($E112=0,"NA",ROUND(SUM(householdfinance_v2_9!O112,householdfinance_v2_8!O112,householdfinance_v2_7!O112,householdfinance_v2_6!O112,householdfinance_v2_10!O112)/COUNT(householdfinance_v2_9!O112,householdfinance_v2_8!O112,householdfinance_v2_7!O112,householdfinance_v2_6!O112,householdfinance_v2_10!O112),0))</f>
        <v>1</v>
      </c>
    </row>
    <row r="113" spans="1:15" x14ac:dyDescent="0.25">
      <c r="A113" t="s">
        <v>94</v>
      </c>
      <c r="B113" t="s">
        <v>149</v>
      </c>
      <c r="C113">
        <v>0</v>
      </c>
      <c r="D113">
        <v>6.0531136989593506</v>
      </c>
      <c r="E113">
        <f>ROUND(SUM(householdfinance_v2_9!E113,householdfinance_v2_8!E113,householdfinance_v2_7!E113,householdfinance_v2_6!E113,householdfinance_v2_10!E113)/COUNT(householdfinance_v2_9!E113,householdfinance_v2_8!E113,householdfinance_v2_7!E113,householdfinance_v2_6!E113,householdfinance_v2_10!E113),0)</f>
        <v>0</v>
      </c>
      <c r="F113" t="str">
        <f>IF($E113=0,"NA",ROUND(SUM(householdfinance_v2_9!F113,householdfinance_v2_8!F113,householdfinance_v2_7!F113,householdfinance_v2_6!F113,householdfinance_v2_10!F113)/COUNT(householdfinance_v2_9!F113,householdfinance_v2_8!F113,householdfinance_v2_7!F113,householdfinance_v2_6!F113,householdfinance_v2_10!F113),0))</f>
        <v>NA</v>
      </c>
      <c r="G113" t="str">
        <f>IF($E113=0,"NA",ROUND(SUM(householdfinance_v2_9!G113,householdfinance_v2_8!G113,householdfinance_v2_7!G113,householdfinance_v2_6!G113,householdfinance_v2_10!G113)/COUNT(householdfinance_v2_9!G113,householdfinance_v2_8!G113,householdfinance_v2_7!G113,householdfinance_v2_6!G113,householdfinance_v2_10!G113),0))</f>
        <v>NA</v>
      </c>
      <c r="H113" t="str">
        <f>IF(AND(F113=1,G113=1),ROUND(SUM(householdfinance_v2_9!H113,householdfinance_v2_8!H113,householdfinance_v2_7!H113,householdfinance_v2_6!H113,householdfinance_v2_10!H113)/COUNT(householdfinance_v2_9!H113,householdfinance_v2_8!H113,householdfinance_v2_7!H113,householdfinance_v2_6!H113,householdfinance_v2_10!H113),0),"NA")</f>
        <v>NA</v>
      </c>
      <c r="I113" t="str">
        <f>IF($E113=0,"NA",ROUND(SUM(householdfinance_v2_9!I113,householdfinance_v2_8!I113,householdfinance_v2_7!I113,householdfinance_v2_6!I113,householdfinance_v2_10!I113)/COUNT(householdfinance_v2_9!I113,householdfinance_v2_8!I113,householdfinance_v2_7!I113,householdfinance_v2_6!I113,householdfinance_v2_10!I113),0))</f>
        <v>NA</v>
      </c>
      <c r="J113" t="str">
        <f>IF(F113=1,ROUND(SUM(householdfinance_v2_9!J113,householdfinance_v2_8!J113,householdfinance_v2_7!J113,householdfinance_v2_6!J113,householdfinance_v2_10!J113)/COUNT(householdfinance_v2_9!J113,householdfinance_v2_8!J113,householdfinance_v2_7!J113,householdfinance_v2_6!J113,householdfinance_v2_10!J113),0),"NA")</f>
        <v>NA</v>
      </c>
      <c r="K113" t="str">
        <f>IF($E113=0,"NA",ROUND(SUM(householdfinance_v2_9!K113,householdfinance_v2_8!K113,householdfinance_v2_7!K113,householdfinance_v2_6!K113,householdfinance_v2_10!K113)/COUNT(householdfinance_v2_9!K113,householdfinance_v2_8!K113,householdfinance_v2_7!K113,householdfinance_v2_6!K113,householdfinance_v2_10!K113),0))</f>
        <v>NA</v>
      </c>
      <c r="L113" t="str">
        <f>IF($E113=0,"NA",ROUND(SUM(householdfinance_v2_9!L113,householdfinance_v2_8!L113,householdfinance_v2_7!L113,householdfinance_v2_6!L113,householdfinance_v2_10!L113)/COUNT(householdfinance_v2_9!L113,householdfinance_v2_8!L113,householdfinance_v2_7!L113,householdfinance_v2_6!L113,householdfinance_v2_10!L113),0))</f>
        <v>NA</v>
      </c>
      <c r="M113" t="str">
        <f>IF($E113=0,"NA",ROUND(SUM(householdfinance_v2_9!M113,householdfinance_v2_8!M113,householdfinance_v2_7!M113,householdfinance_v2_6!M113,householdfinance_v2_10!M113)/COUNT(householdfinance_v2_9!M113,householdfinance_v2_8!M113,householdfinance_v2_7!M113,householdfinance_v2_6!M113,householdfinance_v2_10!M113),0))</f>
        <v>NA</v>
      </c>
      <c r="N113" t="str">
        <f>IF($E113=0,"NA",ROUND(SUM(householdfinance_v2_9!N113,householdfinance_v2_8!N113,householdfinance_v2_7!N113,householdfinance_v2_6!N113,householdfinance_v2_10!N113)/COUNT(householdfinance_v2_9!N113,householdfinance_v2_8!N113,householdfinance_v2_7!N113,householdfinance_v2_6!N113,householdfinance_v2_10!N113),0))</f>
        <v>NA</v>
      </c>
      <c r="O113" t="str">
        <f>IF($E113=0,"NA",ROUND(SUM(householdfinance_v2_9!O113,householdfinance_v2_8!O113,householdfinance_v2_7!O113,householdfinance_v2_6!O113,householdfinance_v2_10!O113)/COUNT(householdfinance_v2_9!O113,householdfinance_v2_8!O113,householdfinance_v2_7!O113,householdfinance_v2_6!O113,householdfinance_v2_10!O113),0))</f>
        <v>NA</v>
      </c>
    </row>
    <row r="114" spans="1:15" x14ac:dyDescent="0.25">
      <c r="A114" t="s">
        <v>151</v>
      </c>
      <c r="B114" t="s">
        <v>17</v>
      </c>
      <c r="C114">
        <v>0</v>
      </c>
      <c r="D114">
        <v>2.767708301544189</v>
      </c>
      <c r="E114">
        <f>ROUND(SUM(householdfinance_v2_9!E114,householdfinance_v2_8!E114,householdfinance_v2_7!E114,householdfinance_v2_6!E114,householdfinance_v2_10!E114)/COUNT(householdfinance_v2_9!E114,householdfinance_v2_8!E114,householdfinance_v2_7!E114,householdfinance_v2_6!E114,householdfinance_v2_10!E114),0)</f>
        <v>1</v>
      </c>
      <c r="F114">
        <f>IF($E114=0,"NA",ROUND(SUM(householdfinance_v2_9!F114,householdfinance_v2_8!F114,householdfinance_v2_7!F114,householdfinance_v2_6!F114,householdfinance_v2_10!F114)/COUNT(householdfinance_v2_9!F114,householdfinance_v2_8!F114,householdfinance_v2_7!F114,householdfinance_v2_6!F114,householdfinance_v2_10!F114),0))</f>
        <v>1</v>
      </c>
      <c r="G114">
        <f>IF($E114=0,"NA",ROUND(SUM(householdfinance_v2_9!G114,householdfinance_v2_8!G114,householdfinance_v2_7!G114,householdfinance_v2_6!G114,householdfinance_v2_10!G114)/COUNT(householdfinance_v2_9!G114,householdfinance_v2_8!G114,householdfinance_v2_7!G114,householdfinance_v2_6!G114,householdfinance_v2_10!G114),0))</f>
        <v>1</v>
      </c>
      <c r="H114">
        <f>IF(AND(F114=1,G114=1),ROUND(SUM(householdfinance_v2_9!H114,householdfinance_v2_8!H114,householdfinance_v2_7!H114,householdfinance_v2_6!H114,householdfinance_v2_10!H114)/COUNT(householdfinance_v2_9!H114,householdfinance_v2_8!H114,householdfinance_v2_7!H114,householdfinance_v2_6!H114,householdfinance_v2_10!H114),0),"NA")</f>
        <v>1</v>
      </c>
      <c r="I114">
        <f>IF($E114=0,"NA",ROUND(SUM(householdfinance_v2_9!I114,householdfinance_v2_8!I114,householdfinance_v2_7!I114,householdfinance_v2_6!I114,householdfinance_v2_10!I114)/COUNT(householdfinance_v2_9!I114,householdfinance_v2_8!I114,householdfinance_v2_7!I114,householdfinance_v2_6!I114,householdfinance_v2_10!I114),0))</f>
        <v>1</v>
      </c>
      <c r="J114">
        <f>IF(F114=1,ROUND(SUM(householdfinance_v2_9!J114,householdfinance_v2_8!J114,householdfinance_v2_7!J114,householdfinance_v2_6!J114,householdfinance_v2_10!J114)/COUNT(householdfinance_v2_9!J114,householdfinance_v2_8!J114,householdfinance_v2_7!J114,householdfinance_v2_6!J114,householdfinance_v2_10!J114),0),"NA")</f>
        <v>1</v>
      </c>
      <c r="K114">
        <f>IF($E114=0,"NA",ROUND(SUM(householdfinance_v2_9!K114,householdfinance_v2_8!K114,householdfinance_v2_7!K114,householdfinance_v2_6!K114,householdfinance_v2_10!K114)/COUNT(householdfinance_v2_9!K114,householdfinance_v2_8!K114,householdfinance_v2_7!K114,householdfinance_v2_6!K114,householdfinance_v2_10!K114),0))</f>
        <v>1</v>
      </c>
      <c r="L114">
        <f>IF($E114=0,"NA",ROUND(SUM(householdfinance_v2_9!L114,householdfinance_v2_8!L114,householdfinance_v2_7!L114,householdfinance_v2_6!L114,householdfinance_v2_10!L114)/COUNT(householdfinance_v2_9!L114,householdfinance_v2_8!L114,householdfinance_v2_7!L114,householdfinance_v2_6!L114,householdfinance_v2_10!L114),0))</f>
        <v>1</v>
      </c>
      <c r="M114">
        <f>IF($E114=0,"NA",ROUND(SUM(householdfinance_v2_9!M114,householdfinance_v2_8!M114,householdfinance_v2_7!M114,householdfinance_v2_6!M114,householdfinance_v2_10!M114)/COUNT(householdfinance_v2_9!M114,householdfinance_v2_8!M114,householdfinance_v2_7!M114,householdfinance_v2_6!M114,householdfinance_v2_10!M114),0))</f>
        <v>1</v>
      </c>
      <c r="N114">
        <f>IF($E114=0,"NA",ROUND(SUM(householdfinance_v2_9!N114,householdfinance_v2_8!N114,householdfinance_v2_7!N114,householdfinance_v2_6!N114,householdfinance_v2_10!N114)/COUNT(householdfinance_v2_9!N114,householdfinance_v2_8!N114,householdfinance_v2_7!N114,householdfinance_v2_6!N114,householdfinance_v2_10!N114),0))</f>
        <v>1</v>
      </c>
      <c r="O114">
        <f>IF($E114=0,"NA",ROUND(SUM(householdfinance_v2_9!O114,householdfinance_v2_8!O114,householdfinance_v2_7!O114,householdfinance_v2_6!O114,householdfinance_v2_10!O114)/COUNT(householdfinance_v2_9!O114,householdfinance_v2_8!O114,householdfinance_v2_7!O114,householdfinance_v2_6!O114,householdfinance_v2_10!O114),0))</f>
        <v>1</v>
      </c>
    </row>
    <row r="115" spans="1:15" x14ac:dyDescent="0.25">
      <c r="A115" t="s">
        <v>151</v>
      </c>
      <c r="B115" t="s">
        <v>18</v>
      </c>
      <c r="C115">
        <v>0</v>
      </c>
      <c r="D115">
        <v>4.319490909576416</v>
      </c>
      <c r="E115">
        <f>ROUND(SUM(householdfinance_v2_9!E115,householdfinance_v2_8!E115,householdfinance_v2_7!E115,householdfinance_v2_6!E115,householdfinance_v2_10!E115)/COUNT(householdfinance_v2_9!E115,householdfinance_v2_8!E115,householdfinance_v2_7!E115,householdfinance_v2_6!E115,householdfinance_v2_10!E115),0)</f>
        <v>1</v>
      </c>
      <c r="F115">
        <f>IF($E115=0,"NA",ROUND(SUM(householdfinance_v2_9!F115,householdfinance_v2_8!F115,householdfinance_v2_7!F115,householdfinance_v2_6!F115,householdfinance_v2_10!F115)/COUNT(householdfinance_v2_9!F115,householdfinance_v2_8!F115,householdfinance_v2_7!F115,householdfinance_v2_6!F115,householdfinance_v2_10!F115),0))</f>
        <v>1</v>
      </c>
      <c r="G115">
        <f>IF($E115=0,"NA",ROUND(SUM(householdfinance_v2_9!G115,householdfinance_v2_8!G115,householdfinance_v2_7!G115,householdfinance_v2_6!G115,householdfinance_v2_10!G115)/COUNT(householdfinance_v2_9!G115,householdfinance_v2_8!G115,householdfinance_v2_7!G115,householdfinance_v2_6!G115,householdfinance_v2_10!G115),0))</f>
        <v>1</v>
      </c>
      <c r="H115">
        <f>IF(AND(F115=1,G115=1),ROUND(SUM(householdfinance_v2_9!H115,householdfinance_v2_8!H115,householdfinance_v2_7!H115,householdfinance_v2_6!H115,householdfinance_v2_10!H115)/COUNT(householdfinance_v2_9!H115,householdfinance_v2_8!H115,householdfinance_v2_7!H115,householdfinance_v2_6!H115,householdfinance_v2_10!H115),0),"NA")</f>
        <v>1</v>
      </c>
      <c r="I115">
        <f>IF($E115=0,"NA",ROUND(SUM(householdfinance_v2_9!I115,householdfinance_v2_8!I115,householdfinance_v2_7!I115,householdfinance_v2_6!I115,householdfinance_v2_10!I115)/COUNT(householdfinance_v2_9!I115,householdfinance_v2_8!I115,householdfinance_v2_7!I115,householdfinance_v2_6!I115,householdfinance_v2_10!I115),0))</f>
        <v>0</v>
      </c>
      <c r="J115">
        <f>IF(F115=1,ROUND(SUM(householdfinance_v2_9!J115,householdfinance_v2_8!J115,householdfinance_v2_7!J115,householdfinance_v2_6!J115,householdfinance_v2_10!J115)/COUNT(householdfinance_v2_9!J115,householdfinance_v2_8!J115,householdfinance_v2_7!J115,householdfinance_v2_6!J115,householdfinance_v2_10!J115),0),"NA")</f>
        <v>1</v>
      </c>
      <c r="K115">
        <f>IF($E115=0,"NA",ROUND(SUM(householdfinance_v2_9!K115,householdfinance_v2_8!K115,householdfinance_v2_7!K115,householdfinance_v2_6!K115,householdfinance_v2_10!K115)/COUNT(householdfinance_v2_9!K115,householdfinance_v2_8!K115,householdfinance_v2_7!K115,householdfinance_v2_6!K115,householdfinance_v2_10!K115),0))</f>
        <v>1</v>
      </c>
      <c r="L115">
        <f>IF($E115=0,"NA",ROUND(SUM(householdfinance_v2_9!L115,householdfinance_v2_8!L115,householdfinance_v2_7!L115,householdfinance_v2_6!L115,householdfinance_v2_10!L115)/COUNT(householdfinance_v2_9!L115,householdfinance_v2_8!L115,householdfinance_v2_7!L115,householdfinance_v2_6!L115,householdfinance_v2_10!L115),0))</f>
        <v>1</v>
      </c>
      <c r="M115">
        <f>IF($E115=0,"NA",ROUND(SUM(householdfinance_v2_9!M115,householdfinance_v2_8!M115,householdfinance_v2_7!M115,householdfinance_v2_6!M115,householdfinance_v2_10!M115)/COUNT(householdfinance_v2_9!M115,householdfinance_v2_8!M115,householdfinance_v2_7!M115,householdfinance_v2_6!M115,householdfinance_v2_10!M115),0))</f>
        <v>1</v>
      </c>
      <c r="N115">
        <f>IF($E115=0,"NA",ROUND(SUM(householdfinance_v2_9!N115,householdfinance_v2_8!N115,householdfinance_v2_7!N115,householdfinance_v2_6!N115,householdfinance_v2_10!N115)/COUNT(householdfinance_v2_9!N115,householdfinance_v2_8!N115,householdfinance_v2_7!N115,householdfinance_v2_6!N115,householdfinance_v2_10!N115),0))</f>
        <v>1</v>
      </c>
      <c r="O115">
        <f>IF($E115=0,"NA",ROUND(SUM(householdfinance_v2_9!O115,householdfinance_v2_8!O115,householdfinance_v2_7!O115,householdfinance_v2_6!O115,householdfinance_v2_10!O115)/COUNT(householdfinance_v2_9!O115,householdfinance_v2_8!O115,householdfinance_v2_7!O115,householdfinance_v2_6!O115,householdfinance_v2_10!O115),0))</f>
        <v>1</v>
      </c>
    </row>
    <row r="116" spans="1:15" x14ac:dyDescent="0.25">
      <c r="A116" t="s">
        <v>151</v>
      </c>
      <c r="B116" t="s">
        <v>21</v>
      </c>
      <c r="C116">
        <v>0</v>
      </c>
      <c r="D116">
        <v>2.7377581596374512</v>
      </c>
      <c r="E116">
        <f>ROUND(SUM(householdfinance_v2_9!E116,householdfinance_v2_8!E116,householdfinance_v2_7!E116,householdfinance_v2_6!E116,householdfinance_v2_10!E116)/COUNT(householdfinance_v2_9!E116,householdfinance_v2_8!E116,householdfinance_v2_7!E116,householdfinance_v2_6!E116,householdfinance_v2_10!E116),0)</f>
        <v>1</v>
      </c>
      <c r="F116">
        <f>IF($E116=0,"NA",ROUND(SUM(householdfinance_v2_9!F116,householdfinance_v2_8!F116,householdfinance_v2_7!F116,householdfinance_v2_6!F116,householdfinance_v2_10!F116)/COUNT(householdfinance_v2_9!F116,householdfinance_v2_8!F116,householdfinance_v2_7!F116,householdfinance_v2_6!F116,householdfinance_v2_10!F116),0))</f>
        <v>1</v>
      </c>
      <c r="G116">
        <f>IF($E116=0,"NA",ROUND(SUM(householdfinance_v2_9!G116,householdfinance_v2_8!G116,householdfinance_v2_7!G116,householdfinance_v2_6!G116,householdfinance_v2_10!G116)/COUNT(householdfinance_v2_9!G116,householdfinance_v2_8!G116,householdfinance_v2_7!G116,householdfinance_v2_6!G116,householdfinance_v2_10!G116),0))</f>
        <v>1</v>
      </c>
      <c r="H116">
        <f>IF(AND(F116=1,G116=1),ROUND(SUM(householdfinance_v2_9!H116,householdfinance_v2_8!H116,householdfinance_v2_7!H116,householdfinance_v2_6!H116,householdfinance_v2_10!H116)/COUNT(householdfinance_v2_9!H116,householdfinance_v2_8!H116,householdfinance_v2_7!H116,householdfinance_v2_6!H116,householdfinance_v2_10!H116),0),"NA")</f>
        <v>1</v>
      </c>
      <c r="I116">
        <f>IF($E116=0,"NA",ROUND(SUM(householdfinance_v2_9!I116,householdfinance_v2_8!I116,householdfinance_v2_7!I116,householdfinance_v2_6!I116,householdfinance_v2_10!I116)/COUNT(householdfinance_v2_9!I116,householdfinance_v2_8!I116,householdfinance_v2_7!I116,householdfinance_v2_6!I116,householdfinance_v2_10!I116),0))</f>
        <v>1</v>
      </c>
      <c r="J116">
        <f>IF(F116=1,ROUND(SUM(householdfinance_v2_9!J116,householdfinance_v2_8!J116,householdfinance_v2_7!J116,householdfinance_v2_6!J116,householdfinance_v2_10!J116)/COUNT(householdfinance_v2_9!J116,householdfinance_v2_8!J116,householdfinance_v2_7!J116,householdfinance_v2_6!J116,householdfinance_v2_10!J116),0),"NA")</f>
        <v>1</v>
      </c>
      <c r="K116">
        <f>IF($E116=0,"NA",ROUND(SUM(householdfinance_v2_9!K116,householdfinance_v2_8!K116,householdfinance_v2_7!K116,householdfinance_v2_6!K116,householdfinance_v2_10!K116)/COUNT(householdfinance_v2_9!K116,householdfinance_v2_8!K116,householdfinance_v2_7!K116,householdfinance_v2_6!K116,householdfinance_v2_10!K116),0))</f>
        <v>1</v>
      </c>
      <c r="L116">
        <f>IF($E116=0,"NA",ROUND(SUM(householdfinance_v2_9!L116,householdfinance_v2_8!L116,householdfinance_v2_7!L116,householdfinance_v2_6!L116,householdfinance_v2_10!L116)/COUNT(householdfinance_v2_9!L116,householdfinance_v2_8!L116,householdfinance_v2_7!L116,householdfinance_v2_6!L116,householdfinance_v2_10!L116),0))</f>
        <v>1</v>
      </c>
      <c r="M116">
        <f>IF($E116=0,"NA",ROUND(SUM(householdfinance_v2_9!M116,householdfinance_v2_8!M116,householdfinance_v2_7!M116,householdfinance_v2_6!M116,householdfinance_v2_10!M116)/COUNT(householdfinance_v2_9!M116,householdfinance_v2_8!M116,householdfinance_v2_7!M116,householdfinance_v2_6!M116,householdfinance_v2_10!M116),0))</f>
        <v>1</v>
      </c>
      <c r="N116">
        <f>IF($E116=0,"NA",ROUND(SUM(householdfinance_v2_9!N116,householdfinance_v2_8!N116,householdfinance_v2_7!N116,householdfinance_v2_6!N116,householdfinance_v2_10!N116)/COUNT(householdfinance_v2_9!N116,householdfinance_v2_8!N116,householdfinance_v2_7!N116,householdfinance_v2_6!N116,householdfinance_v2_10!N116),0))</f>
        <v>1</v>
      </c>
      <c r="O116">
        <f>IF($E116=0,"NA",ROUND(SUM(householdfinance_v2_9!O116,householdfinance_v2_8!O116,householdfinance_v2_7!O116,householdfinance_v2_6!O116,householdfinance_v2_10!O116)/COUNT(householdfinance_v2_9!O116,householdfinance_v2_8!O116,householdfinance_v2_7!O116,householdfinance_v2_6!O116,householdfinance_v2_10!O116),0))</f>
        <v>1</v>
      </c>
    </row>
    <row r="117" spans="1:15" x14ac:dyDescent="0.25">
      <c r="A117" t="s">
        <v>151</v>
      </c>
      <c r="B117" t="s">
        <v>23</v>
      </c>
      <c r="C117">
        <v>0</v>
      </c>
      <c r="D117">
        <v>2.7332582473754878</v>
      </c>
      <c r="E117">
        <f>ROUND(SUM(householdfinance_v2_9!E117,householdfinance_v2_8!E117,householdfinance_v2_7!E117,householdfinance_v2_6!E117,householdfinance_v2_10!E117)/COUNT(householdfinance_v2_9!E117,householdfinance_v2_8!E117,householdfinance_v2_7!E117,householdfinance_v2_6!E117,householdfinance_v2_10!E117),0)</f>
        <v>1</v>
      </c>
      <c r="F117">
        <f>IF($E117=0,"NA",ROUND(SUM(householdfinance_v2_9!F117,householdfinance_v2_8!F117,householdfinance_v2_7!F117,householdfinance_v2_6!F117,householdfinance_v2_10!F117)/COUNT(householdfinance_v2_9!F117,householdfinance_v2_8!F117,householdfinance_v2_7!F117,householdfinance_v2_6!F117,householdfinance_v2_10!F117),0))</f>
        <v>1</v>
      </c>
      <c r="G117">
        <f>IF($E117=0,"NA",ROUND(SUM(householdfinance_v2_9!G117,householdfinance_v2_8!G117,householdfinance_v2_7!G117,householdfinance_v2_6!G117,householdfinance_v2_10!G117)/COUNT(householdfinance_v2_9!G117,householdfinance_v2_8!G117,householdfinance_v2_7!G117,householdfinance_v2_6!G117,householdfinance_v2_10!G117),0))</f>
        <v>1</v>
      </c>
      <c r="H117">
        <f>IF(AND(F117=1,G117=1),ROUND(SUM(householdfinance_v2_9!H117,householdfinance_v2_8!H117,householdfinance_v2_7!H117,householdfinance_v2_6!H117,householdfinance_v2_10!H117)/COUNT(householdfinance_v2_9!H117,householdfinance_v2_8!H117,householdfinance_v2_7!H117,householdfinance_v2_6!H117,householdfinance_v2_10!H117),0),"NA")</f>
        <v>1</v>
      </c>
      <c r="I117">
        <f>IF($E117=0,"NA",ROUND(SUM(householdfinance_v2_9!I117,householdfinance_v2_8!I117,householdfinance_v2_7!I117,householdfinance_v2_6!I117,householdfinance_v2_10!I117)/COUNT(householdfinance_v2_9!I117,householdfinance_v2_8!I117,householdfinance_v2_7!I117,householdfinance_v2_6!I117,householdfinance_v2_10!I117),0))</f>
        <v>1</v>
      </c>
      <c r="J117">
        <f>IF(F117=1,ROUND(SUM(householdfinance_v2_9!J117,householdfinance_v2_8!J117,householdfinance_v2_7!J117,householdfinance_v2_6!J117,householdfinance_v2_10!J117)/COUNT(householdfinance_v2_9!J117,householdfinance_v2_8!J117,householdfinance_v2_7!J117,householdfinance_v2_6!J117,householdfinance_v2_10!J117),0),"NA")</f>
        <v>0</v>
      </c>
      <c r="K117">
        <f>IF($E117=0,"NA",ROUND(SUM(householdfinance_v2_9!K117,householdfinance_v2_8!K117,householdfinance_v2_7!K117,householdfinance_v2_6!K117,householdfinance_v2_10!K117)/COUNT(householdfinance_v2_9!K117,householdfinance_v2_8!K117,householdfinance_v2_7!K117,householdfinance_v2_6!K117,householdfinance_v2_10!K117),0))</f>
        <v>1</v>
      </c>
      <c r="L117">
        <f>IF($E117=0,"NA",ROUND(SUM(householdfinance_v2_9!L117,householdfinance_v2_8!L117,householdfinance_v2_7!L117,householdfinance_v2_6!L117,householdfinance_v2_10!L117)/COUNT(householdfinance_v2_9!L117,householdfinance_v2_8!L117,householdfinance_v2_7!L117,householdfinance_v2_6!L117,householdfinance_v2_10!L117),0))</f>
        <v>1</v>
      </c>
      <c r="M117">
        <f>IF($E117=0,"NA",ROUND(SUM(householdfinance_v2_9!M117,householdfinance_v2_8!M117,householdfinance_v2_7!M117,householdfinance_v2_6!M117,householdfinance_v2_10!M117)/COUNT(householdfinance_v2_9!M117,householdfinance_v2_8!M117,householdfinance_v2_7!M117,householdfinance_v2_6!M117,householdfinance_v2_10!M117),0))</f>
        <v>1</v>
      </c>
      <c r="N117">
        <f>IF($E117=0,"NA",ROUND(SUM(householdfinance_v2_9!N117,householdfinance_v2_8!N117,householdfinance_v2_7!N117,householdfinance_v2_6!N117,householdfinance_v2_10!N117)/COUNT(householdfinance_v2_9!N117,householdfinance_v2_8!N117,householdfinance_v2_7!N117,householdfinance_v2_6!N117,householdfinance_v2_10!N117),0))</f>
        <v>1</v>
      </c>
      <c r="O117">
        <f>IF($E117=0,"NA",ROUND(SUM(householdfinance_v2_9!O117,householdfinance_v2_8!O117,householdfinance_v2_7!O117,householdfinance_v2_6!O117,householdfinance_v2_10!O117)/COUNT(householdfinance_v2_9!O117,householdfinance_v2_8!O117,householdfinance_v2_7!O117,householdfinance_v2_6!O117,householdfinance_v2_10!O117),0))</f>
        <v>1</v>
      </c>
    </row>
    <row r="118" spans="1:15" x14ac:dyDescent="0.25">
      <c r="A118" t="s">
        <v>151</v>
      </c>
      <c r="B118" t="s">
        <v>24</v>
      </c>
      <c r="C118">
        <v>0</v>
      </c>
      <c r="D118">
        <v>3.7403690814971919</v>
      </c>
      <c r="E118">
        <f>ROUND(SUM(householdfinance_v2_9!E118,householdfinance_v2_8!E118,householdfinance_v2_7!E118,householdfinance_v2_6!E118,householdfinance_v2_10!E118)/COUNT(householdfinance_v2_9!E118,householdfinance_v2_8!E118,householdfinance_v2_7!E118,householdfinance_v2_6!E118,householdfinance_v2_10!E118),0)</f>
        <v>1</v>
      </c>
      <c r="F118">
        <f>IF($E118=0,"NA",ROUND(SUM(householdfinance_v2_9!F118,householdfinance_v2_8!F118,householdfinance_v2_7!F118,householdfinance_v2_6!F118,householdfinance_v2_10!F118)/COUNT(householdfinance_v2_9!F118,householdfinance_v2_8!F118,householdfinance_v2_7!F118,householdfinance_v2_6!F118,householdfinance_v2_10!F118),0))</f>
        <v>1</v>
      </c>
      <c r="G118">
        <f>IF($E118=0,"NA",ROUND(SUM(householdfinance_v2_9!G118,householdfinance_v2_8!G118,householdfinance_v2_7!G118,householdfinance_v2_6!G118,householdfinance_v2_10!G118)/COUNT(householdfinance_v2_9!G118,householdfinance_v2_8!G118,householdfinance_v2_7!G118,householdfinance_v2_6!G118,householdfinance_v2_10!G118),0))</f>
        <v>1</v>
      </c>
      <c r="H118">
        <f>IF(AND(F118=1,G118=1),ROUND(SUM(householdfinance_v2_9!H118,householdfinance_v2_8!H118,householdfinance_v2_7!H118,householdfinance_v2_6!H118,householdfinance_v2_10!H118)/COUNT(householdfinance_v2_9!H118,householdfinance_v2_8!H118,householdfinance_v2_7!H118,householdfinance_v2_6!H118,householdfinance_v2_10!H118),0),"NA")</f>
        <v>1</v>
      </c>
      <c r="I118">
        <f>IF($E118=0,"NA",ROUND(SUM(householdfinance_v2_9!I118,householdfinance_v2_8!I118,householdfinance_v2_7!I118,householdfinance_v2_6!I118,householdfinance_v2_10!I118)/COUNT(householdfinance_v2_9!I118,householdfinance_v2_8!I118,householdfinance_v2_7!I118,householdfinance_v2_6!I118,householdfinance_v2_10!I118),0))</f>
        <v>0</v>
      </c>
      <c r="J118">
        <f>IF(F118=1,ROUND(SUM(householdfinance_v2_9!J118,householdfinance_v2_8!J118,householdfinance_v2_7!J118,householdfinance_v2_6!J118,householdfinance_v2_10!J118)/COUNT(householdfinance_v2_9!J118,householdfinance_v2_8!J118,householdfinance_v2_7!J118,householdfinance_v2_6!J118,householdfinance_v2_10!J118),0),"NA")</f>
        <v>1</v>
      </c>
      <c r="K118">
        <f>IF($E118=0,"NA",ROUND(SUM(householdfinance_v2_9!K118,householdfinance_v2_8!K118,householdfinance_v2_7!K118,householdfinance_v2_6!K118,householdfinance_v2_10!K118)/COUNT(householdfinance_v2_9!K118,householdfinance_v2_8!K118,householdfinance_v2_7!K118,householdfinance_v2_6!K118,householdfinance_v2_10!K118),0))</f>
        <v>1</v>
      </c>
      <c r="L118">
        <f>IF($E118=0,"NA",ROUND(SUM(householdfinance_v2_9!L118,householdfinance_v2_8!L118,householdfinance_v2_7!L118,householdfinance_v2_6!L118,householdfinance_v2_10!L118)/COUNT(householdfinance_v2_9!L118,householdfinance_v2_8!L118,householdfinance_v2_7!L118,householdfinance_v2_6!L118,householdfinance_v2_10!L118),0))</f>
        <v>1</v>
      </c>
      <c r="M118">
        <f>IF($E118=0,"NA",ROUND(SUM(householdfinance_v2_9!M118,householdfinance_v2_8!M118,householdfinance_v2_7!M118,householdfinance_v2_6!M118,householdfinance_v2_10!M118)/COUNT(householdfinance_v2_9!M118,householdfinance_v2_8!M118,householdfinance_v2_7!M118,householdfinance_v2_6!M118,householdfinance_v2_10!M118),0))</f>
        <v>1</v>
      </c>
      <c r="N118">
        <f>IF($E118=0,"NA",ROUND(SUM(householdfinance_v2_9!N118,householdfinance_v2_8!N118,householdfinance_v2_7!N118,householdfinance_v2_6!N118,householdfinance_v2_10!N118)/COUNT(householdfinance_v2_9!N118,householdfinance_v2_8!N118,householdfinance_v2_7!N118,householdfinance_v2_6!N118,householdfinance_v2_10!N118),0))</f>
        <v>1</v>
      </c>
      <c r="O118">
        <f>IF($E118=0,"NA",ROUND(SUM(householdfinance_v2_9!O118,householdfinance_v2_8!O118,householdfinance_v2_7!O118,householdfinance_v2_6!O118,householdfinance_v2_10!O118)/COUNT(householdfinance_v2_9!O118,householdfinance_v2_8!O118,householdfinance_v2_7!O118,householdfinance_v2_6!O118,householdfinance_v2_10!O118),0))</f>
        <v>1</v>
      </c>
    </row>
    <row r="119" spans="1:15" x14ac:dyDescent="0.25">
      <c r="A119" t="s">
        <v>151</v>
      </c>
      <c r="B119" t="s">
        <v>25</v>
      </c>
      <c r="C119">
        <v>0</v>
      </c>
      <c r="D119">
        <v>10.198101758956909</v>
      </c>
      <c r="E119">
        <f>ROUND(SUM(householdfinance_v2_9!E119,householdfinance_v2_8!E119,householdfinance_v2_7!E119,householdfinance_v2_6!E119,householdfinance_v2_10!E119)/COUNT(householdfinance_v2_9!E119,householdfinance_v2_8!E119,householdfinance_v2_7!E119,householdfinance_v2_6!E119,householdfinance_v2_10!E119),0)</f>
        <v>1</v>
      </c>
      <c r="F119">
        <f>IF($E119=0,"NA",ROUND(SUM(householdfinance_v2_9!F119,householdfinance_v2_8!F119,householdfinance_v2_7!F119,householdfinance_v2_6!F119,householdfinance_v2_10!F119)/COUNT(householdfinance_v2_9!F119,householdfinance_v2_8!F119,householdfinance_v2_7!F119,householdfinance_v2_6!F119,householdfinance_v2_10!F119),0))</f>
        <v>1</v>
      </c>
      <c r="G119">
        <f>IF($E119=0,"NA",ROUND(SUM(householdfinance_v2_9!G119,householdfinance_v2_8!G119,householdfinance_v2_7!G119,householdfinance_v2_6!G119,householdfinance_v2_10!G119)/COUNT(householdfinance_v2_9!G119,householdfinance_v2_8!G119,householdfinance_v2_7!G119,householdfinance_v2_6!G119,householdfinance_v2_10!G119),0))</f>
        <v>1</v>
      </c>
      <c r="H119">
        <f>IF(AND(F119=1,G119=1),ROUND(SUM(householdfinance_v2_9!H119,householdfinance_v2_8!H119,householdfinance_v2_7!H119,householdfinance_v2_6!H119,householdfinance_v2_10!H119)/COUNT(householdfinance_v2_9!H119,householdfinance_v2_8!H119,householdfinance_v2_7!H119,householdfinance_v2_6!H119,householdfinance_v2_10!H119),0),"NA")</f>
        <v>1</v>
      </c>
      <c r="I119">
        <f>IF($E119=0,"NA",ROUND(SUM(householdfinance_v2_9!I119,householdfinance_v2_8!I119,householdfinance_v2_7!I119,householdfinance_v2_6!I119,householdfinance_v2_10!I119)/COUNT(householdfinance_v2_9!I119,householdfinance_v2_8!I119,householdfinance_v2_7!I119,householdfinance_v2_6!I119,householdfinance_v2_10!I119),0))</f>
        <v>1</v>
      </c>
      <c r="J119">
        <f>IF(F119=1,ROUND(SUM(householdfinance_v2_9!J119,householdfinance_v2_8!J119,householdfinance_v2_7!J119,householdfinance_v2_6!J119,householdfinance_v2_10!J119)/COUNT(householdfinance_v2_9!J119,householdfinance_v2_8!J119,householdfinance_v2_7!J119,householdfinance_v2_6!J119,householdfinance_v2_10!J119),0),"NA")</f>
        <v>1</v>
      </c>
      <c r="K119">
        <f>IF($E119=0,"NA",ROUND(SUM(householdfinance_v2_9!K119,householdfinance_v2_8!K119,householdfinance_v2_7!K119,householdfinance_v2_6!K119,householdfinance_v2_10!K119)/COUNT(householdfinance_v2_9!K119,householdfinance_v2_8!K119,householdfinance_v2_7!K119,householdfinance_v2_6!K119,householdfinance_v2_10!K119),0))</f>
        <v>1</v>
      </c>
      <c r="L119">
        <f>IF($E119=0,"NA",ROUND(SUM(householdfinance_v2_9!L119,householdfinance_v2_8!L119,householdfinance_v2_7!L119,householdfinance_v2_6!L119,householdfinance_v2_10!L119)/COUNT(householdfinance_v2_9!L119,householdfinance_v2_8!L119,householdfinance_v2_7!L119,householdfinance_v2_6!L119,householdfinance_v2_10!L119),0))</f>
        <v>1</v>
      </c>
      <c r="M119">
        <f>IF($E119=0,"NA",ROUND(SUM(householdfinance_v2_9!M119,householdfinance_v2_8!M119,householdfinance_v2_7!M119,householdfinance_v2_6!M119,householdfinance_v2_10!M119)/COUNT(householdfinance_v2_9!M119,householdfinance_v2_8!M119,householdfinance_v2_7!M119,householdfinance_v2_6!M119,householdfinance_v2_10!M119),0))</f>
        <v>1</v>
      </c>
      <c r="N119">
        <f>IF($E119=0,"NA",ROUND(SUM(householdfinance_v2_9!N119,householdfinance_v2_8!N119,householdfinance_v2_7!N119,householdfinance_v2_6!N119,householdfinance_v2_10!N119)/COUNT(householdfinance_v2_9!N119,householdfinance_v2_8!N119,householdfinance_v2_7!N119,householdfinance_v2_6!N119,householdfinance_v2_10!N119),0))</f>
        <v>1</v>
      </c>
      <c r="O119">
        <f>IF($E119=0,"NA",ROUND(SUM(householdfinance_v2_9!O119,householdfinance_v2_8!O119,householdfinance_v2_7!O119,householdfinance_v2_6!O119,householdfinance_v2_10!O119)/COUNT(householdfinance_v2_9!O119,householdfinance_v2_8!O119,householdfinance_v2_7!O119,householdfinance_v2_6!O119,householdfinance_v2_10!O119),0))</f>
        <v>1</v>
      </c>
    </row>
    <row r="120" spans="1:15" x14ac:dyDescent="0.25">
      <c r="A120" t="s">
        <v>151</v>
      </c>
      <c r="B120" t="s">
        <v>27</v>
      </c>
      <c r="C120">
        <v>0</v>
      </c>
      <c r="D120">
        <v>2.7432413101196289</v>
      </c>
      <c r="E120">
        <f>ROUND(SUM(householdfinance_v2_9!E120,householdfinance_v2_8!E120,householdfinance_v2_7!E120,householdfinance_v2_6!E120,householdfinance_v2_10!E120)/COUNT(householdfinance_v2_9!E120,householdfinance_v2_8!E120,householdfinance_v2_7!E120,householdfinance_v2_6!E120,householdfinance_v2_10!E120),0)</f>
        <v>1</v>
      </c>
      <c r="F120">
        <f>IF($E120=0,"NA",ROUND(SUM(householdfinance_v2_9!F120,householdfinance_v2_8!F120,householdfinance_v2_7!F120,householdfinance_v2_6!F120,householdfinance_v2_10!F120)/COUNT(householdfinance_v2_9!F120,householdfinance_v2_8!F120,householdfinance_v2_7!F120,householdfinance_v2_6!F120,householdfinance_v2_10!F120),0))</f>
        <v>1</v>
      </c>
      <c r="G120">
        <f>IF($E120=0,"NA",ROUND(SUM(householdfinance_v2_9!G120,householdfinance_v2_8!G120,householdfinance_v2_7!G120,householdfinance_v2_6!G120,householdfinance_v2_10!G120)/COUNT(householdfinance_v2_9!G120,householdfinance_v2_8!G120,householdfinance_v2_7!G120,householdfinance_v2_6!G120,householdfinance_v2_10!G120),0))</f>
        <v>1</v>
      </c>
      <c r="H120">
        <f>IF(AND(F120=1,G120=1),ROUND(SUM(householdfinance_v2_9!H120,householdfinance_v2_8!H120,householdfinance_v2_7!H120,householdfinance_v2_6!H120,householdfinance_v2_10!H120)/COUNT(householdfinance_v2_9!H120,householdfinance_v2_8!H120,householdfinance_v2_7!H120,householdfinance_v2_6!H120,householdfinance_v2_10!H120),0),"NA")</f>
        <v>1</v>
      </c>
      <c r="I120">
        <f>IF($E120=0,"NA",ROUND(SUM(householdfinance_v2_9!I120,householdfinance_v2_8!I120,householdfinance_v2_7!I120,householdfinance_v2_6!I120,householdfinance_v2_10!I120)/COUNT(householdfinance_v2_9!I120,householdfinance_v2_8!I120,householdfinance_v2_7!I120,householdfinance_v2_6!I120,householdfinance_v2_10!I120),0))</f>
        <v>1</v>
      </c>
      <c r="J120">
        <f>IF(F120=1,ROUND(SUM(householdfinance_v2_9!J120,householdfinance_v2_8!J120,householdfinance_v2_7!J120,householdfinance_v2_6!J120,householdfinance_v2_10!J120)/COUNT(householdfinance_v2_9!J120,householdfinance_v2_8!J120,householdfinance_v2_7!J120,householdfinance_v2_6!J120,householdfinance_v2_10!J120),0),"NA")</f>
        <v>1</v>
      </c>
      <c r="K120">
        <f>IF($E120=0,"NA",ROUND(SUM(householdfinance_v2_9!K120,householdfinance_v2_8!K120,householdfinance_v2_7!K120,householdfinance_v2_6!K120,householdfinance_v2_10!K120)/COUNT(householdfinance_v2_9!K120,householdfinance_v2_8!K120,householdfinance_v2_7!K120,householdfinance_v2_6!K120,householdfinance_v2_10!K120),0))</f>
        <v>1</v>
      </c>
      <c r="L120">
        <f>IF($E120=0,"NA",ROUND(SUM(householdfinance_v2_9!L120,householdfinance_v2_8!L120,householdfinance_v2_7!L120,householdfinance_v2_6!L120,householdfinance_v2_10!L120)/COUNT(householdfinance_v2_9!L120,householdfinance_v2_8!L120,householdfinance_v2_7!L120,householdfinance_v2_6!L120,householdfinance_v2_10!L120),0))</f>
        <v>1</v>
      </c>
      <c r="M120">
        <f>IF($E120=0,"NA",ROUND(SUM(householdfinance_v2_9!M120,householdfinance_v2_8!M120,householdfinance_v2_7!M120,householdfinance_v2_6!M120,householdfinance_v2_10!M120)/COUNT(householdfinance_v2_9!M120,householdfinance_v2_8!M120,householdfinance_v2_7!M120,householdfinance_v2_6!M120,householdfinance_v2_10!M120),0))</f>
        <v>1</v>
      </c>
      <c r="N120">
        <f>IF($E120=0,"NA",ROUND(SUM(householdfinance_v2_9!N120,householdfinance_v2_8!N120,householdfinance_v2_7!N120,householdfinance_v2_6!N120,householdfinance_v2_10!N120)/COUNT(householdfinance_v2_9!N120,householdfinance_v2_8!N120,householdfinance_v2_7!N120,householdfinance_v2_6!N120,householdfinance_v2_10!N120),0))</f>
        <v>1</v>
      </c>
      <c r="O120">
        <f>IF($E120=0,"NA",ROUND(SUM(householdfinance_v2_9!O120,householdfinance_v2_8!O120,householdfinance_v2_7!O120,householdfinance_v2_6!O120,householdfinance_v2_10!O120)/COUNT(householdfinance_v2_9!O120,householdfinance_v2_8!O120,householdfinance_v2_7!O120,householdfinance_v2_6!O120,householdfinance_v2_10!O120),0))</f>
        <v>1</v>
      </c>
    </row>
    <row r="121" spans="1:15" x14ac:dyDescent="0.25">
      <c r="A121" t="s">
        <v>151</v>
      </c>
      <c r="B121" t="s">
        <v>28</v>
      </c>
      <c r="C121">
        <v>0</v>
      </c>
      <c r="D121">
        <v>9.9703214168548584</v>
      </c>
      <c r="E121">
        <f>ROUND(SUM(householdfinance_v2_9!E121,householdfinance_v2_8!E121,householdfinance_v2_7!E121,householdfinance_v2_6!E121,householdfinance_v2_10!E121)/COUNT(householdfinance_v2_9!E121,householdfinance_v2_8!E121,householdfinance_v2_7!E121,householdfinance_v2_6!E121,householdfinance_v2_10!E121),0)</f>
        <v>1</v>
      </c>
      <c r="F121">
        <f>IF($E121=0,"NA",ROUND(SUM(householdfinance_v2_9!F121,householdfinance_v2_8!F121,householdfinance_v2_7!F121,householdfinance_v2_6!F121,householdfinance_v2_10!F121)/COUNT(householdfinance_v2_9!F121,householdfinance_v2_8!F121,householdfinance_v2_7!F121,householdfinance_v2_6!F121,householdfinance_v2_10!F121),0))</f>
        <v>1</v>
      </c>
      <c r="G121">
        <f>IF($E121=0,"NA",ROUND(SUM(householdfinance_v2_9!G121,householdfinance_v2_8!G121,householdfinance_v2_7!G121,householdfinance_v2_6!G121,householdfinance_v2_10!G121)/COUNT(householdfinance_v2_9!G121,householdfinance_v2_8!G121,householdfinance_v2_7!G121,householdfinance_v2_6!G121,householdfinance_v2_10!G121),0))</f>
        <v>1</v>
      </c>
      <c r="H121">
        <f>IF(AND(F121=1,G121=1),ROUND(SUM(householdfinance_v2_9!H121,householdfinance_v2_8!H121,householdfinance_v2_7!H121,householdfinance_v2_6!H121,householdfinance_v2_10!H121)/COUNT(householdfinance_v2_9!H121,householdfinance_v2_8!H121,householdfinance_v2_7!H121,householdfinance_v2_6!H121,householdfinance_v2_10!H121),0),"NA")</f>
        <v>1</v>
      </c>
      <c r="I121">
        <f>IF($E121=0,"NA",ROUND(SUM(householdfinance_v2_9!I121,householdfinance_v2_8!I121,householdfinance_v2_7!I121,householdfinance_v2_6!I121,householdfinance_v2_10!I121)/COUNT(householdfinance_v2_9!I121,householdfinance_v2_8!I121,householdfinance_v2_7!I121,householdfinance_v2_6!I121,householdfinance_v2_10!I121),0))</f>
        <v>1</v>
      </c>
      <c r="J121">
        <f>IF(F121=1,ROUND(SUM(householdfinance_v2_9!J121,householdfinance_v2_8!J121,householdfinance_v2_7!J121,householdfinance_v2_6!J121,householdfinance_v2_10!J121)/COUNT(householdfinance_v2_9!J121,householdfinance_v2_8!J121,householdfinance_v2_7!J121,householdfinance_v2_6!J121,householdfinance_v2_10!J121),0),"NA")</f>
        <v>1</v>
      </c>
      <c r="K121">
        <f>IF($E121=0,"NA",ROUND(SUM(householdfinance_v2_9!K121,householdfinance_v2_8!K121,householdfinance_v2_7!K121,householdfinance_v2_6!K121,householdfinance_v2_10!K121)/COUNT(householdfinance_v2_9!K121,householdfinance_v2_8!K121,householdfinance_v2_7!K121,householdfinance_v2_6!K121,householdfinance_v2_10!K121),0))</f>
        <v>1</v>
      </c>
      <c r="L121">
        <f>IF($E121=0,"NA",ROUND(SUM(householdfinance_v2_9!L121,householdfinance_v2_8!L121,householdfinance_v2_7!L121,householdfinance_v2_6!L121,householdfinance_v2_10!L121)/COUNT(householdfinance_v2_9!L121,householdfinance_v2_8!L121,householdfinance_v2_7!L121,householdfinance_v2_6!L121,householdfinance_v2_10!L121),0))</f>
        <v>1</v>
      </c>
      <c r="M121">
        <f>IF($E121=0,"NA",ROUND(SUM(householdfinance_v2_9!M121,householdfinance_v2_8!M121,householdfinance_v2_7!M121,householdfinance_v2_6!M121,householdfinance_v2_10!M121)/COUNT(householdfinance_v2_9!M121,householdfinance_v2_8!M121,householdfinance_v2_7!M121,householdfinance_v2_6!M121,householdfinance_v2_10!M121),0))</f>
        <v>1</v>
      </c>
      <c r="N121">
        <f>IF($E121=0,"NA",ROUND(SUM(householdfinance_v2_9!N121,householdfinance_v2_8!N121,householdfinance_v2_7!N121,householdfinance_v2_6!N121,householdfinance_v2_10!N121)/COUNT(householdfinance_v2_9!N121,householdfinance_v2_8!N121,householdfinance_v2_7!N121,householdfinance_v2_6!N121,householdfinance_v2_10!N121),0))</f>
        <v>1</v>
      </c>
      <c r="O121">
        <f>IF($E121=0,"NA",ROUND(SUM(householdfinance_v2_9!O121,householdfinance_v2_8!O121,householdfinance_v2_7!O121,householdfinance_v2_6!O121,householdfinance_v2_10!O121)/COUNT(householdfinance_v2_9!O121,householdfinance_v2_8!O121,householdfinance_v2_7!O121,householdfinance_v2_6!O121,householdfinance_v2_10!O121),0))</f>
        <v>1</v>
      </c>
    </row>
    <row r="122" spans="1:15" x14ac:dyDescent="0.25">
      <c r="A122" t="s">
        <v>151</v>
      </c>
      <c r="B122" t="s">
        <v>29</v>
      </c>
      <c r="C122">
        <v>0</v>
      </c>
      <c r="D122">
        <v>7.7054581642150879</v>
      </c>
      <c r="E122">
        <f>ROUND(SUM(householdfinance_v2_9!E122,householdfinance_v2_8!E122,householdfinance_v2_7!E122,householdfinance_v2_6!E122,householdfinance_v2_10!E122)/COUNT(householdfinance_v2_9!E122,householdfinance_v2_8!E122,householdfinance_v2_7!E122,householdfinance_v2_6!E122,householdfinance_v2_10!E122),0)</f>
        <v>0</v>
      </c>
      <c r="F122" t="str">
        <f>IF($E122=0,"NA",ROUND(SUM(householdfinance_v2_9!F122,householdfinance_v2_8!F122,householdfinance_v2_7!F122,householdfinance_v2_6!F122,householdfinance_v2_10!F122)/COUNT(householdfinance_v2_9!F122,householdfinance_v2_8!F122,householdfinance_v2_7!F122,householdfinance_v2_6!F122,householdfinance_v2_10!F122),0))</f>
        <v>NA</v>
      </c>
      <c r="G122" t="str">
        <f>IF($E122=0,"NA",ROUND(SUM(householdfinance_v2_9!G122,householdfinance_v2_8!G122,householdfinance_v2_7!G122,householdfinance_v2_6!G122,householdfinance_v2_10!G122)/COUNT(householdfinance_v2_9!G122,householdfinance_v2_8!G122,householdfinance_v2_7!G122,householdfinance_v2_6!G122,householdfinance_v2_10!G122),0))</f>
        <v>NA</v>
      </c>
      <c r="H122" t="str">
        <f>IF(AND(F122=1,G122=1),ROUND(SUM(householdfinance_v2_9!H122,householdfinance_v2_8!H122,householdfinance_v2_7!H122,householdfinance_v2_6!H122,householdfinance_v2_10!H122)/COUNT(householdfinance_v2_9!H122,householdfinance_v2_8!H122,householdfinance_v2_7!H122,householdfinance_v2_6!H122,householdfinance_v2_10!H122),0),"NA")</f>
        <v>NA</v>
      </c>
      <c r="I122" t="str">
        <f>IF($E122=0,"NA",ROUND(SUM(householdfinance_v2_9!I122,householdfinance_v2_8!I122,householdfinance_v2_7!I122,householdfinance_v2_6!I122,householdfinance_v2_10!I122)/COUNT(householdfinance_v2_9!I122,householdfinance_v2_8!I122,householdfinance_v2_7!I122,householdfinance_v2_6!I122,householdfinance_v2_10!I122),0))</f>
        <v>NA</v>
      </c>
      <c r="J122" t="str">
        <f>IF(F122=1,ROUND(SUM(householdfinance_v2_9!J122,householdfinance_v2_8!J122,householdfinance_v2_7!J122,householdfinance_v2_6!J122,householdfinance_v2_10!J122)/COUNT(householdfinance_v2_9!J122,householdfinance_v2_8!J122,householdfinance_v2_7!J122,householdfinance_v2_6!J122,householdfinance_v2_10!J122),0),"NA")</f>
        <v>NA</v>
      </c>
      <c r="K122" t="str">
        <f>IF($E122=0,"NA",ROUND(SUM(householdfinance_v2_9!K122,householdfinance_v2_8!K122,householdfinance_v2_7!K122,householdfinance_v2_6!K122,householdfinance_v2_10!K122)/COUNT(householdfinance_v2_9!K122,householdfinance_v2_8!K122,householdfinance_v2_7!K122,householdfinance_v2_6!K122,householdfinance_v2_10!K122),0))</f>
        <v>NA</v>
      </c>
      <c r="L122" t="str">
        <f>IF($E122=0,"NA",ROUND(SUM(householdfinance_v2_9!L122,householdfinance_v2_8!L122,householdfinance_v2_7!L122,householdfinance_v2_6!L122,householdfinance_v2_10!L122)/COUNT(householdfinance_v2_9!L122,householdfinance_v2_8!L122,householdfinance_v2_7!L122,householdfinance_v2_6!L122,householdfinance_v2_10!L122),0))</f>
        <v>NA</v>
      </c>
      <c r="M122" t="str">
        <f>IF($E122=0,"NA",ROUND(SUM(householdfinance_v2_9!M122,householdfinance_v2_8!M122,householdfinance_v2_7!M122,householdfinance_v2_6!M122,householdfinance_v2_10!M122)/COUNT(householdfinance_v2_9!M122,householdfinance_v2_8!M122,householdfinance_v2_7!M122,householdfinance_v2_6!M122,householdfinance_v2_10!M122),0))</f>
        <v>NA</v>
      </c>
      <c r="N122" t="str">
        <f>IF($E122=0,"NA",ROUND(SUM(householdfinance_v2_9!N122,householdfinance_v2_8!N122,householdfinance_v2_7!N122,householdfinance_v2_6!N122,householdfinance_v2_10!N122)/COUNT(householdfinance_v2_9!N122,householdfinance_v2_8!N122,householdfinance_v2_7!N122,householdfinance_v2_6!N122,householdfinance_v2_10!N122),0))</f>
        <v>NA</v>
      </c>
      <c r="O122" t="str">
        <f>IF($E122=0,"NA",ROUND(SUM(householdfinance_v2_9!O122,householdfinance_v2_8!O122,householdfinance_v2_7!O122,householdfinance_v2_6!O122,householdfinance_v2_10!O122)/COUNT(householdfinance_v2_9!O122,householdfinance_v2_8!O122,householdfinance_v2_7!O122,householdfinance_v2_6!O122,householdfinance_v2_10!O122),0))</f>
        <v>NA</v>
      </c>
    </row>
    <row r="123" spans="1:15" x14ac:dyDescent="0.25">
      <c r="A123" t="s">
        <v>151</v>
      </c>
      <c r="B123" t="s">
        <v>30</v>
      </c>
      <c r="C123">
        <v>0</v>
      </c>
      <c r="D123">
        <v>2.7542157173156738</v>
      </c>
      <c r="E123">
        <f>ROUND(SUM(householdfinance_v2_9!E123,householdfinance_v2_8!E123,householdfinance_v2_7!E123,householdfinance_v2_6!E123,householdfinance_v2_10!E123)/COUNT(householdfinance_v2_9!E123,householdfinance_v2_8!E123,householdfinance_v2_7!E123,householdfinance_v2_6!E123,householdfinance_v2_10!E123),0)</f>
        <v>1</v>
      </c>
      <c r="F123">
        <f>IF($E123=0,"NA",ROUND(SUM(householdfinance_v2_9!F123,householdfinance_v2_8!F123,householdfinance_v2_7!F123,householdfinance_v2_6!F123,householdfinance_v2_10!F123)/COUNT(householdfinance_v2_9!F123,householdfinance_v2_8!F123,householdfinance_v2_7!F123,householdfinance_v2_6!F123,householdfinance_v2_10!F123),0))</f>
        <v>1</v>
      </c>
      <c r="G123">
        <f>IF($E123=0,"NA",ROUND(SUM(householdfinance_v2_9!G123,householdfinance_v2_8!G123,householdfinance_v2_7!G123,householdfinance_v2_6!G123,householdfinance_v2_10!G123)/COUNT(householdfinance_v2_9!G123,householdfinance_v2_8!G123,householdfinance_v2_7!G123,householdfinance_v2_6!G123,householdfinance_v2_10!G123),0))</f>
        <v>1</v>
      </c>
      <c r="H123">
        <f>IF(AND(F123=1,G123=1),ROUND(SUM(householdfinance_v2_9!H123,householdfinance_v2_8!H123,householdfinance_v2_7!H123,householdfinance_v2_6!H123,householdfinance_v2_10!H123)/COUNT(householdfinance_v2_9!H123,householdfinance_v2_8!H123,householdfinance_v2_7!H123,householdfinance_v2_6!H123,householdfinance_v2_10!H123),0),"NA")</f>
        <v>1</v>
      </c>
      <c r="I123">
        <f>IF($E123=0,"NA",ROUND(SUM(householdfinance_v2_9!I123,householdfinance_v2_8!I123,householdfinance_v2_7!I123,householdfinance_v2_6!I123,householdfinance_v2_10!I123)/COUNT(householdfinance_v2_9!I123,householdfinance_v2_8!I123,householdfinance_v2_7!I123,householdfinance_v2_6!I123,householdfinance_v2_10!I123),0))</f>
        <v>1</v>
      </c>
      <c r="J123">
        <f>IF(F123=1,ROUND(SUM(householdfinance_v2_9!J123,householdfinance_v2_8!J123,householdfinance_v2_7!J123,householdfinance_v2_6!J123,householdfinance_v2_10!J123)/COUNT(householdfinance_v2_9!J123,householdfinance_v2_8!J123,householdfinance_v2_7!J123,householdfinance_v2_6!J123,householdfinance_v2_10!J123),0),"NA")</f>
        <v>1</v>
      </c>
      <c r="K123">
        <f>IF($E123=0,"NA",ROUND(SUM(householdfinance_v2_9!K123,householdfinance_v2_8!K123,householdfinance_v2_7!K123,householdfinance_v2_6!K123,householdfinance_v2_10!K123)/COUNT(householdfinance_v2_9!K123,householdfinance_v2_8!K123,householdfinance_v2_7!K123,householdfinance_v2_6!K123,householdfinance_v2_10!K123),0))</f>
        <v>1</v>
      </c>
      <c r="L123">
        <f>IF($E123=0,"NA",ROUND(SUM(householdfinance_v2_9!L123,householdfinance_v2_8!L123,householdfinance_v2_7!L123,householdfinance_v2_6!L123,householdfinance_v2_10!L123)/COUNT(householdfinance_v2_9!L123,householdfinance_v2_8!L123,householdfinance_v2_7!L123,householdfinance_v2_6!L123,householdfinance_v2_10!L123),0))</f>
        <v>1</v>
      </c>
      <c r="M123">
        <f>IF($E123=0,"NA",ROUND(SUM(householdfinance_v2_9!M123,householdfinance_v2_8!M123,householdfinance_v2_7!M123,householdfinance_v2_6!M123,householdfinance_v2_10!M123)/COUNT(householdfinance_v2_9!M123,householdfinance_v2_8!M123,householdfinance_v2_7!M123,householdfinance_v2_6!M123,householdfinance_v2_10!M123),0))</f>
        <v>1</v>
      </c>
      <c r="N123">
        <f>IF($E123=0,"NA",ROUND(SUM(householdfinance_v2_9!N123,householdfinance_v2_8!N123,householdfinance_v2_7!N123,householdfinance_v2_6!N123,householdfinance_v2_10!N123)/COUNT(householdfinance_v2_9!N123,householdfinance_v2_8!N123,householdfinance_v2_7!N123,householdfinance_v2_6!N123,householdfinance_v2_10!N123),0))</f>
        <v>1</v>
      </c>
      <c r="O123">
        <f>IF($E123=0,"NA",ROUND(SUM(householdfinance_v2_9!O123,householdfinance_v2_8!O123,householdfinance_v2_7!O123,householdfinance_v2_6!O123,householdfinance_v2_10!O123)/COUNT(householdfinance_v2_9!O123,householdfinance_v2_8!O123,householdfinance_v2_7!O123,householdfinance_v2_6!O123,householdfinance_v2_10!O123),0))</f>
        <v>1</v>
      </c>
    </row>
    <row r="124" spans="1:15" x14ac:dyDescent="0.25">
      <c r="A124" t="s">
        <v>151</v>
      </c>
      <c r="B124" t="s">
        <v>31</v>
      </c>
      <c r="C124">
        <v>0</v>
      </c>
      <c r="D124">
        <v>13.9767906665802</v>
      </c>
      <c r="E124">
        <f>ROUND(SUM(householdfinance_v2_9!E124,householdfinance_v2_8!E124,householdfinance_v2_7!E124,householdfinance_v2_6!E124,householdfinance_v2_10!E124)/COUNT(householdfinance_v2_9!E124,householdfinance_v2_8!E124,householdfinance_v2_7!E124,householdfinance_v2_6!E124,householdfinance_v2_10!E124),0)</f>
        <v>1</v>
      </c>
      <c r="F124">
        <f>IF($E124=0,"NA",ROUND(SUM(householdfinance_v2_9!F124,householdfinance_v2_8!F124,householdfinance_v2_7!F124,householdfinance_v2_6!F124,householdfinance_v2_10!F124)/COUNT(householdfinance_v2_9!F124,householdfinance_v2_8!F124,householdfinance_v2_7!F124,householdfinance_v2_6!F124,householdfinance_v2_10!F124),0))</f>
        <v>1</v>
      </c>
      <c r="G124">
        <f>IF($E124=0,"NA",ROUND(SUM(householdfinance_v2_9!G124,householdfinance_v2_8!G124,householdfinance_v2_7!G124,householdfinance_v2_6!G124,householdfinance_v2_10!G124)/COUNT(householdfinance_v2_9!G124,householdfinance_v2_8!G124,householdfinance_v2_7!G124,householdfinance_v2_6!G124,householdfinance_v2_10!G124),0))</f>
        <v>1</v>
      </c>
      <c r="H124">
        <f>IF(AND(F124=1,G124=1),ROUND(SUM(householdfinance_v2_9!H124,householdfinance_v2_8!H124,householdfinance_v2_7!H124,householdfinance_v2_6!H124,householdfinance_v2_10!H124)/COUNT(householdfinance_v2_9!H124,householdfinance_v2_8!H124,householdfinance_v2_7!H124,householdfinance_v2_6!H124,householdfinance_v2_10!H124),0),"NA")</f>
        <v>1</v>
      </c>
      <c r="I124">
        <f>IF($E124=0,"NA",ROUND(SUM(householdfinance_v2_9!I124,householdfinance_v2_8!I124,householdfinance_v2_7!I124,householdfinance_v2_6!I124,householdfinance_v2_10!I124)/COUNT(householdfinance_v2_9!I124,householdfinance_v2_8!I124,householdfinance_v2_7!I124,householdfinance_v2_6!I124,householdfinance_v2_10!I124),0))</f>
        <v>1</v>
      </c>
      <c r="J124">
        <f>IF(F124=1,ROUND(SUM(householdfinance_v2_9!J124,householdfinance_v2_8!J124,householdfinance_v2_7!J124,householdfinance_v2_6!J124,householdfinance_v2_10!J124)/COUNT(householdfinance_v2_9!J124,householdfinance_v2_8!J124,householdfinance_v2_7!J124,householdfinance_v2_6!J124,householdfinance_v2_10!J124),0),"NA")</f>
        <v>1</v>
      </c>
      <c r="K124">
        <f>IF($E124=0,"NA",ROUND(SUM(householdfinance_v2_9!K124,householdfinance_v2_8!K124,householdfinance_v2_7!K124,householdfinance_v2_6!K124,householdfinance_v2_10!K124)/COUNT(householdfinance_v2_9!K124,householdfinance_v2_8!K124,householdfinance_v2_7!K124,householdfinance_v2_6!K124,householdfinance_v2_10!K124),0))</f>
        <v>0</v>
      </c>
      <c r="L124">
        <f>IF($E124=0,"NA",ROUND(SUM(householdfinance_v2_9!L124,householdfinance_v2_8!L124,householdfinance_v2_7!L124,householdfinance_v2_6!L124,householdfinance_v2_10!L124)/COUNT(householdfinance_v2_9!L124,householdfinance_v2_8!L124,householdfinance_v2_7!L124,householdfinance_v2_6!L124,householdfinance_v2_10!L124),0))</f>
        <v>1</v>
      </c>
      <c r="M124">
        <f>IF($E124=0,"NA",ROUND(SUM(householdfinance_v2_9!M124,householdfinance_v2_8!M124,householdfinance_v2_7!M124,householdfinance_v2_6!M124,householdfinance_v2_10!M124)/COUNT(householdfinance_v2_9!M124,householdfinance_v2_8!M124,householdfinance_v2_7!M124,householdfinance_v2_6!M124,householdfinance_v2_10!M124),0))</f>
        <v>1</v>
      </c>
      <c r="N124">
        <f>IF($E124=0,"NA",ROUND(SUM(householdfinance_v2_9!N124,householdfinance_v2_8!N124,householdfinance_v2_7!N124,householdfinance_v2_6!N124,householdfinance_v2_10!N124)/COUNT(householdfinance_v2_9!N124,householdfinance_v2_8!N124,householdfinance_v2_7!N124,householdfinance_v2_6!N124,householdfinance_v2_10!N124),0))</f>
        <v>1</v>
      </c>
      <c r="O124">
        <f>IF($E124=0,"NA",ROUND(SUM(householdfinance_v2_9!O124,householdfinance_v2_8!O124,householdfinance_v2_7!O124,householdfinance_v2_6!O124,householdfinance_v2_10!O124)/COUNT(householdfinance_v2_9!O124,householdfinance_v2_8!O124,householdfinance_v2_7!O124,householdfinance_v2_6!O124,householdfinance_v2_10!O124),0))</f>
        <v>1</v>
      </c>
    </row>
    <row r="125" spans="1:15" x14ac:dyDescent="0.25">
      <c r="A125" t="s">
        <v>151</v>
      </c>
      <c r="B125" t="s">
        <v>32</v>
      </c>
      <c r="C125">
        <v>0</v>
      </c>
      <c r="D125">
        <v>9.8524935245513916</v>
      </c>
      <c r="E125">
        <f>ROUND(SUM(householdfinance_v2_9!E125,householdfinance_v2_8!E125,householdfinance_v2_7!E125,householdfinance_v2_6!E125,householdfinance_v2_10!E125)/COUNT(householdfinance_v2_9!E125,householdfinance_v2_8!E125,householdfinance_v2_7!E125,householdfinance_v2_6!E125,householdfinance_v2_10!E125),0)</f>
        <v>1</v>
      </c>
      <c r="F125">
        <f>IF($E125=0,"NA",ROUND(SUM(householdfinance_v2_9!F125,householdfinance_v2_8!F125,householdfinance_v2_7!F125,householdfinance_v2_6!F125,householdfinance_v2_10!F125)/COUNT(householdfinance_v2_9!F125,householdfinance_v2_8!F125,householdfinance_v2_7!F125,householdfinance_v2_6!F125,householdfinance_v2_10!F125),0))</f>
        <v>1</v>
      </c>
      <c r="G125">
        <f>IF($E125=0,"NA",ROUND(SUM(householdfinance_v2_9!G125,householdfinance_v2_8!G125,householdfinance_v2_7!G125,householdfinance_v2_6!G125,householdfinance_v2_10!G125)/COUNT(householdfinance_v2_9!G125,householdfinance_v2_8!G125,householdfinance_v2_7!G125,householdfinance_v2_6!G125,householdfinance_v2_10!G125),0))</f>
        <v>1</v>
      </c>
      <c r="H125">
        <f>IF(AND(F125=1,G125=1),ROUND(SUM(householdfinance_v2_9!H125,householdfinance_v2_8!H125,householdfinance_v2_7!H125,householdfinance_v2_6!H125,householdfinance_v2_10!H125)/COUNT(householdfinance_v2_9!H125,householdfinance_v2_8!H125,householdfinance_v2_7!H125,householdfinance_v2_6!H125,householdfinance_v2_10!H125),0),"NA")</f>
        <v>1</v>
      </c>
      <c r="I125">
        <f>IF($E125=0,"NA",ROUND(SUM(householdfinance_v2_9!I125,householdfinance_v2_8!I125,householdfinance_v2_7!I125,householdfinance_v2_6!I125,householdfinance_v2_10!I125)/COUNT(householdfinance_v2_9!I125,householdfinance_v2_8!I125,householdfinance_v2_7!I125,householdfinance_v2_6!I125,householdfinance_v2_10!I125),0))</f>
        <v>1</v>
      </c>
      <c r="J125">
        <f>IF(F125=1,ROUND(SUM(householdfinance_v2_9!J125,householdfinance_v2_8!J125,householdfinance_v2_7!J125,householdfinance_v2_6!J125,householdfinance_v2_10!J125)/COUNT(householdfinance_v2_9!J125,householdfinance_v2_8!J125,householdfinance_v2_7!J125,householdfinance_v2_6!J125,householdfinance_v2_10!J125),0),"NA")</f>
        <v>1</v>
      </c>
      <c r="K125">
        <f>IF($E125=0,"NA",ROUND(SUM(householdfinance_v2_9!K125,householdfinance_v2_8!K125,householdfinance_v2_7!K125,householdfinance_v2_6!K125,householdfinance_v2_10!K125)/COUNT(householdfinance_v2_9!K125,householdfinance_v2_8!K125,householdfinance_v2_7!K125,householdfinance_v2_6!K125,householdfinance_v2_10!K125),0))</f>
        <v>1</v>
      </c>
      <c r="L125">
        <f>IF($E125=0,"NA",ROUND(SUM(householdfinance_v2_9!L125,householdfinance_v2_8!L125,householdfinance_v2_7!L125,householdfinance_v2_6!L125,householdfinance_v2_10!L125)/COUNT(householdfinance_v2_9!L125,householdfinance_v2_8!L125,householdfinance_v2_7!L125,householdfinance_v2_6!L125,householdfinance_v2_10!L125),0))</f>
        <v>1</v>
      </c>
      <c r="M125">
        <f>IF($E125=0,"NA",ROUND(SUM(householdfinance_v2_9!M125,householdfinance_v2_8!M125,householdfinance_v2_7!M125,householdfinance_v2_6!M125,householdfinance_v2_10!M125)/COUNT(householdfinance_v2_9!M125,householdfinance_v2_8!M125,householdfinance_v2_7!M125,householdfinance_v2_6!M125,householdfinance_v2_10!M125),0))</f>
        <v>1</v>
      </c>
      <c r="N125">
        <f>IF($E125=0,"NA",ROUND(SUM(householdfinance_v2_9!N125,householdfinance_v2_8!N125,householdfinance_v2_7!N125,householdfinance_v2_6!N125,householdfinance_v2_10!N125)/COUNT(householdfinance_v2_9!N125,householdfinance_v2_8!N125,householdfinance_v2_7!N125,householdfinance_v2_6!N125,householdfinance_v2_10!N125),0))</f>
        <v>1</v>
      </c>
      <c r="O125">
        <f>IF($E125=0,"NA",ROUND(SUM(householdfinance_v2_9!O125,householdfinance_v2_8!O125,householdfinance_v2_7!O125,householdfinance_v2_6!O125,householdfinance_v2_10!O125)/COUNT(householdfinance_v2_9!O125,householdfinance_v2_8!O125,householdfinance_v2_7!O125,householdfinance_v2_6!O125,householdfinance_v2_10!O125),0))</f>
        <v>1</v>
      </c>
    </row>
    <row r="126" spans="1:15" x14ac:dyDescent="0.25">
      <c r="A126" t="s">
        <v>151</v>
      </c>
      <c r="B126" t="s">
        <v>33</v>
      </c>
      <c r="C126">
        <v>0</v>
      </c>
      <c r="D126">
        <v>6.6793813705444336</v>
      </c>
      <c r="E126">
        <f>ROUND(SUM(householdfinance_v2_9!E126,householdfinance_v2_8!E126,householdfinance_v2_7!E126,householdfinance_v2_6!E126,householdfinance_v2_10!E126)/COUNT(householdfinance_v2_9!E126,householdfinance_v2_8!E126,householdfinance_v2_7!E126,householdfinance_v2_6!E126,householdfinance_v2_10!E126),0)</f>
        <v>1</v>
      </c>
      <c r="F126">
        <f>IF($E126=0,"NA",ROUND(SUM(householdfinance_v2_9!F126,householdfinance_v2_8!F126,householdfinance_v2_7!F126,householdfinance_v2_6!F126,householdfinance_v2_10!F126)/COUNT(householdfinance_v2_9!F126,householdfinance_v2_8!F126,householdfinance_v2_7!F126,householdfinance_v2_6!F126,householdfinance_v2_10!F126),0))</f>
        <v>1</v>
      </c>
      <c r="G126">
        <f>IF($E126=0,"NA",ROUND(SUM(householdfinance_v2_9!G126,householdfinance_v2_8!G126,householdfinance_v2_7!G126,householdfinance_v2_6!G126,householdfinance_v2_10!G126)/COUNT(householdfinance_v2_9!G126,householdfinance_v2_8!G126,householdfinance_v2_7!G126,householdfinance_v2_6!G126,householdfinance_v2_10!G126),0))</f>
        <v>1</v>
      </c>
      <c r="H126">
        <f>IF(AND(F126=1,G126=1),ROUND(SUM(householdfinance_v2_9!H126,householdfinance_v2_8!H126,householdfinance_v2_7!H126,householdfinance_v2_6!H126,householdfinance_v2_10!H126)/COUNT(householdfinance_v2_9!H126,householdfinance_v2_8!H126,householdfinance_v2_7!H126,householdfinance_v2_6!H126,householdfinance_v2_10!H126),0),"NA")</f>
        <v>1</v>
      </c>
      <c r="I126">
        <f>IF($E126=0,"NA",ROUND(SUM(householdfinance_v2_9!I126,householdfinance_v2_8!I126,householdfinance_v2_7!I126,householdfinance_v2_6!I126,householdfinance_v2_10!I126)/COUNT(householdfinance_v2_9!I126,householdfinance_v2_8!I126,householdfinance_v2_7!I126,householdfinance_v2_6!I126,householdfinance_v2_10!I126),0))</f>
        <v>1</v>
      </c>
      <c r="J126">
        <f>IF(F126=1,ROUND(SUM(householdfinance_v2_9!J126,householdfinance_v2_8!J126,householdfinance_v2_7!J126,householdfinance_v2_6!J126,householdfinance_v2_10!J126)/COUNT(householdfinance_v2_9!J126,householdfinance_v2_8!J126,householdfinance_v2_7!J126,householdfinance_v2_6!J126,householdfinance_v2_10!J126),0),"NA")</f>
        <v>1</v>
      </c>
      <c r="K126">
        <f>IF($E126=0,"NA",ROUND(SUM(householdfinance_v2_9!K126,householdfinance_v2_8!K126,householdfinance_v2_7!K126,householdfinance_v2_6!K126,householdfinance_v2_10!K126)/COUNT(householdfinance_v2_9!K126,householdfinance_v2_8!K126,householdfinance_v2_7!K126,householdfinance_v2_6!K126,householdfinance_v2_10!K126),0))</f>
        <v>1</v>
      </c>
      <c r="L126">
        <f>IF($E126=0,"NA",ROUND(SUM(householdfinance_v2_9!L126,householdfinance_v2_8!L126,householdfinance_v2_7!L126,householdfinance_v2_6!L126,householdfinance_v2_10!L126)/COUNT(householdfinance_v2_9!L126,householdfinance_v2_8!L126,householdfinance_v2_7!L126,householdfinance_v2_6!L126,householdfinance_v2_10!L126),0))</f>
        <v>1</v>
      </c>
      <c r="M126">
        <f>IF($E126=0,"NA",ROUND(SUM(householdfinance_v2_9!M126,householdfinance_v2_8!M126,householdfinance_v2_7!M126,householdfinance_v2_6!M126,householdfinance_v2_10!M126)/COUNT(householdfinance_v2_9!M126,householdfinance_v2_8!M126,householdfinance_v2_7!M126,householdfinance_v2_6!M126,householdfinance_v2_10!M126),0))</f>
        <v>1</v>
      </c>
      <c r="N126">
        <f>IF($E126=0,"NA",ROUND(SUM(householdfinance_v2_9!N126,householdfinance_v2_8!N126,householdfinance_v2_7!N126,householdfinance_v2_6!N126,householdfinance_v2_10!N126)/COUNT(householdfinance_v2_9!N126,householdfinance_v2_8!N126,householdfinance_v2_7!N126,householdfinance_v2_6!N126,householdfinance_v2_10!N126),0))</f>
        <v>1</v>
      </c>
      <c r="O126">
        <f>IF($E126=0,"NA",ROUND(SUM(householdfinance_v2_9!O126,householdfinance_v2_8!O126,householdfinance_v2_7!O126,householdfinance_v2_6!O126,householdfinance_v2_10!O126)/COUNT(householdfinance_v2_9!O126,householdfinance_v2_8!O126,householdfinance_v2_7!O126,householdfinance_v2_6!O126,householdfinance_v2_10!O126),0))</f>
        <v>1</v>
      </c>
    </row>
    <row r="127" spans="1:15" x14ac:dyDescent="0.25">
      <c r="A127" t="s">
        <v>151</v>
      </c>
      <c r="B127" t="s">
        <v>35</v>
      </c>
      <c r="C127">
        <v>0</v>
      </c>
      <c r="D127">
        <v>13.97095775604248</v>
      </c>
      <c r="E127">
        <f>ROUND(SUM(householdfinance_v2_9!E127,householdfinance_v2_8!E127,householdfinance_v2_7!E127,householdfinance_v2_6!E127,householdfinance_v2_10!E127)/COUNT(householdfinance_v2_9!E127,householdfinance_v2_8!E127,householdfinance_v2_7!E127,householdfinance_v2_6!E127,householdfinance_v2_10!E127),0)</f>
        <v>1</v>
      </c>
      <c r="F127">
        <f>IF($E127=0,"NA",ROUND(SUM(householdfinance_v2_9!F127,householdfinance_v2_8!F127,householdfinance_v2_7!F127,householdfinance_v2_6!F127,householdfinance_v2_10!F127)/COUNT(householdfinance_v2_9!F127,householdfinance_v2_8!F127,householdfinance_v2_7!F127,householdfinance_v2_6!F127,householdfinance_v2_10!F127),0))</f>
        <v>1</v>
      </c>
      <c r="G127">
        <f>IF($E127=0,"NA",ROUND(SUM(householdfinance_v2_9!G127,householdfinance_v2_8!G127,householdfinance_v2_7!G127,householdfinance_v2_6!G127,householdfinance_v2_10!G127)/COUNT(householdfinance_v2_9!G127,householdfinance_v2_8!G127,householdfinance_v2_7!G127,householdfinance_v2_6!G127,householdfinance_v2_10!G127),0))</f>
        <v>1</v>
      </c>
      <c r="H127">
        <f>IF(AND(F127=1,G127=1),ROUND(SUM(householdfinance_v2_9!H127,householdfinance_v2_8!H127,householdfinance_v2_7!H127,householdfinance_v2_6!H127,householdfinance_v2_10!H127)/COUNT(householdfinance_v2_9!H127,householdfinance_v2_8!H127,householdfinance_v2_7!H127,householdfinance_v2_6!H127,householdfinance_v2_10!H127),0),"NA")</f>
        <v>1</v>
      </c>
      <c r="I127">
        <f>IF($E127=0,"NA",ROUND(SUM(householdfinance_v2_9!I127,householdfinance_v2_8!I127,householdfinance_v2_7!I127,householdfinance_v2_6!I127,householdfinance_v2_10!I127)/COUNT(householdfinance_v2_9!I127,householdfinance_v2_8!I127,householdfinance_v2_7!I127,householdfinance_v2_6!I127,householdfinance_v2_10!I127),0))</f>
        <v>1</v>
      </c>
      <c r="J127">
        <f>IF(F127=1,ROUND(SUM(householdfinance_v2_9!J127,householdfinance_v2_8!J127,householdfinance_v2_7!J127,householdfinance_v2_6!J127,householdfinance_v2_10!J127)/COUNT(householdfinance_v2_9!J127,householdfinance_v2_8!J127,householdfinance_v2_7!J127,householdfinance_v2_6!J127,householdfinance_v2_10!J127),0),"NA")</f>
        <v>1</v>
      </c>
      <c r="K127">
        <f>IF($E127=0,"NA",ROUND(SUM(householdfinance_v2_9!K127,householdfinance_v2_8!K127,householdfinance_v2_7!K127,householdfinance_v2_6!K127,householdfinance_v2_10!K127)/COUNT(householdfinance_v2_9!K127,householdfinance_v2_8!K127,householdfinance_v2_7!K127,householdfinance_v2_6!K127,householdfinance_v2_10!K127),0))</f>
        <v>1</v>
      </c>
      <c r="L127">
        <f>IF($E127=0,"NA",ROUND(SUM(householdfinance_v2_9!L127,householdfinance_v2_8!L127,householdfinance_v2_7!L127,householdfinance_v2_6!L127,householdfinance_v2_10!L127)/COUNT(householdfinance_v2_9!L127,householdfinance_v2_8!L127,householdfinance_v2_7!L127,householdfinance_v2_6!L127,householdfinance_v2_10!L127),0))</f>
        <v>1</v>
      </c>
      <c r="M127">
        <f>IF($E127=0,"NA",ROUND(SUM(householdfinance_v2_9!M127,householdfinance_v2_8!M127,householdfinance_v2_7!M127,householdfinance_v2_6!M127,householdfinance_v2_10!M127)/COUNT(householdfinance_v2_9!M127,householdfinance_v2_8!M127,householdfinance_v2_7!M127,householdfinance_v2_6!M127,householdfinance_v2_10!M127),0))</f>
        <v>1</v>
      </c>
      <c r="N127">
        <f>IF($E127=0,"NA",ROUND(SUM(householdfinance_v2_9!N127,householdfinance_v2_8!N127,householdfinance_v2_7!N127,householdfinance_v2_6!N127,householdfinance_v2_10!N127)/COUNT(householdfinance_v2_9!N127,householdfinance_v2_8!N127,householdfinance_v2_7!N127,householdfinance_v2_6!N127,householdfinance_v2_10!N127),0))</f>
        <v>1</v>
      </c>
      <c r="O127">
        <f>IF($E127=0,"NA",ROUND(SUM(householdfinance_v2_9!O127,householdfinance_v2_8!O127,householdfinance_v2_7!O127,householdfinance_v2_6!O127,householdfinance_v2_10!O127)/COUNT(householdfinance_v2_9!O127,householdfinance_v2_8!O127,householdfinance_v2_7!O127,householdfinance_v2_6!O127,householdfinance_v2_10!O127),0))</f>
        <v>1</v>
      </c>
    </row>
    <row r="128" spans="1:15" x14ac:dyDescent="0.25">
      <c r="A128" t="s">
        <v>151</v>
      </c>
      <c r="B128" t="s">
        <v>36</v>
      </c>
      <c r="C128">
        <v>0</v>
      </c>
      <c r="D128">
        <v>2.8128359317779541</v>
      </c>
      <c r="E128">
        <f>ROUND(SUM(householdfinance_v2_9!E128,householdfinance_v2_8!E128,householdfinance_v2_7!E128,householdfinance_v2_6!E128,householdfinance_v2_10!E128)/COUNT(householdfinance_v2_9!E128,householdfinance_v2_8!E128,householdfinance_v2_7!E128,householdfinance_v2_6!E128,householdfinance_v2_10!E128),0)</f>
        <v>1</v>
      </c>
      <c r="F128">
        <f>IF($E128=0,"NA",ROUND(SUM(householdfinance_v2_9!F128,householdfinance_v2_8!F128,householdfinance_v2_7!F128,householdfinance_v2_6!F128,householdfinance_v2_10!F128)/COUNT(householdfinance_v2_9!F128,householdfinance_v2_8!F128,householdfinance_v2_7!F128,householdfinance_v2_6!F128,householdfinance_v2_10!F128),0))</f>
        <v>1</v>
      </c>
      <c r="G128">
        <f>IF($E128=0,"NA",ROUND(SUM(householdfinance_v2_9!G128,householdfinance_v2_8!G128,householdfinance_v2_7!G128,householdfinance_v2_6!G128,householdfinance_v2_10!G128)/COUNT(householdfinance_v2_9!G128,householdfinance_v2_8!G128,householdfinance_v2_7!G128,householdfinance_v2_6!G128,householdfinance_v2_10!G128),0))</f>
        <v>1</v>
      </c>
      <c r="H128">
        <f>IF(AND(F128=1,G128=1),ROUND(SUM(householdfinance_v2_9!H128,householdfinance_v2_8!H128,householdfinance_v2_7!H128,householdfinance_v2_6!H128,householdfinance_v2_10!H128)/COUNT(householdfinance_v2_9!H128,householdfinance_v2_8!H128,householdfinance_v2_7!H128,householdfinance_v2_6!H128,householdfinance_v2_10!H128),0),"NA")</f>
        <v>1</v>
      </c>
      <c r="I128">
        <f>IF($E128=0,"NA",ROUND(SUM(householdfinance_v2_9!I128,householdfinance_v2_8!I128,householdfinance_v2_7!I128,householdfinance_v2_6!I128,householdfinance_v2_10!I128)/COUNT(householdfinance_v2_9!I128,householdfinance_v2_8!I128,householdfinance_v2_7!I128,householdfinance_v2_6!I128,householdfinance_v2_10!I128),0))</f>
        <v>1</v>
      </c>
      <c r="J128">
        <f>IF(F128=1,ROUND(SUM(householdfinance_v2_9!J128,householdfinance_v2_8!J128,householdfinance_v2_7!J128,householdfinance_v2_6!J128,householdfinance_v2_10!J128)/COUNT(householdfinance_v2_9!J128,householdfinance_v2_8!J128,householdfinance_v2_7!J128,householdfinance_v2_6!J128,householdfinance_v2_10!J128),0),"NA")</f>
        <v>1</v>
      </c>
      <c r="K128">
        <f>IF($E128=0,"NA",ROUND(SUM(householdfinance_v2_9!K128,householdfinance_v2_8!K128,householdfinance_v2_7!K128,householdfinance_v2_6!K128,householdfinance_v2_10!K128)/COUNT(householdfinance_v2_9!K128,householdfinance_v2_8!K128,householdfinance_v2_7!K128,householdfinance_v2_6!K128,householdfinance_v2_10!K128),0))</f>
        <v>1</v>
      </c>
      <c r="L128">
        <f>IF($E128=0,"NA",ROUND(SUM(householdfinance_v2_9!L128,householdfinance_v2_8!L128,householdfinance_v2_7!L128,householdfinance_v2_6!L128,householdfinance_v2_10!L128)/COUNT(householdfinance_v2_9!L128,householdfinance_v2_8!L128,householdfinance_v2_7!L128,householdfinance_v2_6!L128,householdfinance_v2_10!L128),0))</f>
        <v>1</v>
      </c>
      <c r="M128">
        <f>IF($E128=0,"NA",ROUND(SUM(householdfinance_v2_9!M128,householdfinance_v2_8!M128,householdfinance_v2_7!M128,householdfinance_v2_6!M128,householdfinance_v2_10!M128)/COUNT(householdfinance_v2_9!M128,householdfinance_v2_8!M128,householdfinance_v2_7!M128,householdfinance_v2_6!M128,householdfinance_v2_10!M128),0))</f>
        <v>1</v>
      </c>
      <c r="N128">
        <f>IF($E128=0,"NA",ROUND(SUM(householdfinance_v2_9!N128,householdfinance_v2_8!N128,householdfinance_v2_7!N128,householdfinance_v2_6!N128,householdfinance_v2_10!N128)/COUNT(householdfinance_v2_9!N128,householdfinance_v2_8!N128,householdfinance_v2_7!N128,householdfinance_v2_6!N128,householdfinance_v2_10!N128),0))</f>
        <v>1</v>
      </c>
      <c r="O128">
        <f>IF($E128=0,"NA",ROUND(SUM(householdfinance_v2_9!O128,householdfinance_v2_8!O128,householdfinance_v2_7!O128,householdfinance_v2_6!O128,householdfinance_v2_10!O128)/COUNT(householdfinance_v2_9!O128,householdfinance_v2_8!O128,householdfinance_v2_7!O128,householdfinance_v2_6!O128,householdfinance_v2_10!O128),0))</f>
        <v>1</v>
      </c>
    </row>
    <row r="129" spans="1:15" x14ac:dyDescent="0.25">
      <c r="A129" t="s">
        <v>151</v>
      </c>
      <c r="B129" t="s">
        <v>37</v>
      </c>
      <c r="C129">
        <v>0</v>
      </c>
      <c r="D129">
        <v>2.7943108081817631</v>
      </c>
      <c r="E129">
        <f>ROUND(SUM(householdfinance_v2_9!E129,householdfinance_v2_8!E129,householdfinance_v2_7!E129,householdfinance_v2_6!E129,householdfinance_v2_10!E129)/COUNT(householdfinance_v2_9!E129,householdfinance_v2_8!E129,householdfinance_v2_7!E129,householdfinance_v2_6!E129,householdfinance_v2_10!E129),0)</f>
        <v>1</v>
      </c>
      <c r="F129">
        <f>IF($E129=0,"NA",ROUND(SUM(householdfinance_v2_9!F129,householdfinance_v2_8!F129,householdfinance_v2_7!F129,householdfinance_v2_6!F129,householdfinance_v2_10!F129)/COUNT(householdfinance_v2_9!F129,householdfinance_v2_8!F129,householdfinance_v2_7!F129,householdfinance_v2_6!F129,householdfinance_v2_10!F129),0))</f>
        <v>1</v>
      </c>
      <c r="G129">
        <f>IF($E129=0,"NA",ROUND(SUM(householdfinance_v2_9!G129,householdfinance_v2_8!G129,householdfinance_v2_7!G129,householdfinance_v2_6!G129,householdfinance_v2_10!G129)/COUNT(householdfinance_v2_9!G129,householdfinance_v2_8!G129,householdfinance_v2_7!G129,householdfinance_v2_6!G129,householdfinance_v2_10!G129),0))</f>
        <v>1</v>
      </c>
      <c r="H129">
        <f>IF(AND(F129=1,G129=1),ROUND(SUM(householdfinance_v2_9!H129,householdfinance_v2_8!H129,householdfinance_v2_7!H129,householdfinance_v2_6!H129,householdfinance_v2_10!H129)/COUNT(householdfinance_v2_9!H129,householdfinance_v2_8!H129,householdfinance_v2_7!H129,householdfinance_v2_6!H129,householdfinance_v2_10!H129),0),"NA")</f>
        <v>1</v>
      </c>
      <c r="I129">
        <f>IF($E129=0,"NA",ROUND(SUM(householdfinance_v2_9!I129,householdfinance_v2_8!I129,householdfinance_v2_7!I129,householdfinance_v2_6!I129,householdfinance_v2_10!I129)/COUNT(householdfinance_v2_9!I129,householdfinance_v2_8!I129,householdfinance_v2_7!I129,householdfinance_v2_6!I129,householdfinance_v2_10!I129),0))</f>
        <v>1</v>
      </c>
      <c r="J129">
        <f>IF(F129=1,ROUND(SUM(householdfinance_v2_9!J129,householdfinance_v2_8!J129,householdfinance_v2_7!J129,householdfinance_v2_6!J129,householdfinance_v2_10!J129)/COUNT(householdfinance_v2_9!J129,householdfinance_v2_8!J129,householdfinance_v2_7!J129,householdfinance_v2_6!J129,householdfinance_v2_10!J129),0),"NA")</f>
        <v>1</v>
      </c>
      <c r="K129">
        <f>IF($E129=0,"NA",ROUND(SUM(householdfinance_v2_9!K129,householdfinance_v2_8!K129,householdfinance_v2_7!K129,householdfinance_v2_6!K129,householdfinance_v2_10!K129)/COUNT(householdfinance_v2_9!K129,householdfinance_v2_8!K129,householdfinance_v2_7!K129,householdfinance_v2_6!K129,householdfinance_v2_10!K129),0))</f>
        <v>1</v>
      </c>
      <c r="L129">
        <f>IF($E129=0,"NA",ROUND(SUM(householdfinance_v2_9!L129,householdfinance_v2_8!L129,householdfinance_v2_7!L129,householdfinance_v2_6!L129,householdfinance_v2_10!L129)/COUNT(householdfinance_v2_9!L129,householdfinance_v2_8!L129,householdfinance_v2_7!L129,householdfinance_v2_6!L129,householdfinance_v2_10!L129),0))</f>
        <v>1</v>
      </c>
      <c r="M129">
        <f>IF($E129=0,"NA",ROUND(SUM(householdfinance_v2_9!M129,householdfinance_v2_8!M129,householdfinance_v2_7!M129,householdfinance_v2_6!M129,householdfinance_v2_10!M129)/COUNT(householdfinance_v2_9!M129,householdfinance_v2_8!M129,householdfinance_v2_7!M129,householdfinance_v2_6!M129,householdfinance_v2_10!M129),0))</f>
        <v>1</v>
      </c>
      <c r="N129">
        <f>IF($E129=0,"NA",ROUND(SUM(householdfinance_v2_9!N129,householdfinance_v2_8!N129,householdfinance_v2_7!N129,householdfinance_v2_6!N129,householdfinance_v2_10!N129)/COUNT(householdfinance_v2_9!N129,householdfinance_v2_8!N129,householdfinance_v2_7!N129,householdfinance_v2_6!N129,householdfinance_v2_10!N129),0))</f>
        <v>1</v>
      </c>
      <c r="O129">
        <f>IF($E129=0,"NA",ROUND(SUM(householdfinance_v2_9!O129,householdfinance_v2_8!O129,householdfinance_v2_7!O129,householdfinance_v2_6!O129,householdfinance_v2_10!O129)/COUNT(householdfinance_v2_9!O129,householdfinance_v2_8!O129,householdfinance_v2_7!O129,householdfinance_v2_6!O129,householdfinance_v2_10!O129),0))</f>
        <v>1</v>
      </c>
    </row>
    <row r="130" spans="1:15" x14ac:dyDescent="0.25">
      <c r="A130" t="s">
        <v>151</v>
      </c>
      <c r="B130" t="s">
        <v>39</v>
      </c>
      <c r="C130">
        <v>0</v>
      </c>
      <c r="D130">
        <v>4.0735900402069092</v>
      </c>
      <c r="E130">
        <f>ROUND(SUM(householdfinance_v2_9!E130,householdfinance_v2_8!E130,householdfinance_v2_7!E130,householdfinance_v2_6!E130,householdfinance_v2_10!E130)/COUNT(householdfinance_v2_9!E130,householdfinance_v2_8!E130,householdfinance_v2_7!E130,householdfinance_v2_6!E130,householdfinance_v2_10!E130),0)</f>
        <v>1</v>
      </c>
      <c r="F130">
        <f>IF($E130=0,"NA",ROUND(SUM(householdfinance_v2_9!F130,householdfinance_v2_8!F130,householdfinance_v2_7!F130,householdfinance_v2_6!F130,householdfinance_v2_10!F130)/COUNT(householdfinance_v2_9!F130,householdfinance_v2_8!F130,householdfinance_v2_7!F130,householdfinance_v2_6!F130,householdfinance_v2_10!F130),0))</f>
        <v>1</v>
      </c>
      <c r="G130">
        <f>IF($E130=0,"NA",ROUND(SUM(householdfinance_v2_9!G130,householdfinance_v2_8!G130,householdfinance_v2_7!G130,householdfinance_v2_6!G130,householdfinance_v2_10!G130)/COUNT(householdfinance_v2_9!G130,householdfinance_v2_8!G130,householdfinance_v2_7!G130,householdfinance_v2_6!G130,householdfinance_v2_10!G130),0))</f>
        <v>1</v>
      </c>
      <c r="H130">
        <f>IF(AND(F130=1,G130=1),ROUND(SUM(householdfinance_v2_9!H130,householdfinance_v2_8!H130,householdfinance_v2_7!H130,householdfinance_v2_6!H130,householdfinance_v2_10!H130)/COUNT(householdfinance_v2_9!H130,householdfinance_v2_8!H130,householdfinance_v2_7!H130,householdfinance_v2_6!H130,householdfinance_v2_10!H130),0),"NA")</f>
        <v>1</v>
      </c>
      <c r="I130">
        <f>IF($E130=0,"NA",ROUND(SUM(householdfinance_v2_9!I130,householdfinance_v2_8!I130,householdfinance_v2_7!I130,householdfinance_v2_6!I130,householdfinance_v2_10!I130)/COUNT(householdfinance_v2_9!I130,householdfinance_v2_8!I130,householdfinance_v2_7!I130,householdfinance_v2_6!I130,householdfinance_v2_10!I130),0))</f>
        <v>0</v>
      </c>
      <c r="J130">
        <f>IF(F130=1,ROUND(SUM(householdfinance_v2_9!J130,householdfinance_v2_8!J130,householdfinance_v2_7!J130,householdfinance_v2_6!J130,householdfinance_v2_10!J130)/COUNT(householdfinance_v2_9!J130,householdfinance_v2_8!J130,householdfinance_v2_7!J130,householdfinance_v2_6!J130,householdfinance_v2_10!J130),0),"NA")</f>
        <v>1</v>
      </c>
      <c r="K130">
        <f>IF($E130=0,"NA",ROUND(SUM(householdfinance_v2_9!K130,householdfinance_v2_8!K130,householdfinance_v2_7!K130,householdfinance_v2_6!K130,householdfinance_v2_10!K130)/COUNT(householdfinance_v2_9!K130,householdfinance_v2_8!K130,householdfinance_v2_7!K130,householdfinance_v2_6!K130,householdfinance_v2_10!K130),0))</f>
        <v>1</v>
      </c>
      <c r="L130">
        <f>IF($E130=0,"NA",ROUND(SUM(householdfinance_v2_9!L130,householdfinance_v2_8!L130,householdfinance_v2_7!L130,householdfinance_v2_6!L130,householdfinance_v2_10!L130)/COUNT(householdfinance_v2_9!L130,householdfinance_v2_8!L130,householdfinance_v2_7!L130,householdfinance_v2_6!L130,householdfinance_v2_10!L130),0))</f>
        <v>1</v>
      </c>
      <c r="M130">
        <f>IF($E130=0,"NA",ROUND(SUM(householdfinance_v2_9!M130,householdfinance_v2_8!M130,householdfinance_v2_7!M130,householdfinance_v2_6!M130,householdfinance_v2_10!M130)/COUNT(householdfinance_v2_9!M130,householdfinance_v2_8!M130,householdfinance_v2_7!M130,householdfinance_v2_6!M130,householdfinance_v2_10!M130),0))</f>
        <v>1</v>
      </c>
      <c r="N130">
        <f>IF($E130=0,"NA",ROUND(SUM(householdfinance_v2_9!N130,householdfinance_v2_8!N130,householdfinance_v2_7!N130,householdfinance_v2_6!N130,householdfinance_v2_10!N130)/COUNT(householdfinance_v2_9!N130,householdfinance_v2_8!N130,householdfinance_v2_7!N130,householdfinance_v2_6!N130,householdfinance_v2_10!N130),0))</f>
        <v>1</v>
      </c>
      <c r="O130">
        <f>IF($E130=0,"NA",ROUND(SUM(householdfinance_v2_9!O130,householdfinance_v2_8!O130,householdfinance_v2_7!O130,householdfinance_v2_6!O130,householdfinance_v2_10!O130)/COUNT(householdfinance_v2_9!O130,householdfinance_v2_8!O130,householdfinance_v2_7!O130,householdfinance_v2_6!O130,householdfinance_v2_10!O130),0))</f>
        <v>1</v>
      </c>
    </row>
    <row r="131" spans="1:15" x14ac:dyDescent="0.25">
      <c r="A131" t="s">
        <v>151</v>
      </c>
      <c r="B131" t="s">
        <v>40</v>
      </c>
      <c r="C131">
        <v>0</v>
      </c>
      <c r="D131">
        <v>6.545616626739502</v>
      </c>
      <c r="E131">
        <f>ROUND(SUM(householdfinance_v2_9!E131,householdfinance_v2_8!E131,householdfinance_v2_7!E131,householdfinance_v2_6!E131,householdfinance_v2_10!E131)/COUNT(householdfinance_v2_9!E131,householdfinance_v2_8!E131,householdfinance_v2_7!E131,householdfinance_v2_6!E131,householdfinance_v2_10!E131),0)</f>
        <v>1</v>
      </c>
      <c r="F131">
        <f>IF($E131=0,"NA",ROUND(SUM(householdfinance_v2_9!F131,householdfinance_v2_8!F131,householdfinance_v2_7!F131,householdfinance_v2_6!F131,householdfinance_v2_10!F131)/COUNT(householdfinance_v2_9!F131,householdfinance_v2_8!F131,householdfinance_v2_7!F131,householdfinance_v2_6!F131,householdfinance_v2_10!F131),0))</f>
        <v>1</v>
      </c>
      <c r="G131">
        <f>IF($E131=0,"NA",ROUND(SUM(householdfinance_v2_9!G131,householdfinance_v2_8!G131,householdfinance_v2_7!G131,householdfinance_v2_6!G131,householdfinance_v2_10!G131)/COUNT(householdfinance_v2_9!G131,householdfinance_v2_8!G131,householdfinance_v2_7!G131,householdfinance_v2_6!G131,householdfinance_v2_10!G131),0))</f>
        <v>0</v>
      </c>
      <c r="H131" t="str">
        <f>IF(AND(F131=1,G131=1),ROUND(SUM(householdfinance_v2_9!H131,householdfinance_v2_8!H131,householdfinance_v2_7!H131,householdfinance_v2_6!H131,householdfinance_v2_10!H131)/COUNT(householdfinance_v2_9!H131,householdfinance_v2_8!H131,householdfinance_v2_7!H131,householdfinance_v2_6!H131,householdfinance_v2_10!H131),0),"NA")</f>
        <v>NA</v>
      </c>
      <c r="I131">
        <f>IF($E131=0,"NA",ROUND(SUM(householdfinance_v2_9!I131,householdfinance_v2_8!I131,householdfinance_v2_7!I131,householdfinance_v2_6!I131,householdfinance_v2_10!I131)/COUNT(householdfinance_v2_9!I131,householdfinance_v2_8!I131,householdfinance_v2_7!I131,householdfinance_v2_6!I131,householdfinance_v2_10!I131),0))</f>
        <v>1</v>
      </c>
      <c r="J131">
        <f>IF(F131=1,ROUND(SUM(householdfinance_v2_9!J131,householdfinance_v2_8!J131,householdfinance_v2_7!J131,householdfinance_v2_6!J131,householdfinance_v2_10!J131)/COUNT(householdfinance_v2_9!J131,householdfinance_v2_8!J131,householdfinance_v2_7!J131,householdfinance_v2_6!J131,householdfinance_v2_10!J131),0),"NA")</f>
        <v>1</v>
      </c>
      <c r="K131">
        <f>IF($E131=0,"NA",ROUND(SUM(householdfinance_v2_9!K131,householdfinance_v2_8!K131,householdfinance_v2_7!K131,householdfinance_v2_6!K131,householdfinance_v2_10!K131)/COUNT(householdfinance_v2_9!K131,householdfinance_v2_8!K131,householdfinance_v2_7!K131,householdfinance_v2_6!K131,householdfinance_v2_10!K131),0))</f>
        <v>0</v>
      </c>
      <c r="L131">
        <f>IF($E131=0,"NA",ROUND(SUM(householdfinance_v2_9!L131,householdfinance_v2_8!L131,householdfinance_v2_7!L131,householdfinance_v2_6!L131,householdfinance_v2_10!L131)/COUNT(householdfinance_v2_9!L131,householdfinance_v2_8!L131,householdfinance_v2_7!L131,householdfinance_v2_6!L131,householdfinance_v2_10!L131),0))</f>
        <v>1</v>
      </c>
      <c r="M131">
        <f>IF($E131=0,"NA",ROUND(SUM(householdfinance_v2_9!M131,householdfinance_v2_8!M131,householdfinance_v2_7!M131,householdfinance_v2_6!M131,householdfinance_v2_10!M131)/COUNT(householdfinance_v2_9!M131,householdfinance_v2_8!M131,householdfinance_v2_7!M131,householdfinance_v2_6!M131,householdfinance_v2_10!M131),0))</f>
        <v>1</v>
      </c>
      <c r="N131">
        <f>IF($E131=0,"NA",ROUND(SUM(householdfinance_v2_9!N131,householdfinance_v2_8!N131,householdfinance_v2_7!N131,householdfinance_v2_6!N131,householdfinance_v2_10!N131)/COUNT(householdfinance_v2_9!N131,householdfinance_v2_8!N131,householdfinance_v2_7!N131,householdfinance_v2_6!N131,householdfinance_v2_10!N131),0))</f>
        <v>1</v>
      </c>
      <c r="O131">
        <f>IF($E131=0,"NA",ROUND(SUM(householdfinance_v2_9!O131,householdfinance_v2_8!O131,householdfinance_v2_7!O131,householdfinance_v2_6!O131,householdfinance_v2_10!O131)/COUNT(householdfinance_v2_9!O131,householdfinance_v2_8!O131,householdfinance_v2_7!O131,householdfinance_v2_6!O131,householdfinance_v2_10!O131),0))</f>
        <v>1</v>
      </c>
    </row>
    <row r="132" spans="1:15" x14ac:dyDescent="0.25">
      <c r="A132" t="s">
        <v>151</v>
      </c>
      <c r="B132" t="s">
        <v>41</v>
      </c>
      <c r="C132">
        <v>0</v>
      </c>
      <c r="D132">
        <v>11.04436469078064</v>
      </c>
      <c r="E132">
        <f>ROUND(SUM(householdfinance_v2_9!E132,householdfinance_v2_8!E132,householdfinance_v2_7!E132,householdfinance_v2_6!E132,householdfinance_v2_10!E132)/COUNT(householdfinance_v2_9!E132,householdfinance_v2_8!E132,householdfinance_v2_7!E132,householdfinance_v2_6!E132,householdfinance_v2_10!E132),0)</f>
        <v>1</v>
      </c>
      <c r="F132">
        <f>IF($E132=0,"NA",ROUND(SUM(householdfinance_v2_9!F132,householdfinance_v2_8!F132,householdfinance_v2_7!F132,householdfinance_v2_6!F132,householdfinance_v2_10!F132)/COUNT(householdfinance_v2_9!F132,householdfinance_v2_8!F132,householdfinance_v2_7!F132,householdfinance_v2_6!F132,householdfinance_v2_10!F132),0))</f>
        <v>1</v>
      </c>
      <c r="G132">
        <f>IF($E132=0,"NA",ROUND(SUM(householdfinance_v2_9!G132,householdfinance_v2_8!G132,householdfinance_v2_7!G132,householdfinance_v2_6!G132,householdfinance_v2_10!G132)/COUNT(householdfinance_v2_9!G132,householdfinance_v2_8!G132,householdfinance_v2_7!G132,householdfinance_v2_6!G132,householdfinance_v2_10!G132),0))</f>
        <v>1</v>
      </c>
      <c r="H132">
        <f>IF(AND(F132=1,G132=1),ROUND(SUM(householdfinance_v2_9!H132,householdfinance_v2_8!H132,householdfinance_v2_7!H132,householdfinance_v2_6!H132,householdfinance_v2_10!H132)/COUNT(householdfinance_v2_9!H132,householdfinance_v2_8!H132,householdfinance_v2_7!H132,householdfinance_v2_6!H132,householdfinance_v2_10!H132),0),"NA")</f>
        <v>1</v>
      </c>
      <c r="I132">
        <f>IF($E132=0,"NA",ROUND(SUM(householdfinance_v2_9!I132,householdfinance_v2_8!I132,householdfinance_v2_7!I132,householdfinance_v2_6!I132,householdfinance_v2_10!I132)/COUNT(householdfinance_v2_9!I132,householdfinance_v2_8!I132,householdfinance_v2_7!I132,householdfinance_v2_6!I132,householdfinance_v2_10!I132),0))</f>
        <v>1</v>
      </c>
      <c r="J132">
        <f>IF(F132=1,ROUND(SUM(householdfinance_v2_9!J132,householdfinance_v2_8!J132,householdfinance_v2_7!J132,householdfinance_v2_6!J132,householdfinance_v2_10!J132)/COUNT(householdfinance_v2_9!J132,householdfinance_v2_8!J132,householdfinance_v2_7!J132,householdfinance_v2_6!J132,householdfinance_v2_10!J132),0),"NA")</f>
        <v>1</v>
      </c>
      <c r="K132">
        <f>IF($E132=0,"NA",ROUND(SUM(householdfinance_v2_9!K132,householdfinance_v2_8!K132,householdfinance_v2_7!K132,householdfinance_v2_6!K132,householdfinance_v2_10!K132)/COUNT(householdfinance_v2_9!K132,householdfinance_v2_8!K132,householdfinance_v2_7!K132,householdfinance_v2_6!K132,householdfinance_v2_10!K132),0))</f>
        <v>0</v>
      </c>
      <c r="L132">
        <f>IF($E132=0,"NA",ROUND(SUM(householdfinance_v2_9!L132,householdfinance_v2_8!L132,householdfinance_v2_7!L132,householdfinance_v2_6!L132,householdfinance_v2_10!L132)/COUNT(householdfinance_v2_9!L132,householdfinance_v2_8!L132,householdfinance_v2_7!L132,householdfinance_v2_6!L132,householdfinance_v2_10!L132),0))</f>
        <v>1</v>
      </c>
      <c r="M132">
        <f>IF($E132=0,"NA",ROUND(SUM(householdfinance_v2_9!M132,householdfinance_v2_8!M132,householdfinance_v2_7!M132,householdfinance_v2_6!M132,householdfinance_v2_10!M132)/COUNT(householdfinance_v2_9!M132,householdfinance_v2_8!M132,householdfinance_v2_7!M132,householdfinance_v2_6!M132,householdfinance_v2_10!M132),0))</f>
        <v>1</v>
      </c>
      <c r="N132">
        <f>IF($E132=0,"NA",ROUND(SUM(householdfinance_v2_9!N132,householdfinance_v2_8!N132,householdfinance_v2_7!N132,householdfinance_v2_6!N132,householdfinance_v2_10!N132)/COUNT(householdfinance_v2_9!N132,householdfinance_v2_8!N132,householdfinance_v2_7!N132,householdfinance_v2_6!N132,householdfinance_v2_10!N132),0))</f>
        <v>1</v>
      </c>
      <c r="O132">
        <f>IF($E132=0,"NA",ROUND(SUM(householdfinance_v2_9!O132,householdfinance_v2_8!O132,householdfinance_v2_7!O132,householdfinance_v2_6!O132,householdfinance_v2_10!O132)/COUNT(householdfinance_v2_9!O132,householdfinance_v2_8!O132,householdfinance_v2_7!O132,householdfinance_v2_6!O132,householdfinance_v2_10!O132),0))</f>
        <v>1</v>
      </c>
    </row>
    <row r="133" spans="1:15" x14ac:dyDescent="0.25">
      <c r="A133" t="s">
        <v>151</v>
      </c>
      <c r="B133" t="s">
        <v>42</v>
      </c>
      <c r="C133">
        <v>0</v>
      </c>
      <c r="D133">
        <v>6.6891493797302246</v>
      </c>
      <c r="E133">
        <f>ROUND(SUM(householdfinance_v2_9!E133,householdfinance_v2_8!E133,householdfinance_v2_7!E133,householdfinance_v2_6!E133,householdfinance_v2_10!E133)/COUNT(householdfinance_v2_9!E133,householdfinance_v2_8!E133,householdfinance_v2_7!E133,householdfinance_v2_6!E133,householdfinance_v2_10!E133),0)</f>
        <v>1</v>
      </c>
      <c r="F133">
        <f>IF($E133=0,"NA",ROUND(SUM(householdfinance_v2_9!F133,householdfinance_v2_8!F133,householdfinance_v2_7!F133,householdfinance_v2_6!F133,householdfinance_v2_10!F133)/COUNT(householdfinance_v2_9!F133,householdfinance_v2_8!F133,householdfinance_v2_7!F133,householdfinance_v2_6!F133,householdfinance_v2_10!F133),0))</f>
        <v>1</v>
      </c>
      <c r="G133">
        <f>IF($E133=0,"NA",ROUND(SUM(householdfinance_v2_9!G133,householdfinance_v2_8!G133,householdfinance_v2_7!G133,householdfinance_v2_6!G133,householdfinance_v2_10!G133)/COUNT(householdfinance_v2_9!G133,householdfinance_v2_8!G133,householdfinance_v2_7!G133,householdfinance_v2_6!G133,householdfinance_v2_10!G133),0))</f>
        <v>1</v>
      </c>
      <c r="H133">
        <f>IF(AND(F133=1,G133=1),ROUND(SUM(householdfinance_v2_9!H133,householdfinance_v2_8!H133,householdfinance_v2_7!H133,householdfinance_v2_6!H133,householdfinance_v2_10!H133)/COUNT(householdfinance_v2_9!H133,householdfinance_v2_8!H133,householdfinance_v2_7!H133,householdfinance_v2_6!H133,householdfinance_v2_10!H133),0),"NA")</f>
        <v>1</v>
      </c>
      <c r="I133">
        <f>IF($E133=0,"NA",ROUND(SUM(householdfinance_v2_9!I133,householdfinance_v2_8!I133,householdfinance_v2_7!I133,householdfinance_v2_6!I133,householdfinance_v2_10!I133)/COUNT(householdfinance_v2_9!I133,householdfinance_v2_8!I133,householdfinance_v2_7!I133,householdfinance_v2_6!I133,householdfinance_v2_10!I133),0))</f>
        <v>1</v>
      </c>
      <c r="J133">
        <f>IF(F133=1,ROUND(SUM(householdfinance_v2_9!J133,householdfinance_v2_8!J133,householdfinance_v2_7!J133,householdfinance_v2_6!J133,householdfinance_v2_10!J133)/COUNT(householdfinance_v2_9!J133,householdfinance_v2_8!J133,householdfinance_v2_7!J133,householdfinance_v2_6!J133,householdfinance_v2_10!J133),0),"NA")</f>
        <v>1</v>
      </c>
      <c r="K133">
        <f>IF($E133=0,"NA",ROUND(SUM(householdfinance_v2_9!K133,householdfinance_v2_8!K133,householdfinance_v2_7!K133,householdfinance_v2_6!K133,householdfinance_v2_10!K133)/COUNT(householdfinance_v2_9!K133,householdfinance_v2_8!K133,householdfinance_v2_7!K133,householdfinance_v2_6!K133,householdfinance_v2_10!K133),0))</f>
        <v>0</v>
      </c>
      <c r="L133">
        <f>IF($E133=0,"NA",ROUND(SUM(householdfinance_v2_9!L133,householdfinance_v2_8!L133,householdfinance_v2_7!L133,householdfinance_v2_6!L133,householdfinance_v2_10!L133)/COUNT(householdfinance_v2_9!L133,householdfinance_v2_8!L133,householdfinance_v2_7!L133,householdfinance_v2_6!L133,householdfinance_v2_10!L133),0))</f>
        <v>1</v>
      </c>
      <c r="M133">
        <f>IF($E133=0,"NA",ROUND(SUM(householdfinance_v2_9!M133,householdfinance_v2_8!M133,householdfinance_v2_7!M133,householdfinance_v2_6!M133,householdfinance_v2_10!M133)/COUNT(householdfinance_v2_9!M133,householdfinance_v2_8!M133,householdfinance_v2_7!M133,householdfinance_v2_6!M133,householdfinance_v2_10!M133),0))</f>
        <v>0</v>
      </c>
      <c r="N133">
        <f>IF($E133=0,"NA",ROUND(SUM(householdfinance_v2_9!N133,householdfinance_v2_8!N133,householdfinance_v2_7!N133,householdfinance_v2_6!N133,householdfinance_v2_10!N133)/COUNT(householdfinance_v2_9!N133,householdfinance_v2_8!N133,householdfinance_v2_7!N133,householdfinance_v2_6!N133,householdfinance_v2_10!N133),0))</f>
        <v>1</v>
      </c>
      <c r="O133">
        <f>IF($E133=0,"NA",ROUND(SUM(householdfinance_v2_9!O133,householdfinance_v2_8!O133,householdfinance_v2_7!O133,householdfinance_v2_6!O133,householdfinance_v2_10!O133)/COUNT(householdfinance_v2_9!O133,householdfinance_v2_8!O133,householdfinance_v2_7!O133,householdfinance_v2_6!O133,householdfinance_v2_10!O133),0))</f>
        <v>1</v>
      </c>
    </row>
    <row r="134" spans="1:15" x14ac:dyDescent="0.25">
      <c r="A134" t="s">
        <v>151</v>
      </c>
      <c r="B134" t="s">
        <v>44</v>
      </c>
      <c r="C134">
        <v>0</v>
      </c>
      <c r="D134">
        <v>2.7636945247650151</v>
      </c>
      <c r="E134">
        <f>ROUND(SUM(householdfinance_v2_9!E134,householdfinance_v2_8!E134,householdfinance_v2_7!E134,householdfinance_v2_6!E134,householdfinance_v2_10!E134)/COUNT(householdfinance_v2_9!E134,householdfinance_v2_8!E134,householdfinance_v2_7!E134,householdfinance_v2_6!E134,householdfinance_v2_10!E134),0)</f>
        <v>1</v>
      </c>
      <c r="F134">
        <f>IF($E134=0,"NA",ROUND(SUM(householdfinance_v2_9!F134,householdfinance_v2_8!F134,householdfinance_v2_7!F134,householdfinance_v2_6!F134,householdfinance_v2_10!F134)/COUNT(householdfinance_v2_9!F134,householdfinance_v2_8!F134,householdfinance_v2_7!F134,householdfinance_v2_6!F134,householdfinance_v2_10!F134),0))</f>
        <v>1</v>
      </c>
      <c r="G134">
        <f>IF($E134=0,"NA",ROUND(SUM(householdfinance_v2_9!G134,householdfinance_v2_8!G134,householdfinance_v2_7!G134,householdfinance_v2_6!G134,householdfinance_v2_10!G134)/COUNT(householdfinance_v2_9!G134,householdfinance_v2_8!G134,householdfinance_v2_7!G134,householdfinance_v2_6!G134,householdfinance_v2_10!G134),0))</f>
        <v>1</v>
      </c>
      <c r="H134">
        <f>IF(AND(F134=1,G134=1),ROUND(SUM(householdfinance_v2_9!H134,householdfinance_v2_8!H134,householdfinance_v2_7!H134,householdfinance_v2_6!H134,householdfinance_v2_10!H134)/COUNT(householdfinance_v2_9!H134,householdfinance_v2_8!H134,householdfinance_v2_7!H134,householdfinance_v2_6!H134,householdfinance_v2_10!H134),0),"NA")</f>
        <v>1</v>
      </c>
      <c r="I134">
        <f>IF($E134=0,"NA",ROUND(SUM(householdfinance_v2_9!I134,householdfinance_v2_8!I134,householdfinance_v2_7!I134,householdfinance_v2_6!I134,householdfinance_v2_10!I134)/COUNT(householdfinance_v2_9!I134,householdfinance_v2_8!I134,householdfinance_v2_7!I134,householdfinance_v2_6!I134,householdfinance_v2_10!I134),0))</f>
        <v>1</v>
      </c>
      <c r="J134">
        <f>IF(F134=1,ROUND(SUM(householdfinance_v2_9!J134,householdfinance_v2_8!J134,householdfinance_v2_7!J134,householdfinance_v2_6!J134,householdfinance_v2_10!J134)/COUNT(householdfinance_v2_9!J134,householdfinance_v2_8!J134,householdfinance_v2_7!J134,householdfinance_v2_6!J134,householdfinance_v2_10!J134),0),"NA")</f>
        <v>1</v>
      </c>
      <c r="K134">
        <f>IF($E134=0,"NA",ROUND(SUM(householdfinance_v2_9!K134,householdfinance_v2_8!K134,householdfinance_v2_7!K134,householdfinance_v2_6!K134,householdfinance_v2_10!K134)/COUNT(householdfinance_v2_9!K134,householdfinance_v2_8!K134,householdfinance_v2_7!K134,householdfinance_v2_6!K134,householdfinance_v2_10!K134),0))</f>
        <v>1</v>
      </c>
      <c r="L134">
        <f>IF($E134=0,"NA",ROUND(SUM(householdfinance_v2_9!L134,householdfinance_v2_8!L134,householdfinance_v2_7!L134,householdfinance_v2_6!L134,householdfinance_v2_10!L134)/COUNT(householdfinance_v2_9!L134,householdfinance_v2_8!L134,householdfinance_v2_7!L134,householdfinance_v2_6!L134,householdfinance_v2_10!L134),0))</f>
        <v>1</v>
      </c>
      <c r="M134">
        <f>IF($E134=0,"NA",ROUND(SUM(householdfinance_v2_9!M134,householdfinance_v2_8!M134,householdfinance_v2_7!M134,householdfinance_v2_6!M134,householdfinance_v2_10!M134)/COUNT(householdfinance_v2_9!M134,householdfinance_v2_8!M134,householdfinance_v2_7!M134,householdfinance_v2_6!M134,householdfinance_v2_10!M134),0))</f>
        <v>1</v>
      </c>
      <c r="N134">
        <f>IF($E134=0,"NA",ROUND(SUM(householdfinance_v2_9!N134,householdfinance_v2_8!N134,householdfinance_v2_7!N134,householdfinance_v2_6!N134,householdfinance_v2_10!N134)/COUNT(householdfinance_v2_9!N134,householdfinance_v2_8!N134,householdfinance_v2_7!N134,householdfinance_v2_6!N134,householdfinance_v2_10!N134),0))</f>
        <v>1</v>
      </c>
      <c r="O134">
        <f>IF($E134=0,"NA",ROUND(SUM(householdfinance_v2_9!O134,householdfinance_v2_8!O134,householdfinance_v2_7!O134,householdfinance_v2_6!O134,householdfinance_v2_10!O134)/COUNT(householdfinance_v2_9!O134,householdfinance_v2_8!O134,householdfinance_v2_7!O134,householdfinance_v2_6!O134,householdfinance_v2_10!O134),0))</f>
        <v>1</v>
      </c>
    </row>
    <row r="135" spans="1:15" x14ac:dyDescent="0.25">
      <c r="A135" t="s">
        <v>151</v>
      </c>
      <c r="B135" t="s">
        <v>46</v>
      </c>
      <c r="C135">
        <v>0</v>
      </c>
      <c r="D135">
        <v>2.7126317024230961</v>
      </c>
      <c r="E135">
        <f>ROUND(SUM(householdfinance_v2_9!E135,householdfinance_v2_8!E135,householdfinance_v2_7!E135,householdfinance_v2_6!E135,householdfinance_v2_10!E135)/COUNT(householdfinance_v2_9!E135,householdfinance_v2_8!E135,householdfinance_v2_7!E135,householdfinance_v2_6!E135,householdfinance_v2_10!E135),0)</f>
        <v>1</v>
      </c>
      <c r="F135">
        <f>IF($E135=0,"NA",ROUND(SUM(householdfinance_v2_9!F135,householdfinance_v2_8!F135,householdfinance_v2_7!F135,householdfinance_v2_6!F135,householdfinance_v2_10!F135)/COUNT(householdfinance_v2_9!F135,householdfinance_v2_8!F135,householdfinance_v2_7!F135,householdfinance_v2_6!F135,householdfinance_v2_10!F135),0))</f>
        <v>0</v>
      </c>
      <c r="G135">
        <f>IF($E135=0,"NA",ROUND(SUM(householdfinance_v2_9!G135,householdfinance_v2_8!G135,householdfinance_v2_7!G135,householdfinance_v2_6!G135,householdfinance_v2_10!G135)/COUNT(householdfinance_v2_9!G135,householdfinance_v2_8!G135,householdfinance_v2_7!G135,householdfinance_v2_6!G135,householdfinance_v2_10!G135),0))</f>
        <v>1</v>
      </c>
      <c r="H135" t="str">
        <f>IF(AND(F135=1,G135=1),ROUND(SUM(householdfinance_v2_9!H135,householdfinance_v2_8!H135,householdfinance_v2_7!H135,householdfinance_v2_6!H135,householdfinance_v2_10!H135)/COUNT(householdfinance_v2_9!H135,householdfinance_v2_8!H135,householdfinance_v2_7!H135,householdfinance_v2_6!H135,householdfinance_v2_10!H135),0),"NA")</f>
        <v>NA</v>
      </c>
      <c r="I135">
        <f>IF($E135=0,"NA",ROUND(SUM(householdfinance_v2_9!I135,householdfinance_v2_8!I135,householdfinance_v2_7!I135,householdfinance_v2_6!I135,householdfinance_v2_10!I135)/COUNT(householdfinance_v2_9!I135,householdfinance_v2_8!I135,householdfinance_v2_7!I135,householdfinance_v2_6!I135,householdfinance_v2_10!I135),0))</f>
        <v>1</v>
      </c>
      <c r="J135" t="str">
        <f>IF(F135=1,ROUND(SUM(householdfinance_v2_9!J135,householdfinance_v2_8!J135,householdfinance_v2_7!J135,householdfinance_v2_6!J135,householdfinance_v2_10!J135)/COUNT(householdfinance_v2_9!J135,householdfinance_v2_8!J135,householdfinance_v2_7!J135,householdfinance_v2_6!J135,householdfinance_v2_10!J135),0),"NA")</f>
        <v>NA</v>
      </c>
      <c r="K135">
        <f>IF($E135=0,"NA",ROUND(SUM(householdfinance_v2_9!K135,householdfinance_v2_8!K135,householdfinance_v2_7!K135,householdfinance_v2_6!K135,householdfinance_v2_10!K135)/COUNT(householdfinance_v2_9!K135,householdfinance_v2_8!K135,householdfinance_v2_7!K135,householdfinance_v2_6!K135,householdfinance_v2_10!K135),0))</f>
        <v>1</v>
      </c>
      <c r="L135">
        <f>IF($E135=0,"NA",ROUND(SUM(householdfinance_v2_9!L135,householdfinance_v2_8!L135,householdfinance_v2_7!L135,householdfinance_v2_6!L135,householdfinance_v2_10!L135)/COUNT(householdfinance_v2_9!L135,householdfinance_v2_8!L135,householdfinance_v2_7!L135,householdfinance_v2_6!L135,householdfinance_v2_10!L135),0))</f>
        <v>1</v>
      </c>
      <c r="M135">
        <f>IF($E135=0,"NA",ROUND(SUM(householdfinance_v2_9!M135,householdfinance_v2_8!M135,householdfinance_v2_7!M135,householdfinance_v2_6!M135,householdfinance_v2_10!M135)/COUNT(householdfinance_v2_9!M135,householdfinance_v2_8!M135,householdfinance_v2_7!M135,householdfinance_v2_6!M135,householdfinance_v2_10!M135),0))</f>
        <v>1</v>
      </c>
      <c r="N135">
        <f>IF($E135=0,"NA",ROUND(SUM(householdfinance_v2_9!N135,householdfinance_v2_8!N135,householdfinance_v2_7!N135,householdfinance_v2_6!N135,householdfinance_v2_10!N135)/COUNT(householdfinance_v2_9!N135,householdfinance_v2_8!N135,householdfinance_v2_7!N135,householdfinance_v2_6!N135,householdfinance_v2_10!N135),0))</f>
        <v>1</v>
      </c>
      <c r="O135">
        <f>IF($E135=0,"NA",ROUND(SUM(householdfinance_v2_9!O135,householdfinance_v2_8!O135,householdfinance_v2_7!O135,householdfinance_v2_6!O135,householdfinance_v2_10!O135)/COUNT(householdfinance_v2_9!O135,householdfinance_v2_8!O135,householdfinance_v2_7!O135,householdfinance_v2_6!O135,householdfinance_v2_10!O135),0))</f>
        <v>1</v>
      </c>
    </row>
    <row r="136" spans="1:15" x14ac:dyDescent="0.25">
      <c r="A136" t="s">
        <v>151</v>
      </c>
      <c r="B136" t="s">
        <v>48</v>
      </c>
      <c r="C136">
        <v>0</v>
      </c>
      <c r="D136">
        <v>8.4471502304077148</v>
      </c>
      <c r="E136">
        <f>ROUND(SUM(householdfinance_v2_9!E136,householdfinance_v2_8!E136,householdfinance_v2_7!E136,householdfinance_v2_6!E136,householdfinance_v2_10!E136)/COUNT(householdfinance_v2_9!E136,householdfinance_v2_8!E136,householdfinance_v2_7!E136,householdfinance_v2_6!E136,householdfinance_v2_10!E136),0)</f>
        <v>1</v>
      </c>
      <c r="F136">
        <f>IF($E136=0,"NA",ROUND(SUM(householdfinance_v2_9!F136,householdfinance_v2_8!F136,householdfinance_v2_7!F136,householdfinance_v2_6!F136,householdfinance_v2_10!F136)/COUNT(householdfinance_v2_9!F136,householdfinance_v2_8!F136,householdfinance_v2_7!F136,householdfinance_v2_6!F136,householdfinance_v2_10!F136),0))</f>
        <v>1</v>
      </c>
      <c r="G136">
        <f>IF($E136=0,"NA",ROUND(SUM(householdfinance_v2_9!G136,householdfinance_v2_8!G136,householdfinance_v2_7!G136,householdfinance_v2_6!G136,householdfinance_v2_10!G136)/COUNT(householdfinance_v2_9!G136,householdfinance_v2_8!G136,householdfinance_v2_7!G136,householdfinance_v2_6!G136,householdfinance_v2_10!G136),0))</f>
        <v>1</v>
      </c>
      <c r="H136">
        <f>IF(AND(F136=1,G136=1),ROUND(SUM(householdfinance_v2_9!H136,householdfinance_v2_8!H136,householdfinance_v2_7!H136,householdfinance_v2_6!H136,householdfinance_v2_10!H136)/COUNT(householdfinance_v2_9!H136,householdfinance_v2_8!H136,householdfinance_v2_7!H136,householdfinance_v2_6!H136,householdfinance_v2_10!H136),0),"NA")</f>
        <v>1</v>
      </c>
      <c r="I136">
        <f>IF($E136=0,"NA",ROUND(SUM(householdfinance_v2_9!I136,householdfinance_v2_8!I136,householdfinance_v2_7!I136,householdfinance_v2_6!I136,householdfinance_v2_10!I136)/COUNT(householdfinance_v2_9!I136,householdfinance_v2_8!I136,householdfinance_v2_7!I136,householdfinance_v2_6!I136,householdfinance_v2_10!I136),0))</f>
        <v>1</v>
      </c>
      <c r="J136">
        <f>IF(F136=1,ROUND(SUM(householdfinance_v2_9!J136,householdfinance_v2_8!J136,householdfinance_v2_7!J136,householdfinance_v2_6!J136,householdfinance_v2_10!J136)/COUNT(householdfinance_v2_9!J136,householdfinance_v2_8!J136,householdfinance_v2_7!J136,householdfinance_v2_6!J136,householdfinance_v2_10!J136),0),"NA")</f>
        <v>1</v>
      </c>
      <c r="K136">
        <f>IF($E136=0,"NA",ROUND(SUM(householdfinance_v2_9!K136,householdfinance_v2_8!K136,householdfinance_v2_7!K136,householdfinance_v2_6!K136,householdfinance_v2_10!K136)/COUNT(householdfinance_v2_9!K136,householdfinance_v2_8!K136,householdfinance_v2_7!K136,householdfinance_v2_6!K136,householdfinance_v2_10!K136),0))</f>
        <v>1</v>
      </c>
      <c r="L136">
        <f>IF($E136=0,"NA",ROUND(SUM(householdfinance_v2_9!L136,householdfinance_v2_8!L136,householdfinance_v2_7!L136,householdfinance_v2_6!L136,householdfinance_v2_10!L136)/COUNT(householdfinance_v2_9!L136,householdfinance_v2_8!L136,householdfinance_v2_7!L136,householdfinance_v2_6!L136,householdfinance_v2_10!L136),0))</f>
        <v>1</v>
      </c>
      <c r="M136">
        <f>IF($E136=0,"NA",ROUND(SUM(householdfinance_v2_9!M136,householdfinance_v2_8!M136,householdfinance_v2_7!M136,householdfinance_v2_6!M136,householdfinance_v2_10!M136)/COUNT(householdfinance_v2_9!M136,householdfinance_v2_8!M136,householdfinance_v2_7!M136,householdfinance_v2_6!M136,householdfinance_v2_10!M136),0))</f>
        <v>1</v>
      </c>
      <c r="N136">
        <f>IF($E136=0,"NA",ROUND(SUM(householdfinance_v2_9!N136,householdfinance_v2_8!N136,householdfinance_v2_7!N136,householdfinance_v2_6!N136,householdfinance_v2_10!N136)/COUNT(householdfinance_v2_9!N136,householdfinance_v2_8!N136,householdfinance_v2_7!N136,householdfinance_v2_6!N136,householdfinance_v2_10!N136),0))</f>
        <v>1</v>
      </c>
      <c r="O136">
        <f>IF($E136=0,"NA",ROUND(SUM(householdfinance_v2_9!O136,householdfinance_v2_8!O136,householdfinance_v2_7!O136,householdfinance_v2_6!O136,householdfinance_v2_10!O136)/COUNT(householdfinance_v2_9!O136,householdfinance_v2_8!O136,householdfinance_v2_7!O136,householdfinance_v2_6!O136,householdfinance_v2_10!O136),0))</f>
        <v>1</v>
      </c>
    </row>
    <row r="137" spans="1:15" x14ac:dyDescent="0.25">
      <c r="A137" t="s">
        <v>151</v>
      </c>
      <c r="B137" t="s">
        <v>49</v>
      </c>
      <c r="C137">
        <v>0</v>
      </c>
      <c r="D137">
        <v>10.604897499084471</v>
      </c>
      <c r="E137">
        <f>ROUND(SUM(householdfinance_v2_9!E137,householdfinance_v2_8!E137,householdfinance_v2_7!E137,householdfinance_v2_6!E137,householdfinance_v2_10!E137)/COUNT(householdfinance_v2_9!E137,householdfinance_v2_8!E137,householdfinance_v2_7!E137,householdfinance_v2_6!E137,householdfinance_v2_10!E137),0)</f>
        <v>1</v>
      </c>
      <c r="F137">
        <f>IF($E137=0,"NA",ROUND(SUM(householdfinance_v2_9!F137,householdfinance_v2_8!F137,householdfinance_v2_7!F137,householdfinance_v2_6!F137,householdfinance_v2_10!F137)/COUNT(householdfinance_v2_9!F137,householdfinance_v2_8!F137,householdfinance_v2_7!F137,householdfinance_v2_6!F137,householdfinance_v2_10!F137),0))</f>
        <v>0</v>
      </c>
      <c r="G137">
        <f>IF($E137=0,"NA",ROUND(SUM(householdfinance_v2_9!G137,householdfinance_v2_8!G137,householdfinance_v2_7!G137,householdfinance_v2_6!G137,householdfinance_v2_10!G137)/COUNT(householdfinance_v2_9!G137,householdfinance_v2_8!G137,householdfinance_v2_7!G137,householdfinance_v2_6!G137,householdfinance_v2_10!G137),0))</f>
        <v>1</v>
      </c>
      <c r="H137" t="str">
        <f>IF(AND(F137=1,G137=1),ROUND(SUM(householdfinance_v2_9!H137,householdfinance_v2_8!H137,householdfinance_v2_7!H137,householdfinance_v2_6!H137,householdfinance_v2_10!H137)/COUNT(householdfinance_v2_9!H137,householdfinance_v2_8!H137,householdfinance_v2_7!H137,householdfinance_v2_6!H137,householdfinance_v2_10!H137),0),"NA")</f>
        <v>NA</v>
      </c>
      <c r="I137">
        <f>IF($E137=0,"NA",ROUND(SUM(householdfinance_v2_9!I137,householdfinance_v2_8!I137,householdfinance_v2_7!I137,householdfinance_v2_6!I137,householdfinance_v2_10!I137)/COUNT(householdfinance_v2_9!I137,householdfinance_v2_8!I137,householdfinance_v2_7!I137,householdfinance_v2_6!I137,householdfinance_v2_10!I137),0))</f>
        <v>1</v>
      </c>
      <c r="J137" t="str">
        <f>IF(F137=1,ROUND(SUM(householdfinance_v2_9!J137,householdfinance_v2_8!J137,householdfinance_v2_7!J137,householdfinance_v2_6!J137,householdfinance_v2_10!J137)/COUNT(householdfinance_v2_9!J137,householdfinance_v2_8!J137,householdfinance_v2_7!J137,householdfinance_v2_6!J137,householdfinance_v2_10!J137),0),"NA")</f>
        <v>NA</v>
      </c>
      <c r="K137">
        <f>IF($E137=0,"NA",ROUND(SUM(householdfinance_v2_9!K137,householdfinance_v2_8!K137,householdfinance_v2_7!K137,householdfinance_v2_6!K137,householdfinance_v2_10!K137)/COUNT(householdfinance_v2_9!K137,householdfinance_v2_8!K137,householdfinance_v2_7!K137,householdfinance_v2_6!K137,householdfinance_v2_10!K137),0))</f>
        <v>1</v>
      </c>
      <c r="L137">
        <f>IF($E137=0,"NA",ROUND(SUM(householdfinance_v2_9!L137,householdfinance_v2_8!L137,householdfinance_v2_7!L137,householdfinance_v2_6!L137,householdfinance_v2_10!L137)/COUNT(householdfinance_v2_9!L137,householdfinance_v2_8!L137,householdfinance_v2_7!L137,householdfinance_v2_6!L137,householdfinance_v2_10!L137),0))</f>
        <v>1</v>
      </c>
      <c r="M137">
        <f>IF($E137=0,"NA",ROUND(SUM(householdfinance_v2_9!M137,householdfinance_v2_8!M137,householdfinance_v2_7!M137,householdfinance_v2_6!M137,householdfinance_v2_10!M137)/COUNT(householdfinance_v2_9!M137,householdfinance_v2_8!M137,householdfinance_v2_7!M137,householdfinance_v2_6!M137,householdfinance_v2_10!M137),0))</f>
        <v>1</v>
      </c>
      <c r="N137">
        <f>IF($E137=0,"NA",ROUND(SUM(householdfinance_v2_9!N137,householdfinance_v2_8!N137,householdfinance_v2_7!N137,householdfinance_v2_6!N137,householdfinance_v2_10!N137)/COUNT(householdfinance_v2_9!N137,householdfinance_v2_8!N137,householdfinance_v2_7!N137,householdfinance_v2_6!N137,householdfinance_v2_10!N137),0))</f>
        <v>1</v>
      </c>
      <c r="O137">
        <f>IF($E137=0,"NA",ROUND(SUM(householdfinance_v2_9!O137,householdfinance_v2_8!O137,householdfinance_v2_7!O137,householdfinance_v2_6!O137,householdfinance_v2_10!O137)/COUNT(householdfinance_v2_9!O137,householdfinance_v2_8!O137,householdfinance_v2_7!O137,householdfinance_v2_6!O137,householdfinance_v2_10!O137),0))</f>
        <v>1</v>
      </c>
    </row>
    <row r="138" spans="1:15" x14ac:dyDescent="0.25">
      <c r="A138" t="s">
        <v>151</v>
      </c>
      <c r="B138" t="s">
        <v>51</v>
      </c>
      <c r="C138">
        <v>0</v>
      </c>
      <c r="D138">
        <v>8.5210387706756592</v>
      </c>
      <c r="E138">
        <f>ROUND(SUM(householdfinance_v2_9!E138,householdfinance_v2_8!E138,householdfinance_v2_7!E138,householdfinance_v2_6!E138,householdfinance_v2_10!E138)/COUNT(householdfinance_v2_9!E138,householdfinance_v2_8!E138,householdfinance_v2_7!E138,householdfinance_v2_6!E138,householdfinance_v2_10!E138),0)</f>
        <v>0</v>
      </c>
      <c r="F138" t="str">
        <f>IF($E138=0,"NA",ROUND(SUM(householdfinance_v2_9!F138,householdfinance_v2_8!F138,householdfinance_v2_7!F138,householdfinance_v2_6!F138,householdfinance_v2_10!F138)/COUNT(householdfinance_v2_9!F138,householdfinance_v2_8!F138,householdfinance_v2_7!F138,householdfinance_v2_6!F138,householdfinance_v2_10!F138),0))</f>
        <v>NA</v>
      </c>
      <c r="G138" t="str">
        <f>IF($E138=0,"NA",ROUND(SUM(householdfinance_v2_9!G138,householdfinance_v2_8!G138,householdfinance_v2_7!G138,householdfinance_v2_6!G138,householdfinance_v2_10!G138)/COUNT(householdfinance_v2_9!G138,householdfinance_v2_8!G138,householdfinance_v2_7!G138,householdfinance_v2_6!G138,householdfinance_v2_10!G138),0))</f>
        <v>NA</v>
      </c>
      <c r="H138" t="str">
        <f>IF(AND(F138=1,G138=1),ROUND(SUM(householdfinance_v2_9!H138,householdfinance_v2_8!H138,householdfinance_v2_7!H138,householdfinance_v2_6!H138,householdfinance_v2_10!H138)/COUNT(householdfinance_v2_9!H138,householdfinance_v2_8!H138,householdfinance_v2_7!H138,householdfinance_v2_6!H138,householdfinance_v2_10!H138),0),"NA")</f>
        <v>NA</v>
      </c>
      <c r="I138" t="str">
        <f>IF($E138=0,"NA",ROUND(SUM(householdfinance_v2_9!I138,householdfinance_v2_8!I138,householdfinance_v2_7!I138,householdfinance_v2_6!I138,householdfinance_v2_10!I138)/COUNT(householdfinance_v2_9!I138,householdfinance_v2_8!I138,householdfinance_v2_7!I138,householdfinance_v2_6!I138,householdfinance_v2_10!I138),0))</f>
        <v>NA</v>
      </c>
      <c r="J138" t="str">
        <f>IF(F138=1,ROUND(SUM(householdfinance_v2_9!J138,householdfinance_v2_8!J138,householdfinance_v2_7!J138,householdfinance_v2_6!J138,householdfinance_v2_10!J138)/COUNT(householdfinance_v2_9!J138,householdfinance_v2_8!J138,householdfinance_v2_7!J138,householdfinance_v2_6!J138,householdfinance_v2_10!J138),0),"NA")</f>
        <v>NA</v>
      </c>
      <c r="K138" t="str">
        <f>IF($E138=0,"NA",ROUND(SUM(householdfinance_v2_9!K138,householdfinance_v2_8!K138,householdfinance_v2_7!K138,householdfinance_v2_6!K138,householdfinance_v2_10!K138)/COUNT(householdfinance_v2_9!K138,householdfinance_v2_8!K138,householdfinance_v2_7!K138,householdfinance_v2_6!K138,householdfinance_v2_10!K138),0))</f>
        <v>NA</v>
      </c>
      <c r="L138" t="str">
        <f>IF($E138=0,"NA",ROUND(SUM(householdfinance_v2_9!L138,householdfinance_v2_8!L138,householdfinance_v2_7!L138,householdfinance_v2_6!L138,householdfinance_v2_10!L138)/COUNT(householdfinance_v2_9!L138,householdfinance_v2_8!L138,householdfinance_v2_7!L138,householdfinance_v2_6!L138,householdfinance_v2_10!L138),0))</f>
        <v>NA</v>
      </c>
      <c r="M138" t="str">
        <f>IF($E138=0,"NA",ROUND(SUM(householdfinance_v2_9!M138,householdfinance_v2_8!M138,householdfinance_v2_7!M138,householdfinance_v2_6!M138,householdfinance_v2_10!M138)/COUNT(householdfinance_v2_9!M138,householdfinance_v2_8!M138,householdfinance_v2_7!M138,householdfinance_v2_6!M138,householdfinance_v2_10!M138),0))</f>
        <v>NA</v>
      </c>
      <c r="N138" t="str">
        <f>IF($E138=0,"NA",ROUND(SUM(householdfinance_v2_9!N138,householdfinance_v2_8!N138,householdfinance_v2_7!N138,householdfinance_v2_6!N138,householdfinance_v2_10!N138)/COUNT(householdfinance_v2_9!N138,householdfinance_v2_8!N138,householdfinance_v2_7!N138,householdfinance_v2_6!N138,householdfinance_v2_10!N138),0))</f>
        <v>NA</v>
      </c>
      <c r="O138" t="str">
        <f>IF($E138=0,"NA",ROUND(SUM(householdfinance_v2_9!O138,householdfinance_v2_8!O138,householdfinance_v2_7!O138,householdfinance_v2_6!O138,householdfinance_v2_10!O138)/COUNT(householdfinance_v2_9!O138,householdfinance_v2_8!O138,householdfinance_v2_7!O138,householdfinance_v2_6!O138,householdfinance_v2_10!O138),0))</f>
        <v>NA</v>
      </c>
    </row>
    <row r="139" spans="1:15" x14ac:dyDescent="0.25">
      <c r="A139" t="s">
        <v>151</v>
      </c>
      <c r="B139" t="s">
        <v>52</v>
      </c>
      <c r="C139">
        <v>0</v>
      </c>
      <c r="D139">
        <v>4.9356710910797119</v>
      </c>
      <c r="E139">
        <f>ROUND(SUM(householdfinance_v2_9!E139,householdfinance_v2_8!E139,householdfinance_v2_7!E139,householdfinance_v2_6!E139,householdfinance_v2_10!E139)/COUNT(householdfinance_v2_9!E139,householdfinance_v2_8!E139,householdfinance_v2_7!E139,householdfinance_v2_6!E139,householdfinance_v2_10!E139),0)</f>
        <v>1</v>
      </c>
      <c r="F139">
        <f>IF($E139=0,"NA",ROUND(SUM(householdfinance_v2_9!F139,householdfinance_v2_8!F139,householdfinance_v2_7!F139,householdfinance_v2_6!F139,householdfinance_v2_10!F139)/COUNT(householdfinance_v2_9!F139,householdfinance_v2_8!F139,householdfinance_v2_7!F139,householdfinance_v2_6!F139,householdfinance_v2_10!F139),0))</f>
        <v>0</v>
      </c>
      <c r="G139">
        <f>IF($E139=0,"NA",ROUND(SUM(householdfinance_v2_9!G139,householdfinance_v2_8!G139,householdfinance_v2_7!G139,householdfinance_v2_6!G139,householdfinance_v2_10!G139)/COUNT(householdfinance_v2_9!G139,householdfinance_v2_8!G139,householdfinance_v2_7!G139,householdfinance_v2_6!G139,householdfinance_v2_10!G139),0))</f>
        <v>1</v>
      </c>
      <c r="H139" t="str">
        <f>IF(AND(F139=1,G139=1),ROUND(SUM(householdfinance_v2_9!H139,householdfinance_v2_8!H139,householdfinance_v2_7!H139,householdfinance_v2_6!H139,householdfinance_v2_10!H139)/COUNT(householdfinance_v2_9!H139,householdfinance_v2_8!H139,householdfinance_v2_7!H139,householdfinance_v2_6!H139,householdfinance_v2_10!H139),0),"NA")</f>
        <v>NA</v>
      </c>
      <c r="I139">
        <f>IF($E139=0,"NA",ROUND(SUM(householdfinance_v2_9!I139,householdfinance_v2_8!I139,householdfinance_v2_7!I139,householdfinance_v2_6!I139,householdfinance_v2_10!I139)/COUNT(householdfinance_v2_9!I139,householdfinance_v2_8!I139,householdfinance_v2_7!I139,householdfinance_v2_6!I139,householdfinance_v2_10!I139),0))</f>
        <v>1</v>
      </c>
      <c r="J139" t="str">
        <f>IF(F139=1,ROUND(SUM(householdfinance_v2_9!J139,householdfinance_v2_8!J139,householdfinance_v2_7!J139,householdfinance_v2_6!J139,householdfinance_v2_10!J139)/COUNT(householdfinance_v2_9!J139,householdfinance_v2_8!J139,householdfinance_v2_7!J139,householdfinance_v2_6!J139,householdfinance_v2_10!J139),0),"NA")</f>
        <v>NA</v>
      </c>
      <c r="K139">
        <f>IF($E139=0,"NA",ROUND(SUM(householdfinance_v2_9!K139,householdfinance_v2_8!K139,householdfinance_v2_7!K139,householdfinance_v2_6!K139,householdfinance_v2_10!K139)/COUNT(householdfinance_v2_9!K139,householdfinance_v2_8!K139,householdfinance_v2_7!K139,householdfinance_v2_6!K139,householdfinance_v2_10!K139),0))</f>
        <v>1</v>
      </c>
      <c r="L139">
        <f>IF($E139=0,"NA",ROUND(SUM(householdfinance_v2_9!L139,householdfinance_v2_8!L139,householdfinance_v2_7!L139,householdfinance_v2_6!L139,householdfinance_v2_10!L139)/COUNT(householdfinance_v2_9!L139,householdfinance_v2_8!L139,householdfinance_v2_7!L139,householdfinance_v2_6!L139,householdfinance_v2_10!L139),0))</f>
        <v>1</v>
      </c>
      <c r="M139">
        <f>IF($E139=0,"NA",ROUND(SUM(householdfinance_v2_9!M139,householdfinance_v2_8!M139,householdfinance_v2_7!M139,householdfinance_v2_6!M139,householdfinance_v2_10!M139)/COUNT(householdfinance_v2_9!M139,householdfinance_v2_8!M139,householdfinance_v2_7!M139,householdfinance_v2_6!M139,householdfinance_v2_10!M139),0))</f>
        <v>1</v>
      </c>
      <c r="N139">
        <f>IF($E139=0,"NA",ROUND(SUM(householdfinance_v2_9!N139,householdfinance_v2_8!N139,householdfinance_v2_7!N139,householdfinance_v2_6!N139,householdfinance_v2_10!N139)/COUNT(householdfinance_v2_9!N139,householdfinance_v2_8!N139,householdfinance_v2_7!N139,householdfinance_v2_6!N139,householdfinance_v2_10!N139),0))</f>
        <v>1</v>
      </c>
      <c r="O139">
        <f>IF($E139=0,"NA",ROUND(SUM(householdfinance_v2_9!O139,householdfinance_v2_8!O139,householdfinance_v2_7!O139,householdfinance_v2_6!O139,householdfinance_v2_10!O139)/COUNT(householdfinance_v2_9!O139,householdfinance_v2_8!O139,householdfinance_v2_7!O139,householdfinance_v2_6!O139,householdfinance_v2_10!O139),0))</f>
        <v>1</v>
      </c>
    </row>
    <row r="140" spans="1:15" x14ac:dyDescent="0.25">
      <c r="A140" t="s">
        <v>151</v>
      </c>
      <c r="B140" t="s">
        <v>54</v>
      </c>
      <c r="C140">
        <v>0</v>
      </c>
      <c r="D140">
        <v>10.65773558616638</v>
      </c>
      <c r="E140">
        <f>ROUND(SUM(householdfinance_v2_9!E140,householdfinance_v2_8!E140,householdfinance_v2_7!E140,householdfinance_v2_6!E140,householdfinance_v2_10!E140)/COUNT(householdfinance_v2_9!E140,householdfinance_v2_8!E140,householdfinance_v2_7!E140,householdfinance_v2_6!E140,householdfinance_v2_10!E140),0)</f>
        <v>1</v>
      </c>
      <c r="F140">
        <f>IF($E140=0,"NA",ROUND(SUM(householdfinance_v2_9!F140,householdfinance_v2_8!F140,householdfinance_v2_7!F140,householdfinance_v2_6!F140,householdfinance_v2_10!F140)/COUNT(householdfinance_v2_9!F140,householdfinance_v2_8!F140,householdfinance_v2_7!F140,householdfinance_v2_6!F140,householdfinance_v2_10!F140),0))</f>
        <v>1</v>
      </c>
      <c r="G140">
        <f>IF($E140=0,"NA",ROUND(SUM(householdfinance_v2_9!G140,householdfinance_v2_8!G140,householdfinance_v2_7!G140,householdfinance_v2_6!G140,householdfinance_v2_10!G140)/COUNT(householdfinance_v2_9!G140,householdfinance_v2_8!G140,householdfinance_v2_7!G140,householdfinance_v2_6!G140,householdfinance_v2_10!G140),0))</f>
        <v>1</v>
      </c>
      <c r="H140">
        <f>IF(AND(F140=1,G140=1),ROUND(SUM(householdfinance_v2_9!H140,householdfinance_v2_8!H140,householdfinance_v2_7!H140,householdfinance_v2_6!H140,householdfinance_v2_10!H140)/COUNT(householdfinance_v2_9!H140,householdfinance_v2_8!H140,householdfinance_v2_7!H140,householdfinance_v2_6!H140,householdfinance_v2_10!H140),0),"NA")</f>
        <v>1</v>
      </c>
      <c r="I140">
        <f>IF($E140=0,"NA",ROUND(SUM(householdfinance_v2_9!I140,householdfinance_v2_8!I140,householdfinance_v2_7!I140,householdfinance_v2_6!I140,householdfinance_v2_10!I140)/COUNT(householdfinance_v2_9!I140,householdfinance_v2_8!I140,householdfinance_v2_7!I140,householdfinance_v2_6!I140,householdfinance_v2_10!I140),0))</f>
        <v>1</v>
      </c>
      <c r="J140">
        <f>IF(F140=1,ROUND(SUM(householdfinance_v2_9!J140,householdfinance_v2_8!J140,householdfinance_v2_7!J140,householdfinance_v2_6!J140,householdfinance_v2_10!J140)/COUNT(householdfinance_v2_9!J140,householdfinance_v2_8!J140,householdfinance_v2_7!J140,householdfinance_v2_6!J140,householdfinance_v2_10!J140),0),"NA")</f>
        <v>1</v>
      </c>
      <c r="K140">
        <f>IF($E140=0,"NA",ROUND(SUM(householdfinance_v2_9!K140,householdfinance_v2_8!K140,householdfinance_v2_7!K140,householdfinance_v2_6!K140,householdfinance_v2_10!K140)/COUNT(householdfinance_v2_9!K140,householdfinance_v2_8!K140,householdfinance_v2_7!K140,householdfinance_v2_6!K140,householdfinance_v2_10!K140),0))</f>
        <v>1</v>
      </c>
      <c r="L140">
        <f>IF($E140=0,"NA",ROUND(SUM(householdfinance_v2_9!L140,householdfinance_v2_8!L140,householdfinance_v2_7!L140,householdfinance_v2_6!L140,householdfinance_v2_10!L140)/COUNT(householdfinance_v2_9!L140,householdfinance_v2_8!L140,householdfinance_v2_7!L140,householdfinance_v2_6!L140,householdfinance_v2_10!L140),0))</f>
        <v>1</v>
      </c>
      <c r="M140">
        <f>IF($E140=0,"NA",ROUND(SUM(householdfinance_v2_9!M140,householdfinance_v2_8!M140,householdfinance_v2_7!M140,householdfinance_v2_6!M140,householdfinance_v2_10!M140)/COUNT(householdfinance_v2_9!M140,householdfinance_v2_8!M140,householdfinance_v2_7!M140,householdfinance_v2_6!M140,householdfinance_v2_10!M140),0))</f>
        <v>1</v>
      </c>
      <c r="N140">
        <f>IF($E140=0,"NA",ROUND(SUM(householdfinance_v2_9!N140,householdfinance_v2_8!N140,householdfinance_v2_7!N140,householdfinance_v2_6!N140,householdfinance_v2_10!N140)/COUNT(householdfinance_v2_9!N140,householdfinance_v2_8!N140,householdfinance_v2_7!N140,householdfinance_v2_6!N140,householdfinance_v2_10!N140),0))</f>
        <v>1</v>
      </c>
      <c r="O140">
        <f>IF($E140=0,"NA",ROUND(SUM(householdfinance_v2_9!O140,householdfinance_v2_8!O140,householdfinance_v2_7!O140,householdfinance_v2_6!O140,householdfinance_v2_10!O140)/COUNT(householdfinance_v2_9!O140,householdfinance_v2_8!O140,householdfinance_v2_7!O140,householdfinance_v2_6!O140,householdfinance_v2_10!O140),0))</f>
        <v>1</v>
      </c>
    </row>
    <row r="141" spans="1:15" x14ac:dyDescent="0.25">
      <c r="A141" t="s">
        <v>151</v>
      </c>
      <c r="B141" t="s">
        <v>56</v>
      </c>
      <c r="C141">
        <v>0</v>
      </c>
      <c r="D141">
        <v>2.7074179649353032</v>
      </c>
      <c r="E141">
        <f>ROUND(SUM(householdfinance_v2_9!E141,householdfinance_v2_8!E141,householdfinance_v2_7!E141,householdfinance_v2_6!E141,householdfinance_v2_10!E141)/COUNT(householdfinance_v2_9!E141,householdfinance_v2_8!E141,householdfinance_v2_7!E141,householdfinance_v2_6!E141,householdfinance_v2_10!E141),0)</f>
        <v>1</v>
      </c>
      <c r="F141">
        <f>IF($E141=0,"NA",ROUND(SUM(householdfinance_v2_9!F141,householdfinance_v2_8!F141,householdfinance_v2_7!F141,householdfinance_v2_6!F141,householdfinance_v2_10!F141)/COUNT(householdfinance_v2_9!F141,householdfinance_v2_8!F141,householdfinance_v2_7!F141,householdfinance_v2_6!F141,householdfinance_v2_10!F141),0))</f>
        <v>1</v>
      </c>
      <c r="G141">
        <f>IF($E141=0,"NA",ROUND(SUM(householdfinance_v2_9!G141,householdfinance_v2_8!G141,householdfinance_v2_7!G141,householdfinance_v2_6!G141,householdfinance_v2_10!G141)/COUNT(householdfinance_v2_9!G141,householdfinance_v2_8!G141,householdfinance_v2_7!G141,householdfinance_v2_6!G141,householdfinance_v2_10!G141),0))</f>
        <v>1</v>
      </c>
      <c r="H141">
        <f>IF(AND(F141=1,G141=1),ROUND(SUM(householdfinance_v2_9!H141,householdfinance_v2_8!H141,householdfinance_v2_7!H141,householdfinance_v2_6!H141,householdfinance_v2_10!H141)/COUNT(householdfinance_v2_9!H141,householdfinance_v2_8!H141,householdfinance_v2_7!H141,householdfinance_v2_6!H141,householdfinance_v2_10!H141),0),"NA")</f>
        <v>1</v>
      </c>
      <c r="I141">
        <f>IF($E141=0,"NA",ROUND(SUM(householdfinance_v2_9!I141,householdfinance_v2_8!I141,householdfinance_v2_7!I141,householdfinance_v2_6!I141,householdfinance_v2_10!I141)/COUNT(householdfinance_v2_9!I141,householdfinance_v2_8!I141,householdfinance_v2_7!I141,householdfinance_v2_6!I141,householdfinance_v2_10!I141),0))</f>
        <v>1</v>
      </c>
      <c r="J141">
        <f>IF(F141=1,ROUND(SUM(householdfinance_v2_9!J141,householdfinance_v2_8!J141,householdfinance_v2_7!J141,householdfinance_v2_6!J141,householdfinance_v2_10!J141)/COUNT(householdfinance_v2_9!J141,householdfinance_v2_8!J141,householdfinance_v2_7!J141,householdfinance_v2_6!J141,householdfinance_v2_10!J141),0),"NA")</f>
        <v>1</v>
      </c>
      <c r="K141">
        <f>IF($E141=0,"NA",ROUND(SUM(householdfinance_v2_9!K141,householdfinance_v2_8!K141,householdfinance_v2_7!K141,householdfinance_v2_6!K141,householdfinance_v2_10!K141)/COUNT(householdfinance_v2_9!K141,householdfinance_v2_8!K141,householdfinance_v2_7!K141,householdfinance_v2_6!K141,householdfinance_v2_10!K141),0))</f>
        <v>1</v>
      </c>
      <c r="L141">
        <f>IF($E141=0,"NA",ROUND(SUM(householdfinance_v2_9!L141,householdfinance_v2_8!L141,householdfinance_v2_7!L141,householdfinance_v2_6!L141,householdfinance_v2_10!L141)/COUNT(householdfinance_v2_9!L141,householdfinance_v2_8!L141,householdfinance_v2_7!L141,householdfinance_v2_6!L141,householdfinance_v2_10!L141),0))</f>
        <v>1</v>
      </c>
      <c r="M141">
        <f>IF($E141=0,"NA",ROUND(SUM(householdfinance_v2_9!M141,householdfinance_v2_8!M141,householdfinance_v2_7!M141,householdfinance_v2_6!M141,householdfinance_v2_10!M141)/COUNT(householdfinance_v2_9!M141,householdfinance_v2_8!M141,householdfinance_v2_7!M141,householdfinance_v2_6!M141,householdfinance_v2_10!M141),0))</f>
        <v>1</v>
      </c>
      <c r="N141">
        <f>IF($E141=0,"NA",ROUND(SUM(householdfinance_v2_9!N141,householdfinance_v2_8!N141,householdfinance_v2_7!N141,householdfinance_v2_6!N141,householdfinance_v2_10!N141)/COUNT(householdfinance_v2_9!N141,householdfinance_v2_8!N141,householdfinance_v2_7!N141,householdfinance_v2_6!N141,householdfinance_v2_10!N141),0))</f>
        <v>1</v>
      </c>
      <c r="O141">
        <f>IF($E141=0,"NA",ROUND(SUM(householdfinance_v2_9!O141,householdfinance_v2_8!O141,householdfinance_v2_7!O141,householdfinance_v2_6!O141,householdfinance_v2_10!O141)/COUNT(householdfinance_v2_9!O141,householdfinance_v2_8!O141,householdfinance_v2_7!O141,householdfinance_v2_6!O141,householdfinance_v2_10!O141),0))</f>
        <v>1</v>
      </c>
    </row>
    <row r="142" spans="1:15" x14ac:dyDescent="0.25">
      <c r="A142" t="s">
        <v>151</v>
      </c>
      <c r="B142" t="s">
        <v>58</v>
      </c>
      <c r="C142">
        <v>0</v>
      </c>
      <c r="D142">
        <v>2.7053794860839839</v>
      </c>
      <c r="E142">
        <f>ROUND(SUM(householdfinance_v2_9!E142,householdfinance_v2_8!E142,householdfinance_v2_7!E142,householdfinance_v2_6!E142,householdfinance_v2_10!E142)/COUNT(householdfinance_v2_9!E142,householdfinance_v2_8!E142,householdfinance_v2_7!E142,householdfinance_v2_6!E142,householdfinance_v2_10!E142),0)</f>
        <v>1</v>
      </c>
      <c r="F142">
        <f>IF($E142=0,"NA",ROUND(SUM(householdfinance_v2_9!F142,householdfinance_v2_8!F142,householdfinance_v2_7!F142,householdfinance_v2_6!F142,householdfinance_v2_10!F142)/COUNT(householdfinance_v2_9!F142,householdfinance_v2_8!F142,householdfinance_v2_7!F142,householdfinance_v2_6!F142,householdfinance_v2_10!F142),0))</f>
        <v>1</v>
      </c>
      <c r="G142">
        <f>IF($E142=0,"NA",ROUND(SUM(householdfinance_v2_9!G142,householdfinance_v2_8!G142,householdfinance_v2_7!G142,householdfinance_v2_6!G142,householdfinance_v2_10!G142)/COUNT(householdfinance_v2_9!G142,householdfinance_v2_8!G142,householdfinance_v2_7!G142,householdfinance_v2_6!G142,householdfinance_v2_10!G142),0))</f>
        <v>1</v>
      </c>
      <c r="H142">
        <f>IF(AND(F142=1,G142=1),ROUND(SUM(householdfinance_v2_9!H142,householdfinance_v2_8!H142,householdfinance_v2_7!H142,householdfinance_v2_6!H142,householdfinance_v2_10!H142)/COUNT(householdfinance_v2_9!H142,householdfinance_v2_8!H142,householdfinance_v2_7!H142,householdfinance_v2_6!H142,householdfinance_v2_10!H142),0),"NA")</f>
        <v>1</v>
      </c>
      <c r="I142">
        <f>IF($E142=0,"NA",ROUND(SUM(householdfinance_v2_9!I142,householdfinance_v2_8!I142,householdfinance_v2_7!I142,householdfinance_v2_6!I142,householdfinance_v2_10!I142)/COUNT(householdfinance_v2_9!I142,householdfinance_v2_8!I142,householdfinance_v2_7!I142,householdfinance_v2_6!I142,householdfinance_v2_10!I142),0))</f>
        <v>1</v>
      </c>
      <c r="J142">
        <f>IF(F142=1,ROUND(SUM(householdfinance_v2_9!J142,householdfinance_v2_8!J142,householdfinance_v2_7!J142,householdfinance_v2_6!J142,householdfinance_v2_10!J142)/COUNT(householdfinance_v2_9!J142,householdfinance_v2_8!J142,householdfinance_v2_7!J142,householdfinance_v2_6!J142,householdfinance_v2_10!J142),0),"NA")</f>
        <v>1</v>
      </c>
      <c r="K142">
        <f>IF($E142=0,"NA",ROUND(SUM(householdfinance_v2_9!K142,householdfinance_v2_8!K142,householdfinance_v2_7!K142,householdfinance_v2_6!K142,householdfinance_v2_10!K142)/COUNT(householdfinance_v2_9!K142,householdfinance_v2_8!K142,householdfinance_v2_7!K142,householdfinance_v2_6!K142,householdfinance_v2_10!K142),0))</f>
        <v>1</v>
      </c>
      <c r="L142">
        <f>IF($E142=0,"NA",ROUND(SUM(householdfinance_v2_9!L142,householdfinance_v2_8!L142,householdfinance_v2_7!L142,householdfinance_v2_6!L142,householdfinance_v2_10!L142)/COUNT(householdfinance_v2_9!L142,householdfinance_v2_8!L142,householdfinance_v2_7!L142,householdfinance_v2_6!L142,householdfinance_v2_10!L142),0))</f>
        <v>1</v>
      </c>
      <c r="M142">
        <f>IF($E142=0,"NA",ROUND(SUM(householdfinance_v2_9!M142,householdfinance_v2_8!M142,householdfinance_v2_7!M142,householdfinance_v2_6!M142,householdfinance_v2_10!M142)/COUNT(householdfinance_v2_9!M142,householdfinance_v2_8!M142,householdfinance_v2_7!M142,householdfinance_v2_6!M142,householdfinance_v2_10!M142),0))</f>
        <v>1</v>
      </c>
      <c r="N142">
        <f>IF($E142=0,"NA",ROUND(SUM(householdfinance_v2_9!N142,householdfinance_v2_8!N142,householdfinance_v2_7!N142,householdfinance_v2_6!N142,householdfinance_v2_10!N142)/COUNT(householdfinance_v2_9!N142,householdfinance_v2_8!N142,householdfinance_v2_7!N142,householdfinance_v2_6!N142,householdfinance_v2_10!N142),0))</f>
        <v>1</v>
      </c>
      <c r="O142">
        <f>IF($E142=0,"NA",ROUND(SUM(householdfinance_v2_9!O142,householdfinance_v2_8!O142,householdfinance_v2_7!O142,householdfinance_v2_6!O142,householdfinance_v2_10!O142)/COUNT(householdfinance_v2_9!O142,householdfinance_v2_8!O142,householdfinance_v2_7!O142,householdfinance_v2_6!O142,householdfinance_v2_10!O142),0))</f>
        <v>1</v>
      </c>
    </row>
    <row r="143" spans="1:15" x14ac:dyDescent="0.25">
      <c r="A143" t="s">
        <v>151</v>
      </c>
      <c r="B143" t="s">
        <v>60</v>
      </c>
      <c r="C143">
        <v>0</v>
      </c>
      <c r="D143">
        <v>9.6893305778503418</v>
      </c>
      <c r="E143">
        <f>ROUND(SUM(householdfinance_v2_9!E143,householdfinance_v2_8!E143,householdfinance_v2_7!E143,householdfinance_v2_6!E143,householdfinance_v2_10!E143)/COUNT(householdfinance_v2_9!E143,householdfinance_v2_8!E143,householdfinance_v2_7!E143,householdfinance_v2_6!E143,householdfinance_v2_10!E143),0)</f>
        <v>1</v>
      </c>
      <c r="F143">
        <f>IF($E143=0,"NA",ROUND(SUM(householdfinance_v2_9!F143,householdfinance_v2_8!F143,householdfinance_v2_7!F143,householdfinance_v2_6!F143,householdfinance_v2_10!F143)/COUNT(householdfinance_v2_9!F143,householdfinance_v2_8!F143,householdfinance_v2_7!F143,householdfinance_v2_6!F143,householdfinance_v2_10!F143),0))</f>
        <v>1</v>
      </c>
      <c r="G143">
        <f>IF($E143=0,"NA",ROUND(SUM(householdfinance_v2_9!G143,householdfinance_v2_8!G143,householdfinance_v2_7!G143,householdfinance_v2_6!G143,householdfinance_v2_10!G143)/COUNT(householdfinance_v2_9!G143,householdfinance_v2_8!G143,householdfinance_v2_7!G143,householdfinance_v2_6!G143,householdfinance_v2_10!G143),0))</f>
        <v>1</v>
      </c>
      <c r="H143">
        <f>IF(AND(F143=1,G143=1),ROUND(SUM(householdfinance_v2_9!H143,householdfinance_v2_8!H143,householdfinance_v2_7!H143,householdfinance_v2_6!H143,householdfinance_v2_10!H143)/COUNT(householdfinance_v2_9!H143,householdfinance_v2_8!H143,householdfinance_v2_7!H143,householdfinance_v2_6!H143,householdfinance_v2_10!H143),0),"NA")</f>
        <v>1</v>
      </c>
      <c r="I143">
        <f>IF($E143=0,"NA",ROUND(SUM(householdfinance_v2_9!I143,householdfinance_v2_8!I143,householdfinance_v2_7!I143,householdfinance_v2_6!I143,householdfinance_v2_10!I143)/COUNT(householdfinance_v2_9!I143,householdfinance_v2_8!I143,householdfinance_v2_7!I143,householdfinance_v2_6!I143,householdfinance_v2_10!I143),0))</f>
        <v>1</v>
      </c>
      <c r="J143">
        <f>IF(F143=1,ROUND(SUM(householdfinance_v2_9!J143,householdfinance_v2_8!J143,householdfinance_v2_7!J143,householdfinance_v2_6!J143,householdfinance_v2_10!J143)/COUNT(householdfinance_v2_9!J143,householdfinance_v2_8!J143,householdfinance_v2_7!J143,householdfinance_v2_6!J143,householdfinance_v2_10!J143),0),"NA")</f>
        <v>1</v>
      </c>
      <c r="K143">
        <f>IF($E143=0,"NA",ROUND(SUM(householdfinance_v2_9!K143,householdfinance_v2_8!K143,householdfinance_v2_7!K143,householdfinance_v2_6!K143,householdfinance_v2_10!K143)/COUNT(householdfinance_v2_9!K143,householdfinance_v2_8!K143,householdfinance_v2_7!K143,householdfinance_v2_6!K143,householdfinance_v2_10!K143),0))</f>
        <v>1</v>
      </c>
      <c r="L143">
        <f>IF($E143=0,"NA",ROUND(SUM(householdfinance_v2_9!L143,householdfinance_v2_8!L143,householdfinance_v2_7!L143,householdfinance_v2_6!L143,householdfinance_v2_10!L143)/COUNT(householdfinance_v2_9!L143,householdfinance_v2_8!L143,householdfinance_v2_7!L143,householdfinance_v2_6!L143,householdfinance_v2_10!L143),0))</f>
        <v>1</v>
      </c>
      <c r="M143">
        <f>IF($E143=0,"NA",ROUND(SUM(householdfinance_v2_9!M143,householdfinance_v2_8!M143,householdfinance_v2_7!M143,householdfinance_v2_6!M143,householdfinance_v2_10!M143)/COUNT(householdfinance_v2_9!M143,householdfinance_v2_8!M143,householdfinance_v2_7!M143,householdfinance_v2_6!M143,householdfinance_v2_10!M143),0))</f>
        <v>1</v>
      </c>
      <c r="N143">
        <f>IF($E143=0,"NA",ROUND(SUM(householdfinance_v2_9!N143,householdfinance_v2_8!N143,householdfinance_v2_7!N143,householdfinance_v2_6!N143,householdfinance_v2_10!N143)/COUNT(householdfinance_v2_9!N143,householdfinance_v2_8!N143,householdfinance_v2_7!N143,householdfinance_v2_6!N143,householdfinance_v2_10!N143),0))</f>
        <v>1</v>
      </c>
      <c r="O143">
        <f>IF($E143=0,"NA",ROUND(SUM(householdfinance_v2_9!O143,householdfinance_v2_8!O143,householdfinance_v2_7!O143,householdfinance_v2_6!O143,householdfinance_v2_10!O143)/COUNT(householdfinance_v2_9!O143,householdfinance_v2_8!O143,householdfinance_v2_7!O143,householdfinance_v2_6!O143,householdfinance_v2_10!O143),0))</f>
        <v>1</v>
      </c>
    </row>
    <row r="144" spans="1:15" x14ac:dyDescent="0.25">
      <c r="A144" t="s">
        <v>151</v>
      </c>
      <c r="B144" t="s">
        <v>62</v>
      </c>
      <c r="C144">
        <v>0</v>
      </c>
      <c r="D144">
        <v>13.965763330459589</v>
      </c>
      <c r="E144">
        <f>ROUND(SUM(householdfinance_v2_9!E144,householdfinance_v2_8!E144,householdfinance_v2_7!E144,householdfinance_v2_6!E144,householdfinance_v2_10!E144)/COUNT(householdfinance_v2_9!E144,householdfinance_v2_8!E144,householdfinance_v2_7!E144,householdfinance_v2_6!E144,householdfinance_v2_10!E144),0)</f>
        <v>1</v>
      </c>
      <c r="F144">
        <f>IF($E144=0,"NA",ROUND(SUM(householdfinance_v2_9!F144,householdfinance_v2_8!F144,householdfinance_v2_7!F144,householdfinance_v2_6!F144,householdfinance_v2_10!F144)/COUNT(householdfinance_v2_9!F144,householdfinance_v2_8!F144,householdfinance_v2_7!F144,householdfinance_v2_6!F144,householdfinance_v2_10!F144),0))</f>
        <v>0</v>
      </c>
      <c r="G144">
        <f>IF($E144=0,"NA",ROUND(SUM(householdfinance_v2_9!G144,householdfinance_v2_8!G144,householdfinance_v2_7!G144,householdfinance_v2_6!G144,householdfinance_v2_10!G144)/COUNT(householdfinance_v2_9!G144,householdfinance_v2_8!G144,householdfinance_v2_7!G144,householdfinance_v2_6!G144,householdfinance_v2_10!G144),0))</f>
        <v>1</v>
      </c>
      <c r="H144" t="str">
        <f>IF(AND(F144=1,G144=1),ROUND(SUM(householdfinance_v2_9!H144,householdfinance_v2_8!H144,householdfinance_v2_7!H144,householdfinance_v2_6!H144,householdfinance_v2_10!H144)/COUNT(householdfinance_v2_9!H144,householdfinance_v2_8!H144,householdfinance_v2_7!H144,householdfinance_v2_6!H144,householdfinance_v2_10!H144),0),"NA")</f>
        <v>NA</v>
      </c>
      <c r="I144">
        <f>IF($E144=0,"NA",ROUND(SUM(householdfinance_v2_9!I144,householdfinance_v2_8!I144,householdfinance_v2_7!I144,householdfinance_v2_6!I144,householdfinance_v2_10!I144)/COUNT(householdfinance_v2_9!I144,householdfinance_v2_8!I144,householdfinance_v2_7!I144,householdfinance_v2_6!I144,householdfinance_v2_10!I144),0))</f>
        <v>1</v>
      </c>
      <c r="J144" t="str">
        <f>IF(F144=1,ROUND(SUM(householdfinance_v2_9!J144,householdfinance_v2_8!J144,householdfinance_v2_7!J144,householdfinance_v2_6!J144,householdfinance_v2_10!J144)/COUNT(householdfinance_v2_9!J144,householdfinance_v2_8!J144,householdfinance_v2_7!J144,householdfinance_v2_6!J144,householdfinance_v2_10!J144),0),"NA")</f>
        <v>NA</v>
      </c>
      <c r="K144">
        <f>IF($E144=0,"NA",ROUND(SUM(householdfinance_v2_9!K144,householdfinance_v2_8!K144,householdfinance_v2_7!K144,householdfinance_v2_6!K144,householdfinance_v2_10!K144)/COUNT(householdfinance_v2_9!K144,householdfinance_v2_8!K144,householdfinance_v2_7!K144,householdfinance_v2_6!K144,householdfinance_v2_10!K144),0))</f>
        <v>1</v>
      </c>
      <c r="L144">
        <f>IF($E144=0,"NA",ROUND(SUM(householdfinance_v2_9!L144,householdfinance_v2_8!L144,householdfinance_v2_7!L144,householdfinance_v2_6!L144,householdfinance_v2_10!L144)/COUNT(householdfinance_v2_9!L144,householdfinance_v2_8!L144,householdfinance_v2_7!L144,householdfinance_v2_6!L144,householdfinance_v2_10!L144),0))</f>
        <v>1</v>
      </c>
      <c r="M144">
        <f>IF($E144=0,"NA",ROUND(SUM(householdfinance_v2_9!M144,householdfinance_v2_8!M144,householdfinance_v2_7!M144,householdfinance_v2_6!M144,householdfinance_v2_10!M144)/COUNT(householdfinance_v2_9!M144,householdfinance_v2_8!M144,householdfinance_v2_7!M144,householdfinance_v2_6!M144,householdfinance_v2_10!M144),0))</f>
        <v>1</v>
      </c>
      <c r="N144">
        <f>IF($E144=0,"NA",ROUND(SUM(householdfinance_v2_9!N144,householdfinance_v2_8!N144,householdfinance_v2_7!N144,householdfinance_v2_6!N144,householdfinance_v2_10!N144)/COUNT(householdfinance_v2_9!N144,householdfinance_v2_8!N144,householdfinance_v2_7!N144,householdfinance_v2_6!N144,householdfinance_v2_10!N144),0))</f>
        <v>1</v>
      </c>
      <c r="O144">
        <f>IF($E144=0,"NA",ROUND(SUM(householdfinance_v2_9!O144,householdfinance_v2_8!O144,householdfinance_v2_7!O144,householdfinance_v2_6!O144,householdfinance_v2_10!O144)/COUNT(householdfinance_v2_9!O144,householdfinance_v2_8!O144,householdfinance_v2_7!O144,householdfinance_v2_6!O144,householdfinance_v2_10!O144),0))</f>
        <v>1</v>
      </c>
    </row>
    <row r="145" spans="1:15" x14ac:dyDescent="0.25">
      <c r="A145" t="s">
        <v>151</v>
      </c>
      <c r="B145" t="s">
        <v>64</v>
      </c>
      <c r="C145">
        <v>0</v>
      </c>
      <c r="D145">
        <v>2.6631970405578609</v>
      </c>
      <c r="E145">
        <f>ROUND(SUM(householdfinance_v2_9!E145,householdfinance_v2_8!E145,householdfinance_v2_7!E145,householdfinance_v2_6!E145,householdfinance_v2_10!E145)/COUNT(householdfinance_v2_9!E145,householdfinance_v2_8!E145,householdfinance_v2_7!E145,householdfinance_v2_6!E145,householdfinance_v2_10!E145),0)</f>
        <v>1</v>
      </c>
      <c r="F145">
        <f>IF($E145=0,"NA",ROUND(SUM(householdfinance_v2_9!F145,householdfinance_v2_8!F145,householdfinance_v2_7!F145,householdfinance_v2_6!F145,householdfinance_v2_10!F145)/COUNT(householdfinance_v2_9!F145,householdfinance_v2_8!F145,householdfinance_v2_7!F145,householdfinance_v2_6!F145,householdfinance_v2_10!F145),0))</f>
        <v>1</v>
      </c>
      <c r="G145">
        <f>IF($E145=0,"NA",ROUND(SUM(householdfinance_v2_9!G145,householdfinance_v2_8!G145,householdfinance_v2_7!G145,householdfinance_v2_6!G145,householdfinance_v2_10!G145)/COUNT(householdfinance_v2_9!G145,householdfinance_v2_8!G145,householdfinance_v2_7!G145,householdfinance_v2_6!G145,householdfinance_v2_10!G145),0))</f>
        <v>1</v>
      </c>
      <c r="H145">
        <f>IF(AND(F145=1,G145=1),ROUND(SUM(householdfinance_v2_9!H145,householdfinance_v2_8!H145,householdfinance_v2_7!H145,householdfinance_v2_6!H145,householdfinance_v2_10!H145)/COUNT(householdfinance_v2_9!H145,householdfinance_v2_8!H145,householdfinance_v2_7!H145,householdfinance_v2_6!H145,householdfinance_v2_10!H145),0),"NA")</f>
        <v>1</v>
      </c>
      <c r="I145">
        <f>IF($E145=0,"NA",ROUND(SUM(householdfinance_v2_9!I145,householdfinance_v2_8!I145,householdfinance_v2_7!I145,householdfinance_v2_6!I145,householdfinance_v2_10!I145)/COUNT(householdfinance_v2_9!I145,householdfinance_v2_8!I145,householdfinance_v2_7!I145,householdfinance_v2_6!I145,householdfinance_v2_10!I145),0))</f>
        <v>1</v>
      </c>
      <c r="J145">
        <f>IF(F145=1,ROUND(SUM(householdfinance_v2_9!J145,householdfinance_v2_8!J145,householdfinance_v2_7!J145,householdfinance_v2_6!J145,householdfinance_v2_10!J145)/COUNT(householdfinance_v2_9!J145,householdfinance_v2_8!J145,householdfinance_v2_7!J145,householdfinance_v2_6!J145,householdfinance_v2_10!J145),0),"NA")</f>
        <v>1</v>
      </c>
      <c r="K145">
        <f>IF($E145=0,"NA",ROUND(SUM(householdfinance_v2_9!K145,householdfinance_v2_8!K145,householdfinance_v2_7!K145,householdfinance_v2_6!K145,householdfinance_v2_10!K145)/COUNT(householdfinance_v2_9!K145,householdfinance_v2_8!K145,householdfinance_v2_7!K145,householdfinance_v2_6!K145,householdfinance_v2_10!K145),0))</f>
        <v>1</v>
      </c>
      <c r="L145">
        <f>IF($E145=0,"NA",ROUND(SUM(householdfinance_v2_9!L145,householdfinance_v2_8!L145,householdfinance_v2_7!L145,householdfinance_v2_6!L145,householdfinance_v2_10!L145)/COUNT(householdfinance_v2_9!L145,householdfinance_v2_8!L145,householdfinance_v2_7!L145,householdfinance_v2_6!L145,householdfinance_v2_10!L145),0))</f>
        <v>1</v>
      </c>
      <c r="M145">
        <f>IF($E145=0,"NA",ROUND(SUM(householdfinance_v2_9!M145,householdfinance_v2_8!M145,householdfinance_v2_7!M145,householdfinance_v2_6!M145,householdfinance_v2_10!M145)/COUNT(householdfinance_v2_9!M145,householdfinance_v2_8!M145,householdfinance_v2_7!M145,householdfinance_v2_6!M145,householdfinance_v2_10!M145),0))</f>
        <v>1</v>
      </c>
      <c r="N145">
        <f>IF($E145=0,"NA",ROUND(SUM(householdfinance_v2_9!N145,householdfinance_v2_8!N145,householdfinance_v2_7!N145,householdfinance_v2_6!N145,householdfinance_v2_10!N145)/COUNT(householdfinance_v2_9!N145,householdfinance_v2_8!N145,householdfinance_v2_7!N145,householdfinance_v2_6!N145,householdfinance_v2_10!N145),0))</f>
        <v>1</v>
      </c>
      <c r="O145">
        <f>IF($E145=0,"NA",ROUND(SUM(householdfinance_v2_9!O145,householdfinance_v2_8!O145,householdfinance_v2_7!O145,householdfinance_v2_6!O145,householdfinance_v2_10!O145)/COUNT(householdfinance_v2_9!O145,householdfinance_v2_8!O145,householdfinance_v2_7!O145,householdfinance_v2_6!O145,householdfinance_v2_10!O145),0))</f>
        <v>1</v>
      </c>
    </row>
    <row r="146" spans="1:15" x14ac:dyDescent="0.25">
      <c r="A146" t="s">
        <v>151</v>
      </c>
      <c r="B146" t="s">
        <v>65</v>
      </c>
      <c r="C146">
        <v>0</v>
      </c>
      <c r="D146">
        <v>7.5915067195892334</v>
      </c>
      <c r="E146">
        <f>ROUND(SUM(householdfinance_v2_9!E146,householdfinance_v2_8!E146,householdfinance_v2_7!E146,householdfinance_v2_6!E146,householdfinance_v2_10!E146)/COUNT(householdfinance_v2_9!E146,householdfinance_v2_8!E146,householdfinance_v2_7!E146,householdfinance_v2_6!E146,householdfinance_v2_10!E146),0)</f>
        <v>1</v>
      </c>
      <c r="F146">
        <f>IF($E146=0,"NA",ROUND(SUM(householdfinance_v2_9!F146,householdfinance_v2_8!F146,householdfinance_v2_7!F146,householdfinance_v2_6!F146,householdfinance_v2_10!F146)/COUNT(householdfinance_v2_9!F146,householdfinance_v2_8!F146,householdfinance_v2_7!F146,householdfinance_v2_6!F146,householdfinance_v2_10!F146),0))</f>
        <v>0</v>
      </c>
      <c r="G146">
        <f>IF($E146=0,"NA",ROUND(SUM(householdfinance_v2_9!G146,householdfinance_v2_8!G146,householdfinance_v2_7!G146,householdfinance_v2_6!G146,householdfinance_v2_10!G146)/COUNT(householdfinance_v2_9!G146,householdfinance_v2_8!G146,householdfinance_v2_7!G146,householdfinance_v2_6!G146,householdfinance_v2_10!G146),0))</f>
        <v>1</v>
      </c>
      <c r="H146" t="str">
        <f>IF(AND(F146=1,G146=1),ROUND(SUM(householdfinance_v2_9!H146,householdfinance_v2_8!H146,householdfinance_v2_7!H146,householdfinance_v2_6!H146,householdfinance_v2_10!H146)/COUNT(householdfinance_v2_9!H146,householdfinance_v2_8!H146,householdfinance_v2_7!H146,householdfinance_v2_6!H146,householdfinance_v2_10!H146),0),"NA")</f>
        <v>NA</v>
      </c>
      <c r="I146">
        <f>IF($E146=0,"NA",ROUND(SUM(householdfinance_v2_9!I146,householdfinance_v2_8!I146,householdfinance_v2_7!I146,householdfinance_v2_6!I146,householdfinance_v2_10!I146)/COUNT(householdfinance_v2_9!I146,householdfinance_v2_8!I146,householdfinance_v2_7!I146,householdfinance_v2_6!I146,householdfinance_v2_10!I146),0))</f>
        <v>1</v>
      </c>
      <c r="J146" t="str">
        <f>IF(F146=1,ROUND(SUM(householdfinance_v2_9!J146,householdfinance_v2_8!J146,householdfinance_v2_7!J146,householdfinance_v2_6!J146,householdfinance_v2_10!J146)/COUNT(householdfinance_v2_9!J146,householdfinance_v2_8!J146,householdfinance_v2_7!J146,householdfinance_v2_6!J146,householdfinance_v2_10!J146),0),"NA")</f>
        <v>NA</v>
      </c>
      <c r="K146">
        <f>IF($E146=0,"NA",ROUND(SUM(householdfinance_v2_9!K146,householdfinance_v2_8!K146,householdfinance_v2_7!K146,householdfinance_v2_6!K146,householdfinance_v2_10!K146)/COUNT(householdfinance_v2_9!K146,householdfinance_v2_8!K146,householdfinance_v2_7!K146,householdfinance_v2_6!K146,householdfinance_v2_10!K146),0))</f>
        <v>1</v>
      </c>
      <c r="L146">
        <f>IF($E146=0,"NA",ROUND(SUM(householdfinance_v2_9!L146,householdfinance_v2_8!L146,householdfinance_v2_7!L146,householdfinance_v2_6!L146,householdfinance_v2_10!L146)/COUNT(householdfinance_v2_9!L146,householdfinance_v2_8!L146,householdfinance_v2_7!L146,householdfinance_v2_6!L146,householdfinance_v2_10!L146),0))</f>
        <v>1</v>
      </c>
      <c r="M146">
        <f>IF($E146=0,"NA",ROUND(SUM(householdfinance_v2_9!M146,householdfinance_v2_8!M146,householdfinance_v2_7!M146,householdfinance_v2_6!M146,householdfinance_v2_10!M146)/COUNT(householdfinance_v2_9!M146,householdfinance_v2_8!M146,householdfinance_v2_7!M146,householdfinance_v2_6!M146,householdfinance_v2_10!M146),0))</f>
        <v>1</v>
      </c>
      <c r="N146">
        <f>IF($E146=0,"NA",ROUND(SUM(householdfinance_v2_9!N146,householdfinance_v2_8!N146,householdfinance_v2_7!N146,householdfinance_v2_6!N146,householdfinance_v2_10!N146)/COUNT(householdfinance_v2_9!N146,householdfinance_v2_8!N146,householdfinance_v2_7!N146,householdfinance_v2_6!N146,householdfinance_v2_10!N146),0))</f>
        <v>1</v>
      </c>
      <c r="O146">
        <f>IF($E146=0,"NA",ROUND(SUM(householdfinance_v2_9!O146,householdfinance_v2_8!O146,householdfinance_v2_7!O146,householdfinance_v2_6!O146,householdfinance_v2_10!O146)/COUNT(householdfinance_v2_9!O146,householdfinance_v2_8!O146,householdfinance_v2_7!O146,householdfinance_v2_6!O146,householdfinance_v2_10!O146),0))</f>
        <v>1</v>
      </c>
    </row>
    <row r="147" spans="1:15" x14ac:dyDescent="0.25">
      <c r="A147" t="s">
        <v>151</v>
      </c>
      <c r="B147" t="s">
        <v>67</v>
      </c>
      <c r="C147">
        <v>0</v>
      </c>
      <c r="D147">
        <v>3.8926527500152588</v>
      </c>
      <c r="E147">
        <f>ROUND(SUM(householdfinance_v2_9!E147,householdfinance_v2_8!E147,householdfinance_v2_7!E147,householdfinance_v2_6!E147,householdfinance_v2_10!E147)/COUNT(householdfinance_v2_9!E147,householdfinance_v2_8!E147,householdfinance_v2_7!E147,householdfinance_v2_6!E147,householdfinance_v2_10!E147),0)</f>
        <v>1</v>
      </c>
      <c r="F147">
        <f>IF($E147=0,"NA",ROUND(SUM(householdfinance_v2_9!F147,householdfinance_v2_8!F147,householdfinance_v2_7!F147,householdfinance_v2_6!F147,householdfinance_v2_10!F147)/COUNT(householdfinance_v2_9!F147,householdfinance_v2_8!F147,householdfinance_v2_7!F147,householdfinance_v2_6!F147,householdfinance_v2_10!F147),0))</f>
        <v>1</v>
      </c>
      <c r="G147">
        <f>IF($E147=0,"NA",ROUND(SUM(householdfinance_v2_9!G147,householdfinance_v2_8!G147,householdfinance_v2_7!G147,householdfinance_v2_6!G147,householdfinance_v2_10!G147)/COUNT(householdfinance_v2_9!G147,householdfinance_v2_8!G147,householdfinance_v2_7!G147,householdfinance_v2_6!G147,householdfinance_v2_10!G147),0))</f>
        <v>1</v>
      </c>
      <c r="H147">
        <f>IF(AND(F147=1,G147=1),ROUND(SUM(householdfinance_v2_9!H147,householdfinance_v2_8!H147,householdfinance_v2_7!H147,householdfinance_v2_6!H147,householdfinance_v2_10!H147)/COUNT(householdfinance_v2_9!H147,householdfinance_v2_8!H147,householdfinance_v2_7!H147,householdfinance_v2_6!H147,householdfinance_v2_10!H147),0),"NA")</f>
        <v>1</v>
      </c>
      <c r="I147">
        <f>IF($E147=0,"NA",ROUND(SUM(householdfinance_v2_9!I147,householdfinance_v2_8!I147,householdfinance_v2_7!I147,householdfinance_v2_6!I147,householdfinance_v2_10!I147)/COUNT(householdfinance_v2_9!I147,householdfinance_v2_8!I147,householdfinance_v2_7!I147,householdfinance_v2_6!I147,householdfinance_v2_10!I147),0))</f>
        <v>0</v>
      </c>
      <c r="J147">
        <f>IF(F147=1,ROUND(SUM(householdfinance_v2_9!J147,householdfinance_v2_8!J147,householdfinance_v2_7!J147,householdfinance_v2_6!J147,householdfinance_v2_10!J147)/COUNT(householdfinance_v2_9!J147,householdfinance_v2_8!J147,householdfinance_v2_7!J147,householdfinance_v2_6!J147,householdfinance_v2_10!J147),0),"NA")</f>
        <v>1</v>
      </c>
      <c r="K147">
        <f>IF($E147=0,"NA",ROUND(SUM(householdfinance_v2_9!K147,householdfinance_v2_8!K147,householdfinance_v2_7!K147,householdfinance_v2_6!K147,householdfinance_v2_10!K147)/COUNT(householdfinance_v2_9!K147,householdfinance_v2_8!K147,householdfinance_v2_7!K147,householdfinance_v2_6!K147,householdfinance_v2_10!K147),0))</f>
        <v>1</v>
      </c>
      <c r="L147">
        <f>IF($E147=0,"NA",ROUND(SUM(householdfinance_v2_9!L147,householdfinance_v2_8!L147,householdfinance_v2_7!L147,householdfinance_v2_6!L147,householdfinance_v2_10!L147)/COUNT(householdfinance_v2_9!L147,householdfinance_v2_8!L147,householdfinance_v2_7!L147,householdfinance_v2_6!L147,householdfinance_v2_10!L147),0))</f>
        <v>1</v>
      </c>
      <c r="M147">
        <f>IF($E147=0,"NA",ROUND(SUM(householdfinance_v2_9!M147,householdfinance_v2_8!M147,householdfinance_v2_7!M147,householdfinance_v2_6!M147,householdfinance_v2_10!M147)/COUNT(householdfinance_v2_9!M147,householdfinance_v2_8!M147,householdfinance_v2_7!M147,householdfinance_v2_6!M147,householdfinance_v2_10!M147),0))</f>
        <v>1</v>
      </c>
      <c r="N147">
        <f>IF($E147=0,"NA",ROUND(SUM(householdfinance_v2_9!N147,householdfinance_v2_8!N147,householdfinance_v2_7!N147,householdfinance_v2_6!N147,householdfinance_v2_10!N147)/COUNT(householdfinance_v2_9!N147,householdfinance_v2_8!N147,householdfinance_v2_7!N147,householdfinance_v2_6!N147,householdfinance_v2_10!N147),0))</f>
        <v>1</v>
      </c>
      <c r="O147">
        <f>IF($E147=0,"NA",ROUND(SUM(householdfinance_v2_9!O147,householdfinance_v2_8!O147,householdfinance_v2_7!O147,householdfinance_v2_6!O147,householdfinance_v2_10!O147)/COUNT(householdfinance_v2_9!O147,householdfinance_v2_8!O147,householdfinance_v2_7!O147,householdfinance_v2_6!O147,householdfinance_v2_10!O147),0))</f>
        <v>1</v>
      </c>
    </row>
    <row r="148" spans="1:15" x14ac:dyDescent="0.25">
      <c r="A148" t="s">
        <v>151</v>
      </c>
      <c r="B148" t="s">
        <v>69</v>
      </c>
      <c r="C148">
        <v>0</v>
      </c>
      <c r="D148">
        <v>6.8763105869293213</v>
      </c>
      <c r="E148">
        <f>ROUND(SUM(householdfinance_v2_9!E148,householdfinance_v2_8!E148,householdfinance_v2_7!E148,householdfinance_v2_6!E148,householdfinance_v2_10!E148)/COUNT(householdfinance_v2_9!E148,householdfinance_v2_8!E148,householdfinance_v2_7!E148,householdfinance_v2_6!E148,householdfinance_v2_10!E148),0)</f>
        <v>1</v>
      </c>
      <c r="F148">
        <f>IF($E148=0,"NA",ROUND(SUM(householdfinance_v2_9!F148,householdfinance_v2_8!F148,householdfinance_v2_7!F148,householdfinance_v2_6!F148,householdfinance_v2_10!F148)/COUNT(householdfinance_v2_9!F148,householdfinance_v2_8!F148,householdfinance_v2_7!F148,householdfinance_v2_6!F148,householdfinance_v2_10!F148),0))</f>
        <v>0</v>
      </c>
      <c r="G148">
        <f>IF($E148=0,"NA",ROUND(SUM(householdfinance_v2_9!G148,householdfinance_v2_8!G148,householdfinance_v2_7!G148,householdfinance_v2_6!G148,householdfinance_v2_10!G148)/COUNT(householdfinance_v2_9!G148,householdfinance_v2_8!G148,householdfinance_v2_7!G148,householdfinance_v2_6!G148,householdfinance_v2_10!G148),0))</f>
        <v>1</v>
      </c>
      <c r="H148" t="str">
        <f>IF(AND(F148=1,G148=1),ROUND(SUM(householdfinance_v2_9!H148,householdfinance_v2_8!H148,householdfinance_v2_7!H148,householdfinance_v2_6!H148,householdfinance_v2_10!H148)/COUNT(householdfinance_v2_9!H148,householdfinance_v2_8!H148,householdfinance_v2_7!H148,householdfinance_v2_6!H148,householdfinance_v2_10!H148),0),"NA")</f>
        <v>NA</v>
      </c>
      <c r="I148">
        <f>IF($E148=0,"NA",ROUND(SUM(householdfinance_v2_9!I148,householdfinance_v2_8!I148,householdfinance_v2_7!I148,householdfinance_v2_6!I148,householdfinance_v2_10!I148)/COUNT(householdfinance_v2_9!I148,householdfinance_v2_8!I148,householdfinance_v2_7!I148,householdfinance_v2_6!I148,householdfinance_v2_10!I148),0))</f>
        <v>1</v>
      </c>
      <c r="J148" t="str">
        <f>IF(F148=1,ROUND(SUM(householdfinance_v2_9!J148,householdfinance_v2_8!J148,householdfinance_v2_7!J148,householdfinance_v2_6!J148,householdfinance_v2_10!J148)/COUNT(householdfinance_v2_9!J148,householdfinance_v2_8!J148,householdfinance_v2_7!J148,householdfinance_v2_6!J148,householdfinance_v2_10!J148),0),"NA")</f>
        <v>NA</v>
      </c>
      <c r="K148">
        <f>IF($E148=0,"NA",ROUND(SUM(householdfinance_v2_9!K148,householdfinance_v2_8!K148,householdfinance_v2_7!K148,householdfinance_v2_6!K148,householdfinance_v2_10!K148)/COUNT(householdfinance_v2_9!K148,householdfinance_v2_8!K148,householdfinance_v2_7!K148,householdfinance_v2_6!K148,householdfinance_v2_10!K148),0))</f>
        <v>1</v>
      </c>
      <c r="L148">
        <f>IF($E148=0,"NA",ROUND(SUM(householdfinance_v2_9!L148,householdfinance_v2_8!L148,householdfinance_v2_7!L148,householdfinance_v2_6!L148,householdfinance_v2_10!L148)/COUNT(householdfinance_v2_9!L148,householdfinance_v2_8!L148,householdfinance_v2_7!L148,householdfinance_v2_6!L148,householdfinance_v2_10!L148),0))</f>
        <v>1</v>
      </c>
      <c r="M148">
        <f>IF($E148=0,"NA",ROUND(SUM(householdfinance_v2_9!M148,householdfinance_v2_8!M148,householdfinance_v2_7!M148,householdfinance_v2_6!M148,householdfinance_v2_10!M148)/COUNT(householdfinance_v2_9!M148,householdfinance_v2_8!M148,householdfinance_v2_7!M148,householdfinance_v2_6!M148,householdfinance_v2_10!M148),0))</f>
        <v>1</v>
      </c>
      <c r="N148">
        <f>IF($E148=0,"NA",ROUND(SUM(householdfinance_v2_9!N148,householdfinance_v2_8!N148,householdfinance_v2_7!N148,householdfinance_v2_6!N148,householdfinance_v2_10!N148)/COUNT(householdfinance_v2_9!N148,householdfinance_v2_8!N148,householdfinance_v2_7!N148,householdfinance_v2_6!N148,householdfinance_v2_10!N148),0))</f>
        <v>1</v>
      </c>
      <c r="O148">
        <f>IF($E148=0,"NA",ROUND(SUM(householdfinance_v2_9!O148,householdfinance_v2_8!O148,householdfinance_v2_7!O148,householdfinance_v2_6!O148,householdfinance_v2_10!O148)/COUNT(householdfinance_v2_9!O148,householdfinance_v2_8!O148,householdfinance_v2_7!O148,householdfinance_v2_6!O148,householdfinance_v2_10!O148),0))</f>
        <v>1</v>
      </c>
    </row>
    <row r="149" spans="1:15" x14ac:dyDescent="0.25">
      <c r="A149" t="s">
        <v>151</v>
      </c>
      <c r="B149" t="s">
        <v>70</v>
      </c>
      <c r="C149">
        <v>0</v>
      </c>
      <c r="D149">
        <v>2.7646105289459229</v>
      </c>
      <c r="E149">
        <f>ROUND(SUM(householdfinance_v2_9!E149,householdfinance_v2_8!E149,householdfinance_v2_7!E149,householdfinance_v2_6!E149,householdfinance_v2_10!E149)/COUNT(householdfinance_v2_9!E149,householdfinance_v2_8!E149,householdfinance_v2_7!E149,householdfinance_v2_6!E149,householdfinance_v2_10!E149),0)</f>
        <v>1</v>
      </c>
      <c r="F149">
        <f>IF($E149=0,"NA",ROUND(SUM(householdfinance_v2_9!F149,householdfinance_v2_8!F149,householdfinance_v2_7!F149,householdfinance_v2_6!F149,householdfinance_v2_10!F149)/COUNT(householdfinance_v2_9!F149,householdfinance_v2_8!F149,householdfinance_v2_7!F149,householdfinance_v2_6!F149,householdfinance_v2_10!F149),0))</f>
        <v>1</v>
      </c>
      <c r="G149">
        <f>IF($E149=0,"NA",ROUND(SUM(householdfinance_v2_9!G149,householdfinance_v2_8!G149,householdfinance_v2_7!G149,householdfinance_v2_6!G149,householdfinance_v2_10!G149)/COUNT(householdfinance_v2_9!G149,householdfinance_v2_8!G149,householdfinance_v2_7!G149,householdfinance_v2_6!G149,householdfinance_v2_10!G149),0))</f>
        <v>1</v>
      </c>
      <c r="H149">
        <f>IF(AND(F149=1,G149=1),ROUND(SUM(householdfinance_v2_9!H149,householdfinance_v2_8!H149,householdfinance_v2_7!H149,householdfinance_v2_6!H149,householdfinance_v2_10!H149)/COUNT(householdfinance_v2_9!H149,householdfinance_v2_8!H149,householdfinance_v2_7!H149,householdfinance_v2_6!H149,householdfinance_v2_10!H149),0),"NA")</f>
        <v>1</v>
      </c>
      <c r="I149">
        <f>IF($E149=0,"NA",ROUND(SUM(householdfinance_v2_9!I149,householdfinance_v2_8!I149,householdfinance_v2_7!I149,householdfinance_v2_6!I149,householdfinance_v2_10!I149)/COUNT(householdfinance_v2_9!I149,householdfinance_v2_8!I149,householdfinance_v2_7!I149,householdfinance_v2_6!I149,householdfinance_v2_10!I149),0))</f>
        <v>1</v>
      </c>
      <c r="J149">
        <f>IF(F149=1,ROUND(SUM(householdfinance_v2_9!J149,householdfinance_v2_8!J149,householdfinance_v2_7!J149,householdfinance_v2_6!J149,householdfinance_v2_10!J149)/COUNT(householdfinance_v2_9!J149,householdfinance_v2_8!J149,householdfinance_v2_7!J149,householdfinance_v2_6!J149,householdfinance_v2_10!J149),0),"NA")</f>
        <v>1</v>
      </c>
      <c r="K149">
        <f>IF($E149=0,"NA",ROUND(SUM(householdfinance_v2_9!K149,householdfinance_v2_8!K149,householdfinance_v2_7!K149,householdfinance_v2_6!K149,householdfinance_v2_10!K149)/COUNT(householdfinance_v2_9!K149,householdfinance_v2_8!K149,householdfinance_v2_7!K149,householdfinance_v2_6!K149,householdfinance_v2_10!K149),0))</f>
        <v>1</v>
      </c>
      <c r="L149">
        <f>IF($E149=0,"NA",ROUND(SUM(householdfinance_v2_9!L149,householdfinance_v2_8!L149,householdfinance_v2_7!L149,householdfinance_v2_6!L149,householdfinance_v2_10!L149)/COUNT(householdfinance_v2_9!L149,householdfinance_v2_8!L149,householdfinance_v2_7!L149,householdfinance_v2_6!L149,householdfinance_v2_10!L149),0))</f>
        <v>1</v>
      </c>
      <c r="M149">
        <f>IF($E149=0,"NA",ROUND(SUM(householdfinance_v2_9!M149,householdfinance_v2_8!M149,householdfinance_v2_7!M149,householdfinance_v2_6!M149,householdfinance_v2_10!M149)/COUNT(householdfinance_v2_9!M149,householdfinance_v2_8!M149,householdfinance_v2_7!M149,householdfinance_v2_6!M149,householdfinance_v2_10!M149),0))</f>
        <v>1</v>
      </c>
      <c r="N149">
        <f>IF($E149=0,"NA",ROUND(SUM(householdfinance_v2_9!N149,householdfinance_v2_8!N149,householdfinance_v2_7!N149,householdfinance_v2_6!N149,householdfinance_v2_10!N149)/COUNT(householdfinance_v2_9!N149,householdfinance_v2_8!N149,householdfinance_v2_7!N149,householdfinance_v2_6!N149,householdfinance_v2_10!N149),0))</f>
        <v>1</v>
      </c>
      <c r="O149">
        <f>IF($E149=0,"NA",ROUND(SUM(householdfinance_v2_9!O149,householdfinance_v2_8!O149,householdfinance_v2_7!O149,householdfinance_v2_6!O149,householdfinance_v2_10!O149)/COUNT(householdfinance_v2_9!O149,householdfinance_v2_8!O149,householdfinance_v2_7!O149,householdfinance_v2_6!O149,householdfinance_v2_10!O149),0))</f>
        <v>1</v>
      </c>
    </row>
    <row r="150" spans="1:15" x14ac:dyDescent="0.25">
      <c r="A150" t="s">
        <v>151</v>
      </c>
      <c r="B150" t="s">
        <v>71</v>
      </c>
      <c r="C150">
        <v>0</v>
      </c>
      <c r="D150">
        <v>2.675153493881226</v>
      </c>
      <c r="E150">
        <f>ROUND(SUM(householdfinance_v2_9!E150,householdfinance_v2_8!E150,householdfinance_v2_7!E150,householdfinance_v2_6!E150,householdfinance_v2_10!E150)/COUNT(householdfinance_v2_9!E150,householdfinance_v2_8!E150,householdfinance_v2_7!E150,householdfinance_v2_6!E150,householdfinance_v2_10!E150),0)</f>
        <v>1</v>
      </c>
      <c r="F150">
        <f>IF($E150=0,"NA",ROUND(SUM(householdfinance_v2_9!F150,householdfinance_v2_8!F150,householdfinance_v2_7!F150,householdfinance_v2_6!F150,householdfinance_v2_10!F150)/COUNT(householdfinance_v2_9!F150,householdfinance_v2_8!F150,householdfinance_v2_7!F150,householdfinance_v2_6!F150,householdfinance_v2_10!F150),0))</f>
        <v>1</v>
      </c>
      <c r="G150">
        <f>IF($E150=0,"NA",ROUND(SUM(householdfinance_v2_9!G150,householdfinance_v2_8!G150,householdfinance_v2_7!G150,householdfinance_v2_6!G150,householdfinance_v2_10!G150)/COUNT(householdfinance_v2_9!G150,householdfinance_v2_8!G150,householdfinance_v2_7!G150,householdfinance_v2_6!G150,householdfinance_v2_10!G150),0))</f>
        <v>1</v>
      </c>
      <c r="H150">
        <f>IF(AND(F150=1,G150=1),ROUND(SUM(householdfinance_v2_9!H150,householdfinance_v2_8!H150,householdfinance_v2_7!H150,householdfinance_v2_6!H150,householdfinance_v2_10!H150)/COUNT(householdfinance_v2_9!H150,householdfinance_v2_8!H150,householdfinance_v2_7!H150,householdfinance_v2_6!H150,householdfinance_v2_10!H150),0),"NA")</f>
        <v>1</v>
      </c>
      <c r="I150">
        <f>IF($E150=0,"NA",ROUND(SUM(householdfinance_v2_9!I150,householdfinance_v2_8!I150,householdfinance_v2_7!I150,householdfinance_v2_6!I150,householdfinance_v2_10!I150)/COUNT(householdfinance_v2_9!I150,householdfinance_v2_8!I150,householdfinance_v2_7!I150,householdfinance_v2_6!I150,householdfinance_v2_10!I150),0))</f>
        <v>1</v>
      </c>
      <c r="J150">
        <f>IF(F150=1,ROUND(SUM(householdfinance_v2_9!J150,householdfinance_v2_8!J150,householdfinance_v2_7!J150,householdfinance_v2_6!J150,householdfinance_v2_10!J150)/COUNT(householdfinance_v2_9!J150,householdfinance_v2_8!J150,householdfinance_v2_7!J150,householdfinance_v2_6!J150,householdfinance_v2_10!J150),0),"NA")</f>
        <v>1</v>
      </c>
      <c r="K150">
        <f>IF($E150=0,"NA",ROUND(SUM(householdfinance_v2_9!K150,householdfinance_v2_8!K150,householdfinance_v2_7!K150,householdfinance_v2_6!K150,householdfinance_v2_10!K150)/COUNT(householdfinance_v2_9!K150,householdfinance_v2_8!K150,householdfinance_v2_7!K150,householdfinance_v2_6!K150,householdfinance_v2_10!K150),0))</f>
        <v>1</v>
      </c>
      <c r="L150">
        <f>IF($E150=0,"NA",ROUND(SUM(householdfinance_v2_9!L150,householdfinance_v2_8!L150,householdfinance_v2_7!L150,householdfinance_v2_6!L150,householdfinance_v2_10!L150)/COUNT(householdfinance_v2_9!L150,householdfinance_v2_8!L150,householdfinance_v2_7!L150,householdfinance_v2_6!L150,householdfinance_v2_10!L150),0))</f>
        <v>1</v>
      </c>
      <c r="M150">
        <f>IF($E150=0,"NA",ROUND(SUM(householdfinance_v2_9!M150,householdfinance_v2_8!M150,householdfinance_v2_7!M150,householdfinance_v2_6!M150,householdfinance_v2_10!M150)/COUNT(householdfinance_v2_9!M150,householdfinance_v2_8!M150,householdfinance_v2_7!M150,householdfinance_v2_6!M150,householdfinance_v2_10!M150),0))</f>
        <v>1</v>
      </c>
      <c r="N150">
        <f>IF($E150=0,"NA",ROUND(SUM(householdfinance_v2_9!N150,householdfinance_v2_8!N150,householdfinance_v2_7!N150,householdfinance_v2_6!N150,householdfinance_v2_10!N150)/COUNT(householdfinance_v2_9!N150,householdfinance_v2_8!N150,householdfinance_v2_7!N150,householdfinance_v2_6!N150,householdfinance_v2_10!N150),0))</f>
        <v>1</v>
      </c>
      <c r="O150">
        <f>IF($E150=0,"NA",ROUND(SUM(householdfinance_v2_9!O150,householdfinance_v2_8!O150,householdfinance_v2_7!O150,householdfinance_v2_6!O150,householdfinance_v2_10!O150)/COUNT(householdfinance_v2_9!O150,householdfinance_v2_8!O150,householdfinance_v2_7!O150,householdfinance_v2_6!O150,householdfinance_v2_10!O150),0))</f>
        <v>1</v>
      </c>
    </row>
    <row r="151" spans="1:15" x14ac:dyDescent="0.25">
      <c r="A151" t="s">
        <v>151</v>
      </c>
      <c r="B151" t="s">
        <v>72</v>
      </c>
      <c r="C151">
        <v>0</v>
      </c>
      <c r="D151">
        <v>5.9984691143035889</v>
      </c>
      <c r="E151">
        <f>ROUND(SUM(householdfinance_v2_9!E151,householdfinance_v2_8!E151,householdfinance_v2_7!E151,householdfinance_v2_6!E151,householdfinance_v2_10!E151)/COUNT(householdfinance_v2_9!E151,householdfinance_v2_8!E151,householdfinance_v2_7!E151,householdfinance_v2_6!E151,householdfinance_v2_10!E151),0)</f>
        <v>1</v>
      </c>
      <c r="F151">
        <f>IF($E151=0,"NA",ROUND(SUM(householdfinance_v2_9!F151,householdfinance_v2_8!F151,householdfinance_v2_7!F151,householdfinance_v2_6!F151,householdfinance_v2_10!F151)/COUNT(householdfinance_v2_9!F151,householdfinance_v2_8!F151,householdfinance_v2_7!F151,householdfinance_v2_6!F151,householdfinance_v2_10!F151),0))</f>
        <v>1</v>
      </c>
      <c r="G151">
        <f>IF($E151=0,"NA",ROUND(SUM(householdfinance_v2_9!G151,householdfinance_v2_8!G151,householdfinance_v2_7!G151,householdfinance_v2_6!G151,householdfinance_v2_10!G151)/COUNT(householdfinance_v2_9!G151,householdfinance_v2_8!G151,householdfinance_v2_7!G151,householdfinance_v2_6!G151,householdfinance_v2_10!G151),0))</f>
        <v>0</v>
      </c>
      <c r="H151" t="str">
        <f>IF(AND(F151=1,G151=1),ROUND(SUM(householdfinance_v2_9!H151,householdfinance_v2_8!H151,householdfinance_v2_7!H151,householdfinance_v2_6!H151,householdfinance_v2_10!H151)/COUNT(householdfinance_v2_9!H151,householdfinance_v2_8!H151,householdfinance_v2_7!H151,householdfinance_v2_6!H151,householdfinance_v2_10!H151),0),"NA")</f>
        <v>NA</v>
      </c>
      <c r="I151">
        <f>IF($E151=0,"NA",ROUND(SUM(householdfinance_v2_9!I151,householdfinance_v2_8!I151,householdfinance_v2_7!I151,householdfinance_v2_6!I151,householdfinance_v2_10!I151)/COUNT(householdfinance_v2_9!I151,householdfinance_v2_8!I151,householdfinance_v2_7!I151,householdfinance_v2_6!I151,householdfinance_v2_10!I151),0))</f>
        <v>1</v>
      </c>
      <c r="J151">
        <f>IF(F151=1,ROUND(SUM(householdfinance_v2_9!J151,householdfinance_v2_8!J151,householdfinance_v2_7!J151,householdfinance_v2_6!J151,householdfinance_v2_10!J151)/COUNT(householdfinance_v2_9!J151,householdfinance_v2_8!J151,householdfinance_v2_7!J151,householdfinance_v2_6!J151,householdfinance_v2_10!J151),0),"NA")</f>
        <v>1</v>
      </c>
      <c r="K151">
        <f>IF($E151=0,"NA",ROUND(SUM(householdfinance_v2_9!K151,householdfinance_v2_8!K151,householdfinance_v2_7!K151,householdfinance_v2_6!K151,householdfinance_v2_10!K151)/COUNT(householdfinance_v2_9!K151,householdfinance_v2_8!K151,householdfinance_v2_7!K151,householdfinance_v2_6!K151,householdfinance_v2_10!K151),0))</f>
        <v>1</v>
      </c>
      <c r="L151">
        <f>IF($E151=0,"NA",ROUND(SUM(householdfinance_v2_9!L151,householdfinance_v2_8!L151,householdfinance_v2_7!L151,householdfinance_v2_6!L151,householdfinance_v2_10!L151)/COUNT(householdfinance_v2_9!L151,householdfinance_v2_8!L151,householdfinance_v2_7!L151,householdfinance_v2_6!L151,householdfinance_v2_10!L151),0))</f>
        <v>1</v>
      </c>
      <c r="M151">
        <f>IF($E151=0,"NA",ROUND(SUM(householdfinance_v2_9!M151,householdfinance_v2_8!M151,householdfinance_v2_7!M151,householdfinance_v2_6!M151,householdfinance_v2_10!M151)/COUNT(householdfinance_v2_9!M151,householdfinance_v2_8!M151,householdfinance_v2_7!M151,householdfinance_v2_6!M151,householdfinance_v2_10!M151),0))</f>
        <v>1</v>
      </c>
      <c r="N151">
        <f>IF($E151=0,"NA",ROUND(SUM(householdfinance_v2_9!N151,householdfinance_v2_8!N151,householdfinance_v2_7!N151,householdfinance_v2_6!N151,householdfinance_v2_10!N151)/COUNT(householdfinance_v2_9!N151,householdfinance_v2_8!N151,householdfinance_v2_7!N151,householdfinance_v2_6!N151,householdfinance_v2_10!N151),0))</f>
        <v>1</v>
      </c>
      <c r="O151">
        <f>IF($E151=0,"NA",ROUND(SUM(householdfinance_v2_9!O151,householdfinance_v2_8!O151,householdfinance_v2_7!O151,householdfinance_v2_6!O151,householdfinance_v2_10!O151)/COUNT(householdfinance_v2_9!O151,householdfinance_v2_8!O151,householdfinance_v2_7!O151,householdfinance_v2_6!O151,householdfinance_v2_10!O151),0))</f>
        <v>1</v>
      </c>
    </row>
    <row r="152" spans="1:15" x14ac:dyDescent="0.25">
      <c r="A152" t="s">
        <v>151</v>
      </c>
      <c r="B152" t="s">
        <v>74</v>
      </c>
      <c r="C152">
        <v>0</v>
      </c>
      <c r="D152">
        <v>9.6713693141937256</v>
      </c>
      <c r="E152">
        <f>ROUND(SUM(householdfinance_v2_9!E152,householdfinance_v2_8!E152,householdfinance_v2_7!E152,householdfinance_v2_6!E152,householdfinance_v2_10!E152)/COUNT(householdfinance_v2_9!E152,householdfinance_v2_8!E152,householdfinance_v2_7!E152,householdfinance_v2_6!E152,householdfinance_v2_10!E152),0)</f>
        <v>1</v>
      </c>
      <c r="F152">
        <f>IF($E152=0,"NA",ROUND(SUM(householdfinance_v2_9!F152,householdfinance_v2_8!F152,householdfinance_v2_7!F152,householdfinance_v2_6!F152,householdfinance_v2_10!F152)/COUNT(householdfinance_v2_9!F152,householdfinance_v2_8!F152,householdfinance_v2_7!F152,householdfinance_v2_6!F152,householdfinance_v2_10!F152),0))</f>
        <v>1</v>
      </c>
      <c r="G152">
        <f>IF($E152=0,"NA",ROUND(SUM(householdfinance_v2_9!G152,householdfinance_v2_8!G152,householdfinance_v2_7!G152,householdfinance_v2_6!G152,householdfinance_v2_10!G152)/COUNT(householdfinance_v2_9!G152,householdfinance_v2_8!G152,householdfinance_v2_7!G152,householdfinance_v2_6!G152,householdfinance_v2_10!G152),0))</f>
        <v>1</v>
      </c>
      <c r="H152">
        <f>IF(AND(F152=1,G152=1),ROUND(SUM(householdfinance_v2_9!H152,householdfinance_v2_8!H152,householdfinance_v2_7!H152,householdfinance_v2_6!H152,householdfinance_v2_10!H152)/COUNT(householdfinance_v2_9!H152,householdfinance_v2_8!H152,householdfinance_v2_7!H152,householdfinance_v2_6!H152,householdfinance_v2_10!H152),0),"NA")</f>
        <v>1</v>
      </c>
      <c r="I152">
        <f>IF($E152=0,"NA",ROUND(SUM(householdfinance_v2_9!I152,householdfinance_v2_8!I152,householdfinance_v2_7!I152,householdfinance_v2_6!I152,householdfinance_v2_10!I152)/COUNT(householdfinance_v2_9!I152,householdfinance_v2_8!I152,householdfinance_v2_7!I152,householdfinance_v2_6!I152,householdfinance_v2_10!I152),0))</f>
        <v>1</v>
      </c>
      <c r="J152">
        <f>IF(F152=1,ROUND(SUM(householdfinance_v2_9!J152,householdfinance_v2_8!J152,householdfinance_v2_7!J152,householdfinance_v2_6!J152,householdfinance_v2_10!J152)/COUNT(householdfinance_v2_9!J152,householdfinance_v2_8!J152,householdfinance_v2_7!J152,householdfinance_v2_6!J152,householdfinance_v2_10!J152),0),"NA")</f>
        <v>1</v>
      </c>
      <c r="K152">
        <f>IF($E152=0,"NA",ROUND(SUM(householdfinance_v2_9!K152,householdfinance_v2_8!K152,householdfinance_v2_7!K152,householdfinance_v2_6!K152,householdfinance_v2_10!K152)/COUNT(householdfinance_v2_9!K152,householdfinance_v2_8!K152,householdfinance_v2_7!K152,householdfinance_v2_6!K152,householdfinance_v2_10!K152),0))</f>
        <v>1</v>
      </c>
      <c r="L152">
        <f>IF($E152=0,"NA",ROUND(SUM(householdfinance_v2_9!L152,householdfinance_v2_8!L152,householdfinance_v2_7!L152,householdfinance_v2_6!L152,householdfinance_v2_10!L152)/COUNT(householdfinance_v2_9!L152,householdfinance_v2_8!L152,householdfinance_v2_7!L152,householdfinance_v2_6!L152,householdfinance_v2_10!L152),0))</f>
        <v>1</v>
      </c>
      <c r="M152">
        <f>IF($E152=0,"NA",ROUND(SUM(householdfinance_v2_9!M152,householdfinance_v2_8!M152,householdfinance_v2_7!M152,householdfinance_v2_6!M152,householdfinance_v2_10!M152)/COUNT(householdfinance_v2_9!M152,householdfinance_v2_8!M152,householdfinance_v2_7!M152,householdfinance_v2_6!M152,householdfinance_v2_10!M152),0))</f>
        <v>1</v>
      </c>
      <c r="N152">
        <f>IF($E152=0,"NA",ROUND(SUM(householdfinance_v2_9!N152,householdfinance_v2_8!N152,householdfinance_v2_7!N152,householdfinance_v2_6!N152,householdfinance_v2_10!N152)/COUNT(householdfinance_v2_9!N152,householdfinance_v2_8!N152,householdfinance_v2_7!N152,householdfinance_v2_6!N152,householdfinance_v2_10!N152),0))</f>
        <v>1</v>
      </c>
      <c r="O152">
        <f>IF($E152=0,"NA",ROUND(SUM(householdfinance_v2_9!O152,householdfinance_v2_8!O152,householdfinance_v2_7!O152,householdfinance_v2_6!O152,householdfinance_v2_10!O152)/COUNT(householdfinance_v2_9!O152,householdfinance_v2_8!O152,householdfinance_v2_7!O152,householdfinance_v2_6!O152,householdfinance_v2_10!O152),0))</f>
        <v>1</v>
      </c>
    </row>
    <row r="153" spans="1:15" x14ac:dyDescent="0.25">
      <c r="A153" t="s">
        <v>151</v>
      </c>
      <c r="B153" t="s">
        <v>76</v>
      </c>
      <c r="C153">
        <v>0</v>
      </c>
      <c r="D153">
        <v>9.1622300148010254</v>
      </c>
      <c r="E153">
        <f>ROUND(SUM(householdfinance_v2_9!E153,householdfinance_v2_8!E153,householdfinance_v2_7!E153,householdfinance_v2_6!E153,householdfinance_v2_10!E153)/COUNT(householdfinance_v2_9!E153,householdfinance_v2_8!E153,householdfinance_v2_7!E153,householdfinance_v2_6!E153,householdfinance_v2_10!E153),0)</f>
        <v>1</v>
      </c>
      <c r="F153">
        <f>IF($E153=0,"NA",ROUND(SUM(householdfinance_v2_9!F153,householdfinance_v2_8!F153,householdfinance_v2_7!F153,householdfinance_v2_6!F153,householdfinance_v2_10!F153)/COUNT(householdfinance_v2_9!F153,householdfinance_v2_8!F153,householdfinance_v2_7!F153,householdfinance_v2_6!F153,householdfinance_v2_10!F153),0))</f>
        <v>1</v>
      </c>
      <c r="G153">
        <f>IF($E153=0,"NA",ROUND(SUM(householdfinance_v2_9!G153,householdfinance_v2_8!G153,householdfinance_v2_7!G153,householdfinance_v2_6!G153,householdfinance_v2_10!G153)/COUNT(householdfinance_v2_9!G153,householdfinance_v2_8!G153,householdfinance_v2_7!G153,householdfinance_v2_6!G153,householdfinance_v2_10!G153),0))</f>
        <v>1</v>
      </c>
      <c r="H153">
        <f>IF(AND(F153=1,G153=1),ROUND(SUM(householdfinance_v2_9!H153,householdfinance_v2_8!H153,householdfinance_v2_7!H153,householdfinance_v2_6!H153,householdfinance_v2_10!H153)/COUNT(householdfinance_v2_9!H153,householdfinance_v2_8!H153,householdfinance_v2_7!H153,householdfinance_v2_6!H153,householdfinance_v2_10!H153),0),"NA")</f>
        <v>1</v>
      </c>
      <c r="I153">
        <f>IF($E153=0,"NA",ROUND(SUM(householdfinance_v2_9!I153,householdfinance_v2_8!I153,householdfinance_v2_7!I153,householdfinance_v2_6!I153,householdfinance_v2_10!I153)/COUNT(householdfinance_v2_9!I153,householdfinance_v2_8!I153,householdfinance_v2_7!I153,householdfinance_v2_6!I153,householdfinance_v2_10!I153),0))</f>
        <v>1</v>
      </c>
      <c r="J153">
        <f>IF(F153=1,ROUND(SUM(householdfinance_v2_9!J153,householdfinance_v2_8!J153,householdfinance_v2_7!J153,householdfinance_v2_6!J153,householdfinance_v2_10!J153)/COUNT(householdfinance_v2_9!J153,householdfinance_v2_8!J153,householdfinance_v2_7!J153,householdfinance_v2_6!J153,householdfinance_v2_10!J153),0),"NA")</f>
        <v>1</v>
      </c>
      <c r="K153">
        <f>IF($E153=0,"NA",ROUND(SUM(householdfinance_v2_9!K153,householdfinance_v2_8!K153,householdfinance_v2_7!K153,householdfinance_v2_6!K153,householdfinance_v2_10!K153)/COUNT(householdfinance_v2_9!K153,householdfinance_v2_8!K153,householdfinance_v2_7!K153,householdfinance_v2_6!K153,householdfinance_v2_10!K153),0))</f>
        <v>1</v>
      </c>
      <c r="L153">
        <f>IF($E153=0,"NA",ROUND(SUM(householdfinance_v2_9!L153,householdfinance_v2_8!L153,householdfinance_v2_7!L153,householdfinance_v2_6!L153,householdfinance_v2_10!L153)/COUNT(householdfinance_v2_9!L153,householdfinance_v2_8!L153,householdfinance_v2_7!L153,householdfinance_v2_6!L153,householdfinance_v2_10!L153),0))</f>
        <v>1</v>
      </c>
      <c r="M153">
        <f>IF($E153=0,"NA",ROUND(SUM(householdfinance_v2_9!M153,householdfinance_v2_8!M153,householdfinance_v2_7!M153,householdfinance_v2_6!M153,householdfinance_v2_10!M153)/COUNT(householdfinance_v2_9!M153,householdfinance_v2_8!M153,householdfinance_v2_7!M153,householdfinance_v2_6!M153,householdfinance_v2_10!M153),0))</f>
        <v>1</v>
      </c>
      <c r="N153">
        <f>IF($E153=0,"NA",ROUND(SUM(householdfinance_v2_9!N153,householdfinance_v2_8!N153,householdfinance_v2_7!N153,householdfinance_v2_6!N153,householdfinance_v2_10!N153)/COUNT(householdfinance_v2_9!N153,householdfinance_v2_8!N153,householdfinance_v2_7!N153,householdfinance_v2_6!N153,householdfinance_v2_10!N153),0))</f>
        <v>1</v>
      </c>
      <c r="O153">
        <f>IF($E153=0,"NA",ROUND(SUM(householdfinance_v2_9!O153,householdfinance_v2_8!O153,householdfinance_v2_7!O153,householdfinance_v2_6!O153,householdfinance_v2_10!O153)/COUNT(householdfinance_v2_9!O153,householdfinance_v2_8!O153,householdfinance_v2_7!O153,householdfinance_v2_6!O153,householdfinance_v2_10!O153),0))</f>
        <v>1</v>
      </c>
    </row>
    <row r="154" spans="1:15" x14ac:dyDescent="0.25">
      <c r="A154" t="s">
        <v>151</v>
      </c>
      <c r="B154" t="s">
        <v>78</v>
      </c>
      <c r="C154">
        <v>0</v>
      </c>
      <c r="D154">
        <v>2.764556884765625</v>
      </c>
      <c r="E154">
        <f>ROUND(SUM(householdfinance_v2_9!E154,householdfinance_v2_8!E154,householdfinance_v2_7!E154,householdfinance_v2_6!E154,householdfinance_v2_10!E154)/COUNT(householdfinance_v2_9!E154,householdfinance_v2_8!E154,householdfinance_v2_7!E154,householdfinance_v2_6!E154,householdfinance_v2_10!E154),0)</f>
        <v>1</v>
      </c>
      <c r="F154">
        <f>IF($E154=0,"NA",ROUND(SUM(householdfinance_v2_9!F154,householdfinance_v2_8!F154,householdfinance_v2_7!F154,householdfinance_v2_6!F154,householdfinance_v2_10!F154)/COUNT(householdfinance_v2_9!F154,householdfinance_v2_8!F154,householdfinance_v2_7!F154,householdfinance_v2_6!F154,householdfinance_v2_10!F154),0))</f>
        <v>1</v>
      </c>
      <c r="G154">
        <f>IF($E154=0,"NA",ROUND(SUM(householdfinance_v2_9!G154,householdfinance_v2_8!G154,householdfinance_v2_7!G154,householdfinance_v2_6!G154,householdfinance_v2_10!G154)/COUNT(householdfinance_v2_9!G154,householdfinance_v2_8!G154,householdfinance_v2_7!G154,householdfinance_v2_6!G154,householdfinance_v2_10!G154),0))</f>
        <v>1</v>
      </c>
      <c r="H154">
        <f>IF(AND(F154=1,G154=1),ROUND(SUM(householdfinance_v2_9!H154,householdfinance_v2_8!H154,householdfinance_v2_7!H154,householdfinance_v2_6!H154,householdfinance_v2_10!H154)/COUNT(householdfinance_v2_9!H154,householdfinance_v2_8!H154,householdfinance_v2_7!H154,householdfinance_v2_6!H154,householdfinance_v2_10!H154),0),"NA")</f>
        <v>1</v>
      </c>
      <c r="I154">
        <f>IF($E154=0,"NA",ROUND(SUM(householdfinance_v2_9!I154,householdfinance_v2_8!I154,householdfinance_v2_7!I154,householdfinance_v2_6!I154,householdfinance_v2_10!I154)/COUNT(householdfinance_v2_9!I154,householdfinance_v2_8!I154,householdfinance_v2_7!I154,householdfinance_v2_6!I154,householdfinance_v2_10!I154),0))</f>
        <v>1</v>
      </c>
      <c r="J154">
        <f>IF(F154=1,ROUND(SUM(householdfinance_v2_9!J154,householdfinance_v2_8!J154,householdfinance_v2_7!J154,householdfinance_v2_6!J154,householdfinance_v2_10!J154)/COUNT(householdfinance_v2_9!J154,householdfinance_v2_8!J154,householdfinance_v2_7!J154,householdfinance_v2_6!J154,householdfinance_v2_10!J154),0),"NA")</f>
        <v>1</v>
      </c>
      <c r="K154">
        <f>IF($E154=0,"NA",ROUND(SUM(householdfinance_v2_9!K154,householdfinance_v2_8!K154,householdfinance_v2_7!K154,householdfinance_v2_6!K154,householdfinance_v2_10!K154)/COUNT(householdfinance_v2_9!K154,householdfinance_v2_8!K154,householdfinance_v2_7!K154,householdfinance_v2_6!K154,householdfinance_v2_10!K154),0))</f>
        <v>1</v>
      </c>
      <c r="L154">
        <f>IF($E154=0,"NA",ROUND(SUM(householdfinance_v2_9!L154,householdfinance_v2_8!L154,householdfinance_v2_7!L154,householdfinance_v2_6!L154,householdfinance_v2_10!L154)/COUNT(householdfinance_v2_9!L154,householdfinance_v2_8!L154,householdfinance_v2_7!L154,householdfinance_v2_6!L154,householdfinance_v2_10!L154),0))</f>
        <v>1</v>
      </c>
      <c r="M154">
        <f>IF($E154=0,"NA",ROUND(SUM(householdfinance_v2_9!M154,householdfinance_v2_8!M154,householdfinance_v2_7!M154,householdfinance_v2_6!M154,householdfinance_v2_10!M154)/COUNT(householdfinance_v2_9!M154,householdfinance_v2_8!M154,householdfinance_v2_7!M154,householdfinance_v2_6!M154,householdfinance_v2_10!M154),0))</f>
        <v>1</v>
      </c>
      <c r="N154">
        <f>IF($E154=0,"NA",ROUND(SUM(householdfinance_v2_9!N154,householdfinance_v2_8!N154,householdfinance_v2_7!N154,householdfinance_v2_6!N154,householdfinance_v2_10!N154)/COUNT(householdfinance_v2_9!N154,householdfinance_v2_8!N154,householdfinance_v2_7!N154,householdfinance_v2_6!N154,householdfinance_v2_10!N154),0))</f>
        <v>1</v>
      </c>
      <c r="O154">
        <f>IF($E154=0,"NA",ROUND(SUM(householdfinance_v2_9!O154,householdfinance_v2_8!O154,householdfinance_v2_7!O154,householdfinance_v2_6!O154,householdfinance_v2_10!O154)/COUNT(householdfinance_v2_9!O154,householdfinance_v2_8!O154,householdfinance_v2_7!O154,householdfinance_v2_6!O154,householdfinance_v2_10!O154),0))</f>
        <v>1</v>
      </c>
    </row>
    <row r="155" spans="1:15" x14ac:dyDescent="0.25">
      <c r="A155" t="s">
        <v>151</v>
      </c>
      <c r="B155" t="s">
        <v>80</v>
      </c>
      <c r="C155">
        <v>0</v>
      </c>
      <c r="D155">
        <v>12.735770225524901</v>
      </c>
      <c r="E155">
        <f>ROUND(SUM(householdfinance_v2_9!E155,householdfinance_v2_8!E155,householdfinance_v2_7!E155,householdfinance_v2_6!E155,householdfinance_v2_10!E155)/COUNT(householdfinance_v2_9!E155,householdfinance_v2_8!E155,householdfinance_v2_7!E155,householdfinance_v2_6!E155,householdfinance_v2_10!E155),0)</f>
        <v>0</v>
      </c>
      <c r="F155" t="str">
        <f>IF($E155=0,"NA",ROUND(SUM(householdfinance_v2_9!F155,householdfinance_v2_8!F155,householdfinance_v2_7!F155,householdfinance_v2_6!F155,householdfinance_v2_10!F155)/COUNT(householdfinance_v2_9!F155,householdfinance_v2_8!F155,householdfinance_v2_7!F155,householdfinance_v2_6!F155,householdfinance_v2_10!F155),0))</f>
        <v>NA</v>
      </c>
      <c r="G155" t="str">
        <f>IF($E155=0,"NA",ROUND(SUM(householdfinance_v2_9!G155,householdfinance_v2_8!G155,householdfinance_v2_7!G155,householdfinance_v2_6!G155,householdfinance_v2_10!G155)/COUNT(householdfinance_v2_9!G155,householdfinance_v2_8!G155,householdfinance_v2_7!G155,householdfinance_v2_6!G155,householdfinance_v2_10!G155),0))</f>
        <v>NA</v>
      </c>
      <c r="H155" t="str">
        <f>IF(AND(F155=1,G155=1),ROUND(SUM(householdfinance_v2_9!H155,householdfinance_v2_8!H155,householdfinance_v2_7!H155,householdfinance_v2_6!H155,householdfinance_v2_10!H155)/COUNT(householdfinance_v2_9!H155,householdfinance_v2_8!H155,householdfinance_v2_7!H155,householdfinance_v2_6!H155,householdfinance_v2_10!H155),0),"NA")</f>
        <v>NA</v>
      </c>
      <c r="I155" t="str">
        <f>IF($E155=0,"NA",ROUND(SUM(householdfinance_v2_9!I155,householdfinance_v2_8!I155,householdfinance_v2_7!I155,householdfinance_v2_6!I155,householdfinance_v2_10!I155)/COUNT(householdfinance_v2_9!I155,householdfinance_v2_8!I155,householdfinance_v2_7!I155,householdfinance_v2_6!I155,householdfinance_v2_10!I155),0))</f>
        <v>NA</v>
      </c>
      <c r="J155" t="str">
        <f>IF(F155=1,ROUND(SUM(householdfinance_v2_9!J155,householdfinance_v2_8!J155,householdfinance_v2_7!J155,householdfinance_v2_6!J155,householdfinance_v2_10!J155)/COUNT(householdfinance_v2_9!J155,householdfinance_v2_8!J155,householdfinance_v2_7!J155,householdfinance_v2_6!J155,householdfinance_v2_10!J155),0),"NA")</f>
        <v>NA</v>
      </c>
      <c r="K155" t="str">
        <f>IF($E155=0,"NA",ROUND(SUM(householdfinance_v2_9!K155,householdfinance_v2_8!K155,householdfinance_v2_7!K155,householdfinance_v2_6!K155,householdfinance_v2_10!K155)/COUNT(householdfinance_v2_9!K155,householdfinance_v2_8!K155,householdfinance_v2_7!K155,householdfinance_v2_6!K155,householdfinance_v2_10!K155),0))</f>
        <v>NA</v>
      </c>
      <c r="L155" t="str">
        <f>IF($E155=0,"NA",ROUND(SUM(householdfinance_v2_9!L155,householdfinance_v2_8!L155,householdfinance_v2_7!L155,householdfinance_v2_6!L155,householdfinance_v2_10!L155)/COUNT(householdfinance_v2_9!L155,householdfinance_v2_8!L155,householdfinance_v2_7!L155,householdfinance_v2_6!L155,householdfinance_v2_10!L155),0))</f>
        <v>NA</v>
      </c>
      <c r="M155" t="str">
        <f>IF($E155=0,"NA",ROUND(SUM(householdfinance_v2_9!M155,householdfinance_v2_8!M155,householdfinance_v2_7!M155,householdfinance_v2_6!M155,householdfinance_v2_10!M155)/COUNT(householdfinance_v2_9!M155,householdfinance_v2_8!M155,householdfinance_v2_7!M155,householdfinance_v2_6!M155,householdfinance_v2_10!M155),0))</f>
        <v>NA</v>
      </c>
      <c r="N155" t="str">
        <f>IF($E155=0,"NA",ROUND(SUM(householdfinance_v2_9!N155,householdfinance_v2_8!N155,householdfinance_v2_7!N155,householdfinance_v2_6!N155,householdfinance_v2_10!N155)/COUNT(householdfinance_v2_9!N155,householdfinance_v2_8!N155,householdfinance_v2_7!N155,householdfinance_v2_6!N155,householdfinance_v2_10!N155),0))</f>
        <v>NA</v>
      </c>
      <c r="O155" t="str">
        <f>IF($E155=0,"NA",ROUND(SUM(householdfinance_v2_9!O155,householdfinance_v2_8!O155,householdfinance_v2_7!O155,householdfinance_v2_6!O155,householdfinance_v2_10!O155)/COUNT(householdfinance_v2_9!O155,householdfinance_v2_8!O155,householdfinance_v2_7!O155,householdfinance_v2_6!O155,householdfinance_v2_10!O155),0))</f>
        <v>NA</v>
      </c>
    </row>
    <row r="156" spans="1:15" x14ac:dyDescent="0.25">
      <c r="A156" t="s">
        <v>151</v>
      </c>
      <c r="B156" t="s">
        <v>81</v>
      </c>
      <c r="C156">
        <v>0</v>
      </c>
      <c r="D156">
        <v>2.773678302764893</v>
      </c>
      <c r="E156">
        <f>ROUND(SUM(householdfinance_v2_9!E156,householdfinance_v2_8!E156,householdfinance_v2_7!E156,householdfinance_v2_6!E156,householdfinance_v2_10!E156)/COUNT(householdfinance_v2_9!E156,householdfinance_v2_8!E156,householdfinance_v2_7!E156,householdfinance_v2_6!E156,householdfinance_v2_10!E156),0)</f>
        <v>1</v>
      </c>
      <c r="F156">
        <f>IF($E156=0,"NA",ROUND(SUM(householdfinance_v2_9!F156,householdfinance_v2_8!F156,householdfinance_v2_7!F156,householdfinance_v2_6!F156,householdfinance_v2_10!F156)/COUNT(householdfinance_v2_9!F156,householdfinance_v2_8!F156,householdfinance_v2_7!F156,householdfinance_v2_6!F156,householdfinance_v2_10!F156),0))</f>
        <v>1</v>
      </c>
      <c r="G156">
        <f>IF($E156=0,"NA",ROUND(SUM(householdfinance_v2_9!G156,householdfinance_v2_8!G156,householdfinance_v2_7!G156,householdfinance_v2_6!G156,householdfinance_v2_10!G156)/COUNT(householdfinance_v2_9!G156,householdfinance_v2_8!G156,householdfinance_v2_7!G156,householdfinance_v2_6!G156,householdfinance_v2_10!G156),0))</f>
        <v>1</v>
      </c>
      <c r="H156">
        <f>IF(AND(F156=1,G156=1),ROUND(SUM(householdfinance_v2_9!H156,householdfinance_v2_8!H156,householdfinance_v2_7!H156,householdfinance_v2_6!H156,householdfinance_v2_10!H156)/COUNT(householdfinance_v2_9!H156,householdfinance_v2_8!H156,householdfinance_v2_7!H156,householdfinance_v2_6!H156,householdfinance_v2_10!H156),0),"NA")</f>
        <v>1</v>
      </c>
      <c r="I156">
        <f>IF($E156=0,"NA",ROUND(SUM(householdfinance_v2_9!I156,householdfinance_v2_8!I156,householdfinance_v2_7!I156,householdfinance_v2_6!I156,householdfinance_v2_10!I156)/COUNT(householdfinance_v2_9!I156,householdfinance_v2_8!I156,householdfinance_v2_7!I156,householdfinance_v2_6!I156,householdfinance_v2_10!I156),0))</f>
        <v>1</v>
      </c>
      <c r="J156">
        <f>IF(F156=1,ROUND(SUM(householdfinance_v2_9!J156,householdfinance_v2_8!J156,householdfinance_v2_7!J156,householdfinance_v2_6!J156,householdfinance_v2_10!J156)/COUNT(householdfinance_v2_9!J156,householdfinance_v2_8!J156,householdfinance_v2_7!J156,householdfinance_v2_6!J156,householdfinance_v2_10!J156),0),"NA")</f>
        <v>1</v>
      </c>
      <c r="K156">
        <f>IF($E156=0,"NA",ROUND(SUM(householdfinance_v2_9!K156,householdfinance_v2_8!K156,householdfinance_v2_7!K156,householdfinance_v2_6!K156,householdfinance_v2_10!K156)/COUNT(householdfinance_v2_9!K156,householdfinance_v2_8!K156,householdfinance_v2_7!K156,householdfinance_v2_6!K156,householdfinance_v2_10!K156),0))</f>
        <v>1</v>
      </c>
      <c r="L156">
        <f>IF($E156=0,"NA",ROUND(SUM(householdfinance_v2_9!L156,householdfinance_v2_8!L156,householdfinance_v2_7!L156,householdfinance_v2_6!L156,householdfinance_v2_10!L156)/COUNT(householdfinance_v2_9!L156,householdfinance_v2_8!L156,householdfinance_v2_7!L156,householdfinance_v2_6!L156,householdfinance_v2_10!L156),0))</f>
        <v>1</v>
      </c>
      <c r="M156">
        <f>IF($E156=0,"NA",ROUND(SUM(householdfinance_v2_9!M156,householdfinance_v2_8!M156,householdfinance_v2_7!M156,householdfinance_v2_6!M156,householdfinance_v2_10!M156)/COUNT(householdfinance_v2_9!M156,householdfinance_v2_8!M156,householdfinance_v2_7!M156,householdfinance_v2_6!M156,householdfinance_v2_10!M156),0))</f>
        <v>1</v>
      </c>
      <c r="N156">
        <f>IF($E156=0,"NA",ROUND(SUM(householdfinance_v2_9!N156,householdfinance_v2_8!N156,householdfinance_v2_7!N156,householdfinance_v2_6!N156,householdfinance_v2_10!N156)/COUNT(householdfinance_v2_9!N156,householdfinance_v2_8!N156,householdfinance_v2_7!N156,householdfinance_v2_6!N156,householdfinance_v2_10!N156),0))</f>
        <v>1</v>
      </c>
      <c r="O156">
        <f>IF($E156=0,"NA",ROUND(SUM(householdfinance_v2_9!O156,householdfinance_v2_8!O156,householdfinance_v2_7!O156,householdfinance_v2_6!O156,householdfinance_v2_10!O156)/COUNT(householdfinance_v2_9!O156,householdfinance_v2_8!O156,householdfinance_v2_7!O156,householdfinance_v2_6!O156,householdfinance_v2_10!O156),0))</f>
        <v>1</v>
      </c>
    </row>
    <row r="157" spans="1:15" x14ac:dyDescent="0.25">
      <c r="A157" t="s">
        <v>151</v>
      </c>
      <c r="B157" t="s">
        <v>83</v>
      </c>
      <c r="C157">
        <v>0</v>
      </c>
      <c r="D157">
        <v>6.1424040794372559</v>
      </c>
      <c r="E157">
        <f>ROUND(SUM(householdfinance_v2_9!E157,householdfinance_v2_8!E157,householdfinance_v2_7!E157,householdfinance_v2_6!E157,householdfinance_v2_10!E157)/COUNT(householdfinance_v2_9!E157,householdfinance_v2_8!E157,householdfinance_v2_7!E157,householdfinance_v2_6!E157,householdfinance_v2_10!E157),0)</f>
        <v>1</v>
      </c>
      <c r="F157">
        <f>IF($E157=0,"NA",ROUND(SUM(householdfinance_v2_9!F157,householdfinance_v2_8!F157,householdfinance_v2_7!F157,householdfinance_v2_6!F157,householdfinance_v2_10!F157)/COUNT(householdfinance_v2_9!F157,householdfinance_v2_8!F157,householdfinance_v2_7!F157,householdfinance_v2_6!F157,householdfinance_v2_10!F157),0))</f>
        <v>1</v>
      </c>
      <c r="G157">
        <f>IF($E157=0,"NA",ROUND(SUM(householdfinance_v2_9!G157,householdfinance_v2_8!G157,householdfinance_v2_7!G157,householdfinance_v2_6!G157,householdfinance_v2_10!G157)/COUNT(householdfinance_v2_9!G157,householdfinance_v2_8!G157,householdfinance_v2_7!G157,householdfinance_v2_6!G157,householdfinance_v2_10!G157),0))</f>
        <v>0</v>
      </c>
      <c r="H157" t="str">
        <f>IF(AND(F157=1,G157=1),ROUND(SUM(householdfinance_v2_9!H157,householdfinance_v2_8!H157,householdfinance_v2_7!H157,householdfinance_v2_6!H157,householdfinance_v2_10!H157)/COUNT(householdfinance_v2_9!H157,householdfinance_v2_8!H157,householdfinance_v2_7!H157,householdfinance_v2_6!H157,householdfinance_v2_10!H157),0),"NA")</f>
        <v>NA</v>
      </c>
      <c r="I157">
        <f>IF($E157=0,"NA",ROUND(SUM(householdfinance_v2_9!I157,householdfinance_v2_8!I157,householdfinance_v2_7!I157,householdfinance_v2_6!I157,householdfinance_v2_10!I157)/COUNT(householdfinance_v2_9!I157,householdfinance_v2_8!I157,householdfinance_v2_7!I157,householdfinance_v2_6!I157,householdfinance_v2_10!I157),0))</f>
        <v>1</v>
      </c>
      <c r="J157">
        <f>IF(F157=1,ROUND(SUM(householdfinance_v2_9!J157,householdfinance_v2_8!J157,householdfinance_v2_7!J157,householdfinance_v2_6!J157,householdfinance_v2_10!J157)/COUNT(householdfinance_v2_9!J157,householdfinance_v2_8!J157,householdfinance_v2_7!J157,householdfinance_v2_6!J157,householdfinance_v2_10!J157),0),"NA")</f>
        <v>1</v>
      </c>
      <c r="K157">
        <f>IF($E157=0,"NA",ROUND(SUM(householdfinance_v2_9!K157,householdfinance_v2_8!K157,householdfinance_v2_7!K157,householdfinance_v2_6!K157,householdfinance_v2_10!K157)/COUNT(householdfinance_v2_9!K157,householdfinance_v2_8!K157,householdfinance_v2_7!K157,householdfinance_v2_6!K157,householdfinance_v2_10!K157),0))</f>
        <v>1</v>
      </c>
      <c r="L157">
        <f>IF($E157=0,"NA",ROUND(SUM(householdfinance_v2_9!L157,householdfinance_v2_8!L157,householdfinance_v2_7!L157,householdfinance_v2_6!L157,householdfinance_v2_10!L157)/COUNT(householdfinance_v2_9!L157,householdfinance_v2_8!L157,householdfinance_v2_7!L157,householdfinance_v2_6!L157,householdfinance_v2_10!L157),0))</f>
        <v>1</v>
      </c>
      <c r="M157">
        <f>IF($E157=0,"NA",ROUND(SUM(householdfinance_v2_9!M157,householdfinance_v2_8!M157,householdfinance_v2_7!M157,householdfinance_v2_6!M157,householdfinance_v2_10!M157)/COUNT(householdfinance_v2_9!M157,householdfinance_v2_8!M157,householdfinance_v2_7!M157,householdfinance_v2_6!M157,householdfinance_v2_10!M157),0))</f>
        <v>1</v>
      </c>
      <c r="N157">
        <f>IF($E157=0,"NA",ROUND(SUM(householdfinance_v2_9!N157,householdfinance_v2_8!N157,householdfinance_v2_7!N157,householdfinance_v2_6!N157,householdfinance_v2_10!N157)/COUNT(householdfinance_v2_9!N157,householdfinance_v2_8!N157,householdfinance_v2_7!N157,householdfinance_v2_6!N157,householdfinance_v2_10!N157),0))</f>
        <v>1</v>
      </c>
      <c r="O157">
        <f>IF($E157=0,"NA",ROUND(SUM(householdfinance_v2_9!O157,householdfinance_v2_8!O157,householdfinance_v2_7!O157,householdfinance_v2_6!O157,householdfinance_v2_10!O157)/COUNT(householdfinance_v2_9!O157,householdfinance_v2_8!O157,householdfinance_v2_7!O157,householdfinance_v2_6!O157,householdfinance_v2_10!O157),0))</f>
        <v>1</v>
      </c>
    </row>
    <row r="158" spans="1:15" x14ac:dyDescent="0.25">
      <c r="A158" t="s">
        <v>151</v>
      </c>
      <c r="B158" t="s">
        <v>85</v>
      </c>
      <c r="C158">
        <v>0</v>
      </c>
      <c r="D158">
        <v>9.8547828197479248</v>
      </c>
      <c r="E158">
        <f>ROUND(SUM(householdfinance_v2_9!E158,householdfinance_v2_8!E158,householdfinance_v2_7!E158,householdfinance_v2_6!E158,householdfinance_v2_10!E158)/COUNT(householdfinance_v2_9!E158,householdfinance_v2_8!E158,householdfinance_v2_7!E158,householdfinance_v2_6!E158,householdfinance_v2_10!E158),0)</f>
        <v>1</v>
      </c>
      <c r="F158">
        <f>IF($E158=0,"NA",ROUND(SUM(householdfinance_v2_9!F158,householdfinance_v2_8!F158,householdfinance_v2_7!F158,householdfinance_v2_6!F158,householdfinance_v2_10!F158)/COUNT(householdfinance_v2_9!F158,householdfinance_v2_8!F158,householdfinance_v2_7!F158,householdfinance_v2_6!F158,householdfinance_v2_10!F158),0))</f>
        <v>1</v>
      </c>
      <c r="G158">
        <f>IF($E158=0,"NA",ROUND(SUM(householdfinance_v2_9!G158,householdfinance_v2_8!G158,householdfinance_v2_7!G158,householdfinance_v2_6!G158,householdfinance_v2_10!G158)/COUNT(householdfinance_v2_9!G158,householdfinance_v2_8!G158,householdfinance_v2_7!G158,householdfinance_v2_6!G158,householdfinance_v2_10!G158),0))</f>
        <v>1</v>
      </c>
      <c r="H158">
        <f>IF(AND(F158=1,G158=1),ROUND(SUM(householdfinance_v2_9!H158,householdfinance_v2_8!H158,householdfinance_v2_7!H158,householdfinance_v2_6!H158,householdfinance_v2_10!H158)/COUNT(householdfinance_v2_9!H158,householdfinance_v2_8!H158,householdfinance_v2_7!H158,householdfinance_v2_6!H158,householdfinance_v2_10!H158),0),"NA")</f>
        <v>1</v>
      </c>
      <c r="I158">
        <f>IF($E158=0,"NA",ROUND(SUM(householdfinance_v2_9!I158,householdfinance_v2_8!I158,householdfinance_v2_7!I158,householdfinance_v2_6!I158,householdfinance_v2_10!I158)/COUNT(householdfinance_v2_9!I158,householdfinance_v2_8!I158,householdfinance_v2_7!I158,householdfinance_v2_6!I158,householdfinance_v2_10!I158),0))</f>
        <v>1</v>
      </c>
      <c r="J158">
        <f>IF(F158=1,ROUND(SUM(householdfinance_v2_9!J158,householdfinance_v2_8!J158,householdfinance_v2_7!J158,householdfinance_v2_6!J158,householdfinance_v2_10!J158)/COUNT(householdfinance_v2_9!J158,householdfinance_v2_8!J158,householdfinance_v2_7!J158,householdfinance_v2_6!J158,householdfinance_v2_10!J158),0),"NA")</f>
        <v>0</v>
      </c>
      <c r="K158">
        <f>IF($E158=0,"NA",ROUND(SUM(householdfinance_v2_9!K158,householdfinance_v2_8!K158,householdfinance_v2_7!K158,householdfinance_v2_6!K158,householdfinance_v2_10!K158)/COUNT(householdfinance_v2_9!K158,householdfinance_v2_8!K158,householdfinance_v2_7!K158,householdfinance_v2_6!K158,householdfinance_v2_10!K158),0))</f>
        <v>1</v>
      </c>
      <c r="L158">
        <f>IF($E158=0,"NA",ROUND(SUM(householdfinance_v2_9!L158,householdfinance_v2_8!L158,householdfinance_v2_7!L158,householdfinance_v2_6!L158,householdfinance_v2_10!L158)/COUNT(householdfinance_v2_9!L158,householdfinance_v2_8!L158,householdfinance_v2_7!L158,householdfinance_v2_6!L158,householdfinance_v2_10!L158),0))</f>
        <v>1</v>
      </c>
      <c r="M158">
        <f>IF($E158=0,"NA",ROUND(SUM(householdfinance_v2_9!M158,householdfinance_v2_8!M158,householdfinance_v2_7!M158,householdfinance_v2_6!M158,householdfinance_v2_10!M158)/COUNT(householdfinance_v2_9!M158,householdfinance_v2_8!M158,householdfinance_v2_7!M158,householdfinance_v2_6!M158,householdfinance_v2_10!M158),0))</f>
        <v>1</v>
      </c>
      <c r="N158">
        <f>IF($E158=0,"NA",ROUND(SUM(householdfinance_v2_9!N158,householdfinance_v2_8!N158,householdfinance_v2_7!N158,householdfinance_v2_6!N158,householdfinance_v2_10!N158)/COUNT(householdfinance_v2_9!N158,householdfinance_v2_8!N158,householdfinance_v2_7!N158,householdfinance_v2_6!N158,householdfinance_v2_10!N158),0))</f>
        <v>1</v>
      </c>
      <c r="O158">
        <f>IF($E158=0,"NA",ROUND(SUM(householdfinance_v2_9!O158,householdfinance_v2_8!O158,householdfinance_v2_7!O158,householdfinance_v2_6!O158,householdfinance_v2_10!O158)/COUNT(householdfinance_v2_9!O158,householdfinance_v2_8!O158,householdfinance_v2_7!O158,householdfinance_v2_6!O158,householdfinance_v2_10!O158),0))</f>
        <v>1</v>
      </c>
    </row>
    <row r="159" spans="1:15" x14ac:dyDescent="0.25">
      <c r="A159" t="s">
        <v>151</v>
      </c>
      <c r="B159" t="s">
        <v>87</v>
      </c>
      <c r="C159">
        <v>0</v>
      </c>
      <c r="D159">
        <v>8.2453029155731201</v>
      </c>
      <c r="E159">
        <f>ROUND(SUM(householdfinance_v2_9!E159,householdfinance_v2_8!E159,householdfinance_v2_7!E159,householdfinance_v2_6!E159,householdfinance_v2_10!E159)/COUNT(householdfinance_v2_9!E159,householdfinance_v2_8!E159,householdfinance_v2_7!E159,householdfinance_v2_6!E159,householdfinance_v2_10!E159),0)</f>
        <v>1</v>
      </c>
      <c r="F159">
        <f>IF($E159=0,"NA",ROUND(SUM(householdfinance_v2_9!F159,householdfinance_v2_8!F159,householdfinance_v2_7!F159,householdfinance_v2_6!F159,householdfinance_v2_10!F159)/COUNT(householdfinance_v2_9!F159,householdfinance_v2_8!F159,householdfinance_v2_7!F159,householdfinance_v2_6!F159,householdfinance_v2_10!F159),0))</f>
        <v>1</v>
      </c>
      <c r="G159">
        <f>IF($E159=0,"NA",ROUND(SUM(householdfinance_v2_9!G159,householdfinance_v2_8!G159,householdfinance_v2_7!G159,householdfinance_v2_6!G159,householdfinance_v2_10!G159)/COUNT(householdfinance_v2_9!G159,householdfinance_v2_8!G159,householdfinance_v2_7!G159,householdfinance_v2_6!G159,householdfinance_v2_10!G159),0))</f>
        <v>0</v>
      </c>
      <c r="H159" t="str">
        <f>IF(AND(F159=1,G159=1),ROUND(SUM(householdfinance_v2_9!H159,householdfinance_v2_8!H159,householdfinance_v2_7!H159,householdfinance_v2_6!H159,householdfinance_v2_10!H159)/COUNT(householdfinance_v2_9!H159,householdfinance_v2_8!H159,householdfinance_v2_7!H159,householdfinance_v2_6!H159,householdfinance_v2_10!H159),0),"NA")</f>
        <v>NA</v>
      </c>
      <c r="I159">
        <f>IF($E159=0,"NA",ROUND(SUM(householdfinance_v2_9!I159,householdfinance_v2_8!I159,householdfinance_v2_7!I159,householdfinance_v2_6!I159,householdfinance_v2_10!I159)/COUNT(householdfinance_v2_9!I159,householdfinance_v2_8!I159,householdfinance_v2_7!I159,householdfinance_v2_6!I159,householdfinance_v2_10!I159),0))</f>
        <v>1</v>
      </c>
      <c r="J159">
        <f>IF(F159=1,ROUND(SUM(householdfinance_v2_9!J159,householdfinance_v2_8!J159,householdfinance_v2_7!J159,householdfinance_v2_6!J159,householdfinance_v2_10!J159)/COUNT(householdfinance_v2_9!J159,householdfinance_v2_8!J159,householdfinance_v2_7!J159,householdfinance_v2_6!J159,householdfinance_v2_10!J159),0),"NA")</f>
        <v>1</v>
      </c>
      <c r="K159">
        <f>IF($E159=0,"NA",ROUND(SUM(householdfinance_v2_9!K159,householdfinance_v2_8!K159,householdfinance_v2_7!K159,householdfinance_v2_6!K159,householdfinance_v2_10!K159)/COUNT(householdfinance_v2_9!K159,householdfinance_v2_8!K159,householdfinance_v2_7!K159,householdfinance_v2_6!K159,householdfinance_v2_10!K159),0))</f>
        <v>1</v>
      </c>
      <c r="L159">
        <f>IF($E159=0,"NA",ROUND(SUM(householdfinance_v2_9!L159,householdfinance_v2_8!L159,householdfinance_v2_7!L159,householdfinance_v2_6!L159,householdfinance_v2_10!L159)/COUNT(householdfinance_v2_9!L159,householdfinance_v2_8!L159,householdfinance_v2_7!L159,householdfinance_v2_6!L159,householdfinance_v2_10!L159),0))</f>
        <v>1</v>
      </c>
      <c r="M159">
        <f>IF($E159=0,"NA",ROUND(SUM(householdfinance_v2_9!M159,householdfinance_v2_8!M159,householdfinance_v2_7!M159,householdfinance_v2_6!M159,householdfinance_v2_10!M159)/COUNT(householdfinance_v2_9!M159,householdfinance_v2_8!M159,householdfinance_v2_7!M159,householdfinance_v2_6!M159,householdfinance_v2_10!M159),0))</f>
        <v>1</v>
      </c>
      <c r="N159">
        <f>IF($E159=0,"NA",ROUND(SUM(householdfinance_v2_9!N159,householdfinance_v2_8!N159,householdfinance_v2_7!N159,householdfinance_v2_6!N159,householdfinance_v2_10!N159)/COUNT(householdfinance_v2_9!N159,householdfinance_v2_8!N159,householdfinance_v2_7!N159,householdfinance_v2_6!N159,householdfinance_v2_10!N159),0))</f>
        <v>1</v>
      </c>
      <c r="O159">
        <f>IF($E159=0,"NA",ROUND(SUM(householdfinance_v2_9!O159,householdfinance_v2_8!O159,householdfinance_v2_7!O159,householdfinance_v2_6!O159,householdfinance_v2_10!O159)/COUNT(householdfinance_v2_9!O159,householdfinance_v2_8!O159,householdfinance_v2_7!O159,householdfinance_v2_6!O159,householdfinance_v2_10!O159),0))</f>
        <v>1</v>
      </c>
    </row>
    <row r="160" spans="1:15" x14ac:dyDescent="0.25">
      <c r="A160" t="s">
        <v>151</v>
      </c>
      <c r="B160" t="s">
        <v>89</v>
      </c>
      <c r="C160">
        <v>0</v>
      </c>
      <c r="D160">
        <v>5.0351755619049072</v>
      </c>
      <c r="E160">
        <f>ROUND(SUM(householdfinance_v2_9!E160,householdfinance_v2_8!E160,householdfinance_v2_7!E160,householdfinance_v2_6!E160,householdfinance_v2_10!E160)/COUNT(householdfinance_v2_9!E160,householdfinance_v2_8!E160,householdfinance_v2_7!E160,householdfinance_v2_6!E160,householdfinance_v2_10!E160),0)</f>
        <v>1</v>
      </c>
      <c r="F160">
        <f>IF($E160=0,"NA",ROUND(SUM(householdfinance_v2_9!F160,householdfinance_v2_8!F160,householdfinance_v2_7!F160,householdfinance_v2_6!F160,householdfinance_v2_10!F160)/COUNT(householdfinance_v2_9!F160,householdfinance_v2_8!F160,householdfinance_v2_7!F160,householdfinance_v2_6!F160,householdfinance_v2_10!F160),0))</f>
        <v>1</v>
      </c>
      <c r="G160">
        <f>IF($E160=0,"NA",ROUND(SUM(householdfinance_v2_9!G160,householdfinance_v2_8!G160,householdfinance_v2_7!G160,householdfinance_v2_6!G160,householdfinance_v2_10!G160)/COUNT(householdfinance_v2_9!G160,householdfinance_v2_8!G160,householdfinance_v2_7!G160,householdfinance_v2_6!G160,householdfinance_v2_10!G160),0))</f>
        <v>1</v>
      </c>
      <c r="H160">
        <f>IF(AND(F160=1,G160=1),ROUND(SUM(householdfinance_v2_9!H160,householdfinance_v2_8!H160,householdfinance_v2_7!H160,householdfinance_v2_6!H160,householdfinance_v2_10!H160)/COUNT(householdfinance_v2_9!H160,householdfinance_v2_8!H160,householdfinance_v2_7!H160,householdfinance_v2_6!H160,householdfinance_v2_10!H160),0),"NA")</f>
        <v>1</v>
      </c>
      <c r="I160">
        <f>IF($E160=0,"NA",ROUND(SUM(householdfinance_v2_9!I160,householdfinance_v2_8!I160,householdfinance_v2_7!I160,householdfinance_v2_6!I160,householdfinance_v2_10!I160)/COUNT(householdfinance_v2_9!I160,householdfinance_v2_8!I160,householdfinance_v2_7!I160,householdfinance_v2_6!I160,householdfinance_v2_10!I160),0))</f>
        <v>1</v>
      </c>
      <c r="J160">
        <f>IF(F160=1,ROUND(SUM(householdfinance_v2_9!J160,householdfinance_v2_8!J160,householdfinance_v2_7!J160,householdfinance_v2_6!J160,householdfinance_v2_10!J160)/COUNT(householdfinance_v2_9!J160,householdfinance_v2_8!J160,householdfinance_v2_7!J160,householdfinance_v2_6!J160,householdfinance_v2_10!J160),0),"NA")</f>
        <v>0</v>
      </c>
      <c r="K160">
        <f>IF($E160=0,"NA",ROUND(SUM(householdfinance_v2_9!K160,householdfinance_v2_8!K160,householdfinance_v2_7!K160,householdfinance_v2_6!K160,householdfinance_v2_10!K160)/COUNT(householdfinance_v2_9!K160,householdfinance_v2_8!K160,householdfinance_v2_7!K160,householdfinance_v2_6!K160,householdfinance_v2_10!K160),0))</f>
        <v>1</v>
      </c>
      <c r="L160">
        <f>IF($E160=0,"NA",ROUND(SUM(householdfinance_v2_9!L160,householdfinance_v2_8!L160,householdfinance_v2_7!L160,householdfinance_v2_6!L160,householdfinance_v2_10!L160)/COUNT(householdfinance_v2_9!L160,householdfinance_v2_8!L160,householdfinance_v2_7!L160,householdfinance_v2_6!L160,householdfinance_v2_10!L160),0))</f>
        <v>1</v>
      </c>
      <c r="M160">
        <f>IF($E160=0,"NA",ROUND(SUM(householdfinance_v2_9!M160,householdfinance_v2_8!M160,householdfinance_v2_7!M160,householdfinance_v2_6!M160,householdfinance_v2_10!M160)/COUNT(householdfinance_v2_9!M160,householdfinance_v2_8!M160,householdfinance_v2_7!M160,householdfinance_v2_6!M160,householdfinance_v2_10!M160),0))</f>
        <v>1</v>
      </c>
      <c r="N160">
        <f>IF($E160=0,"NA",ROUND(SUM(householdfinance_v2_9!N160,householdfinance_v2_8!N160,householdfinance_v2_7!N160,householdfinance_v2_6!N160,householdfinance_v2_10!N160)/COUNT(householdfinance_v2_9!N160,householdfinance_v2_8!N160,householdfinance_v2_7!N160,householdfinance_v2_6!N160,householdfinance_v2_10!N160),0))</f>
        <v>1</v>
      </c>
      <c r="O160">
        <f>IF($E160=0,"NA",ROUND(SUM(householdfinance_v2_9!O160,householdfinance_v2_8!O160,householdfinance_v2_7!O160,householdfinance_v2_6!O160,householdfinance_v2_10!O160)/COUNT(householdfinance_v2_9!O160,householdfinance_v2_8!O160,householdfinance_v2_7!O160,householdfinance_v2_6!O160,householdfinance_v2_10!O160),0))</f>
        <v>1</v>
      </c>
    </row>
    <row r="161" spans="1:15" x14ac:dyDescent="0.25">
      <c r="A161" t="s">
        <v>151</v>
      </c>
      <c r="B161" t="s">
        <v>91</v>
      </c>
      <c r="C161">
        <v>0</v>
      </c>
      <c r="D161">
        <v>2.7340035438537602</v>
      </c>
      <c r="E161">
        <f>ROUND(SUM(householdfinance_v2_9!E161,householdfinance_v2_8!E161,householdfinance_v2_7!E161,householdfinance_v2_6!E161,householdfinance_v2_10!E161)/COUNT(householdfinance_v2_9!E161,householdfinance_v2_8!E161,householdfinance_v2_7!E161,householdfinance_v2_6!E161,householdfinance_v2_10!E161),0)</f>
        <v>1</v>
      </c>
      <c r="F161">
        <f>IF($E161=0,"NA",ROUND(SUM(householdfinance_v2_9!F161,householdfinance_v2_8!F161,householdfinance_v2_7!F161,householdfinance_v2_6!F161,householdfinance_v2_10!F161)/COUNT(householdfinance_v2_9!F161,householdfinance_v2_8!F161,householdfinance_v2_7!F161,householdfinance_v2_6!F161,householdfinance_v2_10!F161),0))</f>
        <v>1</v>
      </c>
      <c r="G161">
        <f>IF($E161=0,"NA",ROUND(SUM(householdfinance_v2_9!G161,householdfinance_v2_8!G161,householdfinance_v2_7!G161,householdfinance_v2_6!G161,householdfinance_v2_10!G161)/COUNT(householdfinance_v2_9!G161,householdfinance_v2_8!G161,householdfinance_v2_7!G161,householdfinance_v2_6!G161,householdfinance_v2_10!G161),0))</f>
        <v>1</v>
      </c>
      <c r="H161">
        <f>IF(AND(F161=1,G161=1),ROUND(SUM(householdfinance_v2_9!H161,householdfinance_v2_8!H161,householdfinance_v2_7!H161,householdfinance_v2_6!H161,householdfinance_v2_10!H161)/COUNT(householdfinance_v2_9!H161,householdfinance_v2_8!H161,householdfinance_v2_7!H161,householdfinance_v2_6!H161,householdfinance_v2_10!H161),0),"NA")</f>
        <v>1</v>
      </c>
      <c r="I161">
        <f>IF($E161=0,"NA",ROUND(SUM(householdfinance_v2_9!I161,householdfinance_v2_8!I161,householdfinance_v2_7!I161,householdfinance_v2_6!I161,householdfinance_v2_10!I161)/COUNT(householdfinance_v2_9!I161,householdfinance_v2_8!I161,householdfinance_v2_7!I161,householdfinance_v2_6!I161,householdfinance_v2_10!I161),0))</f>
        <v>1</v>
      </c>
      <c r="J161">
        <f>IF(F161=1,ROUND(SUM(householdfinance_v2_9!J161,householdfinance_v2_8!J161,householdfinance_v2_7!J161,householdfinance_v2_6!J161,householdfinance_v2_10!J161)/COUNT(householdfinance_v2_9!J161,householdfinance_v2_8!J161,householdfinance_v2_7!J161,householdfinance_v2_6!J161,householdfinance_v2_10!J161),0),"NA")</f>
        <v>1</v>
      </c>
      <c r="K161">
        <f>IF($E161=0,"NA",ROUND(SUM(householdfinance_v2_9!K161,householdfinance_v2_8!K161,householdfinance_v2_7!K161,householdfinance_v2_6!K161,householdfinance_v2_10!K161)/COUNT(householdfinance_v2_9!K161,householdfinance_v2_8!K161,householdfinance_v2_7!K161,householdfinance_v2_6!K161,householdfinance_v2_10!K161),0))</f>
        <v>1</v>
      </c>
      <c r="L161">
        <f>IF($E161=0,"NA",ROUND(SUM(householdfinance_v2_9!L161,householdfinance_v2_8!L161,householdfinance_v2_7!L161,householdfinance_v2_6!L161,householdfinance_v2_10!L161)/COUNT(householdfinance_v2_9!L161,householdfinance_v2_8!L161,householdfinance_v2_7!L161,householdfinance_v2_6!L161,householdfinance_v2_10!L161),0))</f>
        <v>1</v>
      </c>
      <c r="M161">
        <f>IF($E161=0,"NA",ROUND(SUM(householdfinance_v2_9!M161,householdfinance_v2_8!M161,householdfinance_v2_7!M161,householdfinance_v2_6!M161,householdfinance_v2_10!M161)/COUNT(householdfinance_v2_9!M161,householdfinance_v2_8!M161,householdfinance_v2_7!M161,householdfinance_v2_6!M161,householdfinance_v2_10!M161),0))</f>
        <v>1</v>
      </c>
      <c r="N161">
        <f>IF($E161=0,"NA",ROUND(SUM(householdfinance_v2_9!N161,householdfinance_v2_8!N161,householdfinance_v2_7!N161,householdfinance_v2_6!N161,householdfinance_v2_10!N161)/COUNT(householdfinance_v2_9!N161,householdfinance_v2_8!N161,householdfinance_v2_7!N161,householdfinance_v2_6!N161,householdfinance_v2_10!N161),0))</f>
        <v>1</v>
      </c>
      <c r="O161">
        <f>IF($E161=0,"NA",ROUND(SUM(householdfinance_v2_9!O161,householdfinance_v2_8!O161,householdfinance_v2_7!O161,householdfinance_v2_6!O161,householdfinance_v2_10!O161)/COUNT(householdfinance_v2_9!O161,householdfinance_v2_8!O161,householdfinance_v2_7!O161,householdfinance_v2_6!O161,householdfinance_v2_10!O161),0))</f>
        <v>1</v>
      </c>
    </row>
    <row r="162" spans="1:15" x14ac:dyDescent="0.25">
      <c r="A162" t="s">
        <v>151</v>
      </c>
      <c r="B162" t="s">
        <v>93</v>
      </c>
      <c r="C162">
        <v>0</v>
      </c>
      <c r="D162">
        <v>4.6346580982208252</v>
      </c>
      <c r="E162">
        <f>ROUND(SUM(householdfinance_v2_9!E162,householdfinance_v2_8!E162,householdfinance_v2_7!E162,householdfinance_v2_6!E162,householdfinance_v2_10!E162)/COUNT(householdfinance_v2_9!E162,householdfinance_v2_8!E162,householdfinance_v2_7!E162,householdfinance_v2_6!E162,householdfinance_v2_10!E162),0)</f>
        <v>1</v>
      </c>
      <c r="F162">
        <f>IF($E162=0,"NA",ROUND(SUM(householdfinance_v2_9!F162,householdfinance_v2_8!F162,householdfinance_v2_7!F162,householdfinance_v2_6!F162,householdfinance_v2_10!F162)/COUNT(householdfinance_v2_9!F162,householdfinance_v2_8!F162,householdfinance_v2_7!F162,householdfinance_v2_6!F162,householdfinance_v2_10!F162),0))</f>
        <v>1</v>
      </c>
      <c r="G162">
        <f>IF($E162=0,"NA",ROUND(SUM(householdfinance_v2_9!G162,householdfinance_v2_8!G162,householdfinance_v2_7!G162,householdfinance_v2_6!G162,householdfinance_v2_10!G162)/COUNT(householdfinance_v2_9!G162,householdfinance_v2_8!G162,householdfinance_v2_7!G162,householdfinance_v2_6!G162,householdfinance_v2_10!G162),0))</f>
        <v>1</v>
      </c>
      <c r="H162">
        <f>IF(AND(F162=1,G162=1),ROUND(SUM(householdfinance_v2_9!H162,householdfinance_v2_8!H162,householdfinance_v2_7!H162,householdfinance_v2_6!H162,householdfinance_v2_10!H162)/COUNT(householdfinance_v2_9!H162,householdfinance_v2_8!H162,householdfinance_v2_7!H162,householdfinance_v2_6!H162,householdfinance_v2_10!H162),0),"NA")</f>
        <v>1</v>
      </c>
      <c r="I162">
        <f>IF($E162=0,"NA",ROUND(SUM(householdfinance_v2_9!I162,householdfinance_v2_8!I162,householdfinance_v2_7!I162,householdfinance_v2_6!I162,householdfinance_v2_10!I162)/COUNT(householdfinance_v2_9!I162,householdfinance_v2_8!I162,householdfinance_v2_7!I162,householdfinance_v2_6!I162,householdfinance_v2_10!I162),0))</f>
        <v>1</v>
      </c>
      <c r="J162">
        <f>IF(F162=1,ROUND(SUM(householdfinance_v2_9!J162,householdfinance_v2_8!J162,householdfinance_v2_7!J162,householdfinance_v2_6!J162,householdfinance_v2_10!J162)/COUNT(householdfinance_v2_9!J162,householdfinance_v2_8!J162,householdfinance_v2_7!J162,householdfinance_v2_6!J162,householdfinance_v2_10!J162),0),"NA")</f>
        <v>0</v>
      </c>
      <c r="K162">
        <f>IF($E162=0,"NA",ROUND(SUM(householdfinance_v2_9!K162,householdfinance_v2_8!K162,householdfinance_v2_7!K162,householdfinance_v2_6!K162,householdfinance_v2_10!K162)/COUNT(householdfinance_v2_9!K162,householdfinance_v2_8!K162,householdfinance_v2_7!K162,householdfinance_v2_6!K162,householdfinance_v2_10!K162),0))</f>
        <v>1</v>
      </c>
      <c r="L162">
        <f>IF($E162=0,"NA",ROUND(SUM(householdfinance_v2_9!L162,householdfinance_v2_8!L162,householdfinance_v2_7!L162,householdfinance_v2_6!L162,householdfinance_v2_10!L162)/COUNT(householdfinance_v2_9!L162,householdfinance_v2_8!L162,householdfinance_v2_7!L162,householdfinance_v2_6!L162,householdfinance_v2_10!L162),0))</f>
        <v>1</v>
      </c>
      <c r="M162">
        <f>IF($E162=0,"NA",ROUND(SUM(householdfinance_v2_9!M162,householdfinance_v2_8!M162,householdfinance_v2_7!M162,householdfinance_v2_6!M162,householdfinance_v2_10!M162)/COUNT(householdfinance_v2_9!M162,householdfinance_v2_8!M162,householdfinance_v2_7!M162,householdfinance_v2_6!M162,householdfinance_v2_10!M162),0))</f>
        <v>1</v>
      </c>
      <c r="N162">
        <f>IF($E162=0,"NA",ROUND(SUM(householdfinance_v2_9!N162,householdfinance_v2_8!N162,householdfinance_v2_7!N162,householdfinance_v2_6!N162,householdfinance_v2_10!N162)/COUNT(householdfinance_v2_9!N162,householdfinance_v2_8!N162,householdfinance_v2_7!N162,householdfinance_v2_6!N162,householdfinance_v2_10!N162),0))</f>
        <v>1</v>
      </c>
      <c r="O162">
        <f>IF($E162=0,"NA",ROUND(SUM(householdfinance_v2_9!O162,householdfinance_v2_8!O162,householdfinance_v2_7!O162,householdfinance_v2_6!O162,householdfinance_v2_10!O162)/COUNT(householdfinance_v2_9!O162,householdfinance_v2_8!O162,householdfinance_v2_7!O162,householdfinance_v2_6!O162,householdfinance_v2_10!O162),0))</f>
        <v>1</v>
      </c>
    </row>
    <row r="163" spans="1:15" x14ac:dyDescent="0.25">
      <c r="A163" t="s">
        <v>151</v>
      </c>
      <c r="B163" t="s">
        <v>128</v>
      </c>
      <c r="C163">
        <v>0</v>
      </c>
      <c r="D163">
        <v>6.9483942985534668</v>
      </c>
      <c r="E163">
        <f>ROUND(SUM(householdfinance_v2_9!E163,householdfinance_v2_8!E163,householdfinance_v2_7!E163,householdfinance_v2_6!E163,householdfinance_v2_10!E163)/COUNT(householdfinance_v2_9!E163,householdfinance_v2_8!E163,householdfinance_v2_7!E163,householdfinance_v2_6!E163,householdfinance_v2_10!E163),0)</f>
        <v>1</v>
      </c>
      <c r="F163">
        <f>IF($E163=0,"NA",ROUND(SUM(householdfinance_v2_9!F163,householdfinance_v2_8!F163,householdfinance_v2_7!F163,householdfinance_v2_6!F163,householdfinance_v2_10!F163)/COUNT(householdfinance_v2_9!F163,householdfinance_v2_8!F163,householdfinance_v2_7!F163,householdfinance_v2_6!F163,householdfinance_v2_10!F163),0))</f>
        <v>1</v>
      </c>
      <c r="G163">
        <f>IF($E163=0,"NA",ROUND(SUM(householdfinance_v2_9!G163,householdfinance_v2_8!G163,householdfinance_v2_7!G163,householdfinance_v2_6!G163,householdfinance_v2_10!G163)/COUNT(householdfinance_v2_9!G163,householdfinance_v2_8!G163,householdfinance_v2_7!G163,householdfinance_v2_6!G163,householdfinance_v2_10!G163),0))</f>
        <v>1</v>
      </c>
      <c r="H163">
        <f>IF(AND(F163=1,G163=1),ROUND(SUM(householdfinance_v2_9!H163,householdfinance_v2_8!H163,householdfinance_v2_7!H163,householdfinance_v2_6!H163,householdfinance_v2_10!H163)/COUNT(householdfinance_v2_9!H163,householdfinance_v2_8!H163,householdfinance_v2_7!H163,householdfinance_v2_6!H163,householdfinance_v2_10!H163),0),"NA")</f>
        <v>1</v>
      </c>
      <c r="I163">
        <f>IF($E163=0,"NA",ROUND(SUM(householdfinance_v2_9!I163,householdfinance_v2_8!I163,householdfinance_v2_7!I163,householdfinance_v2_6!I163,householdfinance_v2_10!I163)/COUNT(householdfinance_v2_9!I163,householdfinance_v2_8!I163,householdfinance_v2_7!I163,householdfinance_v2_6!I163,householdfinance_v2_10!I163),0))</f>
        <v>1</v>
      </c>
      <c r="J163">
        <f>IF(F163=1,ROUND(SUM(householdfinance_v2_9!J163,householdfinance_v2_8!J163,householdfinance_v2_7!J163,householdfinance_v2_6!J163,householdfinance_v2_10!J163)/COUNT(householdfinance_v2_9!J163,householdfinance_v2_8!J163,householdfinance_v2_7!J163,householdfinance_v2_6!J163,householdfinance_v2_10!J163),0),"NA")</f>
        <v>0</v>
      </c>
      <c r="K163">
        <f>IF($E163=0,"NA",ROUND(SUM(householdfinance_v2_9!K163,householdfinance_v2_8!K163,householdfinance_v2_7!K163,householdfinance_v2_6!K163,householdfinance_v2_10!K163)/COUNT(householdfinance_v2_9!K163,householdfinance_v2_8!K163,householdfinance_v2_7!K163,householdfinance_v2_6!K163,householdfinance_v2_10!K163),0))</f>
        <v>1</v>
      </c>
      <c r="L163">
        <f>IF($E163=0,"NA",ROUND(SUM(householdfinance_v2_9!L163,householdfinance_v2_8!L163,householdfinance_v2_7!L163,householdfinance_v2_6!L163,householdfinance_v2_10!L163)/COUNT(householdfinance_v2_9!L163,householdfinance_v2_8!L163,householdfinance_v2_7!L163,householdfinance_v2_6!L163,householdfinance_v2_10!L163),0))</f>
        <v>1</v>
      </c>
      <c r="M163">
        <f>IF($E163=0,"NA",ROUND(SUM(householdfinance_v2_9!M163,householdfinance_v2_8!M163,householdfinance_v2_7!M163,householdfinance_v2_6!M163,householdfinance_v2_10!M163)/COUNT(householdfinance_v2_9!M163,householdfinance_v2_8!M163,householdfinance_v2_7!M163,householdfinance_v2_6!M163,householdfinance_v2_10!M163),0))</f>
        <v>1</v>
      </c>
      <c r="N163">
        <f>IF($E163=0,"NA",ROUND(SUM(householdfinance_v2_9!N163,householdfinance_v2_8!N163,householdfinance_v2_7!N163,householdfinance_v2_6!N163,householdfinance_v2_10!N163)/COUNT(householdfinance_v2_9!N163,householdfinance_v2_8!N163,householdfinance_v2_7!N163,householdfinance_v2_6!N163,householdfinance_v2_10!N163),0))</f>
        <v>1</v>
      </c>
      <c r="O163">
        <f>IF($E163=0,"NA",ROUND(SUM(householdfinance_v2_9!O163,householdfinance_v2_8!O163,householdfinance_v2_7!O163,householdfinance_v2_6!O163,householdfinance_v2_10!O163)/COUNT(householdfinance_v2_9!O163,householdfinance_v2_8!O163,householdfinance_v2_7!O163,householdfinance_v2_6!O163,householdfinance_v2_10!O163),0))</f>
        <v>1</v>
      </c>
    </row>
    <row r="164" spans="1:15" x14ac:dyDescent="0.25">
      <c r="A164" t="s">
        <v>151</v>
      </c>
      <c r="B164" t="s">
        <v>129</v>
      </c>
      <c r="C164">
        <v>0</v>
      </c>
      <c r="D164">
        <v>8.9830703735351563</v>
      </c>
      <c r="E164">
        <f>ROUND(SUM(householdfinance_v2_9!E164,householdfinance_v2_8!E164,householdfinance_v2_7!E164,householdfinance_v2_6!E164,householdfinance_v2_10!E164)/COUNT(householdfinance_v2_9!E164,householdfinance_v2_8!E164,householdfinance_v2_7!E164,householdfinance_v2_6!E164,householdfinance_v2_10!E164),0)</f>
        <v>1</v>
      </c>
      <c r="F164">
        <f>IF($E164=0,"NA",ROUND(SUM(householdfinance_v2_9!F164,householdfinance_v2_8!F164,householdfinance_v2_7!F164,householdfinance_v2_6!F164,householdfinance_v2_10!F164)/COUNT(householdfinance_v2_9!F164,householdfinance_v2_8!F164,householdfinance_v2_7!F164,householdfinance_v2_6!F164,householdfinance_v2_10!F164),0))</f>
        <v>1</v>
      </c>
      <c r="G164">
        <f>IF($E164=0,"NA",ROUND(SUM(householdfinance_v2_9!G164,householdfinance_v2_8!G164,householdfinance_v2_7!G164,householdfinance_v2_6!G164,householdfinance_v2_10!G164)/COUNT(householdfinance_v2_9!G164,householdfinance_v2_8!G164,householdfinance_v2_7!G164,householdfinance_v2_6!G164,householdfinance_v2_10!G164),0))</f>
        <v>1</v>
      </c>
      <c r="H164">
        <f>IF(AND(F164=1,G164=1),ROUND(SUM(householdfinance_v2_9!H164,householdfinance_v2_8!H164,householdfinance_v2_7!H164,householdfinance_v2_6!H164,householdfinance_v2_10!H164)/COUNT(householdfinance_v2_9!H164,householdfinance_v2_8!H164,householdfinance_v2_7!H164,householdfinance_v2_6!H164,householdfinance_v2_10!H164),0),"NA")</f>
        <v>1</v>
      </c>
      <c r="I164">
        <f>IF($E164=0,"NA",ROUND(SUM(householdfinance_v2_9!I164,householdfinance_v2_8!I164,householdfinance_v2_7!I164,householdfinance_v2_6!I164,householdfinance_v2_10!I164)/COUNT(householdfinance_v2_9!I164,householdfinance_v2_8!I164,householdfinance_v2_7!I164,householdfinance_v2_6!I164,householdfinance_v2_10!I164),0))</f>
        <v>1</v>
      </c>
      <c r="J164">
        <f>IF(F164=1,ROUND(SUM(householdfinance_v2_9!J164,householdfinance_v2_8!J164,householdfinance_v2_7!J164,householdfinance_v2_6!J164,householdfinance_v2_10!J164)/COUNT(householdfinance_v2_9!J164,householdfinance_v2_8!J164,householdfinance_v2_7!J164,householdfinance_v2_6!J164,householdfinance_v2_10!J164),0),"NA")</f>
        <v>1</v>
      </c>
      <c r="K164">
        <f>IF($E164=0,"NA",ROUND(SUM(householdfinance_v2_9!K164,householdfinance_v2_8!K164,householdfinance_v2_7!K164,householdfinance_v2_6!K164,householdfinance_v2_10!K164)/COUNT(householdfinance_v2_9!K164,householdfinance_v2_8!K164,householdfinance_v2_7!K164,householdfinance_v2_6!K164,householdfinance_v2_10!K164),0))</f>
        <v>1</v>
      </c>
      <c r="L164">
        <f>IF($E164=0,"NA",ROUND(SUM(householdfinance_v2_9!L164,householdfinance_v2_8!L164,householdfinance_v2_7!L164,householdfinance_v2_6!L164,householdfinance_v2_10!L164)/COUNT(householdfinance_v2_9!L164,householdfinance_v2_8!L164,householdfinance_v2_7!L164,householdfinance_v2_6!L164,householdfinance_v2_10!L164),0))</f>
        <v>1</v>
      </c>
      <c r="M164">
        <f>IF($E164=0,"NA",ROUND(SUM(householdfinance_v2_9!M164,householdfinance_v2_8!M164,householdfinance_v2_7!M164,householdfinance_v2_6!M164,householdfinance_v2_10!M164)/COUNT(householdfinance_v2_9!M164,householdfinance_v2_8!M164,householdfinance_v2_7!M164,householdfinance_v2_6!M164,householdfinance_v2_10!M164),0))</f>
        <v>1</v>
      </c>
      <c r="N164">
        <f>IF($E164=0,"NA",ROUND(SUM(householdfinance_v2_9!N164,householdfinance_v2_8!N164,householdfinance_v2_7!N164,householdfinance_v2_6!N164,householdfinance_v2_10!N164)/COUNT(householdfinance_v2_9!N164,householdfinance_v2_8!N164,householdfinance_v2_7!N164,householdfinance_v2_6!N164,householdfinance_v2_10!N164),0))</f>
        <v>1</v>
      </c>
      <c r="O164">
        <f>IF($E164=0,"NA",ROUND(SUM(householdfinance_v2_9!O164,householdfinance_v2_8!O164,householdfinance_v2_7!O164,householdfinance_v2_6!O164,householdfinance_v2_10!O164)/COUNT(householdfinance_v2_9!O164,householdfinance_v2_8!O164,householdfinance_v2_7!O164,householdfinance_v2_6!O164,householdfinance_v2_10!O164),0))</f>
        <v>1</v>
      </c>
    </row>
    <row r="165" spans="1:15" x14ac:dyDescent="0.25">
      <c r="A165" t="s">
        <v>151</v>
      </c>
      <c r="B165" t="s">
        <v>131</v>
      </c>
      <c r="C165">
        <v>0</v>
      </c>
      <c r="D165">
        <v>4.3649106025695801</v>
      </c>
      <c r="E165">
        <f>ROUND(SUM(householdfinance_v2_9!E165,householdfinance_v2_8!E165,householdfinance_v2_7!E165,householdfinance_v2_6!E165,householdfinance_v2_10!E165)/COUNT(householdfinance_v2_9!E165,householdfinance_v2_8!E165,householdfinance_v2_7!E165,householdfinance_v2_6!E165,householdfinance_v2_10!E165),0)</f>
        <v>1</v>
      </c>
      <c r="F165">
        <f>IF($E165=0,"NA",ROUND(SUM(householdfinance_v2_9!F165,householdfinance_v2_8!F165,householdfinance_v2_7!F165,householdfinance_v2_6!F165,householdfinance_v2_10!F165)/COUNT(householdfinance_v2_9!F165,householdfinance_v2_8!F165,householdfinance_v2_7!F165,householdfinance_v2_6!F165,householdfinance_v2_10!F165),0))</f>
        <v>1</v>
      </c>
      <c r="G165">
        <f>IF($E165=0,"NA",ROUND(SUM(householdfinance_v2_9!G165,householdfinance_v2_8!G165,householdfinance_v2_7!G165,householdfinance_v2_6!G165,householdfinance_v2_10!G165)/COUNT(householdfinance_v2_9!G165,householdfinance_v2_8!G165,householdfinance_v2_7!G165,householdfinance_v2_6!G165,householdfinance_v2_10!G165),0))</f>
        <v>1</v>
      </c>
      <c r="H165">
        <f>IF(AND(F165=1,G165=1),ROUND(SUM(householdfinance_v2_9!H165,householdfinance_v2_8!H165,householdfinance_v2_7!H165,householdfinance_v2_6!H165,householdfinance_v2_10!H165)/COUNT(householdfinance_v2_9!H165,householdfinance_v2_8!H165,householdfinance_v2_7!H165,householdfinance_v2_6!H165,householdfinance_v2_10!H165),0),"NA")</f>
        <v>1</v>
      </c>
      <c r="I165">
        <f>IF($E165=0,"NA",ROUND(SUM(householdfinance_v2_9!I165,householdfinance_v2_8!I165,householdfinance_v2_7!I165,householdfinance_v2_6!I165,householdfinance_v2_10!I165)/COUNT(householdfinance_v2_9!I165,householdfinance_v2_8!I165,householdfinance_v2_7!I165,householdfinance_v2_6!I165,householdfinance_v2_10!I165),0))</f>
        <v>0</v>
      </c>
      <c r="J165">
        <f>IF(F165=1,ROUND(SUM(householdfinance_v2_9!J165,householdfinance_v2_8!J165,householdfinance_v2_7!J165,householdfinance_v2_6!J165,householdfinance_v2_10!J165)/COUNT(householdfinance_v2_9!J165,householdfinance_v2_8!J165,householdfinance_v2_7!J165,householdfinance_v2_6!J165,householdfinance_v2_10!J165),0),"NA")</f>
        <v>1</v>
      </c>
      <c r="K165">
        <f>IF($E165=0,"NA",ROUND(SUM(householdfinance_v2_9!K165,householdfinance_v2_8!K165,householdfinance_v2_7!K165,householdfinance_v2_6!K165,householdfinance_v2_10!K165)/COUNT(householdfinance_v2_9!K165,householdfinance_v2_8!K165,householdfinance_v2_7!K165,householdfinance_v2_6!K165,householdfinance_v2_10!K165),0))</f>
        <v>1</v>
      </c>
      <c r="L165">
        <f>IF($E165=0,"NA",ROUND(SUM(householdfinance_v2_9!L165,householdfinance_v2_8!L165,householdfinance_v2_7!L165,householdfinance_v2_6!L165,householdfinance_v2_10!L165)/COUNT(householdfinance_v2_9!L165,householdfinance_v2_8!L165,householdfinance_v2_7!L165,householdfinance_v2_6!L165,householdfinance_v2_10!L165),0))</f>
        <v>1</v>
      </c>
      <c r="M165">
        <f>IF($E165=0,"NA",ROUND(SUM(householdfinance_v2_9!M165,householdfinance_v2_8!M165,householdfinance_v2_7!M165,householdfinance_v2_6!M165,householdfinance_v2_10!M165)/COUNT(householdfinance_v2_9!M165,householdfinance_v2_8!M165,householdfinance_v2_7!M165,householdfinance_v2_6!M165,householdfinance_v2_10!M165),0))</f>
        <v>1</v>
      </c>
      <c r="N165">
        <f>IF($E165=0,"NA",ROUND(SUM(householdfinance_v2_9!N165,householdfinance_v2_8!N165,householdfinance_v2_7!N165,householdfinance_v2_6!N165,householdfinance_v2_10!N165)/COUNT(householdfinance_v2_9!N165,householdfinance_v2_8!N165,householdfinance_v2_7!N165,householdfinance_v2_6!N165,householdfinance_v2_10!N165),0))</f>
        <v>1</v>
      </c>
      <c r="O165">
        <f>IF($E165=0,"NA",ROUND(SUM(householdfinance_v2_9!O165,householdfinance_v2_8!O165,householdfinance_v2_7!O165,householdfinance_v2_6!O165,householdfinance_v2_10!O165)/COUNT(householdfinance_v2_9!O165,householdfinance_v2_8!O165,householdfinance_v2_7!O165,householdfinance_v2_6!O165,householdfinance_v2_10!O165),0))</f>
        <v>1</v>
      </c>
    </row>
    <row r="166" spans="1:15" x14ac:dyDescent="0.25">
      <c r="A166" t="s">
        <v>151</v>
      </c>
      <c r="B166" t="s">
        <v>133</v>
      </c>
      <c r="C166">
        <v>0</v>
      </c>
      <c r="D166">
        <v>5.0030436515808114</v>
      </c>
      <c r="E166">
        <f>ROUND(SUM(householdfinance_v2_9!E166,householdfinance_v2_8!E166,householdfinance_v2_7!E166,householdfinance_v2_6!E166,householdfinance_v2_10!E166)/COUNT(householdfinance_v2_9!E166,householdfinance_v2_8!E166,householdfinance_v2_7!E166,householdfinance_v2_6!E166,householdfinance_v2_10!E166),0)</f>
        <v>1</v>
      </c>
      <c r="F166">
        <f>IF($E166=0,"NA",ROUND(SUM(householdfinance_v2_9!F166,householdfinance_v2_8!F166,householdfinance_v2_7!F166,householdfinance_v2_6!F166,householdfinance_v2_10!F166)/COUNT(householdfinance_v2_9!F166,householdfinance_v2_8!F166,householdfinance_v2_7!F166,householdfinance_v2_6!F166,householdfinance_v2_10!F166),0))</f>
        <v>1</v>
      </c>
      <c r="G166">
        <f>IF($E166=0,"NA",ROUND(SUM(householdfinance_v2_9!G166,householdfinance_v2_8!G166,householdfinance_v2_7!G166,householdfinance_v2_6!G166,householdfinance_v2_10!G166)/COUNT(householdfinance_v2_9!G166,householdfinance_v2_8!G166,householdfinance_v2_7!G166,householdfinance_v2_6!G166,householdfinance_v2_10!G166),0))</f>
        <v>1</v>
      </c>
      <c r="H166">
        <f>IF(AND(F166=1,G166=1),ROUND(SUM(householdfinance_v2_9!H166,householdfinance_v2_8!H166,householdfinance_v2_7!H166,householdfinance_v2_6!H166,householdfinance_v2_10!H166)/COUNT(householdfinance_v2_9!H166,householdfinance_v2_8!H166,householdfinance_v2_7!H166,householdfinance_v2_6!H166,householdfinance_v2_10!H166),0),"NA")</f>
        <v>1</v>
      </c>
      <c r="I166">
        <f>IF($E166=0,"NA",ROUND(SUM(householdfinance_v2_9!I166,householdfinance_v2_8!I166,householdfinance_v2_7!I166,householdfinance_v2_6!I166,householdfinance_v2_10!I166)/COUNT(householdfinance_v2_9!I166,householdfinance_v2_8!I166,householdfinance_v2_7!I166,householdfinance_v2_6!I166,householdfinance_v2_10!I166),0))</f>
        <v>1</v>
      </c>
      <c r="J166">
        <f>IF(F166=1,ROUND(SUM(householdfinance_v2_9!J166,householdfinance_v2_8!J166,householdfinance_v2_7!J166,householdfinance_v2_6!J166,householdfinance_v2_10!J166)/COUNT(householdfinance_v2_9!J166,householdfinance_v2_8!J166,householdfinance_v2_7!J166,householdfinance_v2_6!J166,householdfinance_v2_10!J166),0),"NA")</f>
        <v>0</v>
      </c>
      <c r="K166">
        <f>IF($E166=0,"NA",ROUND(SUM(householdfinance_v2_9!K166,householdfinance_v2_8!K166,householdfinance_v2_7!K166,householdfinance_v2_6!K166,householdfinance_v2_10!K166)/COUNT(householdfinance_v2_9!K166,householdfinance_v2_8!K166,householdfinance_v2_7!K166,householdfinance_v2_6!K166,householdfinance_v2_10!K166),0))</f>
        <v>1</v>
      </c>
      <c r="L166">
        <f>IF($E166=0,"NA",ROUND(SUM(householdfinance_v2_9!L166,householdfinance_v2_8!L166,householdfinance_v2_7!L166,householdfinance_v2_6!L166,householdfinance_v2_10!L166)/COUNT(householdfinance_v2_9!L166,householdfinance_v2_8!L166,householdfinance_v2_7!L166,householdfinance_v2_6!L166,householdfinance_v2_10!L166),0))</f>
        <v>1</v>
      </c>
      <c r="M166">
        <f>IF($E166=0,"NA",ROUND(SUM(householdfinance_v2_9!M166,householdfinance_v2_8!M166,householdfinance_v2_7!M166,householdfinance_v2_6!M166,householdfinance_v2_10!M166)/COUNT(householdfinance_v2_9!M166,householdfinance_v2_8!M166,householdfinance_v2_7!M166,householdfinance_v2_6!M166,householdfinance_v2_10!M166),0))</f>
        <v>1</v>
      </c>
      <c r="N166">
        <f>IF($E166=0,"NA",ROUND(SUM(householdfinance_v2_9!N166,householdfinance_v2_8!N166,householdfinance_v2_7!N166,householdfinance_v2_6!N166,householdfinance_v2_10!N166)/COUNT(householdfinance_v2_9!N166,householdfinance_v2_8!N166,householdfinance_v2_7!N166,householdfinance_v2_6!N166,householdfinance_v2_10!N166),0))</f>
        <v>1</v>
      </c>
      <c r="O166">
        <f>IF($E166=0,"NA",ROUND(SUM(householdfinance_v2_9!O166,householdfinance_v2_8!O166,householdfinance_v2_7!O166,householdfinance_v2_6!O166,householdfinance_v2_10!O166)/COUNT(householdfinance_v2_9!O166,householdfinance_v2_8!O166,householdfinance_v2_7!O166,householdfinance_v2_6!O166,householdfinance_v2_10!O166),0))</f>
        <v>1</v>
      </c>
    </row>
    <row r="167" spans="1:15" x14ac:dyDescent="0.25">
      <c r="A167" t="s">
        <v>151</v>
      </c>
      <c r="B167" t="s">
        <v>134</v>
      </c>
      <c r="C167">
        <v>0</v>
      </c>
      <c r="D167">
        <v>4.8872356414794922</v>
      </c>
      <c r="E167">
        <f>ROUND(SUM(householdfinance_v2_9!E167,householdfinance_v2_8!E167,householdfinance_v2_7!E167,householdfinance_v2_6!E167,householdfinance_v2_10!E167)/COUNT(householdfinance_v2_9!E167,householdfinance_v2_8!E167,householdfinance_v2_7!E167,householdfinance_v2_6!E167,householdfinance_v2_10!E167),0)</f>
        <v>1</v>
      </c>
      <c r="F167">
        <f>IF($E167=0,"NA",ROUND(SUM(householdfinance_v2_9!F167,householdfinance_v2_8!F167,householdfinance_v2_7!F167,householdfinance_v2_6!F167,householdfinance_v2_10!F167)/COUNT(householdfinance_v2_9!F167,householdfinance_v2_8!F167,householdfinance_v2_7!F167,householdfinance_v2_6!F167,householdfinance_v2_10!F167),0))</f>
        <v>1</v>
      </c>
      <c r="G167">
        <f>IF($E167=0,"NA",ROUND(SUM(householdfinance_v2_9!G167,householdfinance_v2_8!G167,householdfinance_v2_7!G167,householdfinance_v2_6!G167,householdfinance_v2_10!G167)/COUNT(householdfinance_v2_9!G167,householdfinance_v2_8!G167,householdfinance_v2_7!G167,householdfinance_v2_6!G167,householdfinance_v2_10!G167),0))</f>
        <v>1</v>
      </c>
      <c r="H167">
        <f>IF(AND(F167=1,G167=1),ROUND(SUM(householdfinance_v2_9!H167,householdfinance_v2_8!H167,householdfinance_v2_7!H167,householdfinance_v2_6!H167,householdfinance_v2_10!H167)/COUNT(householdfinance_v2_9!H167,householdfinance_v2_8!H167,householdfinance_v2_7!H167,householdfinance_v2_6!H167,householdfinance_v2_10!H167),0),"NA")</f>
        <v>1</v>
      </c>
      <c r="I167">
        <f>IF($E167=0,"NA",ROUND(SUM(householdfinance_v2_9!I167,householdfinance_v2_8!I167,householdfinance_v2_7!I167,householdfinance_v2_6!I167,householdfinance_v2_10!I167)/COUNT(householdfinance_v2_9!I167,householdfinance_v2_8!I167,householdfinance_v2_7!I167,householdfinance_v2_6!I167,householdfinance_v2_10!I167),0))</f>
        <v>1</v>
      </c>
      <c r="J167">
        <f>IF(F167=1,ROUND(SUM(householdfinance_v2_9!J167,householdfinance_v2_8!J167,householdfinance_v2_7!J167,householdfinance_v2_6!J167,householdfinance_v2_10!J167)/COUNT(householdfinance_v2_9!J167,householdfinance_v2_8!J167,householdfinance_v2_7!J167,householdfinance_v2_6!J167,householdfinance_v2_10!J167),0),"NA")</f>
        <v>0</v>
      </c>
      <c r="K167">
        <f>IF($E167=0,"NA",ROUND(SUM(householdfinance_v2_9!K167,householdfinance_v2_8!K167,householdfinance_v2_7!K167,householdfinance_v2_6!K167,householdfinance_v2_10!K167)/COUNT(householdfinance_v2_9!K167,householdfinance_v2_8!K167,householdfinance_v2_7!K167,householdfinance_v2_6!K167,householdfinance_v2_10!K167),0))</f>
        <v>1</v>
      </c>
      <c r="L167">
        <f>IF($E167=0,"NA",ROUND(SUM(householdfinance_v2_9!L167,householdfinance_v2_8!L167,householdfinance_v2_7!L167,householdfinance_v2_6!L167,householdfinance_v2_10!L167)/COUNT(householdfinance_v2_9!L167,householdfinance_v2_8!L167,householdfinance_v2_7!L167,householdfinance_v2_6!L167,householdfinance_v2_10!L167),0))</f>
        <v>1</v>
      </c>
      <c r="M167">
        <f>IF($E167=0,"NA",ROUND(SUM(householdfinance_v2_9!M167,householdfinance_v2_8!M167,householdfinance_v2_7!M167,householdfinance_v2_6!M167,householdfinance_v2_10!M167)/COUNT(householdfinance_v2_9!M167,householdfinance_v2_8!M167,householdfinance_v2_7!M167,householdfinance_v2_6!M167,householdfinance_v2_10!M167),0))</f>
        <v>1</v>
      </c>
      <c r="N167">
        <f>IF($E167=0,"NA",ROUND(SUM(householdfinance_v2_9!N167,householdfinance_v2_8!N167,householdfinance_v2_7!N167,householdfinance_v2_6!N167,householdfinance_v2_10!N167)/COUNT(householdfinance_v2_9!N167,householdfinance_v2_8!N167,householdfinance_v2_7!N167,householdfinance_v2_6!N167,householdfinance_v2_10!N167),0))</f>
        <v>1</v>
      </c>
      <c r="O167">
        <f>IF($E167=0,"NA",ROUND(SUM(householdfinance_v2_9!O167,householdfinance_v2_8!O167,householdfinance_v2_7!O167,householdfinance_v2_6!O167,householdfinance_v2_10!O167)/COUNT(householdfinance_v2_9!O167,householdfinance_v2_8!O167,householdfinance_v2_7!O167,householdfinance_v2_6!O167,householdfinance_v2_10!O167),0))</f>
        <v>1</v>
      </c>
    </row>
    <row r="168" spans="1:15" x14ac:dyDescent="0.25">
      <c r="A168" t="s">
        <v>151</v>
      </c>
      <c r="B168" t="s">
        <v>136</v>
      </c>
      <c r="C168">
        <v>0</v>
      </c>
      <c r="D168">
        <v>4.3535380363464364</v>
      </c>
      <c r="E168">
        <f>ROUND(SUM(householdfinance_v2_9!E168,householdfinance_v2_8!E168,householdfinance_v2_7!E168,householdfinance_v2_6!E168,householdfinance_v2_10!E168)/COUNT(householdfinance_v2_9!E168,householdfinance_v2_8!E168,householdfinance_v2_7!E168,householdfinance_v2_6!E168,householdfinance_v2_10!E168),0)</f>
        <v>1</v>
      </c>
      <c r="F168">
        <f>IF($E168=0,"NA",ROUND(SUM(householdfinance_v2_9!F168,householdfinance_v2_8!F168,householdfinance_v2_7!F168,householdfinance_v2_6!F168,householdfinance_v2_10!F168)/COUNT(householdfinance_v2_9!F168,householdfinance_v2_8!F168,householdfinance_v2_7!F168,householdfinance_v2_6!F168,householdfinance_v2_10!F168),0))</f>
        <v>1</v>
      </c>
      <c r="G168">
        <f>IF($E168=0,"NA",ROUND(SUM(householdfinance_v2_9!G168,householdfinance_v2_8!G168,householdfinance_v2_7!G168,householdfinance_v2_6!G168,householdfinance_v2_10!G168)/COUNT(householdfinance_v2_9!G168,householdfinance_v2_8!G168,householdfinance_v2_7!G168,householdfinance_v2_6!G168,householdfinance_v2_10!G168),0))</f>
        <v>1</v>
      </c>
      <c r="H168">
        <f>IF(AND(F168=1,G168=1),ROUND(SUM(householdfinance_v2_9!H168,householdfinance_v2_8!H168,householdfinance_v2_7!H168,householdfinance_v2_6!H168,householdfinance_v2_10!H168)/COUNT(householdfinance_v2_9!H168,householdfinance_v2_8!H168,householdfinance_v2_7!H168,householdfinance_v2_6!H168,householdfinance_v2_10!H168),0),"NA")</f>
        <v>1</v>
      </c>
      <c r="I168">
        <f>IF($E168=0,"NA",ROUND(SUM(householdfinance_v2_9!I168,householdfinance_v2_8!I168,householdfinance_v2_7!I168,householdfinance_v2_6!I168,householdfinance_v2_10!I168)/COUNT(householdfinance_v2_9!I168,householdfinance_v2_8!I168,householdfinance_v2_7!I168,householdfinance_v2_6!I168,householdfinance_v2_10!I168),0))</f>
        <v>1</v>
      </c>
      <c r="J168">
        <f>IF(F168=1,ROUND(SUM(householdfinance_v2_9!J168,householdfinance_v2_8!J168,householdfinance_v2_7!J168,householdfinance_v2_6!J168,householdfinance_v2_10!J168)/COUNT(householdfinance_v2_9!J168,householdfinance_v2_8!J168,householdfinance_v2_7!J168,householdfinance_v2_6!J168,householdfinance_v2_10!J168),0),"NA")</f>
        <v>0</v>
      </c>
      <c r="K168">
        <f>IF($E168=0,"NA",ROUND(SUM(householdfinance_v2_9!K168,householdfinance_v2_8!K168,householdfinance_v2_7!K168,householdfinance_v2_6!K168,householdfinance_v2_10!K168)/COUNT(householdfinance_v2_9!K168,householdfinance_v2_8!K168,householdfinance_v2_7!K168,householdfinance_v2_6!K168,householdfinance_v2_10!K168),0))</f>
        <v>1</v>
      </c>
      <c r="L168">
        <f>IF($E168=0,"NA",ROUND(SUM(householdfinance_v2_9!L168,householdfinance_v2_8!L168,householdfinance_v2_7!L168,householdfinance_v2_6!L168,householdfinance_v2_10!L168)/COUNT(householdfinance_v2_9!L168,householdfinance_v2_8!L168,householdfinance_v2_7!L168,householdfinance_v2_6!L168,householdfinance_v2_10!L168),0))</f>
        <v>1</v>
      </c>
      <c r="M168">
        <f>IF($E168=0,"NA",ROUND(SUM(householdfinance_v2_9!M168,householdfinance_v2_8!M168,householdfinance_v2_7!M168,householdfinance_v2_6!M168,householdfinance_v2_10!M168)/COUNT(householdfinance_v2_9!M168,householdfinance_v2_8!M168,householdfinance_v2_7!M168,householdfinance_v2_6!M168,householdfinance_v2_10!M168),0))</f>
        <v>1</v>
      </c>
      <c r="N168">
        <f>IF($E168=0,"NA",ROUND(SUM(householdfinance_v2_9!N168,householdfinance_v2_8!N168,householdfinance_v2_7!N168,householdfinance_v2_6!N168,householdfinance_v2_10!N168)/COUNT(householdfinance_v2_9!N168,householdfinance_v2_8!N168,householdfinance_v2_7!N168,householdfinance_v2_6!N168,householdfinance_v2_10!N168),0))</f>
        <v>1</v>
      </c>
      <c r="O168">
        <f>IF($E168=0,"NA",ROUND(SUM(householdfinance_v2_9!O168,householdfinance_v2_8!O168,householdfinance_v2_7!O168,householdfinance_v2_6!O168,householdfinance_v2_10!O168)/COUNT(householdfinance_v2_9!O168,householdfinance_v2_8!O168,householdfinance_v2_7!O168,householdfinance_v2_6!O168,householdfinance_v2_10!O168),0))</f>
        <v>1</v>
      </c>
    </row>
    <row r="169" spans="1:15" x14ac:dyDescent="0.25">
      <c r="A169" t="s">
        <v>151</v>
      </c>
      <c r="B169" t="s">
        <v>138</v>
      </c>
      <c r="C169">
        <v>0</v>
      </c>
      <c r="D169">
        <v>2.7616410255432129</v>
      </c>
      <c r="E169">
        <f>ROUND(SUM(householdfinance_v2_9!E169,householdfinance_v2_8!E169,householdfinance_v2_7!E169,householdfinance_v2_6!E169,householdfinance_v2_10!E169)/COUNT(householdfinance_v2_9!E169,householdfinance_v2_8!E169,householdfinance_v2_7!E169,householdfinance_v2_6!E169,householdfinance_v2_10!E169),0)</f>
        <v>1</v>
      </c>
      <c r="F169">
        <f>IF($E169=0,"NA",ROUND(SUM(householdfinance_v2_9!F169,householdfinance_v2_8!F169,householdfinance_v2_7!F169,householdfinance_v2_6!F169,householdfinance_v2_10!F169)/COUNT(householdfinance_v2_9!F169,householdfinance_v2_8!F169,householdfinance_v2_7!F169,householdfinance_v2_6!F169,householdfinance_v2_10!F169),0))</f>
        <v>1</v>
      </c>
      <c r="G169">
        <f>IF($E169=0,"NA",ROUND(SUM(householdfinance_v2_9!G169,householdfinance_v2_8!G169,householdfinance_v2_7!G169,householdfinance_v2_6!G169,householdfinance_v2_10!G169)/COUNT(householdfinance_v2_9!G169,householdfinance_v2_8!G169,householdfinance_v2_7!G169,householdfinance_v2_6!G169,householdfinance_v2_10!G169),0))</f>
        <v>1</v>
      </c>
      <c r="H169">
        <f>IF(AND(F169=1,G169=1),ROUND(SUM(householdfinance_v2_9!H169,householdfinance_v2_8!H169,householdfinance_v2_7!H169,householdfinance_v2_6!H169,householdfinance_v2_10!H169)/COUNT(householdfinance_v2_9!H169,householdfinance_v2_8!H169,householdfinance_v2_7!H169,householdfinance_v2_6!H169,householdfinance_v2_10!H169),0),"NA")</f>
        <v>1</v>
      </c>
      <c r="I169">
        <f>IF($E169=0,"NA",ROUND(SUM(householdfinance_v2_9!I169,householdfinance_v2_8!I169,householdfinance_v2_7!I169,householdfinance_v2_6!I169,householdfinance_v2_10!I169)/COUNT(householdfinance_v2_9!I169,householdfinance_v2_8!I169,householdfinance_v2_7!I169,householdfinance_v2_6!I169,householdfinance_v2_10!I169),0))</f>
        <v>1</v>
      </c>
      <c r="J169">
        <f>IF(F169=1,ROUND(SUM(householdfinance_v2_9!J169,householdfinance_v2_8!J169,householdfinance_v2_7!J169,householdfinance_v2_6!J169,householdfinance_v2_10!J169)/COUNT(householdfinance_v2_9!J169,householdfinance_v2_8!J169,householdfinance_v2_7!J169,householdfinance_v2_6!J169,householdfinance_v2_10!J169),0),"NA")</f>
        <v>1</v>
      </c>
      <c r="K169">
        <f>IF($E169=0,"NA",ROUND(SUM(householdfinance_v2_9!K169,householdfinance_v2_8!K169,householdfinance_v2_7!K169,householdfinance_v2_6!K169,householdfinance_v2_10!K169)/COUNT(householdfinance_v2_9!K169,householdfinance_v2_8!K169,householdfinance_v2_7!K169,householdfinance_v2_6!K169,householdfinance_v2_10!K169),0))</f>
        <v>1</v>
      </c>
      <c r="L169">
        <f>IF($E169=0,"NA",ROUND(SUM(householdfinance_v2_9!L169,householdfinance_v2_8!L169,householdfinance_v2_7!L169,householdfinance_v2_6!L169,householdfinance_v2_10!L169)/COUNT(householdfinance_v2_9!L169,householdfinance_v2_8!L169,householdfinance_v2_7!L169,householdfinance_v2_6!L169,householdfinance_v2_10!L169),0))</f>
        <v>1</v>
      </c>
      <c r="M169">
        <f>IF($E169=0,"NA",ROUND(SUM(householdfinance_v2_9!M169,householdfinance_v2_8!M169,householdfinance_v2_7!M169,householdfinance_v2_6!M169,householdfinance_v2_10!M169)/COUNT(householdfinance_v2_9!M169,householdfinance_v2_8!M169,householdfinance_v2_7!M169,householdfinance_v2_6!M169,householdfinance_v2_10!M169),0))</f>
        <v>1</v>
      </c>
      <c r="N169">
        <f>IF($E169=0,"NA",ROUND(SUM(householdfinance_v2_9!N169,householdfinance_v2_8!N169,householdfinance_v2_7!N169,householdfinance_v2_6!N169,householdfinance_v2_10!N169)/COUNT(householdfinance_v2_9!N169,householdfinance_v2_8!N169,householdfinance_v2_7!N169,householdfinance_v2_6!N169,householdfinance_v2_10!N169),0))</f>
        <v>1</v>
      </c>
      <c r="O169">
        <f>IF($E169=0,"NA",ROUND(SUM(householdfinance_v2_9!O169,householdfinance_v2_8!O169,householdfinance_v2_7!O169,householdfinance_v2_6!O169,householdfinance_v2_10!O169)/COUNT(householdfinance_v2_9!O169,householdfinance_v2_8!O169,householdfinance_v2_7!O169,householdfinance_v2_6!O169,householdfinance_v2_10!O169),0))</f>
        <v>1</v>
      </c>
    </row>
    <row r="170" spans="1:15" x14ac:dyDescent="0.25">
      <c r="A170" t="s">
        <v>151</v>
      </c>
      <c r="B170" t="s">
        <v>140</v>
      </c>
      <c r="C170">
        <v>0</v>
      </c>
      <c r="D170">
        <v>4.8179821968078613</v>
      </c>
      <c r="E170">
        <f>ROUND(SUM(householdfinance_v2_9!E170,householdfinance_v2_8!E170,householdfinance_v2_7!E170,householdfinance_v2_6!E170,householdfinance_v2_10!E170)/COUNT(householdfinance_v2_9!E170,householdfinance_v2_8!E170,householdfinance_v2_7!E170,householdfinance_v2_6!E170,householdfinance_v2_10!E170),0)</f>
        <v>1</v>
      </c>
      <c r="F170">
        <f>IF($E170=0,"NA",ROUND(SUM(householdfinance_v2_9!F170,householdfinance_v2_8!F170,householdfinance_v2_7!F170,householdfinance_v2_6!F170,householdfinance_v2_10!F170)/COUNT(householdfinance_v2_9!F170,householdfinance_v2_8!F170,householdfinance_v2_7!F170,householdfinance_v2_6!F170,householdfinance_v2_10!F170),0))</f>
        <v>1</v>
      </c>
      <c r="G170">
        <f>IF($E170=0,"NA",ROUND(SUM(householdfinance_v2_9!G170,householdfinance_v2_8!G170,householdfinance_v2_7!G170,householdfinance_v2_6!G170,householdfinance_v2_10!G170)/COUNT(householdfinance_v2_9!G170,householdfinance_v2_8!G170,householdfinance_v2_7!G170,householdfinance_v2_6!G170,householdfinance_v2_10!G170),0))</f>
        <v>1</v>
      </c>
      <c r="H170">
        <f>IF(AND(F170=1,G170=1),ROUND(SUM(householdfinance_v2_9!H170,householdfinance_v2_8!H170,householdfinance_v2_7!H170,householdfinance_v2_6!H170,householdfinance_v2_10!H170)/COUNT(householdfinance_v2_9!H170,householdfinance_v2_8!H170,householdfinance_v2_7!H170,householdfinance_v2_6!H170,householdfinance_v2_10!H170),0),"NA")</f>
        <v>0</v>
      </c>
      <c r="I170">
        <f>IF($E170=0,"NA",ROUND(SUM(householdfinance_v2_9!I170,householdfinance_v2_8!I170,householdfinance_v2_7!I170,householdfinance_v2_6!I170,householdfinance_v2_10!I170)/COUNT(householdfinance_v2_9!I170,householdfinance_v2_8!I170,householdfinance_v2_7!I170,householdfinance_v2_6!I170,householdfinance_v2_10!I170),0))</f>
        <v>1</v>
      </c>
      <c r="J170">
        <f>IF(F170=1,ROUND(SUM(householdfinance_v2_9!J170,householdfinance_v2_8!J170,householdfinance_v2_7!J170,householdfinance_v2_6!J170,householdfinance_v2_10!J170)/COUNT(householdfinance_v2_9!J170,householdfinance_v2_8!J170,householdfinance_v2_7!J170,householdfinance_v2_6!J170,householdfinance_v2_10!J170),0),"NA")</f>
        <v>1</v>
      </c>
      <c r="K170">
        <f>IF($E170=0,"NA",ROUND(SUM(householdfinance_v2_9!K170,householdfinance_v2_8!K170,householdfinance_v2_7!K170,householdfinance_v2_6!K170,householdfinance_v2_10!K170)/COUNT(householdfinance_v2_9!K170,householdfinance_v2_8!K170,householdfinance_v2_7!K170,householdfinance_v2_6!K170,householdfinance_v2_10!K170),0))</f>
        <v>1</v>
      </c>
      <c r="L170">
        <f>IF($E170=0,"NA",ROUND(SUM(householdfinance_v2_9!L170,householdfinance_v2_8!L170,householdfinance_v2_7!L170,householdfinance_v2_6!L170,householdfinance_v2_10!L170)/COUNT(householdfinance_v2_9!L170,householdfinance_v2_8!L170,householdfinance_v2_7!L170,householdfinance_v2_6!L170,householdfinance_v2_10!L170),0))</f>
        <v>1</v>
      </c>
      <c r="M170">
        <f>IF($E170=0,"NA",ROUND(SUM(householdfinance_v2_9!M170,householdfinance_v2_8!M170,householdfinance_v2_7!M170,householdfinance_v2_6!M170,householdfinance_v2_10!M170)/COUNT(householdfinance_v2_9!M170,householdfinance_v2_8!M170,householdfinance_v2_7!M170,householdfinance_v2_6!M170,householdfinance_v2_10!M170),0))</f>
        <v>1</v>
      </c>
      <c r="N170">
        <f>IF($E170=0,"NA",ROUND(SUM(householdfinance_v2_9!N170,householdfinance_v2_8!N170,householdfinance_v2_7!N170,householdfinance_v2_6!N170,householdfinance_v2_10!N170)/COUNT(householdfinance_v2_9!N170,householdfinance_v2_8!N170,householdfinance_v2_7!N170,householdfinance_v2_6!N170,householdfinance_v2_10!N170),0))</f>
        <v>1</v>
      </c>
      <c r="O170">
        <f>IF($E170=0,"NA",ROUND(SUM(householdfinance_v2_9!O170,householdfinance_v2_8!O170,householdfinance_v2_7!O170,householdfinance_v2_6!O170,householdfinance_v2_10!O170)/COUNT(householdfinance_v2_9!O170,householdfinance_v2_8!O170,householdfinance_v2_7!O170,householdfinance_v2_6!O170,householdfinance_v2_10!O170),0))</f>
        <v>1</v>
      </c>
    </row>
    <row r="171" spans="1:15" x14ac:dyDescent="0.25">
      <c r="A171" t="s">
        <v>151</v>
      </c>
      <c r="B171" t="s">
        <v>142</v>
      </c>
      <c r="C171">
        <v>0</v>
      </c>
      <c r="D171">
        <v>10.930216312408451</v>
      </c>
      <c r="E171">
        <f>ROUND(SUM(householdfinance_v2_9!E171,householdfinance_v2_8!E171,householdfinance_v2_7!E171,householdfinance_v2_6!E171,householdfinance_v2_10!E171)/COUNT(householdfinance_v2_9!E171,householdfinance_v2_8!E171,householdfinance_v2_7!E171,householdfinance_v2_6!E171,householdfinance_v2_10!E171),0)</f>
        <v>1</v>
      </c>
      <c r="F171">
        <f>IF($E171=0,"NA",ROUND(SUM(householdfinance_v2_9!F171,householdfinance_v2_8!F171,householdfinance_v2_7!F171,householdfinance_v2_6!F171,householdfinance_v2_10!F171)/COUNT(householdfinance_v2_9!F171,householdfinance_v2_8!F171,householdfinance_v2_7!F171,householdfinance_v2_6!F171,householdfinance_v2_10!F171),0))</f>
        <v>1</v>
      </c>
      <c r="G171">
        <f>IF($E171=0,"NA",ROUND(SUM(householdfinance_v2_9!G171,householdfinance_v2_8!G171,householdfinance_v2_7!G171,householdfinance_v2_6!G171,householdfinance_v2_10!G171)/COUNT(householdfinance_v2_9!G171,householdfinance_v2_8!G171,householdfinance_v2_7!G171,householdfinance_v2_6!G171,householdfinance_v2_10!G171),0))</f>
        <v>1</v>
      </c>
      <c r="H171">
        <f>IF(AND(F171=1,G171=1),ROUND(SUM(householdfinance_v2_9!H171,householdfinance_v2_8!H171,householdfinance_v2_7!H171,householdfinance_v2_6!H171,householdfinance_v2_10!H171)/COUNT(householdfinance_v2_9!H171,householdfinance_v2_8!H171,householdfinance_v2_7!H171,householdfinance_v2_6!H171,householdfinance_v2_10!H171),0),"NA")</f>
        <v>1</v>
      </c>
      <c r="I171">
        <f>IF($E171=0,"NA",ROUND(SUM(householdfinance_v2_9!I171,householdfinance_v2_8!I171,householdfinance_v2_7!I171,householdfinance_v2_6!I171,householdfinance_v2_10!I171)/COUNT(householdfinance_v2_9!I171,householdfinance_v2_8!I171,householdfinance_v2_7!I171,householdfinance_v2_6!I171,householdfinance_v2_10!I171),0))</f>
        <v>1</v>
      </c>
      <c r="J171">
        <f>IF(F171=1,ROUND(SUM(householdfinance_v2_9!J171,householdfinance_v2_8!J171,householdfinance_v2_7!J171,householdfinance_v2_6!J171,householdfinance_v2_10!J171)/COUNT(householdfinance_v2_9!J171,householdfinance_v2_8!J171,householdfinance_v2_7!J171,householdfinance_v2_6!J171,householdfinance_v2_10!J171),0),"NA")</f>
        <v>1</v>
      </c>
      <c r="K171">
        <f>IF($E171=0,"NA",ROUND(SUM(householdfinance_v2_9!K171,householdfinance_v2_8!K171,householdfinance_v2_7!K171,householdfinance_v2_6!K171,householdfinance_v2_10!K171)/COUNT(householdfinance_v2_9!K171,householdfinance_v2_8!K171,householdfinance_v2_7!K171,householdfinance_v2_6!K171,householdfinance_v2_10!K171),0))</f>
        <v>1</v>
      </c>
      <c r="L171">
        <f>IF($E171=0,"NA",ROUND(SUM(householdfinance_v2_9!L171,householdfinance_v2_8!L171,householdfinance_v2_7!L171,householdfinance_v2_6!L171,householdfinance_v2_10!L171)/COUNT(householdfinance_v2_9!L171,householdfinance_v2_8!L171,householdfinance_v2_7!L171,householdfinance_v2_6!L171,householdfinance_v2_10!L171),0))</f>
        <v>1</v>
      </c>
      <c r="M171">
        <f>IF($E171=0,"NA",ROUND(SUM(householdfinance_v2_9!M171,householdfinance_v2_8!M171,householdfinance_v2_7!M171,householdfinance_v2_6!M171,householdfinance_v2_10!M171)/COUNT(householdfinance_v2_9!M171,householdfinance_v2_8!M171,householdfinance_v2_7!M171,householdfinance_v2_6!M171,householdfinance_v2_10!M171),0))</f>
        <v>1</v>
      </c>
      <c r="N171">
        <f>IF($E171=0,"NA",ROUND(SUM(householdfinance_v2_9!N171,householdfinance_v2_8!N171,householdfinance_v2_7!N171,householdfinance_v2_6!N171,householdfinance_v2_10!N171)/COUNT(householdfinance_v2_9!N171,householdfinance_v2_8!N171,householdfinance_v2_7!N171,householdfinance_v2_6!N171,householdfinance_v2_10!N171),0))</f>
        <v>1</v>
      </c>
      <c r="O171">
        <f>IF($E171=0,"NA",ROUND(SUM(householdfinance_v2_9!O171,householdfinance_v2_8!O171,householdfinance_v2_7!O171,householdfinance_v2_6!O171,householdfinance_v2_10!O171)/COUNT(householdfinance_v2_9!O171,householdfinance_v2_8!O171,householdfinance_v2_7!O171,householdfinance_v2_6!O171,householdfinance_v2_10!O171),0))</f>
        <v>1</v>
      </c>
    </row>
    <row r="172" spans="1:15" x14ac:dyDescent="0.25">
      <c r="A172" t="s">
        <v>151</v>
      </c>
      <c r="B172" t="s">
        <v>143</v>
      </c>
      <c r="C172">
        <v>0</v>
      </c>
      <c r="D172">
        <v>9.6157073974609375</v>
      </c>
      <c r="E172">
        <f>ROUND(SUM(householdfinance_v2_9!E172,householdfinance_v2_8!E172,householdfinance_v2_7!E172,householdfinance_v2_6!E172,householdfinance_v2_10!E172)/COUNT(householdfinance_v2_9!E172,householdfinance_v2_8!E172,householdfinance_v2_7!E172,householdfinance_v2_6!E172,householdfinance_v2_10!E172),0)</f>
        <v>0</v>
      </c>
      <c r="F172" t="str">
        <f>IF($E172=0,"NA",ROUND(SUM(householdfinance_v2_9!F172,householdfinance_v2_8!F172,householdfinance_v2_7!F172,householdfinance_v2_6!F172,householdfinance_v2_10!F172)/COUNT(householdfinance_v2_9!F172,householdfinance_v2_8!F172,householdfinance_v2_7!F172,householdfinance_v2_6!F172,householdfinance_v2_10!F172),0))</f>
        <v>NA</v>
      </c>
      <c r="G172" t="str">
        <f>IF($E172=0,"NA",ROUND(SUM(householdfinance_v2_9!G172,householdfinance_v2_8!G172,householdfinance_v2_7!G172,householdfinance_v2_6!G172,householdfinance_v2_10!G172)/COUNT(householdfinance_v2_9!G172,householdfinance_v2_8!G172,householdfinance_v2_7!G172,householdfinance_v2_6!G172,householdfinance_v2_10!G172),0))</f>
        <v>NA</v>
      </c>
      <c r="H172" t="str">
        <f>IF(AND(F172=1,G172=1),ROUND(SUM(householdfinance_v2_9!H172,householdfinance_v2_8!H172,householdfinance_v2_7!H172,householdfinance_v2_6!H172,householdfinance_v2_10!H172)/COUNT(householdfinance_v2_9!H172,householdfinance_v2_8!H172,householdfinance_v2_7!H172,householdfinance_v2_6!H172,householdfinance_v2_10!H172),0),"NA")</f>
        <v>NA</v>
      </c>
      <c r="I172" t="str">
        <f>IF($E172=0,"NA",ROUND(SUM(householdfinance_v2_9!I172,householdfinance_v2_8!I172,householdfinance_v2_7!I172,householdfinance_v2_6!I172,householdfinance_v2_10!I172)/COUNT(householdfinance_v2_9!I172,householdfinance_v2_8!I172,householdfinance_v2_7!I172,householdfinance_v2_6!I172,householdfinance_v2_10!I172),0))</f>
        <v>NA</v>
      </c>
      <c r="J172" t="str">
        <f>IF(F172=1,ROUND(SUM(householdfinance_v2_9!J172,householdfinance_v2_8!J172,householdfinance_v2_7!J172,householdfinance_v2_6!J172,householdfinance_v2_10!J172)/COUNT(householdfinance_v2_9!J172,householdfinance_v2_8!J172,householdfinance_v2_7!J172,householdfinance_v2_6!J172,householdfinance_v2_10!J172),0),"NA")</f>
        <v>NA</v>
      </c>
      <c r="K172" t="str">
        <f>IF($E172=0,"NA",ROUND(SUM(householdfinance_v2_9!K172,householdfinance_v2_8!K172,householdfinance_v2_7!K172,householdfinance_v2_6!K172,householdfinance_v2_10!K172)/COUNT(householdfinance_v2_9!K172,householdfinance_v2_8!K172,householdfinance_v2_7!K172,householdfinance_v2_6!K172,householdfinance_v2_10!K172),0))</f>
        <v>NA</v>
      </c>
      <c r="L172" t="str">
        <f>IF($E172=0,"NA",ROUND(SUM(householdfinance_v2_9!L172,householdfinance_v2_8!L172,householdfinance_v2_7!L172,householdfinance_v2_6!L172,householdfinance_v2_10!L172)/COUNT(householdfinance_v2_9!L172,householdfinance_v2_8!L172,householdfinance_v2_7!L172,householdfinance_v2_6!L172,householdfinance_v2_10!L172),0))</f>
        <v>NA</v>
      </c>
      <c r="M172" t="str">
        <f>IF($E172=0,"NA",ROUND(SUM(householdfinance_v2_9!M172,householdfinance_v2_8!M172,householdfinance_v2_7!M172,householdfinance_v2_6!M172,householdfinance_v2_10!M172)/COUNT(householdfinance_v2_9!M172,householdfinance_v2_8!M172,householdfinance_v2_7!M172,householdfinance_v2_6!M172,householdfinance_v2_10!M172),0))</f>
        <v>NA</v>
      </c>
      <c r="N172" t="str">
        <f>IF($E172=0,"NA",ROUND(SUM(householdfinance_v2_9!N172,householdfinance_v2_8!N172,householdfinance_v2_7!N172,householdfinance_v2_6!N172,householdfinance_v2_10!N172)/COUNT(householdfinance_v2_9!N172,householdfinance_v2_8!N172,householdfinance_v2_7!N172,householdfinance_v2_6!N172,householdfinance_v2_10!N172),0))</f>
        <v>NA</v>
      </c>
      <c r="O172" t="str">
        <f>IF($E172=0,"NA",ROUND(SUM(householdfinance_v2_9!O172,householdfinance_v2_8!O172,householdfinance_v2_7!O172,householdfinance_v2_6!O172,householdfinance_v2_10!O172)/COUNT(householdfinance_v2_9!O172,householdfinance_v2_8!O172,householdfinance_v2_7!O172,householdfinance_v2_6!O172,householdfinance_v2_10!O172),0))</f>
        <v>NA</v>
      </c>
    </row>
    <row r="173" spans="1:15" x14ac:dyDescent="0.25">
      <c r="A173" t="s">
        <v>151</v>
      </c>
      <c r="B173" t="s">
        <v>145</v>
      </c>
      <c r="C173">
        <v>0</v>
      </c>
      <c r="D173">
        <v>4.5099787712097168</v>
      </c>
      <c r="E173">
        <f>ROUND(SUM(householdfinance_v2_9!E173,householdfinance_v2_8!E173,householdfinance_v2_7!E173,householdfinance_v2_6!E173,householdfinance_v2_10!E173)/COUNT(householdfinance_v2_9!E173,householdfinance_v2_8!E173,householdfinance_v2_7!E173,householdfinance_v2_6!E173,householdfinance_v2_10!E173),0)</f>
        <v>1</v>
      </c>
      <c r="F173">
        <f>IF($E173=0,"NA",ROUND(SUM(householdfinance_v2_9!F173,householdfinance_v2_8!F173,householdfinance_v2_7!F173,householdfinance_v2_6!F173,householdfinance_v2_10!F173)/COUNT(householdfinance_v2_9!F173,householdfinance_v2_8!F173,householdfinance_v2_7!F173,householdfinance_v2_6!F173,householdfinance_v2_10!F173),0))</f>
        <v>1</v>
      </c>
      <c r="G173">
        <f>IF($E173=0,"NA",ROUND(SUM(householdfinance_v2_9!G173,householdfinance_v2_8!G173,householdfinance_v2_7!G173,householdfinance_v2_6!G173,householdfinance_v2_10!G173)/COUNT(householdfinance_v2_9!G173,householdfinance_v2_8!G173,householdfinance_v2_7!G173,householdfinance_v2_6!G173,householdfinance_v2_10!G173),0))</f>
        <v>1</v>
      </c>
      <c r="H173">
        <f>IF(AND(F173=1,G173=1),ROUND(SUM(householdfinance_v2_9!H173,householdfinance_v2_8!H173,householdfinance_v2_7!H173,householdfinance_v2_6!H173,householdfinance_v2_10!H173)/COUNT(householdfinance_v2_9!H173,householdfinance_v2_8!H173,householdfinance_v2_7!H173,householdfinance_v2_6!H173,householdfinance_v2_10!H173),0),"NA")</f>
        <v>1</v>
      </c>
      <c r="I173">
        <f>IF($E173=0,"NA",ROUND(SUM(householdfinance_v2_9!I173,householdfinance_v2_8!I173,householdfinance_v2_7!I173,householdfinance_v2_6!I173,householdfinance_v2_10!I173)/COUNT(householdfinance_v2_9!I173,householdfinance_v2_8!I173,householdfinance_v2_7!I173,householdfinance_v2_6!I173,householdfinance_v2_10!I173),0))</f>
        <v>1</v>
      </c>
      <c r="J173">
        <f>IF(F173=1,ROUND(SUM(householdfinance_v2_9!J173,householdfinance_v2_8!J173,householdfinance_v2_7!J173,householdfinance_v2_6!J173,householdfinance_v2_10!J173)/COUNT(householdfinance_v2_9!J173,householdfinance_v2_8!J173,householdfinance_v2_7!J173,householdfinance_v2_6!J173,householdfinance_v2_10!J173),0),"NA")</f>
        <v>0</v>
      </c>
      <c r="K173">
        <f>IF($E173=0,"NA",ROUND(SUM(householdfinance_v2_9!K173,householdfinance_v2_8!K173,householdfinance_v2_7!K173,householdfinance_v2_6!K173,householdfinance_v2_10!K173)/COUNT(householdfinance_v2_9!K173,householdfinance_v2_8!K173,householdfinance_v2_7!K173,householdfinance_v2_6!K173,householdfinance_v2_10!K173),0))</f>
        <v>1</v>
      </c>
      <c r="L173">
        <f>IF($E173=0,"NA",ROUND(SUM(householdfinance_v2_9!L173,householdfinance_v2_8!L173,householdfinance_v2_7!L173,householdfinance_v2_6!L173,householdfinance_v2_10!L173)/COUNT(householdfinance_v2_9!L173,householdfinance_v2_8!L173,householdfinance_v2_7!L173,householdfinance_v2_6!L173,householdfinance_v2_10!L173),0))</f>
        <v>1</v>
      </c>
      <c r="M173">
        <f>IF($E173=0,"NA",ROUND(SUM(householdfinance_v2_9!M173,householdfinance_v2_8!M173,householdfinance_v2_7!M173,householdfinance_v2_6!M173,householdfinance_v2_10!M173)/COUNT(householdfinance_v2_9!M173,householdfinance_v2_8!M173,householdfinance_v2_7!M173,householdfinance_v2_6!M173,householdfinance_v2_10!M173),0))</f>
        <v>1</v>
      </c>
      <c r="N173">
        <f>IF($E173=0,"NA",ROUND(SUM(householdfinance_v2_9!N173,householdfinance_v2_8!N173,householdfinance_v2_7!N173,householdfinance_v2_6!N173,householdfinance_v2_10!N173)/COUNT(householdfinance_v2_9!N173,householdfinance_v2_8!N173,householdfinance_v2_7!N173,householdfinance_v2_6!N173,householdfinance_v2_10!N173),0))</f>
        <v>1</v>
      </c>
      <c r="O173">
        <f>IF($E173=0,"NA",ROUND(SUM(householdfinance_v2_9!O173,householdfinance_v2_8!O173,householdfinance_v2_7!O173,householdfinance_v2_6!O173,householdfinance_v2_10!O173)/COUNT(householdfinance_v2_9!O173,householdfinance_v2_8!O173,householdfinance_v2_7!O173,householdfinance_v2_6!O173,householdfinance_v2_10!O173),0))</f>
        <v>1</v>
      </c>
    </row>
    <row r="174" spans="1:15" x14ac:dyDescent="0.25">
      <c r="A174" t="s">
        <v>151</v>
      </c>
      <c r="B174" t="s">
        <v>146</v>
      </c>
      <c r="C174">
        <v>0</v>
      </c>
      <c r="D174">
        <v>4.3053722381591797</v>
      </c>
      <c r="E174">
        <f>ROUND(SUM(householdfinance_v2_9!E174,householdfinance_v2_8!E174,householdfinance_v2_7!E174,householdfinance_v2_6!E174,householdfinance_v2_10!E174)/COUNT(householdfinance_v2_9!E174,householdfinance_v2_8!E174,householdfinance_v2_7!E174,householdfinance_v2_6!E174,householdfinance_v2_10!E174),0)</f>
        <v>1</v>
      </c>
      <c r="F174">
        <f>IF($E174=0,"NA",ROUND(SUM(householdfinance_v2_9!F174,householdfinance_v2_8!F174,householdfinance_v2_7!F174,householdfinance_v2_6!F174,householdfinance_v2_10!F174)/COUNT(householdfinance_v2_9!F174,householdfinance_v2_8!F174,householdfinance_v2_7!F174,householdfinance_v2_6!F174,householdfinance_v2_10!F174),0))</f>
        <v>1</v>
      </c>
      <c r="G174">
        <f>IF($E174=0,"NA",ROUND(SUM(householdfinance_v2_9!G174,householdfinance_v2_8!G174,householdfinance_v2_7!G174,householdfinance_v2_6!G174,householdfinance_v2_10!G174)/COUNT(householdfinance_v2_9!G174,householdfinance_v2_8!G174,householdfinance_v2_7!G174,householdfinance_v2_6!G174,householdfinance_v2_10!G174),0))</f>
        <v>1</v>
      </c>
      <c r="H174">
        <f>IF(AND(F174=1,G174=1),ROUND(SUM(householdfinance_v2_9!H174,householdfinance_v2_8!H174,householdfinance_v2_7!H174,householdfinance_v2_6!H174,householdfinance_v2_10!H174)/COUNT(householdfinance_v2_9!H174,householdfinance_v2_8!H174,householdfinance_v2_7!H174,householdfinance_v2_6!H174,householdfinance_v2_10!H174),0),"NA")</f>
        <v>1</v>
      </c>
      <c r="I174">
        <f>IF($E174=0,"NA",ROUND(SUM(householdfinance_v2_9!I174,householdfinance_v2_8!I174,householdfinance_v2_7!I174,householdfinance_v2_6!I174,householdfinance_v2_10!I174)/COUNT(householdfinance_v2_9!I174,householdfinance_v2_8!I174,householdfinance_v2_7!I174,householdfinance_v2_6!I174,householdfinance_v2_10!I174),0))</f>
        <v>1</v>
      </c>
      <c r="J174">
        <f>IF(F174=1,ROUND(SUM(householdfinance_v2_9!J174,householdfinance_v2_8!J174,householdfinance_v2_7!J174,householdfinance_v2_6!J174,householdfinance_v2_10!J174)/COUNT(householdfinance_v2_9!J174,householdfinance_v2_8!J174,householdfinance_v2_7!J174,householdfinance_v2_6!J174,householdfinance_v2_10!J174),0),"NA")</f>
        <v>0</v>
      </c>
      <c r="K174">
        <f>IF($E174=0,"NA",ROUND(SUM(householdfinance_v2_9!K174,householdfinance_v2_8!K174,householdfinance_v2_7!K174,householdfinance_v2_6!K174,householdfinance_v2_10!K174)/COUNT(householdfinance_v2_9!K174,householdfinance_v2_8!K174,householdfinance_v2_7!K174,householdfinance_v2_6!K174,householdfinance_v2_10!K174),0))</f>
        <v>1</v>
      </c>
      <c r="L174">
        <f>IF($E174=0,"NA",ROUND(SUM(householdfinance_v2_9!L174,householdfinance_v2_8!L174,householdfinance_v2_7!L174,householdfinance_v2_6!L174,householdfinance_v2_10!L174)/COUNT(householdfinance_v2_9!L174,householdfinance_v2_8!L174,householdfinance_v2_7!L174,householdfinance_v2_6!L174,householdfinance_v2_10!L174),0))</f>
        <v>1</v>
      </c>
      <c r="M174">
        <f>IF($E174=0,"NA",ROUND(SUM(householdfinance_v2_9!M174,householdfinance_v2_8!M174,householdfinance_v2_7!M174,householdfinance_v2_6!M174,householdfinance_v2_10!M174)/COUNT(householdfinance_v2_9!M174,householdfinance_v2_8!M174,householdfinance_v2_7!M174,householdfinance_v2_6!M174,householdfinance_v2_10!M174),0))</f>
        <v>1</v>
      </c>
      <c r="N174">
        <f>IF($E174=0,"NA",ROUND(SUM(householdfinance_v2_9!N174,householdfinance_v2_8!N174,householdfinance_v2_7!N174,householdfinance_v2_6!N174,householdfinance_v2_10!N174)/COUNT(householdfinance_v2_9!N174,householdfinance_v2_8!N174,householdfinance_v2_7!N174,householdfinance_v2_6!N174,householdfinance_v2_10!N174),0))</f>
        <v>1</v>
      </c>
      <c r="O174">
        <f>IF($E174=0,"NA",ROUND(SUM(householdfinance_v2_9!O174,householdfinance_v2_8!O174,householdfinance_v2_7!O174,householdfinance_v2_6!O174,householdfinance_v2_10!O174)/COUNT(householdfinance_v2_9!O174,householdfinance_v2_8!O174,householdfinance_v2_7!O174,householdfinance_v2_6!O174,householdfinance_v2_10!O174),0))</f>
        <v>1</v>
      </c>
    </row>
    <row r="175" spans="1:15" x14ac:dyDescent="0.25">
      <c r="A175" t="s">
        <v>151</v>
      </c>
      <c r="B175" t="s">
        <v>148</v>
      </c>
      <c r="C175">
        <v>0</v>
      </c>
      <c r="D175">
        <v>5.645627498626709</v>
      </c>
      <c r="E175">
        <f>ROUND(SUM(householdfinance_v2_9!E175,householdfinance_v2_8!E175,householdfinance_v2_7!E175,householdfinance_v2_6!E175,householdfinance_v2_10!E175)/COUNT(householdfinance_v2_9!E175,householdfinance_v2_8!E175,householdfinance_v2_7!E175,householdfinance_v2_6!E175,householdfinance_v2_10!E175),0)</f>
        <v>1</v>
      </c>
      <c r="F175">
        <f>IF($E175=0,"NA",ROUND(SUM(householdfinance_v2_9!F175,householdfinance_v2_8!F175,householdfinance_v2_7!F175,householdfinance_v2_6!F175,householdfinance_v2_10!F175)/COUNT(householdfinance_v2_9!F175,householdfinance_v2_8!F175,householdfinance_v2_7!F175,householdfinance_v2_6!F175,householdfinance_v2_10!F175),0))</f>
        <v>1</v>
      </c>
      <c r="G175">
        <f>IF($E175=0,"NA",ROUND(SUM(householdfinance_v2_9!G175,householdfinance_v2_8!G175,householdfinance_v2_7!G175,householdfinance_v2_6!G175,householdfinance_v2_10!G175)/COUNT(householdfinance_v2_9!G175,householdfinance_v2_8!G175,householdfinance_v2_7!G175,householdfinance_v2_6!G175,householdfinance_v2_10!G175),0))</f>
        <v>1</v>
      </c>
      <c r="H175">
        <f>IF(AND(F175=1,G175=1),ROUND(SUM(householdfinance_v2_9!H175,householdfinance_v2_8!H175,householdfinance_v2_7!H175,householdfinance_v2_6!H175,householdfinance_v2_10!H175)/COUNT(householdfinance_v2_9!H175,householdfinance_v2_8!H175,householdfinance_v2_7!H175,householdfinance_v2_6!H175,householdfinance_v2_10!H175),0),"NA")</f>
        <v>1</v>
      </c>
      <c r="I175">
        <f>IF($E175=0,"NA",ROUND(SUM(householdfinance_v2_9!I175,householdfinance_v2_8!I175,householdfinance_v2_7!I175,householdfinance_v2_6!I175,householdfinance_v2_10!I175)/COUNT(householdfinance_v2_9!I175,householdfinance_v2_8!I175,householdfinance_v2_7!I175,householdfinance_v2_6!I175,householdfinance_v2_10!I175),0))</f>
        <v>1</v>
      </c>
      <c r="J175">
        <f>IF(F175=1,ROUND(SUM(householdfinance_v2_9!J175,householdfinance_v2_8!J175,householdfinance_v2_7!J175,householdfinance_v2_6!J175,householdfinance_v2_10!J175)/COUNT(householdfinance_v2_9!J175,householdfinance_v2_8!J175,householdfinance_v2_7!J175,householdfinance_v2_6!J175,householdfinance_v2_10!J175),0),"NA")</f>
        <v>0</v>
      </c>
      <c r="K175">
        <f>IF($E175=0,"NA",ROUND(SUM(householdfinance_v2_9!K175,householdfinance_v2_8!K175,householdfinance_v2_7!K175,householdfinance_v2_6!K175,householdfinance_v2_10!K175)/COUNT(householdfinance_v2_9!K175,householdfinance_v2_8!K175,householdfinance_v2_7!K175,householdfinance_v2_6!K175,householdfinance_v2_10!K175),0))</f>
        <v>0</v>
      </c>
      <c r="L175">
        <f>IF($E175=0,"NA",ROUND(SUM(householdfinance_v2_9!L175,householdfinance_v2_8!L175,householdfinance_v2_7!L175,householdfinance_v2_6!L175,householdfinance_v2_10!L175)/COUNT(householdfinance_v2_9!L175,householdfinance_v2_8!L175,householdfinance_v2_7!L175,householdfinance_v2_6!L175,householdfinance_v2_10!L175),0))</f>
        <v>1</v>
      </c>
      <c r="M175">
        <f>IF($E175=0,"NA",ROUND(SUM(householdfinance_v2_9!M175,householdfinance_v2_8!M175,householdfinance_v2_7!M175,householdfinance_v2_6!M175,householdfinance_v2_10!M175)/COUNT(householdfinance_v2_9!M175,householdfinance_v2_8!M175,householdfinance_v2_7!M175,householdfinance_v2_6!M175,householdfinance_v2_10!M175),0))</f>
        <v>1</v>
      </c>
      <c r="N175">
        <f>IF($E175=0,"NA",ROUND(SUM(householdfinance_v2_9!N175,householdfinance_v2_8!N175,householdfinance_v2_7!N175,householdfinance_v2_6!N175,householdfinance_v2_10!N175)/COUNT(householdfinance_v2_9!N175,householdfinance_v2_8!N175,householdfinance_v2_7!N175,householdfinance_v2_6!N175,householdfinance_v2_10!N175),0))</f>
        <v>1</v>
      </c>
      <c r="O175">
        <f>IF($E175=0,"NA",ROUND(SUM(householdfinance_v2_9!O175,householdfinance_v2_8!O175,householdfinance_v2_7!O175,householdfinance_v2_6!O175,householdfinance_v2_10!O175)/COUNT(householdfinance_v2_9!O175,householdfinance_v2_8!O175,householdfinance_v2_7!O175,householdfinance_v2_6!O175,householdfinance_v2_10!O175),0))</f>
        <v>1</v>
      </c>
    </row>
    <row r="176" spans="1:15" x14ac:dyDescent="0.25">
      <c r="A176" t="s">
        <v>151</v>
      </c>
      <c r="B176" t="s">
        <v>149</v>
      </c>
      <c r="C176">
        <v>0</v>
      </c>
      <c r="D176">
        <v>2.864721298217773</v>
      </c>
      <c r="E176">
        <f>ROUND(SUM(householdfinance_v2_9!E176,householdfinance_v2_8!E176,householdfinance_v2_7!E176,householdfinance_v2_6!E176,householdfinance_v2_10!E176)/COUNT(householdfinance_v2_9!E176,householdfinance_v2_8!E176,householdfinance_v2_7!E176,householdfinance_v2_6!E176,householdfinance_v2_10!E176),0)</f>
        <v>1</v>
      </c>
      <c r="F176">
        <f>IF($E176=0,"NA",ROUND(SUM(householdfinance_v2_9!F176,householdfinance_v2_8!F176,householdfinance_v2_7!F176,householdfinance_v2_6!F176,householdfinance_v2_10!F176)/COUNT(householdfinance_v2_9!F176,householdfinance_v2_8!F176,householdfinance_v2_7!F176,householdfinance_v2_6!F176,householdfinance_v2_10!F176),0))</f>
        <v>1</v>
      </c>
      <c r="G176">
        <f>IF($E176=0,"NA",ROUND(SUM(householdfinance_v2_9!G176,householdfinance_v2_8!G176,householdfinance_v2_7!G176,householdfinance_v2_6!G176,householdfinance_v2_10!G176)/COUNT(householdfinance_v2_9!G176,householdfinance_v2_8!G176,householdfinance_v2_7!G176,householdfinance_v2_6!G176,householdfinance_v2_10!G176),0))</f>
        <v>1</v>
      </c>
      <c r="H176">
        <f>IF(AND(F176=1,G176=1),ROUND(SUM(householdfinance_v2_9!H176,householdfinance_v2_8!H176,householdfinance_v2_7!H176,householdfinance_v2_6!H176,householdfinance_v2_10!H176)/COUNT(householdfinance_v2_9!H176,householdfinance_v2_8!H176,householdfinance_v2_7!H176,householdfinance_v2_6!H176,householdfinance_v2_10!H176),0),"NA")</f>
        <v>1</v>
      </c>
      <c r="I176">
        <f>IF($E176=0,"NA",ROUND(SUM(householdfinance_v2_9!I176,householdfinance_v2_8!I176,householdfinance_v2_7!I176,householdfinance_v2_6!I176,householdfinance_v2_10!I176)/COUNT(householdfinance_v2_9!I176,householdfinance_v2_8!I176,householdfinance_v2_7!I176,householdfinance_v2_6!I176,householdfinance_v2_10!I176),0))</f>
        <v>1</v>
      </c>
      <c r="J176">
        <f>IF(F176=1,ROUND(SUM(householdfinance_v2_9!J176,householdfinance_v2_8!J176,householdfinance_v2_7!J176,householdfinance_v2_6!J176,householdfinance_v2_10!J176)/COUNT(householdfinance_v2_9!J176,householdfinance_v2_8!J176,householdfinance_v2_7!J176,householdfinance_v2_6!J176,householdfinance_v2_10!J176),0),"NA")</f>
        <v>1</v>
      </c>
      <c r="K176">
        <f>IF($E176=0,"NA",ROUND(SUM(householdfinance_v2_9!K176,householdfinance_v2_8!K176,householdfinance_v2_7!K176,householdfinance_v2_6!K176,householdfinance_v2_10!K176)/COUNT(householdfinance_v2_9!K176,householdfinance_v2_8!K176,householdfinance_v2_7!K176,householdfinance_v2_6!K176,householdfinance_v2_10!K176),0))</f>
        <v>1</v>
      </c>
      <c r="L176">
        <f>IF($E176=0,"NA",ROUND(SUM(householdfinance_v2_9!L176,householdfinance_v2_8!L176,householdfinance_v2_7!L176,householdfinance_v2_6!L176,householdfinance_v2_10!L176)/COUNT(householdfinance_v2_9!L176,householdfinance_v2_8!L176,householdfinance_v2_7!L176,householdfinance_v2_6!L176,householdfinance_v2_10!L176),0))</f>
        <v>1</v>
      </c>
      <c r="M176">
        <f>IF($E176=0,"NA",ROUND(SUM(householdfinance_v2_9!M176,householdfinance_v2_8!M176,householdfinance_v2_7!M176,householdfinance_v2_6!M176,householdfinance_v2_10!M176)/COUNT(householdfinance_v2_9!M176,householdfinance_v2_8!M176,householdfinance_v2_7!M176,householdfinance_v2_6!M176,householdfinance_v2_10!M176),0))</f>
        <v>1</v>
      </c>
      <c r="N176">
        <f>IF($E176=0,"NA",ROUND(SUM(householdfinance_v2_9!N176,householdfinance_v2_8!N176,householdfinance_v2_7!N176,householdfinance_v2_6!N176,householdfinance_v2_10!N176)/COUNT(householdfinance_v2_9!N176,householdfinance_v2_8!N176,householdfinance_v2_7!N176,householdfinance_v2_6!N176,householdfinance_v2_10!N176),0))</f>
        <v>1</v>
      </c>
      <c r="O176">
        <f>IF($E176=0,"NA",ROUND(SUM(householdfinance_v2_9!O176,householdfinance_v2_8!O176,householdfinance_v2_7!O176,householdfinance_v2_6!O176,householdfinance_v2_10!O176)/COUNT(householdfinance_v2_9!O176,householdfinance_v2_8!O176,householdfinance_v2_7!O176,householdfinance_v2_6!O176,householdfinance_v2_10!O176),0))</f>
        <v>1</v>
      </c>
    </row>
    <row r="177" spans="1:15" x14ac:dyDescent="0.25">
      <c r="A177" t="s">
        <v>151</v>
      </c>
      <c r="B177" t="s">
        <v>190</v>
      </c>
      <c r="C177">
        <v>0</v>
      </c>
      <c r="D177">
        <v>5.0431206226348877</v>
      </c>
      <c r="E177">
        <f>ROUND(SUM(householdfinance_v2_9!E177,householdfinance_v2_8!E177,householdfinance_v2_7!E177,householdfinance_v2_6!E177,householdfinance_v2_10!E177)/COUNT(householdfinance_v2_9!E177,householdfinance_v2_8!E177,householdfinance_v2_7!E177,householdfinance_v2_6!E177,householdfinance_v2_10!E177),0)</f>
        <v>1</v>
      </c>
      <c r="F177">
        <f>IF($E177=0,"NA",ROUND(SUM(householdfinance_v2_9!F177,householdfinance_v2_8!F177,householdfinance_v2_7!F177,householdfinance_v2_6!F177,householdfinance_v2_10!F177)/COUNT(householdfinance_v2_9!F177,householdfinance_v2_8!F177,householdfinance_v2_7!F177,householdfinance_v2_6!F177,householdfinance_v2_10!F177),0))</f>
        <v>1</v>
      </c>
      <c r="G177">
        <f>IF($E177=0,"NA",ROUND(SUM(householdfinance_v2_9!G177,householdfinance_v2_8!G177,householdfinance_v2_7!G177,householdfinance_v2_6!G177,householdfinance_v2_10!G177)/COUNT(householdfinance_v2_9!G177,householdfinance_v2_8!G177,householdfinance_v2_7!G177,householdfinance_v2_6!G177,householdfinance_v2_10!G177),0))</f>
        <v>1</v>
      </c>
      <c r="H177">
        <f>IF(AND(F177=1,G177=1),ROUND(SUM(householdfinance_v2_9!H177,householdfinance_v2_8!H177,householdfinance_v2_7!H177,householdfinance_v2_6!H177,householdfinance_v2_10!H177)/COUNT(householdfinance_v2_9!H177,householdfinance_v2_8!H177,householdfinance_v2_7!H177,householdfinance_v2_6!H177,householdfinance_v2_10!H177),0),"NA")</f>
        <v>1</v>
      </c>
      <c r="I177">
        <f>IF($E177=0,"NA",ROUND(SUM(householdfinance_v2_9!I177,householdfinance_v2_8!I177,householdfinance_v2_7!I177,householdfinance_v2_6!I177,householdfinance_v2_10!I177)/COUNT(householdfinance_v2_9!I177,householdfinance_v2_8!I177,householdfinance_v2_7!I177,householdfinance_v2_6!I177,householdfinance_v2_10!I177),0))</f>
        <v>1</v>
      </c>
      <c r="J177">
        <f>IF(F177=1,ROUND(SUM(householdfinance_v2_9!J177,householdfinance_v2_8!J177,householdfinance_v2_7!J177,householdfinance_v2_6!J177,householdfinance_v2_10!J177)/COUNT(householdfinance_v2_9!J177,householdfinance_v2_8!J177,householdfinance_v2_7!J177,householdfinance_v2_6!J177,householdfinance_v2_10!J177),0),"NA")</f>
        <v>1</v>
      </c>
      <c r="K177">
        <f>IF($E177=0,"NA",ROUND(SUM(householdfinance_v2_9!K177,householdfinance_v2_8!K177,householdfinance_v2_7!K177,householdfinance_v2_6!K177,householdfinance_v2_10!K177)/COUNT(householdfinance_v2_9!K177,householdfinance_v2_8!K177,householdfinance_v2_7!K177,householdfinance_v2_6!K177,householdfinance_v2_10!K177),0))</f>
        <v>1</v>
      </c>
      <c r="L177">
        <f>IF($E177=0,"NA",ROUND(SUM(householdfinance_v2_9!L177,householdfinance_v2_8!L177,householdfinance_v2_7!L177,householdfinance_v2_6!L177,householdfinance_v2_10!L177)/COUNT(householdfinance_v2_9!L177,householdfinance_v2_8!L177,householdfinance_v2_7!L177,householdfinance_v2_6!L177,householdfinance_v2_10!L177),0))</f>
        <v>0</v>
      </c>
      <c r="M177">
        <f>IF($E177=0,"NA",ROUND(SUM(householdfinance_v2_9!M177,householdfinance_v2_8!M177,householdfinance_v2_7!M177,householdfinance_v2_6!M177,householdfinance_v2_10!M177)/COUNT(householdfinance_v2_9!M177,householdfinance_v2_8!M177,householdfinance_v2_7!M177,householdfinance_v2_6!M177,householdfinance_v2_10!M177),0))</f>
        <v>1</v>
      </c>
      <c r="N177">
        <f>IF($E177=0,"NA",ROUND(SUM(householdfinance_v2_9!N177,householdfinance_v2_8!N177,householdfinance_v2_7!N177,householdfinance_v2_6!N177,householdfinance_v2_10!N177)/COUNT(householdfinance_v2_9!N177,householdfinance_v2_8!N177,householdfinance_v2_7!N177,householdfinance_v2_6!N177,householdfinance_v2_10!N177),0))</f>
        <v>0</v>
      </c>
      <c r="O177">
        <f>IF($E177=0,"NA",ROUND(SUM(householdfinance_v2_9!O177,householdfinance_v2_8!O177,householdfinance_v2_7!O177,householdfinance_v2_6!O177,householdfinance_v2_10!O177)/COUNT(householdfinance_v2_9!O177,householdfinance_v2_8!O177,householdfinance_v2_7!O177,householdfinance_v2_6!O177,householdfinance_v2_10!O177),0))</f>
        <v>1</v>
      </c>
    </row>
  </sheetData>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householdfinance_v2_10</vt:lpstr>
      <vt:lpstr>householdfinance_v2_6</vt:lpstr>
      <vt:lpstr>householdfinance_v2_7</vt:lpstr>
      <vt:lpstr>householdfinance_v2_8</vt:lpstr>
      <vt:lpstr>householdfinance_v2_9</vt:lpstr>
      <vt:lpstr>Compiled Votes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#BUI GIA NHAT MINH#</cp:lastModifiedBy>
  <dcterms:created xsi:type="dcterms:W3CDTF">2025-07-22T02:40:36Z</dcterms:created>
  <dcterms:modified xsi:type="dcterms:W3CDTF">2025-07-22T05:30:49Z</dcterms:modified>
</cp:coreProperties>
</file>