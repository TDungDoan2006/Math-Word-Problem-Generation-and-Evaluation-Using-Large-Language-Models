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min\A-Star-AI-for-education\AStar Internship - Question\Data\Evaluated_questions\Claude4\All\services\"/>
    </mc:Choice>
  </mc:AlternateContent>
  <xr:revisionPtr revIDLastSave="0" documentId="13_ncr:1_{265C20B9-2D2F-4EEF-ADBE-8C0D9112E677}" xr6:coauthVersionLast="47" xr6:coauthVersionMax="47" xr10:uidLastSave="{00000000-0000-0000-0000-000000000000}"/>
  <bookViews>
    <workbookView xWindow="-108" yWindow="-108" windowWidth="23256" windowHeight="12456" activeTab="5" xr2:uid="{00000000-000D-0000-FFFF-FFFF00000000}"/>
  </bookViews>
  <sheets>
    <sheet name="services_v2_10" sheetId="1" r:id="rId1"/>
    <sheet name="services_v2_6" sheetId="2" r:id="rId2"/>
    <sheet name="services_v2_7" sheetId="3" r:id="rId3"/>
    <sheet name="services_v2_8" sheetId="4" r:id="rId4"/>
    <sheet name="services_v2_9" sheetId="5" r:id="rId5"/>
    <sheet name="Compiled Vot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6" l="1"/>
  <c r="F3" i="6" s="1"/>
  <c r="I3" i="6"/>
  <c r="K3" i="6"/>
  <c r="L3" i="6"/>
  <c r="N3" i="6"/>
  <c r="O3" i="6"/>
  <c r="E4" i="6"/>
  <c r="E5" i="6"/>
  <c r="F5" i="6"/>
  <c r="E6" i="6"/>
  <c r="F6" i="6"/>
  <c r="E7" i="6"/>
  <c r="I7" i="6" s="1"/>
  <c r="F7" i="6"/>
  <c r="G7" i="6"/>
  <c r="M7" i="6"/>
  <c r="O7" i="6"/>
  <c r="E8" i="6"/>
  <c r="K8" i="6" s="1"/>
  <c r="G8" i="6"/>
  <c r="I8" i="6"/>
  <c r="N8" i="6"/>
  <c r="E9" i="6"/>
  <c r="K9" i="6" s="1"/>
  <c r="F9" i="6"/>
  <c r="I9" i="6"/>
  <c r="J9" i="6"/>
  <c r="O9" i="6"/>
  <c r="E10" i="6"/>
  <c r="L10" i="6" s="1"/>
  <c r="F10" i="6"/>
  <c r="H10" i="6" s="1"/>
  <c r="G10" i="6"/>
  <c r="I10" i="6"/>
  <c r="J10" i="6"/>
  <c r="K10" i="6"/>
  <c r="E11" i="6"/>
  <c r="M11" i="6" s="1"/>
  <c r="K11" i="6"/>
  <c r="L11" i="6"/>
  <c r="E12" i="6"/>
  <c r="N12" i="6" s="1"/>
  <c r="F12" i="6"/>
  <c r="H12" i="6" s="1"/>
  <c r="G12" i="6"/>
  <c r="I12" i="6"/>
  <c r="K12" i="6"/>
  <c r="L12" i="6"/>
  <c r="M12" i="6"/>
  <c r="E13" i="6"/>
  <c r="O13" i="6" s="1"/>
  <c r="F13" i="6"/>
  <c r="G13" i="6"/>
  <c r="H13" i="6" s="1"/>
  <c r="I13" i="6"/>
  <c r="J13" i="6"/>
  <c r="K13" i="6"/>
  <c r="L13" i="6"/>
  <c r="M13" i="6"/>
  <c r="N13" i="6"/>
  <c r="E14" i="6"/>
  <c r="F14" i="6"/>
  <c r="G14" i="6"/>
  <c r="H14" i="6"/>
  <c r="I14" i="6"/>
  <c r="J14" i="6"/>
  <c r="K14" i="6"/>
  <c r="L14" i="6"/>
  <c r="M14" i="6"/>
  <c r="N14" i="6"/>
  <c r="O14" i="6"/>
  <c r="E15" i="6"/>
  <c r="F15" i="6"/>
  <c r="G15" i="6"/>
  <c r="H15" i="6"/>
  <c r="I15" i="6"/>
  <c r="J15" i="6"/>
  <c r="K15" i="6"/>
  <c r="L15" i="6"/>
  <c r="M15" i="6"/>
  <c r="N15" i="6"/>
  <c r="O15" i="6"/>
  <c r="E16" i="6"/>
  <c r="E17" i="6"/>
  <c r="F17" i="6"/>
  <c r="E18" i="6"/>
  <c r="F18" i="6"/>
  <c r="E19" i="6"/>
  <c r="I19" i="6" s="1"/>
  <c r="F19" i="6"/>
  <c r="G19" i="6"/>
  <c r="L19" i="6"/>
  <c r="M19" i="6"/>
  <c r="N19" i="6"/>
  <c r="O19" i="6"/>
  <c r="E20" i="6"/>
  <c r="K20" i="6" s="1"/>
  <c r="G20" i="6"/>
  <c r="I20" i="6"/>
  <c r="E21" i="6"/>
  <c r="K21" i="6" s="1"/>
  <c r="F21" i="6"/>
  <c r="I21" i="6"/>
  <c r="J21" i="6"/>
  <c r="O21" i="6"/>
  <c r="E22" i="6"/>
  <c r="L22" i="6" s="1"/>
  <c r="F22" i="6"/>
  <c r="H22" i="6" s="1"/>
  <c r="G22" i="6"/>
  <c r="I22" i="6"/>
  <c r="J22" i="6"/>
  <c r="K22" i="6"/>
  <c r="E23" i="6"/>
  <c r="M23" i="6" s="1"/>
  <c r="K23" i="6"/>
  <c r="L23" i="6"/>
  <c r="E24" i="6"/>
  <c r="N24" i="6" s="1"/>
  <c r="F24" i="6"/>
  <c r="H24" i="6" s="1"/>
  <c r="G24" i="6"/>
  <c r="I24" i="6"/>
  <c r="K24" i="6"/>
  <c r="L24" i="6"/>
  <c r="M24" i="6"/>
  <c r="E25" i="6"/>
  <c r="O25" i="6" s="1"/>
  <c r="F25" i="6"/>
  <c r="G25" i="6"/>
  <c r="H25" i="6" s="1"/>
  <c r="I25" i="6"/>
  <c r="J25" i="6"/>
  <c r="L25" i="6"/>
  <c r="M25" i="6"/>
  <c r="N25" i="6"/>
  <c r="E26" i="6"/>
  <c r="L26" i="6" s="1"/>
  <c r="F26" i="6"/>
  <c r="G26" i="6"/>
  <c r="H26" i="6"/>
  <c r="I26" i="6"/>
  <c r="J26" i="6"/>
  <c r="K26" i="6"/>
  <c r="M26" i="6"/>
  <c r="N26" i="6"/>
  <c r="O26" i="6"/>
  <c r="E27" i="6"/>
  <c r="F27" i="6"/>
  <c r="G27" i="6"/>
  <c r="H27" i="6"/>
  <c r="I27" i="6"/>
  <c r="J27" i="6"/>
  <c r="K27" i="6"/>
  <c r="L27" i="6"/>
  <c r="M27" i="6"/>
  <c r="N27" i="6"/>
  <c r="O27" i="6"/>
  <c r="E28" i="6"/>
  <c r="O28" i="6" s="1"/>
  <c r="M28" i="6"/>
  <c r="E29" i="6"/>
  <c r="F29" i="6"/>
  <c r="N29" i="6"/>
  <c r="E30" i="6"/>
  <c r="G30" i="6" s="1"/>
  <c r="E31" i="6"/>
  <c r="I31" i="6" s="1"/>
  <c r="F31" i="6"/>
  <c r="J31" i="6" s="1"/>
  <c r="G31" i="6"/>
  <c r="H31" i="6"/>
  <c r="K31" i="6"/>
  <c r="L31" i="6"/>
  <c r="M31" i="6"/>
  <c r="N31" i="6"/>
  <c r="O31" i="6"/>
  <c r="E32" i="6"/>
  <c r="G32" i="6"/>
  <c r="I32" i="6"/>
  <c r="E33" i="6"/>
  <c r="K33" i="6" s="1"/>
  <c r="F33" i="6"/>
  <c r="I33" i="6"/>
  <c r="J33" i="6"/>
  <c r="O33" i="6"/>
  <c r="E34" i="6"/>
  <c r="L34" i="6" s="1"/>
  <c r="F34" i="6"/>
  <c r="H34" i="6" s="1"/>
  <c r="G34" i="6"/>
  <c r="I34" i="6"/>
  <c r="J34" i="6"/>
  <c r="K34" i="6"/>
  <c r="E35" i="6"/>
  <c r="K35" i="6" s="1"/>
  <c r="L35" i="6"/>
  <c r="E36" i="6"/>
  <c r="N36" i="6" s="1"/>
  <c r="F36" i="6"/>
  <c r="G36" i="6"/>
  <c r="I36" i="6"/>
  <c r="K36" i="6"/>
  <c r="L36" i="6"/>
  <c r="M36" i="6"/>
  <c r="E37" i="6"/>
  <c r="O37" i="6" s="1"/>
  <c r="F37" i="6"/>
  <c r="G37" i="6"/>
  <c r="H37" i="6" s="1"/>
  <c r="I37" i="6"/>
  <c r="J37" i="6"/>
  <c r="L37" i="6"/>
  <c r="M37" i="6"/>
  <c r="N37" i="6"/>
  <c r="E38" i="6"/>
  <c r="L38" i="6" s="1"/>
  <c r="F38" i="6"/>
  <c r="G38" i="6"/>
  <c r="H38" i="6"/>
  <c r="I38" i="6"/>
  <c r="J38" i="6"/>
  <c r="K38" i="6"/>
  <c r="M38" i="6"/>
  <c r="N38" i="6"/>
  <c r="O38" i="6"/>
  <c r="E39" i="6"/>
  <c r="F39" i="6"/>
  <c r="G39" i="6"/>
  <c r="H39" i="6"/>
  <c r="I39" i="6"/>
  <c r="J39" i="6"/>
  <c r="K39" i="6"/>
  <c r="L39" i="6"/>
  <c r="M39" i="6"/>
  <c r="N39" i="6"/>
  <c r="O39" i="6"/>
  <c r="E40" i="6"/>
  <c r="M40" i="6"/>
  <c r="E41" i="6"/>
  <c r="F41" i="6"/>
  <c r="E42" i="6"/>
  <c r="G42" i="6" s="1"/>
  <c r="F42" i="6"/>
  <c r="L42" i="6"/>
  <c r="N42" i="6"/>
  <c r="O42" i="6"/>
  <c r="E43" i="6"/>
  <c r="I43" i="6" s="1"/>
  <c r="F43" i="6"/>
  <c r="J43" i="6" s="1"/>
  <c r="G43" i="6"/>
  <c r="H43" i="6"/>
  <c r="K43" i="6"/>
  <c r="L43" i="6"/>
  <c r="M43" i="6"/>
  <c r="N43" i="6"/>
  <c r="O43" i="6"/>
  <c r="E44" i="6"/>
  <c r="G44" i="6"/>
  <c r="I44" i="6"/>
  <c r="O44" i="6"/>
  <c r="E45" i="6"/>
  <c r="E46" i="6"/>
  <c r="F46" i="6"/>
  <c r="G46" i="6"/>
  <c r="I46" i="6"/>
  <c r="K46" i="6"/>
  <c r="E47" i="6"/>
  <c r="E48" i="6"/>
  <c r="N48" i="6" s="1"/>
  <c r="F48" i="6"/>
  <c r="G48" i="6"/>
  <c r="I48" i="6"/>
  <c r="K48" i="6"/>
  <c r="L48" i="6"/>
  <c r="M48" i="6"/>
  <c r="E49" i="6"/>
  <c r="O49" i="6" s="1"/>
  <c r="F49" i="6"/>
  <c r="G49" i="6"/>
  <c r="H49" i="6"/>
  <c r="I49" i="6"/>
  <c r="J49" i="6"/>
  <c r="L49" i="6"/>
  <c r="M49" i="6"/>
  <c r="N49" i="6"/>
  <c r="E50" i="6"/>
  <c r="L50" i="6" s="1"/>
  <c r="F50" i="6"/>
  <c r="G50" i="6"/>
  <c r="H50" i="6"/>
  <c r="I50" i="6"/>
  <c r="J50" i="6"/>
  <c r="K50" i="6"/>
  <c r="M50" i="6"/>
  <c r="N50" i="6"/>
  <c r="O50" i="6"/>
  <c r="E51" i="6"/>
  <c r="F51" i="6"/>
  <c r="G51" i="6"/>
  <c r="H51" i="6"/>
  <c r="I51" i="6"/>
  <c r="J51" i="6"/>
  <c r="K51" i="6"/>
  <c r="L51" i="6"/>
  <c r="M51" i="6"/>
  <c r="N51" i="6"/>
  <c r="O51" i="6"/>
  <c r="E52" i="6"/>
  <c r="K52" i="6"/>
  <c r="E53" i="6"/>
  <c r="K53" i="6"/>
  <c r="E54" i="6"/>
  <c r="F54" i="6" s="1"/>
  <c r="E55" i="6"/>
  <c r="I55" i="6" s="1"/>
  <c r="F55" i="6"/>
  <c r="G55" i="6"/>
  <c r="K55" i="6"/>
  <c r="L55" i="6"/>
  <c r="M55" i="6"/>
  <c r="N55" i="6"/>
  <c r="O55" i="6"/>
  <c r="E56" i="6"/>
  <c r="I56" i="6"/>
  <c r="L56" i="6"/>
  <c r="M56" i="6"/>
  <c r="O56" i="6"/>
  <c r="E57" i="6"/>
  <c r="O57" i="6"/>
  <c r="E58" i="6"/>
  <c r="F58" i="6"/>
  <c r="E59" i="6"/>
  <c r="K59" i="6"/>
  <c r="O59" i="6"/>
  <c r="E60" i="6"/>
  <c r="M60" i="6"/>
  <c r="E61" i="6"/>
  <c r="F61" i="6" s="1"/>
  <c r="E62" i="6"/>
  <c r="L62" i="6" s="1"/>
  <c r="F62" i="6"/>
  <c r="J62" i="6" s="1"/>
  <c r="G62" i="6"/>
  <c r="H62" i="6"/>
  <c r="I62" i="6"/>
  <c r="K62" i="6"/>
  <c r="M62" i="6"/>
  <c r="N62" i="6"/>
  <c r="O62" i="6"/>
  <c r="E63" i="6"/>
  <c r="F63" i="6"/>
  <c r="G63" i="6"/>
  <c r="H63" i="6"/>
  <c r="I63" i="6"/>
  <c r="J63" i="6"/>
  <c r="K63" i="6"/>
  <c r="L63" i="6"/>
  <c r="M63" i="6"/>
  <c r="N63" i="6"/>
  <c r="O63" i="6"/>
  <c r="E64" i="6"/>
  <c r="I64" i="6"/>
  <c r="K64" i="6"/>
  <c r="L64" i="6"/>
  <c r="M64" i="6"/>
  <c r="O64" i="6"/>
  <c r="E65" i="6"/>
  <c r="N65" i="6" s="1"/>
  <c r="F65" i="6"/>
  <c r="I65" i="6"/>
  <c r="K65" i="6"/>
  <c r="L65" i="6"/>
  <c r="M65" i="6"/>
  <c r="E66" i="6"/>
  <c r="F66" i="6"/>
  <c r="E67" i="6"/>
  <c r="I67" i="6" s="1"/>
  <c r="F67" i="6"/>
  <c r="J67" i="6" s="1"/>
  <c r="G67" i="6"/>
  <c r="H67" i="6"/>
  <c r="K67" i="6"/>
  <c r="L67" i="6"/>
  <c r="M67" i="6"/>
  <c r="N67" i="6"/>
  <c r="O67" i="6"/>
  <c r="E68" i="6"/>
  <c r="L68" i="6"/>
  <c r="N68" i="6"/>
  <c r="O68" i="6"/>
  <c r="E69" i="6"/>
  <c r="F69" i="6"/>
  <c r="I69" i="6"/>
  <c r="J69" i="6"/>
  <c r="O69" i="6"/>
  <c r="E70" i="6"/>
  <c r="L70" i="6" s="1"/>
  <c r="F70" i="6"/>
  <c r="G70" i="6"/>
  <c r="I70" i="6"/>
  <c r="K70" i="6"/>
  <c r="M70" i="6"/>
  <c r="N70" i="6"/>
  <c r="O70" i="6"/>
  <c r="E71" i="6"/>
  <c r="F71" i="6"/>
  <c r="G71" i="6"/>
  <c r="J71" i="6"/>
  <c r="K71" i="6"/>
  <c r="L71" i="6"/>
  <c r="N71" i="6"/>
  <c r="E72" i="6"/>
  <c r="F72" i="6" s="1"/>
  <c r="M72" i="6"/>
  <c r="O72" i="6"/>
  <c r="E73" i="6"/>
  <c r="F73" i="6"/>
  <c r="J73" i="6" s="1"/>
  <c r="I73" i="6"/>
  <c r="N73" i="6"/>
  <c r="E74" i="6"/>
  <c r="L74" i="6" s="1"/>
  <c r="F74" i="6"/>
  <c r="J74" i="6" s="1"/>
  <c r="G74" i="6"/>
  <c r="H74" i="6" s="1"/>
  <c r="I74" i="6"/>
  <c r="K74" i="6"/>
  <c r="M74" i="6"/>
  <c r="N74" i="6"/>
  <c r="O74" i="6"/>
  <c r="E75" i="6"/>
  <c r="M75" i="6" s="1"/>
  <c r="F75" i="6"/>
  <c r="G75" i="6"/>
  <c r="I75" i="6"/>
  <c r="K75" i="6"/>
  <c r="L75" i="6"/>
  <c r="N75" i="6"/>
  <c r="O75" i="6"/>
  <c r="E76" i="6"/>
  <c r="G76" i="6"/>
  <c r="I76" i="6"/>
  <c r="K76" i="6"/>
  <c r="L76" i="6"/>
  <c r="M76" i="6"/>
  <c r="O76" i="6"/>
  <c r="E77" i="6"/>
  <c r="M77" i="6" s="1"/>
  <c r="F77" i="6"/>
  <c r="J77" i="6" s="1"/>
  <c r="I77" i="6"/>
  <c r="K77" i="6"/>
  <c r="L77" i="6"/>
  <c r="N77" i="6"/>
  <c r="E78" i="6"/>
  <c r="G78" i="6" s="1"/>
  <c r="F78" i="6"/>
  <c r="E79" i="6"/>
  <c r="F79" i="6"/>
  <c r="J79" i="6" s="1"/>
  <c r="G79" i="6"/>
  <c r="H79" i="6"/>
  <c r="I79" i="6"/>
  <c r="K79" i="6"/>
  <c r="L79" i="6"/>
  <c r="M79" i="6"/>
  <c r="N79" i="6"/>
  <c r="O79" i="6"/>
  <c r="E80" i="6"/>
  <c r="I80" i="6"/>
  <c r="K80" i="6"/>
  <c r="L80" i="6"/>
  <c r="N80" i="6"/>
  <c r="O80" i="6"/>
  <c r="E81" i="6"/>
  <c r="F81" i="6"/>
  <c r="J81" i="6" s="1"/>
  <c r="I81" i="6"/>
  <c r="L81" i="6"/>
  <c r="M81" i="6"/>
  <c r="N81" i="6"/>
  <c r="O81" i="6"/>
  <c r="E82" i="6"/>
  <c r="L82" i="6" s="1"/>
  <c r="F82" i="6"/>
  <c r="G82" i="6"/>
  <c r="I82" i="6"/>
  <c r="K82" i="6"/>
  <c r="M82" i="6"/>
  <c r="O82" i="6"/>
  <c r="E83" i="6"/>
  <c r="F83" i="6" s="1"/>
  <c r="E84" i="6"/>
  <c r="G84" i="6"/>
  <c r="I84" i="6"/>
  <c r="K84" i="6"/>
  <c r="M84" i="6"/>
  <c r="O84" i="6"/>
  <c r="E85" i="6"/>
  <c r="I85" i="6" s="1"/>
  <c r="F85" i="6"/>
  <c r="G85" i="6"/>
  <c r="H85" i="6"/>
  <c r="J85" i="6"/>
  <c r="L85" i="6"/>
  <c r="M85" i="6"/>
  <c r="N85" i="6"/>
  <c r="E86" i="6"/>
  <c r="L86" i="6" s="1"/>
  <c r="F86" i="6"/>
  <c r="G86" i="6"/>
  <c r="I86" i="6"/>
  <c r="K86" i="6"/>
  <c r="N86" i="6"/>
  <c r="O86" i="6"/>
  <c r="E87" i="6"/>
  <c r="M87" i="6" s="1"/>
  <c r="F87" i="6"/>
  <c r="J87" i="6" s="1"/>
  <c r="G87" i="6"/>
  <c r="I87" i="6"/>
  <c r="K87" i="6"/>
  <c r="L87" i="6"/>
  <c r="N87" i="6"/>
  <c r="O87" i="6"/>
  <c r="E88" i="6"/>
  <c r="G88" i="6"/>
  <c r="E89" i="6"/>
  <c r="F89" i="6"/>
  <c r="I89" i="6"/>
  <c r="J89" i="6"/>
  <c r="K89" i="6"/>
  <c r="L89" i="6"/>
  <c r="N89" i="6"/>
  <c r="E90" i="6"/>
  <c r="O90" i="6" s="1"/>
  <c r="E91" i="6"/>
  <c r="F91" i="6"/>
  <c r="G91" i="6"/>
  <c r="I91" i="6"/>
  <c r="K91" i="6"/>
  <c r="L91" i="6"/>
  <c r="M91" i="6"/>
  <c r="N91" i="6"/>
  <c r="O91" i="6"/>
  <c r="E92" i="6"/>
  <c r="I92" i="6"/>
  <c r="L92" i="6"/>
  <c r="M92" i="6"/>
  <c r="O92" i="6"/>
  <c r="E93" i="6"/>
  <c r="F93" i="6"/>
  <c r="E94" i="6"/>
  <c r="F94" i="6"/>
  <c r="G94" i="6"/>
  <c r="I94" i="6"/>
  <c r="J94" i="6"/>
  <c r="K94" i="6"/>
  <c r="L94" i="6"/>
  <c r="M94" i="6"/>
  <c r="N94" i="6"/>
  <c r="O94" i="6"/>
  <c r="E95" i="6"/>
  <c r="F95" i="6"/>
  <c r="J95" i="6"/>
  <c r="K95" i="6"/>
  <c r="L95" i="6"/>
  <c r="N95" i="6"/>
  <c r="O95" i="6"/>
  <c r="E96" i="6"/>
  <c r="O96" i="6" s="1"/>
  <c r="F96" i="6"/>
  <c r="J96" i="6" s="1"/>
  <c r="G96" i="6"/>
  <c r="H96" i="6"/>
  <c r="K96" i="6"/>
  <c r="L96" i="6"/>
  <c r="M96" i="6"/>
  <c r="N96" i="6"/>
  <c r="E97" i="6"/>
  <c r="F97" i="6"/>
  <c r="J97" i="6" s="1"/>
  <c r="I97" i="6"/>
  <c r="M97" i="6"/>
  <c r="E98" i="6"/>
  <c r="G98" i="6" s="1"/>
  <c r="K98" i="6"/>
  <c r="M98" i="6"/>
  <c r="O98" i="6"/>
  <c r="E99" i="6"/>
  <c r="G99" i="6" s="1"/>
  <c r="F99" i="6"/>
  <c r="I99" i="6"/>
  <c r="E100" i="6"/>
  <c r="N100" i="6" s="1"/>
  <c r="F100" i="6"/>
  <c r="J100" i="6" s="1"/>
  <c r="G100" i="6"/>
  <c r="H100" i="6"/>
  <c r="I100" i="6"/>
  <c r="K100" i="6"/>
  <c r="L100" i="6"/>
  <c r="M100" i="6"/>
  <c r="O100" i="6"/>
  <c r="E101" i="6"/>
  <c r="F101" i="6"/>
  <c r="I101" i="6"/>
  <c r="J101" i="6"/>
  <c r="K101" i="6"/>
  <c r="M101" i="6"/>
  <c r="N101" i="6"/>
  <c r="E102" i="6"/>
  <c r="N102" i="6" s="1"/>
  <c r="F102" i="6"/>
  <c r="G102" i="6"/>
  <c r="H102" i="6" s="1"/>
  <c r="J102" i="6"/>
  <c r="K102" i="6"/>
  <c r="L102" i="6"/>
  <c r="M102" i="6"/>
  <c r="O102" i="6"/>
  <c r="E103" i="6"/>
  <c r="F103" i="6"/>
  <c r="J103" i="6" s="1"/>
  <c r="G103" i="6"/>
  <c r="H103" i="6"/>
  <c r="I103" i="6"/>
  <c r="K103" i="6"/>
  <c r="L103" i="6"/>
  <c r="M103" i="6"/>
  <c r="N103" i="6"/>
  <c r="O103" i="6"/>
  <c r="E104" i="6"/>
  <c r="G104" i="6"/>
  <c r="I104" i="6"/>
  <c r="K104" i="6"/>
  <c r="M104" i="6"/>
  <c r="N104" i="6"/>
  <c r="O104" i="6"/>
  <c r="E105" i="6"/>
  <c r="O105" i="6"/>
  <c r="E106" i="6"/>
  <c r="F106" i="6" s="1"/>
  <c r="K106" i="6"/>
  <c r="E107" i="6"/>
  <c r="I107" i="6" s="1"/>
  <c r="F107" i="6"/>
  <c r="G107" i="6"/>
  <c r="H107" i="6"/>
  <c r="J107" i="6"/>
  <c r="K107" i="6"/>
  <c r="L107" i="6"/>
  <c r="M107" i="6"/>
  <c r="N107" i="6"/>
  <c r="O107" i="6"/>
  <c r="E108" i="6"/>
  <c r="F108" i="6"/>
  <c r="J108" i="6" s="1"/>
  <c r="I108" i="6"/>
  <c r="K108" i="6"/>
  <c r="L108" i="6"/>
  <c r="N108" i="6"/>
  <c r="O108" i="6"/>
  <c r="E109" i="6"/>
  <c r="K109" i="6" s="1"/>
  <c r="F109" i="6"/>
  <c r="J109" i="6" s="1"/>
  <c r="G109" i="6"/>
  <c r="L109" i="6"/>
  <c r="M109" i="6"/>
  <c r="N109" i="6"/>
  <c r="E110" i="6"/>
  <c r="F110" i="6"/>
  <c r="J110" i="6" s="1"/>
  <c r="G110" i="6"/>
  <c r="H110" i="6"/>
  <c r="I110" i="6"/>
  <c r="M110" i="6"/>
  <c r="N110" i="6"/>
  <c r="E111" i="6"/>
  <c r="G111" i="6"/>
  <c r="I111" i="6"/>
  <c r="K111" i="6"/>
  <c r="L111" i="6"/>
  <c r="O111" i="6"/>
  <c r="E112" i="6"/>
  <c r="G112" i="6" s="1"/>
  <c r="E113" i="6"/>
  <c r="F113" i="6"/>
  <c r="J113" i="6" s="1"/>
  <c r="G113" i="6"/>
  <c r="H113" i="6"/>
  <c r="I113" i="6"/>
  <c r="K113" i="6"/>
  <c r="L113" i="6"/>
  <c r="M113" i="6"/>
  <c r="N113" i="6"/>
  <c r="O113" i="6"/>
  <c r="E114" i="6"/>
  <c r="G114" i="6"/>
  <c r="I114" i="6"/>
  <c r="L114" i="6"/>
  <c r="M114" i="6"/>
  <c r="N114" i="6"/>
  <c r="E115" i="6"/>
  <c r="F115" i="6"/>
  <c r="I115" i="6"/>
  <c r="J115" i="6"/>
  <c r="K115" i="6"/>
  <c r="M115" i="6"/>
  <c r="N115" i="6"/>
  <c r="O115" i="6"/>
  <c r="E116" i="6"/>
  <c r="F116" i="6" s="1"/>
  <c r="N116" i="6"/>
  <c r="O116" i="6"/>
  <c r="E117" i="6"/>
  <c r="F117" i="6" s="1"/>
  <c r="G117" i="6"/>
  <c r="O117" i="6"/>
  <c r="E118" i="6"/>
  <c r="F118" i="6" s="1"/>
  <c r="I118" i="6"/>
  <c r="K118" i="6"/>
  <c r="E119" i="6"/>
  <c r="K119" i="6" s="1"/>
  <c r="F119" i="6"/>
  <c r="G119" i="6"/>
  <c r="H119" i="6"/>
  <c r="I119" i="6"/>
  <c r="J119" i="6"/>
  <c r="L119" i="6"/>
  <c r="M119" i="6"/>
  <c r="N119" i="6"/>
  <c r="O119" i="6"/>
  <c r="E120" i="6"/>
  <c r="L120" i="6" s="1"/>
  <c r="F120" i="6"/>
  <c r="G120" i="6"/>
  <c r="H120" i="6"/>
  <c r="I120" i="6"/>
  <c r="J120" i="6"/>
  <c r="K120" i="6"/>
  <c r="M120" i="6"/>
  <c r="N120" i="6"/>
  <c r="O120" i="6"/>
  <c r="E121" i="6"/>
  <c r="G121" i="6"/>
  <c r="E122" i="6"/>
  <c r="I122" i="6" s="1"/>
  <c r="F122" i="6"/>
  <c r="J122" i="6" s="1"/>
  <c r="K122" i="6"/>
  <c r="E123" i="6"/>
  <c r="O123" i="6" s="1"/>
  <c r="F123" i="6"/>
  <c r="E124" i="6"/>
  <c r="I124" i="6" s="1"/>
  <c r="F124" i="6"/>
  <c r="G124" i="6"/>
  <c r="H124" i="6"/>
  <c r="J124" i="6"/>
  <c r="K124" i="6"/>
  <c r="L124" i="6"/>
  <c r="M124" i="6"/>
  <c r="N124" i="6"/>
  <c r="O124" i="6"/>
  <c r="E125" i="6"/>
  <c r="F125" i="6"/>
  <c r="G125" i="6"/>
  <c r="I125" i="6"/>
  <c r="K125" i="6"/>
  <c r="L125" i="6"/>
  <c r="M125" i="6"/>
  <c r="N125" i="6"/>
  <c r="O125" i="6"/>
  <c r="E126" i="6"/>
  <c r="G126" i="6" s="1"/>
  <c r="M126" i="6"/>
  <c r="E127" i="6"/>
  <c r="F127" i="6"/>
  <c r="J127" i="6" s="1"/>
  <c r="K127" i="6"/>
  <c r="E128" i="6"/>
  <c r="M128" i="6" s="1"/>
  <c r="F128" i="6"/>
  <c r="J128" i="6" s="1"/>
  <c r="G128" i="6"/>
  <c r="K128" i="6"/>
  <c r="L128" i="6"/>
  <c r="N128" i="6"/>
  <c r="E129" i="6"/>
  <c r="O129" i="6" s="1"/>
  <c r="K129" i="6"/>
  <c r="L129" i="6"/>
  <c r="M129" i="6"/>
  <c r="E130" i="6"/>
  <c r="F130" i="6"/>
  <c r="J130" i="6" s="1"/>
  <c r="G130" i="6"/>
  <c r="H130" i="6"/>
  <c r="N130" i="6"/>
  <c r="E131" i="6"/>
  <c r="I131" i="6" s="1"/>
  <c r="F131" i="6"/>
  <c r="H131" i="6" s="1"/>
  <c r="G131" i="6"/>
  <c r="J131" i="6"/>
  <c r="N131" i="6"/>
  <c r="O131" i="6"/>
  <c r="E132" i="6"/>
  <c r="F132" i="6" s="1"/>
  <c r="G132" i="6"/>
  <c r="I132" i="6"/>
  <c r="K132" i="6"/>
  <c r="E133" i="6"/>
  <c r="M133" i="6" s="1"/>
  <c r="F133" i="6"/>
  <c r="J133" i="6" s="1"/>
  <c r="G133" i="6"/>
  <c r="H133" i="6"/>
  <c r="K133" i="6"/>
  <c r="N133" i="6"/>
  <c r="O133" i="6"/>
  <c r="E134" i="6"/>
  <c r="N134" i="6" s="1"/>
  <c r="F134" i="6"/>
  <c r="G134" i="6"/>
  <c r="H134" i="6"/>
  <c r="I134" i="6"/>
  <c r="J134" i="6"/>
  <c r="K134" i="6"/>
  <c r="L134" i="6"/>
  <c r="M134" i="6"/>
  <c r="O134" i="6"/>
  <c r="E135" i="6"/>
  <c r="F135" i="6" s="1"/>
  <c r="I135" i="6"/>
  <c r="L135" i="6"/>
  <c r="M135" i="6"/>
  <c r="N135" i="6"/>
  <c r="E136" i="6"/>
  <c r="I136" i="6" s="1"/>
  <c r="G136" i="6"/>
  <c r="K136" i="6"/>
  <c r="L136" i="6"/>
  <c r="M136" i="6"/>
  <c r="O136" i="6"/>
  <c r="E137" i="6"/>
  <c r="F137" i="6"/>
  <c r="J137" i="6" s="1"/>
  <c r="G137" i="6"/>
  <c r="I137" i="6"/>
  <c r="K137" i="6"/>
  <c r="L137" i="6"/>
  <c r="M137" i="6"/>
  <c r="N137" i="6"/>
  <c r="O137" i="6"/>
  <c r="E138" i="6"/>
  <c r="G138" i="6"/>
  <c r="I138" i="6"/>
  <c r="K138" i="6"/>
  <c r="N138" i="6"/>
  <c r="O138" i="6"/>
  <c r="E139" i="6"/>
  <c r="F139" i="6"/>
  <c r="I139" i="6"/>
  <c r="K139" i="6"/>
  <c r="L139" i="6"/>
  <c r="M139" i="6"/>
  <c r="E140" i="6"/>
  <c r="F140" i="6" s="1"/>
  <c r="E141" i="6"/>
  <c r="I141" i="6" s="1"/>
  <c r="F141" i="6"/>
  <c r="G141" i="6"/>
  <c r="H141" i="6" s="1"/>
  <c r="J141" i="6"/>
  <c r="K141" i="6"/>
  <c r="L141" i="6"/>
  <c r="M141" i="6"/>
  <c r="N141" i="6"/>
  <c r="O141" i="6"/>
  <c r="E142" i="6"/>
  <c r="G142" i="6" s="1"/>
  <c r="F142" i="6"/>
  <c r="I142" i="6"/>
  <c r="K142" i="6"/>
  <c r="L142" i="6"/>
  <c r="M142" i="6"/>
  <c r="N142" i="6"/>
  <c r="O142" i="6"/>
  <c r="E143" i="6"/>
  <c r="L143" i="6" s="1"/>
  <c r="F143" i="6"/>
  <c r="J143" i="6" s="1"/>
  <c r="G143" i="6"/>
  <c r="H143" i="6"/>
  <c r="M143" i="6"/>
  <c r="N143" i="6"/>
  <c r="O143" i="6"/>
  <c r="E144" i="6"/>
  <c r="I144" i="6" s="1"/>
  <c r="E145" i="6"/>
  <c r="F145" i="6"/>
  <c r="J145" i="6" s="1"/>
  <c r="G145" i="6"/>
  <c r="H145" i="6"/>
  <c r="I145" i="6"/>
  <c r="K145" i="6"/>
  <c r="L145" i="6"/>
  <c r="E146" i="6"/>
  <c r="N146" i="6" s="1"/>
  <c r="F146" i="6"/>
  <c r="J146" i="6" s="1"/>
  <c r="G146" i="6"/>
  <c r="H146" i="6"/>
  <c r="K146" i="6"/>
  <c r="L146" i="6"/>
  <c r="M146" i="6"/>
  <c r="O146" i="6"/>
  <c r="E147" i="6"/>
  <c r="O147" i="6" s="1"/>
  <c r="F147" i="6"/>
  <c r="G147" i="6"/>
  <c r="H147" i="6"/>
  <c r="I147" i="6"/>
  <c r="J147" i="6"/>
  <c r="K147" i="6"/>
  <c r="L147" i="6"/>
  <c r="M147" i="6"/>
  <c r="N147" i="6"/>
  <c r="E148" i="6"/>
  <c r="G148" i="6" s="1"/>
  <c r="E149" i="6"/>
  <c r="F149" i="6"/>
  <c r="G149" i="6"/>
  <c r="I149" i="6"/>
  <c r="K149" i="6"/>
  <c r="L149" i="6"/>
  <c r="M149" i="6"/>
  <c r="N149" i="6"/>
  <c r="O149" i="6"/>
  <c r="E150" i="6"/>
  <c r="G150" i="6" s="1"/>
  <c r="L150" i="6"/>
  <c r="M150" i="6"/>
  <c r="E151" i="6"/>
  <c r="F151" i="6" s="1"/>
  <c r="E152" i="6"/>
  <c r="F152" i="6"/>
  <c r="E153" i="6"/>
  <c r="I153" i="6" s="1"/>
  <c r="K153" i="6"/>
  <c r="E154" i="6"/>
  <c r="F154" i="6"/>
  <c r="J154" i="6" s="1"/>
  <c r="G154" i="6"/>
  <c r="H154" i="6" s="1"/>
  <c r="I154" i="6"/>
  <c r="K154" i="6"/>
  <c r="L154" i="6"/>
  <c r="M154" i="6"/>
  <c r="N154" i="6"/>
  <c r="O154" i="6"/>
  <c r="E155" i="6"/>
  <c r="F155" i="6" s="1"/>
  <c r="L155" i="6"/>
  <c r="E156" i="6"/>
  <c r="N156" i="6" s="1"/>
  <c r="F156" i="6"/>
  <c r="E157" i="6"/>
  <c r="F157" i="6"/>
  <c r="G157" i="6"/>
  <c r="H157" i="6"/>
  <c r="I157" i="6"/>
  <c r="J157" i="6"/>
  <c r="N157" i="6"/>
  <c r="O157" i="6"/>
  <c r="E158" i="6"/>
  <c r="I158" i="6" s="1"/>
  <c r="F158" i="6"/>
  <c r="J158" i="6" s="1"/>
  <c r="G158" i="6"/>
  <c r="H158" i="6"/>
  <c r="K158" i="6"/>
  <c r="L158" i="6"/>
  <c r="O158" i="6"/>
  <c r="E159" i="6"/>
  <c r="O159" i="6" s="1"/>
  <c r="G159" i="6"/>
  <c r="I159" i="6"/>
  <c r="K159" i="6"/>
  <c r="N159" i="6"/>
  <c r="E160" i="6"/>
  <c r="F160" i="6"/>
  <c r="H160" i="6" s="1"/>
  <c r="G160" i="6"/>
  <c r="I160" i="6"/>
  <c r="K160" i="6"/>
  <c r="L160" i="6"/>
  <c r="M160" i="6"/>
  <c r="N160" i="6"/>
  <c r="O160" i="6"/>
  <c r="E161" i="6"/>
  <c r="F161" i="6"/>
  <c r="G161" i="6"/>
  <c r="H161" i="6" s="1"/>
  <c r="I161" i="6"/>
  <c r="J161" i="6"/>
  <c r="K161" i="6"/>
  <c r="L161" i="6"/>
  <c r="M161" i="6"/>
  <c r="N161" i="6"/>
  <c r="O161" i="6"/>
  <c r="E162" i="6"/>
  <c r="F162" i="6" s="1"/>
  <c r="G162" i="6"/>
  <c r="I162" i="6"/>
  <c r="J162" i="6"/>
  <c r="K162" i="6"/>
  <c r="L162" i="6"/>
  <c r="M162" i="6"/>
  <c r="N162" i="6"/>
  <c r="O162" i="6"/>
  <c r="E163" i="6"/>
  <c r="G163" i="6" s="1"/>
  <c r="F163" i="6"/>
  <c r="J163" i="6" s="1"/>
  <c r="K163" i="6"/>
  <c r="L163" i="6"/>
  <c r="M163" i="6"/>
  <c r="E164" i="6"/>
  <c r="L164" i="6" s="1"/>
  <c r="O164" i="6"/>
  <c r="E165" i="6"/>
  <c r="M165" i="6" s="1"/>
  <c r="E166" i="6"/>
  <c r="N166" i="6" s="1"/>
  <c r="F166" i="6"/>
  <c r="H166" i="6" s="1"/>
  <c r="G166" i="6"/>
  <c r="O166" i="6"/>
  <c r="E167" i="6"/>
  <c r="O167" i="6" s="1"/>
  <c r="F167" i="6"/>
  <c r="G167" i="6"/>
  <c r="H167" i="6"/>
  <c r="I167" i="6"/>
  <c r="J167" i="6"/>
  <c r="K167" i="6"/>
  <c r="L167" i="6"/>
  <c r="M167" i="6"/>
  <c r="N167" i="6"/>
  <c r="E168" i="6"/>
  <c r="L168" i="6" s="1"/>
  <c r="F168" i="6"/>
  <c r="I168" i="6"/>
  <c r="J168" i="6"/>
  <c r="K168" i="6"/>
  <c r="N168" i="6"/>
  <c r="E169" i="6"/>
  <c r="F169" i="6"/>
  <c r="H169" i="6" s="1"/>
  <c r="G169" i="6"/>
  <c r="I169" i="6"/>
  <c r="J169" i="6"/>
  <c r="K169" i="6"/>
  <c r="L169" i="6"/>
  <c r="M169" i="6"/>
  <c r="N169" i="6"/>
  <c r="O169" i="6"/>
  <c r="E170" i="6"/>
  <c r="F170" i="6" s="1"/>
  <c r="J170" i="6" s="1"/>
  <c r="G170" i="6"/>
  <c r="H170" i="6" s="1"/>
  <c r="I170" i="6"/>
  <c r="L170" i="6"/>
  <c r="M170" i="6"/>
  <c r="N170" i="6"/>
  <c r="O170" i="6"/>
  <c r="E171" i="6"/>
  <c r="G171" i="6" s="1"/>
  <c r="F171" i="6"/>
  <c r="H171" i="6" s="1"/>
  <c r="I171" i="6"/>
  <c r="K171" i="6"/>
  <c r="N171" i="6"/>
  <c r="O171" i="6"/>
  <c r="E172" i="6"/>
  <c r="F172" i="6" s="1"/>
  <c r="E173" i="6"/>
  <c r="I173" i="6" s="1"/>
  <c r="F173" i="6"/>
  <c r="H173" i="6" s="1"/>
  <c r="G173" i="6"/>
  <c r="K173" i="6"/>
  <c r="O173" i="6"/>
  <c r="E174" i="6"/>
  <c r="F174" i="6"/>
  <c r="J174" i="6" s="1"/>
  <c r="G174" i="6"/>
  <c r="H174" i="6"/>
  <c r="I174" i="6"/>
  <c r="K174" i="6"/>
  <c r="L174" i="6"/>
  <c r="M174" i="6"/>
  <c r="N174" i="6"/>
  <c r="O174" i="6"/>
  <c r="E175" i="6"/>
  <c r="K175" i="6" s="1"/>
  <c r="F175" i="6"/>
  <c r="I175" i="6"/>
  <c r="J175" i="6"/>
  <c r="L175" i="6"/>
  <c r="O175" i="6"/>
  <c r="E176" i="6"/>
  <c r="L176" i="6" s="1"/>
  <c r="F176" i="6"/>
  <c r="J176" i="6" s="1"/>
  <c r="G176" i="6"/>
  <c r="H176" i="6"/>
  <c r="K176" i="6"/>
  <c r="M176" i="6"/>
  <c r="N176" i="6"/>
  <c r="O176" i="6"/>
  <c r="E177" i="6"/>
  <c r="M177" i="6" s="1"/>
  <c r="F177" i="6"/>
  <c r="I177" i="6"/>
  <c r="J177" i="6"/>
  <c r="N177" i="6"/>
  <c r="O177" i="6"/>
  <c r="O2" i="6"/>
  <c r="N2" i="6"/>
  <c r="M2" i="6"/>
  <c r="L2" i="6"/>
  <c r="K2" i="6"/>
  <c r="I2" i="6"/>
  <c r="J2" i="6"/>
  <c r="H2" i="6"/>
  <c r="G2" i="6"/>
  <c r="F2" i="6"/>
  <c r="E2" i="6"/>
  <c r="J116" i="6" l="1"/>
  <c r="H168" i="6"/>
  <c r="J172" i="6"/>
  <c r="H117" i="6"/>
  <c r="J117" i="6"/>
  <c r="J140" i="6"/>
  <c r="J61" i="6"/>
  <c r="H61" i="6"/>
  <c r="H132" i="6"/>
  <c r="J132" i="6"/>
  <c r="J106" i="6"/>
  <c r="H175" i="6"/>
  <c r="J155" i="6"/>
  <c r="J151" i="6"/>
  <c r="H151" i="6"/>
  <c r="H135" i="6"/>
  <c r="J135" i="6"/>
  <c r="J118" i="6"/>
  <c r="J83" i="6"/>
  <c r="F121" i="6"/>
  <c r="M121" i="6"/>
  <c r="I121" i="6"/>
  <c r="K121" i="6"/>
  <c r="L127" i="6"/>
  <c r="G127" i="6"/>
  <c r="H127" i="6" s="1"/>
  <c r="N127" i="6"/>
  <c r="O127" i="6"/>
  <c r="I163" i="6"/>
  <c r="M159" i="6"/>
  <c r="N155" i="6"/>
  <c r="I130" i="6"/>
  <c r="K130" i="6"/>
  <c r="K57" i="6"/>
  <c r="L57" i="6"/>
  <c r="G57" i="6"/>
  <c r="F57" i="6"/>
  <c r="I57" i="6"/>
  <c r="M57" i="6"/>
  <c r="N57" i="6"/>
  <c r="J55" i="6"/>
  <c r="H55" i="6"/>
  <c r="J19" i="6"/>
  <c r="H19" i="6"/>
  <c r="J5" i="6"/>
  <c r="N152" i="6"/>
  <c r="O152" i="6"/>
  <c r="H71" i="6"/>
  <c r="L58" i="6"/>
  <c r="M58" i="6"/>
  <c r="G58" i="6"/>
  <c r="K58" i="6"/>
  <c r="N58" i="6"/>
  <c r="O58" i="6"/>
  <c r="J6" i="6"/>
  <c r="N164" i="6"/>
  <c r="O155" i="6"/>
  <c r="O151" i="6"/>
  <c r="I150" i="6"/>
  <c r="H149" i="6"/>
  <c r="L116" i="6"/>
  <c r="H91" i="6"/>
  <c r="F88" i="6"/>
  <c r="N88" i="6"/>
  <c r="M88" i="6"/>
  <c r="O88" i="6"/>
  <c r="I88" i="6"/>
  <c r="K88" i="6"/>
  <c r="L88" i="6"/>
  <c r="H75" i="6"/>
  <c r="J75" i="6"/>
  <c r="I6" i="6"/>
  <c r="K6" i="6"/>
  <c r="L6" i="6"/>
  <c r="M6" i="6"/>
  <c r="N6" i="6"/>
  <c r="O6" i="6"/>
  <c r="G6" i="6"/>
  <c r="H6" i="6" s="1"/>
  <c r="L177" i="6"/>
  <c r="O172" i="6"/>
  <c r="M171" i="6"/>
  <c r="K170" i="6"/>
  <c r="O165" i="6"/>
  <c r="M164" i="6"/>
  <c r="H162" i="6"/>
  <c r="G153" i="6"/>
  <c r="N151" i="6"/>
  <c r="J142" i="6"/>
  <c r="H142" i="6"/>
  <c r="O140" i="6"/>
  <c r="K135" i="6"/>
  <c r="O126" i="6"/>
  <c r="G118" i="6"/>
  <c r="H118" i="6" s="1"/>
  <c r="K116" i="6"/>
  <c r="K177" i="6"/>
  <c r="I176" i="6"/>
  <c r="G175" i="6"/>
  <c r="N172" i="6"/>
  <c r="L171" i="6"/>
  <c r="G168" i="6"/>
  <c r="N165" i="6"/>
  <c r="K164" i="6"/>
  <c r="H163" i="6"/>
  <c r="L159" i="6"/>
  <c r="M157" i="6"/>
  <c r="K157" i="6"/>
  <c r="L157" i="6"/>
  <c r="M155" i="6"/>
  <c r="F153" i="6"/>
  <c r="K151" i="6"/>
  <c r="O148" i="6"/>
  <c r="I146" i="6"/>
  <c r="M145" i="6"/>
  <c r="N145" i="6"/>
  <c r="O145" i="6"/>
  <c r="N140" i="6"/>
  <c r="J139" i="6"/>
  <c r="F138" i="6"/>
  <c r="L138" i="6"/>
  <c r="M138" i="6"/>
  <c r="N136" i="6"/>
  <c r="M132" i="6"/>
  <c r="I128" i="6"/>
  <c r="N126" i="6"/>
  <c r="M106" i="6"/>
  <c r="H86" i="6"/>
  <c r="J86" i="6"/>
  <c r="L165" i="6"/>
  <c r="O118" i="6"/>
  <c r="N118" i="6"/>
  <c r="O156" i="6"/>
  <c r="J125" i="6"/>
  <c r="H125" i="6"/>
  <c r="M116" i="6"/>
  <c r="G116" i="6"/>
  <c r="H116" i="6" s="1"/>
  <c r="I116" i="6"/>
  <c r="N173" i="6"/>
  <c r="L172" i="6"/>
  <c r="J171" i="6"/>
  <c r="M166" i="6"/>
  <c r="K165" i="6"/>
  <c r="I164" i="6"/>
  <c r="M152" i="6"/>
  <c r="I151" i="6"/>
  <c r="M148" i="6"/>
  <c r="N144" i="6"/>
  <c r="L140" i="6"/>
  <c r="H128" i="6"/>
  <c r="I126" i="6"/>
  <c r="M123" i="6"/>
  <c r="I78" i="6"/>
  <c r="L78" i="6"/>
  <c r="M78" i="6"/>
  <c r="N78" i="6"/>
  <c r="K78" i="6"/>
  <c r="O78" i="6"/>
  <c r="I66" i="6"/>
  <c r="K66" i="6"/>
  <c r="N66" i="6"/>
  <c r="O66" i="6"/>
  <c r="G66" i="6"/>
  <c r="H66" i="6" s="1"/>
  <c r="L66" i="6"/>
  <c r="M66" i="6"/>
  <c r="H36" i="6"/>
  <c r="J36" i="6"/>
  <c r="H58" i="6"/>
  <c r="J58" i="6"/>
  <c r="L156" i="6"/>
  <c r="I156" i="6"/>
  <c r="F150" i="6"/>
  <c r="K150" i="6"/>
  <c r="N123" i="6"/>
  <c r="H78" i="6"/>
  <c r="J78" i="6"/>
  <c r="J66" i="6"/>
  <c r="H54" i="6"/>
  <c r="J54" i="6"/>
  <c r="M173" i="6"/>
  <c r="K172" i="6"/>
  <c r="L166" i="6"/>
  <c r="M156" i="6"/>
  <c r="I155" i="6"/>
  <c r="L152" i="6"/>
  <c r="L148" i="6"/>
  <c r="K140" i="6"/>
  <c r="O135" i="6"/>
  <c r="G135" i="6"/>
  <c r="K131" i="6"/>
  <c r="L131" i="6"/>
  <c r="M131" i="6"/>
  <c r="L123" i="6"/>
  <c r="G122" i="6"/>
  <c r="H122" i="6" s="1"/>
  <c r="N122" i="6"/>
  <c r="L122" i="6"/>
  <c r="M122" i="6"/>
  <c r="O122" i="6"/>
  <c r="H109" i="6"/>
  <c r="G106" i="6"/>
  <c r="H106" i="6" s="1"/>
  <c r="K97" i="6"/>
  <c r="G97" i="6"/>
  <c r="H97" i="6" s="1"/>
  <c r="L97" i="6"/>
  <c r="N97" i="6"/>
  <c r="O97" i="6"/>
  <c r="J72" i="6"/>
  <c r="N60" i="6"/>
  <c r="O60" i="6"/>
  <c r="F60" i="6"/>
  <c r="G60" i="6"/>
  <c r="K60" i="6"/>
  <c r="L60" i="6"/>
  <c r="I60" i="6"/>
  <c r="G53" i="6"/>
  <c r="I53" i="6"/>
  <c r="O53" i="6"/>
  <c r="N53" i="6"/>
  <c r="F53" i="6"/>
  <c r="L53" i="6"/>
  <c r="M53" i="6"/>
  <c r="K45" i="6"/>
  <c r="L45" i="6"/>
  <c r="M45" i="6"/>
  <c r="N45" i="6"/>
  <c r="G45" i="6"/>
  <c r="F45" i="6"/>
  <c r="I45" i="6"/>
  <c r="O45" i="6"/>
  <c r="F40" i="6"/>
  <c r="G40" i="6"/>
  <c r="I40" i="6"/>
  <c r="K40" i="6"/>
  <c r="L40" i="6"/>
  <c r="N40" i="6"/>
  <c r="O40" i="6"/>
  <c r="H152" i="6"/>
  <c r="N148" i="6"/>
  <c r="O144" i="6"/>
  <c r="F90" i="6"/>
  <c r="G90" i="6"/>
  <c r="K90" i="6"/>
  <c r="I90" i="6"/>
  <c r="L90" i="6"/>
  <c r="M90" i="6"/>
  <c r="N90" i="6"/>
  <c r="O61" i="6"/>
  <c r="K61" i="6"/>
  <c r="G61" i="6"/>
  <c r="L61" i="6"/>
  <c r="M61" i="6"/>
  <c r="I61" i="6"/>
  <c r="N61" i="6"/>
  <c r="J18" i="6"/>
  <c r="F4" i="6"/>
  <c r="G4" i="6"/>
  <c r="I4" i="6"/>
  <c r="K4" i="6"/>
  <c r="L4" i="6"/>
  <c r="M4" i="6"/>
  <c r="N4" i="6"/>
  <c r="O4" i="6"/>
  <c r="G164" i="6"/>
  <c r="G177" i="6"/>
  <c r="H177" i="6" s="1"/>
  <c r="L173" i="6"/>
  <c r="O168" i="6"/>
  <c r="K166" i="6"/>
  <c r="I165" i="6"/>
  <c r="F164" i="6"/>
  <c r="J160" i="6"/>
  <c r="N158" i="6"/>
  <c r="M158" i="6"/>
  <c r="K156" i="6"/>
  <c r="O153" i="6"/>
  <c r="K152" i="6"/>
  <c r="K148" i="6"/>
  <c r="K143" i="6"/>
  <c r="I143" i="6"/>
  <c r="G139" i="6"/>
  <c r="H139" i="6" s="1"/>
  <c r="N139" i="6"/>
  <c r="O139" i="6"/>
  <c r="L133" i="6"/>
  <c r="O130" i="6"/>
  <c r="M127" i="6"/>
  <c r="K123" i="6"/>
  <c r="O121" i="6"/>
  <c r="H94" i="6"/>
  <c r="L144" i="6"/>
  <c r="K144" i="6"/>
  <c r="M144" i="6"/>
  <c r="J156" i="6"/>
  <c r="G151" i="6"/>
  <c r="L151" i="6"/>
  <c r="M151" i="6"/>
  <c r="I140" i="6"/>
  <c r="O112" i="6"/>
  <c r="H99" i="6"/>
  <c r="J99" i="6"/>
  <c r="M83" i="6"/>
  <c r="I83" i="6"/>
  <c r="L83" i="6"/>
  <c r="N83" i="6"/>
  <c r="O83" i="6"/>
  <c r="G83" i="6"/>
  <c r="H83" i="6" s="1"/>
  <c r="K83" i="6"/>
  <c r="H70" i="6"/>
  <c r="J70" i="6"/>
  <c r="K155" i="6"/>
  <c r="G155" i="6"/>
  <c r="H155" i="6" s="1"/>
  <c r="N153" i="6"/>
  <c r="J152" i="6"/>
  <c r="K126" i="6"/>
  <c r="F126" i="6"/>
  <c r="L126" i="6"/>
  <c r="J123" i="6"/>
  <c r="N121" i="6"/>
  <c r="N175" i="6"/>
  <c r="J173" i="6"/>
  <c r="G172" i="6"/>
  <c r="H172" i="6" s="1"/>
  <c r="M168" i="6"/>
  <c r="I166" i="6"/>
  <c r="G165" i="6"/>
  <c r="O163" i="6"/>
  <c r="F159" i="6"/>
  <c r="M153" i="6"/>
  <c r="I152" i="6"/>
  <c r="O150" i="6"/>
  <c r="I148" i="6"/>
  <c r="G144" i="6"/>
  <c r="G140" i="6"/>
  <c r="H140" i="6" s="1"/>
  <c r="F136" i="6"/>
  <c r="M130" i="6"/>
  <c r="N129" i="6"/>
  <c r="I129" i="6"/>
  <c r="F129" i="6"/>
  <c r="G129" i="6"/>
  <c r="I123" i="6"/>
  <c r="L121" i="6"/>
  <c r="M118" i="6"/>
  <c r="M99" i="6"/>
  <c r="K99" i="6"/>
  <c r="L99" i="6"/>
  <c r="N99" i="6"/>
  <c r="O99" i="6"/>
  <c r="J93" i="6"/>
  <c r="N112" i="6"/>
  <c r="I112" i="6"/>
  <c r="K112" i="6"/>
  <c r="L112" i="6"/>
  <c r="M112" i="6"/>
  <c r="M172" i="6"/>
  <c r="M140" i="6"/>
  <c r="I172" i="6"/>
  <c r="J166" i="6"/>
  <c r="I106" i="6"/>
  <c r="L106" i="6"/>
  <c r="N106" i="6"/>
  <c r="O106" i="6"/>
  <c r="M175" i="6"/>
  <c r="F165" i="6"/>
  <c r="N163" i="6"/>
  <c r="G156" i="6"/>
  <c r="H156" i="6" s="1"/>
  <c r="L153" i="6"/>
  <c r="G152" i="6"/>
  <c r="N150" i="6"/>
  <c r="J149" i="6"/>
  <c r="F148" i="6"/>
  <c r="F144" i="6"/>
  <c r="H137" i="6"/>
  <c r="I133" i="6"/>
  <c r="L132" i="6"/>
  <c r="N132" i="6"/>
  <c r="O132" i="6"/>
  <c r="L130" i="6"/>
  <c r="O128" i="6"/>
  <c r="I127" i="6"/>
  <c r="G123" i="6"/>
  <c r="H123" i="6" s="1"/>
  <c r="L118" i="6"/>
  <c r="N117" i="6"/>
  <c r="I117" i="6"/>
  <c r="K117" i="6"/>
  <c r="L117" i="6"/>
  <c r="M117" i="6"/>
  <c r="F112" i="6"/>
  <c r="G105" i="6"/>
  <c r="F105" i="6"/>
  <c r="N105" i="6"/>
  <c r="I105" i="6"/>
  <c r="K105" i="6"/>
  <c r="L105" i="6"/>
  <c r="M105" i="6"/>
  <c r="G93" i="6"/>
  <c r="H93" i="6" s="1"/>
  <c r="I93" i="6"/>
  <c r="L93" i="6"/>
  <c r="M93" i="6"/>
  <c r="K93" i="6"/>
  <c r="N93" i="6"/>
  <c r="O93" i="6"/>
  <c r="J91" i="6"/>
  <c r="I58" i="6"/>
  <c r="O73" i="6"/>
  <c r="K73" i="6"/>
  <c r="G73" i="6"/>
  <c r="H73" i="6" s="1"/>
  <c r="L73" i="6"/>
  <c r="M73" i="6"/>
  <c r="F52" i="6"/>
  <c r="G52" i="6"/>
  <c r="N52" i="6"/>
  <c r="I52" i="6"/>
  <c r="L52" i="6"/>
  <c r="M52" i="6"/>
  <c r="O52" i="6"/>
  <c r="J48" i="6"/>
  <c r="H48" i="6"/>
  <c r="K69" i="6"/>
  <c r="G69" i="6"/>
  <c r="H69" i="6" s="1"/>
  <c r="L69" i="6"/>
  <c r="M69" i="6"/>
  <c r="N69" i="6"/>
  <c r="J65" i="6"/>
  <c r="I18" i="6"/>
  <c r="K18" i="6"/>
  <c r="L18" i="6"/>
  <c r="M18" i="6"/>
  <c r="N18" i="6"/>
  <c r="O18" i="6"/>
  <c r="G18" i="6"/>
  <c r="H18" i="6" s="1"/>
  <c r="K114" i="6"/>
  <c r="F114" i="6"/>
  <c r="L110" i="6"/>
  <c r="K110" i="6"/>
  <c r="F92" i="6"/>
  <c r="G92" i="6"/>
  <c r="K92" i="6"/>
  <c r="N92" i="6"/>
  <c r="H87" i="6"/>
  <c r="H82" i="6"/>
  <c r="J82" i="6"/>
  <c r="H77" i="6"/>
  <c r="K72" i="6"/>
  <c r="M54" i="6"/>
  <c r="M47" i="6"/>
  <c r="N47" i="6"/>
  <c r="O47" i="6"/>
  <c r="I47" i="6"/>
  <c r="F47" i="6"/>
  <c r="G47" i="6"/>
  <c r="K47" i="6"/>
  <c r="L47" i="6"/>
  <c r="O30" i="6"/>
  <c r="H17" i="6"/>
  <c r="J17" i="6"/>
  <c r="F104" i="6"/>
  <c r="L104" i="6"/>
  <c r="I95" i="6"/>
  <c r="M95" i="6"/>
  <c r="G95" i="6"/>
  <c r="H95" i="6" s="1"/>
  <c r="N84" i="6"/>
  <c r="L84" i="6"/>
  <c r="F84" i="6"/>
  <c r="H42" i="6"/>
  <c r="J42" i="6"/>
  <c r="L98" i="6"/>
  <c r="F98" i="6"/>
  <c r="I98" i="6"/>
  <c r="N98" i="6"/>
  <c r="N72" i="6"/>
  <c r="G72" i="6"/>
  <c r="H72" i="6" s="1"/>
  <c r="I72" i="6"/>
  <c r="L72" i="6"/>
  <c r="I54" i="6"/>
  <c r="G54" i="6"/>
  <c r="K54" i="6"/>
  <c r="L54" i="6"/>
  <c r="N54" i="6"/>
  <c r="O54" i="6"/>
  <c r="I30" i="6"/>
  <c r="K30" i="6"/>
  <c r="L30" i="6"/>
  <c r="M30" i="6"/>
  <c r="N30" i="6"/>
  <c r="F30" i="6"/>
  <c r="F16" i="6"/>
  <c r="G16" i="6"/>
  <c r="I16" i="6"/>
  <c r="K16" i="6"/>
  <c r="L16" i="6"/>
  <c r="M16" i="6"/>
  <c r="N16" i="6"/>
  <c r="O16" i="6"/>
  <c r="L115" i="6"/>
  <c r="G115" i="6"/>
  <c r="H115" i="6" s="1"/>
  <c r="F80" i="6"/>
  <c r="M80" i="6"/>
  <c r="G80" i="6"/>
  <c r="K68" i="6"/>
  <c r="F68" i="6"/>
  <c r="G68" i="6"/>
  <c r="I68" i="6"/>
  <c r="M68" i="6"/>
  <c r="M59" i="6"/>
  <c r="N59" i="6"/>
  <c r="I59" i="6"/>
  <c r="L59" i="6"/>
  <c r="F59" i="6"/>
  <c r="G59" i="6"/>
  <c r="K56" i="6"/>
  <c r="F56" i="6"/>
  <c r="N56" i="6"/>
  <c r="G56" i="6"/>
  <c r="H41" i="6"/>
  <c r="J41" i="6"/>
  <c r="M111" i="6"/>
  <c r="F111" i="6"/>
  <c r="N111" i="6"/>
  <c r="O114" i="6"/>
  <c r="O110" i="6"/>
  <c r="M108" i="6"/>
  <c r="G108" i="6"/>
  <c r="H108" i="6" s="1"/>
  <c r="O101" i="6"/>
  <c r="L101" i="6"/>
  <c r="G101" i="6"/>
  <c r="H101" i="6" s="1"/>
  <c r="H46" i="6"/>
  <c r="J46" i="6"/>
  <c r="G41" i="6"/>
  <c r="I41" i="6"/>
  <c r="L41" i="6"/>
  <c r="M41" i="6"/>
  <c r="O41" i="6"/>
  <c r="K41" i="6"/>
  <c r="N41" i="6"/>
  <c r="J29" i="6"/>
  <c r="J7" i="6"/>
  <c r="H7" i="6"/>
  <c r="L46" i="6"/>
  <c r="M46" i="6"/>
  <c r="N46" i="6"/>
  <c r="O46" i="6"/>
  <c r="K44" i="6"/>
  <c r="L44" i="6"/>
  <c r="M44" i="6"/>
  <c r="F44" i="6"/>
  <c r="G29" i="6"/>
  <c r="H29" i="6" s="1"/>
  <c r="I29" i="6"/>
  <c r="K29" i="6"/>
  <c r="L29" i="6"/>
  <c r="M29" i="6"/>
  <c r="O29" i="6"/>
  <c r="G17" i="6"/>
  <c r="I17" i="6"/>
  <c r="K17" i="6"/>
  <c r="L17" i="6"/>
  <c r="M17" i="6"/>
  <c r="N17" i="6"/>
  <c r="O17" i="6"/>
  <c r="G5" i="6"/>
  <c r="H5" i="6" s="1"/>
  <c r="I5" i="6"/>
  <c r="K5" i="6"/>
  <c r="L5" i="6"/>
  <c r="M5" i="6"/>
  <c r="N5" i="6"/>
  <c r="O5" i="6"/>
  <c r="I109" i="6"/>
  <c r="I102" i="6"/>
  <c r="I96" i="6"/>
  <c r="M86" i="6"/>
  <c r="N82" i="6"/>
  <c r="G89" i="6"/>
  <c r="H89" i="6" s="1"/>
  <c r="O89" i="6"/>
  <c r="I42" i="6"/>
  <c r="K42" i="6"/>
  <c r="M42" i="6"/>
  <c r="F28" i="6"/>
  <c r="G28" i="6"/>
  <c r="I28" i="6"/>
  <c r="K28" i="6"/>
  <c r="L28" i="6"/>
  <c r="N28" i="6"/>
  <c r="M71" i="6"/>
  <c r="I71" i="6"/>
  <c r="F64" i="6"/>
  <c r="G64" i="6"/>
  <c r="N64" i="6"/>
  <c r="M35" i="6"/>
  <c r="N35" i="6"/>
  <c r="O35" i="6"/>
  <c r="F35" i="6"/>
  <c r="G35" i="6"/>
  <c r="I35" i="6"/>
  <c r="O85" i="6"/>
  <c r="K85" i="6"/>
  <c r="K81" i="6"/>
  <c r="G81" i="6"/>
  <c r="H81" i="6" s="1"/>
  <c r="F76" i="6"/>
  <c r="N76" i="6"/>
  <c r="O109" i="6"/>
  <c r="M89" i="6"/>
  <c r="G77" i="6"/>
  <c r="O77" i="6"/>
  <c r="O71" i="6"/>
  <c r="G65" i="6"/>
  <c r="H65" i="6" s="1"/>
  <c r="O65" i="6"/>
  <c r="N44" i="6"/>
  <c r="K32" i="6"/>
  <c r="L32" i="6"/>
  <c r="M32" i="6"/>
  <c r="N32" i="6"/>
  <c r="O32" i="6"/>
  <c r="F32" i="6"/>
  <c r="J3" i="6"/>
  <c r="K49" i="6"/>
  <c r="K37" i="6"/>
  <c r="G33" i="6"/>
  <c r="H33" i="6" s="1"/>
  <c r="K25" i="6"/>
  <c r="J24" i="6"/>
  <c r="I23" i="6"/>
  <c r="G21" i="6"/>
  <c r="H21" i="6" s="1"/>
  <c r="F20" i="6"/>
  <c r="J12" i="6"/>
  <c r="I11" i="6"/>
  <c r="G9" i="6"/>
  <c r="H9" i="6" s="1"/>
  <c r="F8" i="6"/>
  <c r="M3" i="6"/>
  <c r="G23" i="6"/>
  <c r="G11" i="6"/>
  <c r="F23" i="6"/>
  <c r="O20" i="6"/>
  <c r="F11" i="6"/>
  <c r="O8" i="6"/>
  <c r="N7" i="6"/>
  <c r="N20" i="6"/>
  <c r="O34" i="6"/>
  <c r="N33" i="6"/>
  <c r="O22" i="6"/>
  <c r="N21" i="6"/>
  <c r="M20" i="6"/>
  <c r="O10" i="6"/>
  <c r="N9" i="6"/>
  <c r="M8" i="6"/>
  <c r="L7" i="6"/>
  <c r="N34" i="6"/>
  <c r="M33" i="6"/>
  <c r="O23" i="6"/>
  <c r="N22" i="6"/>
  <c r="M21" i="6"/>
  <c r="L20" i="6"/>
  <c r="K19" i="6"/>
  <c r="O11" i="6"/>
  <c r="N10" i="6"/>
  <c r="M9" i="6"/>
  <c r="L8" i="6"/>
  <c r="K7" i="6"/>
  <c r="G3" i="6"/>
  <c r="H3" i="6" s="1"/>
  <c r="O48" i="6"/>
  <c r="O36" i="6"/>
  <c r="M34" i="6"/>
  <c r="L33" i="6"/>
  <c r="O24" i="6"/>
  <c r="N23" i="6"/>
  <c r="M22" i="6"/>
  <c r="L21" i="6"/>
  <c r="O12" i="6"/>
  <c r="N11" i="6"/>
  <c r="M10" i="6"/>
  <c r="L9" i="6"/>
  <c r="H148" i="6" l="1"/>
  <c r="J148" i="6"/>
  <c r="H57" i="6"/>
  <c r="J57" i="6"/>
  <c r="H23" i="6"/>
  <c r="J23" i="6"/>
  <c r="J56" i="6"/>
  <c r="H56" i="6"/>
  <c r="J84" i="6"/>
  <c r="H84" i="6"/>
  <c r="J136" i="6"/>
  <c r="H136" i="6"/>
  <c r="H45" i="6"/>
  <c r="J45" i="6"/>
  <c r="J44" i="6"/>
  <c r="H44" i="6"/>
  <c r="H16" i="6"/>
  <c r="J16" i="6"/>
  <c r="H47" i="6"/>
  <c r="J47" i="6"/>
  <c r="H59" i="6"/>
  <c r="J59" i="6"/>
  <c r="J80" i="6"/>
  <c r="H80" i="6"/>
  <c r="J121" i="6"/>
  <c r="H121" i="6"/>
  <c r="H11" i="6"/>
  <c r="J11" i="6"/>
  <c r="J68" i="6"/>
  <c r="H68" i="6"/>
  <c r="J60" i="6"/>
  <c r="H60" i="6"/>
  <c r="H35" i="6"/>
  <c r="J35" i="6"/>
  <c r="J92" i="6"/>
  <c r="H92" i="6"/>
  <c r="J105" i="6"/>
  <c r="H105" i="6"/>
  <c r="H4" i="6"/>
  <c r="J4" i="6"/>
  <c r="H164" i="6"/>
  <c r="J164" i="6"/>
  <c r="J8" i="6"/>
  <c r="H8" i="6"/>
  <c r="H53" i="6"/>
  <c r="J53" i="6"/>
  <c r="J150" i="6"/>
  <c r="H150" i="6"/>
  <c r="H111" i="6"/>
  <c r="J111" i="6"/>
  <c r="H76" i="6"/>
  <c r="J76" i="6"/>
  <c r="H30" i="6"/>
  <c r="J30" i="6"/>
  <c r="H64" i="6"/>
  <c r="J64" i="6"/>
  <c r="H144" i="6"/>
  <c r="J144" i="6"/>
  <c r="J138" i="6"/>
  <c r="H138" i="6"/>
  <c r="J32" i="6"/>
  <c r="H32" i="6"/>
  <c r="H28" i="6"/>
  <c r="J28" i="6"/>
  <c r="H112" i="6"/>
  <c r="J112" i="6"/>
  <c r="H165" i="6"/>
  <c r="J165" i="6"/>
  <c r="J126" i="6"/>
  <c r="H126" i="6"/>
  <c r="H40" i="6"/>
  <c r="J40" i="6"/>
  <c r="J88" i="6"/>
  <c r="H88" i="6"/>
  <c r="H104" i="6"/>
  <c r="J104" i="6"/>
  <c r="H114" i="6"/>
  <c r="J114" i="6"/>
  <c r="H52" i="6"/>
  <c r="J52" i="6"/>
  <c r="H159" i="6"/>
  <c r="J159" i="6"/>
  <c r="J153" i="6"/>
  <c r="H153" i="6"/>
  <c r="J20" i="6"/>
  <c r="H20" i="6"/>
  <c r="J98" i="6"/>
  <c r="H98" i="6"/>
  <c r="H129" i="6"/>
  <c r="J129" i="6"/>
  <c r="H90" i="6"/>
  <c r="J90" i="6"/>
</calcChain>
</file>

<file path=xl/sharedStrings.xml><?xml version="1.0" encoding="utf-8"?>
<sst xmlns="http://schemas.openxmlformats.org/spreadsheetml/2006/main" count="3688" uniqueCount="555">
  <si>
    <t>Evaluator</t>
  </si>
  <si>
    <t>Question</t>
  </si>
  <si>
    <t>status</t>
  </si>
  <si>
    <t>response_time</t>
  </si>
  <si>
    <t>answerability</t>
  </si>
  <si>
    <t>primary_kc_alignment</t>
  </si>
  <si>
    <t>secondary_kc_alignment</t>
  </si>
  <si>
    <t>synergy</t>
  </si>
  <si>
    <t>topic_alignment</t>
  </si>
  <si>
    <t>grade_alignment</t>
  </si>
  <si>
    <t>real_world_feasibility</t>
  </si>
  <si>
    <t>clarity</t>
  </si>
  <si>
    <t>conciseness_and_relevance</t>
  </si>
  <si>
    <t>language_quality</t>
  </si>
  <si>
    <t>content_appropriateness</t>
  </si>
  <si>
    <t>explanation</t>
  </si>
  <si>
    <t>TD</t>
  </si>
  <si>
    <t>Question 1</t>
  </si>
  <si>
    <t>Question 2</t>
  </si>
  <si>
    <t>Question 3</t>
  </si>
  <si>
    <t>'NA</t>
  </si>
  <si>
    <t>answerability: Final question asks to subtract 3 towels from 1 remaining towel (1-3=-2), creating impossible negative result. secondary_kc_alignment: The subtraction 1-3=-2 creates mathematically impossible scenario with negative towels. real_world_feasibility: Cannot wash 3 towels by hand when only 1 towel remains available.</t>
  </si>
  <si>
    <t>Question 4</t>
  </si>
  <si>
    <t>Grade Alignment: The problem requires multiplying 3-digit numbers (128, 153) by 1-digit numbers (7, 5), which is typically taught in Primary 4, not Primary 3. Primary 3 students typically work with 2-digit by 1-digit multiplication. Real-World Feasibility: Each cleaning staff cleaning 128-153 rooms per month is unrealistic - this would mean 4-5 rooms per day assuming 30 working days, which is not feasible for hotel room cleaning that requires thorough cleaning.</t>
  </si>
  <si>
    <t>Question 5</t>
  </si>
  <si>
    <t>Question 6</t>
  </si>
  <si>
    <t>Question 7</t>
  </si>
  <si>
    <t>Question 8</t>
  </si>
  <si>
    <t>Question 9</t>
  </si>
  <si>
    <t>Question 10</t>
  </si>
  <si>
    <t>Answerability: Missing critical information - the number of teams is not specified, making the problem unsolvable. We know there are teams of 6 cleaners but not how many teams exist. Primary KC Alignment: Cannot perform the intended division operation (4-digit by 1-digit) because the divisor (number of teams) is unknown. The problem setup prevents demonstrating this knowledge component. Synergy: Since the primary division step cannot be completed due to missing information, the two knowledge components cannot work together as intended. Clarity: The problem statement is ambiguous about the total number of teams, creating confusion about what division operation should be performed.</t>
  </si>
  <si>
    <t>Question 11</t>
  </si>
  <si>
    <t>The two questions in the word problem are independent of each other. Question 1 asks for addition of fractions 3/4 + 2/3, while Question 2 asks for ordering the same fractions 3/4 and 2/3. The result from Question 1 (which would be 17/12 hours) is not used as input for Question 2. Both questions use the same given information independently, lacking the required connection where an early question's result serves as known information for a later question.</t>
  </si>
  <si>
    <t>Question 12</t>
  </si>
  <si>
    <t>Answerability: The question 'What fraction of her allowance did Aisha spend on the streaming service compared to the cleaning supplies?' is ambiguous - could mean difference (5/8 - 1/3), ratio (5/8 / 1/3), or total (5/8 + 1/3). Primary KC Alignment: Due to ambiguous wording, it's unclear if subtraction of unlike fractions is required. Synergy: Primary and secondary knowledge components cannot work in tandem effectively when the primary operation is unclear. Clarity: The main question lacks clarity about which mathematical operation to perform.</t>
  </si>
  <si>
    <t>Question 13</t>
  </si>
  <si>
    <t>Question 14</t>
  </si>
  <si>
    <t>Grade alignment fails because converting 3.35 to fraction form requires finding that 3.35 = 335/100, then simplifying 335/100 to 67/20 by finding GCD of 335 and 100. This level of fraction simplification with 3-digit numerators and finding GCD(335,100) = 5 exceeds typical Primary 4 expectations in Singapore math curriculum.</t>
  </si>
  <si>
    <t>Question 15</t>
  </si>
  <si>
    <t>Secondary KC alignment: The subtraction of 25.75 - 18.60 = 7.15 results in a number with only 2 decimal places, but the secondary KC requires rounding decimals up to 3 decimal places. The result 7.15 does not have 3 decimal places to demonstrate the intended rounding skill. Synergy: The primary and secondary knowledge components are not used in tandem effectively since the subtraction result does not naturally require the full scope of the secondary KC (rounding up to 3 decimal places), making the rounding exercise feel artificial rather than integrated.</t>
  </si>
  <si>
    <t>Question 16</t>
  </si>
  <si>
    <t>Synergy: The two parts (a) and (b) are independent questions that do not require using the result from part (a) to solve part (b). Part (a) requires multiplying 4.75 x 3, while part (b) requires converting 4.75 to a fraction. These can be solved separately without any connection between the answers.</t>
  </si>
  <si>
    <t>Question 17</t>
  </si>
  <si>
    <t>Question 18</t>
  </si>
  <si>
    <t>Question 19</t>
  </si>
  <si>
    <t>Secondary KC alignment: Problem requires decimal multiplication (3 x 7.60, 2 x 3.90) which is not the intended secondary KC of decimal addition. While decimal addition is used (22.80 + 7.80), it is not the primary computational challenge. Synergy: The primary KC (decimal division) and intended secondary KC (decimal addition) are not used in tandem since decimal multiplication dominates the problem complexity rather than decimal addition.</t>
  </si>
  <si>
    <t>Question 20</t>
  </si>
  <si>
    <t>Part (b) is confusing and unclear. The phrase 'where should this day be placed in order compared to another day' is awkward. The question mentions 'more than 4 hours' but the actual total is 2 1/3 + 1 3/4 = 4 1/12 hours, which is only slightly more than 4. The wording makes it difficult to understand what exactly is being asked.</t>
  </si>
  <si>
    <t>Question 21</t>
  </si>
  <si>
    <t>The two parts of the problem work independently rather than in tandem. Part (a) involves subtraction of mixed numbers while part (b) involves comparison and ordering, but the result from part (a) is not used in part (b). The questions are not connected such that early results inform later questions.</t>
  </si>
  <si>
    <t>Question 22</t>
  </si>
  <si>
    <t>Question 23</t>
  </si>
  <si>
    <t>Question 24</t>
  </si>
  <si>
    <t>Question 25</t>
  </si>
  <si>
    <t>Answerability: The problem states cleaning 9/4 rooms which equals 2.25 rooms or 2 and 1/4 rooms. This is unrealistic as you cannot clean a fractional part of a room in practical terms. Real-World Plausibility: Cleaning 9/4 = 2.25 rooms does not represent a realistic scenario as rooms are discrete units that cannot be partially cleaned in the context described.</t>
  </si>
  <si>
    <t>Question 26</t>
  </si>
  <si>
    <t>Primary KC alignment fails because the problem requires multiplying fraction by whole number (9/4 * 3 and 5/6 * 3), not multiplying two improper fractions as specified in the intended Primary Knowledge Component.</t>
  </si>
  <si>
    <t>Question 27</t>
  </si>
  <si>
    <t>Secondary KC alignment fails: The problem requires multiplying fractions (5/6 × 21/4) then subtracting, not direct fraction subtraction as specified in the intended Secondary Knowledge Component of subtracting fractions.</t>
  </si>
  <si>
    <t>Question 28</t>
  </si>
  <si>
    <t>The problem lacks real-world plausibility because cleaning 8/5 rooms (1.6 rooms) is not realistic - you cannot clean a fractional portion of a room in typical cleaning operations.</t>
  </si>
  <si>
    <t>Question 29</t>
  </si>
  <si>
    <t>Answerability: The problem has conflicting information. If each room requires 2 1/4 hours and she cleaned all 5 rooms, the minimum time needed is 5 * 2 1/4 = 11 1/4 hours. She cannot spend 1 1/2 hours less than this expected time while still completing all required work. Real-World Plausibility: The scenario is illogical - completing required work in less time than the stated requirement per room is impossible.</t>
  </si>
  <si>
    <t>Question 30</t>
  </si>
  <si>
    <t>Primary KC alignment fails because part (a) requires 3.75 x 12 = 45.00, which is simple decimal multiplication, not multiplication by 10, 100, 1000 or their multiples as specified. Synergy fails because the two parts are independent - part (a) calculates total cost while part (b) converts decimal to fraction, with no connection between the solutions.</t>
  </si>
  <si>
    <t>Question 31</t>
  </si>
  <si>
    <t>Primary KC alignment: The problem requires multiplying 3.850 by 140 and 3.850 by 1.4, but does not specifically require multiplying decimals by 10, 100, 1000 or their multiples as intended. The calculations are 3.850 x 140 and 3.850 x 1.4, which are general decimal multiplication, not the specific skill of multiplying by powers of 10. Synergy: While both primary and secondary knowledge components are present in the problem, they are not used in tandem effectively. The primary KC (multiplying by multiples of 10/100/1000) is not actually required, and the subtraction of decimals occurs independently rather than building upon the multiplication component meaningfully.</t>
  </si>
  <si>
    <t>Question 32</t>
  </si>
  <si>
    <t>Primary KC alignment: Part (a) requires 123.456 / 1000 = 0.123456, but the instruction to give answer up to 3 decimal places requires rounding to 0.123, which involves rounding knowledge beyond the intended primary KC of pure division.</t>
  </si>
  <si>
    <t>Question 33</t>
  </si>
  <si>
    <t>Answerability: The problem contains conflicting information. The initial statement says charges are divided equally among all square metres, but then asks for cost per square metre using only the initial 1000 square metres (12.500/1000 = 0.0125), while the total cost calculation would use 1250 square metres (12.500/1250 = 0.01). This creates inconsistent pricing. Clarity: The decimal notation 12.500 is ambiguous - unclear if this represents 12.5 or 12500 dollars, creating confusion about the actual amount. Conciseness and Relevance: Questions (b) and (c) are redundant as they ask for the same information - the total cost of cleaning all areas, making one question unnecessary.</t>
  </si>
  <si>
    <t>Question 34</t>
  </si>
  <si>
    <t>Question 35</t>
  </si>
  <si>
    <t>Question 36</t>
  </si>
  <si>
    <t>Primary KC alignment fails because the problem requires finding the total cost given rate and quantity, not finding number of units given rate and total amount. The student needs to calculate: 6500g = 6.5kg, then 6.5 x 2.50 = 16.25. This involves finding total amount from rate and units, which is the opposite of the intended primary KC.</t>
  </si>
  <si>
    <t>Question 37</t>
  </si>
  <si>
    <t>primary_kc_alignment: The problem requires dividing fractions by fractions (3/4 ÷ 1/8 and 5/8 ÷ 1/8), not dividing a proper fraction by a whole number as specified in the intended Primary Knowledge Component.</t>
  </si>
  <si>
    <t>Question 38</t>
  </si>
  <si>
    <t>Question 39</t>
  </si>
  <si>
    <t>Secondary Knowledge Component Alignment: Part (b) requires adding fractions (5/6 + 1/2), not subtracting fractions as specified in the intended secondary knowledge component. Synergy: The two parts do not work in tandem - part (b) can be solved independently without using results from part (a). The connection between parts is weak as they address different aspects of the problem rather than building upon each other.</t>
  </si>
  <si>
    <t>Question 40</t>
  </si>
  <si>
    <t>Answerability: The phrase 'Each cleaning session costs 3/4 of the amount she has' is ambiguous - unclear if this refers to 3/4 of original $60 or remaining money after each purchase. Real-world feasibility: A cleaning service costing $45 per session when the customer only has $60 total is unrealistic - no one would price services at 75% of a customer's total budget, and fractional cleaning sessions (1.33 sessions) cannot occur in reality. Clarity: The ambiguous wording about what 'the amount she has' refers to makes the problem unclear.</t>
  </si>
  <si>
    <t>Question 41</t>
  </si>
  <si>
    <t>Answerability: If 40% of rooms = 36 rooms, total = 90 rooms. Adding 18 more requesting service gives 54 rooms, which is 60% of 90, contradicting the 40% constraint. Secondary KC alignment: The addition creates logical contradiction rather than meaningful complexity. Synergy: Components cannot work together due to conflicting constraints. Real-world feasibility: Scenario is illogical - additional requests would change the percentage from the stated 40%.</t>
  </si>
  <si>
    <t>Question 42</t>
  </si>
  <si>
    <t>Question 43</t>
  </si>
  <si>
    <t>Synergy: The two parts (a) and (b) can be solved independently. Part (a) requires addition: 15 + 20 + 25 = 60. Part (b) requires finding ratio: 15:20:25 = 3:4:5. The result from part (a) is not needed to solve part (b), so the Primary and Secondary Knowledge Components are not used in tandem.</t>
  </si>
  <si>
    <t>Question 44</t>
  </si>
  <si>
    <t>Secondary KC alignment: Part (b) requires basic arithmetic substitution (C = 8 + 2 * 5 = 18) rather than simplifying linear expressions like combining like terms or distributing. Synergy: The two knowledge components are not used in tandem - part (a) uses translation to algebraic expressions while part (b) uses basic substitution, operating independently rather than building upon each other. Grade alignment: Algebraic expressions with variables are typically introduced in Secondary 1-2, not Primary 6 where students work with arithmetic and basic problem solving without formal algebra.</t>
  </si>
  <si>
    <t>Question 45</t>
  </si>
  <si>
    <t>Grade alignment: The problem involves basic percentage calculations and decimal arithmetic (15% of 30 = 4.50, resulting in 25.50) which are typically covered in lower secondary grades. For O-level 1 students, the mathematical content is too elementary and does not match the expected complexity and knowledge components for that grade level.</t>
  </si>
  <si>
    <t>Question 46</t>
  </si>
  <si>
    <t>Question 47</t>
  </si>
  <si>
    <t>Grade Alignment: The problem involves basic direct proportion and simple multiplication which are too elementary for Secondary O-level 2 students. O-level mathematics typically covers advanced algebra, quadratic equations, trigonometry, and complex problem-solving that would be inappropriate for this age group and academic level.</t>
  </si>
  <si>
    <t>Question 48</t>
  </si>
  <si>
    <t>Question 49</t>
  </si>
  <si>
    <t>Minh</t>
  </si>
  <si>
    <t>Synergy: Part (a) finds 245/6 = 40 complete baskets, but part (b) calculates 4*5 = 20 baskets washed independently. The result from part (a) is not used in part (b), so the knowledge components do not work in tandem.</t>
  </si>
  <si>
    <t>Secondary KC Alignment: The problem does not require multiplication to solve. Part (a) uses division: 168 / 4 = 42. Part (b) uses division: 42 / 8 = 5 remainder 2, so 5 complete bundles. No multiplication is needed in the solution process. Synergy: Since multiplication is not required to solve the problem, there is no synergy between the primary KC (division) and secondary KC (multiplication). Only division operations are used throughout both parts of the problem.</t>
  </si>
  <si>
    <t>Grade alignment: Primary 3 students typically work with simple fractions like 1/2, 1/4, 1/3. This problem requires adding fractions with denominators 3 and 6 (2/3 + 1/6 = 5/6), then subtracting from 1 (1 - 5/6 = 1/6). Finding common denominators and working with sixths is typically introduced in Primary 4 or 5, making this too advanced for Primary 3.</t>
  </si>
  <si>
    <t>Language Quality: The problem contains an inconsistent decimal format - 13.299 appears to have 3 decimal places while the context suggests it should be 13.29 (2 decimal places) to align with typical pricing conventions and the primary knowledge component focusing on 2 decimal places.</t>
  </si>
  <si>
    <t>Primary KC alignment: The problem does not require decimal subtraction as the primary skill. Question (a) only needs addition: 12.95 + 3.50 = 16.45. Question (b) is straightforward as the answer is given as 12.95 (original streaming cost). No actual subtraction calculation is performed. Synergy: The two knowledge components are not used in tandem. Question (a) uses only addition, question (b) requires no calculation. The questions are connected logically but do not require both addition and subtraction skills to solve.</t>
  </si>
  <si>
    <t>Synergy: The two parts (a) and (b) are independent questions that do not require using the result from part (a) to solve part (b). Part (a) requires dividing 24 by 3.75, while part (b) only requires converting 3.75 to a fraction. The questions are not connected and do not need to be used in tandem to solve the complete problem.</t>
  </si>
  <si>
    <t>Real-world feasibility: Commercial laundries do not typically divide individual customers clothes equally by weight into multiple machines. The precise water loss calculation of 0.28 kg seems artificially constructed rather than reflecting realistic laundry operations.</t>
  </si>
  <si>
    <t>Answerability: The problem contains conflicting information. They need 6 * (3/5) * 10 = 36 litres to clean 6 rooms, but only have 10 - (2/3 * 10) = 10/3 = 3.33 litres available after last week's usage. Real-World Plausibility: The scenario is impossible as they cannot use more disinfectant than what is available in the bottle.</t>
  </si>
  <si>
    <t>The information about 4/5 of rooms requiring special cleaning is provided but not used in solving the problem, making it irrelevant information that violates conciseness and relevance.</t>
  </si>
  <si>
    <t>Secondary KC Alignment: The problem requires multiplying 2 1/4 × 6 = 13.5 = 27/2, which is already in simplest form since gcd(27,2) = 1. No actual simplification is needed, so the secondary knowledge component is not required. Synergy: Since the secondary knowledge component is not needed for solving this problem, the primary and secondary components do not work in tandem as required.</t>
  </si>
  <si>
    <t>The problem includes irrelevant information: the cost of $15 for cleaning 1 room is mentioned but not needed to solve either part (a) or part (b) of the problem. All given numbers should be necessary for solving the word problem.</t>
  </si>
  <si>
    <t>Primary KC Alignment: The problem requires multiplying 6.125 by 100, which is a general decimal multiplication rather than specifically multiplying by multiples of 10, 100, or 1000. The calculation 6.125 * 100 = 612.5 does not demonstrate the intended knowledge of multiplying decimals by multiples of these base numbers, as 100 itself is one of the base numbers, not a multiple of them.</t>
  </si>
  <si>
    <t>Real-world feasibility: The pricing mechanism of dividing weight by 100 to get cost in dollars is unrealistic. For 13.6 kg laundry, this would result in $0.136 or about 14 cents, which is far below realistic laundry service pricing. Typical laundry services charge much more per kg of clothing.</t>
  </si>
  <si>
    <t>Secondary KC alignment: The problem does not require converting measurements from larger to smaller units - it only involves dividing decimal numbers, not unit conversion. The 1.5 hours remains as hours throughout. Synergy: Since the secondary KC is not properly integrated, there is no synergy between primary and secondary knowledge components.</t>
  </si>
  <si>
    <t>The two parts of the problem can be solved independently without using results from one part to solve the other. Part (a) calculates earnings using 7.50 * 18.5 = 138.75, while part (b) converts time using 18.5 * 60 = 1110. True synergy requires the knowledge components to work in tandem within connected questions.</t>
  </si>
  <si>
    <t>Secondary KC alignment: The answer 3/4 / 3 = 1/4 is already in simplest form, so no actual simplification is needed. Synergy: Since simplification is not genuinely required, the primary and secondary knowledge components do not work together as intended.</t>
  </si>
  <si>
    <t>Synergy: The two parts (a) and (b) are independent problems that do not require using results from part (a) to solve part (b). Part (a) involves dividing 5 by 3/4, while part (b) involves comparing 3/4 and 2/3. The questions are not connected as required for synergy - the answer from part (a) is not used as known information for part (b).</t>
  </si>
  <si>
    <t>Secondary KC alignment fails because solving requires decimal division ($60 / 0.85), not whole number subtraction as intended. Synergy fails because the secondary KC of whole number subtraction is not actually needed to solve the problem.</t>
  </si>
  <si>
    <t>Answerability: 3/5 = x/12 gives x = 7.2 workers, but you cannot have fractional workers. Grade Alignment: Primary 6 students typically work with whole number ratios, not problems resulting in 7.2 workers. Real-World Plausibility: Cannot have 7.2 or 9.2 workers as fractional people do not exist in real cleaning companies.</t>
  </si>
  <si>
    <t>Grade alignment fails because formal algebraic expressions using variables like C = 40 + 12r are typically introduced in Secondary 1 in Singapore math curriculum, not Primary 6. Primary 6 students work with arithmetic and basic patterns but not formal algebra notation.</t>
  </si>
  <si>
    <t>Grade Alignment: The problem requires formal algebraic equation writing using variables (Let x be...) and solving linear equations with variables, which are typically Secondary 1-2 concepts in Singapore math curriculum. Primary 6 students typically solve similar problems using arithmetic methods like division (120 ÷ 4 = 30) rather than algebraic equation solving.</t>
  </si>
  <si>
    <t>Grade alignment issue: The problem requires advanced fraction operations including finding common denominators for 2/5, 1/4, and 7/20, then expressing ratios with fractions like 8/20 : 5/20 : 7/20. This level of complexity with fraction ratios is typically taught in upper secondary mathematics, not Secondary O-level 1.</t>
  </si>
  <si>
    <t>Grade alignment fails - Secondary O-level 1 students typically work with whole number ratios and basic fraction operations. The combination of fractional ratios (3/4 : 1) with multi-step fraction division ((3/4 * 5/8) / (1/2)) creates complexity beyond typical O-level 1 curriculum expectations.</t>
  </si>
  <si>
    <t>Synergy: The two parts (a) and (b) are independent questions that do not require using results from part (a) to solve part (b). Part (a) uses ratio with decimals (2.5:1 = 5:2, finding 140 basic and 55 premium packages). Part (b) uses decimal subtraction (5.60 - 4.80 = 0.80). However, the answer from part (a) is not needed to solve part (b), violating the synergy requirement that results from earlier questions should be used in later questions.</t>
  </si>
  <si>
    <t>Question 50</t>
  </si>
  <si>
    <t>Question 51</t>
  </si>
  <si>
    <t>Secondary KC alignment fails because the problem requires division (24/6=4, 24/2=12) not multiplication of whole numbers. Synergy fails because the intended secondary KC (multiplication) is not actually needed to solve the problem, so the two components do not work in tandem as required.</t>
  </si>
  <si>
    <t>Question 52</t>
  </si>
  <si>
    <t>Grade alignment issue: Inverse proportion (6 cleaners * 8 hours = 4 cleaners * x hours) is typically taught at Primary 6 level in Singapore math curriculum, not Secondary O-level 2. This problem is too elementary for the intended grade level.</t>
  </si>
  <si>
    <t>Question 53</t>
  </si>
  <si>
    <t>Question 54</t>
  </si>
  <si>
    <t>synergy: The two questions (a) and (b) are independent calculations that do not require using results from one question to solve the other. There is no connection between finding median and mode that requires tandem usage. grade_alignment: Finding median and mode are basic statistical concepts typically taught at Primary 6 or Secondary 1 level, not Secondary O-level 2. This problem lacks the complexity and advanced statistical concepts expected for Secondary O-level 2 students.</t>
  </si>
  <si>
    <t>Question 55</t>
  </si>
  <si>
    <t>The two parts (a) and (b) are independent statistical calculations on the same dataset. Part (a) finds the median and part (b) finds the 75th percentile, but the result from part (a) is not needed to solve part (b). The questions do not work in tandem as required for synergy.</t>
  </si>
  <si>
    <t>Question 56</t>
  </si>
  <si>
    <t>Answerability: The phrase 'after n years' is ambiguous - unclear if this means at end of year n or after n years have passed, creating uncertainty about whether answer should be 8*2^n or 8*2^(n-1). Synergy: The two knowledge components do not work in tandem - students can solve both parts using only index operations without meaningful integration of positive indices representation concepts. Clarity: Temporal ambiguity between 'after n years' in question 1 and 'in the 4th year' in question 2 creates confusion about the intended relationship.</t>
  </si>
  <si>
    <t>Question 57</t>
  </si>
  <si>
    <t>Real-world feasibility: The formula n = 4 * (2^(1/2))^k means devices grow exponentially by factor of sqrt(2) ≈ 1.414 each year. After 6 years this gives 4 * 2^3 = 32 devices, after 8 years gives 64 devices. In reality, streaming services typically allow 2-6 devices maximum and do not increase device limits exponentially each year as this would be unsustainable business practice.</t>
  </si>
  <si>
    <t>Question 58</t>
  </si>
  <si>
    <t>Question 59</t>
  </si>
  <si>
    <t>Question 60</t>
  </si>
  <si>
    <t>Question 61</t>
  </si>
  <si>
    <t>Grade Alignment: This problem requires matrix operations including matrix subtraction, transpose, and multiplication which are typically covered in A-level mathematics or higher secondary education, not O-level Secondary 3/4. The complexity of matrix operations with 3x2 matrices and understanding of transpose operations exceeds the typical O-level curriculum.</t>
  </si>
  <si>
    <t>Question 62</t>
  </si>
  <si>
    <t>Question 63</t>
  </si>
  <si>
    <t>Grade alignment: This problem requires understanding of independent events, multiplication rule for independent events, and addition rule for mutually exclusive events (using complement or inclusion-exclusion principle). These concepts are typically taught at A-level or higher secondary mathematics, not at O-level 3/4 grade where basic probability concepts are introduced but advanced probability rules involving independence and compound events are not yet covered.</t>
  </si>
  <si>
    <t>Sarah</t>
  </si>
  <si>
    <t>Grade alignment fails because Primary 3 students typically learn multiplication with 2-digit numbers, but this problem requires multiplying 125 (3 digits) by 4 (1 digit), which is typically introduced in Primary 4. The calculation 125 × 4 = 500 exceeds the computational expectations for Primary 3 level.</t>
  </si>
  <si>
    <t>Grade Alignment: The problem involves fractions with denominators 12 and 6, requiring addition of fractions with different denominators and simplification to lowest terms. These concepts are typically introduced in Primary 4-5 in Singapore math curriculum, not Primary 3. Primary 3 students typically work with simpler fractions like halves, thirds, and quarters.</t>
  </si>
  <si>
    <t>Clarity: Question (a) asks 'What fraction of her watchlist movies did she watch last month than this month?' which is grammatically unclear and ambiguous. It should ask 'How many more movies did she watch last month than this month?' or 'What is the difference between the fractions watched last month and this month?' Language Quality: The phrasing in question (a) contains grammatical errors making it confusing to understand what mathematical operation is being requested.</t>
  </si>
  <si>
    <t>Answerability: The problem is not clearly answerable because it is ambiguous whether the 8 cancelled apartments are part of the 128 apartments cleaned or additional to them. If they cancelled at the last minute, they likely were not actually cleaned, making the statement contradictory. Clarity: The problem lacks clarity in explaining the relationship between the 128 apartments cleaned and the 8 cancelled appointments, creating confusion about which apartments were actually serviced.</t>
  </si>
  <si>
    <t>Secondary KC alignment fails because addition is not actually needed to solve either question - the total 3456 is already given and individual amounts found by division. Synergy fails because the secondary KC addition is not required in tandem with division to solve the problem.</t>
  </si>
  <si>
    <t>Grade Alignment: The problem uses 3 decimal places (29.698) which exceeds Primary 4 curriculum that typically covers up to 2 decimal places. Real-World Plausibility: Streaming service costs are not typically priced to 3 decimal places like 29.698 dollars - real pricing would be 29.70 or similar whole cent amounts.</t>
  </si>
  <si>
    <t>Answerability: The price $3.250 contains conflicting information - unclear if this means $3.25 or $32.50, making the problem unsolvable without clarification. Clarity: The ambiguous price $3.250 creates confusion about the intended decimal value. Language Quality: Typographical error with $3.250 - standard currency notation uses 2 decimal places for dollars and cents.</t>
  </si>
  <si>
    <t>Secondary KC alignment: Rounding 26.25 to nearest 0.01 gives 26.25 - same number, making this rounding task redundant. Clarity: The instruction to round to nearest 0.01 when answer is already at 2 decimal places creates confusion. Conciseness: The redundant rounding instruction adds unnecessary complexity without educational value.</t>
  </si>
  <si>
    <t>Answerability: The $24 charge information is irrelevant to solving the question about bottles needed. Secondary_kc_alignment: The calculation 6 * 2/3 = 4 results in a whole number that requires no fraction simplification. Synergy: Since fraction simplification is not actually needed, the two knowledge components do not work in tandem. Conciseness_and_relevance: The $24 pricing information is unnecessary for solving the problem about bottles of cleaning solution.</t>
  </si>
  <si>
    <t>Real-world feasibility: The scenario is unrealistic - a cleaning company charging the same price ($60) to clean only 3/4 of an apartment during a promotion does not reflect how businesses typically operate. Promotions usually offer discounts or additional value, not less service for the same price.</t>
  </si>
  <si>
    <t>Real-world feasibility: The scenario illogically combines individual account usage with family totals - if family members each use their own accounts with individual allowances, calculating one person's extended usage as the family total doesn't make realistic sense. Clarity: The relationship between individual accounts and family viewing creates ambiguity about whose streaming time is actually being calculated.</t>
  </si>
  <si>
    <t>Primary KC alignment fails because the problem requires general decimal multiplication (0.238 × 200) rather than specifically multiplying decimals by multiples of 10, 100, or 1000 as intended. The calculation 0.238 × 200 does not align with the targeted knowledge component of multiplying by 10, 100, 1000 and their multiples.</t>
  </si>
  <si>
    <t>Primary KC alignment: The problem requires multiplying 2.350 x 20 and 3.60 x 15, but these are not multiplication by 10, 100, 1000 or their multiples as specified in the intended primary KC. The problem involves multiplying decimals by other whole numbers. Synergy: The primary and secondary KCs are not used in tandem as required. The primary KC about multiplying by 10, 100, 1000 is not actually needed, while the secondary KC about adding decimals is used independently after the multiplication steps.</t>
  </si>
  <si>
    <t>Real-world feasibility issue: 18.750 / 11 = 1.7045454... (repeating decimal), but problem context suggests exact 3-decimal place answer. In reality, such costs would be rounded differently for practical payment purposes.</t>
  </si>
  <si>
    <t>Answerability: Logical inconsistency - if 1 crew cleans 3/4 in 1 hour, splitting among 3 crews implies reduced individual capacity without justification. Real-world feasibility: Unrealistic scenario where adding crews reduces individual productivity. Clarity: Confusing setup regarding whether crews work simultaneously or work is redistributed among crews.</t>
  </si>
  <si>
    <t>Answerability: Conflicting information - if 3 teams get equal portions of 3/4, each gets 1/4, but problem states one team's portion is 1/8. Primary KC alignment: Problem focuses more on subtraction than division of fractions. Synergy: Logical inconsistency prevents knowledge components from working together effectively. Clarity: Phrase 'finished their portion 1/8 of the mall earlier' is ambiguous about what 1/8 represents.</t>
  </si>
  <si>
    <t>Primary KC alignment: The problem does not require dividing a proper fraction by a whole number as the primary operation. Part (a) requires multiplying 3/4 by 5, and part (b) requires dividing the result by 5, but the division is of an improper fraction (15/4) by a whole number, not a proper fraction. Synergy: The primary KC (dividing proper fraction by whole number) is not properly utilized in the problem. The main operation in part (a) is fraction multiplication, and part (b) involves dividing an improper fraction, not working in tandem with proper fraction division as intended.</t>
  </si>
  <si>
    <t>Real-world feasibility issue: If they had 4 litres on Monday and used 2/3 litre per room for 6 rooms (4 ÷ 2/3 = 6), they would have used 6 × 2/3 = 4 litres completely. Having 1/2 litre left from Monday creates a logical inconsistency as there should be no detergent remaining.</t>
  </si>
  <si>
    <t>The problem contains conflicting information. It states $240 is 40% of total monthly earnings, but then asks for total charge for 5 equally priced appointments. If $240 = 40% of total earnings, then total earnings = $600. But if there are only 5 appointments total, the total charge should equal total earnings ($600), creating a logical inconsistency that prevents determining a unique solution.</t>
  </si>
  <si>
    <t>Answerability: The problem results in non-whole number answers ($780/9 = $86.67, largest share = $346.67) which creates ambiguity about whether to round or express as fractions/decimals. Grade Alignment: Primary 6 students typically work with whole numbers in money problems. The non-whole dollar amounts ($86.67) exceed the expected complexity for this grade level.</t>
  </si>
  <si>
    <t>Synergy: The two parts (a) and (b) are independent questions that can be solved separately. Part (a) requires finding ratios (6:8:10) while part (b) requires multiplication (6+8+10)*12. The result from part (a) is not needed to solve part (b), so the primary and secondary knowledge components are not used in tandem as required.</t>
  </si>
  <si>
    <t>Primary KC alignment: The problem can be solved using only fraction addition (2/3 + 1/2) and multiplication without requiring ratio manipulation, as the given amounts already match the stated ratio. The ratio information becomes redundant rather than essential. Synergy: Since the ratio work is not essential to the solution, the primary and secondary knowledge components do not work in tandem - the problem reduces to a fraction arithmetic problem. Conciseness: The ratio information (2/3 : 1/2) is not necessary for solving the problem since the actual amounts are directly given and happen to match this ratio, making it redundant information.</t>
  </si>
  <si>
    <t>Secondary KC alignment: The problem does not require fraction multiplication as a necessary step. Part (a) involves simplifying ratios with fractions but not multiplying fractions. Part (b) can be solved using proportion/cross multiplication (2/5 * 3 / (3/4) = 2/5 * 4 = 8/5) but fraction multiplication is not the primary operation needed. Synergy: Since the secondary knowledge component (fraction multiplication) is not properly integrated into the problem solving process, the two knowledge components do not work in tandem as required.</t>
  </si>
  <si>
    <t>Grade alignment: This problem is too advanced for Secondary O-level 1 students. It requires working with ratios involving fractions (2/5 and 4/7), converting between fractions and decimals (2.4), and maintaining proportional relationships across different number formats. These concepts are typically covered in higher secondary levels, not at the foundational O-level 1 stage where students are still building basic algebraic and numerical skills.</t>
  </si>
  <si>
    <t>Grade alignment fails because decimal ratios like 2.5:4.5 and basic decimal addition are Primary school level concepts (typically Grade 5-6), making this problem too elementary for Secondary O-level 1 students who should be working with more advanced mathematical concepts.</t>
  </si>
  <si>
    <t>Grade Alignment: This problem is too advanced for Secondary O-level 1 students. Working with decimal ratios like 2.5:1.75, converting to simplest form by finding common factors, and applying ratio calculations with decimals requires mathematical maturity typically developed in later secondary years. Primary level students would typically work with simple whole number ratios first.</t>
  </si>
  <si>
    <t>Grade alignment: This problem is too simple for Secondary O-level 1 students. The mathematical operations involved (adding 4 to 18 and calculating 15% increase of $50) are elementary level concepts that would be mastered by Primary 5-6 students. Secondary O-level 1 students should be working with more complex percentage problems involving compound calculations, algebraic manipulation, or multi-step reasoning beyond basic arithmetic.</t>
  </si>
  <si>
    <t>Grade alignment issue: This problem is too simple for Secondary O-level 1 students (equivalent to Grade 7/8). The percentage calculation (15% discount) and basic multiplication are concepts typically mastered in Primary 5-6. Secondary O-level 1 students would be expected to handle more complex mathematical concepts involving algebraic thinking, advanced geometry, or multi-step problem solving beyond basic arithmetic operations.</t>
  </si>
  <si>
    <t>Primary KC alignment: The quadratic expression C = 2n^2 + 3n is already given in the problem statement, so students do not need to translate or derive it from the real-world situation. Part (a) asks students to simply restate what is already provided. Synergy: The two parts operate independently - part (a) involves restating the given formula while part (b) involves substitution. There is no meaningful connection where the result of part (a) feeds into part (b) since the formula is already provided. Real-world feasibility: A cost structure of C = 2n^2 + 3n for photo printing is unrealistic. For 1 photo: cost = 2(1)^2 + 3(1) = 5 dollars. For 2 photos: cost = 2(4) + 6 = 14 dollars. For 3 photos: cost = 2(9) + 9 = 27 dollars. This quadratic growth means printing additional photos becomes exponentially more expensive, which does not reflect how photo printing services actually price their products in reality.</t>
  </si>
  <si>
    <t>Grade Alignment: This problem is too elementary for Secondary O-level 2 students. Direct proportion (4:12 = x:54 giving 4*54/12 = 18) and basic division (54/3 = 18) are concepts typically mastered in primary grades 4-6. O-level 2 students would expect more complex mathematical challenges involving advanced algebraic manipulation, systems of equations, or multi-step proportional reasoning.</t>
  </si>
  <si>
    <t>Grade Alignment: This problem is intended for Secondary O-level 2 but the Singapore math syllabus typically introduces linear inequalities in Primary 6 or Secondary 1. For Secondary O-level 2 students, this problem would be too basic as they should be working with more complex algebraic concepts like simultaneous equations, quadratic functions, or advanced algebraic manipulation.</t>
  </si>
  <si>
    <t>Answerability: The discount structure is confusing and contradictory. The problem states there is a discount of x dollars for every hour worked, but then says the number of hours equals the discount per hour, creating circular logic that makes the problem unsolvable as written. Real-world feasibility: A cleaning company giving discounts that increase with more hours worked is unrealistic - companies typically charge more for additional time, not give larger discounts. Clarity: The discount mechanism is poorly explained and creates confusion about whether x represents total discount or per-hour discount, and the relationship between hours worked and discount amount is unclear.</t>
  </si>
  <si>
    <t>Synergy: The two parts (a) and (b) are independent calculations that do not require using results from one part to solve the other part. Part (a) finding median = 15 and part (b) finding range = 20 - 10 = 10 are separate operations on the same dataset without interconnection.</t>
  </si>
  <si>
    <t>The pricing formula 12 * 2^(-n) * n creates unrealistic scenarios where longer advance subscriptions cost significantly less than shorter ones (e.g., 4 months costs $3 vs 3 months costs $4.50), which contradicts normal business practices and consumer expectations.</t>
  </si>
  <si>
    <t>Grade alignment: This problem involves probability concepts including addition rule P(A or B) = P(A) + P(B) - P(A and B) and understanding of independent/dependent events with overlapping probabilities. These concepts are typically covered in upper secondary mathematics or pre-university level, not O-level 3/4 which focuses on more basic probability concepts like simple probability calculations and basic counting principles.</t>
  </si>
  <si>
    <t>Grade alignment issue: This problem is designed for Secondary O-level 3/4 but uses set theory concepts (union of sets, inclusion-exclusion principle) that are typically introduced in Primary 5-6 Singapore syllabus. The problem would be too elementary for Secondary O-level students who should be working with more advanced probability concepts like conditional probability, probability trees, or combinations/permutations.</t>
  </si>
  <si>
    <t>Question 64</t>
  </si>
  <si>
    <t>Grade Alignment: The problem is designed for Secondary O-level 3/4 but uses concepts like independent events and multiplication of probabilities for multiple scenarios which are typically covered in higher secondary mathematics or pre-university levels, not appropriate for the intended grade level.</t>
  </si>
  <si>
    <t>Grade alignment: The problem requires multiplying 3-digit numbers (128, 153) by 1-digit numbers (7, 5), which is typically introduced in Primary 4, not Primary 3. Primary 3 students typically work with 2-digit by 1-digit multiplication. Real-world feasibility: The numbers are unrealistic - 128 rooms per staff per month means about 4-5 rooms per day, but 153 rooms per staff per month means about 5-6 rooms per day. These rates are inconsistent and do not reflect typical hotel cleaning workloads where staff usually clean 10-15 rooms per day.</t>
  </si>
  <si>
    <t>Answerability: Missing critical information - number of teams is not specified, making the problem unsolvable. We know team size (6 cleaners) but not how many teams exist. Real-world feasibility: The logical structure is flawed - dividing total rooms by team size rather than number of teams does not represent realistic work allocation. Clarity: The problem setup is ambiguous about what division should be performed, leading to confusion about the solution method.</t>
  </si>
  <si>
    <t>Synergy: The two questions are independent of each other. Question 1 asks for addition of fractions (3/4 + 2/3), while Question 2 asks for ordering the same fractions (3/4 and 2/3). The result from Question 1 (the sum 17/12 hours) is not used as input for Question 2. Question 2 can be solved entirely using the original given information without needing the answer from Question 1.</t>
  </si>
  <si>
    <t>Answerability: The phrase 'compared to' is ambiguous - it could mean finding the difference (5/8 - 1/3) or the ratio (5/8 divided by 1/3), making the problem unclear. Clarity: The same ambiguity in 'compared to' makes the question unclear for Primary 4 students who need precise mathematical language.</t>
  </si>
  <si>
    <t>Secondary KC alignment fails because 25.75 - 18.60 = 7.15 already has 2 decimal places, so rounding to 2 decimal places is meaningless. Synergy fails because the rounding component does not add meaningful complexity when one of the three rounding tasks is redundant.</t>
  </si>
  <si>
    <t>Synergy: The two parts (a) and (b) are independent questions that do not require using the result from part (a) to solve part (b). Part (a) involves multiplying 4.75 x 3, while part (b) involves converting 4.75 to a fraction. These can be solved separately without connection between the questions.</t>
  </si>
  <si>
    <t>Secondary KC Alignment: The problem requires multiplying decimals by whole numbers (3 x 7.60 and 2 x 3.90) which is not the intended secondary KC of adding decimals. While decimal addition occurs (22.80 + 7.80), it is not a primary requirement since the multiplication steps dominate the complexity. Synergy: The primary KC (decimal division) and intended secondary KC (decimal addition) are not used in tandem because the actual secondary operation needed is decimal multiplication, not addition.</t>
  </si>
  <si>
    <t>Part (b) is confusingly worded and difficult to understand. The phrasing 'where should this day be placed in order compared to another day' and the overall structure of the question lack clarity, making it hard for students to comprehend what is being asked.</t>
  </si>
  <si>
    <t>Answerability: The problem contains illogical information - cleaning 9/4 rooms means cleaning 2.25 rooms, which is not realistic as you cannot clean a fraction of a room in practical terms. Real-world feasibility: The scenario of cleaning 9/4 = 2.25 rooms is not plausible as rooms are discrete units that cannot be partially cleaned in the context described.</t>
  </si>
  <si>
    <t>Primary KC alignment fails because the intended Primary Knowledge Component is multiplying two improper fractions, but the problem only requires multiplying a whole number (3) by an improper fraction (9/4). There is no multiplication of two improper fractions in this problem.</t>
  </si>
  <si>
    <t>Secondary KC Alignment: The second part requires multiplying 5/6 × 21/4 first, then subtracting from 21/4. This involves fraction multiplication as the primary operation, not fraction subtraction as intended. The subtraction is only the final step after the multiplication is completed.</t>
  </si>
  <si>
    <t>Real-world feasibility fails because cleaning 8/5 rooms (1.6 rooms) is unrealistic - cleaning companies clean whole rooms, not fractional rooms in practice.</t>
  </si>
  <si>
    <t>Answerability: The problem has conflicting information. Question (a) asks for expected hours but this cannot be determined from given information. If each room requires 2 1/4 hours and there are 5 rooms, expected time would be 5 x 2 1/4 = 11 1/4 hours. However, question (b) asks for actual time, which would be 11 1/4 - 1 1/2 = 9 3/4 hours. But the problem states she spent 1 1/2 hours less than expected after cleaning all rooms, creating logical inconsistency about what the 2 1/4 hours per room represents. Real-World Feasibility: It is unrealistic that a professional cleaner would not know how long she actually spent cleaning rooms. The scenario where expected time per room is given but actual total time needs calculation is implausible. Clarity: The problem is ambiguous about whether 2 1/4 hours represents expected time per room or actual time per room, making it unclear what the 1 1/2 hours less refers to.</t>
  </si>
  <si>
    <t>Primary KC alignment: Part (a) requires 3.75 x 12 = 45.00, which is basic decimal multiplication, not specifically multiplying by 10, 100, 1000 or their multiples as intended. Synergy: The two parts are independent - part (a) calculates total cost while part (b) converts decimal to fraction. The result from part (a) is not used in part (b), so they do not work in tandem.</t>
  </si>
  <si>
    <t>Primary KC alignment: The problem requires multiplying 3.850 by 140 and 3.850 by 1.4, but these are not multiplication by 10, 100, 1000 or their multiples as specified in the intended primary KC. The calculations involve general decimal multiplication, not the specific skill of multiplying by powers of 10. Synergy: While both decimal multiplication and subtraction are used, they are not used in tandem as the primary KC (multiplying by 10/100/1000) is not actually required. The problem can be solved with general decimal operations without the specific primary KC skill.</t>
  </si>
  <si>
    <t>Answerability: The problem contains conflicting information - it states service charges are divided equally among all square metres cleaned, but then asks for cost per square metre using only the initial 1000 square metres rate, creating logical inconsistency. Clarity: The statement about charges being divided equally among all square metres cleaned creates ambiguity about which rate to use for calculations. Conciseness and Relevance: Question (b) asks for total cost of cleaning both areas separately, but this information is not needed to solve question (c) which asks for the total amount to pay, making question (b) redundant.</t>
  </si>
  <si>
    <t>Primary KC alignment: The problem requires finding the total amount given rate and number of units, not finding number of units given rate and total amount. The rate is $2.50 per kg, units are 6.5 kg (converted from 6500g), and we calculate total amount = 2.50 * 6.5 = $16.25. This is the reverse of the intended primary KC.</t>
  </si>
  <si>
    <t>Secondary KC Alignment: Part (a) requires division of whole number by fraction (12 ÷ 3/4) but does not require fraction subtraction. Part (b) requires addition of fractions (5/6 + 1/2) not subtraction as specified in secondary KC. Synergy: The two parts are not connected - part (b) does not use the result from part (a) as they address separate scenarios with different laundry amounts.</t>
  </si>
  <si>
    <t>ANSWERABILITY: The phrase 'the amount she has' is ambiguous - unclear if it refers to original $60 or remaining money after each session, leading to different mathematical interpretations. REAL_WORLD_FEASIBILITY: A cleaning service charging 3/4 of someone's total money ($45 per session) is unrealistic pricing that doesn't reflect how services are typically priced. CLARITY: The ambiguous reference creates confusion about what amount is being used to calculate the cost.</t>
  </si>
  <si>
    <t>Answerability: The problem is ambiguous about whether 40% applies to the initial 36 rooms or the total 54 rooms after adding 18, creating multiple possible solutions. Synergy: The unclear timing of when additional rooms requested service makes the relationship between percentage calculation and addition ambiguous. Clarity: The phrase 'later 18 more rooms decided to request the service' creates ambiguity about when this occurs relative to the 40% calculation.</t>
  </si>
  <si>
    <t>Synergy: The two parts (a) and (b) can be solved independently. Part (a) requires addition: 15 + 20 + 25 = 60. Part (b) requires finding ratio: 15:20:25 = 3:4:5. The result from part (a) is not needed to solve part (b), so the questions are not connected and do not require using both knowledge components in tandem.</t>
  </si>
  <si>
    <t>secondary_kc_alignment: Part (b) requires basic substitution and arithmetic calculation (8 + 2 * 5 = 18) rather than simplifying linear expressions which would involve combining like terms or algebraic manipulation. synergy: The secondary knowledge component of simplifying linear expressions is not actually needed since part (b) only involves direct substitution into the expression from part (a). grade_alignment: Algebraic expressions and formal algebra concepts are typically introduced in secondary school, not Primary 6 where students focus on arithmetic operations and basic problem solving.</t>
  </si>
  <si>
    <t>Grade alignment: This problem is too simple for Secondary O-level 1 students. It only requires basic percentage calculation (30 * 0.15 = 4.5, so discounted price is 25.5) and simple subtraction/multiplication (savings = 4.5 * 2 = 9). O-level students typically handle more complex mathematical concepts involving algebra, advanced geometry, or multi-step problem solving. This problem would be more appropriate for upper primary or lower secondary grades.</t>
  </si>
  <si>
    <t>Grade alignment issue: Reverse percentages are typically taught at Primary 6 level in Singapore math curriculum, making this problem too elementary for Secondary O-level 1 students who should be working with more advanced mathematical concepts.</t>
  </si>
  <si>
    <t>Grade alignment issue: The problem involves basic direct proportion (workers to apartments) and simple multiplication (20 × 20 = 400). These concepts are typically mastered in primary grades 4-6. Secondary O-level 2 students would be expected to handle more complex mathematical concepts like advanced algebra, quadratic equations, or trigonometry. This problem is too elementary for the intended grade level.</t>
  </si>
  <si>
    <t>Grade alignment: 4-digit subtraction with multiple borrowing (3576-2843) exceeds Primary 3 complexity. Real-world feasibility: 3000+ pieces daily unrealistic for individual-managed laundry service. Synergy: Parts (a) and (b) use knowledge components independently - subtraction result not used in ordering task.</t>
  </si>
  <si>
    <t>Synergy: The two parts (a) and (b) are not connected. Part (b) can be solved independently without using the result from part (a). Part (a) asks for number of baskets that can be filled completely (245 / 6 = 40 remainder 5, so 40 baskets), but part (b) uses 4 baskets per machine × 5 machines = 20 baskets, which is a separate calculation not requiring the answer from part (a).</t>
  </si>
  <si>
    <t>Grade Alignment: This problem requires addition and subtraction of fractions with different denominators (2/3 + 1/6 and 1 - 5/6), which involves finding common denominators and working with equivalent fractions. These concepts are typically introduced in Primary 4 or 5 in Singapore math curriculum, not Primary 3. Primary 3 students typically work with simpler fractions and may not have learned operations with unlike denominators yet.</t>
  </si>
  <si>
    <t>language_quality: The movie streaming subscription cost is written as 13.299 which appears to have 3 decimal places making it 13 dollars and 29.9 cents, which is not a realistic monetary amount since currency typically uses 2 decimal places for cents.</t>
  </si>
  <si>
    <t>Primary KC alignment: The problem does not require subtraction of decimals as the primary operation. Question (a) only needs addition (12.95 + 3.50), and question (b) simply asks for the original streaming cost (12.95) without any subtraction calculation needed. Synergy: The primary KC (decimal subtraction) and secondary KC (decimal addition) are not used in tandem. Question (a) uses only addition, question (b) requires no calculation beyond identifying the original cost. The questions are connected but do not require both knowledge components to solve.</t>
  </si>
  <si>
    <t>Synergy: The two parts (a) and (b) are independent questions that do not require using the result from part (a) to solve part (b). Part (a) involves dividing 24 by 3.75, while part (b) only requires converting 3.75 to a fraction. The questions are not connected in a way where the answer from the first question is needed for the second question.</t>
  </si>
  <si>
    <t>Answerability: The problem contains conflicting information about disinfectant usage. It states 3/5 of a 10-litre bottle is used per room (which equals 6 litres per room), but then mentions they used 2/3 of the bottle last week. This creates an illogical scenario where cleaning 6 rooms would require 36 litres total, but they only had a 10-litre bottle and already used 2/3 of it. The timeline and bottle capacity do not align logically. Clarity: The problem structure is confusing with unclear sequencing of events. It is ambiguous whether the 2/3 usage last week is from the same bottle or a different bottle, and the relationship between last week's usage and Monday's cleaning is not clearly established.</t>
  </si>
  <si>
    <t>Answerability: The special cleaning information (4/5 of rooms needing cleaning require special cleaning) creates ambiguity about what fraction of rooms the final question refers to. Primary KC Alignment: The problem does not require multiplication of fractions as the intended primary knowledge component - the solution only needs subtraction 2/3 - 7/15. Synergy: Since multiplication of fractions is not needed, the two knowledge components are not used in tandem. Clarity: The relationship between regular cleaning and special cleaning is unclear, making the problem statement ambiguous. Conciseness: The special cleaning information (4/5) appears irrelevant to solving the problem and adds unnecessary complexity.</t>
  </si>
  <si>
    <t>A 2/3 discount means customers pay only 1/3 of original price ($4.50 becomes $1.50), which is 67% off. This discount rate is unrealistically high for bulk laundry services and would likely cause business losses, making the scenario implausible.</t>
  </si>
  <si>
    <t>Conciseness and Relevance: The $15 charge per room is not used in solving either part (a) or part (b) of the problem. Part (a) only requires multiplying 1 3/4 hours by 4 rooms, and part (b) only requires converting the result to decimal form. This makes the pricing information irrelevant to the mathematical solution.</t>
  </si>
  <si>
    <t>Primary KC alignment: Problem uses multiplication by 100 directly, not multiples of 100 as specified in intended KC. Synergy: The two knowledge components are applied sequentially in separate parts rather than working together in tandem to solve an integrated problem. Real-world feasibility: 100-month (8+ year) streaming subscriptions are unrealistic - services typically offer monthly/yearly plans, not decade-long commitments.</t>
  </si>
  <si>
    <t>The pricing structure (dividing weight by 100 to get cost) is unrealistic. For 13.6 kg laundry, this gives $0.136 which is approximately 14 cents - far too cheap for commercial laundry services. Real laundry shops typically charge $2-5 per kg, making this scenario implausible.</t>
  </si>
  <si>
    <t>Secondary KC Alignment: Problem does not require converting measurements from larger to smaller units - all calculations use same units (dollars, hours). Synergy: No synergy exists since secondary knowledge component is not needed for solving. Clarity: Phrase cleaning charge per hour for each room is ambiguous - unclear if asking for rate per room or hourly rate.</t>
  </si>
  <si>
    <t>Primary KC alignment: Part (a) requires finding total amount given rate and number of units (7.50 * 18.5 = 138.75), not finding number of units given rate and total amount as specified in the intended Primary KC. The actual calculation is rate * units = total, but the intended KC is about finding units when given rate and total. Synergy: The two parts (a) and (b) are independent questions that do not require using results from one part to solve the other part. Part (a) calculates earnings while part (b) converts time units, with no connection between the solutions.</t>
  </si>
  <si>
    <t>Secondary KC alignment fails because the final answer 1/4 is already in simplest form, so no actual simplification work is required. The problem asks to give answer in simplest form but this does not require the simplification process. Synergy fails because the secondary knowledge component of simplifying fractions is not meaningfully integrated - students get the simplified answer directly from the division without needing to apply simplification skills.</t>
  </si>
  <si>
    <t>Synergy: The two parts (a) and (b) are independent questions that do not require using results from part (a) to solve part (b). Part (a) involves dividing 5 by 3/4, while part (b) involves comparing 3/4 and 2/3. The questions are not connected - part (b) can be solved without solving part (a) first.</t>
  </si>
  <si>
    <t>Secondary KC alignment: The problem primarily requires division (60 / 0.85) rather than whole number subtraction as the main secondary operation. Synergy: Limited integration between primary and secondary components - the subtraction (100% - 15% = 85%) plays only a minor supporting role compared to the division operation.</t>
  </si>
  <si>
    <t>The two parts of the problem are independent - part (b) does not use the ratio result from part (a). Part (b) only requires the original room count for Building C (60) and division by 12, without needing the ratio 4:3:5 from part (a).</t>
  </si>
  <si>
    <t>Grade alignment: The problem requires creating algebraic expressions with variables (C = 40 + 12r) and substitution, which are typically introduced in Secondary 1-2 mathematics in Singapore curriculum. Primary 6 students work with basic algebraic thinking but not formal algebraic expressions with variables and substitution at this level of complexity.</t>
  </si>
  <si>
    <t>Grade Alignment: The problem requires solving linear equations with variables (x) and setting up algebraic equations, which are typically introduced in Secondary 1-2 in Singapore math curriculum, not Primary 6. Primary 6 students typically work with arithmetic word problems using basic operations without formal algebraic notation and equation solving.</t>
  </si>
  <si>
    <t>Grade alignment issue: The problem targets Secondary O-level 1 but involves advanced fraction operations (subtracting fractions with different denominators like 1 - 2/5 - 1/4) and complex ratio concepts with fractions that are typically beyond primary mathematics level.</t>
  </si>
  <si>
    <t>Grade Alignment: The problem involves complex fraction ratios (3/4:1) and multi-step fraction operations that are too advanced for Secondary O-level 1 students. These concepts are typically introduced in Secondary 3-4 levels.</t>
  </si>
  <si>
    <t>The primary and secondary knowledge components are used separately in different parts rather than in tandem. Part (a) only requires ratio calculations while part (b) only requires decimal subtraction. The parts are not connected - the result from part (a) is not used in part (b).</t>
  </si>
  <si>
    <t>Secondary KC alignment: The multiplication involved is basic arithmetic (4*6=24, 24/6=4, 24/2=12) that does not meaningfully contribute to problem complexity. Synergy: The two knowledge components do not work together - multiplication is just incidental arithmetic within inverse proportion calculations. Grade alignment: Inverse proportion concepts are too advanced for Secondary O-level 2 students, typically taught at O-level 3-4.</t>
  </si>
  <si>
    <t>Grade alignment issue: The problem is too advanced for Secondary O-level 2 students. Inverse proportion concepts involving rates and work problems typically require higher mathematical maturity. The calculations involve complex multi-step reasoning: 6 cleaners × 8 hours = 48 cleaner-hours, then 48 ÷ 4 = 12 hours, plus division of 480 ÷ 4 = 120. This level of abstract reasoning about work rates and inverse relationships is more suitable for upper secondary levels.</t>
  </si>
  <si>
    <t>Primary KC alignment fails because the problem involves solving a linear equation in one variable (x) not two variables. The equation 50 + 20x = 30 + 25x contains only one variable x.</t>
  </si>
  <si>
    <t>Synergy: The two questions are independent calculations from the same dataset - part (a) result is not needed for part (b), lacking interconnected problem-solving. Grade_alignment: The problem involves basic median/mode calculations suitable for Primary 5-6 level, but is intended for Secondary O-level 2 students who should work with more advanced statistical concepts.</t>
  </si>
  <si>
    <t>Synergy: Parts (a) and (b) are independent calculations using the same dataset - no connection between questions where one result feeds into the next. Grade Alignment: Finding median and percentiles is too basic for Secondary O-level 2 students - these concepts are typically mastered in Primary 6 or Secondary 1 in Singapore curriculum.</t>
  </si>
  <si>
    <t>Real-world feasibility fails because doubling a movie library every year is unrealistic. After 4 years, this would mean 128 movies per subscriber, which represents unsustainable exponential growth for any streaming service business model. Real streaming services add content linearly, not exponentially, due to licensing costs, storage limitations, and market constraints.</t>
  </si>
  <si>
    <t>Real-world feasibility: The formula n = 4 * (2^(1/2))^k would result in non-integer device numbers for most values of k. For example, when k=1, n = 4 * sqrt(2) ≈ 5.66 devices, and when k=6, n = 4 * 2^3 = 32 devices. It is unrealistic for a streaming service to allow fractional numbers of devices or to increase from typical starting numbers to 32+ devices, as most services offer plans with small integer limits like 2, 4, or 6 devices maximum.</t>
  </si>
  <si>
    <t>Grade Alignment: This problem requires advanced matrix operations including matrix multiplication and transpose operations that are typically taught at A-level or university level mathematics, not at Secondary O-level 3/4. O-level students typically learn basic matrix operations like addition and subtraction, but matrix multiplication and transpose operations are beyond the standard O-level curriculum.</t>
  </si>
  <si>
    <t>Grade alignment issue: The problem is designed for Secondary O-level 3/4 students but uses concepts like independent events and multiplication of probabilities which are typically covered in higher-level probability courses. Primary school students would not typically handle probability calculations involving independent events and multiplication rule.</t>
  </si>
  <si>
    <t>Grade Alignment: The problem involves fractions with denominators 12 and 6, requiring students to find common denominators and add fractions with unlike denominators. In Singapore math curriculum, Primary 3 students typically work with simpler fractions like halves, quarters, and thirds. Adding fractions with denominators like 12 and converting between fractions like 1/6 and 2/12 is more appropriate for Primary 4 or 5 level.</t>
  </si>
  <si>
    <t>Clarity: Question (a) is ambiguous - 'What fraction of her watchlist movies did she watch last month than this month?' should be 'How many more watchlist movies did she watch last month than this month?' or 'What is the difference in fractions between last month and this month?'. Language Quality: The phrasing in question (a) contains grammatical error - 'did she watch last month than this month' is not proper English construction.</t>
  </si>
  <si>
    <t>Secondary KC alignment fails because the addition step is redundant - students are asked to add individual team results to get a total that is already given as 3456. Synergy fails because the addition component does not meaningfully build upon or work with the division component - it serves no computational purpose in solving the problem.</t>
  </si>
  <si>
    <t>Real-world feasibility: The amount $29.698 with 3 decimal places is unrealistic for streaming service pricing, as services typically charge in whole dollars or cents (2 decimal places maximum).</t>
  </si>
  <si>
    <t>Answerability: The price for cleaning trousers is given as $3.250 which has 3 decimal places, but currency should only have 2 decimal places maximum (cents). This creates confusion about the actual price. Real-world feasibility: The price $3.250 is not realistic as currency prices do not extend to 3 decimal places in normal business transactions.</t>
  </si>
  <si>
    <t>Secondary KC Alignment: Part (b) asks to round to nearest $0.01, but 3.75 * 7 = 26.25 which already has exactly 2 decimal places, so rounding to nearest $0.01 requires no change and does not demonstrate the rounding skill meaningfully.</t>
  </si>
  <si>
    <t>Secondary KC alignment: The calculation 6 * 2/3 = 12/3 = 4 simplifies to a whole number, so expressing as simplest fraction form is not actually needed for solving. Synergy: Since the secondary KC is not truly required, the two knowledge components do not work in tandem. Conciseness: The $24 room cleaning cost information is irrelevant and not needed to solve the problem about bottles of cleaning solution.</t>
  </si>
  <si>
    <t>Topic alignment: The problem mentions a $60 charge but this information is completely unused in solving the problem, making it irrelevant to the Services topic context. Real-world feasibility: The scenario of cleaning 3/4 of an apartment per session resulting in 3.75 apartments total cleaned is unrealistic - cleaning companies do not typically offer fractional apartment cleaning services, and cleaning 3.75 apartments from 5 sessions of partial cleaning is implausible. Conciseness and relevance: The $60 charge information is provided but never used in the solution, violating the requirement that all given numbers must be necessary for solving the problem.</t>
  </si>
  <si>
    <t>Answerability: The problem has logical inconsistencies about whether calculating one user's usage or multiple family members' total usage. Real-world feasibility: Streaming services don't allow users to exceed daily limits by 7/3 times (233 percent), making the scenario unrealistic. Clarity: Ambiguous wording creates confusion about whose streaming time is being calculated.</t>
  </si>
  <si>
    <t>Primary KC alignment: The problem requires 0.238 x 200, but the intended primary knowledge component focuses on multiplying decimals by 10, 100, 1000 and their multiples in a way that demonstrates place value understanding. While 200 = 2 x 100, the problem does not structure the multiplication to highlight this conceptual understanding of decimal place value shifts.</t>
  </si>
  <si>
    <t>Primary KC alignment: The problem requires multiplying 2.350 by 20 and 3.60 by 15, but these are not multiples of 10, 100, or 1000. The intended primary KC is specifically about multiplying decimals by 10, 100, 1000 and their multiples, not general decimal multiplication. Synergy: The primary and secondary knowledge components cannot work in tandem because the primary KC (multiplying by 10, 100, 1000 and multiples) is not actually required for this problem. The problem only needs general decimal multiplication and addition.</t>
  </si>
  <si>
    <t>Primary KC alignment: Problem requires dividing 18.750 by 11, but intended KC is dividing by 10, 100, 1000 and their multiples - 11 is not a multiple of these numbers. Grade alignment: The division by 11 exceeds the specific primary KC intended for Primary 5 level.</t>
  </si>
  <si>
    <t>Answerability: The problem contains conflicting/unclear information - one team's portion should be 1/4 of mall but problem states they finished 1/8 of mall earlier, creating ambiguity. Primary KC alignment: Cannot determine if fraction division by whole number is actually needed due to unclear problem statement. Secondary KC alignment: Cannot determine if fraction subtraction is needed due to ambiguous wording. Synergy: Knowledge components cannot work in tandem when problem statement is unclear about solution path. Clarity: The phrase 1/8 of the mall earlier is ambiguous and creates confusion about what was actually completed.</t>
  </si>
  <si>
    <t>Real-world feasibility: The problem states they use 4 litres on Monday, then on Tuesday they have 1/2 litre LEFT from Monday plus 3/4 litre bought. This means they would have used only 3.5 litres on Monday (4 - 0.5 = 3.5), but 3.5 divided by 2/3 = 5.25 rooms, which contradicts that they should have cleaned exactly 6 rooms with 4 litres. The scenario has an inconsistent relationship between Monday's usage and Tuesday's leftover amount.</t>
  </si>
  <si>
    <t>Secondary KC alignment fails because division of whole numbers is not needed to solve the problem - the answer is simply the total earnings of $600 found using percentage calculations. Synergy fails because the secondary KC is not used in tandem with the primary KC to solve the problem.</t>
  </si>
  <si>
    <t>Secondary Knowledge Component misalignment: The problem requires subtraction (78 - 60 = 18) to find the small meeting room charge, but the intended secondary KC is addition of whole numbers.</t>
  </si>
  <si>
    <t>Synergy: The two parts (a) and (b) are independent questions that can be solved separately. Part (a) requires finding ratios using 6:8:10 hours, while part (b) requires multiplication using (6+8+10)*12. The result from part (a) is not used to solve part (b), so the primary and secondary knowledge components are not used in tandem as required.</t>
  </si>
  <si>
    <t>Grade alignment: Problem involves ratios with fractions and adding fractions with different denominators, which is too advanced for Secondary O-level 1. Clarity: The ratio information seems redundant since actual usage amounts are provided that happen to match the ratio exactly, creating confusion about problem structure. Conciseness: The ratio 2/3 : 1/2 appears unnecessary when usage amounts 2/3 and 1/2 litres are given, making the setup inefficient.</t>
  </si>
  <si>
    <t>Secondary KC alignment: The problem does not require fraction multiplication as the intended Secondary Knowledge Component. Part (a) requires simplifying the ratio 3/4 : 2/5 by finding equivalent whole number ratios, and part (b) uses proportion/cross multiplication (3 * 2/5 / 3/4 = 3 * 2/5 * 4/3 = 8/5). While this involves operations with fractions, it does not specifically target fraction multiplication as a core skill. Synergy: Since the Secondary Knowledge Component (fraction multiplication) is not properly integrated into the problem, the Primary and Secondary components do not work in tandem as required.</t>
  </si>
  <si>
    <t>Grade alignment: This problem involves ratios with fractions (2/5 and 4/7), converting fractions to decimals (2.4), and simplifying ratios involving fractions. These concepts are typically taught at Primary 5-6 level in Singapore math curriculum, not Secondary O-level 1. The problem is too elementary for Secondary O-level students who would be expected to handle more complex ratio applications and algebraic manipulations.</t>
  </si>
  <si>
    <t>Grade Alignment: The problem involves basic decimal ratios and simple decimal addition which are typically Primary 6 level concepts. Secondary O-level 1 students would be expected to handle much more advanced mathematical concepts beyond basic decimal operations.</t>
  </si>
  <si>
    <t>Grade alignment: This problem is too advanced for Secondary O-level 1 students. Working with decimal ratios like 2.5:1.75, converting to simplest form by finding common factors, and applying ratios to solve for parts of a total requires mathematical maturity typically developed in later secondary years. Primary students would typically work with simple whole number ratios first.</t>
  </si>
  <si>
    <t>Grade alignment: The problem involves basic arithmetic (18 + 4 = 22, 15% increase calculation) that is too elementary for Secondary O-level 1 students. O-level problems should involve more complex mathematical concepts and multi-step reasoning appropriate for that academic level.</t>
  </si>
  <si>
    <t>Grade alignment: The problem involves basic percentage calculation (15% discount) and simple multiplication (by 4), which are typically mastered in primary grades (Primary 5-6). For Secondary O-level 1 students, this problem is too elementary and does not match the expected complexity and mathematical sophistication for that grade level.</t>
  </si>
  <si>
    <t>Primary KC alignment: The quadratic expression C = 2n^2 + 3n is already provided in the problem statement, so students do not need to translate or derive it from the real-world situation. Part (a) simply asks to restate what is already given. Synergy: Part (a) does not require actual translation work since the formula is given, so the result from part (a) is not meaningfully used in part (b). The two parts operate independently rather than in tandem. Real-world feasibility: Photo printing costs typically follow linear pricing models (cost per photo), not quadratic models where cost increases exponentially. A quadratic cost structure C = 2n^2 + 3n is unrealistic for photo printing services.</t>
  </si>
  <si>
    <t>Grade alignment: The problem involves basic direct proportion (4:12 = x:54) and simple division (54/3 = 18), which are typically Primary 5-6 level concepts in Singapore math curriculum. This is too elementary for Secondary O-level 2 students who should be working with more advanced mathematical concepts.</t>
  </si>
  <si>
    <t>Grade Alignment: This problem is designed for Secondary O-level 2 students but follows Singapore math syllabus structure. In Singapore education system, linear inequalities are typically introduced at Secondary 1 level, making this problem potentially too basic for Secondary 2 O-level students who would be expected to handle more complex algebraic concepts.</t>
  </si>
  <si>
    <t>Answerability: The problem statement is confusing about the discount structure. It mentions 'discount of $x for every hour worked' but then states 'discount in dollars received per hour', creating ambiguity about whether x is the total discount or per-hour discount rate. The phrase 'fits the customer's bill' is unclear. Real-world feasibility: Companies typically do not give discounts that increase with more hours worked, as this would reduce their revenue the more work they do. This contradicts normal business practices. Clarity: The discount mechanism is poorly explained with confusing language about 'discount of $x for every hour' versus 'discount in dollars received per hour'. The condition 'number of hours worked equals discount in dollars received per hour' is ambiguous.</t>
  </si>
  <si>
    <t>Synergy: The two questions are independent - finding median does not connect to or help with finding range. Grade Alignment: Basic median and range are Primary 5-6 level concepts in Singapore curriculum, too elementary for Secondary O-level 2 students.</t>
  </si>
  <si>
    <t>Real-world feasibility: The pricing formula 12 * 2^(-n) * n creates unrealistic scenarios where longer subscriptions cost less in total than shorter ones. For n=3, total cost is $4.50, and for n=6, total cost is $4.69. Real streaming services typically charge more total for longer subscriptions, even with bulk discounts.</t>
  </si>
  <si>
    <t>Grade alignment fails: This problem requires understanding of probability addition rule P(A or B) = P(A) + P(B) - P(A and B) and set theory concepts with overlapping events, which are typically covered in Secondary 4/5 or A-level mathematics, not O-level 3/4. O-level 3/4 students typically work with simpler probability concepts like single events and basic combinations without complex overlapping probability calculations.</t>
  </si>
  <si>
    <t>Grade Alignment: This problem is too advanced for Secondary O-level 3/4 students as it requires understanding of set theory concepts (union, intersection), Venn diagrams, and the inclusion-exclusion principle. These topics are typically covered in higher-level mathematics courses. The complexity of combining probability with set operations exceeds the expected knowledge level for this grade.</t>
  </si>
  <si>
    <t>Grade alignment issue: The problem requires 3-digit by 1-digit multiplication (128×7, 153×5) which is typically taught in Primary 4, not Primary 3. Primary 3 students usually work with 2-digit by 1-digit multiplication. The resulting numbers (896, 765) and calculations may be too advanced for Primary 3 level.</t>
  </si>
  <si>
    <t>The division result from part (a) is not actually needed to solve parts (b) and (c). The comparison in parts (b) and (c) can be done directly using 288 and 245 without using the result 48 from the division.</t>
  </si>
  <si>
    <t>Answerability: The problem cannot be solved because it does not specify the number of teams. To divide 2872 rooms among teams, we need to know how many teams there are. The problem mentions teams of 6 cleaners but does not give the total number of teams.</t>
  </si>
  <si>
    <t>Synergy: The two questions are independent of each other. Question 1 requires adding 3/4 + 2/3, while Question 2 requires comparing 3/4 and 2/3. The result from Question 1 (total time = 17/12 hours) is not used as input for Question 2. The questions can be solved separately without connection.</t>
  </si>
  <si>
    <t>The phrase 'What fraction of her allowance did Aisha spend on the streaming service compared to the cleaning supplies' is ambiguous. It could mean the difference (5/8 - 1/3), the ratio (5/8 divided by 1/3), or the total (5/8 + 1/3). This ambiguity makes the problem unclear and potentially unanswerable without additional clarification.</t>
  </si>
  <si>
    <t>Secondary KC Alignment: The answer 7.15 already has 2 decimal places, so rounding to 2 decimal places produces the same result, making this rounding step meaningless and not properly demonstrating the intended rounding skill.</t>
  </si>
  <si>
    <t>Synergy: The two questions operate independently. Part (b) asking to convert $4.75 to a fraction does not use the result from part (a) which calculates the total cost. The questions are not connected where one builds upon the other.</t>
  </si>
  <si>
    <t>Clarity: Part (b) is confusing and poorly worded - the question about which day they spent more than 4 hours is unclear since they spent 4 1/12 hours total, and the ordering question is unnecessarily complex. Language Quality: The sentence structure in part (b) has grammatical issues and creates confusion about what is being asked.</t>
  </si>
  <si>
    <t>The two parts of the problem operate independently - part (a) calculates 3(2/5) - 2(4/5) = 3/5, while part (b) orders 2(4/5), 3(2/5), 3(1/2) from least to greatest. The result from part (a) is not used in part (b), lacking the required connection where early question results serve as known information for later questions.</t>
  </si>
  <si>
    <t>Primary KC alignment: The intended primary KC is multiplying proper fraction by proper/improper fraction, but 5/8 (proper) × 9/4 (improper) does not match this specification exactly as stated. Real-world feasibility: Cleaning 9/4 = 2.25 rooms is unrealistic - cleaning companies typically clean whole rooms, not fractional portions like 0.25 of a room.</t>
  </si>
  <si>
    <t>Primary KC: Problem requires multiplying whole numbers by fractions (3 x 9/4, 3 x 5/6), not multiplying two improper fractions as intended. Secondary KC: While fraction addition occurs, it is secondary to the multiplication steps rather than being a primary focus. Synergy: Cannot work in tandem since intended primary KC is not present in the problem.</t>
  </si>
  <si>
    <t>Real-world feasibility fails because cleaning 8/5 = 1.6 rooms is not realistic - you cannot meaningfully clean a fractional portion of a room in a professional cleaning context.</t>
  </si>
  <si>
    <t>Real-world plausibility issue: The problem states Jenny was hired to clean rooms requiring 2+1/4 hours each, but then suggests she had different expectations about the time needed. This creates a logical inconsistency about whether the 2+1/4 hours represents the hiring specification or Jenny's personal expectation.</t>
  </si>
  <si>
    <t>Primary KC alignment: Part (a) requires 3.75 x 12 which is basic decimal multiplication, not specifically multiplying by 10, 100, 1000 or their multiples as stated in the intended primary KC. Synergy: The two parts are independent - part (b) can be solved without using the result from part (a), so the primary and secondary KCs are not used in tandem as required.</t>
  </si>
  <si>
    <t>Primary KC alignment: The problem requires multiplying 3.850 by 140 and 3.850 by 1.4, but does not specifically require multiplying decimals by 10, 100, 1000 or their multiples as stated in the intended primary KC. The calculations involve general decimal multiplication rather than the specific skill of multiplying by powers of 10. Synergy: While both decimal multiplication and subtraction are used, they are not used in tandem as the primary KC (multiplying by 10, 100, 1000) is not actually required. The problem uses general decimal operations but not the specific primary KC intended.</t>
  </si>
  <si>
    <t>Primary KC alignment fails because the problem involves dividing a decimal (123.456) by an integer (1000), not dividing decimals by decimal multiples of 10/100/1000 as specified in the intended component.</t>
  </si>
  <si>
    <t>Answerability: The problem contains conflicting information. Part (a) asks for cost per square metre, part (b) asks for total cost of both areas, and part (c) asks what customer pays altogether. Parts (b) and (c) should have the same answer since the customer pays for all cleaning done, but they are presented as separate questions suggesting different answers. The problem states charges are divided equally among all square metres but then asks for costs as if calculated separately. Clarity: The relationship between parts (b) and (c) is unclear - if the customer gets both areas cleaned, the total cost and what they pay altogether should be identical, making one question redundant and confusing. Conciseness and Relevance: Part (c) is redundant since it asks the same thing as part (b) - the total amount the customer pays for cleaning both the original 1000 square metres and additional 250 square metres.</t>
  </si>
  <si>
    <t>Primary KC alignment: The problem requires finding the total cost given rate and quantity, not finding number of units given rate and total amount. The intended primary KC is about finding units when given rate and total, but this problem gives rate ($2.50/kg) and units (6.5 kg after conversion) to find total cost.</t>
  </si>
  <si>
    <t>Secondary Knowledge Component misalignment: Part (b) requires adding fractions (5/6 + 1/2) but the intended secondary KC is subtracting fractions. Synergy failure: Since part (b) does not use the intended secondary KC of fraction subtraction, the primary and secondary KCs are not used in tandem as required.</t>
  </si>
  <si>
    <t>Answerability: The problem states each cleaning session costs 3/4 of the amount Maya has ($60), meaning each session costs $45. However, after one session costing $45, Maya would only have $15 left, which is insufficient for another $45 session. The problem becomes unanswerable as stated because the cost structure creates a logical impossibility for multiple sessions. Real-World Feasibility: A cleaning service that costs 3/4 of someone's total budget ($45 per session when they have $60) is unrealistic pricing. Real cleaning services typically cost a fixed amount, not a percentage of the customer's available money. Clarity: The phrase 'each cleaning session costs 3/4 of the amount she has' is ambiguous - it could mean 3/4 of her original $60 or 3/4 of her remaining money after each session, creating confusion about the intended calculation.</t>
  </si>
  <si>
    <t>Answerability: The problem has conflicting information - it states 36 rooms represent 40% of total rooms, but then mentions 18 additional rooms requesting service, creating ambiguity about the percentage relationship. If 36 = 40% of total, then total = 90 rooms, but adding 18 more service requests would make it 54/90 = 60%, contradicting the stated 40%. Clarity: The relationship between the initial 36 rooms (40% of total) and the additional 18 rooms is unclear, making it ambiguous what exactly is being asked.</t>
  </si>
  <si>
    <t>The two parts work independently - part (a) finds total rooms while part (b) finds ratios. The answer from part (a) is not needed to solve part (b), so the questions are not connected in tandem as required for synergy.</t>
  </si>
  <si>
    <t>Secondary KC alignment: Part (b) requires substitution (d = 3 + 2 = 5, then C = 8 + 2*5 = 18) rather than simplifying linear expressions with like terms or algebraic manipulation. Synergy: The two knowledge components are not used in tandem - part (a) uses translation to algebraic expressions, part (b) uses arithmetic substitution, but not true algebraic simplification. Grade alignment: Algebraic expressions with variables are typically introduced in Secondary 1-2, not Primary 6 where students work with arithmetic and basic patterns.</t>
  </si>
  <si>
    <t>Grade alignment: This problem is too simple for Secondary O-level 1 students. O-level students typically work with more complex mathematical concepts, multi-step problems involving algebraic expressions, equations, or advanced arithmetic. This problem only requires basic percentage calculation (30 * 0.15 = 4.5, then 30 - 4.5 = 25.5 per month, then 4.5 * 2 = 9 total savings) which is more appropriate for upper primary or lower secondary levels, not O-level standard.</t>
  </si>
  <si>
    <t>The two parts of the problem are not connected. Part b introduces new numbers 4 and 5 instead of using the result from part a which is 40 complete baskets. The problems work independently rather than in tandem.</t>
  </si>
  <si>
    <t>Secondary KC Alignment: The problem only requires division operations (168/4=42 for part a, 42/8=5 remainder 2 for part b). No multiplication is needed to solve either question. Synergy: Since multiplication is not required, there is no synergy between the primary division KC and the intended secondary multiplication KC.</t>
  </si>
  <si>
    <t>Grade alignment: Primary 3 students typically work with simple fractions like 1/2, 1/4, 1/3. This problem requires adding fractions with different denominators (2/3 + 1/6) and subtracting from 1, which involves finding common denominators and working with sixths. These concepts are typically introduced in Primary 4 or 5 in Singapore math curriculum.</t>
  </si>
  <si>
    <t>Grade alignment issue: The problem uses 3 decimal places ($13.299) which exceeds Primary 4 curriculum expectations. Primary 4 students typically work with decimals up to 2 decimal places only.</t>
  </si>
  <si>
    <t>Primary KC alignment: The problem does not require subtracting decimals as the primary operation. Part (a) only needs addition (12.95 + 3.50), and part (b) gives the answer directly without requiring subtraction calculation. Synergy: The two knowledge components are not used in tandem. Part (a) uses only addition, part (b) uses only subtraction conceptually but no actual calculation is needed since the answer is given in the problem statement.</t>
  </si>
  <si>
    <t>Synergy: The two parts (a) and (b) are independent questions that do not require using results from one part to solve the other. Part (a) asks for division: 24 / 3.75 = 6.4 shirts (which should be 6 complete shirts with remaining cost). Part (b) asks to convert 3.75 to fraction form independently. The questions are not connected where the answer from part (a) is needed for part (b) or vice versa.</t>
  </si>
  <si>
    <t>Answerability: The problem contains conflicting information. If 2/3 of the bottle was used last week, only 1/3 remains (10 * 1/3 = 3.33 liters). However, cleaning 6 rooms requires 6 * 3/5 = 18/5 = 3.6 liters of the 10-liter bottle, which exceeds the available amount. Real-world feasibility: The mathematical impossibility described above makes this scenario unrealistic - you cannot use more disinfectant than what is available in the bottle.</t>
  </si>
  <si>
    <t>The information about 4/5 of rooms requiring special cleaning is not used in solving the problem, making it irrelevant information that violates the conciseness requirement.</t>
  </si>
  <si>
    <t>A 2/3 discount means customers pay only 1/3 of original price (4.50 * 1/3 = 1.50 per blanket). This 67% discount is unrealistically high for laundry services and would likely cause business losses, making the scenario implausible.</t>
  </si>
  <si>
    <t>Secondary KC Alignment: The problem requires multiplying 2 1/4 by 6, which gives 13 1/2. This fraction is already in its simplest form, so no simplification is needed. The secondary knowledge component of expressing a fraction in its simplest form is not required to solve this problem. Synergy: Since the secondary knowledge component is not needed, there is no synergy between the primary and secondary knowledge components in solving this problem.</t>
  </si>
  <si>
    <t>The problem includes irrelevant information that is not used in solving: the cleaning cost of $15 per room is provided but never needed for calculating hours or converting to decimal format.</t>
  </si>
  <si>
    <t>Primary KC alignment: The problem requires multiplying 6.125 by 100, which is multiplying a decimal by 100 but not by a multiple of 100 as specified in the intended primary knowledge component. The primary KC specifies multiplying by 10, 100, 1000 AND their multiples, but 100 is not a multiple of 100 (100 x 2 = 200, 100 x 3 = 300, etc.). The calculation 6.125 x 100 = 612.5 is direct multiplication by 100, not by multiples of 100.</t>
  </si>
  <si>
    <t>Real-world feasibility: The pricing model where laundry cost = weight/100 makes the service extremely cheap (13.6 kg costs only $0.136). This does not reflect realistic laundry service pricing which typically ranges from $1-3 per kg.</t>
  </si>
  <si>
    <t>Secondary KC alignment: The problem uses 1.5 hours as given data but does not require converting from larger decimal units to smaller units. Synergy: Since secondary KC is not properly targeted, there is no synergy between primary and secondary knowledge components.</t>
  </si>
  <si>
    <t>Primary KC alignment: Part (a) requires finding total amount given rate and number of units (7.50 * 18.5 = 138.75), not finding number of units given rate and total amount as specified in the intended Primary KC. The problem gives rate (7.50 per hour) and units (18.5 hours) to find total amount, which is the reverse of the intended KC. Synergy: The two parts (a) and (b) are independent calculations that do not require each other's results. Part (a) calculates total earnings while part (b) converts hours to minutes. Neither result is used as input for the other question, so there is no synergy between the primary and secondary knowledge components.</t>
  </si>
  <si>
    <t>Secondary KC alignment fails because the answer 1/4 is already in simplest form, so no actual simplification is needed - the Secondary Knowledge Component of expressing fractions in simplest form is not meaningfully applied. Synergy fails because since no simplification step is actually required, the Primary and Secondary Knowledge Components are not used in tandem to solve the problem.</t>
  </si>
  <si>
    <t>Synergy: The two parts (a) and (b) are independent questions that do not require using results from part (a) to solve part (b). Part (a) involves dividing 5 by 3/4, while part (b) involves comparing 3/4 and 2/3 as separate rates. The questions are not connected and do not build upon each other as required for synergy between primary and secondary knowledge components.</t>
  </si>
  <si>
    <t>Real-world feasibility: A washing machine load capacity of 3/4 kilogram (750 grams) is unrealistically small. Typical home washing machines have capacity of 6-10 kg, while commercial laundry machines have even larger capacities of 15-50+ kg. This scenario does not mirror realistic laundry service operations.</t>
  </si>
  <si>
    <t>Secondary KC alignment: The problem requires percentage calculation (100 - 15 = 85) but does not require subtracting whole numbers as a distinct mathematical operation in the solution process. Synergy: Since the secondary KC is not properly integrated, there is no synergy between the primary and secondary knowledge components.</t>
  </si>
  <si>
    <t>Synergy: The two parts (a) and (b) are independent questions that can be solved separately. Part (a) requires finding ratio 48:36:60 which simplifies to 4:3:5. Part (b) requires division 60/12=5 cleaners. The result from part (a) is not needed to solve part (b), violating the synergy requirement that questions should be connected.</t>
  </si>
  <si>
    <t>Grade alignment fails because Primary 6 students in Singapore math syllabus have not yet learned formal algebraic expressions with variables like C = 40 + 12r. Algebra with variables is typically introduced in Secondary 1. Primary 6 students work with number patterns and simple equations but not formal algebraic representation using letters for unknowns.</t>
  </si>
  <si>
    <t>Grade Alignment: The problem requires algebraic equation solving with variables (x) and formal algebraic notation, which is typically introduced in Secondary 1, not Primary 6. Primary 6 students typically solve such problems using arithmetic methods like division (120 ÷ 4 = 30) rather than algebraic equations.</t>
  </si>
  <si>
    <t>Grade Alignment: The problem involves basic fraction subtraction (1 - 2/5 - 1/4) and simple ratio formation, which are typically covered in Primary 5-6 grades in Singapore math curriculum. For Secondary O-level 1 students, the problem complexity is below the expected level and does not require the advanced mathematical thinking appropriate for that grade.</t>
  </si>
  <si>
    <t>Grade alignment issue: Ratios involving fractions like 3/4 : 1 and resulting calculations with fractions like 15/32 are too advanced for Secondary O-level 1 students.</t>
  </si>
  <si>
    <t>Synergy: The two parts (a) and (b) are independent problems that do not require using results from part (a) to solve part (b). Part (a) uses ratio with decimals (2.5:1) to find quantities, while part (b) is a simple decimal subtraction (5.60 - 4.80). The questions are not connected - part (b) can be solved without solving part (a) first.</t>
  </si>
  <si>
    <t>Secondary KC alignment: Basic whole number multiplication is not a meaningful secondary focus for Secondary O-level 2 students as it is elementary arithmetic. Synergy: Parts (a) and (b) are independent questions that do not build upon each other - the answer from part (a) is not used in part (b).</t>
  </si>
  <si>
    <t>Grade alignment fails: Inverse proportion and work rate problems requiring the concept that total work = rate × time are typically taught at Secondary 3-4 level in Singapore math curriculum, not Secondary 2. Secondary 2 students have not yet been introduced to inverse proportional relationships in work problems.</t>
  </si>
  <si>
    <t>Synergy: The two parts (a) and (b) are independent calculations that do not build upon each other - finding median does not require the mode result and vice versa. Grade Alignment: Finding median and mode are Primary 5-6 level concepts in Singapore curriculum, making this problem too elementary for Secondary O-level 2 students.</t>
  </si>
  <si>
    <t>Synergy: The two parts (a) and (b) are independent calculations that can be solved separately using the same dataset. Part (a) does not need to be solved first to answer part (b), and the median result is not used as input for finding the 75th percentile. Both questions simply apply different statistical measures to the same given data without any interconnection between the solutions.</t>
  </si>
  <si>
    <t>Answerability: The phrase 'after n years' is ambiguous - unclear if it means at the end of year n or after n years have elapsed. This creates uncertainty about whether the expression should be 8 * 2^n or 8 * 2^(n-1). Clarity: The ambiguous timing language makes it difficult to determine the exact mathematical relationship being asked for.</t>
  </si>
  <si>
    <t>Real-world feasibility fails because streaming services do not realistically increase device limits exponentially. After 6 years, the formula gives 32 devices per account, which is impractical and economically unsustainable for streaming services that typically limit accounts to 4-6 devices maximum.</t>
  </si>
  <si>
    <t>Grade Alignment: Matrix operations including matrix multiplication and transpose are typically taught at A-level or higher education level, not at O-level 3/4. O-level mathematics curriculum typically covers basic algebra, geometry, statistics and introductory calculus concepts, but not advanced matrix operations.</t>
  </si>
  <si>
    <t>Grade Alignment: The problem involves independent events, multiplication of probabilities, and union of events concepts which are typically covered at Secondary 1/2 level in Singapore curriculum, not at the more advanced Secondary O-level 3/4 grade. The mathematical complexity and knowledge components required are below the intended grade level.</t>
  </si>
  <si>
    <t>Grade alignment: The problem requires 3-digit by 1-digit division (257 ÷ 6) which is typically introduced in Primary 4, not Primary 3. Primary 3 students typically work with 2-digit dividends in division problems.</t>
  </si>
  <si>
    <t>Grade Alignment: The problem requires adding fractions with different denominators (5/12 + 1/6) and simplifying fractions, which are typically taught in Primary 4-5 rather than Primary 3. Primary 3 students typically work with simpler fractions like halves, quarters, and thirds with same denominators.</t>
  </si>
  <si>
    <t>Clarity: Question (a) contains grammatical error - should be 'How many more movies' or 'What fraction more movies' instead of 'What fraction of her watchlist movies did she watch last month than this month?' The current phrasing is ambiguous and unclear. Language Quality: The question in part (a) has incorrect grammar structure making it difficult to understand what comparison is being asked.</t>
  </si>
  <si>
    <t>Answerability: Problem contains conflicting information - states 128 apartments were cleaned but also mentions 8 cancelled appointments that were not paid, creating logical contradiction about actual number cleaned vs paid. Real-world feasibility: Scenario is unrealistic - cleaning companies typically require payment before service or would not clean cancelled appointments, making the described situation implausible. Clarity: The relationship between cleaned apartments (128) and cancelled appointments (8) is ambiguous and confusing.</t>
  </si>
  <si>
    <t>Secondary Knowledge Component: The problem mentions addition but does not require adding whole numbers to solve either question. The total 3456 is already given. Synergy: The primary division component and secondary addition component do not work together since addition is not actually needed for solving the problem.</t>
  </si>
  <si>
    <t>Grade alignment: The problem uses 3 decimal places (29.698) which exceeds Primary 4 curriculum that typically covers up to 2 decimal places. Real-world feasibility: Streaming service prices are not typically quoted to 3 decimal places like 29.698 dollars - real pricing would be 29.70 or similar whole cent amounts.</t>
  </si>
  <si>
    <t>The problem contains ambiguous information with $3.250 which appears to be a formatting error - currency should typically use 2 decimal places ($3.25), making it unclear what the exact cost is for solving the problem.</t>
  </si>
  <si>
    <t>Secondary KC alignment fails because the calculation 3.75 * 7 = 26.25 produces exactly 2 decimal places, but the intended secondary KC requires rounding decimals up to 3 decimal places. The problem only provides opportunity to round a 2-decimal place number, not demonstrating the full scope of the intended secondary knowledge component.</t>
  </si>
  <si>
    <t>secondary_kc_alignment: The calculation 6 * (2/3) = 4 results in a whole number that requires no simplification work, so the secondary KC of expressing fractions in simplest form is not meaningfully engaged. synergy: Since the secondary KC is not properly utilized, there is no synergy between the primary and secondary knowledge components. conciseness_and_relevance: The dollar24 charge information is irrelevant to solving the problem about bottles of cleaning solution, violating the requirement that all given numbers must be necessary.</t>
  </si>
  <si>
    <t>The $60 charge for regular apartment cleaning is mentioned but not used in solving the problem. This information is irrelevant since the promotional sessions are described as being for the same price, making the specific dollar amount unnecessary for the mathematical solution.</t>
  </si>
  <si>
    <t>Answerability: The relationship between family members using their own accounts and one user exceeding their individual limit is unclear and contradictory. Real-world feasibility: The scenario is illogical - if family members each use their own accounts with individual limits, it does not explain how one user would exceed their personal limit by 7/3 times. Clarity: The problem is ambiguous about whether the calculation refers to one user or multiple family members, and how individual account limits relate to collective usage.</t>
  </si>
  <si>
    <t>Primary KC alignment: The problem requires multiplying 2.350 by 20 and 3.60 by 15, but these are not multiples of 10, 100, or 1000. The intended primary KC is specifically about multiplying decimals by 10, 100, 1000 and their multiples, which is not what this problem requires. Synergy: Since the primary KC is not properly aligned, there is no proper tandem use of both knowledge components as intended. The problem becomes primarily about general decimal multiplication rather than the specific intended primary KC working together with decimal addition.</t>
  </si>
  <si>
    <t>Primary KC requires division by 10, 100, 1000 or their multiples, but problem involves dividing 18.750 by 11 people, not by specified multiples.</t>
  </si>
  <si>
    <t>Grade alignment: Primary 5 students typically work with decimals to 2 decimal places, but this problem requires multiplication resulting in 3 decimal places (46.875), which exceeds typical Primary 5 expectations. Real-world feasibility: The calculation yields $46.875, but real-world services cannot charge fractional cents - payments would be rounded to $46.88, making the conversion to 4687.5 cents unrealistic as actual transactions don't involve half-cents.</t>
  </si>
  <si>
    <t>Answerability: The phrase 'finished their portion 1/8 of the mall earlier' is ambiguous - unclear if this means finishing early in time or completing an additional 1/8 area. Real-world feasibility: A team completing 1/8 extra work (beyond assigned 1/4) without coordination is unrealistic in professional cleaning. Clarity: The sentence about one team finishing earlier is confusing and hard to interpret. Language quality: Awkward sentence structure makes the problem statement unclear, particularly 'finished their portion 1/8 of the mall earlier'.</t>
  </si>
  <si>
    <t>Synergy: The two parts can be solved independently. Part (a) only needs fraction multiplication (3/4 × 5), and part (b) only needs fraction division (3/4 ÷ 5). The result from part (a) is not needed to solve part (b), so the knowledge components are not used in tandem. Real-world feasibility: The scenario is illogical - if each worker needs to clean 1 floor and 1 floor requires 3/4 bottle, then each worker should get 3/4 bottle, not 3/20 bottle as the math suggests. The problem states workers get equal shares of the total but also says each has enough for one floor, which creates a contradiction.</t>
  </si>
  <si>
    <t>Real-world feasibility: The problem states they used 4 litres on Monday (part a asks how many rooms can be cleaned with 4 litres), but then part b states there was 1/2 litre left from Monday, creating a logical inconsistency. If they had 4 litres on Monday and used some to clean rooms, the amount left would depend on how many rooms they actually cleaned, not be a fixed 1/2 litre.</t>
  </si>
  <si>
    <t>Secondary KC alignment: The problem does not require division of whole numbers as the answer is the total amount $600, not the individual appointment cost. Synergy: Since division is not needed to solve the problem, the primary KC (percentage) and intended secondary KC (division) do not work in tandem.</t>
  </si>
  <si>
    <t>The problem requires subtraction (78 - 60 = 18) to find the charge for the small meeting room, but the intended secondary knowledge component is addition of whole numbers. The mathematical operation needed does not match the intended secondary KC.</t>
  </si>
  <si>
    <t>Answerability: The calculation results in non-whole dollar amounts ($86.67 per part, $346.67 for largest share), which creates practical issues when dealing with currency that typically uses whole cents. Grade Alignment: Primary 6 students work with whole numbers in ratio problems, but this requires dealing with complex decimal calculations ($780/9 = $86.67). Real-World Feasibility: Companies don't typically split money resulting in fractional cents among workers, as this creates practical payment difficulties.</t>
  </si>
  <si>
    <t>Synergy criterion not met: The two parts (a) and (b) are independent questions that do not require using the result from part (a) to solve part (b). Part (a) asks for ratio 6:8:10 which simplifies to 3:4:5. Part (b) asks for total earnings = (6+8+10) x 12 = 24 x 12 = 288 dollars. The ratio result from part (a) is not needed to solve part (b).</t>
  </si>
  <si>
    <t>Grade alignment issue: This problem involves basic fraction operations (2/3 + 1/2 and simple multiplication 3 x 2/3, 3 x 1/2) which are too elementary for Secondary O-level 1 students who typically work with more advanced mathematical concepts including algebraic equations, geometric proofs, and more complex ratio problems.</t>
  </si>
  <si>
    <t>Secondary KC alignment: The problem does not require fraction multiplication as a necessary component. Part (a) requires simplifying the ratio 3/4 : 2/5 which involves finding equivalent ratios, not multiplication of fractions. Part (b) can be solved using proportional reasoning or cross-multiplication without explicitly multiplying fractions. Synergy: Since the secondary knowledge component (fraction multiplication) is not actually needed to solve the problem, there is no synergy between the primary and secondary knowledge components working in tandem.</t>
  </si>
  <si>
    <t>Grade Alignment: This problem is not suitable for Secondary O-level 1 students as it requires advanced ratio concepts with fractions and decimal conversions that are typically covered in higher secondary levels. The complexity of converting ratios involving fractions (2/5 : 4/7) to simplest form and applying proportional reasoning with decimals (2.4 litres) exceeds the expected mathematical ability of beginning secondary students.</t>
  </si>
  <si>
    <t>Grade alignment: The problem involves decimal ratios and basic arithmetic operations typically taught in upper primary grades (Primary 5-6), making it too elementary for Secondary O-level 1 students who should be working with more advanced mathematical concepts like algebraic ratios, complex equations, or advanced decimal operations.</t>
  </si>
  <si>
    <t>Synergy: The two parts are somewhat independent - part (a) asks for simplification while part (b) asks for quantity calculation, but part (b) does not require using the simplified ratio from part (a). Grade Alignment: Working with decimal ratios like 2.5:1.75 and converting to simplest form by finding GCD of 250 and 175 appears too advanced for Secondary O-level 1 students.</t>
  </si>
  <si>
    <t>Grade Alignment: The problem involves basic percentage comparison (180-120)/120*100=50% and simple fraction conversion 50%=1/2, which are Primary 5-6 level concepts in Singapore curriculum, not suitable for Secondary O-level 1 students who should handle more complex mathematical concepts.</t>
  </si>
  <si>
    <t>Grade alignment fails because this problem is too simple for Secondary O-level 1 students. The mathematical operations required (adding 4 to 18 to get 22 apartments, then calculating 50 * 1.15 = 57.50 for new fee, then 22 * 57.50 = 1265 for total revenue) involve only basic arithmetic and percentage calculations that are typically mastered in primary grades. Secondary O-level 1 students would be expected to handle more complex mathematical concepts and multi-step problems requiring higher-order thinking skills.</t>
  </si>
  <si>
    <t>Grade Alignment: This problem is too simple for Secondary O-level 1 students. The mathematical operations involved (15% discount calculation: 150 * 0.85 = 127.50, then 127.50 * 4 = 510) are basic arithmetic that students master in primary grades 4-6. Secondary O-level 1 students require more complex percentage applications involving compound calculations, algebraic manipulations, or multi-step percentage problems with variables.</t>
  </si>
  <si>
    <t>Primary KC alignment: The problem gives the quadratic formula C = 2n^2 + 3n directly instead of requiring students to translate a real-world situation into this expression. Part (a) asks to translate but the mathematical expression is already provided. Synergy: Part (a) does not require actual translation work since the formula is given, so the primary and secondary knowledge components are not used in tandem - part (b) can be solved independently using only evaluation skills. Real-world feasibility: Photo printing costs typically follow linear pricing models (cost per photo), not quadratic models where cost increases exponentially with number of photos - a quadratic cost structure C = 2n^2 + 3n is unrealistic for photo printing services.</t>
  </si>
  <si>
    <t>Grade alignment issue: Direct proportion is typically taught at Primary 6 or Secondary 1 level in Singapore math curriculum. Secondary O-level 2 students would be expected to handle more advanced mathematical concepts like algebraic manipulation, coordinate geometry, or trigonometry. This problem is too elementary for the intended grade level.</t>
  </si>
  <si>
    <t>Grade Alignment: This problem is designed for Secondary O-level 2 but follows Singapore math syllabus structure. In Singapore education system, linear inequalities are typically introduced at Secondary 1 level, making this problem potentially too advanced for the intended grade level if we consider Primary grades, or too basic if we consider it as Secondary 2 O-level content.</t>
  </si>
  <si>
    <t>Answerability: The quadratic equation h^2 - 5h + 70 = 0 has discriminant 25 - 280 = -255 &lt; 0, so no real solutions exist. Synergy: Since the problem has no solution, the knowledge components cannot work together effectively to produce a meaningful result. Real_world_feasibility: A discount policy where discount per hour equals hours worked is unrealistic - it would mean longer jobs get proportionally larger discounts, which is not typical business practice.</t>
  </si>
  <si>
    <t>Synergy: The two parts (a) and (b) are independent calculations that do not require using results from one part to solve the other part. Part (a) finding median = 15 and part (b) finding range = 20 - 10 = 10 are separate operations on the same dataset without connection between the questions.</t>
  </si>
  <si>
    <t>Answerability: The equation 2^(-x) * x = 3/8 cannot be solved algebraically using only laws of indices - it requires numerical methods or graphing technology, making it unsolvable with the stated requirements. Primary KC Alignment: While negative indices appear in the formula, solving the problem requires advanced numerical techniques rather than direct application of laws of indices. The main challenge is solving a transcendental equation, not manipulating indices. Synergy: The two knowledge components do not work in tandem - negative indices appear in the setup but laws of indices are not the primary tool needed for solution. Grade Alignment: This transcendental equation requiring numerical solution methods is beyond O-level 3/4 mathematics curriculum. Real World Feasibility: The pricing formula 12 * 2^(-n) * n creates unrealistic scenarios - longer subscriptions cost more total money but less per month, which contradicts typical business models and consumer behavior.</t>
  </si>
  <si>
    <t>Grade alignment issue: The problem requires understanding of union and intersection of events with probability addition rule P(A union B) = P(A) + P(B) - P(A intersection B), which may be too advanced for typical Secondary O-level 3/4 curriculum that usually covers basic single event probabilities.</t>
  </si>
  <si>
    <t>Grade Alignment: This problem is designed for Secondary O-level 3/4 students but the system indicates Primary grade evaluation. The problem involves set theory concepts (union of sets), addition rule for probability P(A or B) = P(A) + P(B) - P(A and B), and fraction simplification which are typically covered in secondary mathematics, not primary level. Primary students would not have the knowledge components required for this level of probability and set operations.</t>
  </si>
  <si>
    <t>Grade Alignment: This problem is too advanced for Primary O-level 3/4 students. It requires understanding of conditional probability, independent events, and multiplication of probabilities for compound events, which are typically covered in higher secondary mathematics. Primary students at this level would not have the mathematical maturity to handle concepts like P(A and B) = P(A) * P(B|A) or independent probability calculations across multiple scenarios.</t>
  </si>
  <si>
    <t>Synergy: The questions are not properly connected. Parts (b) and (c) can be solved by directly comparing 288 and 245 without using the division result from part (a). The result from part (a) - 48 towels per machine - is not needed as known information for the later questions.</t>
  </si>
  <si>
    <t>The problem is missing critical information - the number of teams. While it mentions teams of 6 cleaners, it does not specify how many teams exist, making it impossible to calculate 2872 divided by the unknown number of teams.</t>
  </si>
  <si>
    <t>The two questions are independent - Question 2 does not use the result from Question 1. The total time (3/4 + 2/3 = 17/12 hours) is not needed for ordering 3/4 and 2/3, lacking the required connection between questions.</t>
  </si>
  <si>
    <t>Primary KC Alignment: The problem asks for comparison between fractions (5/8 compared to 1/3), which requires finding the difference 5/8 - 1/3, but this is not the main focus. The question What fraction of her allowance did Aisha spend on the streaming service compared to the cleaning supplies is ambiguous and does not clearly require subtraction of unlike fractions as the primary solution method. Synergy: The Primary KC (subtraction of unlike fractions) and Secondary KC (simplifying fractions) are not used in tandem effectively. The subtraction is not clearly the main operation needed, and simplifying may not be required depending on interpretation of compared to. Clarity: The phrase What fraction of her allowance did Aisha spend on the streaming service compared to the cleaning supplies is ambiguous. It could mean the difference (5/8 - 1/3), the ratio (5/8 divided by 1/3), or simply asking for both fractions separately.</t>
  </si>
  <si>
    <t>Grade alignment fails because Primary 4 students typically learn basic fraction-decimal relationships like 0.5 = 1/2, but converting complex decimals like 3.35 to fractions (67/20) and determining simplest form requires knowledge of GCD/LCM concepts that are introduced in Primary 5-6. The complexity of this conversion exceeds Primary 4 expectations in Singapore math curriculum.</t>
  </si>
  <si>
    <t>Secondary KC alignment: The subtraction result 25.75 - 18.60 = 7.15 already has only 2 decimal places, so rounding to 2 decimal places gives the same answer. The secondary knowledge component of rounding decimals up to 3 decimal places is not meaningfully applied since the result doesn't require rounding from 3 decimal places. Synergy: Since the secondary knowledge component is not properly utilized, the primary and secondary components do not work in tandem as intended. The rounding instruction becomes superficial rather than essential to solving the problem.</t>
  </si>
  <si>
    <t>The two parts of the problem are not connected - part (b) does not use the result from part (a) as input, so they lack the required synergy where knowledge components work in tandem.</t>
  </si>
  <si>
    <t>Secondary KC alignment: Problem requires multiplication (3 × 7.60, 2 × 3.90) as primary operations before addition, making multiplication more prominent than the intended secondary KC of decimal addition. Synergy: The primary KC (decimal division) and secondary KC (decimal addition) are not used in tandem - they are sequential operations where addition feeds into division, but division does not enhance or work together with addition simultaneously.</t>
  </si>
  <si>
    <t>Part (b) creates confusion by asking about a day with more than 4 hours instead of directly using the calculated total from part (a). The phrase 'this day' is ambiguous and the condition 'more than 4 hours' adds unnecessary complexity when the question should simply ask to compare 4 1/12 hours with 3 5/6 hours.</t>
  </si>
  <si>
    <t>The problem has illogical relationship as the total work equals 11/10 of the mansion, meaning 110% which is impossible since you cannot clean more than 100% of a mansion. This makes the scenario unrealistic.</t>
  </si>
  <si>
    <t>Real-world feasibility: The scenario describes cleaning 9/4 = 2.25 rooms in a day, which means cleaning a quarter of a room. In reality, cleaning companies typically clean whole rooms or complete units, not fractional portions of rooms. This makes the scenario unrealistic as it does not mirror how cleaning services typically operate.</t>
  </si>
  <si>
    <t>Primary KC alignment fails because the problem only requires multiplying whole numbers by fractions (3 x 9/4 and 3 x 5/6), not multiplying two improper fractions together as intended.</t>
  </si>
  <si>
    <t>Real-world plausibility fails because cleaning 8/5 rooms (1.6 rooms) is not realistic - you cannot clean a fraction of a room in a cleaning service context.</t>
  </si>
  <si>
    <t>Answerability: The problem contains conflicting information. If Jenny expected to spend 2 1/4 hours per room for 5 rooms (11 1/4 hours total), but actually spent 1 1/2 hours less (9 3/4 hours total), this means she was more efficient than expected. However, the problem setup suggests she realized she spent less time after cleaning, which creates logical inconsistency about whether the time per room was an expectation or actual measurement. Real-world feasibility: It is unrealistic for a professional cleaner to not know how long she actually spent cleaning rooms - she would track her time as she works, not realize afterward that she spent less time than expected. Clarity: The phrase 'Each room required 2 1/4 hours of cleaning' is ambiguous - it could mean this was the expected time or the actual time needed, creating confusion about what Jenny expected versus what actually happened.</t>
  </si>
  <si>
    <t>Primary KC alignment: Part (a) requires 3.75 * 12 which is basic decimal multiplication, not multiplication by 10/100/1000 or their multiples as specified in the intended primary KC. Synergy: The two parts (a) and (b) are independent questions that do not require each other's results - part (b) can be solved without using the answer from part (a), failing the synergy requirement.</t>
  </si>
  <si>
    <t>Primary KC alignment: The problem requires multiplying 3.850 by 140 and 3.850 by 1.4, but does not specifically require multiplying decimals by 10, 100, 1000 or their multiples as intended. The calculations involve general decimal multiplication, not the specific skill of multiplying by powers of 10. Synergy: While both knowledge components are used in the problem, they are not used in tandem effectively. The primary KC (multiplying by multiples of 10/100/1000) is not properly utilized, so the components do not work together as intended to solve the problem.</t>
  </si>
  <si>
    <t>Answerability: The problem contains conflicting information about pricing structure. Initially states 12.500 for 1000 square metres, then states charges are divided equally among ALL square metres cleaned, creating ambiguity about whether the rate applies to original area only or total area. Clarity: The decimal notation 12.500 is ambiguous - unclear if this represents 12.5 or 12500 in standard notation. The pricing structure explanation creates confusion about how charges are calculated. Conciseness and Relevance: Questions (b) and (c) are redundant - both ask for the same total cost calculation, making one of these questions unnecessary.</t>
  </si>
  <si>
    <t>Primary KC alignment: The intended primary KC is 'finding number of units given rate and total amount' but the problem asks for total cost given rate and weight. The problem requires finding total amount (cost = rate x units) rather than finding number of units. This is the reverse operation of the intended primary KC.</t>
  </si>
  <si>
    <t>Primary KC alignment: The problem requires dividing fractions by fractions (3/4 ÷ 1/8 and 5/8 ÷ 1/8), not dividing a proper fraction by a whole number as intended. The intended primary KC would involve operations like 3/4 ÷ 2 or similar whole number divisors.</t>
  </si>
  <si>
    <t>The problem includes unnecessary information: mentioning 6 identical small rooms when only 1 room's solution amount is needed for the calculation. The number 6 is not used in solving either part (a) or part (b), making it irrelevant information that violates the conciseness requirement.</t>
  </si>
  <si>
    <t>Synergy: The two questions are not properly connected. Part (b) provides 1/2 kg as given information rather than using the result from part (a) to determine remaining laundry. The questions can be solved independently without using results from earlier parts.</t>
  </si>
  <si>
    <t>Answerability: The problem states each cleaning session costs 3/4 of the amount she has, which creates ambiguity - does this mean 3/4 of her original $60 or 3/4 of her remaining money after each session? If it means 3/4 of remaining money, she could only afford 1 session since 3/4 * 60 = 45, leaving her with 15, and the next session would cost 3/4 * 15 = 11.25, but this interpretation makes the math unnecessarily complex for Primary 6. If it means 3/4 of original amount ($45 per session), then 60/45 = 4/3 = 1.33 sessions, meaning she can only afford 1 full session, not multiple sessions as implied. Real-world feasibility: No cleaning service charges 3/4 of a customer's total budget per session - this pricing model is unrealistic. Clarity: The phrase 'costs 3/4 of the amount she has' is ambiguous and could be interpreted as either 3/4 of original amount or 3/4 of remaining amount after each purchase.</t>
  </si>
  <si>
    <t>The problem has conflicting information about what constitutes the final answer. If 36 rooms = 40% of total booked rooms, then total booked = 90 rooms. However, the additional 18 rooms requesting service creates confusion - these don't change the total rooms booked, making this information irrelevant. The secondary KC (addition) is not meaningfully integrated since adding 18 to either 36 or 90 doesn't answer the stated question logically. The synergy fails because the two knowledge components don't work together coherently to solve a single clear problem.</t>
  </si>
  <si>
    <t>Synergy: The two parts are independent - part (a) finds total rooms while part (b) finds ratios. The result from part (a) is not used to solve part (b), so the primary and secondary knowledge components are not used in tandem.</t>
  </si>
  <si>
    <t>Secondary KC alignment: Part (b) requires basic arithmetic substitution (C = 8 + 2 * 5 = 18) rather than simplifying linear expressions which involves combining like terms or reducing algebraic expressions. Synergy: The two parts do not work in tandem - part (b) can be solved independently without using the algebraic expression from part (a), it simply substitutes values into a formula. Grade alignment: Algebraic expressions and algebraic thinking are typically introduced in Secondary 1, not Primary 6 where students focus on arithmetic operations and basic problem solving.</t>
  </si>
  <si>
    <t>Grade Alignment: The problem requires decimal calculations (30 * 0.85 = 25.5, leading to $51 total) which is typically beyond O-level 1 students who usually work with whole numbers and simple fractions.</t>
  </si>
  <si>
    <t>Grade alignment issue: This problem is too elementary for Secondary O-level 2 students (equivalent to Grade 10/11). The direct proportion concept (3 workers : 12 apartments = 5 workers : x apartments) and basic multiplication (20 × 20 = 400) are concepts typically mastered in primary/lower secondary grades. O-level mathematics would require more complex proportion problems involving multiple variables, inverse relationships, or algebraic manipulation.</t>
  </si>
  <si>
    <t>Synergy: The two parts (a) and (b) can be solved independently without using results from part (a) in part (b). Part (a) requires 245 / 6 = 40 remainder 5, so 40 complete baskets. Part (b) can be solved directly as 5 * 4 = 20 baskets without needing the answer from part (a). The questions are not connected as required for synergy.</t>
  </si>
  <si>
    <t>Synergy: The division operation (216/4=54) is not needed to solve the problem. Only subtraction (216-19=197) is required, so the knowledge components are not used in tandem. Conciseness: The information about 4 washing machines and equal division is irrelevant since the final answer only depends on total towels minus dirty towels.</t>
  </si>
  <si>
    <t>Secondary KC alignment: Problem requires division (42/8) not multiplication. Synergy: Since multiplication is not needed, primary and secondary KCs do not work together.</t>
  </si>
  <si>
    <t>Grade alignment: Primary 3 students typically learn basic fraction concepts like 1/2, 1/4, 1/3. Operations with fractions having denominators like 6 and requiring finding common denominators (LCM of 3 and 6) are typically introduced in Primary 4 or 5. The complexity of adding 2/3 + 1/6 and subtracting from 1 exceeds Primary 3 level.</t>
  </si>
  <si>
    <t>Grade alignment: Primary 4 students typically work with decimals up to 2 decimal places, but $13.299 has 3 decimal places which exceeds typical Primary 4 curriculum scope. Real-world feasibility: Streaming services do not typically charge prices with 3 decimal places like $13.299 - consumer subscription prices are usually to 2 decimal places like $13.29.</t>
  </si>
  <si>
    <t>Primary KC alignment fails because the main difficulty is adding decimals (12.95 + 3.50 = 16.45) not subtracting decimals. Part (b) only requires recalling the original streaming cost (12.95) without actual subtraction computation. Synergy fails because the two parts can be solved independently - part (a) uses addition only, part (b) uses given information only, with no meaningful connection requiring both addition and subtraction skills in tandem.</t>
  </si>
  <si>
    <t>The two parts (a) and (b) are independent questions that do not require using the result from part (a) to solve part (b). Part (a) requires dividing 24 by 3.75, while part (b) only asks to convert 3.75 to a fraction. The questions are not connected and do not need to be used in tandem.</t>
  </si>
  <si>
    <t>Real-world feasibility: Commercial laundry machines typically hold 15-25 kg capacity, so dividing 8.64 kg equally into 4 machines (2.16 kg per machine) is unrealistic as each machine would be severely underutilized. Normal practice would use 1 machine for this amount of laundry.</t>
  </si>
  <si>
    <t>Answerability: The problem contains conflicting information. Total disinfectant usage (6 * 3/5 * 10 + 2/3 * 10 = 36 + 20/3 = 128/3 litres) exceeds the 10-litre bottle capacity, making the problem mathematically impossible. Real-World Plausibility: The scenario is unrealistic because you cannot use more disinfectant than what is available in the bottle.</t>
  </si>
  <si>
    <t>Answerability: The relationship between rooms needing cleaning, special cleaning, and finished rooms is unclear, creating ambiguity in what the question is asking. Primary KC Alignment: The problem primarily requires fraction subtraction (2/3 - 7/15), not multiplication as intended - the multiplication of 2/3 × 4/5 appears unnecessary for the main question. Synergy: The primary and secondary knowledge components are not used in tandem - multiplication appears separate from the main subtraction-based solution. Clarity: Ambiguous whether the question refers to all rooms needing cleaning or just those requiring special cleaning. Conciseness: The information about 4/5 requiring special cleaning appears irrelevant to solving the main question about remaining unfinished rooms.</t>
  </si>
  <si>
    <t>Secondary KC alignment: The answer $1.50 is already in decimal form, so part (b) does not require fraction-to-decimal conversion skills. Real-world feasibility: A 2/3 discount (approximately 67% off) is unrealistically high for a commercial laundry service.</t>
  </si>
  <si>
    <t>The word problem includes irrelevant information - the cost of $15 for cleaning 1 room is mentioned but not needed to solve either part (a) or part (b) of the problem. Only the time per room (1 3/4 hours) and number of rooms (4) are necessary for the calculations.</t>
  </si>
  <si>
    <t>Real-world feasibility: The pricing model where laundry cost equals weight divided by 100 is unrealistic. For 13.6 kg of laundry, this gives $0.136 which is extremely cheap compared to actual laundry service pricing that typically ranges from $1-3 per kg.</t>
  </si>
  <si>
    <t>Secondary KC alignment fails: The problem does not require converting measurements from larger units in decimal form to smaller units. The 1.5 hours is already given in decimal form and no unit conversion is needed - all calculations remain in the same units (dollars and hours).</t>
  </si>
  <si>
    <t>Primary KC alignment: Part (a) requires finding total amount given rate and number of units (7.50 * 18.5 = 138.75), not finding number of units given rate and total amount as specified in the intended Primary KC. The Primary KC should involve division (total amount / rate = number of units) but part (a) uses multiplication. Synergy: The two parts are independent - part (a) calculates earnings using rate * time, part (b) converts hours to minutes. Neither part uses the result from the other part, so Primary and Secondary KCs are not used in tandem to solve a connected problem.</t>
  </si>
  <si>
    <t>Secondary KC alignment: The calculation (3/4) / 3 = 1/4 produces a result already in simplest form, so no actual simplification is required. Synergy: Since no simplification step is needed, the primary and secondary knowledge components do not work together to solve the problem.</t>
  </si>
  <si>
    <t>Parts (a) and (b) are independent questions. Part (b) does not use the result from part (a) as known information, failing to create the required connection between questions for synergy.</t>
  </si>
  <si>
    <t>Secondary KC alignment fails because solving requires 60 / 0.85 = 70.59 using division and decimals, not whole number subtraction. Synergy fails because secondary KC of whole number subtraction is not actually needed to solve the problem.</t>
  </si>
  <si>
    <t>Synergy: The two parts (a) and (b) are independent questions that can be solved separately. Part (a) requires finding ratio 48:36:60 which simplifies to 4:3:5. Part (b) requires division 60/12=5 cleaners. The result from part (a) is not needed to solve part (b), so the questions are not connected and do not demonstrate synergy between primary and secondary knowledge components.</t>
  </si>
  <si>
    <t>Answerability: The ratio 3:5 = x:12 gives x = 36/5 = 7.2 workers, but you cannot have 7.2 workers in reality. Real-World Plausibility: Having 7.2 workers is not realistic as workers must be whole people.</t>
  </si>
  <si>
    <t>Grade Alignment: The problem requires formal algebraic expression writing using variables (C, r) and algebraic notation which is typically introduced in Secondary 1-2, not Primary 6. Primary 6 students have not yet learned to write algebraic expressions with variables in this formal mathematical notation.</t>
  </si>
  <si>
    <t>Grade Alignment: The problem requires formal algebraic equation writing and solving using variables (let x be...), which is typically introduced in Secondary 1-2 mathematics, not Primary 6. Primary 6 students typically solve such problems using arithmetic methods like division (120 / 4 = 30) rather than algebraic equation manipulation.</t>
  </si>
  <si>
    <t>Grade alignment issue: Secondary O-level 1 corresponds to approximately age 13-14 students who typically work with simpler ratios using whole numbers. This problem requires advanced fraction manipulation including finding common denominators for fractions like 2/5, 1/4, and 7/20, then expressing ratios in fractional form. The complexity level appears more suitable for higher secondary grades where students have stronger fraction operation skills.</t>
  </si>
  <si>
    <t>The two parts of the problem are independent of each other. Part (a) finds the number of basic and premium packages using ratios, while part (b) calculates the price difference using subtraction. The result from part (a) is not needed to solve part (b), so the primary and secondary knowledge components are not used in tandem.</t>
  </si>
  <si>
    <t>Secondary KC alignment: Problem requires division operations (24/6=4, 24/2=12) rather than multiplying whole numbers as intended. Synergy: Primary and secondary KCs do not work together - inverse proportion uses division while intended secondary KC focuses on multiplication.</t>
  </si>
  <si>
    <t>Grade Alignment: The problem involves inverse proportion and basic division which are typically taught at Primary 5-6 level in Singapore math curriculum. This content is too elementary for Secondary O-level 2 students who should be working with more advanced mathematical concepts.</t>
  </si>
  <si>
    <t>Primary KC alignment: The problem involves solving a linear equation in one variable (x), not two variables as specified in the intended primary knowledge component. The equation 50 + 20x = 30 + 25x contains only one unknown variable x.</t>
  </si>
  <si>
    <t>Synergy: Parts (a) and (b) are independent calculations - the median result is not used to find the mode, lacking interconnection between questions. Grade Alignment: Finding median and mode are typically taught in Primary 5-6 or Secondary 1, making this problem too elementary for Secondary O-level 2 students.</t>
  </si>
  <si>
    <t>Synergy criterion not met: Part (a) asks for median and part (b) asks for 75th percentile, but these are independent calculations using the same dataset. The result from part (a) is not needed or used to solve part (b). The questions do not build upon each other as required for synergy between primary and secondary knowledge components.</t>
  </si>
  <si>
    <t>Answerability: The phrase 'after n years' is ambiguous - unclear if this means at the end of year n or following year n. This creates confusion about whether 8 movies is the baseline or year 1 amount. Grade alignment: The problem involves basic exponential growth (2^n) which is too simple for O-level 3/4 students who should be working with complex laws of indices like (a^m)^n = a^(mn). Synergy: Part 2 can be solved independently without using the expression from Part 1, as students can directly calculate 8 * 2^3 = 64. Clarity: The temporal reference points are inconsistent between 'after n years' and 'in the 4th year', making the problem statement ambiguous.</t>
  </si>
  <si>
    <t>Real-world feasibility: The formula n = 4 * (2^(1/2))^k produces unrealistic device limits. After 6 years, n = 4 * 2^3 = 32 devices, which is plausible. However, the exponential growth means after 10 years there would be 4 * 2^5 = 128 devices, and after 20 years there would be 4 * 2^10 = 4096 devices per account. No streaming service would realistically offer thousands of simultaneous device connections under a single account due to technical and business constraints.</t>
  </si>
  <si>
    <t>Grade Alignment: Matrix operations including matrix multiplication and transpose are typically covered in A-level mathematics or pre-university level, not in Secondary O-level 3/4. O-level mathematics usually covers basic arithmetic, algebra, geometry, and statistics, but not advanced matrix operations.</t>
  </si>
  <si>
    <t>Grade alignment: This problem involves concepts like independent events, multiplication of probabilities, and probability of union of events (either/or scenarios). These are typically covered in higher secondary mathematics or pre-university levels, not Primary O-level 3/4. Primary students typically work with basic probability concepts like simple fractions and basic single event probabilities, not complex probability operations with decimals and independent event analysis.</t>
  </si>
  <si>
    <t>Grade Alignment: The problem requires addition of fractions with different denominators (5/12 + 1/6) and simplification of fractions, which are typically taught in Primary 4-5 in Singapore math curriculum. Primary 3 students typically work with simpler fractions with same denominators or basic unit fractions. The denominators 12 and the concept of finding common denominators exceed Primary 3 level.</t>
  </si>
  <si>
    <t>Clarity: Question (a) is ambiguous - 'What fraction of her watchlist movies did she watch last month than this month?' is unclear. It should ask 'How many more movies did she watch last month than this month?' or 'What is the difference between the fractions?'. Language Quality: The phrasing in question (a) is grammatically incorrect and confusing due to the awkward construction 'did she watch last month than this month'.</t>
  </si>
  <si>
    <t>Answerability: The problem states that 8 apartments cancelled at the last minute so the company did not earn money from those apartments. However, it is unclear whether these 8 apartments are part of the 128 apartments cleaned or additional to them. If they are part of the 128, then the company actually cleaned 128 - 8 = 120 apartments and should earn 120 * 35 = 4200 dollars. If they are additional, then the company cleaned 128 apartments and earned 128 * 35 = 4480 dollars. The problem setup creates ambiguity about whether the cancelled apartments were cleaned or not. Clarity: The phrase 'after subtracting the money from the cancelled apartments' is confusing because cancelled apartments would not generate money to subtract. The problem should clarify whether these apartments were actually cleaned despite cancellation or if they represent potential earnings that were lost.</t>
  </si>
  <si>
    <t>Secondary KC alignment fails because the addition component (each team adding their counts to find total) is artificial and unnecessary since total 3456 is already known. Synergy fails because the two knowledge components do not work together meaningfully - division solves the main problem while addition just recreates known information. Real-world feasibility fails because teams would not typically add individual apartment counts to determine a total that was already specified in their contract.</t>
  </si>
  <si>
    <t>Grade alignment: The problem involves 3 decimal places (29.698) which exceeds Primary 4 level typically covering up to 2 decimal places. Real-world feasibility: Streaming service prices typically use 2 decimal places for currency, not 3 decimal places like 29.698 dollars which is unrealistic for actual pricing.</t>
  </si>
  <si>
    <t>Answerability: The price 3.250 is ambiguous - unclear if this means 3.25 or is a formatting error with 3 decimal places. Grade_alignment: The problem uses 3.250 which has 3 decimal places, but Primary 4 students should only work with decimals up to 2 decimal places. Clarity: The notation 3.250 creates confusion about the intended decimal value.</t>
  </si>
  <si>
    <t>Secondary KC alignment fails because rounding 26.25 to nearest 0.01 gives 26.25 - no actual rounding occurs, making this part redundant and not a meaningful exercise of the rounding skill.</t>
  </si>
  <si>
    <t>Secondary KC alignment: The calculation 6 * 2/3 = 12/3 = 4 results in a whole number that is already in simplest form, so no fraction simplification is actually required. Synergy: Since the secondary KC is not needed for solving, there is no meaningful integration between the two knowledge components. Conciseness: The $24 room cleaning charge is irrelevant information as the question only asks about bottles of cleaning solution needed.</t>
  </si>
  <si>
    <t>Real-world feasibility: The scenario is unrealistic - cleaning 3/4 of an apartment 5 times would result in cleaning 3.75 apartments total, but the problem frames this as cleaning for the same customer, which doesn't make logical sense. Conciseness and relevance: The $60 charge information is completely irrelevant to solving the problem and should be removed as it serves no purpose in the calculation.</t>
  </si>
  <si>
    <t>Answerability: The problem is ambiguous about whether family members share one account or use separate accounts. The phrase 'by watching with family members who each use their own accounts' creates confusion about what quantity is being calculated - one user's extended time or total family streaming time. Real-world feasibility: The scenario is unrealistic because if family members each have their own accounts with individual daily limits, one user cannot use 7/3 times their limit by watching with others who have separate accounts. The streaming service mechanics described do not reflect how such services actually operate. Clarity: The wording creates ambiguity about the calculation target. It's unclear whether the problem asks for one user's total time (9/5 * 7/3) or combined family usage, making the problem statement confusing and open to multiple interpretations.</t>
  </si>
  <si>
    <t>Primary KC alignment fails because the problem requires multiplying 0.238 by 200, which is multiplication of decimals by whole numbers, not specifically multiplication by 10, 100, 1000 or their multiples as intended. The calculation 0.238 * 200 does not align with the specific primary knowledge component of multiplying decimals by 10, 100, 1000 and their multiples.</t>
  </si>
  <si>
    <t>Primary KC alignment: The problem requires multiplying 2.350 by 20 and 3.60 by 15, but these are not multiplication by 10, 100, 1000 or their multiples as specified in the intended primary KC. The problem involves multiplying decimals by other whole numbers instead. Synergy: The primary and secondary KCs are not used in tandem as intended. The problem does not require the specific primary KC of multiplying decimals by 10, 100, 1000 or multiples, so there is no proper integration between the intended primary and secondary knowledge components.</t>
  </si>
  <si>
    <t>Answerability: The problem contains conflicting information - it states one team finished their portion but then implies they left 1/8 of the mall uncleaned, creating logical inconsistency that makes the problem unsolvable. Real-world feasibility: The scenario where a team finishes their assigned work but somehow leaves a different amount of work undone is unrealistic and confusing. Clarity: The phrase finished their portion 1/8 of the mall earlier is ambiguous - it could mean they finished 1/8 ahead of schedule or left 1/8 undone, leading to confusion about what actually happened.</t>
  </si>
  <si>
    <t>Real-world feasibility issue: The problem states that 5 workers divide the total cleaning solution equally so each has enough to clean 1 floor, but the calculation shows each worker gets 3/4 bottle while 3/4 bottle is needed per floor. This creates a logical inconsistency - if they divide equally to ensure each can clean 1 floor, each should get exactly what is needed (3/4 bottle), making the division step redundant and unrealistic.</t>
  </si>
  <si>
    <t>Real-world feasibility: The problem states they use 4 litres on Monday, then on Tuesday they have 1/2 litre left from Monday plus 3/4 litre newly bought. This implies they used 4 - 1/2 = 3.5 litres on Monday, which would clean 3.5 ÷ 2/3 = 5.25 rooms. However, you cannot clean a fraction of a room in reality, making this scenario implausible.</t>
  </si>
  <si>
    <t>Answerability: The relationship between the $240 (40% of total monthly earnings) from one client and the total charge for 5 appointments is ambiguous. It is unclear whether the 40% represents earnings from all 5 appointments or just indicates proportion of total business revenue. Clarity: The problem statement creates confusion about whether we are finding total earnings or specifically total charges for the 5 appointments, making the problem unclear.</t>
  </si>
  <si>
    <t>Answerability: The calculation leads to non-whole number answers ($780/9 = $86.67, largest share = $346.67) which creates ambiguity about the expected answer format and is unrealistic for money problems. Grade Alignment: Primary 6 students typically work with whole numbers in money contexts, and this problem requires handling decimal currency amounts which may be above grade level expectations. Real-World Feasibility: Companies would not split money in ratios that result in fractional cents - they would adjust the amounts to ensure whole dollar distributions.</t>
  </si>
  <si>
    <t>Grade alignment fails: Problem involves basic fraction ratios and addition suitable for Primary 5-6 level, but is labeled as Secondary O-level 1 which requires much more advanced mathematical concepts like algebra, geometry, and trigonometry.</t>
  </si>
  <si>
    <t>Secondary KC alignment: The problem does not require fraction multiplication as a necessary component. Part (a) only needs ratio simplification by finding common denominators or converting to whole numbers (3/4 : 2/5 = 15:8). Part (b) uses proportion solving (3 ÷ 3/4 × 2/5 = 8/5) which can be solved without explicit fraction multiplication knowledge. Synergy: Since fraction multiplication is not required, there is no synergy between the primary KC (ratios with fractions) and secondary KC (fraction multiplication). The problem can be solved using ratio and proportion concepts alone.</t>
  </si>
  <si>
    <t>Grade alignment: The problem involves complex fraction ratios (2/5 : 4/7) and conversion between fractions and decimals (2.4), which typically requires mathematical sophistication beyond Secondary O-level 1 students. This level of ratio work with fractions is more appropriate for higher secondary grades.</t>
  </si>
  <si>
    <t>Grade alignment: Decimal ratios like 2.5:4.5 are typically taught in Primary 6 in Singapore math syllabus, making this problem too elementary for Secondary O-level 1 students who would work with more complex ratios and algebraic approaches.</t>
  </si>
  <si>
    <t>Synergy: Part (b) can be solved directly using the original ratio 2.5:1.75 without needing the simplified form from part (a). The questions are not sufficiently connected as the result from part (a) is not required for part (b).</t>
  </si>
  <si>
    <t>Grade alignment issue: Problem involves only basic arithmetic (18 + 4 = 22) and simple percentage calculation (50 * 1.15 = 57.50), which are typically mastered by Primary 5-6 students (ages 11-12). This is too elementary for Secondary O-level 1 students who should be working with more advanced mathematical concepts.</t>
  </si>
  <si>
    <t>Secondary KC alignment: Problem requires decimal multiplication (127.50 * 4) not whole number multiplication. Grade alignment: Problem difficulty too low for Secondary O-level 1 students, more suitable for primary level.</t>
  </si>
  <si>
    <t>Grade alignment issue: Secondary O-level 1 students typically aged 13-14 are below the level for reverse percentage problems involving algebraic manipulation. This concept requires setting up equations like 0.75x = 60 and solving for x, which is more appropriate for higher secondary levels. Primary level students at this age would typically work with direct percentage calculations rather than reverse engineering from discounted prices.</t>
  </si>
  <si>
    <t>Primary KC alignment: The problem provides the quadratic formula C = 2n^2 + 3n directly instead of requiring students to translate the real-world situation into this expression. Part (a) asks to translate but the formula is already given, making this redundant rather than requiring actual translation skills. Synergy: The two parts operate independently - part (a) simply restates the given formula and part (b) uses the formula for evaluation. There is no meaningful connection where part (a) results feed into part (b) as required. Real-world feasibility: The cost structure C = 2n^2 + 3n is unrealistic for photo printing services. Real printing services typically use linear pricing (cost per photo) or tiered pricing, not quadratic pricing where cost increases exponentially with quantity.</t>
  </si>
  <si>
    <t>Grade alignment issue: This problem is too simple for Secondary O-level 2 students. Direct proportion with basic whole number division (4 staff for 12 rooms, find staff for 54 rooms, then 54/3 = 18 rooms per staff) involves only elementary mathematical concepts that would typically be mastered by Primary 5-6 students. O-level mathematics should involve more complex applications, algebraic manipulation, or multi-step reasoning beyond basic arithmetic operations.</t>
  </si>
  <si>
    <t>Grade Alignment: This problem is not suitable for Secondary O-level 2 students as it requires knowledge of linear inequalities with variables, which is typically taught at higher secondary levels (O-level 3-4) in Singapore math curriculum. Secondary O-level 2 students would not have learned algebraic inequality solving yet.</t>
  </si>
  <si>
    <t>Answerability: The quadratic equation h^2 - 5h + 70 = 0 has discriminant = 25 - 280 = -255 &lt; 0, yielding only complex solutions with no real-world meaning for hours worked. Real_world_feasibility: A discount policy where discount per hour equals hours worked is unrealistic - this would mean 10 hours of work gives $10 discount per hour totaling $100 discount, making the service nearly free. Clarity: The phrase 'discount in dollars received per hour' is ambiguous - unclear if this means total discount divided by hours or discount rate per hour.</t>
  </si>
  <si>
    <t>Synergy: The two parts (a) and (b) are independent calculations that do not require using results from one part to solve the other. Part (a) asks for median and part (b) asks for range, but neither requires the answer from the other part. They are separate statistical measures calculated from the same dataset without interdependence.</t>
  </si>
  <si>
    <t>Answerability: The pricing formula 12 * 2^(-n) * n creates unrealistic scenarios where longer subscriptions cost less than shorter ones (3 months = $1.50, 6 months = $1.125). The equation 2^(-x) * x = 1.5 cannot be solved to yield a positive integer power as requested. Real-world feasibility: The discount formula is economically implausible as it would result in the company losing money on longer subscriptions, with prices approaching zero as subscription length increases.</t>
  </si>
  <si>
    <t>Grade alignment issue: This probability problem involving addition of probabilities with intersection concepts is too advanced for Primary level students. It should be assigned to Secondary level students who have learned formal probability theory including union and intersection of events.</t>
  </si>
  <si>
    <t>Grade Alignment: This problem is too advanced for Primary O-level 3/4 students. It requires understanding of set theory concepts (union, intersection), Venn diagrams, and probability calculations with combined events using the formula P(A ∪ B) = P(A) + P(B) - P(A ∩ B). These concepts are typically taught at Secondary level mathematics, not Primary level. Primary 3/4 students would not have the mathematical foundation to solve problems involving addition rule of probability and finding probabilities of combined events.</t>
  </si>
  <si>
    <t>Grade alignment fails because this problem requires advanced probability concepts including conditional probability, independent events, and multiplication rule for independent events which are typically covered in higher secondary mathematics or pre-university level, not O-level 3/4. The Singapore O-level mathematics syllabus at grades 3/4 covers basic probability concepts but not the sophisticated probability multiplication and independence concepts required here.</t>
  </si>
  <si>
    <t>Grade alignment issue: The problem requires 4-digit subtraction with regrouping (2501 - 1789), which is typically beyond Primary 3 level. Primary 3 students usually work with 3-digit numbers and simpler operations without complex regrouping.</t>
  </si>
  <si>
    <t>Grade alignment fails because multiplying 3-digit numbers by 1-digit numbers (7×128, 5×153) requires carrying techniques typically taught in Primary 4 or higher, making it too advanced for Primary 3 students.</t>
  </si>
  <si>
    <t>The problem states there are teams of 6 cleaners but does not specify how many teams exist. Without knowing the number of teams, it is impossible to divide 2872 rooms among them. The problem needs to specify either the total number of teams or the total number of cleaners to be answerable.</t>
  </si>
  <si>
    <t>The two questions are independent of each other. Question 1 asks for the sum 3/4 + 2/3 = 17/12, while Question 2 asks to order 3/4 and 2/3. The result 17/12 from Question 1 is not used in Question 2, and the ordering from Question 2 is not needed for Question 1. The questions do not work in tandem as required for synergy.</t>
  </si>
  <si>
    <t>Answerability: The question 'What fraction of her allowance did Aisha spend on the streaming service compared to the cleaning supplies?' is ambiguous and could be interpreted as asking for difference (5/8 - 1/3), ratio (5/8 ÷ 1/3), or total (5/8 + 1/3). Real-world feasibility: Spending 5/8 + 1/3 = 23/24 of allowance on just streaming and cleaning supplies is unrealistic for a Primary 4 student, leaving only 1/24 for all other expenses. Clarity: The ambiguous phrasing of the main question makes it unclear what mathematical operation is required.</t>
  </si>
  <si>
    <t>synergy: The two parts (a) and (b) are independent questions that do not require each other's results. Part (a) calculates total cost using decimal multiplication, part (b) converts the same hourly rate to fraction form. The result from part (a) ($14.25) is not needed to solve part (b), and vice versa. The questions are not connected in a way where an early question's result is used as known information for a later question.</t>
  </si>
  <si>
    <t>Answerability: Part (b) has logical inconsistency - it mentions comparing with another day of 3 5/6 hours but the problem setup only describes one day of cleaning work, making the comparison illogical. Clarity: Part (b) is confusing due to the same logical flaw, creating ambiguity about what exactly is being compared.</t>
  </si>
  <si>
    <t>Answerability: The problem contains illogical relationships as the total work exceeds 100% of the mansion (3/5 + 2/3 * 3/5 + 1/10 = 11/10 = 110%), making it impossible to clean more than the entire mansion. Real-world feasibility: A cleaning company cannot clean 110% of a mansion, as this exceeds the physical limits of the building.</t>
  </si>
  <si>
    <t>Real-world feasibility: The problem states cleaning 9/4 = 2.25 rooms, which means cleaning a quarter of a room. This is unrealistic as cleaning companies typically clean whole rooms, not fractional portions of rooms.</t>
  </si>
  <si>
    <t>Primary KC alignment: The problem requires multiplying fraction by whole number (9/4 * 3 and 5/6 * 3) rather than multiplying two improper fractions as specified in the intended Primary Knowledge Component.</t>
  </si>
  <si>
    <t>Real-world feasibility fails because cleaning 8/5 rooms (1.6 rooms) is unrealistic - you cannot clean a fraction of a room in practice.</t>
  </si>
  <si>
    <t>Answerability: Problem contains conflicting information - states each room required 2 1/4 hours but then says she spent 1 1/2 hours less than expected total, creating ambiguity about whether 2 1/4 hours was expected or actual time per room. Clarity: The relationship between expected time per room (2 1/4 hours) and actual total time spent is unclear and confusing.</t>
  </si>
  <si>
    <t>Primary KC alignment: Part (a) requires 3.75 * 12 which is basic decimal multiplication, not specifically multiplying by 10, 100, 1000 or their multiples as stated in the intended primary KC. Synergy: The two parts are independent - part (a) calculates total cost while part (b) converts decimal to fraction. The result from part (a) is not needed to solve part (b), so they do not work in tandem.</t>
  </si>
  <si>
    <t>Primary KC alignment fails because the problem requires general decimal multiplication (3.850 x 140 and 3.850 x 1.4) rather than specifically multiplying decimals by 10, 100, 1000 or their multiples as intended. The multiplication involves 140 which is not a multiple of 10, 100, or 1000 in the context of the intended knowledge component.</t>
  </si>
  <si>
    <t>The pricing of $123.456 for cleaning 1000 square metres (approximately $0.12 per square metre) is unrealistically low for professional cleaning services, making the scenario implausible.</t>
  </si>
  <si>
    <t>Answerability: The problem contains conflicting information about charging structure. Initially states 12.500 for 1000 square metres, then states charges are divided equally among ALL square metres cleaned, creating ambiguity about whether rate changes when additional area is added. Clarity: The charging structure is ambiguous - unclear if the rate per square metre changes when additional area is requested or if original rate applies to all areas. Conciseness and Relevance: Question (c) is redundant as it asks the same thing as question (b) - both ask for total cost of cleaning all areas.</t>
  </si>
  <si>
    <t>Primary KC alignment: The problem requires finding the total amount given rate and number of units, not finding number of units given rate and total amount. The intended primary KC is 'finding number of units given rate and total amount' but this problem gives rate ($2.50 per kg) and number of units (6.5 kg after conversion) to find total amount, which is the opposite operation.</t>
  </si>
  <si>
    <t>The problem mentions 6 identical small rooms but only asks about one room, making the number 6 irrelevant information not needed for solving the problem.</t>
  </si>
  <si>
    <t>Secondary KC alignment: Part b requires fraction addition 5/6 + 1/2, not subtraction as intended. Synergy: Part b does not use the result from part a - the 16 full washes calculated in part a is not needed to solve part b, so the questions lack proper connection.</t>
  </si>
  <si>
    <t>Answerability: The phrase each cleaning session costs 3/4 of the amount she has is ambiguous - unclear if this refers to 3/4 of original $60 or remaining money after each purchase. Real-world feasibility: A cleaning service costing $45 per session when Maya only has $60 total is unrealistic for typical home cleaning services which cost $100-200+ per session. Clarity: The ambiguous wording about what the amount she has refers to makes the problem unclear.</t>
  </si>
  <si>
    <t>Answerability: The problem has conflicting information. It states 40% of rooms requested cleaning service (36 rooms), but then mentions 18 more rooms requesting service, creating logical inconsistency about what percentage actually requested service. Secondary KC Alignment: The problem can be solved using only percentage calculation (36 / 0.4 = 90). Addition of whole numbers is not needed as the 18 additional rooms creates contradiction rather than useful information. Synergy: Primary and secondary knowledge components are not used together - only percentage calculation is needed to find the answer. Clarity: The relationship between the initial 36 rooms requesting service and the additional 18 rooms is ambiguous and creates confusion. Conciseness and Relevance: The information about 18 additional rooms is irrelevant and unnecessary for solving the main question about total rooms booked.</t>
  </si>
  <si>
    <t>synergy: The two parts (a) and (b) can be solved independently. Part (a) requires addition: 15 + 20 + 25 = 60. Part (b) requires finding ratio: 15:20:25 = 3:4:5. The result from part (a) is not needed to solve part (b), so the questions are not connected as required.</t>
  </si>
  <si>
    <t>Secondary KC Alignment: Part (b) requires basic arithmetic substitution (C = 8 + 2 * 5 = 18) rather than simplifying linear expressions with variables. No algebraic simplification is needed. Synergy: The two parts do not work in tandem - part (b) is a standalone calculation that does not use the algebraic expression from part (a) as an intermediate step for further algebraic work. Grade Alignment: Primary 6 students typically do not learn algebraic expressions with variables, translation of real-world situations into algebraic expressions, or formal algebra concepts which are usually introduced in secondary school.</t>
  </si>
  <si>
    <t>Grade Alignment: This problem is too simple for Secondary O-level 1 students. The calculation involves basic percentage decrease (30 * 0.15 = 4.5, so discounted price = 25.5) and simple multiplication/subtraction (25.5 * 2 = 51, 30 * 2 = 60, 60 - 51 = 9). These operations are more suitable for primary level students. O-level students would typically handle more complex percentage problems involving compound calculations, ratios, or multi-step percentage changes.</t>
  </si>
  <si>
    <t>Grade alignment: The problem difficulty level appears too basic for Secondary O-level 1 students. Simple reverse percentage calculations like finding original price from 25% discount are typically covered in upper primary or lower secondary grades, not O-level coursework which should involve more complex mathematical concepts.</t>
  </si>
  <si>
    <t>Grade alignment: The mathematical concepts (basic proportion 3:12 = 5:x and multiplication 5*4, 20*20) are too elementary for Secondary O-level 2 students. These concepts are typically mastered in primary grades 4-6, making the problem inappropriately easy for the intended high school grade level.</t>
  </si>
  <si>
    <t>Synergy: While the two parts are contextually connected through the laundry scenario, the numerical answer from part (a) - 40 complete baskets - is not directly used as input for part (b). Part (b) can be solved independently using only the given numbers 4 and 5, without requiring the result from part (a).</t>
  </si>
  <si>
    <t>Secondary KC alignment: Problem only requires division operations (168/4=42, 42/8=5). No multiplication calculations needed. Synergy: Since multiplication is not actually used in solving the problem, the two intended knowledge components do not work in tandem as required.</t>
  </si>
  <si>
    <t>Grade Alignment: The problem requires adding fractions with different denominators (2/3 + 1/6 = 4/6 + 1/6 = 5/6) and subtracting from 1 (1 - 5/6 = 1/6). Addition and subtraction of fractions with different denominators typically requires finding common denominators and equivalent fractions, which are concepts usually introduced in Primary 4 or 5 in Singapore math curriculum, not Primary 3.</t>
  </si>
  <si>
    <t>Primary KC specifies adding decimals up to 2 decimal places, but the problem includes 13.299 which has 3 decimal places, exceeding the intended scope.</t>
  </si>
  <si>
    <t>Primary KC alignment: Problem does not require subtracting decimals to solve - part (a) uses only addition (12.95 + 3.50) and part (b) requires no calculation. Synergy: The primary and secondary knowledge components are not used together - only addition is needed for part (a), no subtraction is required anywhere in the problem.</t>
  </si>
  <si>
    <t>The two parts of the problem are independent - part (b) does not use the result from part (a). Part (a) asks for number of shirts (24/3.75 = 6.4 shirts) and part (b) asks to convert 3.75 to fraction (3.75 = 15/4). The questions are not connected such that early question result is used in later question.</t>
  </si>
  <si>
    <t>Real-world feasibility: Laundry shops do not typically divide clothes equally by weight into 4 machines - they load machines based on fabric type, color, and practical capacity. The precise water loss calculation of 0.28 kg seems artificially constructed for math purposes rather than reflecting realistic laundry operations.</t>
  </si>
  <si>
    <t>Answerability: Problem has conflicting information - cleaning 6 rooms requires 6 * 3/5 = 18/5 = 3.6 portions of bottle, but only 1/3 portion remains after using 2/3 last week, making calculation impossible. Real-world feasibility: Hotels would not attempt cleaning without sufficient supplies, and the mathematical impossibility makes scenario unrealistic.</t>
  </si>
  <si>
    <t>The information about 4/5 of rooms requiring special cleaning is irrelevant and not used in solving the problem. All given numbers must be necessary for solving the word problem.</t>
  </si>
  <si>
    <t>A 2/3 discount means customers pay only 1/3 of the original price ($1.50 instead of $4.50), representing a 67% discount. Such a massive discount for bringing 8 blankets instead of 5 or fewer is unrealistic for laundry services, which typically offer much smaller bulk discounts of 10-20%.</t>
  </si>
  <si>
    <t>Secondary Knowledge Component Alignment: The problem asks to express the answer as a fraction in its simplest form, but the calculation 2 1/4 × 6 = 9/4 × 6 = 54/4 = 13 1/2 already results in a fraction that is in its simplest form without requiring any additional simplification steps. The secondary knowledge component of simplifying fractions is not actually needed to solve this problem. Synergy: Since the secondary knowledge component is not genuinely required, there is no true synergy between the primary and secondary knowledge components in solving this problem.</t>
  </si>
  <si>
    <t>The problem includes irrelevant information that is not needed for solving either part: the cleaning cost of $15 per room is given but not used in any calculations, violating the conciseness and relevance criterion.</t>
  </si>
  <si>
    <t>Primary KC Alignment: The problem requires multiplying 6.125 x 100, which is multiplying a decimal by 100 but not by a multiple of 100. The intended primary KC specifically targets multiplication by multiples of 10, 100, 1000 (like 20, 300, 2000 etc.), but this problem only uses direct multiplication by 100 itself, not its multiples.</t>
  </si>
  <si>
    <t>Real-world feasibility: The pricing model of dividing weight by 100 to get cost in dollars is unrealistic. For 13.6 kg of laundry, this would result in a charge of $0.136, which is extremely low and does not reflect typical laundry service pricing structures.</t>
  </si>
  <si>
    <t>Secondary KC alignment: The problem does not require converting measurements from larger units in decimal form to smaller units. The 1.5 hours stays as hours throughout. Synergy: Since the secondary KC is not actually used, there is no synergy between primary and secondary knowledge components.</t>
  </si>
  <si>
    <t>Primary KC alignment: Part (a) requires finding total amount given rate and number of units (7.50 * 18.5 = 138.75), not finding number of units given rate and total amount as specified in the intended Primary KC. The Primary KC should involve division to find units, but this problem uses multiplication. Synergy: The two parts (a) and (b) are independent calculations that do not require each other's results. Part (a) calculates earnings using rate * hours, while part (b) converts hours to minutes. Neither question uses the result from the other question, so they lack the required interconnection for synergy.</t>
  </si>
  <si>
    <t>Synergy: The two parts (a) and (b) are independent questions that do not build upon each other. Part (a) asks to calculate time for 5 rooms using 3/4 rate, while part (b) introduces a completely different scenario with 2/3 rate for comparison. The result from part (a) is not used as input for part (b), violating the synergy requirement where multiple questions should be connected.</t>
  </si>
  <si>
    <t>Real-world feasibility: A washing machine load capacity of 3/4 kilogram (0.75 kg) is unrealistically small. Typical home washing machines have capacity of 6-10 kg and commercial laundry machines have even larger capacities of 15-50+ kg. This capacity does not reflect realistic laundry service operations.</t>
  </si>
  <si>
    <t>Secondary KC alignment: The problem does not require subtracting whole numbers. Solution involves 60 / 0.85 = 70.59 or solving 0.85x = 60. Synergy: No synergy exists since secondary KC is not actually used in solving the problem.</t>
  </si>
  <si>
    <t>The two parts (a) and (b) can be solved independently without using results from one part to solve the other. Part (a) uses ratio finding with numbers 48:36:60, while part (b) uses division 60/12=5 cleaners. No synergy between primary and secondary knowledge components as they are used separately in different questions.</t>
  </si>
  <si>
    <t>Grade alignment: The problem requires writing algebraic expressions with variables (C = 40 + 12r) and algebraic substitution, which are typically introduced in Secondary 1-2 mathematics curriculum in Singapore. Primary 6 students typically work with basic arithmetic word problems and simple patterns, but do not formally learn to write algebraic expressions using variables or perform algebraic substitution.</t>
  </si>
  <si>
    <t>Grade Alignment: The problem requires solving linear equations with variables (4x = 120, solve for x) and algebraic representation using variables, which are typically introduced in Secondary 1-2 mathematics curriculum in Singapore. Primary 6 students typically work with arithmetic word problems using whole number operations without formal algebraic equations and variables.</t>
  </si>
  <si>
    <t>Grade alignment: This problem involves advanced fraction operations and ratio concepts with fractions that are typically covered in upper primary or lower secondary levels, not O-level Secondary 1 which would expect more complex mathematical concepts appropriate for that grade level.</t>
  </si>
  <si>
    <t>Grade alignment issue: This problem requires advanced fraction operations with ratios that are typically taught at Primary 6 level in Singapore math curriculum, not Secondary O-level 1. Secondary 1 students would be working with more complex algebraic ratios and advanced mathematical concepts beyond basic fraction ratios.</t>
  </si>
  <si>
    <t>Synergy criterion not met: The two parts (a) and (b) are independent questions that do not require using results from part (a) to solve part (b). Part (a) uses ratio with decimals (2.5:1 with total 195), part (b) uses decimal subtraction (5.60 - 4.80), but they can be solved separately without connection.</t>
  </si>
  <si>
    <t>Grade Alignment: The problem involves basic percentage calculation (15-12)/12*100=25% and simple percentage to decimal conversion 25%=0.25, which are typically taught at Primary 5-6 level in Singapore curriculum. This is too elementary for Secondary O-level 1 students who should be handling more complex mathematical concepts.</t>
  </si>
  <si>
    <t>Secondary KC alignment: Problem requires division (24/6=4, 24/2=12) and basic arithmetic, not multiplication of whole numbers as specified. Synergy: Since secondary KC multiplication is not needed, primary and secondary KCs cannot work in tandem. Grade alignment: Inverse proportion is typically taught at Secondary 3-4 level, too advanced for Secondary O-level 2 students who focus on direct proportion and basic algebraic concepts.</t>
  </si>
  <si>
    <t>Grade alignment fails because this problem is too advanced for Secondary O-level 2. Inverse proportion concepts requiring the relationship workers x time = constant work done, along with multi-step problem solving combining ratios and division, are typically introduced in higher secondary grades. O-level 2 students would struggle with the conceptual understanding that 6 cleaners x 8 hours = 4 cleaners x ? hours.</t>
  </si>
  <si>
    <t>The two questions (a) and (b) are independent calculations that do not build upon each other. The median calculation result is not used for finding the mode, and vice versa. Both questions simply apply different statistical measures to the same dataset without interconnection.</t>
  </si>
  <si>
    <t>Synergy: The two parts (a) and (b) are independent statistical calculations that do not require using the result from part (a) to solve part (b). Both questions can be answered separately using the same original dataset (12, 18, 15, 20, 17, 14, 19, 16, 13, 21). There is no connection where the median calculation result feeds into the percentile calculation.</t>
  </si>
  <si>
    <t>Real-world feasibility fails because streaming libraries cannot realistically double every year indefinitely. After 4 years this would require 64 times the initial content, and after 10 years would need over 1000 times more movies than initially available, which is impossible to sustain.</t>
  </si>
  <si>
    <t>Real-world feasibility fails because streaming services would never exponentially increase device limits as described. After 6 years the formula gives 32 devices per account, which is unrealistic since streaming services typically limit accounts to 2-6 devices for business and technical reasons.</t>
  </si>
  <si>
    <t>Grade Alignment: Matrix operations including matrix multiplication and transpose are typically covered in A-level mathematics or higher secondary levels, not O-level 3/4. O-level mathematics usually covers basic algebra, geometry, statistics, and trigonometry but not advanced matrix operations.</t>
  </si>
  <si>
    <t>Grade alignment issue: This problem requires advanced probability concepts including independent events, multiplication rule for independent events, and union of events with P(A or B) = P(A) + P(B) - P(A and B). These concepts are typically covered at A-level or higher secondary mathematics, not O-level 3/4. O-level 3/4 students typically work with basic single event probabilities and simple conditional probability, not complex multi-event probability calculations.</t>
  </si>
  <si>
    <t>Grade Alignment: The problem involves fractions with denominators 12 and 6, requiring students to find common denominators and add fractions. In Singapore math curriculum, Primary 3 students typically work with simpler fractions like halves, quarters, and basic unit fractions. Adding fractions with different denominators and simplifying fractions are concepts typically introduced in Primary 4 or 5, making this problem too advanced for Primary 3 students.</t>
  </si>
  <si>
    <t>Clarity: Question (a) is ambiguous - 'What fraction of her watchlist movies did she watch last month than this month?' is grammatically unclear. It should ask 'How many more watchlist movies did she watch last month than this month?' or 'What is the difference between the fractions of movies watched last month and this month?'</t>
  </si>
  <si>
    <t>Clarity: The problem statement contains logical inconsistency. It states 128 apartments were cleaned in a day, but then says 8 apartments cancelled at the last minute and the company did not earn money from those apartments. If apartments cancelled, they should not be counted as cleaned. The problem should either state 128 scheduled appointments with 8 cancellations (leaving 120 cleaned) or clarify that despite cancellations, all 128 were somehow cleaned but 8 were not paid for.</t>
  </si>
  <si>
    <t>Secondary KC alignment: The addition step mentioned (teams adding apartments to find total) is not needed to solve either question since total 3456 is already given. Synergy: Primary and secondary KCs do not work together - the addition is redundant as 8 x 432 = 3456 just confirms the given total rather than being necessary for solution.</t>
  </si>
  <si>
    <t>Grade Alignment: The problem uses 3 decimal places (29.698) which exceeds Primary 4 curriculum that typically covers up to 2 decimal places. Real-World Plausibility: Streaming services are typically priced in whole dollars or cents (2 decimal places), not 3 decimal places like 29.698 dollars.</t>
  </si>
  <si>
    <t>answerability: The price for trousers is written as $3.250 which is unclear - should be $3.25 for standard currency format. language_quality: $3.250 appears to be a formatting error or typo as currency typically uses 2 decimal places.</t>
  </si>
  <si>
    <t>Part (b) asks to round to the nearest $0.01, but 3.75 * 7 = 26.25 already has 2 decimal places, making this rounding instruction unnecessary and not contributing to the problem solving.</t>
  </si>
  <si>
    <t>Secondary KC alignment: The calculation 6 * 2/3 = 12/3 = 4 results in a whole number that is already in simplest form, so no simplification work is actually required. Synergy: The primary and secondary knowledge components do not work in tandem since the result does not need simplification. Conciseness and relevance: The $24 room cleaning charge is irrelevant information not needed to solve the problem about bottles of cleaning solution.</t>
  </si>
  <si>
    <t>Real-world feasibility: Cleaning companies do not typically clean partial apartments like 3/4 of an apartment in practice. Conciseness and relevance: The $60 charge information is irrelevant to solving the problem and should be removed.</t>
  </si>
  <si>
    <t>Answerability: The phrase 'by watching with family members who each use their own accounts' creates ambiguity about whether we calculate just the user's streaming time (9/5 × 7/3) or include family members' separate account usage. Real-world feasibility: If family members use their own accounts, their streaming would be separate from and additional to the user's 7/3 times usage, making the scenario illogical. Clarity: The connection between family members using separate accounts and the user using 7/3 times the allowed time is unclear and confusing.</t>
  </si>
  <si>
    <t>Primary KC Alignment: The problem requires multiplying 0.238 by 200, which is multiplying a decimal by a whole number, not by 10, 100, 1000 or their multiples as specified in the intended primary knowledge component. Real-World Feasibility: The price of $0.238 per shirt is unrealistic as commercial laundry services typically charge in whole cents, not fractions of cents like 0.8 cents.</t>
  </si>
  <si>
    <t>Primary KC alignment: The problem requires multiplying 2.35 x 20 and 3.60 x 15, which involves multiplying decimals by whole numbers, not specifically by 10, 100, 1000 or their multiples as intended. Synergy: The primary and secondary knowledge components are not used in tandem as intended - the problem does not require multiplying decimals by 10, 100, 1000 or their multiples, so there is no proper integration between the intended primary KC and the secondary KC of adding decimals.</t>
  </si>
  <si>
    <t>Primary KC alignment fails because the problem requires dividing 18.750 by 11, but the intended primary KC specifies division by 10, 100, 1000 and their multiples only. The number 11 is not a multiple of 10, 100, or 1000.</t>
  </si>
  <si>
    <t>Answerability: Conflicting information - if 3 teams get equal portions of 3/4, each gets 1/4, but problem states one team's portion is 1/8, creating logical inconsistency since 1/4 does not equal 1/8. Clarity: The phrase finished their portion 1/8 of the mall earlier is ambiguous and unclear about what the 1/8 represents. Language Quality: Sentence structure is grammatically awkward, particularly the phrase about finishing 1/8 of the mall earlier lacks clarity.</t>
  </si>
  <si>
    <t>Real-world feasibility: The scenario contains a logical inconsistency. If 3/4 bottle is needed per floor and there are 5 floors requiring 15/4 = 3.75 bottles total, then dividing equally among 5 workers gives each worker 3/4 bottle. However, the problem states each worker cleans one floor, which would require 3/4 bottle per worker anyway. The equal division step is unnecessary since the amount per worker (3/4) equals the amount needed per floor (3/4), making the distribution scenario artificially constructed rather than realistic.</t>
  </si>
  <si>
    <t>Real-world feasibility: The problem states they used 4 litres on Monday (4 ÷ 2/3 = 6 rooms), then on Tuesday they found 1/2 litre left from Monday. This creates a logical inconsistency - if they used all 4 litres to clean rooms on Monday, there cannot be 1/2 litre remaining from Monday's supply on Tuesday.</t>
  </si>
  <si>
    <t>ANSWERABILITY: The problem contains conflicting information. It states $240 represents 40% of total earnings from office cleaning, but then asks for total charge for 5 appointments. If $240 is 40% of total, then total is $600. However, the question asks for total charge for all appointments, which would be the same $600, making the division by 5 unnecessary for answering the main question. SECONDARY_KC_ALIGNMENT: The problem can be solved using only percentage calculations (240 / 0.4 = 600) without requiring division of whole numbers as intended. The division component is not necessary for solving the problem. SYNERGY: The two knowledge components do not work in tandem. The percentage calculation gives the complete answer without needing the division component. The division information about 5 appointments does not connect meaningfully to solve the problem. CONCISENESS_AND_RELEVANCE: The information about 5 equally priced appointments is irrelevant to answering the question as posed, since the total charge is already determinable from the percentage calculation alone.</t>
  </si>
  <si>
    <t>Synergy: The two questions (a) and (b) are independent of each other. Question (a) asks for ratio calculation using 6:8:10 hours, while question (b) asks for total earnings using (6+8+10)*12. The result from question (a) is not needed to solve question (b), so the Primary and Secondary Knowledge Components are not used in tandem as required.</t>
  </si>
  <si>
    <t>Answerability: Problem creates logical inconsistency between stated ratio 2/3:1/2 and reported usage amounts. Primary KC Alignment: Ratio component not needed for solution - can solve with (2/3 + 1/2) * 3 without ratio work. Synergy: Ratio and fraction addition work independently rather than together. Clarity: Ambiguous relationship between ratio constraint and actual usage. Conciseness: Ratio information appears irrelevant to solution process.</t>
  </si>
  <si>
    <t>Secondary KC alignment: The problem does not require fraction multiplication as a necessary solving step. Part (a) requires simplifying the ratio 3/4 : 2/5 by finding equivalent ratios, and part (b) uses proportion/cross multiplication (2/5 * 3) / (3/4) = (2/5 * 3 * 4) / 3 = 8/5, but fraction multiplication is not the core operation needed. Synergy: Since the secondary knowledge component (fraction multiplication) is not actually required to solve the problem, there is no true synergy between the primary and secondary knowledge components working in tandem.</t>
  </si>
  <si>
    <t>Grade alignment issue: This problem requires converting fractions to find common denominators (2/5 : 4/7 becomes 14:20 then 7:10), working with ratios involving fractions, and proportional reasoning with decimals. These concepts are typically covered in Secondary 2-3 mathematics, not Secondary O-level 1. The complexity of operations with fractional ratios exceeds what is typically expected at the O-level 1 stage.</t>
  </si>
  <si>
    <t>Grade alignment fails - Secondary O-level 1 corresponds to approximately Grade 9-10 in Singapore system. This problem involves basic decimal ratios and addition suitable for Primary 5-6 students (ages 11-12). The mathematical concepts are too elementary for the intended grade level, which should involve more complex algebraic thinking and advanced mathematical reasoning.</t>
  </si>
  <si>
    <t>Grade alignment: This problem is more suitable for Primary 6 students learning ratios with decimals. For Secondary O-level 1 students, the ratio involving simple decimals like 2.5:1.75 would be too elementary. Secondary students would typically work with more complex ratios, algebraic ratios, or ratios combined with other advanced mathematical concepts.</t>
  </si>
  <si>
    <t>Grade alignment: This problem is too simple for Secondary O-level 1 students. The mathematics involved (basic addition: 18 + 4 = 22, basic percentage calculation: 50 * 1.15 = 57.5, basic multiplication: 22 * 57.5 = 1265) are concepts typically mastered in primary school. Secondary O-level 1 students would be expected to handle more complex mathematical concepts and multi-step problems requiring higher-order thinking skills.</t>
  </si>
  <si>
    <t>Grade alignment fails: This problem involves basic percentage calculations (15% discount) and simple multiplication of whole numbers, which are typically mastered in primary school (grades 5-6). Secondary O-level 1 students would find this problem too elementary as they should be working with more advanced mathematical concepts like algebra, complex equations, or advanced geometry.</t>
  </si>
  <si>
    <t>Primary KC alignment: The quadratic expression C = 2n^2 + 3n is already given in the problem statement, so students do not need to translate or derive it from the real-world situation. Part (a) simply asks to restate what is already provided. Synergy: The two parts operate independently - part (a) restates the given formula and part (b) evaluates it, but there is no meaningful connection where the result of part (a) is used as input for part (b). Real-world feasibility: Photo printing costs typically follow linear pricing models (cost per photo), not quadratic models where cost increases exponentially with quantity, making C = 2n^2 + 3n unrealistic for this service.</t>
  </si>
  <si>
    <t>Grade alignment fails - this problem is too simple for Secondary O-level 2 students. Direct proportion with basic whole number division (54/3=18) represents Primary 5-6 level mathematics, not secondary level complexity. O-level students would typically handle more complex proportional relationships, algebraic manipulations, or multi-step problems requiring advanced mathematical reasoning.</t>
  </si>
  <si>
    <t>Grade Alignment: This problem is designed for Secondary O-level 2 but uses algebraic concepts like setting up and solving linear inequalities which are typically introduced in Primary 6 or Secondary 1 in Singapore math curriculum. For Secondary O-level 2 students, this problem would be too basic as they should be working with more complex algebraic concepts including quadratic equations, simultaneous equations, and more advanced inequality problems.</t>
  </si>
  <si>
    <t>Answerability: The quadratic equation h^2 - 5h + 70 = 0 has discriminant -255, giving no real solutions. Synergy: Only one question exists, no connection between multiple questions. Real-world feasibility: Discount structure where company gives more discount for more hours worked is unrealistic business practice. Clarity: Confusing wording especially 'such that the total amount paid fits the customer's bill' and unclear constraint h = x. Language quality: Grammatical issues and awkward phrasing affect readability.</t>
  </si>
  <si>
    <t>The two questions (a) and (b) are independent of each other. Finding the median in part (a) does not provide information needed for finding the range in part (b), and vice versa. The questions do not work in tandem as required for synergy.</t>
  </si>
  <si>
    <t>Answerability: The equation 2^(-x) * x = 3/8 has no positive integer solution. Testing values shows x=1 gives 1/2=0.5, x=2 gives 1/2=0.5, x=3 gives 3/8=0.375, x=4 gives 1/4=0.25. No integer x satisfies the equation. Real-World Feasibility: The pricing formula 12 * 2^(-n) * n creates illogical economics where longer subscriptions cost less total money than shorter ones, and very long subscriptions approach zero cost, which no business would offer.</t>
  </si>
  <si>
    <t>Clarity: There is ambiguity in the matrix structure description. The problem states the first row shows morning and evening basic services and the second row shows morning and evening deluxe services, but given the 2x2 matrix format, it would be clearer to specify whether rows represent service types (basic/deluxe) and columns represent times (morning/evening), or vice versa. The current description could be interpreted in multiple ways, creating confusion about what each matrix element represents.</t>
  </si>
  <si>
    <t>Grade alignment issue: The addition rule for probability P(A union B) = P(A) + P(B) - P(A intersection B) is typically taught at A-level or university level, not O-level 3/4. O-level probability curriculum usually covers basic single event probabilities and simple compound events without formal set operations.</t>
  </si>
  <si>
    <t>Grade Alignment: This problem is too advanced for Secondary O-level 3/4 students. It requires understanding of set theory concepts (union and intersection), Venn diagrams, and the inclusion-exclusion principle P(A or B) = P(A) + P(B) - P(A and B). These concepts are typically introduced at higher secondary levels or pre-university mathematics courses, not at O-level 3/4 grade.</t>
  </si>
  <si>
    <t>Grade alignment: The problem involves conditional probability and multiplication of independent probabilities which are typically taught at higher levels than Secondary O-level 3/4. Students at this grade level typically work with simpler probability concepts like basic fractions and simple combined events, not conditional probability notation like P(watch movie | login) =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</si>
</sst>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7"/>
  <sheetViews>
    <sheetView topLeftCell="A40" workbookViewId="0">
      <selection activeCell="F27" sqref="F27"/>
    </sheetView>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2.756905078887939</v>
      </c>
      <c r="E2">
        <v>1</v>
      </c>
      <c r="F2">
        <v>1</v>
      </c>
      <c r="G2">
        <v>1</v>
      </c>
      <c r="H2">
        <v>1</v>
      </c>
      <c r="I2">
        <v>1</v>
      </c>
      <c r="J2">
        <v>1</v>
      </c>
      <c r="K2">
        <v>1</v>
      </c>
      <c r="L2">
        <v>1</v>
      </c>
      <c r="M2">
        <v>1</v>
      </c>
      <c r="N2">
        <v>1</v>
      </c>
      <c r="O2">
        <v>1</v>
      </c>
    </row>
    <row r="3" spans="1:16" x14ac:dyDescent="0.25">
      <c r="A3" t="s">
        <v>16</v>
      </c>
      <c r="B3" t="s">
        <v>18</v>
      </c>
      <c r="C3">
        <v>0</v>
      </c>
      <c r="D3">
        <v>9.2457919120788574</v>
      </c>
      <c r="E3">
        <v>1</v>
      </c>
      <c r="F3">
        <v>1</v>
      </c>
      <c r="G3">
        <v>1</v>
      </c>
      <c r="H3">
        <v>1</v>
      </c>
      <c r="I3">
        <v>1</v>
      </c>
      <c r="J3">
        <v>1</v>
      </c>
      <c r="K3">
        <v>1</v>
      </c>
      <c r="L3">
        <v>1</v>
      </c>
      <c r="M3">
        <v>1</v>
      </c>
      <c r="N3">
        <v>1</v>
      </c>
      <c r="O3">
        <v>1</v>
      </c>
    </row>
    <row r="4" spans="1:16" x14ac:dyDescent="0.25">
      <c r="A4" t="s">
        <v>16</v>
      </c>
      <c r="B4" t="s">
        <v>19</v>
      </c>
      <c r="C4">
        <v>0</v>
      </c>
      <c r="D4">
        <v>11.32262706756592</v>
      </c>
      <c r="E4">
        <v>0</v>
      </c>
      <c r="F4" t="s">
        <v>20</v>
      </c>
      <c r="G4" t="s">
        <v>20</v>
      </c>
      <c r="H4" t="s">
        <v>20</v>
      </c>
      <c r="I4" t="s">
        <v>20</v>
      </c>
      <c r="J4" t="s">
        <v>20</v>
      </c>
      <c r="K4" t="s">
        <v>20</v>
      </c>
      <c r="L4" t="s">
        <v>20</v>
      </c>
      <c r="M4" t="s">
        <v>20</v>
      </c>
      <c r="N4" t="s">
        <v>20</v>
      </c>
      <c r="O4" t="s">
        <v>20</v>
      </c>
      <c r="P4" t="s">
        <v>21</v>
      </c>
    </row>
    <row r="5" spans="1:16" x14ac:dyDescent="0.25">
      <c r="A5" t="s">
        <v>16</v>
      </c>
      <c r="B5" t="s">
        <v>22</v>
      </c>
      <c r="C5">
        <v>0</v>
      </c>
      <c r="D5">
        <v>5.4254257678985596</v>
      </c>
      <c r="E5">
        <v>1</v>
      </c>
      <c r="F5">
        <v>1</v>
      </c>
      <c r="G5">
        <v>1</v>
      </c>
      <c r="H5">
        <v>1</v>
      </c>
      <c r="I5">
        <v>1</v>
      </c>
      <c r="J5">
        <v>0</v>
      </c>
      <c r="K5">
        <v>0</v>
      </c>
      <c r="L5">
        <v>1</v>
      </c>
      <c r="M5">
        <v>1</v>
      </c>
      <c r="N5">
        <v>1</v>
      </c>
      <c r="O5">
        <v>1</v>
      </c>
      <c r="P5" t="s">
        <v>23</v>
      </c>
    </row>
    <row r="6" spans="1:16" x14ac:dyDescent="0.25">
      <c r="A6" t="s">
        <v>16</v>
      </c>
      <c r="B6" t="s">
        <v>24</v>
      </c>
      <c r="C6">
        <v>0</v>
      </c>
      <c r="D6">
        <v>9.9993841648101807</v>
      </c>
      <c r="E6">
        <v>1</v>
      </c>
      <c r="F6">
        <v>1</v>
      </c>
      <c r="G6">
        <v>1</v>
      </c>
      <c r="H6">
        <v>1</v>
      </c>
      <c r="I6">
        <v>1</v>
      </c>
      <c r="J6">
        <v>1</v>
      </c>
      <c r="K6">
        <v>1</v>
      </c>
      <c r="L6">
        <v>1</v>
      </c>
      <c r="M6">
        <v>1</v>
      </c>
      <c r="N6">
        <v>1</v>
      </c>
      <c r="O6">
        <v>1</v>
      </c>
    </row>
    <row r="7" spans="1:16" x14ac:dyDescent="0.25">
      <c r="A7" t="s">
        <v>16</v>
      </c>
      <c r="B7" t="s">
        <v>25</v>
      </c>
      <c r="C7">
        <v>0</v>
      </c>
      <c r="D7">
        <v>2.7412576675415039</v>
      </c>
      <c r="E7">
        <v>1</v>
      </c>
      <c r="F7">
        <v>1</v>
      </c>
      <c r="G7">
        <v>1</v>
      </c>
      <c r="H7">
        <v>1</v>
      </c>
      <c r="I7">
        <v>1</v>
      </c>
      <c r="J7">
        <v>1</v>
      </c>
      <c r="K7">
        <v>1</v>
      </c>
      <c r="L7">
        <v>1</v>
      </c>
      <c r="M7">
        <v>1</v>
      </c>
      <c r="N7">
        <v>1</v>
      </c>
      <c r="O7">
        <v>1</v>
      </c>
    </row>
    <row r="8" spans="1:16" x14ac:dyDescent="0.25">
      <c r="A8" t="s">
        <v>16</v>
      </c>
      <c r="B8" t="s">
        <v>26</v>
      </c>
      <c r="C8">
        <v>0</v>
      </c>
      <c r="D8">
        <v>2.7019989490509029</v>
      </c>
      <c r="E8">
        <v>1</v>
      </c>
      <c r="F8">
        <v>1</v>
      </c>
      <c r="G8">
        <v>1</v>
      </c>
      <c r="H8">
        <v>1</v>
      </c>
      <c r="I8">
        <v>1</v>
      </c>
      <c r="J8">
        <v>1</v>
      </c>
      <c r="K8">
        <v>1</v>
      </c>
      <c r="L8">
        <v>1</v>
      </c>
      <c r="M8">
        <v>1</v>
      </c>
      <c r="N8">
        <v>1</v>
      </c>
      <c r="O8">
        <v>1</v>
      </c>
    </row>
    <row r="9" spans="1:16" x14ac:dyDescent="0.25">
      <c r="A9" t="s">
        <v>16</v>
      </c>
      <c r="B9" t="s">
        <v>27</v>
      </c>
      <c r="C9">
        <v>0</v>
      </c>
      <c r="D9">
        <v>2.7475965023040771</v>
      </c>
      <c r="E9">
        <v>1</v>
      </c>
      <c r="F9">
        <v>1</v>
      </c>
      <c r="G9">
        <v>1</v>
      </c>
      <c r="H9">
        <v>1</v>
      </c>
      <c r="I9">
        <v>1</v>
      </c>
      <c r="J9">
        <v>1</v>
      </c>
      <c r="K9">
        <v>1</v>
      </c>
      <c r="L9">
        <v>1</v>
      </c>
      <c r="M9">
        <v>1</v>
      </c>
      <c r="N9">
        <v>1</v>
      </c>
      <c r="O9">
        <v>1</v>
      </c>
    </row>
    <row r="10" spans="1:16" x14ac:dyDescent="0.25">
      <c r="A10" t="s">
        <v>16</v>
      </c>
      <c r="B10" t="s">
        <v>28</v>
      </c>
      <c r="C10">
        <v>0</v>
      </c>
      <c r="D10">
        <v>9.1578793525695801</v>
      </c>
      <c r="E10">
        <v>1</v>
      </c>
      <c r="F10">
        <v>1</v>
      </c>
      <c r="G10">
        <v>1</v>
      </c>
      <c r="H10">
        <v>1</v>
      </c>
      <c r="I10">
        <v>1</v>
      </c>
      <c r="J10">
        <v>1</v>
      </c>
      <c r="K10">
        <v>1</v>
      </c>
      <c r="L10">
        <v>1</v>
      </c>
      <c r="M10">
        <v>1</v>
      </c>
      <c r="N10">
        <v>1</v>
      </c>
      <c r="O10">
        <v>1</v>
      </c>
    </row>
    <row r="11" spans="1:16" x14ac:dyDescent="0.25">
      <c r="A11" t="s">
        <v>16</v>
      </c>
      <c r="B11" t="s">
        <v>29</v>
      </c>
      <c r="C11">
        <v>0</v>
      </c>
      <c r="D11">
        <v>8.9481184482574463</v>
      </c>
      <c r="E11">
        <v>0</v>
      </c>
      <c r="F11" t="s">
        <v>20</v>
      </c>
      <c r="G11" t="s">
        <v>20</v>
      </c>
      <c r="H11" t="s">
        <v>20</v>
      </c>
      <c r="I11" t="s">
        <v>20</v>
      </c>
      <c r="J11" t="s">
        <v>20</v>
      </c>
      <c r="K11" t="s">
        <v>20</v>
      </c>
      <c r="L11" t="s">
        <v>20</v>
      </c>
      <c r="M11" t="s">
        <v>20</v>
      </c>
      <c r="N11" t="s">
        <v>20</v>
      </c>
      <c r="O11" t="s">
        <v>20</v>
      </c>
      <c r="P11" t="s">
        <v>30</v>
      </c>
    </row>
    <row r="12" spans="1:16" x14ac:dyDescent="0.25">
      <c r="A12" t="s">
        <v>16</v>
      </c>
      <c r="B12" t="s">
        <v>31</v>
      </c>
      <c r="C12">
        <v>0</v>
      </c>
      <c r="D12">
        <v>5.5222678184509277</v>
      </c>
      <c r="E12">
        <v>1</v>
      </c>
      <c r="F12">
        <v>1</v>
      </c>
      <c r="G12">
        <v>1</v>
      </c>
      <c r="H12">
        <v>0</v>
      </c>
      <c r="I12">
        <v>1</v>
      </c>
      <c r="J12">
        <v>1</v>
      </c>
      <c r="K12">
        <v>1</v>
      </c>
      <c r="L12">
        <v>1</v>
      </c>
      <c r="M12">
        <v>1</v>
      </c>
      <c r="N12">
        <v>1</v>
      </c>
      <c r="O12">
        <v>1</v>
      </c>
      <c r="P12" t="s">
        <v>32</v>
      </c>
    </row>
    <row r="13" spans="1:16" x14ac:dyDescent="0.25">
      <c r="A13" t="s">
        <v>16</v>
      </c>
      <c r="B13" t="s">
        <v>33</v>
      </c>
      <c r="C13">
        <v>0</v>
      </c>
      <c r="D13">
        <v>13.081812381744379</v>
      </c>
      <c r="E13">
        <v>0</v>
      </c>
      <c r="F13" t="s">
        <v>20</v>
      </c>
      <c r="G13" t="s">
        <v>20</v>
      </c>
      <c r="H13" t="s">
        <v>20</v>
      </c>
      <c r="I13" t="s">
        <v>20</v>
      </c>
      <c r="J13" t="s">
        <v>20</v>
      </c>
      <c r="K13" t="s">
        <v>20</v>
      </c>
      <c r="L13" t="s">
        <v>20</v>
      </c>
      <c r="M13" t="s">
        <v>20</v>
      </c>
      <c r="N13" t="s">
        <v>20</v>
      </c>
      <c r="O13" t="s">
        <v>20</v>
      </c>
      <c r="P13" t="s">
        <v>34</v>
      </c>
    </row>
    <row r="14" spans="1:16" x14ac:dyDescent="0.25">
      <c r="A14" t="s">
        <v>16</v>
      </c>
      <c r="B14" t="s">
        <v>35</v>
      </c>
      <c r="C14">
        <v>0</v>
      </c>
      <c r="D14">
        <v>2.739282369613647</v>
      </c>
      <c r="E14">
        <v>1</v>
      </c>
      <c r="F14">
        <v>1</v>
      </c>
      <c r="G14">
        <v>1</v>
      </c>
      <c r="H14">
        <v>1</v>
      </c>
      <c r="I14">
        <v>1</v>
      </c>
      <c r="J14">
        <v>1</v>
      </c>
      <c r="K14">
        <v>1</v>
      </c>
      <c r="L14">
        <v>1</v>
      </c>
      <c r="M14">
        <v>1</v>
      </c>
      <c r="N14">
        <v>1</v>
      </c>
      <c r="O14">
        <v>1</v>
      </c>
    </row>
    <row r="15" spans="1:16" x14ac:dyDescent="0.25">
      <c r="A15" t="s">
        <v>16</v>
      </c>
      <c r="B15" t="s">
        <v>36</v>
      </c>
      <c r="C15">
        <v>0</v>
      </c>
      <c r="D15">
        <v>7.1983945369720459</v>
      </c>
      <c r="E15">
        <v>1</v>
      </c>
      <c r="F15">
        <v>1</v>
      </c>
      <c r="G15">
        <v>1</v>
      </c>
      <c r="H15">
        <v>1</v>
      </c>
      <c r="I15">
        <v>1</v>
      </c>
      <c r="J15">
        <v>0</v>
      </c>
      <c r="K15">
        <v>1</v>
      </c>
      <c r="L15">
        <v>1</v>
      </c>
      <c r="M15">
        <v>1</v>
      </c>
      <c r="N15">
        <v>1</v>
      </c>
      <c r="O15">
        <v>1</v>
      </c>
      <c r="P15" t="s">
        <v>37</v>
      </c>
    </row>
    <row r="16" spans="1:16" x14ac:dyDescent="0.25">
      <c r="A16" t="s">
        <v>16</v>
      </c>
      <c r="B16" t="s">
        <v>38</v>
      </c>
      <c r="C16">
        <v>0</v>
      </c>
      <c r="D16">
        <v>6.0542371273040771</v>
      </c>
      <c r="E16">
        <v>1</v>
      </c>
      <c r="F16">
        <v>1</v>
      </c>
      <c r="G16">
        <v>0</v>
      </c>
      <c r="H16" t="s">
        <v>20</v>
      </c>
      <c r="I16">
        <v>1</v>
      </c>
      <c r="J16">
        <v>1</v>
      </c>
      <c r="K16">
        <v>1</v>
      </c>
      <c r="L16">
        <v>1</v>
      </c>
      <c r="M16">
        <v>1</v>
      </c>
      <c r="N16">
        <v>1</v>
      </c>
      <c r="O16">
        <v>1</v>
      </c>
      <c r="P16" t="s">
        <v>39</v>
      </c>
    </row>
    <row r="17" spans="1:16" x14ac:dyDescent="0.25">
      <c r="A17" t="s">
        <v>16</v>
      </c>
      <c r="B17" t="s">
        <v>40</v>
      </c>
      <c r="C17">
        <v>0</v>
      </c>
      <c r="D17">
        <v>4.6215441226959229</v>
      </c>
      <c r="E17">
        <v>1</v>
      </c>
      <c r="F17">
        <v>1</v>
      </c>
      <c r="G17">
        <v>1</v>
      </c>
      <c r="H17">
        <v>0</v>
      </c>
      <c r="I17">
        <v>1</v>
      </c>
      <c r="J17">
        <v>1</v>
      </c>
      <c r="K17">
        <v>1</v>
      </c>
      <c r="L17">
        <v>1</v>
      </c>
      <c r="M17">
        <v>1</v>
      </c>
      <c r="N17">
        <v>1</v>
      </c>
      <c r="O17">
        <v>1</v>
      </c>
      <c r="P17" t="s">
        <v>41</v>
      </c>
    </row>
    <row r="18" spans="1:16" x14ac:dyDescent="0.25">
      <c r="A18" t="s">
        <v>16</v>
      </c>
      <c r="B18" t="s">
        <v>42</v>
      </c>
      <c r="C18">
        <v>0</v>
      </c>
      <c r="D18">
        <v>7.088982105255127</v>
      </c>
      <c r="E18">
        <v>1</v>
      </c>
      <c r="F18">
        <v>1</v>
      </c>
      <c r="G18">
        <v>1</v>
      </c>
      <c r="H18">
        <v>1</v>
      </c>
      <c r="I18">
        <v>1</v>
      </c>
      <c r="J18">
        <v>1</v>
      </c>
      <c r="K18">
        <v>1</v>
      </c>
      <c r="L18">
        <v>1</v>
      </c>
      <c r="M18">
        <v>1</v>
      </c>
      <c r="N18">
        <v>1</v>
      </c>
      <c r="O18">
        <v>1</v>
      </c>
    </row>
    <row r="19" spans="1:16" x14ac:dyDescent="0.25">
      <c r="A19" t="s">
        <v>16</v>
      </c>
      <c r="B19" t="s">
        <v>43</v>
      </c>
      <c r="C19">
        <v>0</v>
      </c>
      <c r="D19">
        <v>2.5476982593536381</v>
      </c>
      <c r="E19">
        <v>1</v>
      </c>
      <c r="F19">
        <v>1</v>
      </c>
      <c r="G19">
        <v>1</v>
      </c>
      <c r="H19">
        <v>1</v>
      </c>
      <c r="I19">
        <v>1</v>
      </c>
      <c r="J19">
        <v>1</v>
      </c>
      <c r="K19">
        <v>1</v>
      </c>
      <c r="L19">
        <v>1</v>
      </c>
      <c r="M19">
        <v>1</v>
      </c>
      <c r="N19">
        <v>1</v>
      </c>
      <c r="O19">
        <v>1</v>
      </c>
    </row>
    <row r="20" spans="1:16" x14ac:dyDescent="0.25">
      <c r="A20" t="s">
        <v>16</v>
      </c>
      <c r="B20" t="s">
        <v>44</v>
      </c>
      <c r="C20">
        <v>0</v>
      </c>
      <c r="D20">
        <v>7.4159917831420898</v>
      </c>
      <c r="E20">
        <v>1</v>
      </c>
      <c r="F20">
        <v>1</v>
      </c>
      <c r="G20">
        <v>0</v>
      </c>
      <c r="H20" t="s">
        <v>20</v>
      </c>
      <c r="I20">
        <v>1</v>
      </c>
      <c r="J20">
        <v>1</v>
      </c>
      <c r="K20">
        <v>1</v>
      </c>
      <c r="L20">
        <v>1</v>
      </c>
      <c r="M20">
        <v>1</v>
      </c>
      <c r="N20">
        <v>1</v>
      </c>
      <c r="O20">
        <v>1</v>
      </c>
      <c r="P20" t="s">
        <v>45</v>
      </c>
    </row>
    <row r="21" spans="1:16" x14ac:dyDescent="0.25">
      <c r="A21" t="s">
        <v>16</v>
      </c>
      <c r="B21" t="s">
        <v>46</v>
      </c>
      <c r="C21">
        <v>0</v>
      </c>
      <c r="D21">
        <v>11.844130992889401</v>
      </c>
      <c r="E21">
        <v>1</v>
      </c>
      <c r="F21">
        <v>1</v>
      </c>
      <c r="G21">
        <v>1</v>
      </c>
      <c r="H21">
        <v>1</v>
      </c>
      <c r="I21">
        <v>1</v>
      </c>
      <c r="J21">
        <v>1</v>
      </c>
      <c r="K21">
        <v>1</v>
      </c>
      <c r="L21">
        <v>0</v>
      </c>
      <c r="M21">
        <v>1</v>
      </c>
      <c r="N21">
        <v>1</v>
      </c>
      <c r="O21">
        <v>1</v>
      </c>
      <c r="P21" t="s">
        <v>47</v>
      </c>
    </row>
    <row r="22" spans="1:16" x14ac:dyDescent="0.25">
      <c r="A22" t="s">
        <v>16</v>
      </c>
      <c r="B22" t="s">
        <v>48</v>
      </c>
      <c r="C22">
        <v>0</v>
      </c>
      <c r="D22">
        <v>10.24795484542847</v>
      </c>
      <c r="E22">
        <v>1</v>
      </c>
      <c r="F22">
        <v>1</v>
      </c>
      <c r="G22">
        <v>1</v>
      </c>
      <c r="H22">
        <v>0</v>
      </c>
      <c r="I22">
        <v>1</v>
      </c>
      <c r="J22">
        <v>1</v>
      </c>
      <c r="K22">
        <v>1</v>
      </c>
      <c r="L22">
        <v>1</v>
      </c>
      <c r="M22">
        <v>1</v>
      </c>
      <c r="N22">
        <v>1</v>
      </c>
      <c r="O22">
        <v>1</v>
      </c>
      <c r="P22" t="s">
        <v>49</v>
      </c>
    </row>
    <row r="23" spans="1:16" x14ac:dyDescent="0.25">
      <c r="A23" t="s">
        <v>16</v>
      </c>
      <c r="B23" t="s">
        <v>50</v>
      </c>
      <c r="C23">
        <v>0</v>
      </c>
      <c r="D23">
        <v>2.6843171119689941</v>
      </c>
      <c r="E23">
        <v>1</v>
      </c>
      <c r="F23">
        <v>1</v>
      </c>
      <c r="G23">
        <v>1</v>
      </c>
      <c r="H23">
        <v>1</v>
      </c>
      <c r="I23">
        <v>1</v>
      </c>
      <c r="J23">
        <v>1</v>
      </c>
      <c r="K23">
        <v>1</v>
      </c>
      <c r="L23">
        <v>1</v>
      </c>
      <c r="M23">
        <v>1</v>
      </c>
      <c r="N23">
        <v>1</v>
      </c>
      <c r="O23">
        <v>1</v>
      </c>
    </row>
    <row r="24" spans="1:16" x14ac:dyDescent="0.25">
      <c r="A24" t="s">
        <v>16</v>
      </c>
      <c r="B24" t="s">
        <v>51</v>
      </c>
      <c r="C24">
        <v>0</v>
      </c>
      <c r="D24">
        <v>2.758029460906982</v>
      </c>
      <c r="E24">
        <v>1</v>
      </c>
      <c r="F24">
        <v>1</v>
      </c>
      <c r="G24">
        <v>1</v>
      </c>
      <c r="H24">
        <v>1</v>
      </c>
      <c r="I24">
        <v>1</v>
      </c>
      <c r="J24">
        <v>1</v>
      </c>
      <c r="K24">
        <v>1</v>
      </c>
      <c r="L24">
        <v>1</v>
      </c>
      <c r="M24">
        <v>1</v>
      </c>
      <c r="N24">
        <v>1</v>
      </c>
      <c r="O24">
        <v>1</v>
      </c>
    </row>
    <row r="25" spans="1:16" x14ac:dyDescent="0.25">
      <c r="A25" t="s">
        <v>16</v>
      </c>
      <c r="B25" t="s">
        <v>52</v>
      </c>
      <c r="C25">
        <v>0</v>
      </c>
      <c r="D25">
        <v>2.7695035934448242</v>
      </c>
      <c r="E25">
        <v>1</v>
      </c>
      <c r="F25">
        <v>1</v>
      </c>
      <c r="G25">
        <v>1</v>
      </c>
      <c r="H25">
        <v>1</v>
      </c>
      <c r="I25">
        <v>1</v>
      </c>
      <c r="J25">
        <v>1</v>
      </c>
      <c r="K25">
        <v>1</v>
      </c>
      <c r="L25">
        <v>1</v>
      </c>
      <c r="M25">
        <v>1</v>
      </c>
      <c r="N25">
        <v>1</v>
      </c>
      <c r="O25">
        <v>1</v>
      </c>
    </row>
    <row r="26" spans="1:16" x14ac:dyDescent="0.25">
      <c r="A26" t="s">
        <v>16</v>
      </c>
      <c r="B26" t="s">
        <v>53</v>
      </c>
      <c r="C26">
        <v>0</v>
      </c>
      <c r="D26">
        <v>4.9309699535369873</v>
      </c>
      <c r="E26">
        <v>0</v>
      </c>
      <c r="F26" t="s">
        <v>20</v>
      </c>
      <c r="G26" t="s">
        <v>20</v>
      </c>
      <c r="H26" t="s">
        <v>20</v>
      </c>
      <c r="I26" t="s">
        <v>20</v>
      </c>
      <c r="J26" t="s">
        <v>20</v>
      </c>
      <c r="K26" t="s">
        <v>20</v>
      </c>
      <c r="L26" t="s">
        <v>20</v>
      </c>
      <c r="M26" t="s">
        <v>20</v>
      </c>
      <c r="N26" t="s">
        <v>20</v>
      </c>
      <c r="O26" t="s">
        <v>20</v>
      </c>
      <c r="P26" t="s">
        <v>54</v>
      </c>
    </row>
    <row r="27" spans="1:16" x14ac:dyDescent="0.25">
      <c r="A27" t="s">
        <v>16</v>
      </c>
      <c r="B27" t="s">
        <v>55</v>
      </c>
      <c r="C27">
        <v>0</v>
      </c>
      <c r="D27">
        <v>4.0052609443664551</v>
      </c>
      <c r="E27">
        <v>1</v>
      </c>
      <c r="F27">
        <v>0</v>
      </c>
      <c r="G27">
        <v>1</v>
      </c>
      <c r="H27" t="s">
        <v>20</v>
      </c>
      <c r="I27">
        <v>1</v>
      </c>
      <c r="J27" t="s">
        <v>20</v>
      </c>
      <c r="K27">
        <v>1</v>
      </c>
      <c r="L27">
        <v>1</v>
      </c>
      <c r="M27">
        <v>1</v>
      </c>
      <c r="N27">
        <v>1</v>
      </c>
      <c r="O27">
        <v>1</v>
      </c>
      <c r="P27" t="s">
        <v>56</v>
      </c>
    </row>
    <row r="28" spans="1:16" x14ac:dyDescent="0.25">
      <c r="A28" t="s">
        <v>16</v>
      </c>
      <c r="B28" t="s">
        <v>57</v>
      </c>
      <c r="C28">
        <v>0</v>
      </c>
      <c r="D28">
        <v>7.0889749526977539</v>
      </c>
      <c r="E28">
        <v>1</v>
      </c>
      <c r="F28">
        <v>1</v>
      </c>
      <c r="G28">
        <v>0</v>
      </c>
      <c r="H28" t="s">
        <v>20</v>
      </c>
      <c r="I28">
        <v>1</v>
      </c>
      <c r="J28">
        <v>1</v>
      </c>
      <c r="K28">
        <v>1</v>
      </c>
      <c r="L28">
        <v>1</v>
      </c>
      <c r="M28">
        <v>1</v>
      </c>
      <c r="N28">
        <v>1</v>
      </c>
      <c r="O28">
        <v>1</v>
      </c>
      <c r="P28" t="s">
        <v>58</v>
      </c>
    </row>
    <row r="29" spans="1:16" x14ac:dyDescent="0.25">
      <c r="A29" t="s">
        <v>16</v>
      </c>
      <c r="B29" t="s">
        <v>59</v>
      </c>
      <c r="C29">
        <v>0</v>
      </c>
      <c r="D29">
        <v>11.160343408584589</v>
      </c>
      <c r="E29">
        <v>1</v>
      </c>
      <c r="F29">
        <v>1</v>
      </c>
      <c r="G29">
        <v>1</v>
      </c>
      <c r="H29">
        <v>1</v>
      </c>
      <c r="I29">
        <v>1</v>
      </c>
      <c r="J29">
        <v>1</v>
      </c>
      <c r="K29">
        <v>0</v>
      </c>
      <c r="L29">
        <v>1</v>
      </c>
      <c r="M29">
        <v>1</v>
      </c>
      <c r="N29">
        <v>1</v>
      </c>
      <c r="O29">
        <v>1</v>
      </c>
      <c r="P29" t="s">
        <v>60</v>
      </c>
    </row>
    <row r="30" spans="1:16" x14ac:dyDescent="0.25">
      <c r="A30" t="s">
        <v>16</v>
      </c>
      <c r="B30" t="s">
        <v>61</v>
      </c>
      <c r="C30">
        <v>0</v>
      </c>
      <c r="D30">
        <v>11.237235546112061</v>
      </c>
      <c r="E30">
        <v>0</v>
      </c>
      <c r="F30" t="s">
        <v>20</v>
      </c>
      <c r="G30" t="s">
        <v>20</v>
      </c>
      <c r="H30" t="s">
        <v>20</v>
      </c>
      <c r="I30" t="s">
        <v>20</v>
      </c>
      <c r="J30" t="s">
        <v>20</v>
      </c>
      <c r="K30" t="s">
        <v>20</v>
      </c>
      <c r="L30" t="s">
        <v>20</v>
      </c>
      <c r="M30" t="s">
        <v>20</v>
      </c>
      <c r="N30" t="s">
        <v>20</v>
      </c>
      <c r="O30" t="s">
        <v>20</v>
      </c>
      <c r="P30" t="s">
        <v>62</v>
      </c>
    </row>
    <row r="31" spans="1:16" x14ac:dyDescent="0.25">
      <c r="A31" t="s">
        <v>16</v>
      </c>
      <c r="B31" t="s">
        <v>63</v>
      </c>
      <c r="C31">
        <v>0</v>
      </c>
      <c r="D31">
        <v>5.1581761837005624</v>
      </c>
      <c r="E31">
        <v>1</v>
      </c>
      <c r="F31">
        <v>0</v>
      </c>
      <c r="G31">
        <v>1</v>
      </c>
      <c r="H31" t="s">
        <v>20</v>
      </c>
      <c r="I31">
        <v>1</v>
      </c>
      <c r="J31" t="s">
        <v>20</v>
      </c>
      <c r="K31">
        <v>1</v>
      </c>
      <c r="L31">
        <v>1</v>
      </c>
      <c r="M31">
        <v>1</v>
      </c>
      <c r="N31">
        <v>1</v>
      </c>
      <c r="O31">
        <v>1</v>
      </c>
      <c r="P31" t="s">
        <v>64</v>
      </c>
    </row>
    <row r="32" spans="1:16" x14ac:dyDescent="0.25">
      <c r="A32" t="s">
        <v>16</v>
      </c>
      <c r="B32" t="s">
        <v>65</v>
      </c>
      <c r="C32">
        <v>0</v>
      </c>
      <c r="D32">
        <v>6.8753588199615479</v>
      </c>
      <c r="E32">
        <v>1</v>
      </c>
      <c r="F32">
        <v>0</v>
      </c>
      <c r="G32">
        <v>1</v>
      </c>
      <c r="H32" t="s">
        <v>20</v>
      </c>
      <c r="I32">
        <v>1</v>
      </c>
      <c r="J32" t="s">
        <v>20</v>
      </c>
      <c r="K32">
        <v>1</v>
      </c>
      <c r="L32">
        <v>1</v>
      </c>
      <c r="M32">
        <v>1</v>
      </c>
      <c r="N32">
        <v>1</v>
      </c>
      <c r="O32">
        <v>1</v>
      </c>
      <c r="P32" t="s">
        <v>66</v>
      </c>
    </row>
    <row r="33" spans="1:16" x14ac:dyDescent="0.25">
      <c r="A33" t="s">
        <v>16</v>
      </c>
      <c r="B33" t="s">
        <v>67</v>
      </c>
      <c r="C33">
        <v>0</v>
      </c>
      <c r="D33">
        <v>11.00689911842346</v>
      </c>
      <c r="E33">
        <v>1</v>
      </c>
      <c r="F33">
        <v>0</v>
      </c>
      <c r="G33">
        <v>1</v>
      </c>
      <c r="H33" t="s">
        <v>20</v>
      </c>
      <c r="I33">
        <v>1</v>
      </c>
      <c r="J33" t="s">
        <v>20</v>
      </c>
      <c r="K33">
        <v>1</v>
      </c>
      <c r="L33">
        <v>1</v>
      </c>
      <c r="M33">
        <v>1</v>
      </c>
      <c r="N33">
        <v>1</v>
      </c>
      <c r="O33">
        <v>1</v>
      </c>
      <c r="P33" t="s">
        <v>68</v>
      </c>
    </row>
    <row r="34" spans="1:16" x14ac:dyDescent="0.25">
      <c r="A34" t="s">
        <v>16</v>
      </c>
      <c r="B34" t="s">
        <v>69</v>
      </c>
      <c r="C34">
        <v>0</v>
      </c>
      <c r="D34">
        <v>6.8771762847900391</v>
      </c>
      <c r="E34">
        <v>0</v>
      </c>
      <c r="F34" t="s">
        <v>20</v>
      </c>
      <c r="G34" t="s">
        <v>20</v>
      </c>
      <c r="H34" t="s">
        <v>20</v>
      </c>
      <c r="I34" t="s">
        <v>20</v>
      </c>
      <c r="J34" t="s">
        <v>20</v>
      </c>
      <c r="K34" t="s">
        <v>20</v>
      </c>
      <c r="L34" t="s">
        <v>20</v>
      </c>
      <c r="M34" t="s">
        <v>20</v>
      </c>
      <c r="N34" t="s">
        <v>20</v>
      </c>
      <c r="O34" t="s">
        <v>20</v>
      </c>
      <c r="P34" t="s">
        <v>70</v>
      </c>
    </row>
    <row r="35" spans="1:16" x14ac:dyDescent="0.25">
      <c r="A35" t="s">
        <v>16</v>
      </c>
      <c r="B35" t="s">
        <v>71</v>
      </c>
      <c r="C35">
        <v>0</v>
      </c>
      <c r="D35">
        <v>8.9349322319030762</v>
      </c>
      <c r="E35">
        <v>1</v>
      </c>
      <c r="F35">
        <v>1</v>
      </c>
      <c r="G35">
        <v>1</v>
      </c>
      <c r="H35">
        <v>1</v>
      </c>
      <c r="I35">
        <v>1</v>
      </c>
      <c r="J35">
        <v>1</v>
      </c>
      <c r="K35">
        <v>1</v>
      </c>
      <c r="L35">
        <v>1</v>
      </c>
      <c r="M35">
        <v>1</v>
      </c>
      <c r="N35">
        <v>1</v>
      </c>
      <c r="O35">
        <v>1</v>
      </c>
    </row>
    <row r="36" spans="1:16" x14ac:dyDescent="0.25">
      <c r="A36" t="s">
        <v>16</v>
      </c>
      <c r="B36" t="s">
        <v>72</v>
      </c>
      <c r="C36">
        <v>0</v>
      </c>
      <c r="D36">
        <v>9.6416332721710205</v>
      </c>
      <c r="E36">
        <v>1</v>
      </c>
      <c r="F36">
        <v>1</v>
      </c>
      <c r="G36">
        <v>1</v>
      </c>
      <c r="H36">
        <v>1</v>
      </c>
      <c r="I36">
        <v>1</v>
      </c>
      <c r="J36">
        <v>1</v>
      </c>
      <c r="K36">
        <v>1</v>
      </c>
      <c r="L36">
        <v>1</v>
      </c>
      <c r="M36">
        <v>1</v>
      </c>
      <c r="N36">
        <v>1</v>
      </c>
      <c r="O36">
        <v>1</v>
      </c>
    </row>
    <row r="37" spans="1:16" x14ac:dyDescent="0.25">
      <c r="A37" t="s">
        <v>16</v>
      </c>
      <c r="B37" t="s">
        <v>73</v>
      </c>
      <c r="C37">
        <v>0</v>
      </c>
      <c r="D37">
        <v>4.724074125289917</v>
      </c>
      <c r="E37">
        <v>1</v>
      </c>
      <c r="F37">
        <v>0</v>
      </c>
      <c r="G37">
        <v>1</v>
      </c>
      <c r="H37" t="s">
        <v>20</v>
      </c>
      <c r="I37">
        <v>1</v>
      </c>
      <c r="J37" t="s">
        <v>20</v>
      </c>
      <c r="K37">
        <v>1</v>
      </c>
      <c r="L37">
        <v>1</v>
      </c>
      <c r="M37">
        <v>1</v>
      </c>
      <c r="N37">
        <v>1</v>
      </c>
      <c r="O37">
        <v>1</v>
      </c>
      <c r="P37" t="s">
        <v>74</v>
      </c>
    </row>
    <row r="38" spans="1:16" x14ac:dyDescent="0.25">
      <c r="A38" t="s">
        <v>16</v>
      </c>
      <c r="B38" t="s">
        <v>75</v>
      </c>
      <c r="C38">
        <v>0</v>
      </c>
      <c r="D38">
        <v>4.0054073333740234</v>
      </c>
      <c r="E38">
        <v>1</v>
      </c>
      <c r="F38">
        <v>0</v>
      </c>
      <c r="G38">
        <v>1</v>
      </c>
      <c r="H38" t="s">
        <v>20</v>
      </c>
      <c r="I38">
        <v>1</v>
      </c>
      <c r="J38" t="s">
        <v>20</v>
      </c>
      <c r="K38">
        <v>1</v>
      </c>
      <c r="L38">
        <v>1</v>
      </c>
      <c r="M38">
        <v>1</v>
      </c>
      <c r="N38">
        <v>1</v>
      </c>
      <c r="O38">
        <v>1</v>
      </c>
      <c r="P38" t="s">
        <v>76</v>
      </c>
    </row>
    <row r="39" spans="1:16" x14ac:dyDescent="0.25">
      <c r="A39" t="s">
        <v>16</v>
      </c>
      <c r="B39" t="s">
        <v>77</v>
      </c>
      <c r="C39">
        <v>0</v>
      </c>
      <c r="D39">
        <v>9.6613545417785645</v>
      </c>
      <c r="E39">
        <v>1</v>
      </c>
      <c r="F39">
        <v>1</v>
      </c>
      <c r="G39">
        <v>1</v>
      </c>
      <c r="H39">
        <v>1</v>
      </c>
      <c r="I39">
        <v>1</v>
      </c>
      <c r="J39">
        <v>1</v>
      </c>
      <c r="K39">
        <v>1</v>
      </c>
      <c r="L39">
        <v>1</v>
      </c>
      <c r="M39">
        <v>1</v>
      </c>
      <c r="N39">
        <v>1</v>
      </c>
      <c r="O39">
        <v>1</v>
      </c>
    </row>
    <row r="40" spans="1:16" x14ac:dyDescent="0.25">
      <c r="A40" t="s">
        <v>16</v>
      </c>
      <c r="B40" t="s">
        <v>78</v>
      </c>
      <c r="C40">
        <v>0</v>
      </c>
      <c r="D40">
        <v>4.9915676116943359</v>
      </c>
      <c r="E40">
        <v>1</v>
      </c>
      <c r="F40">
        <v>1</v>
      </c>
      <c r="G40">
        <v>0</v>
      </c>
      <c r="H40" t="s">
        <v>20</v>
      </c>
      <c r="I40">
        <v>1</v>
      </c>
      <c r="J40">
        <v>1</v>
      </c>
      <c r="K40">
        <v>1</v>
      </c>
      <c r="L40">
        <v>1</v>
      </c>
      <c r="M40">
        <v>1</v>
      </c>
      <c r="N40">
        <v>1</v>
      </c>
      <c r="O40">
        <v>1</v>
      </c>
      <c r="P40" t="s">
        <v>79</v>
      </c>
    </row>
    <row r="41" spans="1:16" x14ac:dyDescent="0.25">
      <c r="A41" t="s">
        <v>16</v>
      </c>
      <c r="B41" t="s">
        <v>80</v>
      </c>
      <c r="C41">
        <v>0</v>
      </c>
      <c r="D41">
        <v>9.8470504283905029</v>
      </c>
      <c r="E41">
        <v>0</v>
      </c>
      <c r="F41" t="s">
        <v>20</v>
      </c>
      <c r="G41" t="s">
        <v>20</v>
      </c>
      <c r="H41" t="s">
        <v>20</v>
      </c>
      <c r="I41" t="s">
        <v>20</v>
      </c>
      <c r="J41" t="s">
        <v>20</v>
      </c>
      <c r="K41" t="s">
        <v>20</v>
      </c>
      <c r="L41" t="s">
        <v>20</v>
      </c>
      <c r="M41" t="s">
        <v>20</v>
      </c>
      <c r="N41" t="s">
        <v>20</v>
      </c>
      <c r="O41" t="s">
        <v>20</v>
      </c>
      <c r="P41" t="s">
        <v>81</v>
      </c>
    </row>
    <row r="42" spans="1:16" x14ac:dyDescent="0.25">
      <c r="A42" t="s">
        <v>16</v>
      </c>
      <c r="B42" t="s">
        <v>82</v>
      </c>
      <c r="C42">
        <v>0</v>
      </c>
      <c r="D42">
        <v>12.682601451873779</v>
      </c>
      <c r="E42">
        <v>0</v>
      </c>
      <c r="F42" t="s">
        <v>20</v>
      </c>
      <c r="G42" t="s">
        <v>20</v>
      </c>
      <c r="H42" t="s">
        <v>20</v>
      </c>
      <c r="I42" t="s">
        <v>20</v>
      </c>
      <c r="J42" t="s">
        <v>20</v>
      </c>
      <c r="K42" t="s">
        <v>20</v>
      </c>
      <c r="L42" t="s">
        <v>20</v>
      </c>
      <c r="M42" t="s">
        <v>20</v>
      </c>
      <c r="N42" t="s">
        <v>20</v>
      </c>
      <c r="O42" t="s">
        <v>20</v>
      </c>
      <c r="P42" t="s">
        <v>83</v>
      </c>
    </row>
    <row r="43" spans="1:16" x14ac:dyDescent="0.25">
      <c r="A43" t="s">
        <v>16</v>
      </c>
      <c r="B43" t="s">
        <v>84</v>
      </c>
      <c r="C43">
        <v>0</v>
      </c>
      <c r="D43">
        <v>2.7685952186584468</v>
      </c>
      <c r="E43">
        <v>1</v>
      </c>
      <c r="F43">
        <v>1</v>
      </c>
      <c r="G43">
        <v>1</v>
      </c>
      <c r="H43">
        <v>1</v>
      </c>
      <c r="I43">
        <v>1</v>
      </c>
      <c r="J43">
        <v>1</v>
      </c>
      <c r="K43">
        <v>1</v>
      </c>
      <c r="L43">
        <v>1</v>
      </c>
      <c r="M43">
        <v>1</v>
      </c>
      <c r="N43">
        <v>1</v>
      </c>
      <c r="O43">
        <v>1</v>
      </c>
    </row>
    <row r="44" spans="1:16" x14ac:dyDescent="0.25">
      <c r="A44" t="s">
        <v>16</v>
      </c>
      <c r="B44" t="s">
        <v>85</v>
      </c>
      <c r="C44">
        <v>0</v>
      </c>
      <c r="D44">
        <v>4.6191339492797852</v>
      </c>
      <c r="E44">
        <v>1</v>
      </c>
      <c r="F44">
        <v>1</v>
      </c>
      <c r="G44">
        <v>1</v>
      </c>
      <c r="H44">
        <v>0</v>
      </c>
      <c r="I44">
        <v>1</v>
      </c>
      <c r="J44">
        <v>1</v>
      </c>
      <c r="K44">
        <v>1</v>
      </c>
      <c r="L44">
        <v>1</v>
      </c>
      <c r="M44">
        <v>1</v>
      </c>
      <c r="N44">
        <v>1</v>
      </c>
      <c r="O44">
        <v>1</v>
      </c>
      <c r="P44" t="s">
        <v>86</v>
      </c>
    </row>
    <row r="45" spans="1:16" x14ac:dyDescent="0.25">
      <c r="A45" t="s">
        <v>16</v>
      </c>
      <c r="B45" t="s">
        <v>87</v>
      </c>
      <c r="C45">
        <v>0</v>
      </c>
      <c r="D45">
        <v>6.07464599609375</v>
      </c>
      <c r="E45">
        <v>1</v>
      </c>
      <c r="F45">
        <v>1</v>
      </c>
      <c r="G45">
        <v>0</v>
      </c>
      <c r="H45" t="s">
        <v>20</v>
      </c>
      <c r="I45">
        <v>1</v>
      </c>
      <c r="J45">
        <v>0</v>
      </c>
      <c r="K45">
        <v>1</v>
      </c>
      <c r="L45">
        <v>1</v>
      </c>
      <c r="M45">
        <v>1</v>
      </c>
      <c r="N45">
        <v>1</v>
      </c>
      <c r="O45">
        <v>1</v>
      </c>
      <c r="P45" t="s">
        <v>88</v>
      </c>
    </row>
    <row r="46" spans="1:16" x14ac:dyDescent="0.25">
      <c r="A46" t="s">
        <v>16</v>
      </c>
      <c r="B46" t="s">
        <v>89</v>
      </c>
      <c r="C46">
        <v>0</v>
      </c>
      <c r="D46">
        <v>12.418843746185299</v>
      </c>
      <c r="E46">
        <v>1</v>
      </c>
      <c r="F46">
        <v>1</v>
      </c>
      <c r="G46">
        <v>1</v>
      </c>
      <c r="H46">
        <v>1</v>
      </c>
      <c r="I46">
        <v>1</v>
      </c>
      <c r="J46">
        <v>0</v>
      </c>
      <c r="K46">
        <v>1</v>
      </c>
      <c r="L46">
        <v>1</v>
      </c>
      <c r="M46">
        <v>1</v>
      </c>
      <c r="N46">
        <v>1</v>
      </c>
      <c r="O46">
        <v>1</v>
      </c>
      <c r="P46" t="s">
        <v>90</v>
      </c>
    </row>
    <row r="47" spans="1:16" x14ac:dyDescent="0.25">
      <c r="A47" t="s">
        <v>16</v>
      </c>
      <c r="B47" t="s">
        <v>91</v>
      </c>
      <c r="C47">
        <v>0</v>
      </c>
      <c r="D47">
        <v>9.6579174995422363</v>
      </c>
      <c r="E47">
        <v>1</v>
      </c>
      <c r="F47">
        <v>1</v>
      </c>
      <c r="G47">
        <v>1</v>
      </c>
      <c r="H47">
        <v>1</v>
      </c>
      <c r="I47">
        <v>1</v>
      </c>
      <c r="J47">
        <v>1</v>
      </c>
      <c r="K47">
        <v>1</v>
      </c>
      <c r="L47">
        <v>1</v>
      </c>
      <c r="M47">
        <v>1</v>
      </c>
      <c r="N47">
        <v>1</v>
      </c>
      <c r="O47">
        <v>1</v>
      </c>
    </row>
    <row r="48" spans="1:16" x14ac:dyDescent="0.25">
      <c r="A48" t="s">
        <v>16</v>
      </c>
      <c r="B48" t="s">
        <v>92</v>
      </c>
      <c r="C48">
        <v>0</v>
      </c>
      <c r="D48">
        <v>8.1300415992736816</v>
      </c>
      <c r="E48">
        <v>1</v>
      </c>
      <c r="F48">
        <v>1</v>
      </c>
      <c r="G48">
        <v>1</v>
      </c>
      <c r="H48">
        <v>1</v>
      </c>
      <c r="I48">
        <v>1</v>
      </c>
      <c r="J48">
        <v>0</v>
      </c>
      <c r="K48">
        <v>1</v>
      </c>
      <c r="L48">
        <v>1</v>
      </c>
      <c r="M48">
        <v>1</v>
      </c>
      <c r="N48">
        <v>1</v>
      </c>
      <c r="O48">
        <v>1</v>
      </c>
      <c r="P48" t="s">
        <v>93</v>
      </c>
    </row>
    <row r="49" spans="1:16" x14ac:dyDescent="0.25">
      <c r="A49" t="s">
        <v>16</v>
      </c>
      <c r="B49" t="s">
        <v>94</v>
      </c>
      <c r="C49">
        <v>0</v>
      </c>
      <c r="D49">
        <v>2.7562041282653809</v>
      </c>
      <c r="E49">
        <v>1</v>
      </c>
      <c r="F49">
        <v>1</v>
      </c>
      <c r="G49">
        <v>1</v>
      </c>
      <c r="H49">
        <v>1</v>
      </c>
      <c r="I49">
        <v>1</v>
      </c>
      <c r="J49">
        <v>1</v>
      </c>
      <c r="K49">
        <v>1</v>
      </c>
      <c r="L49">
        <v>1</v>
      </c>
      <c r="M49">
        <v>1</v>
      </c>
      <c r="N49">
        <v>1</v>
      </c>
      <c r="O49">
        <v>1</v>
      </c>
    </row>
    <row r="50" spans="1:16" x14ac:dyDescent="0.25">
      <c r="A50" t="s">
        <v>16</v>
      </c>
      <c r="B50" t="s">
        <v>95</v>
      </c>
      <c r="C50">
        <v>0</v>
      </c>
      <c r="D50">
        <v>9.3034477233886719</v>
      </c>
      <c r="E50">
        <v>1</v>
      </c>
      <c r="F50">
        <v>1</v>
      </c>
      <c r="G50">
        <v>1</v>
      </c>
      <c r="H50">
        <v>1</v>
      </c>
      <c r="I50">
        <v>1</v>
      </c>
      <c r="J50">
        <v>1</v>
      </c>
      <c r="K50">
        <v>1</v>
      </c>
      <c r="L50">
        <v>1</v>
      </c>
      <c r="M50">
        <v>1</v>
      </c>
      <c r="N50">
        <v>1</v>
      </c>
      <c r="O50">
        <v>1</v>
      </c>
    </row>
    <row r="51" spans="1:16" x14ac:dyDescent="0.25">
      <c r="A51" t="s">
        <v>96</v>
      </c>
      <c r="B51" t="s">
        <v>17</v>
      </c>
      <c r="C51">
        <v>0</v>
      </c>
      <c r="D51">
        <v>2.810648918151855</v>
      </c>
      <c r="E51">
        <v>1</v>
      </c>
      <c r="F51">
        <v>1</v>
      </c>
      <c r="G51">
        <v>1</v>
      </c>
      <c r="H51">
        <v>1</v>
      </c>
      <c r="I51">
        <v>1</v>
      </c>
      <c r="J51">
        <v>1</v>
      </c>
      <c r="K51">
        <v>1</v>
      </c>
      <c r="L51">
        <v>1</v>
      </c>
      <c r="M51">
        <v>1</v>
      </c>
      <c r="N51">
        <v>1</v>
      </c>
      <c r="O51">
        <v>1</v>
      </c>
    </row>
    <row r="52" spans="1:16" x14ac:dyDescent="0.25">
      <c r="A52" t="s">
        <v>96</v>
      </c>
      <c r="B52" t="s">
        <v>18</v>
      </c>
      <c r="C52">
        <v>0</v>
      </c>
      <c r="D52">
        <v>9.5632941722869873</v>
      </c>
      <c r="E52">
        <v>1</v>
      </c>
      <c r="F52">
        <v>1</v>
      </c>
      <c r="G52">
        <v>1</v>
      </c>
      <c r="H52">
        <v>1</v>
      </c>
      <c r="I52">
        <v>1</v>
      </c>
      <c r="J52">
        <v>1</v>
      </c>
      <c r="K52">
        <v>1</v>
      </c>
      <c r="L52">
        <v>1</v>
      </c>
      <c r="M52">
        <v>1</v>
      </c>
      <c r="N52">
        <v>1</v>
      </c>
      <c r="O52">
        <v>1</v>
      </c>
    </row>
    <row r="53" spans="1:16" x14ac:dyDescent="0.25">
      <c r="A53" t="s">
        <v>96</v>
      </c>
      <c r="B53" t="s">
        <v>19</v>
      </c>
      <c r="C53">
        <v>0</v>
      </c>
      <c r="D53">
        <v>10.825540065765381</v>
      </c>
      <c r="E53">
        <v>1</v>
      </c>
      <c r="F53">
        <v>1</v>
      </c>
      <c r="G53">
        <v>1</v>
      </c>
      <c r="H53">
        <v>0</v>
      </c>
      <c r="I53">
        <v>1</v>
      </c>
      <c r="J53">
        <v>1</v>
      </c>
      <c r="K53">
        <v>1</v>
      </c>
      <c r="L53">
        <v>1</v>
      </c>
      <c r="M53">
        <v>1</v>
      </c>
      <c r="N53">
        <v>1</v>
      </c>
      <c r="O53">
        <v>1</v>
      </c>
      <c r="P53" t="s">
        <v>97</v>
      </c>
    </row>
    <row r="54" spans="1:16" x14ac:dyDescent="0.25">
      <c r="A54" t="s">
        <v>96</v>
      </c>
      <c r="B54" t="s">
        <v>22</v>
      </c>
      <c r="C54">
        <v>0</v>
      </c>
      <c r="D54">
        <v>8.583148717880249</v>
      </c>
      <c r="E54">
        <v>1</v>
      </c>
      <c r="F54">
        <v>1</v>
      </c>
      <c r="G54">
        <v>1</v>
      </c>
      <c r="H54">
        <v>1</v>
      </c>
      <c r="I54">
        <v>1</v>
      </c>
      <c r="J54">
        <v>1</v>
      </c>
      <c r="K54">
        <v>1</v>
      </c>
      <c r="L54">
        <v>1</v>
      </c>
      <c r="M54">
        <v>1</v>
      </c>
      <c r="N54">
        <v>1</v>
      </c>
      <c r="O54">
        <v>1</v>
      </c>
    </row>
    <row r="55" spans="1:16" x14ac:dyDescent="0.25">
      <c r="A55" t="s">
        <v>96</v>
      </c>
      <c r="B55" t="s">
        <v>24</v>
      </c>
      <c r="C55">
        <v>0</v>
      </c>
      <c r="D55">
        <v>2.6939187049865718</v>
      </c>
      <c r="E55">
        <v>1</v>
      </c>
      <c r="F55">
        <v>1</v>
      </c>
      <c r="G55">
        <v>1</v>
      </c>
      <c r="H55">
        <v>1</v>
      </c>
      <c r="I55">
        <v>1</v>
      </c>
      <c r="J55">
        <v>1</v>
      </c>
      <c r="K55">
        <v>1</v>
      </c>
      <c r="L55">
        <v>1</v>
      </c>
      <c r="M55">
        <v>1</v>
      </c>
      <c r="N55">
        <v>1</v>
      </c>
      <c r="O55">
        <v>1</v>
      </c>
    </row>
    <row r="56" spans="1:16" x14ac:dyDescent="0.25">
      <c r="A56" t="s">
        <v>96</v>
      </c>
      <c r="B56" t="s">
        <v>25</v>
      </c>
      <c r="C56">
        <v>0</v>
      </c>
      <c r="D56">
        <v>5.180455207824707</v>
      </c>
      <c r="E56">
        <v>1</v>
      </c>
      <c r="F56">
        <v>1</v>
      </c>
      <c r="G56">
        <v>0</v>
      </c>
      <c r="H56" t="s">
        <v>20</v>
      </c>
      <c r="I56">
        <v>1</v>
      </c>
      <c r="J56">
        <v>1</v>
      </c>
      <c r="K56">
        <v>1</v>
      </c>
      <c r="L56">
        <v>1</v>
      </c>
      <c r="M56">
        <v>1</v>
      </c>
      <c r="N56">
        <v>1</v>
      </c>
      <c r="O56">
        <v>1</v>
      </c>
      <c r="P56" t="s">
        <v>98</v>
      </c>
    </row>
    <row r="57" spans="1:16" x14ac:dyDescent="0.25">
      <c r="A57" t="s">
        <v>96</v>
      </c>
      <c r="B57" t="s">
        <v>26</v>
      </c>
      <c r="C57">
        <v>0</v>
      </c>
      <c r="D57">
        <v>2.701003789901733</v>
      </c>
      <c r="E57">
        <v>1</v>
      </c>
      <c r="F57">
        <v>1</v>
      </c>
      <c r="G57">
        <v>1</v>
      </c>
      <c r="H57">
        <v>1</v>
      </c>
      <c r="I57">
        <v>1</v>
      </c>
      <c r="J57">
        <v>1</v>
      </c>
      <c r="K57">
        <v>1</v>
      </c>
      <c r="L57">
        <v>1</v>
      </c>
      <c r="M57">
        <v>1</v>
      </c>
      <c r="N57">
        <v>1</v>
      </c>
      <c r="O57">
        <v>1</v>
      </c>
    </row>
    <row r="58" spans="1:16" x14ac:dyDescent="0.25">
      <c r="A58" t="s">
        <v>96</v>
      </c>
      <c r="B58" t="s">
        <v>27</v>
      </c>
      <c r="C58">
        <v>0</v>
      </c>
      <c r="D58">
        <v>5.2576146125793457</v>
      </c>
      <c r="E58">
        <v>1</v>
      </c>
      <c r="F58">
        <v>1</v>
      </c>
      <c r="G58">
        <v>1</v>
      </c>
      <c r="H58">
        <v>1</v>
      </c>
      <c r="I58">
        <v>1</v>
      </c>
      <c r="J58">
        <v>0</v>
      </c>
      <c r="K58">
        <v>1</v>
      </c>
      <c r="L58">
        <v>1</v>
      </c>
      <c r="M58">
        <v>1</v>
      </c>
      <c r="N58">
        <v>1</v>
      </c>
      <c r="O58">
        <v>1</v>
      </c>
      <c r="P58" t="s">
        <v>99</v>
      </c>
    </row>
    <row r="59" spans="1:16" x14ac:dyDescent="0.25">
      <c r="A59" t="s">
        <v>96</v>
      </c>
      <c r="B59" t="s">
        <v>28</v>
      </c>
      <c r="C59">
        <v>0</v>
      </c>
      <c r="D59">
        <v>2.74774169921875</v>
      </c>
      <c r="E59">
        <v>1</v>
      </c>
      <c r="F59">
        <v>1</v>
      </c>
      <c r="G59">
        <v>1</v>
      </c>
      <c r="H59">
        <v>1</v>
      </c>
      <c r="I59">
        <v>1</v>
      </c>
      <c r="J59">
        <v>1</v>
      </c>
      <c r="K59">
        <v>1</v>
      </c>
      <c r="L59">
        <v>1</v>
      </c>
      <c r="M59">
        <v>1</v>
      </c>
      <c r="N59">
        <v>1</v>
      </c>
      <c r="O59">
        <v>1</v>
      </c>
    </row>
    <row r="60" spans="1:16" x14ac:dyDescent="0.25">
      <c r="A60" t="s">
        <v>96</v>
      </c>
      <c r="B60" t="s">
        <v>29</v>
      </c>
      <c r="C60">
        <v>0</v>
      </c>
      <c r="D60">
        <v>9.1210258007049561</v>
      </c>
      <c r="E60">
        <v>1</v>
      </c>
      <c r="F60">
        <v>1</v>
      </c>
      <c r="G60">
        <v>1</v>
      </c>
      <c r="H60">
        <v>1</v>
      </c>
      <c r="I60">
        <v>1</v>
      </c>
      <c r="J60">
        <v>1</v>
      </c>
      <c r="K60">
        <v>1</v>
      </c>
      <c r="L60">
        <v>1</v>
      </c>
      <c r="M60">
        <v>1</v>
      </c>
      <c r="N60">
        <v>1</v>
      </c>
      <c r="O60">
        <v>1</v>
      </c>
    </row>
    <row r="61" spans="1:16" x14ac:dyDescent="0.25">
      <c r="A61" t="s">
        <v>96</v>
      </c>
      <c r="B61" t="s">
        <v>31</v>
      </c>
      <c r="C61">
        <v>0</v>
      </c>
      <c r="D61">
        <v>2.6793620586395259</v>
      </c>
      <c r="E61">
        <v>1</v>
      </c>
      <c r="F61">
        <v>1</v>
      </c>
      <c r="G61">
        <v>1</v>
      </c>
      <c r="H61">
        <v>1</v>
      </c>
      <c r="I61">
        <v>1</v>
      </c>
      <c r="J61">
        <v>1</v>
      </c>
      <c r="K61">
        <v>1</v>
      </c>
      <c r="L61">
        <v>1</v>
      </c>
      <c r="M61">
        <v>1</v>
      </c>
      <c r="N61">
        <v>1</v>
      </c>
      <c r="O61">
        <v>1</v>
      </c>
    </row>
    <row r="62" spans="1:16" x14ac:dyDescent="0.25">
      <c r="A62" t="s">
        <v>96</v>
      </c>
      <c r="B62" t="s">
        <v>33</v>
      </c>
      <c r="C62">
        <v>0</v>
      </c>
      <c r="D62">
        <v>10.76251268386841</v>
      </c>
      <c r="E62">
        <v>1</v>
      </c>
      <c r="F62">
        <v>1</v>
      </c>
      <c r="G62">
        <v>1</v>
      </c>
      <c r="H62">
        <v>1</v>
      </c>
      <c r="I62">
        <v>1</v>
      </c>
      <c r="J62">
        <v>1</v>
      </c>
      <c r="K62">
        <v>1</v>
      </c>
      <c r="L62">
        <v>1</v>
      </c>
      <c r="M62">
        <v>1</v>
      </c>
      <c r="N62">
        <v>1</v>
      </c>
      <c r="O62">
        <v>1</v>
      </c>
    </row>
    <row r="63" spans="1:16" x14ac:dyDescent="0.25">
      <c r="A63" t="s">
        <v>96</v>
      </c>
      <c r="B63" t="s">
        <v>35</v>
      </c>
      <c r="C63">
        <v>0</v>
      </c>
      <c r="D63">
        <v>2.6872439384460449</v>
      </c>
      <c r="E63">
        <v>1</v>
      </c>
      <c r="F63">
        <v>1</v>
      </c>
      <c r="G63">
        <v>1</v>
      </c>
      <c r="H63">
        <v>1</v>
      </c>
      <c r="I63">
        <v>1</v>
      </c>
      <c r="J63">
        <v>1</v>
      </c>
      <c r="K63">
        <v>1</v>
      </c>
      <c r="L63">
        <v>1</v>
      </c>
      <c r="M63">
        <v>1</v>
      </c>
      <c r="N63">
        <v>1</v>
      </c>
      <c r="O63">
        <v>1</v>
      </c>
    </row>
    <row r="64" spans="1:16" x14ac:dyDescent="0.25">
      <c r="A64" t="s">
        <v>96</v>
      </c>
      <c r="B64" t="s">
        <v>36</v>
      </c>
      <c r="C64">
        <v>0</v>
      </c>
      <c r="D64">
        <v>9.2462093830108643</v>
      </c>
      <c r="E64">
        <v>1</v>
      </c>
      <c r="F64">
        <v>1</v>
      </c>
      <c r="G64">
        <v>1</v>
      </c>
      <c r="H64">
        <v>1</v>
      </c>
      <c r="I64">
        <v>1</v>
      </c>
      <c r="J64">
        <v>1</v>
      </c>
      <c r="K64">
        <v>1</v>
      </c>
      <c r="L64">
        <v>1</v>
      </c>
      <c r="M64">
        <v>1</v>
      </c>
      <c r="N64">
        <v>1</v>
      </c>
      <c r="O64">
        <v>1</v>
      </c>
    </row>
    <row r="65" spans="1:16" x14ac:dyDescent="0.25">
      <c r="A65" t="s">
        <v>96</v>
      </c>
      <c r="B65" t="s">
        <v>38</v>
      </c>
      <c r="C65">
        <v>0</v>
      </c>
      <c r="D65">
        <v>4.4848775863647461</v>
      </c>
      <c r="E65">
        <v>1</v>
      </c>
      <c r="F65">
        <v>1</v>
      </c>
      <c r="G65">
        <v>1</v>
      </c>
      <c r="H65">
        <v>1</v>
      </c>
      <c r="I65">
        <v>1</v>
      </c>
      <c r="J65">
        <v>1</v>
      </c>
      <c r="K65">
        <v>1</v>
      </c>
      <c r="L65">
        <v>1</v>
      </c>
      <c r="M65">
        <v>1</v>
      </c>
      <c r="N65">
        <v>0</v>
      </c>
      <c r="O65">
        <v>1</v>
      </c>
      <c r="P65" t="s">
        <v>100</v>
      </c>
    </row>
    <row r="66" spans="1:16" x14ac:dyDescent="0.25">
      <c r="A66" t="s">
        <v>96</v>
      </c>
      <c r="B66" t="s">
        <v>40</v>
      </c>
      <c r="C66">
        <v>0</v>
      </c>
      <c r="D66">
        <v>6.2326688766479492</v>
      </c>
      <c r="E66">
        <v>1</v>
      </c>
      <c r="F66">
        <v>0</v>
      </c>
      <c r="G66">
        <v>1</v>
      </c>
      <c r="H66" t="s">
        <v>20</v>
      </c>
      <c r="I66">
        <v>1</v>
      </c>
      <c r="J66" t="s">
        <v>20</v>
      </c>
      <c r="K66">
        <v>1</v>
      </c>
      <c r="L66">
        <v>1</v>
      </c>
      <c r="M66">
        <v>1</v>
      </c>
      <c r="N66">
        <v>1</v>
      </c>
      <c r="O66">
        <v>1</v>
      </c>
      <c r="P66" t="s">
        <v>101</v>
      </c>
    </row>
    <row r="67" spans="1:16" x14ac:dyDescent="0.25">
      <c r="A67" t="s">
        <v>96</v>
      </c>
      <c r="B67" t="s">
        <v>42</v>
      </c>
      <c r="C67">
        <v>0</v>
      </c>
      <c r="D67">
        <v>4.6792099475860596</v>
      </c>
      <c r="E67">
        <v>1</v>
      </c>
      <c r="F67">
        <v>1</v>
      </c>
      <c r="G67">
        <v>1</v>
      </c>
      <c r="H67">
        <v>0</v>
      </c>
      <c r="I67">
        <v>1</v>
      </c>
      <c r="J67">
        <v>1</v>
      </c>
      <c r="K67">
        <v>1</v>
      </c>
      <c r="L67">
        <v>1</v>
      </c>
      <c r="M67">
        <v>1</v>
      </c>
      <c r="N67">
        <v>1</v>
      </c>
      <c r="O67">
        <v>1</v>
      </c>
      <c r="P67" t="s">
        <v>102</v>
      </c>
    </row>
    <row r="68" spans="1:16" x14ac:dyDescent="0.25">
      <c r="A68" t="s">
        <v>96</v>
      </c>
      <c r="B68" t="s">
        <v>43</v>
      </c>
      <c r="C68">
        <v>0</v>
      </c>
      <c r="D68">
        <v>11.94336199760437</v>
      </c>
      <c r="E68">
        <v>1</v>
      </c>
      <c r="F68">
        <v>1</v>
      </c>
      <c r="G68">
        <v>1</v>
      </c>
      <c r="H68">
        <v>1</v>
      </c>
      <c r="I68">
        <v>1</v>
      </c>
      <c r="J68">
        <v>1</v>
      </c>
      <c r="K68">
        <v>0</v>
      </c>
      <c r="L68">
        <v>1</v>
      </c>
      <c r="M68">
        <v>1</v>
      </c>
      <c r="N68">
        <v>1</v>
      </c>
      <c r="O68">
        <v>1</v>
      </c>
      <c r="P68" t="s">
        <v>103</v>
      </c>
    </row>
    <row r="69" spans="1:16" x14ac:dyDescent="0.25">
      <c r="A69" t="s">
        <v>96</v>
      </c>
      <c r="B69" t="s">
        <v>44</v>
      </c>
      <c r="C69">
        <v>0</v>
      </c>
      <c r="D69">
        <v>2.7904577255249019</v>
      </c>
      <c r="E69">
        <v>1</v>
      </c>
      <c r="F69">
        <v>1</v>
      </c>
      <c r="G69">
        <v>1</v>
      </c>
      <c r="H69">
        <v>1</v>
      </c>
      <c r="I69">
        <v>1</v>
      </c>
      <c r="J69">
        <v>1</v>
      </c>
      <c r="K69">
        <v>1</v>
      </c>
      <c r="L69">
        <v>1</v>
      </c>
      <c r="M69">
        <v>1</v>
      </c>
      <c r="N69">
        <v>1</v>
      </c>
      <c r="O69">
        <v>1</v>
      </c>
    </row>
    <row r="70" spans="1:16" x14ac:dyDescent="0.25">
      <c r="A70" t="s">
        <v>96</v>
      </c>
      <c r="B70" t="s">
        <v>46</v>
      </c>
      <c r="C70">
        <v>0</v>
      </c>
      <c r="D70">
        <v>9.9230587482452393</v>
      </c>
      <c r="E70">
        <v>1</v>
      </c>
      <c r="F70">
        <v>1</v>
      </c>
      <c r="G70">
        <v>1</v>
      </c>
      <c r="H70">
        <v>1</v>
      </c>
      <c r="I70">
        <v>1</v>
      </c>
      <c r="J70">
        <v>1</v>
      </c>
      <c r="K70">
        <v>1</v>
      </c>
      <c r="L70">
        <v>1</v>
      </c>
      <c r="M70">
        <v>1</v>
      </c>
      <c r="N70">
        <v>1</v>
      </c>
      <c r="O70">
        <v>1</v>
      </c>
    </row>
    <row r="71" spans="1:16" x14ac:dyDescent="0.25">
      <c r="A71" t="s">
        <v>96</v>
      </c>
      <c r="B71" t="s">
        <v>48</v>
      </c>
      <c r="C71">
        <v>0</v>
      </c>
      <c r="D71">
        <v>11.60667872428894</v>
      </c>
      <c r="E71">
        <v>0</v>
      </c>
      <c r="F71" t="s">
        <v>20</v>
      </c>
      <c r="G71" t="s">
        <v>20</v>
      </c>
      <c r="H71" t="s">
        <v>20</v>
      </c>
      <c r="I71" t="s">
        <v>20</v>
      </c>
      <c r="J71" t="s">
        <v>20</v>
      </c>
      <c r="K71" t="s">
        <v>20</v>
      </c>
      <c r="L71" t="s">
        <v>20</v>
      </c>
      <c r="M71" t="s">
        <v>20</v>
      </c>
      <c r="N71" t="s">
        <v>20</v>
      </c>
      <c r="O71" t="s">
        <v>20</v>
      </c>
      <c r="P71" t="s">
        <v>104</v>
      </c>
    </row>
    <row r="72" spans="1:16" x14ac:dyDescent="0.25">
      <c r="A72" t="s">
        <v>96</v>
      </c>
      <c r="B72" t="s">
        <v>50</v>
      </c>
      <c r="C72">
        <v>0</v>
      </c>
      <c r="D72">
        <v>11.619383573532099</v>
      </c>
      <c r="E72">
        <v>1</v>
      </c>
      <c r="F72">
        <v>1</v>
      </c>
      <c r="G72">
        <v>1</v>
      </c>
      <c r="H72">
        <v>1</v>
      </c>
      <c r="I72">
        <v>1</v>
      </c>
      <c r="J72">
        <v>1</v>
      </c>
      <c r="K72">
        <v>1</v>
      </c>
      <c r="L72">
        <v>1</v>
      </c>
      <c r="M72">
        <v>0</v>
      </c>
      <c r="N72">
        <v>1</v>
      </c>
      <c r="O72">
        <v>1</v>
      </c>
      <c r="P72" t="s">
        <v>105</v>
      </c>
    </row>
    <row r="73" spans="1:16" x14ac:dyDescent="0.25">
      <c r="A73" t="s">
        <v>96</v>
      </c>
      <c r="B73" t="s">
        <v>51</v>
      </c>
      <c r="C73">
        <v>0</v>
      </c>
      <c r="D73">
        <v>10.394200325012211</v>
      </c>
      <c r="E73">
        <v>1</v>
      </c>
      <c r="F73">
        <v>1</v>
      </c>
      <c r="G73">
        <v>1</v>
      </c>
      <c r="H73">
        <v>1</v>
      </c>
      <c r="I73">
        <v>1</v>
      </c>
      <c r="J73">
        <v>1</v>
      </c>
      <c r="K73">
        <v>1</v>
      </c>
      <c r="L73">
        <v>1</v>
      </c>
      <c r="M73">
        <v>1</v>
      </c>
      <c r="N73">
        <v>1</v>
      </c>
      <c r="O73">
        <v>1</v>
      </c>
    </row>
    <row r="74" spans="1:16" x14ac:dyDescent="0.25">
      <c r="A74" t="s">
        <v>96</v>
      </c>
      <c r="B74" t="s">
        <v>52</v>
      </c>
      <c r="C74">
        <v>0</v>
      </c>
      <c r="D74">
        <v>2.7429020404815669</v>
      </c>
      <c r="E74">
        <v>1</v>
      </c>
      <c r="F74">
        <v>1</v>
      </c>
      <c r="G74">
        <v>1</v>
      </c>
      <c r="H74">
        <v>1</v>
      </c>
      <c r="I74">
        <v>1</v>
      </c>
      <c r="J74">
        <v>1</v>
      </c>
      <c r="K74">
        <v>1</v>
      </c>
      <c r="L74">
        <v>1</v>
      </c>
      <c r="M74">
        <v>1</v>
      </c>
      <c r="N74">
        <v>1</v>
      </c>
      <c r="O74">
        <v>1</v>
      </c>
    </row>
    <row r="75" spans="1:16" x14ac:dyDescent="0.25">
      <c r="A75" t="s">
        <v>96</v>
      </c>
      <c r="B75" t="s">
        <v>53</v>
      </c>
      <c r="C75">
        <v>0</v>
      </c>
      <c r="D75">
        <v>5.1288890838623047</v>
      </c>
      <c r="E75">
        <v>1</v>
      </c>
      <c r="F75">
        <v>1</v>
      </c>
      <c r="G75">
        <v>0</v>
      </c>
      <c r="H75" t="s">
        <v>20</v>
      </c>
      <c r="I75">
        <v>1</v>
      </c>
      <c r="J75">
        <v>1</v>
      </c>
      <c r="K75">
        <v>1</v>
      </c>
      <c r="L75">
        <v>1</v>
      </c>
      <c r="M75">
        <v>1</v>
      </c>
      <c r="N75">
        <v>1</v>
      </c>
      <c r="O75">
        <v>1</v>
      </c>
      <c r="P75" t="s">
        <v>106</v>
      </c>
    </row>
    <row r="76" spans="1:16" x14ac:dyDescent="0.25">
      <c r="A76" t="s">
        <v>96</v>
      </c>
      <c r="B76" t="s">
        <v>55</v>
      </c>
      <c r="C76">
        <v>0</v>
      </c>
      <c r="D76">
        <v>4.0110464096069336</v>
      </c>
      <c r="E76">
        <v>1</v>
      </c>
      <c r="F76">
        <v>1</v>
      </c>
      <c r="G76">
        <v>1</v>
      </c>
      <c r="H76">
        <v>1</v>
      </c>
      <c r="I76">
        <v>1</v>
      </c>
      <c r="J76">
        <v>1</v>
      </c>
      <c r="K76">
        <v>1</v>
      </c>
      <c r="L76">
        <v>1</v>
      </c>
      <c r="M76">
        <v>0</v>
      </c>
      <c r="N76">
        <v>1</v>
      </c>
      <c r="O76">
        <v>1</v>
      </c>
      <c r="P76" t="s">
        <v>107</v>
      </c>
    </row>
    <row r="77" spans="1:16" x14ac:dyDescent="0.25">
      <c r="A77" t="s">
        <v>96</v>
      </c>
      <c r="B77" t="s">
        <v>57</v>
      </c>
      <c r="C77">
        <v>0</v>
      </c>
      <c r="D77">
        <v>5.0294032096862793</v>
      </c>
      <c r="E77">
        <v>1</v>
      </c>
      <c r="F77">
        <v>0</v>
      </c>
      <c r="G77">
        <v>1</v>
      </c>
      <c r="H77" t="s">
        <v>20</v>
      </c>
      <c r="I77">
        <v>1</v>
      </c>
      <c r="J77" t="s">
        <v>20</v>
      </c>
      <c r="K77">
        <v>1</v>
      </c>
      <c r="L77">
        <v>1</v>
      </c>
      <c r="M77">
        <v>1</v>
      </c>
      <c r="N77">
        <v>1</v>
      </c>
      <c r="O77">
        <v>1</v>
      </c>
      <c r="P77" t="s">
        <v>108</v>
      </c>
    </row>
    <row r="78" spans="1:16" x14ac:dyDescent="0.25">
      <c r="A78" t="s">
        <v>96</v>
      </c>
      <c r="B78" t="s">
        <v>59</v>
      </c>
      <c r="C78">
        <v>0</v>
      </c>
      <c r="D78">
        <v>4.5405087471008301</v>
      </c>
      <c r="E78">
        <v>1</v>
      </c>
      <c r="F78">
        <v>1</v>
      </c>
      <c r="G78">
        <v>1</v>
      </c>
      <c r="H78">
        <v>1</v>
      </c>
      <c r="I78">
        <v>1</v>
      </c>
      <c r="J78">
        <v>1</v>
      </c>
      <c r="K78">
        <v>0</v>
      </c>
      <c r="L78">
        <v>1</v>
      </c>
      <c r="M78">
        <v>1</v>
      </c>
      <c r="N78">
        <v>1</v>
      </c>
      <c r="O78">
        <v>1</v>
      </c>
      <c r="P78" t="s">
        <v>109</v>
      </c>
    </row>
    <row r="79" spans="1:16" x14ac:dyDescent="0.25">
      <c r="A79" t="s">
        <v>96</v>
      </c>
      <c r="B79" t="s">
        <v>61</v>
      </c>
      <c r="C79">
        <v>0</v>
      </c>
      <c r="D79">
        <v>2.6883773803710942</v>
      </c>
      <c r="E79">
        <v>1</v>
      </c>
      <c r="F79">
        <v>1</v>
      </c>
      <c r="G79">
        <v>1</v>
      </c>
      <c r="H79">
        <v>1</v>
      </c>
      <c r="I79">
        <v>1</v>
      </c>
      <c r="J79">
        <v>1</v>
      </c>
      <c r="K79">
        <v>1</v>
      </c>
      <c r="L79">
        <v>1</v>
      </c>
      <c r="M79">
        <v>1</v>
      </c>
      <c r="N79">
        <v>1</v>
      </c>
      <c r="O79">
        <v>1</v>
      </c>
    </row>
    <row r="80" spans="1:16" x14ac:dyDescent="0.25">
      <c r="A80" t="s">
        <v>96</v>
      </c>
      <c r="B80" t="s">
        <v>63</v>
      </c>
      <c r="C80">
        <v>0</v>
      </c>
      <c r="D80">
        <v>6.8504223823547363</v>
      </c>
      <c r="E80">
        <v>1</v>
      </c>
      <c r="F80">
        <v>1</v>
      </c>
      <c r="G80">
        <v>0</v>
      </c>
      <c r="H80" t="s">
        <v>20</v>
      </c>
      <c r="I80">
        <v>1</v>
      </c>
      <c r="J80">
        <v>1</v>
      </c>
      <c r="K80">
        <v>1</v>
      </c>
      <c r="L80">
        <v>1</v>
      </c>
      <c r="M80">
        <v>1</v>
      </c>
      <c r="N80">
        <v>1</v>
      </c>
      <c r="O80">
        <v>1</v>
      </c>
      <c r="P80" t="s">
        <v>110</v>
      </c>
    </row>
    <row r="81" spans="1:16" x14ac:dyDescent="0.25">
      <c r="A81" t="s">
        <v>96</v>
      </c>
      <c r="B81" t="s">
        <v>65</v>
      </c>
      <c r="C81">
        <v>0</v>
      </c>
      <c r="D81">
        <v>9.6534123420715332</v>
      </c>
      <c r="E81">
        <v>1</v>
      </c>
      <c r="F81">
        <v>1</v>
      </c>
      <c r="G81">
        <v>1</v>
      </c>
      <c r="H81">
        <v>1</v>
      </c>
      <c r="I81">
        <v>1</v>
      </c>
      <c r="J81">
        <v>1</v>
      </c>
      <c r="K81">
        <v>1</v>
      </c>
      <c r="L81">
        <v>1</v>
      </c>
      <c r="M81">
        <v>1</v>
      </c>
      <c r="N81">
        <v>1</v>
      </c>
      <c r="O81">
        <v>1</v>
      </c>
    </row>
    <row r="82" spans="1:16" x14ac:dyDescent="0.25">
      <c r="A82" t="s">
        <v>96</v>
      </c>
      <c r="B82" t="s">
        <v>67</v>
      </c>
      <c r="C82">
        <v>0</v>
      </c>
      <c r="D82">
        <v>12.72428297996521</v>
      </c>
      <c r="E82">
        <v>1</v>
      </c>
      <c r="F82">
        <v>1</v>
      </c>
      <c r="G82">
        <v>1</v>
      </c>
      <c r="H82">
        <v>0</v>
      </c>
      <c r="I82">
        <v>1</v>
      </c>
      <c r="J82">
        <v>1</v>
      </c>
      <c r="K82">
        <v>1</v>
      </c>
      <c r="L82">
        <v>1</v>
      </c>
      <c r="M82">
        <v>1</v>
      </c>
      <c r="N82">
        <v>1</v>
      </c>
      <c r="O82">
        <v>1</v>
      </c>
      <c r="P82" t="s">
        <v>111</v>
      </c>
    </row>
    <row r="83" spans="1:16" x14ac:dyDescent="0.25">
      <c r="A83" t="s">
        <v>96</v>
      </c>
      <c r="B83" t="s">
        <v>69</v>
      </c>
      <c r="C83">
        <v>0</v>
      </c>
      <c r="D83">
        <v>11.87717032432556</v>
      </c>
      <c r="E83">
        <v>1</v>
      </c>
      <c r="F83">
        <v>1</v>
      </c>
      <c r="G83">
        <v>0</v>
      </c>
      <c r="H83" t="s">
        <v>20</v>
      </c>
      <c r="I83">
        <v>1</v>
      </c>
      <c r="J83">
        <v>1</v>
      </c>
      <c r="K83">
        <v>1</v>
      </c>
      <c r="L83">
        <v>1</v>
      </c>
      <c r="M83">
        <v>1</v>
      </c>
      <c r="N83">
        <v>1</v>
      </c>
      <c r="O83">
        <v>1</v>
      </c>
      <c r="P83" t="s">
        <v>112</v>
      </c>
    </row>
    <row r="84" spans="1:16" x14ac:dyDescent="0.25">
      <c r="A84" t="s">
        <v>96</v>
      </c>
      <c r="B84" t="s">
        <v>71</v>
      </c>
      <c r="C84">
        <v>0</v>
      </c>
      <c r="D84">
        <v>4.9677479267120361</v>
      </c>
      <c r="E84">
        <v>1</v>
      </c>
      <c r="F84">
        <v>1</v>
      </c>
      <c r="G84">
        <v>1</v>
      </c>
      <c r="H84">
        <v>0</v>
      </c>
      <c r="I84">
        <v>1</v>
      </c>
      <c r="J84">
        <v>1</v>
      </c>
      <c r="K84">
        <v>1</v>
      </c>
      <c r="L84">
        <v>1</v>
      </c>
      <c r="M84">
        <v>1</v>
      </c>
      <c r="N84">
        <v>1</v>
      </c>
      <c r="O84">
        <v>1</v>
      </c>
      <c r="P84" t="s">
        <v>113</v>
      </c>
    </row>
    <row r="85" spans="1:16" x14ac:dyDescent="0.25">
      <c r="A85" t="s">
        <v>96</v>
      </c>
      <c r="B85" t="s">
        <v>72</v>
      </c>
      <c r="C85">
        <v>0</v>
      </c>
      <c r="D85">
        <v>2.6641240119934082</v>
      </c>
      <c r="E85">
        <v>1</v>
      </c>
      <c r="F85">
        <v>1</v>
      </c>
      <c r="G85">
        <v>1</v>
      </c>
      <c r="H85">
        <v>1</v>
      </c>
      <c r="I85">
        <v>1</v>
      </c>
      <c r="J85">
        <v>1</v>
      </c>
      <c r="K85">
        <v>1</v>
      </c>
      <c r="L85">
        <v>1</v>
      </c>
      <c r="M85">
        <v>1</v>
      </c>
      <c r="N85">
        <v>1</v>
      </c>
      <c r="O85">
        <v>1</v>
      </c>
    </row>
    <row r="86" spans="1:16" x14ac:dyDescent="0.25">
      <c r="A86" t="s">
        <v>96</v>
      </c>
      <c r="B86" t="s">
        <v>73</v>
      </c>
      <c r="C86">
        <v>0</v>
      </c>
      <c r="D86">
        <v>11.12737679481506</v>
      </c>
      <c r="E86">
        <v>1</v>
      </c>
      <c r="F86">
        <v>1</v>
      </c>
      <c r="G86">
        <v>0</v>
      </c>
      <c r="H86" t="s">
        <v>20</v>
      </c>
      <c r="I86">
        <v>1</v>
      </c>
      <c r="J86">
        <v>1</v>
      </c>
      <c r="K86">
        <v>1</v>
      </c>
      <c r="L86">
        <v>1</v>
      </c>
      <c r="M86">
        <v>1</v>
      </c>
      <c r="N86">
        <v>1</v>
      </c>
      <c r="O86">
        <v>1</v>
      </c>
      <c r="P86" t="s">
        <v>114</v>
      </c>
    </row>
    <row r="87" spans="1:16" x14ac:dyDescent="0.25">
      <c r="A87" t="s">
        <v>96</v>
      </c>
      <c r="B87" t="s">
        <v>75</v>
      </c>
      <c r="C87">
        <v>0</v>
      </c>
      <c r="D87">
        <v>2.73993968963623</v>
      </c>
      <c r="E87">
        <v>1</v>
      </c>
      <c r="F87">
        <v>1</v>
      </c>
      <c r="G87">
        <v>1</v>
      </c>
      <c r="H87">
        <v>1</v>
      </c>
      <c r="I87">
        <v>1</v>
      </c>
      <c r="J87">
        <v>1</v>
      </c>
      <c r="K87">
        <v>1</v>
      </c>
      <c r="L87">
        <v>1</v>
      </c>
      <c r="M87">
        <v>1</v>
      </c>
      <c r="N87">
        <v>1</v>
      </c>
      <c r="O87">
        <v>1</v>
      </c>
    </row>
    <row r="88" spans="1:16" x14ac:dyDescent="0.25">
      <c r="A88" t="s">
        <v>96</v>
      </c>
      <c r="B88" t="s">
        <v>77</v>
      </c>
      <c r="C88">
        <v>0</v>
      </c>
      <c r="D88">
        <v>2.877941370010376</v>
      </c>
      <c r="E88">
        <v>1</v>
      </c>
      <c r="F88">
        <v>1</v>
      </c>
      <c r="G88">
        <v>1</v>
      </c>
      <c r="H88">
        <v>1</v>
      </c>
      <c r="I88">
        <v>1</v>
      </c>
      <c r="J88">
        <v>1</v>
      </c>
      <c r="K88">
        <v>1</v>
      </c>
      <c r="L88">
        <v>1</v>
      </c>
      <c r="M88">
        <v>1</v>
      </c>
      <c r="N88">
        <v>1</v>
      </c>
      <c r="O88">
        <v>1</v>
      </c>
    </row>
    <row r="89" spans="1:16" x14ac:dyDescent="0.25">
      <c r="A89" t="s">
        <v>96</v>
      </c>
      <c r="B89" t="s">
        <v>78</v>
      </c>
      <c r="C89">
        <v>0</v>
      </c>
      <c r="D89">
        <v>2.75998854637146</v>
      </c>
      <c r="E89">
        <v>1</v>
      </c>
      <c r="F89">
        <v>1</v>
      </c>
      <c r="G89">
        <v>1</v>
      </c>
      <c r="H89">
        <v>1</v>
      </c>
      <c r="I89">
        <v>1</v>
      </c>
      <c r="J89">
        <v>1</v>
      </c>
      <c r="K89">
        <v>1</v>
      </c>
      <c r="L89">
        <v>1</v>
      </c>
      <c r="M89">
        <v>1</v>
      </c>
      <c r="N89">
        <v>1</v>
      </c>
      <c r="O89">
        <v>1</v>
      </c>
    </row>
    <row r="90" spans="1:16" x14ac:dyDescent="0.25">
      <c r="A90" t="s">
        <v>96</v>
      </c>
      <c r="B90" t="s">
        <v>80</v>
      </c>
      <c r="C90">
        <v>0</v>
      </c>
      <c r="D90">
        <v>2.7622742652893071</v>
      </c>
      <c r="E90">
        <v>1</v>
      </c>
      <c r="F90">
        <v>1</v>
      </c>
      <c r="G90">
        <v>1</v>
      </c>
      <c r="H90">
        <v>1</v>
      </c>
      <c r="I90">
        <v>1</v>
      </c>
      <c r="J90">
        <v>1</v>
      </c>
      <c r="K90">
        <v>1</v>
      </c>
      <c r="L90">
        <v>1</v>
      </c>
      <c r="M90">
        <v>1</v>
      </c>
      <c r="N90">
        <v>1</v>
      </c>
      <c r="O90">
        <v>1</v>
      </c>
    </row>
    <row r="91" spans="1:16" x14ac:dyDescent="0.25">
      <c r="A91" t="s">
        <v>96</v>
      </c>
      <c r="B91" t="s">
        <v>82</v>
      </c>
      <c r="C91">
        <v>0</v>
      </c>
      <c r="D91">
        <v>2.7742493152618408</v>
      </c>
      <c r="E91">
        <v>1</v>
      </c>
      <c r="F91">
        <v>1</v>
      </c>
      <c r="G91">
        <v>1</v>
      </c>
      <c r="H91">
        <v>1</v>
      </c>
      <c r="I91">
        <v>1</v>
      </c>
      <c r="J91">
        <v>1</v>
      </c>
      <c r="K91">
        <v>1</v>
      </c>
      <c r="L91">
        <v>1</v>
      </c>
      <c r="M91">
        <v>1</v>
      </c>
      <c r="N91">
        <v>1</v>
      </c>
      <c r="O91">
        <v>1</v>
      </c>
    </row>
    <row r="92" spans="1:16" x14ac:dyDescent="0.25">
      <c r="A92" t="s">
        <v>96</v>
      </c>
      <c r="B92" t="s">
        <v>84</v>
      </c>
      <c r="C92">
        <v>0</v>
      </c>
      <c r="D92">
        <v>11.8612961769104</v>
      </c>
      <c r="E92">
        <v>0</v>
      </c>
      <c r="F92" t="s">
        <v>20</v>
      </c>
      <c r="G92" t="s">
        <v>20</v>
      </c>
      <c r="H92" t="s">
        <v>20</v>
      </c>
      <c r="I92" t="s">
        <v>20</v>
      </c>
      <c r="J92" t="s">
        <v>20</v>
      </c>
      <c r="K92" t="s">
        <v>20</v>
      </c>
      <c r="L92" t="s">
        <v>20</v>
      </c>
      <c r="M92" t="s">
        <v>20</v>
      </c>
      <c r="N92" t="s">
        <v>20</v>
      </c>
      <c r="O92" t="s">
        <v>20</v>
      </c>
      <c r="P92" t="s">
        <v>115</v>
      </c>
    </row>
    <row r="93" spans="1:16" x14ac:dyDescent="0.25">
      <c r="A93" t="s">
        <v>96</v>
      </c>
      <c r="B93" t="s">
        <v>85</v>
      </c>
      <c r="C93">
        <v>0</v>
      </c>
      <c r="D93">
        <v>12.191471815109249</v>
      </c>
      <c r="E93">
        <v>1</v>
      </c>
      <c r="F93">
        <v>1</v>
      </c>
      <c r="G93">
        <v>1</v>
      </c>
      <c r="H93">
        <v>1</v>
      </c>
      <c r="I93">
        <v>1</v>
      </c>
      <c r="J93">
        <v>0</v>
      </c>
      <c r="K93">
        <v>1</v>
      </c>
      <c r="L93">
        <v>1</v>
      </c>
      <c r="M93">
        <v>1</v>
      </c>
      <c r="N93">
        <v>1</v>
      </c>
      <c r="O93">
        <v>1</v>
      </c>
      <c r="P93" t="s">
        <v>116</v>
      </c>
    </row>
    <row r="94" spans="1:16" x14ac:dyDescent="0.25">
      <c r="A94" t="s">
        <v>96</v>
      </c>
      <c r="B94" t="s">
        <v>87</v>
      </c>
      <c r="C94">
        <v>0</v>
      </c>
      <c r="D94">
        <v>4.9100453853607178</v>
      </c>
      <c r="E94">
        <v>1</v>
      </c>
      <c r="F94">
        <v>1</v>
      </c>
      <c r="G94">
        <v>1</v>
      </c>
      <c r="H94">
        <v>1</v>
      </c>
      <c r="I94">
        <v>1</v>
      </c>
      <c r="J94">
        <v>0</v>
      </c>
      <c r="K94">
        <v>1</v>
      </c>
      <c r="L94">
        <v>1</v>
      </c>
      <c r="M94">
        <v>1</v>
      </c>
      <c r="N94">
        <v>1</v>
      </c>
      <c r="O94">
        <v>1</v>
      </c>
      <c r="P94" t="s">
        <v>117</v>
      </c>
    </row>
    <row r="95" spans="1:16" x14ac:dyDescent="0.25">
      <c r="A95" t="s">
        <v>96</v>
      </c>
      <c r="B95" t="s">
        <v>89</v>
      </c>
      <c r="C95">
        <v>0</v>
      </c>
      <c r="D95">
        <v>11.8399064540863</v>
      </c>
      <c r="E95">
        <v>1</v>
      </c>
      <c r="F95">
        <v>1</v>
      </c>
      <c r="G95">
        <v>1</v>
      </c>
      <c r="H95">
        <v>1</v>
      </c>
      <c r="I95">
        <v>1</v>
      </c>
      <c r="J95">
        <v>0</v>
      </c>
      <c r="K95">
        <v>1</v>
      </c>
      <c r="L95">
        <v>1</v>
      </c>
      <c r="M95">
        <v>1</v>
      </c>
      <c r="N95">
        <v>1</v>
      </c>
      <c r="O95">
        <v>1</v>
      </c>
      <c r="P95" t="s">
        <v>118</v>
      </c>
    </row>
    <row r="96" spans="1:16" x14ac:dyDescent="0.25">
      <c r="A96" t="s">
        <v>96</v>
      </c>
      <c r="B96" t="s">
        <v>91</v>
      </c>
      <c r="C96">
        <v>0</v>
      </c>
      <c r="D96">
        <v>7.7105822563171387</v>
      </c>
      <c r="E96">
        <v>1</v>
      </c>
      <c r="F96">
        <v>1</v>
      </c>
      <c r="G96">
        <v>1</v>
      </c>
      <c r="H96">
        <v>1</v>
      </c>
      <c r="I96">
        <v>1</v>
      </c>
      <c r="J96">
        <v>0</v>
      </c>
      <c r="K96">
        <v>1</v>
      </c>
      <c r="L96">
        <v>1</v>
      </c>
      <c r="M96">
        <v>1</v>
      </c>
      <c r="N96">
        <v>1</v>
      </c>
      <c r="O96">
        <v>1</v>
      </c>
      <c r="P96" t="s">
        <v>119</v>
      </c>
    </row>
    <row r="97" spans="1:16" x14ac:dyDescent="0.25">
      <c r="A97" t="s">
        <v>96</v>
      </c>
      <c r="B97" t="s">
        <v>92</v>
      </c>
      <c r="C97">
        <v>0</v>
      </c>
      <c r="D97">
        <v>5.7530419826507568</v>
      </c>
      <c r="E97">
        <v>1</v>
      </c>
      <c r="F97">
        <v>1</v>
      </c>
      <c r="G97">
        <v>1</v>
      </c>
      <c r="H97">
        <v>0</v>
      </c>
      <c r="I97">
        <v>1</v>
      </c>
      <c r="J97">
        <v>1</v>
      </c>
      <c r="K97">
        <v>1</v>
      </c>
      <c r="L97">
        <v>1</v>
      </c>
      <c r="M97">
        <v>1</v>
      </c>
      <c r="N97">
        <v>1</v>
      </c>
      <c r="O97">
        <v>1</v>
      </c>
      <c r="P97" t="s">
        <v>120</v>
      </c>
    </row>
    <row r="98" spans="1:16" x14ac:dyDescent="0.25">
      <c r="A98" t="s">
        <v>96</v>
      </c>
      <c r="B98" t="s">
        <v>94</v>
      </c>
      <c r="C98">
        <v>0</v>
      </c>
      <c r="D98">
        <v>10.280764102935789</v>
      </c>
      <c r="E98">
        <v>1</v>
      </c>
      <c r="F98">
        <v>1</v>
      </c>
      <c r="G98">
        <v>1</v>
      </c>
      <c r="H98">
        <v>1</v>
      </c>
      <c r="I98">
        <v>1</v>
      </c>
      <c r="J98">
        <v>1</v>
      </c>
      <c r="K98">
        <v>1</v>
      </c>
      <c r="L98">
        <v>1</v>
      </c>
      <c r="M98">
        <v>1</v>
      </c>
      <c r="N98">
        <v>1</v>
      </c>
      <c r="O98">
        <v>1</v>
      </c>
    </row>
    <row r="99" spans="1:16" x14ac:dyDescent="0.25">
      <c r="A99" t="s">
        <v>96</v>
      </c>
      <c r="B99" t="s">
        <v>95</v>
      </c>
      <c r="C99">
        <v>0</v>
      </c>
      <c r="D99">
        <v>2.5535082817077641</v>
      </c>
      <c r="E99">
        <v>1</v>
      </c>
      <c r="F99">
        <v>1</v>
      </c>
      <c r="G99">
        <v>1</v>
      </c>
      <c r="H99">
        <v>1</v>
      </c>
      <c r="I99">
        <v>1</v>
      </c>
      <c r="J99">
        <v>1</v>
      </c>
      <c r="K99">
        <v>1</v>
      </c>
      <c r="L99">
        <v>1</v>
      </c>
      <c r="M99">
        <v>1</v>
      </c>
      <c r="N99">
        <v>1</v>
      </c>
      <c r="O99">
        <v>1</v>
      </c>
    </row>
    <row r="100" spans="1:16" x14ac:dyDescent="0.25">
      <c r="A100" t="s">
        <v>96</v>
      </c>
      <c r="B100" t="s">
        <v>121</v>
      </c>
      <c r="C100">
        <v>0</v>
      </c>
      <c r="D100">
        <v>2.6649584770202641</v>
      </c>
      <c r="E100">
        <v>1</v>
      </c>
      <c r="F100">
        <v>1</v>
      </c>
      <c r="G100">
        <v>1</v>
      </c>
      <c r="H100">
        <v>1</v>
      </c>
      <c r="I100">
        <v>1</v>
      </c>
      <c r="J100">
        <v>1</v>
      </c>
      <c r="K100">
        <v>1</v>
      </c>
      <c r="L100">
        <v>1</v>
      </c>
      <c r="M100">
        <v>1</v>
      </c>
      <c r="N100">
        <v>1</v>
      </c>
      <c r="O100">
        <v>1</v>
      </c>
    </row>
    <row r="101" spans="1:16" x14ac:dyDescent="0.25">
      <c r="A101" t="s">
        <v>96</v>
      </c>
      <c r="B101" t="s">
        <v>122</v>
      </c>
      <c r="C101">
        <v>0</v>
      </c>
      <c r="D101">
        <v>10.57585740089417</v>
      </c>
      <c r="E101">
        <v>1</v>
      </c>
      <c r="F101">
        <v>1</v>
      </c>
      <c r="G101">
        <v>0</v>
      </c>
      <c r="H101" t="s">
        <v>20</v>
      </c>
      <c r="I101">
        <v>1</v>
      </c>
      <c r="J101">
        <v>1</v>
      </c>
      <c r="K101">
        <v>1</v>
      </c>
      <c r="L101">
        <v>1</v>
      </c>
      <c r="M101">
        <v>1</v>
      </c>
      <c r="N101">
        <v>1</v>
      </c>
      <c r="O101">
        <v>1</v>
      </c>
      <c r="P101" t="s">
        <v>123</v>
      </c>
    </row>
    <row r="102" spans="1:16" x14ac:dyDescent="0.25">
      <c r="A102" t="s">
        <v>96</v>
      </c>
      <c r="B102" t="s">
        <v>124</v>
      </c>
      <c r="C102">
        <v>0</v>
      </c>
      <c r="D102">
        <v>10.18378829956055</v>
      </c>
      <c r="E102">
        <v>1</v>
      </c>
      <c r="F102">
        <v>1</v>
      </c>
      <c r="G102">
        <v>1</v>
      </c>
      <c r="H102">
        <v>1</v>
      </c>
      <c r="I102">
        <v>1</v>
      </c>
      <c r="J102">
        <v>0</v>
      </c>
      <c r="K102">
        <v>1</v>
      </c>
      <c r="L102">
        <v>1</v>
      </c>
      <c r="M102">
        <v>1</v>
      </c>
      <c r="N102">
        <v>1</v>
      </c>
      <c r="O102">
        <v>1</v>
      </c>
      <c r="P102" t="s">
        <v>125</v>
      </c>
    </row>
    <row r="103" spans="1:16" x14ac:dyDescent="0.25">
      <c r="A103" t="s">
        <v>96</v>
      </c>
      <c r="B103" t="s">
        <v>126</v>
      </c>
      <c r="C103">
        <v>0</v>
      </c>
      <c r="D103">
        <v>9.649125337600708</v>
      </c>
      <c r="E103">
        <v>1</v>
      </c>
      <c r="F103">
        <v>1</v>
      </c>
      <c r="G103">
        <v>1</v>
      </c>
      <c r="H103">
        <v>1</v>
      </c>
      <c r="I103">
        <v>1</v>
      </c>
      <c r="J103">
        <v>1</v>
      </c>
      <c r="K103">
        <v>1</v>
      </c>
      <c r="L103">
        <v>1</v>
      </c>
      <c r="M103">
        <v>1</v>
      </c>
      <c r="N103">
        <v>1</v>
      </c>
      <c r="O103">
        <v>1</v>
      </c>
    </row>
    <row r="104" spans="1:16" x14ac:dyDescent="0.25">
      <c r="A104" t="s">
        <v>96</v>
      </c>
      <c r="B104" t="s">
        <v>127</v>
      </c>
      <c r="C104">
        <v>0</v>
      </c>
      <c r="D104">
        <v>5.1362037658691406</v>
      </c>
      <c r="E104">
        <v>1</v>
      </c>
      <c r="F104">
        <v>1</v>
      </c>
      <c r="G104">
        <v>1</v>
      </c>
      <c r="H104">
        <v>0</v>
      </c>
      <c r="I104">
        <v>1</v>
      </c>
      <c r="J104">
        <v>0</v>
      </c>
      <c r="K104">
        <v>1</v>
      </c>
      <c r="L104">
        <v>1</v>
      </c>
      <c r="M104">
        <v>1</v>
      </c>
      <c r="N104">
        <v>1</v>
      </c>
      <c r="O104">
        <v>1</v>
      </c>
      <c r="P104" t="s">
        <v>128</v>
      </c>
    </row>
    <row r="105" spans="1:16" x14ac:dyDescent="0.25">
      <c r="A105" t="s">
        <v>96</v>
      </c>
      <c r="B105" t="s">
        <v>129</v>
      </c>
      <c r="C105">
        <v>0</v>
      </c>
      <c r="D105">
        <v>4.5116434097290039</v>
      </c>
      <c r="E105">
        <v>1</v>
      </c>
      <c r="F105">
        <v>1</v>
      </c>
      <c r="G105">
        <v>1</v>
      </c>
      <c r="H105">
        <v>0</v>
      </c>
      <c r="I105">
        <v>1</v>
      </c>
      <c r="J105">
        <v>1</v>
      </c>
      <c r="K105">
        <v>1</v>
      </c>
      <c r="L105">
        <v>1</v>
      </c>
      <c r="M105">
        <v>1</v>
      </c>
      <c r="N105">
        <v>1</v>
      </c>
      <c r="O105">
        <v>1</v>
      </c>
      <c r="P105" t="s">
        <v>130</v>
      </c>
    </row>
    <row r="106" spans="1:16" x14ac:dyDescent="0.25">
      <c r="A106" t="s">
        <v>96</v>
      </c>
      <c r="B106" t="s">
        <v>131</v>
      </c>
      <c r="C106">
        <v>0</v>
      </c>
      <c r="D106">
        <v>10.57914042472839</v>
      </c>
      <c r="E106">
        <v>0</v>
      </c>
      <c r="F106" t="s">
        <v>20</v>
      </c>
      <c r="G106" t="s">
        <v>20</v>
      </c>
      <c r="H106" t="s">
        <v>20</v>
      </c>
      <c r="I106" t="s">
        <v>20</v>
      </c>
      <c r="J106" t="s">
        <v>20</v>
      </c>
      <c r="K106" t="s">
        <v>20</v>
      </c>
      <c r="L106" t="s">
        <v>20</v>
      </c>
      <c r="M106" t="s">
        <v>20</v>
      </c>
      <c r="N106" t="s">
        <v>20</v>
      </c>
      <c r="O106" t="s">
        <v>20</v>
      </c>
      <c r="P106" t="s">
        <v>132</v>
      </c>
    </row>
    <row r="107" spans="1:16" x14ac:dyDescent="0.25">
      <c r="A107" t="s">
        <v>96</v>
      </c>
      <c r="B107" t="s">
        <v>133</v>
      </c>
      <c r="C107">
        <v>0</v>
      </c>
      <c r="D107">
        <v>5.4700756072998047</v>
      </c>
      <c r="E107">
        <v>1</v>
      </c>
      <c r="F107">
        <v>1</v>
      </c>
      <c r="G107">
        <v>1</v>
      </c>
      <c r="H107">
        <v>1</v>
      </c>
      <c r="I107">
        <v>1</v>
      </c>
      <c r="J107">
        <v>1</v>
      </c>
      <c r="K107">
        <v>0</v>
      </c>
      <c r="L107">
        <v>1</v>
      </c>
      <c r="M107">
        <v>1</v>
      </c>
      <c r="N107">
        <v>1</v>
      </c>
      <c r="O107">
        <v>1</v>
      </c>
      <c r="P107" t="s">
        <v>134</v>
      </c>
    </row>
    <row r="108" spans="1:16" x14ac:dyDescent="0.25">
      <c r="A108" t="s">
        <v>96</v>
      </c>
      <c r="B108" t="s">
        <v>135</v>
      </c>
      <c r="C108">
        <v>0</v>
      </c>
      <c r="D108">
        <v>9.21929931640625</v>
      </c>
      <c r="E108">
        <v>1</v>
      </c>
      <c r="F108">
        <v>1</v>
      </c>
      <c r="G108">
        <v>1</v>
      </c>
      <c r="H108">
        <v>1</v>
      </c>
      <c r="I108">
        <v>1</v>
      </c>
      <c r="J108">
        <v>1</v>
      </c>
      <c r="K108">
        <v>1</v>
      </c>
      <c r="L108">
        <v>1</v>
      </c>
      <c r="M108">
        <v>1</v>
      </c>
      <c r="N108">
        <v>1</v>
      </c>
      <c r="O108">
        <v>1</v>
      </c>
    </row>
    <row r="109" spans="1:16" x14ac:dyDescent="0.25">
      <c r="A109" t="s">
        <v>96</v>
      </c>
      <c r="B109" t="s">
        <v>136</v>
      </c>
      <c r="C109">
        <v>0</v>
      </c>
      <c r="D109">
        <v>2.699919700622559</v>
      </c>
      <c r="E109">
        <v>1</v>
      </c>
      <c r="F109">
        <v>1</v>
      </c>
      <c r="G109">
        <v>1</v>
      </c>
      <c r="H109">
        <v>1</v>
      </c>
      <c r="I109">
        <v>1</v>
      </c>
      <c r="J109">
        <v>1</v>
      </c>
      <c r="K109">
        <v>1</v>
      </c>
      <c r="L109">
        <v>1</v>
      </c>
      <c r="M109">
        <v>1</v>
      </c>
      <c r="N109">
        <v>1</v>
      </c>
      <c r="O109">
        <v>1</v>
      </c>
    </row>
    <row r="110" spans="1:16" x14ac:dyDescent="0.25">
      <c r="A110" t="s">
        <v>96</v>
      </c>
      <c r="B110" t="s">
        <v>137</v>
      </c>
      <c r="C110">
        <v>0</v>
      </c>
      <c r="D110">
        <v>8.4999008178710938</v>
      </c>
      <c r="E110">
        <v>1</v>
      </c>
      <c r="F110">
        <v>1</v>
      </c>
      <c r="G110">
        <v>1</v>
      </c>
      <c r="H110">
        <v>1</v>
      </c>
      <c r="I110">
        <v>1</v>
      </c>
      <c r="J110">
        <v>1</v>
      </c>
      <c r="K110">
        <v>1</v>
      </c>
      <c r="L110">
        <v>1</v>
      </c>
      <c r="M110">
        <v>1</v>
      </c>
      <c r="N110">
        <v>1</v>
      </c>
      <c r="O110">
        <v>1</v>
      </c>
    </row>
    <row r="111" spans="1:16" x14ac:dyDescent="0.25">
      <c r="A111" t="s">
        <v>96</v>
      </c>
      <c r="B111" t="s">
        <v>138</v>
      </c>
      <c r="C111">
        <v>0</v>
      </c>
      <c r="D111">
        <v>4.3308444023132324</v>
      </c>
      <c r="E111">
        <v>1</v>
      </c>
      <c r="F111">
        <v>1</v>
      </c>
      <c r="G111">
        <v>1</v>
      </c>
      <c r="H111">
        <v>1</v>
      </c>
      <c r="I111">
        <v>1</v>
      </c>
      <c r="J111">
        <v>0</v>
      </c>
      <c r="K111">
        <v>1</v>
      </c>
      <c r="L111">
        <v>1</v>
      </c>
      <c r="M111">
        <v>1</v>
      </c>
      <c r="N111">
        <v>1</v>
      </c>
      <c r="O111">
        <v>1</v>
      </c>
      <c r="P111" t="s">
        <v>139</v>
      </c>
    </row>
    <row r="112" spans="1:16" x14ac:dyDescent="0.25">
      <c r="A112" t="s">
        <v>96</v>
      </c>
      <c r="B112" t="s">
        <v>140</v>
      </c>
      <c r="C112">
        <v>0</v>
      </c>
      <c r="D112">
        <v>2.8205528259277339</v>
      </c>
      <c r="E112">
        <v>1</v>
      </c>
      <c r="F112">
        <v>1</v>
      </c>
      <c r="G112">
        <v>1</v>
      </c>
      <c r="H112">
        <v>1</v>
      </c>
      <c r="I112">
        <v>1</v>
      </c>
      <c r="J112">
        <v>1</v>
      </c>
      <c r="K112">
        <v>1</v>
      </c>
      <c r="L112">
        <v>1</v>
      </c>
      <c r="M112">
        <v>1</v>
      </c>
      <c r="N112">
        <v>1</v>
      </c>
      <c r="O112">
        <v>1</v>
      </c>
    </row>
    <row r="113" spans="1:16" x14ac:dyDescent="0.25">
      <c r="A113" t="s">
        <v>96</v>
      </c>
      <c r="B113" t="s">
        <v>141</v>
      </c>
      <c r="C113">
        <v>0</v>
      </c>
      <c r="D113">
        <v>4.9242892265319824</v>
      </c>
      <c r="E113">
        <v>1</v>
      </c>
      <c r="F113">
        <v>1</v>
      </c>
      <c r="G113">
        <v>1</v>
      </c>
      <c r="H113">
        <v>1</v>
      </c>
      <c r="I113">
        <v>1</v>
      </c>
      <c r="J113">
        <v>0</v>
      </c>
      <c r="K113">
        <v>1</v>
      </c>
      <c r="L113">
        <v>1</v>
      </c>
      <c r="M113">
        <v>1</v>
      </c>
      <c r="N113">
        <v>1</v>
      </c>
      <c r="O113">
        <v>1</v>
      </c>
      <c r="P113" t="s">
        <v>142</v>
      </c>
    </row>
    <row r="114" spans="1:16" x14ac:dyDescent="0.25">
      <c r="A114" t="s">
        <v>143</v>
      </c>
      <c r="B114" t="s">
        <v>17</v>
      </c>
      <c r="C114">
        <v>0</v>
      </c>
      <c r="D114">
        <v>2.7083144187927251</v>
      </c>
      <c r="E114">
        <v>1</v>
      </c>
      <c r="F114">
        <v>1</v>
      </c>
      <c r="G114">
        <v>1</v>
      </c>
      <c r="H114">
        <v>1</v>
      </c>
      <c r="I114">
        <v>1</v>
      </c>
      <c r="J114">
        <v>1</v>
      </c>
      <c r="K114">
        <v>1</v>
      </c>
      <c r="L114">
        <v>1</v>
      </c>
      <c r="M114">
        <v>1</v>
      </c>
      <c r="N114">
        <v>1</v>
      </c>
      <c r="O114">
        <v>1</v>
      </c>
    </row>
    <row r="115" spans="1:16" x14ac:dyDescent="0.25">
      <c r="A115" t="s">
        <v>143</v>
      </c>
      <c r="B115" t="s">
        <v>18</v>
      </c>
      <c r="C115">
        <v>0</v>
      </c>
      <c r="D115">
        <v>6.4182789325714111</v>
      </c>
      <c r="E115">
        <v>1</v>
      </c>
      <c r="F115">
        <v>1</v>
      </c>
      <c r="G115">
        <v>1</v>
      </c>
      <c r="H115">
        <v>1</v>
      </c>
      <c r="I115">
        <v>1</v>
      </c>
      <c r="J115">
        <v>0</v>
      </c>
      <c r="K115">
        <v>1</v>
      </c>
      <c r="L115">
        <v>1</v>
      </c>
      <c r="M115">
        <v>1</v>
      </c>
      <c r="N115">
        <v>1</v>
      </c>
      <c r="O115">
        <v>1</v>
      </c>
      <c r="P115" t="s">
        <v>144</v>
      </c>
    </row>
    <row r="116" spans="1:16" x14ac:dyDescent="0.25">
      <c r="A116" t="s">
        <v>143</v>
      </c>
      <c r="B116" t="s">
        <v>19</v>
      </c>
      <c r="C116">
        <v>0</v>
      </c>
      <c r="D116">
        <v>9.1964144706726074</v>
      </c>
      <c r="E116">
        <v>1</v>
      </c>
      <c r="F116">
        <v>1</v>
      </c>
      <c r="G116">
        <v>1</v>
      </c>
      <c r="H116">
        <v>1</v>
      </c>
      <c r="I116">
        <v>1</v>
      </c>
      <c r="J116">
        <v>1</v>
      </c>
      <c r="K116">
        <v>1</v>
      </c>
      <c r="L116">
        <v>1</v>
      </c>
      <c r="M116">
        <v>1</v>
      </c>
      <c r="N116">
        <v>1</v>
      </c>
      <c r="O116">
        <v>1</v>
      </c>
    </row>
    <row r="117" spans="1:16" x14ac:dyDescent="0.25">
      <c r="A117" t="s">
        <v>143</v>
      </c>
      <c r="B117" t="s">
        <v>22</v>
      </c>
      <c r="C117">
        <v>0</v>
      </c>
      <c r="D117">
        <v>4.485914945602417</v>
      </c>
      <c r="E117">
        <v>1</v>
      </c>
      <c r="F117">
        <v>1</v>
      </c>
      <c r="G117">
        <v>1</v>
      </c>
      <c r="H117">
        <v>1</v>
      </c>
      <c r="I117">
        <v>1</v>
      </c>
      <c r="J117">
        <v>0</v>
      </c>
      <c r="K117">
        <v>1</v>
      </c>
      <c r="L117">
        <v>1</v>
      </c>
      <c r="M117">
        <v>1</v>
      </c>
      <c r="N117">
        <v>1</v>
      </c>
      <c r="O117">
        <v>1</v>
      </c>
      <c r="P117" t="s">
        <v>145</v>
      </c>
    </row>
    <row r="118" spans="1:16" x14ac:dyDescent="0.25">
      <c r="A118" t="s">
        <v>143</v>
      </c>
      <c r="B118" t="s">
        <v>24</v>
      </c>
      <c r="C118">
        <v>0</v>
      </c>
      <c r="D118">
        <v>4.6895341873168954</v>
      </c>
      <c r="E118">
        <v>1</v>
      </c>
      <c r="F118">
        <v>1</v>
      </c>
      <c r="G118">
        <v>1</v>
      </c>
      <c r="H118">
        <v>1</v>
      </c>
      <c r="I118">
        <v>1</v>
      </c>
      <c r="J118">
        <v>1</v>
      </c>
      <c r="K118">
        <v>1</v>
      </c>
      <c r="L118">
        <v>0</v>
      </c>
      <c r="M118">
        <v>1</v>
      </c>
      <c r="N118">
        <v>0</v>
      </c>
      <c r="O118">
        <v>1</v>
      </c>
      <c r="P118" t="s">
        <v>146</v>
      </c>
    </row>
    <row r="119" spans="1:16" x14ac:dyDescent="0.25">
      <c r="A119" t="s">
        <v>143</v>
      </c>
      <c r="B119" t="s">
        <v>25</v>
      </c>
      <c r="C119">
        <v>0</v>
      </c>
      <c r="D119">
        <v>5.1246891021728516</v>
      </c>
      <c r="E119">
        <v>0</v>
      </c>
      <c r="F119" t="s">
        <v>20</v>
      </c>
      <c r="G119" t="s">
        <v>20</v>
      </c>
      <c r="H119" t="s">
        <v>20</v>
      </c>
      <c r="I119" t="s">
        <v>20</v>
      </c>
      <c r="J119" t="s">
        <v>20</v>
      </c>
      <c r="K119" t="s">
        <v>20</v>
      </c>
      <c r="L119" t="s">
        <v>20</v>
      </c>
      <c r="M119" t="s">
        <v>20</v>
      </c>
      <c r="N119" t="s">
        <v>20</v>
      </c>
      <c r="O119" t="s">
        <v>20</v>
      </c>
      <c r="P119" t="s">
        <v>147</v>
      </c>
    </row>
    <row r="120" spans="1:16" x14ac:dyDescent="0.25">
      <c r="A120" t="s">
        <v>143</v>
      </c>
      <c r="B120" t="s">
        <v>26</v>
      </c>
      <c r="C120">
        <v>0</v>
      </c>
      <c r="D120">
        <v>10.380453109741209</v>
      </c>
      <c r="E120">
        <v>1</v>
      </c>
      <c r="F120">
        <v>1</v>
      </c>
      <c r="G120">
        <v>0</v>
      </c>
      <c r="H120" t="s">
        <v>20</v>
      </c>
      <c r="I120">
        <v>1</v>
      </c>
      <c r="J120">
        <v>1</v>
      </c>
      <c r="K120">
        <v>1</v>
      </c>
      <c r="L120">
        <v>1</v>
      </c>
      <c r="M120">
        <v>1</v>
      </c>
      <c r="N120">
        <v>1</v>
      </c>
      <c r="O120">
        <v>1</v>
      </c>
      <c r="P120" t="s">
        <v>148</v>
      </c>
    </row>
    <row r="121" spans="1:16" x14ac:dyDescent="0.25">
      <c r="A121" t="s">
        <v>143</v>
      </c>
      <c r="B121" t="s">
        <v>27</v>
      </c>
      <c r="C121">
        <v>0</v>
      </c>
      <c r="D121">
        <v>2.6825931072235112</v>
      </c>
      <c r="E121">
        <v>1</v>
      </c>
      <c r="F121">
        <v>1</v>
      </c>
      <c r="G121">
        <v>1</v>
      </c>
      <c r="H121">
        <v>1</v>
      </c>
      <c r="I121">
        <v>1</v>
      </c>
      <c r="J121">
        <v>1</v>
      </c>
      <c r="K121">
        <v>1</v>
      </c>
      <c r="L121">
        <v>1</v>
      </c>
      <c r="M121">
        <v>1</v>
      </c>
      <c r="N121">
        <v>1</v>
      </c>
      <c r="O121">
        <v>1</v>
      </c>
    </row>
    <row r="122" spans="1:16" x14ac:dyDescent="0.25">
      <c r="A122" t="s">
        <v>143</v>
      </c>
      <c r="B122" t="s">
        <v>28</v>
      </c>
      <c r="C122">
        <v>0</v>
      </c>
      <c r="D122">
        <v>2.7379271984100342</v>
      </c>
      <c r="E122">
        <v>1</v>
      </c>
      <c r="F122">
        <v>1</v>
      </c>
      <c r="G122">
        <v>1</v>
      </c>
      <c r="H122">
        <v>1</v>
      </c>
      <c r="I122">
        <v>1</v>
      </c>
      <c r="J122">
        <v>1</v>
      </c>
      <c r="K122">
        <v>1</v>
      </c>
      <c r="L122">
        <v>1</v>
      </c>
      <c r="M122">
        <v>1</v>
      </c>
      <c r="N122">
        <v>1</v>
      </c>
      <c r="O122">
        <v>1</v>
      </c>
    </row>
    <row r="123" spans="1:16" x14ac:dyDescent="0.25">
      <c r="A123" t="s">
        <v>143</v>
      </c>
      <c r="B123" t="s">
        <v>29</v>
      </c>
      <c r="C123">
        <v>0</v>
      </c>
      <c r="D123">
        <v>5.1267468929290771</v>
      </c>
      <c r="E123">
        <v>1</v>
      </c>
      <c r="F123">
        <v>1</v>
      </c>
      <c r="G123">
        <v>1</v>
      </c>
      <c r="H123">
        <v>1</v>
      </c>
      <c r="I123">
        <v>1</v>
      </c>
      <c r="J123">
        <v>0</v>
      </c>
      <c r="K123">
        <v>0</v>
      </c>
      <c r="L123">
        <v>1</v>
      </c>
      <c r="M123">
        <v>1</v>
      </c>
      <c r="N123">
        <v>1</v>
      </c>
      <c r="O123">
        <v>1</v>
      </c>
      <c r="P123" t="s">
        <v>149</v>
      </c>
    </row>
    <row r="124" spans="1:16" x14ac:dyDescent="0.25">
      <c r="A124" t="s">
        <v>143</v>
      </c>
      <c r="B124" t="s">
        <v>31</v>
      </c>
      <c r="C124">
        <v>0</v>
      </c>
      <c r="D124">
        <v>10.066342353820801</v>
      </c>
      <c r="E124">
        <v>0</v>
      </c>
      <c r="F124" t="s">
        <v>20</v>
      </c>
      <c r="G124" t="s">
        <v>20</v>
      </c>
      <c r="H124" t="s">
        <v>20</v>
      </c>
      <c r="I124" t="s">
        <v>20</v>
      </c>
      <c r="J124" t="s">
        <v>20</v>
      </c>
      <c r="K124" t="s">
        <v>20</v>
      </c>
      <c r="L124" t="s">
        <v>20</v>
      </c>
      <c r="M124" t="s">
        <v>20</v>
      </c>
      <c r="N124" t="s">
        <v>20</v>
      </c>
      <c r="O124" t="s">
        <v>20</v>
      </c>
      <c r="P124" t="s">
        <v>150</v>
      </c>
    </row>
    <row r="125" spans="1:16" x14ac:dyDescent="0.25">
      <c r="A125" t="s">
        <v>143</v>
      </c>
      <c r="B125" t="s">
        <v>33</v>
      </c>
      <c r="C125">
        <v>0</v>
      </c>
      <c r="D125">
        <v>12.3879120349884</v>
      </c>
      <c r="E125">
        <v>1</v>
      </c>
      <c r="F125">
        <v>1</v>
      </c>
      <c r="G125">
        <v>0</v>
      </c>
      <c r="H125" t="s">
        <v>20</v>
      </c>
      <c r="I125">
        <v>1</v>
      </c>
      <c r="J125">
        <v>1</v>
      </c>
      <c r="K125">
        <v>1</v>
      </c>
      <c r="L125">
        <v>0</v>
      </c>
      <c r="M125">
        <v>0</v>
      </c>
      <c r="N125">
        <v>1</v>
      </c>
      <c r="O125">
        <v>1</v>
      </c>
      <c r="P125" t="s">
        <v>151</v>
      </c>
    </row>
    <row r="126" spans="1:16" x14ac:dyDescent="0.25">
      <c r="A126" t="s">
        <v>143</v>
      </c>
      <c r="B126" t="s">
        <v>35</v>
      </c>
      <c r="C126">
        <v>0</v>
      </c>
      <c r="D126">
        <v>2.726526260375977</v>
      </c>
      <c r="E126">
        <v>1</v>
      </c>
      <c r="F126">
        <v>1</v>
      </c>
      <c r="G126">
        <v>1</v>
      </c>
      <c r="H126">
        <v>1</v>
      </c>
      <c r="I126">
        <v>1</v>
      </c>
      <c r="J126">
        <v>1</v>
      </c>
      <c r="K126">
        <v>1</v>
      </c>
      <c r="L126">
        <v>1</v>
      </c>
      <c r="M126">
        <v>1</v>
      </c>
      <c r="N126">
        <v>1</v>
      </c>
      <c r="O126">
        <v>1</v>
      </c>
    </row>
    <row r="127" spans="1:16" x14ac:dyDescent="0.25">
      <c r="A127" t="s">
        <v>143</v>
      </c>
      <c r="B127" t="s">
        <v>36</v>
      </c>
      <c r="C127">
        <v>0</v>
      </c>
      <c r="D127">
        <v>2.7442657947540279</v>
      </c>
      <c r="E127">
        <v>1</v>
      </c>
      <c r="F127">
        <v>1</v>
      </c>
      <c r="G127">
        <v>1</v>
      </c>
      <c r="H127">
        <v>1</v>
      </c>
      <c r="I127">
        <v>1</v>
      </c>
      <c r="J127">
        <v>1</v>
      </c>
      <c r="K127">
        <v>1</v>
      </c>
      <c r="L127">
        <v>1</v>
      </c>
      <c r="M127">
        <v>1</v>
      </c>
      <c r="N127">
        <v>1</v>
      </c>
      <c r="O127">
        <v>1</v>
      </c>
    </row>
    <row r="128" spans="1:16" x14ac:dyDescent="0.25">
      <c r="A128" t="s">
        <v>143</v>
      </c>
      <c r="B128" t="s">
        <v>38</v>
      </c>
      <c r="C128">
        <v>0</v>
      </c>
      <c r="D128">
        <v>9.7640891075134277</v>
      </c>
      <c r="E128">
        <v>1</v>
      </c>
      <c r="F128">
        <v>1</v>
      </c>
      <c r="G128">
        <v>1</v>
      </c>
      <c r="H128">
        <v>1</v>
      </c>
      <c r="I128">
        <v>1</v>
      </c>
      <c r="J128">
        <v>1</v>
      </c>
      <c r="K128">
        <v>1</v>
      </c>
      <c r="L128">
        <v>1</v>
      </c>
      <c r="M128">
        <v>1</v>
      </c>
      <c r="N128">
        <v>1</v>
      </c>
      <c r="O128">
        <v>1</v>
      </c>
    </row>
    <row r="129" spans="1:16" x14ac:dyDescent="0.25">
      <c r="A129" t="s">
        <v>143</v>
      </c>
      <c r="B129" t="s">
        <v>40</v>
      </c>
      <c r="C129">
        <v>0</v>
      </c>
      <c r="D129">
        <v>8.8197863101959229</v>
      </c>
      <c r="E129">
        <v>1</v>
      </c>
      <c r="F129">
        <v>1</v>
      </c>
      <c r="G129">
        <v>1</v>
      </c>
      <c r="H129">
        <v>1</v>
      </c>
      <c r="I129">
        <v>1</v>
      </c>
      <c r="J129">
        <v>1</v>
      </c>
      <c r="K129">
        <v>1</v>
      </c>
      <c r="L129">
        <v>1</v>
      </c>
      <c r="M129">
        <v>1</v>
      </c>
      <c r="N129">
        <v>1</v>
      </c>
      <c r="O129">
        <v>1</v>
      </c>
    </row>
    <row r="130" spans="1:16" x14ac:dyDescent="0.25">
      <c r="A130" t="s">
        <v>143</v>
      </c>
      <c r="B130" t="s">
        <v>42</v>
      </c>
      <c r="C130">
        <v>0</v>
      </c>
      <c r="D130">
        <v>2.665673971176147</v>
      </c>
      <c r="E130">
        <v>1</v>
      </c>
      <c r="F130">
        <v>1</v>
      </c>
      <c r="G130">
        <v>1</v>
      </c>
      <c r="H130">
        <v>1</v>
      </c>
      <c r="I130">
        <v>1</v>
      </c>
      <c r="J130">
        <v>1</v>
      </c>
      <c r="K130">
        <v>1</v>
      </c>
      <c r="L130">
        <v>1</v>
      </c>
      <c r="M130">
        <v>1</v>
      </c>
      <c r="N130">
        <v>1</v>
      </c>
      <c r="O130">
        <v>1</v>
      </c>
    </row>
    <row r="131" spans="1:16" x14ac:dyDescent="0.25">
      <c r="A131" t="s">
        <v>143</v>
      </c>
      <c r="B131" t="s">
        <v>43</v>
      </c>
      <c r="C131">
        <v>0</v>
      </c>
      <c r="D131">
        <v>2.6637108325958252</v>
      </c>
      <c r="E131">
        <v>1</v>
      </c>
      <c r="F131">
        <v>1</v>
      </c>
      <c r="G131">
        <v>1</v>
      </c>
      <c r="H131">
        <v>1</v>
      </c>
      <c r="I131">
        <v>1</v>
      </c>
      <c r="J131">
        <v>1</v>
      </c>
      <c r="K131">
        <v>1</v>
      </c>
      <c r="L131">
        <v>1</v>
      </c>
      <c r="M131">
        <v>1</v>
      </c>
      <c r="N131">
        <v>1</v>
      </c>
      <c r="O131">
        <v>1</v>
      </c>
    </row>
    <row r="132" spans="1:16" x14ac:dyDescent="0.25">
      <c r="A132" t="s">
        <v>143</v>
      </c>
      <c r="B132" t="s">
        <v>44</v>
      </c>
      <c r="C132">
        <v>0</v>
      </c>
      <c r="D132">
        <v>11.81853008270264</v>
      </c>
      <c r="E132">
        <v>0</v>
      </c>
      <c r="F132" t="s">
        <v>20</v>
      </c>
      <c r="G132" t="s">
        <v>20</v>
      </c>
      <c r="H132" t="s">
        <v>20</v>
      </c>
      <c r="I132" t="s">
        <v>20</v>
      </c>
      <c r="J132" t="s">
        <v>20</v>
      </c>
      <c r="K132" t="s">
        <v>20</v>
      </c>
      <c r="L132" t="s">
        <v>20</v>
      </c>
      <c r="M132" t="s">
        <v>20</v>
      </c>
      <c r="N132" t="s">
        <v>20</v>
      </c>
      <c r="O132" t="s">
        <v>20</v>
      </c>
      <c r="P132" t="s">
        <v>152</v>
      </c>
    </row>
    <row r="133" spans="1:16" x14ac:dyDescent="0.25">
      <c r="A133" t="s">
        <v>143</v>
      </c>
      <c r="B133" t="s">
        <v>46</v>
      </c>
      <c r="C133">
        <v>0</v>
      </c>
      <c r="D133">
        <v>10.847132682800289</v>
      </c>
      <c r="E133">
        <v>1</v>
      </c>
      <c r="F133">
        <v>1</v>
      </c>
      <c r="G133">
        <v>1</v>
      </c>
      <c r="H133">
        <v>1</v>
      </c>
      <c r="I133">
        <v>1</v>
      </c>
      <c r="J133">
        <v>1</v>
      </c>
      <c r="K133">
        <v>0</v>
      </c>
      <c r="L133">
        <v>1</v>
      </c>
      <c r="M133">
        <v>1</v>
      </c>
      <c r="N133">
        <v>1</v>
      </c>
      <c r="O133">
        <v>1</v>
      </c>
      <c r="P133" t="s">
        <v>153</v>
      </c>
    </row>
    <row r="134" spans="1:16" x14ac:dyDescent="0.25">
      <c r="A134" t="s">
        <v>143</v>
      </c>
      <c r="B134" t="s">
        <v>48</v>
      </c>
      <c r="C134">
        <v>0</v>
      </c>
      <c r="D134">
        <v>2.7146861553192139</v>
      </c>
      <c r="E134">
        <v>1</v>
      </c>
      <c r="F134">
        <v>1</v>
      </c>
      <c r="G134">
        <v>1</v>
      </c>
      <c r="H134">
        <v>1</v>
      </c>
      <c r="I134">
        <v>1</v>
      </c>
      <c r="J134">
        <v>1</v>
      </c>
      <c r="K134">
        <v>1</v>
      </c>
      <c r="L134">
        <v>1</v>
      </c>
      <c r="M134">
        <v>1</v>
      </c>
      <c r="N134">
        <v>1</v>
      </c>
      <c r="O134">
        <v>1</v>
      </c>
    </row>
    <row r="135" spans="1:16" x14ac:dyDescent="0.25">
      <c r="A135" t="s">
        <v>143</v>
      </c>
      <c r="B135" t="s">
        <v>50</v>
      </c>
      <c r="C135">
        <v>0</v>
      </c>
      <c r="D135">
        <v>12.779062271118161</v>
      </c>
      <c r="E135">
        <v>1</v>
      </c>
      <c r="F135">
        <v>1</v>
      </c>
      <c r="G135">
        <v>1</v>
      </c>
      <c r="H135">
        <v>1</v>
      </c>
      <c r="I135">
        <v>1</v>
      </c>
      <c r="J135">
        <v>1</v>
      </c>
      <c r="K135">
        <v>0</v>
      </c>
      <c r="L135">
        <v>0</v>
      </c>
      <c r="M135">
        <v>1</v>
      </c>
      <c r="N135">
        <v>1</v>
      </c>
      <c r="O135">
        <v>1</v>
      </c>
      <c r="P135" t="s">
        <v>154</v>
      </c>
    </row>
    <row r="136" spans="1:16" x14ac:dyDescent="0.25">
      <c r="A136" t="s">
        <v>143</v>
      </c>
      <c r="B136" t="s">
        <v>51</v>
      </c>
      <c r="C136">
        <v>0</v>
      </c>
      <c r="D136">
        <v>10.25532603263855</v>
      </c>
      <c r="E136">
        <v>1</v>
      </c>
      <c r="F136">
        <v>1</v>
      </c>
      <c r="G136">
        <v>1</v>
      </c>
      <c r="H136">
        <v>1</v>
      </c>
      <c r="I136">
        <v>1</v>
      </c>
      <c r="J136">
        <v>1</v>
      </c>
      <c r="K136">
        <v>1</v>
      </c>
      <c r="L136">
        <v>1</v>
      </c>
      <c r="M136">
        <v>1</v>
      </c>
      <c r="N136">
        <v>1</v>
      </c>
      <c r="O136">
        <v>1</v>
      </c>
    </row>
    <row r="137" spans="1:16" x14ac:dyDescent="0.25">
      <c r="A137" t="s">
        <v>143</v>
      </c>
      <c r="B137" t="s">
        <v>52</v>
      </c>
      <c r="C137">
        <v>0</v>
      </c>
      <c r="D137">
        <v>11.702717781066889</v>
      </c>
      <c r="E137">
        <v>1</v>
      </c>
      <c r="F137">
        <v>0</v>
      </c>
      <c r="G137">
        <v>1</v>
      </c>
      <c r="H137" t="s">
        <v>20</v>
      </c>
      <c r="I137">
        <v>1</v>
      </c>
      <c r="J137" t="s">
        <v>20</v>
      </c>
      <c r="K137">
        <v>1</v>
      </c>
      <c r="L137">
        <v>1</v>
      </c>
      <c r="M137">
        <v>1</v>
      </c>
      <c r="N137">
        <v>1</v>
      </c>
      <c r="O137">
        <v>1</v>
      </c>
      <c r="P137" t="s">
        <v>155</v>
      </c>
    </row>
    <row r="138" spans="1:16" x14ac:dyDescent="0.25">
      <c r="A138" t="s">
        <v>143</v>
      </c>
      <c r="B138" t="s">
        <v>53</v>
      </c>
      <c r="C138">
        <v>0</v>
      </c>
      <c r="D138">
        <v>5.7674593925476074</v>
      </c>
      <c r="E138">
        <v>1</v>
      </c>
      <c r="F138">
        <v>0</v>
      </c>
      <c r="G138">
        <v>1</v>
      </c>
      <c r="H138" t="s">
        <v>20</v>
      </c>
      <c r="I138">
        <v>1</v>
      </c>
      <c r="J138" t="s">
        <v>20</v>
      </c>
      <c r="K138">
        <v>1</v>
      </c>
      <c r="L138">
        <v>1</v>
      </c>
      <c r="M138">
        <v>1</v>
      </c>
      <c r="N138">
        <v>1</v>
      </c>
      <c r="O138">
        <v>1</v>
      </c>
      <c r="P138" t="s">
        <v>156</v>
      </c>
    </row>
    <row r="139" spans="1:16" x14ac:dyDescent="0.25">
      <c r="A139" t="s">
        <v>143</v>
      </c>
      <c r="B139" t="s">
        <v>55</v>
      </c>
      <c r="C139">
        <v>0</v>
      </c>
      <c r="D139">
        <v>10.633845090866091</v>
      </c>
      <c r="E139">
        <v>1</v>
      </c>
      <c r="F139">
        <v>1</v>
      </c>
      <c r="G139">
        <v>1</v>
      </c>
      <c r="H139">
        <v>1</v>
      </c>
      <c r="I139">
        <v>1</v>
      </c>
      <c r="J139">
        <v>1</v>
      </c>
      <c r="K139">
        <v>0</v>
      </c>
      <c r="L139">
        <v>1</v>
      </c>
      <c r="M139">
        <v>1</v>
      </c>
      <c r="N139">
        <v>1</v>
      </c>
      <c r="O139">
        <v>1</v>
      </c>
      <c r="P139" t="s">
        <v>157</v>
      </c>
    </row>
    <row r="140" spans="1:16" x14ac:dyDescent="0.25">
      <c r="A140" t="s">
        <v>143</v>
      </c>
      <c r="B140" t="s">
        <v>57</v>
      </c>
      <c r="C140">
        <v>0</v>
      </c>
      <c r="D140">
        <v>2.765874862670898</v>
      </c>
      <c r="E140">
        <v>1</v>
      </c>
      <c r="F140">
        <v>1</v>
      </c>
      <c r="G140">
        <v>1</v>
      </c>
      <c r="H140">
        <v>1</v>
      </c>
      <c r="I140">
        <v>1</v>
      </c>
      <c r="J140">
        <v>1</v>
      </c>
      <c r="K140">
        <v>1</v>
      </c>
      <c r="L140">
        <v>1</v>
      </c>
      <c r="M140">
        <v>1</v>
      </c>
      <c r="N140">
        <v>1</v>
      </c>
      <c r="O140">
        <v>1</v>
      </c>
    </row>
    <row r="141" spans="1:16" x14ac:dyDescent="0.25">
      <c r="A141" t="s">
        <v>143</v>
      </c>
      <c r="B141" t="s">
        <v>59</v>
      </c>
      <c r="C141">
        <v>0</v>
      </c>
      <c r="D141">
        <v>8.1143064498901367</v>
      </c>
      <c r="E141">
        <v>1</v>
      </c>
      <c r="F141">
        <v>1</v>
      </c>
      <c r="G141">
        <v>1</v>
      </c>
      <c r="H141">
        <v>1</v>
      </c>
      <c r="I141">
        <v>1</v>
      </c>
      <c r="J141">
        <v>1</v>
      </c>
      <c r="K141">
        <v>1</v>
      </c>
      <c r="L141">
        <v>1</v>
      </c>
      <c r="M141">
        <v>1</v>
      </c>
      <c r="N141">
        <v>1</v>
      </c>
      <c r="O141">
        <v>1</v>
      </c>
    </row>
    <row r="142" spans="1:16" x14ac:dyDescent="0.25">
      <c r="A142" t="s">
        <v>143</v>
      </c>
      <c r="B142" t="s">
        <v>61</v>
      </c>
      <c r="C142">
        <v>0</v>
      </c>
      <c r="D142">
        <v>9.6598644256591797</v>
      </c>
      <c r="E142">
        <v>1</v>
      </c>
      <c r="F142">
        <v>1</v>
      </c>
      <c r="G142">
        <v>1</v>
      </c>
      <c r="H142">
        <v>1</v>
      </c>
      <c r="I142">
        <v>1</v>
      </c>
      <c r="J142">
        <v>1</v>
      </c>
      <c r="K142">
        <v>1</v>
      </c>
      <c r="L142">
        <v>1</v>
      </c>
      <c r="M142">
        <v>1</v>
      </c>
      <c r="N142">
        <v>1</v>
      </c>
      <c r="O142">
        <v>1</v>
      </c>
    </row>
    <row r="143" spans="1:16" x14ac:dyDescent="0.25">
      <c r="A143" t="s">
        <v>143</v>
      </c>
      <c r="B143" t="s">
        <v>63</v>
      </c>
      <c r="C143">
        <v>0</v>
      </c>
      <c r="D143">
        <v>8.6233539581298828</v>
      </c>
      <c r="E143">
        <v>1</v>
      </c>
      <c r="F143">
        <v>1</v>
      </c>
      <c r="G143">
        <v>1</v>
      </c>
      <c r="H143">
        <v>1</v>
      </c>
      <c r="I143">
        <v>1</v>
      </c>
      <c r="J143">
        <v>1</v>
      </c>
      <c r="K143">
        <v>1</v>
      </c>
      <c r="L143">
        <v>1</v>
      </c>
      <c r="M143">
        <v>1</v>
      </c>
      <c r="N143">
        <v>1</v>
      </c>
      <c r="O143">
        <v>1</v>
      </c>
    </row>
    <row r="144" spans="1:16" x14ac:dyDescent="0.25">
      <c r="A144" t="s">
        <v>143</v>
      </c>
      <c r="B144" t="s">
        <v>65</v>
      </c>
      <c r="C144">
        <v>0</v>
      </c>
      <c r="D144">
        <v>12.749018430709841</v>
      </c>
      <c r="E144">
        <v>0</v>
      </c>
      <c r="F144" t="s">
        <v>20</v>
      </c>
      <c r="G144" t="s">
        <v>20</v>
      </c>
      <c r="H144" t="s">
        <v>20</v>
      </c>
      <c r="I144" t="s">
        <v>20</v>
      </c>
      <c r="J144" t="s">
        <v>20</v>
      </c>
      <c r="K144" t="s">
        <v>20</v>
      </c>
      <c r="L144" t="s">
        <v>20</v>
      </c>
      <c r="M144" t="s">
        <v>20</v>
      </c>
      <c r="N144" t="s">
        <v>20</v>
      </c>
      <c r="O144" t="s">
        <v>20</v>
      </c>
      <c r="P144" t="s">
        <v>158</v>
      </c>
    </row>
    <row r="145" spans="1:16" x14ac:dyDescent="0.25">
      <c r="A145" t="s">
        <v>143</v>
      </c>
      <c r="B145" t="s">
        <v>67</v>
      </c>
      <c r="C145">
        <v>0</v>
      </c>
      <c r="D145">
        <v>12.942267179489139</v>
      </c>
      <c r="E145">
        <v>0</v>
      </c>
      <c r="F145" t="s">
        <v>20</v>
      </c>
      <c r="G145" t="s">
        <v>20</v>
      </c>
      <c r="H145" t="s">
        <v>20</v>
      </c>
      <c r="I145" t="s">
        <v>20</v>
      </c>
      <c r="J145" t="s">
        <v>20</v>
      </c>
      <c r="K145" t="s">
        <v>20</v>
      </c>
      <c r="L145" t="s">
        <v>20</v>
      </c>
      <c r="M145" t="s">
        <v>20</v>
      </c>
      <c r="N145" t="s">
        <v>20</v>
      </c>
      <c r="O145" t="s">
        <v>20</v>
      </c>
      <c r="P145" t="s">
        <v>159</v>
      </c>
    </row>
    <row r="146" spans="1:16" x14ac:dyDescent="0.25">
      <c r="A146" t="s">
        <v>143</v>
      </c>
      <c r="B146" t="s">
        <v>69</v>
      </c>
      <c r="C146">
        <v>0</v>
      </c>
      <c r="D146">
        <v>5.8298134803771973</v>
      </c>
      <c r="E146">
        <v>1</v>
      </c>
      <c r="F146">
        <v>0</v>
      </c>
      <c r="G146">
        <v>1</v>
      </c>
      <c r="H146" t="s">
        <v>20</v>
      </c>
      <c r="I146">
        <v>1</v>
      </c>
      <c r="J146" t="s">
        <v>20</v>
      </c>
      <c r="K146">
        <v>1</v>
      </c>
      <c r="L146">
        <v>1</v>
      </c>
      <c r="M146">
        <v>1</v>
      </c>
      <c r="N146">
        <v>1</v>
      </c>
      <c r="O146">
        <v>1</v>
      </c>
      <c r="P146" t="s">
        <v>160</v>
      </c>
    </row>
    <row r="147" spans="1:16" x14ac:dyDescent="0.25">
      <c r="A147" t="s">
        <v>143</v>
      </c>
      <c r="B147" t="s">
        <v>71</v>
      </c>
      <c r="C147">
        <v>0</v>
      </c>
      <c r="D147">
        <v>4.6335909366607666</v>
      </c>
      <c r="E147">
        <v>1</v>
      </c>
      <c r="F147">
        <v>1</v>
      </c>
      <c r="G147">
        <v>1</v>
      </c>
      <c r="H147">
        <v>1</v>
      </c>
      <c r="I147">
        <v>1</v>
      </c>
      <c r="J147">
        <v>1</v>
      </c>
      <c r="K147">
        <v>0</v>
      </c>
      <c r="L147">
        <v>1</v>
      </c>
      <c r="M147">
        <v>1</v>
      </c>
      <c r="N147">
        <v>1</v>
      </c>
      <c r="O147">
        <v>1</v>
      </c>
      <c r="P147" t="s">
        <v>161</v>
      </c>
    </row>
    <row r="148" spans="1:16" x14ac:dyDescent="0.25">
      <c r="A148" t="s">
        <v>143</v>
      </c>
      <c r="B148" t="s">
        <v>72</v>
      </c>
      <c r="C148">
        <v>0</v>
      </c>
      <c r="D148">
        <v>2.7453546524047852</v>
      </c>
      <c r="E148">
        <v>1</v>
      </c>
      <c r="F148">
        <v>1</v>
      </c>
      <c r="G148">
        <v>1</v>
      </c>
      <c r="H148">
        <v>1</v>
      </c>
      <c r="I148">
        <v>1</v>
      </c>
      <c r="J148">
        <v>1</v>
      </c>
      <c r="K148">
        <v>1</v>
      </c>
      <c r="L148">
        <v>1</v>
      </c>
      <c r="M148">
        <v>1</v>
      </c>
      <c r="N148">
        <v>1</v>
      </c>
      <c r="O148">
        <v>1</v>
      </c>
    </row>
    <row r="149" spans="1:16" x14ac:dyDescent="0.25">
      <c r="A149" t="s">
        <v>143</v>
      </c>
      <c r="B149" t="s">
        <v>73</v>
      </c>
      <c r="C149">
        <v>0</v>
      </c>
      <c r="D149">
        <v>9.0965750217437744</v>
      </c>
      <c r="E149">
        <v>1</v>
      </c>
      <c r="F149">
        <v>1</v>
      </c>
      <c r="G149">
        <v>1</v>
      </c>
      <c r="H149">
        <v>1</v>
      </c>
      <c r="I149">
        <v>1</v>
      </c>
      <c r="J149">
        <v>1</v>
      </c>
      <c r="K149">
        <v>1</v>
      </c>
      <c r="L149">
        <v>1</v>
      </c>
      <c r="M149">
        <v>1</v>
      </c>
      <c r="N149">
        <v>1</v>
      </c>
      <c r="O149">
        <v>1</v>
      </c>
    </row>
    <row r="150" spans="1:16" x14ac:dyDescent="0.25">
      <c r="A150" t="s">
        <v>143</v>
      </c>
      <c r="B150" t="s">
        <v>75</v>
      </c>
      <c r="C150">
        <v>0</v>
      </c>
      <c r="D150">
        <v>10.00140333175659</v>
      </c>
      <c r="E150">
        <v>0</v>
      </c>
      <c r="F150" t="s">
        <v>20</v>
      </c>
      <c r="G150" t="s">
        <v>20</v>
      </c>
      <c r="H150" t="s">
        <v>20</v>
      </c>
      <c r="I150" t="s">
        <v>20</v>
      </c>
      <c r="J150" t="s">
        <v>20</v>
      </c>
      <c r="K150" t="s">
        <v>20</v>
      </c>
      <c r="L150" t="s">
        <v>20</v>
      </c>
      <c r="M150" t="s">
        <v>20</v>
      </c>
      <c r="N150" t="s">
        <v>20</v>
      </c>
      <c r="O150" t="s">
        <v>20</v>
      </c>
      <c r="P150" t="s">
        <v>162</v>
      </c>
    </row>
    <row r="151" spans="1:16" x14ac:dyDescent="0.25">
      <c r="A151" t="s">
        <v>143</v>
      </c>
      <c r="B151" t="s">
        <v>77</v>
      </c>
      <c r="C151">
        <v>0</v>
      </c>
      <c r="D151">
        <v>2.7112574577331539</v>
      </c>
      <c r="E151">
        <v>1</v>
      </c>
      <c r="F151">
        <v>1</v>
      </c>
      <c r="G151">
        <v>1</v>
      </c>
      <c r="H151">
        <v>1</v>
      </c>
      <c r="I151">
        <v>1</v>
      </c>
      <c r="J151">
        <v>1</v>
      </c>
      <c r="K151">
        <v>1</v>
      </c>
      <c r="L151">
        <v>1</v>
      </c>
      <c r="M151">
        <v>1</v>
      </c>
      <c r="N151">
        <v>1</v>
      </c>
      <c r="O151">
        <v>1</v>
      </c>
    </row>
    <row r="152" spans="1:16" x14ac:dyDescent="0.25">
      <c r="A152" t="s">
        <v>143</v>
      </c>
      <c r="B152" t="s">
        <v>78</v>
      </c>
      <c r="C152">
        <v>0</v>
      </c>
      <c r="D152">
        <v>7.3534650802612296</v>
      </c>
      <c r="E152">
        <v>0</v>
      </c>
      <c r="F152" t="s">
        <v>20</v>
      </c>
      <c r="G152" t="s">
        <v>20</v>
      </c>
      <c r="H152" t="s">
        <v>20</v>
      </c>
      <c r="I152" t="s">
        <v>20</v>
      </c>
      <c r="J152" t="s">
        <v>20</v>
      </c>
      <c r="K152" t="s">
        <v>20</v>
      </c>
      <c r="L152" t="s">
        <v>20</v>
      </c>
      <c r="M152" t="s">
        <v>20</v>
      </c>
      <c r="N152" t="s">
        <v>20</v>
      </c>
      <c r="O152" t="s">
        <v>20</v>
      </c>
      <c r="P152" t="s">
        <v>163</v>
      </c>
    </row>
    <row r="153" spans="1:16" x14ac:dyDescent="0.25">
      <c r="A153" t="s">
        <v>143</v>
      </c>
      <c r="B153" t="s">
        <v>80</v>
      </c>
      <c r="C153">
        <v>0</v>
      </c>
      <c r="D153">
        <v>4.9069569110870361</v>
      </c>
      <c r="E153">
        <v>1</v>
      </c>
      <c r="F153">
        <v>1</v>
      </c>
      <c r="G153">
        <v>1</v>
      </c>
      <c r="H153">
        <v>0</v>
      </c>
      <c r="I153">
        <v>1</v>
      </c>
      <c r="J153">
        <v>1</v>
      </c>
      <c r="K153">
        <v>1</v>
      </c>
      <c r="L153">
        <v>1</v>
      </c>
      <c r="M153">
        <v>1</v>
      </c>
      <c r="N153">
        <v>1</v>
      </c>
      <c r="O153">
        <v>1</v>
      </c>
      <c r="P153" t="s">
        <v>164</v>
      </c>
    </row>
    <row r="154" spans="1:16" x14ac:dyDescent="0.25">
      <c r="A154" t="s">
        <v>143</v>
      </c>
      <c r="B154" t="s">
        <v>82</v>
      </c>
      <c r="C154">
        <v>0</v>
      </c>
      <c r="D154">
        <v>2.777759313583374</v>
      </c>
      <c r="E154">
        <v>1</v>
      </c>
      <c r="F154">
        <v>1</v>
      </c>
      <c r="G154">
        <v>1</v>
      </c>
      <c r="H154">
        <v>1</v>
      </c>
      <c r="I154">
        <v>1</v>
      </c>
      <c r="J154">
        <v>1</v>
      </c>
      <c r="K154">
        <v>1</v>
      </c>
      <c r="L154">
        <v>1</v>
      </c>
      <c r="M154">
        <v>1</v>
      </c>
      <c r="N154">
        <v>1</v>
      </c>
      <c r="O154">
        <v>1</v>
      </c>
    </row>
    <row r="155" spans="1:16" x14ac:dyDescent="0.25">
      <c r="A155" t="s">
        <v>143</v>
      </c>
      <c r="B155" t="s">
        <v>84</v>
      </c>
      <c r="C155">
        <v>0</v>
      </c>
      <c r="D155">
        <v>10.886420011520389</v>
      </c>
      <c r="E155">
        <v>1</v>
      </c>
      <c r="F155">
        <v>1</v>
      </c>
      <c r="G155">
        <v>1</v>
      </c>
      <c r="H155">
        <v>1</v>
      </c>
      <c r="I155">
        <v>1</v>
      </c>
      <c r="J155">
        <v>1</v>
      </c>
      <c r="K155">
        <v>1</v>
      </c>
      <c r="L155">
        <v>1</v>
      </c>
      <c r="M155">
        <v>1</v>
      </c>
      <c r="N155">
        <v>1</v>
      </c>
      <c r="O155">
        <v>1</v>
      </c>
    </row>
    <row r="156" spans="1:16" x14ac:dyDescent="0.25">
      <c r="A156" t="s">
        <v>143</v>
      </c>
      <c r="B156" t="s">
        <v>85</v>
      </c>
      <c r="C156">
        <v>0</v>
      </c>
      <c r="D156">
        <v>10.88761305809021</v>
      </c>
      <c r="E156">
        <v>1</v>
      </c>
      <c r="F156">
        <v>0</v>
      </c>
      <c r="G156">
        <v>1</v>
      </c>
      <c r="H156" t="s">
        <v>20</v>
      </c>
      <c r="I156">
        <v>1</v>
      </c>
      <c r="J156" t="s">
        <v>20</v>
      </c>
      <c r="K156">
        <v>1</v>
      </c>
      <c r="L156">
        <v>1</v>
      </c>
      <c r="M156">
        <v>0</v>
      </c>
      <c r="N156">
        <v>1</v>
      </c>
      <c r="O156">
        <v>1</v>
      </c>
      <c r="P156" t="s">
        <v>165</v>
      </c>
    </row>
    <row r="157" spans="1:16" x14ac:dyDescent="0.25">
      <c r="A157" t="s">
        <v>143</v>
      </c>
      <c r="B157" t="s">
        <v>87</v>
      </c>
      <c r="C157">
        <v>0</v>
      </c>
      <c r="D157">
        <v>5.8565487861633301</v>
      </c>
      <c r="E157">
        <v>1</v>
      </c>
      <c r="F157">
        <v>1</v>
      </c>
      <c r="G157">
        <v>0</v>
      </c>
      <c r="H157" t="s">
        <v>20</v>
      </c>
      <c r="I157">
        <v>1</v>
      </c>
      <c r="J157">
        <v>1</v>
      </c>
      <c r="K157">
        <v>1</v>
      </c>
      <c r="L157">
        <v>1</v>
      </c>
      <c r="M157">
        <v>1</v>
      </c>
      <c r="N157">
        <v>1</v>
      </c>
      <c r="O157">
        <v>1</v>
      </c>
      <c r="P157" t="s">
        <v>166</v>
      </c>
    </row>
    <row r="158" spans="1:16" x14ac:dyDescent="0.25">
      <c r="A158" t="s">
        <v>143</v>
      </c>
      <c r="B158" t="s">
        <v>89</v>
      </c>
      <c r="C158">
        <v>0</v>
      </c>
      <c r="D158">
        <v>5.0276515483856201</v>
      </c>
      <c r="E158">
        <v>1</v>
      </c>
      <c r="F158">
        <v>1</v>
      </c>
      <c r="G158">
        <v>1</v>
      </c>
      <c r="H158">
        <v>1</v>
      </c>
      <c r="I158">
        <v>1</v>
      </c>
      <c r="J158">
        <v>0</v>
      </c>
      <c r="K158">
        <v>1</v>
      </c>
      <c r="L158">
        <v>1</v>
      </c>
      <c r="M158">
        <v>1</v>
      </c>
      <c r="N158">
        <v>1</v>
      </c>
      <c r="O158">
        <v>1</v>
      </c>
      <c r="P158" t="s">
        <v>167</v>
      </c>
    </row>
    <row r="159" spans="1:16" x14ac:dyDescent="0.25">
      <c r="A159" t="s">
        <v>143</v>
      </c>
      <c r="B159" t="s">
        <v>91</v>
      </c>
      <c r="C159">
        <v>0</v>
      </c>
      <c r="D159">
        <v>10.982666730880741</v>
      </c>
      <c r="E159">
        <v>1</v>
      </c>
      <c r="F159">
        <v>1</v>
      </c>
      <c r="G159">
        <v>1</v>
      </c>
      <c r="H159">
        <v>1</v>
      </c>
      <c r="I159">
        <v>1</v>
      </c>
      <c r="J159">
        <v>0</v>
      </c>
      <c r="K159">
        <v>1</v>
      </c>
      <c r="L159">
        <v>1</v>
      </c>
      <c r="M159">
        <v>1</v>
      </c>
      <c r="N159">
        <v>1</v>
      </c>
      <c r="O159">
        <v>1</v>
      </c>
      <c r="P159" t="s">
        <v>168</v>
      </c>
    </row>
    <row r="160" spans="1:16" x14ac:dyDescent="0.25">
      <c r="A160" t="s">
        <v>143</v>
      </c>
      <c r="B160" t="s">
        <v>92</v>
      </c>
      <c r="C160">
        <v>0</v>
      </c>
      <c r="D160">
        <v>4.7272138595581046</v>
      </c>
      <c r="E160">
        <v>1</v>
      </c>
      <c r="F160">
        <v>1</v>
      </c>
      <c r="G160">
        <v>1</v>
      </c>
      <c r="H160">
        <v>1</v>
      </c>
      <c r="I160">
        <v>1</v>
      </c>
      <c r="J160">
        <v>0</v>
      </c>
      <c r="K160">
        <v>1</v>
      </c>
      <c r="L160">
        <v>1</v>
      </c>
      <c r="M160">
        <v>1</v>
      </c>
      <c r="N160">
        <v>1</v>
      </c>
      <c r="O160">
        <v>1</v>
      </c>
      <c r="P160" t="s">
        <v>169</v>
      </c>
    </row>
    <row r="161" spans="1:16" x14ac:dyDescent="0.25">
      <c r="A161" t="s">
        <v>143</v>
      </c>
      <c r="B161" t="s">
        <v>94</v>
      </c>
      <c r="C161">
        <v>0</v>
      </c>
      <c r="D161">
        <v>9.3329284191131592</v>
      </c>
      <c r="E161">
        <v>1</v>
      </c>
      <c r="F161">
        <v>1</v>
      </c>
      <c r="G161">
        <v>1</v>
      </c>
      <c r="H161">
        <v>1</v>
      </c>
      <c r="I161">
        <v>1</v>
      </c>
      <c r="J161">
        <v>1</v>
      </c>
      <c r="K161">
        <v>1</v>
      </c>
      <c r="L161">
        <v>1</v>
      </c>
      <c r="M161">
        <v>1</v>
      </c>
      <c r="N161">
        <v>1</v>
      </c>
      <c r="O161">
        <v>1</v>
      </c>
    </row>
    <row r="162" spans="1:16" x14ac:dyDescent="0.25">
      <c r="A162" t="s">
        <v>143</v>
      </c>
      <c r="B162" t="s">
        <v>95</v>
      </c>
      <c r="C162">
        <v>0</v>
      </c>
      <c r="D162">
        <v>5.2371773719787598</v>
      </c>
      <c r="E162">
        <v>1</v>
      </c>
      <c r="F162">
        <v>1</v>
      </c>
      <c r="G162">
        <v>1</v>
      </c>
      <c r="H162">
        <v>1</v>
      </c>
      <c r="I162">
        <v>1</v>
      </c>
      <c r="J162">
        <v>0</v>
      </c>
      <c r="K162">
        <v>1</v>
      </c>
      <c r="L162">
        <v>1</v>
      </c>
      <c r="M162">
        <v>1</v>
      </c>
      <c r="N162">
        <v>1</v>
      </c>
      <c r="O162">
        <v>1</v>
      </c>
      <c r="P162" t="s">
        <v>170</v>
      </c>
    </row>
    <row r="163" spans="1:16" x14ac:dyDescent="0.25">
      <c r="A163" t="s">
        <v>143</v>
      </c>
      <c r="B163" t="s">
        <v>121</v>
      </c>
      <c r="C163">
        <v>0</v>
      </c>
      <c r="D163">
        <v>8.0532753467559814</v>
      </c>
      <c r="E163">
        <v>1</v>
      </c>
      <c r="F163">
        <v>1</v>
      </c>
      <c r="G163">
        <v>1</v>
      </c>
      <c r="H163">
        <v>1</v>
      </c>
      <c r="I163">
        <v>1</v>
      </c>
      <c r="J163">
        <v>0</v>
      </c>
      <c r="K163">
        <v>1</v>
      </c>
      <c r="L163">
        <v>1</v>
      </c>
      <c r="M163">
        <v>1</v>
      </c>
      <c r="N163">
        <v>1</v>
      </c>
      <c r="O163">
        <v>1</v>
      </c>
      <c r="P163" t="s">
        <v>171</v>
      </c>
    </row>
    <row r="164" spans="1:16" x14ac:dyDescent="0.25">
      <c r="A164" t="s">
        <v>143</v>
      </c>
      <c r="B164" t="s">
        <v>122</v>
      </c>
      <c r="C164">
        <v>0</v>
      </c>
      <c r="D164">
        <v>9.7312643527984619</v>
      </c>
      <c r="E164">
        <v>1</v>
      </c>
      <c r="F164">
        <v>1</v>
      </c>
      <c r="G164">
        <v>1</v>
      </c>
      <c r="H164">
        <v>1</v>
      </c>
      <c r="I164">
        <v>1</v>
      </c>
      <c r="J164">
        <v>1</v>
      </c>
      <c r="K164">
        <v>1</v>
      </c>
      <c r="L164">
        <v>1</v>
      </c>
      <c r="M164">
        <v>1</v>
      </c>
      <c r="N164">
        <v>1</v>
      </c>
      <c r="O164">
        <v>1</v>
      </c>
    </row>
    <row r="165" spans="1:16" x14ac:dyDescent="0.25">
      <c r="A165" t="s">
        <v>143</v>
      </c>
      <c r="B165" t="s">
        <v>124</v>
      </c>
      <c r="C165">
        <v>0</v>
      </c>
      <c r="D165">
        <v>8.7974405288696289</v>
      </c>
      <c r="E165">
        <v>1</v>
      </c>
      <c r="F165">
        <v>0</v>
      </c>
      <c r="G165">
        <v>1</v>
      </c>
      <c r="H165" t="s">
        <v>20</v>
      </c>
      <c r="I165">
        <v>1</v>
      </c>
      <c r="J165" t="s">
        <v>20</v>
      </c>
      <c r="K165">
        <v>0</v>
      </c>
      <c r="L165">
        <v>1</v>
      </c>
      <c r="M165">
        <v>1</v>
      </c>
      <c r="N165">
        <v>1</v>
      </c>
      <c r="O165">
        <v>1</v>
      </c>
      <c r="P165" t="s">
        <v>172</v>
      </c>
    </row>
    <row r="166" spans="1:16" x14ac:dyDescent="0.25">
      <c r="A166" t="s">
        <v>143</v>
      </c>
      <c r="B166" t="s">
        <v>126</v>
      </c>
      <c r="C166">
        <v>0</v>
      </c>
      <c r="D166">
        <v>2.6568970680236821</v>
      </c>
      <c r="E166">
        <v>1</v>
      </c>
      <c r="F166">
        <v>1</v>
      </c>
      <c r="G166">
        <v>1</v>
      </c>
      <c r="H166">
        <v>1</v>
      </c>
      <c r="I166">
        <v>1</v>
      </c>
      <c r="J166">
        <v>1</v>
      </c>
      <c r="K166">
        <v>1</v>
      </c>
      <c r="L166">
        <v>1</v>
      </c>
      <c r="M166">
        <v>1</v>
      </c>
      <c r="N166">
        <v>1</v>
      </c>
      <c r="O166">
        <v>1</v>
      </c>
    </row>
    <row r="167" spans="1:16" x14ac:dyDescent="0.25">
      <c r="A167" t="s">
        <v>143</v>
      </c>
      <c r="B167" t="s">
        <v>127</v>
      </c>
      <c r="C167">
        <v>0</v>
      </c>
      <c r="D167">
        <v>6.5685756206512451</v>
      </c>
      <c r="E167">
        <v>1</v>
      </c>
      <c r="F167">
        <v>1</v>
      </c>
      <c r="G167">
        <v>1</v>
      </c>
      <c r="H167">
        <v>1</v>
      </c>
      <c r="I167">
        <v>1</v>
      </c>
      <c r="J167">
        <v>0</v>
      </c>
      <c r="K167">
        <v>1</v>
      </c>
      <c r="L167">
        <v>1</v>
      </c>
      <c r="M167">
        <v>1</v>
      </c>
      <c r="N167">
        <v>1</v>
      </c>
      <c r="O167">
        <v>1</v>
      </c>
      <c r="P167" t="s">
        <v>173</v>
      </c>
    </row>
    <row r="168" spans="1:16" x14ac:dyDescent="0.25">
      <c r="A168" t="s">
        <v>143</v>
      </c>
      <c r="B168" t="s">
        <v>129</v>
      </c>
      <c r="C168">
        <v>0</v>
      </c>
      <c r="D168">
        <v>4.8192348480224609</v>
      </c>
      <c r="E168">
        <v>1</v>
      </c>
      <c r="F168">
        <v>1</v>
      </c>
      <c r="G168">
        <v>1</v>
      </c>
      <c r="H168">
        <v>1</v>
      </c>
      <c r="I168">
        <v>1</v>
      </c>
      <c r="J168">
        <v>0</v>
      </c>
      <c r="K168">
        <v>1</v>
      </c>
      <c r="L168">
        <v>1</v>
      </c>
      <c r="M168">
        <v>1</v>
      </c>
      <c r="N168">
        <v>1</v>
      </c>
      <c r="O168">
        <v>1</v>
      </c>
      <c r="P168" t="s">
        <v>174</v>
      </c>
    </row>
    <row r="169" spans="1:16" x14ac:dyDescent="0.25">
      <c r="A169" t="s">
        <v>143</v>
      </c>
      <c r="B169" t="s">
        <v>131</v>
      </c>
      <c r="C169">
        <v>0</v>
      </c>
      <c r="D169">
        <v>5.8487040996551514</v>
      </c>
      <c r="E169">
        <v>0</v>
      </c>
      <c r="F169" t="s">
        <v>20</v>
      </c>
      <c r="G169" t="s">
        <v>20</v>
      </c>
      <c r="H169" t="s">
        <v>20</v>
      </c>
      <c r="I169" t="s">
        <v>20</v>
      </c>
      <c r="J169" t="s">
        <v>20</v>
      </c>
      <c r="K169" t="s">
        <v>20</v>
      </c>
      <c r="L169" t="s">
        <v>20</v>
      </c>
      <c r="M169" t="s">
        <v>20</v>
      </c>
      <c r="N169" t="s">
        <v>20</v>
      </c>
      <c r="O169" t="s">
        <v>20</v>
      </c>
      <c r="P169" t="s">
        <v>175</v>
      </c>
    </row>
    <row r="170" spans="1:16" x14ac:dyDescent="0.25">
      <c r="A170" t="s">
        <v>143</v>
      </c>
      <c r="B170" t="s">
        <v>133</v>
      </c>
      <c r="C170">
        <v>0</v>
      </c>
      <c r="D170">
        <v>4.8014070987701416</v>
      </c>
      <c r="E170">
        <v>1</v>
      </c>
      <c r="F170">
        <v>1</v>
      </c>
      <c r="G170">
        <v>1</v>
      </c>
      <c r="H170">
        <v>0</v>
      </c>
      <c r="I170">
        <v>1</v>
      </c>
      <c r="J170">
        <v>1</v>
      </c>
      <c r="K170">
        <v>1</v>
      </c>
      <c r="L170">
        <v>1</v>
      </c>
      <c r="M170">
        <v>1</v>
      </c>
      <c r="N170">
        <v>1</v>
      </c>
      <c r="O170">
        <v>1</v>
      </c>
      <c r="P170" t="s">
        <v>176</v>
      </c>
    </row>
    <row r="171" spans="1:16" x14ac:dyDescent="0.25">
      <c r="A171" t="s">
        <v>143</v>
      </c>
      <c r="B171" t="s">
        <v>135</v>
      </c>
      <c r="C171">
        <v>0</v>
      </c>
      <c r="D171">
        <v>2.691064596176147</v>
      </c>
      <c r="E171">
        <v>1</v>
      </c>
      <c r="F171">
        <v>1</v>
      </c>
      <c r="G171">
        <v>1</v>
      </c>
      <c r="H171">
        <v>1</v>
      </c>
      <c r="I171">
        <v>1</v>
      </c>
      <c r="J171">
        <v>1</v>
      </c>
      <c r="K171">
        <v>1</v>
      </c>
      <c r="L171">
        <v>1</v>
      </c>
      <c r="M171">
        <v>1</v>
      </c>
      <c r="N171">
        <v>1</v>
      </c>
      <c r="O171">
        <v>1</v>
      </c>
    </row>
    <row r="172" spans="1:16" x14ac:dyDescent="0.25">
      <c r="A172" t="s">
        <v>143</v>
      </c>
      <c r="B172" t="s">
        <v>136</v>
      </c>
      <c r="C172">
        <v>0</v>
      </c>
      <c r="D172">
        <v>10.052916049957281</v>
      </c>
      <c r="E172">
        <v>1</v>
      </c>
      <c r="F172">
        <v>1</v>
      </c>
      <c r="G172">
        <v>1</v>
      </c>
      <c r="H172">
        <v>1</v>
      </c>
      <c r="I172">
        <v>1</v>
      </c>
      <c r="J172">
        <v>1</v>
      </c>
      <c r="K172">
        <v>0</v>
      </c>
      <c r="L172">
        <v>1</v>
      </c>
      <c r="M172">
        <v>1</v>
      </c>
      <c r="N172">
        <v>1</v>
      </c>
      <c r="O172">
        <v>1</v>
      </c>
      <c r="P172" t="s">
        <v>177</v>
      </c>
    </row>
    <row r="173" spans="1:16" x14ac:dyDescent="0.25">
      <c r="A173" t="s">
        <v>143</v>
      </c>
      <c r="B173" t="s">
        <v>137</v>
      </c>
      <c r="C173">
        <v>0</v>
      </c>
      <c r="D173">
        <v>2.7167913913726811</v>
      </c>
      <c r="E173">
        <v>1</v>
      </c>
      <c r="F173">
        <v>1</v>
      </c>
      <c r="G173">
        <v>1</v>
      </c>
      <c r="H173">
        <v>1</v>
      </c>
      <c r="I173">
        <v>1</v>
      </c>
      <c r="J173">
        <v>1</v>
      </c>
      <c r="K173">
        <v>1</v>
      </c>
      <c r="L173">
        <v>1</v>
      </c>
      <c r="M173">
        <v>1</v>
      </c>
      <c r="N173">
        <v>1</v>
      </c>
      <c r="O173">
        <v>1</v>
      </c>
    </row>
    <row r="174" spans="1:16" x14ac:dyDescent="0.25">
      <c r="A174" t="s">
        <v>143</v>
      </c>
      <c r="B174" t="s">
        <v>138</v>
      </c>
      <c r="C174">
        <v>0</v>
      </c>
      <c r="D174">
        <v>2.817715167999268</v>
      </c>
      <c r="E174">
        <v>1</v>
      </c>
      <c r="F174">
        <v>1</v>
      </c>
      <c r="G174">
        <v>1</v>
      </c>
      <c r="H174">
        <v>1</v>
      </c>
      <c r="I174">
        <v>1</v>
      </c>
      <c r="J174">
        <v>1</v>
      </c>
      <c r="K174">
        <v>1</v>
      </c>
      <c r="L174">
        <v>1</v>
      </c>
      <c r="M174">
        <v>1</v>
      </c>
      <c r="N174">
        <v>1</v>
      </c>
      <c r="O174">
        <v>1</v>
      </c>
    </row>
    <row r="175" spans="1:16" x14ac:dyDescent="0.25">
      <c r="A175" t="s">
        <v>143</v>
      </c>
      <c r="B175" t="s">
        <v>140</v>
      </c>
      <c r="C175">
        <v>0</v>
      </c>
      <c r="D175">
        <v>4.9224345684051514</v>
      </c>
      <c r="E175">
        <v>1</v>
      </c>
      <c r="F175">
        <v>1</v>
      </c>
      <c r="G175">
        <v>1</v>
      </c>
      <c r="H175">
        <v>1</v>
      </c>
      <c r="I175">
        <v>1</v>
      </c>
      <c r="J175">
        <v>0</v>
      </c>
      <c r="K175">
        <v>1</v>
      </c>
      <c r="L175">
        <v>1</v>
      </c>
      <c r="M175">
        <v>1</v>
      </c>
      <c r="N175">
        <v>1</v>
      </c>
      <c r="O175">
        <v>1</v>
      </c>
      <c r="P175" t="s">
        <v>178</v>
      </c>
    </row>
    <row r="176" spans="1:16" x14ac:dyDescent="0.25">
      <c r="A176" t="s">
        <v>143</v>
      </c>
      <c r="B176" t="s">
        <v>141</v>
      </c>
      <c r="C176">
        <v>0</v>
      </c>
      <c r="D176">
        <v>5.0286672115325928</v>
      </c>
      <c r="E176">
        <v>1</v>
      </c>
      <c r="F176">
        <v>1</v>
      </c>
      <c r="G176">
        <v>1</v>
      </c>
      <c r="H176">
        <v>1</v>
      </c>
      <c r="I176">
        <v>1</v>
      </c>
      <c r="J176">
        <v>0</v>
      </c>
      <c r="K176">
        <v>1</v>
      </c>
      <c r="L176">
        <v>1</v>
      </c>
      <c r="M176">
        <v>1</v>
      </c>
      <c r="N176">
        <v>1</v>
      </c>
      <c r="O176">
        <v>1</v>
      </c>
      <c r="P176" t="s">
        <v>179</v>
      </c>
    </row>
    <row r="177" spans="1:16" x14ac:dyDescent="0.25">
      <c r="A177" t="s">
        <v>143</v>
      </c>
      <c r="B177" t="s">
        <v>180</v>
      </c>
      <c r="C177">
        <v>0</v>
      </c>
      <c r="D177">
        <v>4.2081751823425293</v>
      </c>
      <c r="E177">
        <v>1</v>
      </c>
      <c r="F177">
        <v>1</v>
      </c>
      <c r="G177">
        <v>1</v>
      </c>
      <c r="H177">
        <v>1</v>
      </c>
      <c r="I177">
        <v>1</v>
      </c>
      <c r="J177">
        <v>0</v>
      </c>
      <c r="K177">
        <v>1</v>
      </c>
      <c r="L177">
        <v>1</v>
      </c>
      <c r="M177">
        <v>1</v>
      </c>
      <c r="N177">
        <v>1</v>
      </c>
      <c r="O177">
        <v>1</v>
      </c>
      <c r="P177" t="s">
        <v>181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77"/>
  <sheetViews>
    <sheetView topLeftCell="A34" workbookViewId="0">
      <selection activeCell="F27" sqref="F27"/>
    </sheetView>
  </sheetViews>
  <sheetFormatPr defaultRowHeight="13.8" x14ac:dyDescent="0.25"/>
  <cols>
    <col min="2" max="2" width="10.79687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2.6852431297302251</v>
      </c>
      <c r="E2">
        <v>1</v>
      </c>
      <c r="F2">
        <v>1</v>
      </c>
      <c r="G2">
        <v>1</v>
      </c>
      <c r="H2">
        <v>1</v>
      </c>
      <c r="I2">
        <v>1</v>
      </c>
      <c r="J2">
        <v>1</v>
      </c>
      <c r="K2">
        <v>1</v>
      </c>
      <c r="L2">
        <v>1</v>
      </c>
      <c r="M2">
        <v>1</v>
      </c>
      <c r="N2">
        <v>1</v>
      </c>
      <c r="O2">
        <v>1</v>
      </c>
    </row>
    <row r="3" spans="1:16" x14ac:dyDescent="0.25">
      <c r="A3" t="s">
        <v>16</v>
      </c>
      <c r="B3" t="s">
        <v>18</v>
      </c>
      <c r="C3">
        <v>0</v>
      </c>
      <c r="D3">
        <v>10.584230422973629</v>
      </c>
      <c r="E3">
        <v>1</v>
      </c>
      <c r="F3">
        <v>1</v>
      </c>
      <c r="G3">
        <v>1</v>
      </c>
      <c r="H3">
        <v>1</v>
      </c>
      <c r="I3">
        <v>1</v>
      </c>
      <c r="J3">
        <v>1</v>
      </c>
      <c r="K3">
        <v>1</v>
      </c>
      <c r="L3">
        <v>1</v>
      </c>
      <c r="M3">
        <v>1</v>
      </c>
      <c r="N3">
        <v>1</v>
      </c>
      <c r="O3">
        <v>1</v>
      </c>
    </row>
    <row r="4" spans="1:16" x14ac:dyDescent="0.25">
      <c r="A4" t="s">
        <v>16</v>
      </c>
      <c r="B4" t="s">
        <v>19</v>
      </c>
      <c r="C4">
        <v>0</v>
      </c>
      <c r="D4">
        <v>2.833415031433105</v>
      </c>
      <c r="E4">
        <v>1</v>
      </c>
      <c r="F4">
        <v>1</v>
      </c>
      <c r="G4">
        <v>1</v>
      </c>
      <c r="H4">
        <v>1</v>
      </c>
      <c r="I4">
        <v>1</v>
      </c>
      <c r="J4">
        <v>1</v>
      </c>
      <c r="K4">
        <v>1</v>
      </c>
      <c r="L4">
        <v>1</v>
      </c>
      <c r="M4">
        <v>1</v>
      </c>
      <c r="N4">
        <v>1</v>
      </c>
      <c r="O4">
        <v>1</v>
      </c>
    </row>
    <row r="5" spans="1:16" x14ac:dyDescent="0.25">
      <c r="A5" t="s">
        <v>16</v>
      </c>
      <c r="B5" t="s">
        <v>22</v>
      </c>
      <c r="C5">
        <v>0</v>
      </c>
      <c r="D5">
        <v>5.9732534885406494</v>
      </c>
      <c r="E5">
        <v>1</v>
      </c>
      <c r="F5">
        <v>1</v>
      </c>
      <c r="G5">
        <v>1</v>
      </c>
      <c r="H5">
        <v>1</v>
      </c>
      <c r="I5">
        <v>1</v>
      </c>
      <c r="J5">
        <v>0</v>
      </c>
      <c r="K5">
        <v>0</v>
      </c>
      <c r="L5">
        <v>1</v>
      </c>
      <c r="M5">
        <v>1</v>
      </c>
      <c r="N5">
        <v>1</v>
      </c>
      <c r="O5">
        <v>1</v>
      </c>
      <c r="P5" t="s">
        <v>182</v>
      </c>
    </row>
    <row r="6" spans="1:16" x14ac:dyDescent="0.25">
      <c r="A6" t="s">
        <v>16</v>
      </c>
      <c r="B6" t="s">
        <v>24</v>
      </c>
      <c r="C6">
        <v>0</v>
      </c>
      <c r="D6">
        <v>9.4653251171112061</v>
      </c>
      <c r="E6">
        <v>1</v>
      </c>
      <c r="F6">
        <v>1</v>
      </c>
      <c r="G6">
        <v>1</v>
      </c>
      <c r="H6">
        <v>1</v>
      </c>
      <c r="I6">
        <v>1</v>
      </c>
      <c r="J6">
        <v>1</v>
      </c>
      <c r="K6">
        <v>1</v>
      </c>
      <c r="L6">
        <v>1</v>
      </c>
      <c r="M6">
        <v>1</v>
      </c>
      <c r="N6">
        <v>1</v>
      </c>
      <c r="O6">
        <v>1</v>
      </c>
    </row>
    <row r="7" spans="1:16" x14ac:dyDescent="0.25">
      <c r="A7" t="s">
        <v>16</v>
      </c>
      <c r="B7" t="s">
        <v>25</v>
      </c>
      <c r="C7">
        <v>0</v>
      </c>
      <c r="D7">
        <v>2.764040470123291</v>
      </c>
      <c r="E7">
        <v>1</v>
      </c>
      <c r="F7">
        <v>1</v>
      </c>
      <c r="G7">
        <v>1</v>
      </c>
      <c r="H7">
        <v>1</v>
      </c>
      <c r="I7">
        <v>1</v>
      </c>
      <c r="J7">
        <v>1</v>
      </c>
      <c r="K7">
        <v>1</v>
      </c>
      <c r="L7">
        <v>1</v>
      </c>
      <c r="M7">
        <v>1</v>
      </c>
      <c r="N7">
        <v>1</v>
      </c>
      <c r="O7">
        <v>1</v>
      </c>
    </row>
    <row r="8" spans="1:16" x14ac:dyDescent="0.25">
      <c r="A8" t="s">
        <v>16</v>
      </c>
      <c r="B8" t="s">
        <v>26</v>
      </c>
      <c r="C8">
        <v>0</v>
      </c>
      <c r="D8">
        <v>2.820122241973877</v>
      </c>
      <c r="E8">
        <v>1</v>
      </c>
      <c r="F8">
        <v>1</v>
      </c>
      <c r="G8">
        <v>1</v>
      </c>
      <c r="H8">
        <v>1</v>
      </c>
      <c r="I8">
        <v>1</v>
      </c>
      <c r="J8">
        <v>1</v>
      </c>
      <c r="K8">
        <v>1</v>
      </c>
      <c r="L8">
        <v>1</v>
      </c>
      <c r="M8">
        <v>1</v>
      </c>
      <c r="N8">
        <v>1</v>
      </c>
      <c r="O8">
        <v>1</v>
      </c>
    </row>
    <row r="9" spans="1:16" x14ac:dyDescent="0.25">
      <c r="A9" t="s">
        <v>16</v>
      </c>
      <c r="B9" t="s">
        <v>27</v>
      </c>
      <c r="C9">
        <v>0</v>
      </c>
      <c r="D9">
        <v>2.9339296817779541</v>
      </c>
      <c r="E9">
        <v>1</v>
      </c>
      <c r="F9">
        <v>1</v>
      </c>
      <c r="G9">
        <v>1</v>
      </c>
      <c r="H9">
        <v>1</v>
      </c>
      <c r="I9">
        <v>1</v>
      </c>
      <c r="J9">
        <v>1</v>
      </c>
      <c r="K9">
        <v>1</v>
      </c>
      <c r="L9">
        <v>1</v>
      </c>
      <c r="M9">
        <v>1</v>
      </c>
      <c r="N9">
        <v>1</v>
      </c>
      <c r="O9">
        <v>1</v>
      </c>
    </row>
    <row r="10" spans="1:16" x14ac:dyDescent="0.25">
      <c r="A10" t="s">
        <v>16</v>
      </c>
      <c r="B10" t="s">
        <v>28</v>
      </c>
      <c r="C10">
        <v>0</v>
      </c>
      <c r="D10">
        <v>9.7566859722137451</v>
      </c>
      <c r="E10">
        <v>1</v>
      </c>
      <c r="F10">
        <v>1</v>
      </c>
      <c r="G10">
        <v>1</v>
      </c>
      <c r="H10">
        <v>1</v>
      </c>
      <c r="I10">
        <v>1</v>
      </c>
      <c r="J10">
        <v>1</v>
      </c>
      <c r="K10">
        <v>1</v>
      </c>
      <c r="L10">
        <v>1</v>
      </c>
      <c r="M10">
        <v>1</v>
      </c>
      <c r="N10">
        <v>1</v>
      </c>
      <c r="O10">
        <v>1</v>
      </c>
    </row>
    <row r="11" spans="1:16" x14ac:dyDescent="0.25">
      <c r="A11" t="s">
        <v>16</v>
      </c>
      <c r="B11" t="s">
        <v>29</v>
      </c>
      <c r="C11">
        <v>0</v>
      </c>
      <c r="D11">
        <v>9.1482715606689453</v>
      </c>
      <c r="E11">
        <v>0</v>
      </c>
      <c r="F11" t="s">
        <v>20</v>
      </c>
      <c r="G11" t="s">
        <v>20</v>
      </c>
      <c r="H11" t="s">
        <v>20</v>
      </c>
      <c r="I11" t="s">
        <v>20</v>
      </c>
      <c r="J11" t="s">
        <v>20</v>
      </c>
      <c r="K11" t="s">
        <v>20</v>
      </c>
      <c r="L11" t="s">
        <v>20</v>
      </c>
      <c r="M11" t="s">
        <v>20</v>
      </c>
      <c r="N11" t="s">
        <v>20</v>
      </c>
      <c r="O11" t="s">
        <v>20</v>
      </c>
      <c r="P11" t="s">
        <v>183</v>
      </c>
    </row>
    <row r="12" spans="1:16" x14ac:dyDescent="0.25">
      <c r="A12" t="s">
        <v>16</v>
      </c>
      <c r="B12" t="s">
        <v>31</v>
      </c>
      <c r="C12">
        <v>0</v>
      </c>
      <c r="D12">
        <v>5.254673957824707</v>
      </c>
      <c r="E12">
        <v>1</v>
      </c>
      <c r="F12">
        <v>1</v>
      </c>
      <c r="G12">
        <v>1</v>
      </c>
      <c r="H12">
        <v>0</v>
      </c>
      <c r="I12">
        <v>1</v>
      </c>
      <c r="J12">
        <v>1</v>
      </c>
      <c r="K12">
        <v>1</v>
      </c>
      <c r="L12">
        <v>1</v>
      </c>
      <c r="M12">
        <v>1</v>
      </c>
      <c r="N12">
        <v>1</v>
      </c>
      <c r="O12">
        <v>1</v>
      </c>
      <c r="P12" t="s">
        <v>184</v>
      </c>
    </row>
    <row r="13" spans="1:16" x14ac:dyDescent="0.25">
      <c r="A13" t="s">
        <v>16</v>
      </c>
      <c r="B13" t="s">
        <v>33</v>
      </c>
      <c r="C13">
        <v>0</v>
      </c>
      <c r="D13">
        <v>13.45462226867676</v>
      </c>
      <c r="E13">
        <v>0</v>
      </c>
      <c r="F13" t="s">
        <v>20</v>
      </c>
      <c r="G13" t="s">
        <v>20</v>
      </c>
      <c r="H13" t="s">
        <v>20</v>
      </c>
      <c r="I13" t="s">
        <v>20</v>
      </c>
      <c r="J13" t="s">
        <v>20</v>
      </c>
      <c r="K13" t="s">
        <v>20</v>
      </c>
      <c r="L13" t="s">
        <v>20</v>
      </c>
      <c r="M13" t="s">
        <v>20</v>
      </c>
      <c r="N13" t="s">
        <v>20</v>
      </c>
      <c r="O13" t="s">
        <v>20</v>
      </c>
      <c r="P13" t="s">
        <v>185</v>
      </c>
    </row>
    <row r="14" spans="1:16" x14ac:dyDescent="0.25">
      <c r="A14" t="s">
        <v>16</v>
      </c>
      <c r="B14" t="s">
        <v>35</v>
      </c>
      <c r="C14">
        <v>0</v>
      </c>
      <c r="D14">
        <v>2.8658511638641362</v>
      </c>
      <c r="E14">
        <v>1</v>
      </c>
      <c r="F14">
        <v>1</v>
      </c>
      <c r="G14">
        <v>1</v>
      </c>
      <c r="H14">
        <v>1</v>
      </c>
      <c r="I14">
        <v>1</v>
      </c>
      <c r="J14">
        <v>1</v>
      </c>
      <c r="K14">
        <v>1</v>
      </c>
      <c r="L14">
        <v>1</v>
      </c>
      <c r="M14">
        <v>1</v>
      </c>
      <c r="N14">
        <v>1</v>
      </c>
      <c r="O14">
        <v>1</v>
      </c>
    </row>
    <row r="15" spans="1:16" x14ac:dyDescent="0.25">
      <c r="A15" t="s">
        <v>16</v>
      </c>
      <c r="B15" t="s">
        <v>36</v>
      </c>
      <c r="C15">
        <v>0</v>
      </c>
      <c r="D15">
        <v>2.87434983253479</v>
      </c>
      <c r="E15">
        <v>1</v>
      </c>
      <c r="F15">
        <v>1</v>
      </c>
      <c r="G15">
        <v>1</v>
      </c>
      <c r="H15">
        <v>1</v>
      </c>
      <c r="I15">
        <v>1</v>
      </c>
      <c r="J15">
        <v>1</v>
      </c>
      <c r="K15">
        <v>1</v>
      </c>
      <c r="L15">
        <v>1</v>
      </c>
      <c r="M15">
        <v>1</v>
      </c>
      <c r="N15">
        <v>1</v>
      </c>
      <c r="O15">
        <v>1</v>
      </c>
    </row>
    <row r="16" spans="1:16" x14ac:dyDescent="0.25">
      <c r="A16" t="s">
        <v>16</v>
      </c>
      <c r="B16" t="s">
        <v>38</v>
      </c>
      <c r="C16">
        <v>0</v>
      </c>
      <c r="D16">
        <v>11.307126522064211</v>
      </c>
      <c r="E16">
        <v>1</v>
      </c>
      <c r="F16">
        <v>1</v>
      </c>
      <c r="G16">
        <v>0</v>
      </c>
      <c r="H16" t="s">
        <v>20</v>
      </c>
      <c r="I16">
        <v>1</v>
      </c>
      <c r="J16">
        <v>1</v>
      </c>
      <c r="K16">
        <v>1</v>
      </c>
      <c r="L16">
        <v>1</v>
      </c>
      <c r="M16">
        <v>1</v>
      </c>
      <c r="N16">
        <v>1</v>
      </c>
      <c r="O16">
        <v>1</v>
      </c>
      <c r="P16" t="s">
        <v>186</v>
      </c>
    </row>
    <row r="17" spans="1:16" x14ac:dyDescent="0.25">
      <c r="A17" t="s">
        <v>16</v>
      </c>
      <c r="B17" t="s">
        <v>40</v>
      </c>
      <c r="C17">
        <v>0</v>
      </c>
      <c r="D17">
        <v>4.8262405395507813</v>
      </c>
      <c r="E17">
        <v>1</v>
      </c>
      <c r="F17">
        <v>1</v>
      </c>
      <c r="G17">
        <v>1</v>
      </c>
      <c r="H17">
        <v>0</v>
      </c>
      <c r="I17">
        <v>1</v>
      </c>
      <c r="J17">
        <v>1</v>
      </c>
      <c r="K17">
        <v>1</v>
      </c>
      <c r="L17">
        <v>1</v>
      </c>
      <c r="M17">
        <v>1</v>
      </c>
      <c r="N17">
        <v>1</v>
      </c>
      <c r="O17">
        <v>1</v>
      </c>
      <c r="P17" t="s">
        <v>187</v>
      </c>
    </row>
    <row r="18" spans="1:16" x14ac:dyDescent="0.25">
      <c r="A18" t="s">
        <v>16</v>
      </c>
      <c r="B18" t="s">
        <v>42</v>
      </c>
      <c r="C18">
        <v>0</v>
      </c>
      <c r="D18">
        <v>2.7332906723022461</v>
      </c>
      <c r="E18">
        <v>1</v>
      </c>
      <c r="F18">
        <v>1</v>
      </c>
      <c r="G18">
        <v>1</v>
      </c>
      <c r="H18">
        <v>1</v>
      </c>
      <c r="I18">
        <v>1</v>
      </c>
      <c r="J18">
        <v>1</v>
      </c>
      <c r="K18">
        <v>1</v>
      </c>
      <c r="L18">
        <v>1</v>
      </c>
      <c r="M18">
        <v>1</v>
      </c>
      <c r="N18">
        <v>1</v>
      </c>
      <c r="O18">
        <v>1</v>
      </c>
    </row>
    <row r="19" spans="1:16" x14ac:dyDescent="0.25">
      <c r="A19" t="s">
        <v>16</v>
      </c>
      <c r="B19" t="s">
        <v>43</v>
      </c>
      <c r="C19">
        <v>0</v>
      </c>
      <c r="D19">
        <v>10.009708404541019</v>
      </c>
      <c r="E19">
        <v>1</v>
      </c>
      <c r="F19">
        <v>1</v>
      </c>
      <c r="G19">
        <v>1</v>
      </c>
      <c r="H19">
        <v>1</v>
      </c>
      <c r="I19">
        <v>1</v>
      </c>
      <c r="J19">
        <v>1</v>
      </c>
      <c r="K19">
        <v>1</v>
      </c>
      <c r="L19">
        <v>1</v>
      </c>
      <c r="M19">
        <v>1</v>
      </c>
      <c r="N19">
        <v>1</v>
      </c>
      <c r="O19">
        <v>1</v>
      </c>
    </row>
    <row r="20" spans="1:16" x14ac:dyDescent="0.25">
      <c r="A20" t="s">
        <v>16</v>
      </c>
      <c r="B20" t="s">
        <v>44</v>
      </c>
      <c r="C20">
        <v>0</v>
      </c>
      <c r="D20">
        <v>7.7084040641784668</v>
      </c>
      <c r="E20">
        <v>1</v>
      </c>
      <c r="F20">
        <v>1</v>
      </c>
      <c r="G20">
        <v>0</v>
      </c>
      <c r="H20" t="s">
        <v>20</v>
      </c>
      <c r="I20">
        <v>1</v>
      </c>
      <c r="J20">
        <v>1</v>
      </c>
      <c r="K20">
        <v>1</v>
      </c>
      <c r="L20">
        <v>1</v>
      </c>
      <c r="M20">
        <v>1</v>
      </c>
      <c r="N20">
        <v>1</v>
      </c>
      <c r="O20">
        <v>1</v>
      </c>
      <c r="P20" t="s">
        <v>188</v>
      </c>
    </row>
    <row r="21" spans="1:16" x14ac:dyDescent="0.25">
      <c r="A21" t="s">
        <v>16</v>
      </c>
      <c r="B21" t="s">
        <v>46</v>
      </c>
      <c r="C21">
        <v>0</v>
      </c>
      <c r="D21">
        <v>10.376223087310789</v>
      </c>
      <c r="E21">
        <v>1</v>
      </c>
      <c r="F21">
        <v>1</v>
      </c>
      <c r="G21">
        <v>1</v>
      </c>
      <c r="H21">
        <v>1</v>
      </c>
      <c r="I21">
        <v>1</v>
      </c>
      <c r="J21">
        <v>1</v>
      </c>
      <c r="K21">
        <v>1</v>
      </c>
      <c r="L21">
        <v>0</v>
      </c>
      <c r="M21">
        <v>1</v>
      </c>
      <c r="N21">
        <v>1</v>
      </c>
      <c r="O21">
        <v>1</v>
      </c>
      <c r="P21" t="s">
        <v>189</v>
      </c>
    </row>
    <row r="22" spans="1:16" x14ac:dyDescent="0.25">
      <c r="A22" t="s">
        <v>16</v>
      </c>
      <c r="B22" t="s">
        <v>48</v>
      </c>
      <c r="C22">
        <v>0</v>
      </c>
      <c r="D22">
        <v>2.8423466682434082</v>
      </c>
      <c r="E22">
        <v>1</v>
      </c>
      <c r="F22">
        <v>1</v>
      </c>
      <c r="G22">
        <v>1</v>
      </c>
      <c r="H22">
        <v>1</v>
      </c>
      <c r="I22">
        <v>1</v>
      </c>
      <c r="J22">
        <v>1</v>
      </c>
      <c r="K22">
        <v>1</v>
      </c>
      <c r="L22">
        <v>1</v>
      </c>
      <c r="M22">
        <v>1</v>
      </c>
      <c r="N22">
        <v>1</v>
      </c>
      <c r="O22">
        <v>1</v>
      </c>
    </row>
    <row r="23" spans="1:16" x14ac:dyDescent="0.25">
      <c r="A23" t="s">
        <v>16</v>
      </c>
      <c r="B23" t="s">
        <v>50</v>
      </c>
      <c r="C23">
        <v>0</v>
      </c>
      <c r="D23">
        <v>2.90865159034729</v>
      </c>
      <c r="E23">
        <v>1</v>
      </c>
      <c r="F23">
        <v>1</v>
      </c>
      <c r="G23">
        <v>1</v>
      </c>
      <c r="H23">
        <v>1</v>
      </c>
      <c r="I23">
        <v>1</v>
      </c>
      <c r="J23">
        <v>1</v>
      </c>
      <c r="K23">
        <v>1</v>
      </c>
      <c r="L23">
        <v>1</v>
      </c>
      <c r="M23">
        <v>1</v>
      </c>
      <c r="N23">
        <v>1</v>
      </c>
      <c r="O23">
        <v>1</v>
      </c>
    </row>
    <row r="24" spans="1:16" x14ac:dyDescent="0.25">
      <c r="A24" t="s">
        <v>16</v>
      </c>
      <c r="B24" t="s">
        <v>51</v>
      </c>
      <c r="C24">
        <v>0</v>
      </c>
      <c r="D24">
        <v>9.4529356956481934</v>
      </c>
      <c r="E24">
        <v>1</v>
      </c>
      <c r="F24">
        <v>1</v>
      </c>
      <c r="G24">
        <v>1</v>
      </c>
      <c r="H24">
        <v>1</v>
      </c>
      <c r="I24">
        <v>1</v>
      </c>
      <c r="J24">
        <v>1</v>
      </c>
      <c r="K24">
        <v>1</v>
      </c>
      <c r="L24">
        <v>1</v>
      </c>
      <c r="M24">
        <v>1</v>
      </c>
      <c r="N24">
        <v>1</v>
      </c>
      <c r="O24">
        <v>1</v>
      </c>
    </row>
    <row r="25" spans="1:16" x14ac:dyDescent="0.25">
      <c r="A25" t="s">
        <v>16</v>
      </c>
      <c r="B25" t="s">
        <v>52</v>
      </c>
      <c r="C25">
        <v>0</v>
      </c>
      <c r="D25">
        <v>2.9156367778778081</v>
      </c>
      <c r="E25">
        <v>1</v>
      </c>
      <c r="F25">
        <v>1</v>
      </c>
      <c r="G25">
        <v>1</v>
      </c>
      <c r="H25">
        <v>1</v>
      </c>
      <c r="I25">
        <v>1</v>
      </c>
      <c r="J25">
        <v>1</v>
      </c>
      <c r="K25">
        <v>1</v>
      </c>
      <c r="L25">
        <v>1</v>
      </c>
      <c r="M25">
        <v>1</v>
      </c>
      <c r="N25">
        <v>1</v>
      </c>
      <c r="O25">
        <v>1</v>
      </c>
    </row>
    <row r="26" spans="1:16" x14ac:dyDescent="0.25">
      <c r="A26" t="s">
        <v>16</v>
      </c>
      <c r="B26" t="s">
        <v>53</v>
      </c>
      <c r="C26">
        <v>0</v>
      </c>
      <c r="D26">
        <v>5.1322038173675537</v>
      </c>
      <c r="E26">
        <v>0</v>
      </c>
      <c r="F26" t="s">
        <v>20</v>
      </c>
      <c r="G26" t="s">
        <v>20</v>
      </c>
      <c r="H26" t="s">
        <v>20</v>
      </c>
      <c r="I26" t="s">
        <v>20</v>
      </c>
      <c r="J26" t="s">
        <v>20</v>
      </c>
      <c r="K26" t="s">
        <v>20</v>
      </c>
      <c r="L26" t="s">
        <v>20</v>
      </c>
      <c r="M26" t="s">
        <v>20</v>
      </c>
      <c r="N26" t="s">
        <v>20</v>
      </c>
      <c r="O26" t="s">
        <v>20</v>
      </c>
      <c r="P26" t="s">
        <v>190</v>
      </c>
    </row>
    <row r="27" spans="1:16" x14ac:dyDescent="0.25">
      <c r="A27" t="s">
        <v>16</v>
      </c>
      <c r="B27" t="s">
        <v>55</v>
      </c>
      <c r="C27">
        <v>0</v>
      </c>
      <c r="D27">
        <v>8.3418245315551758</v>
      </c>
      <c r="E27">
        <v>1</v>
      </c>
      <c r="F27">
        <v>0</v>
      </c>
      <c r="G27">
        <v>1</v>
      </c>
      <c r="H27" t="s">
        <v>20</v>
      </c>
      <c r="I27">
        <v>1</v>
      </c>
      <c r="J27" t="s">
        <v>20</v>
      </c>
      <c r="K27">
        <v>1</v>
      </c>
      <c r="L27">
        <v>1</v>
      </c>
      <c r="M27">
        <v>1</v>
      </c>
      <c r="N27">
        <v>1</v>
      </c>
      <c r="O27">
        <v>1</v>
      </c>
      <c r="P27" t="s">
        <v>191</v>
      </c>
    </row>
    <row r="28" spans="1:16" x14ac:dyDescent="0.25">
      <c r="A28" t="s">
        <v>16</v>
      </c>
      <c r="B28" t="s">
        <v>57</v>
      </c>
      <c r="C28">
        <v>0</v>
      </c>
      <c r="D28">
        <v>7.8584189414978027</v>
      </c>
      <c r="E28">
        <v>1</v>
      </c>
      <c r="F28">
        <v>1</v>
      </c>
      <c r="G28">
        <v>0</v>
      </c>
      <c r="H28" t="s">
        <v>20</v>
      </c>
      <c r="I28">
        <v>1</v>
      </c>
      <c r="J28">
        <v>1</v>
      </c>
      <c r="K28">
        <v>1</v>
      </c>
      <c r="L28">
        <v>1</v>
      </c>
      <c r="M28">
        <v>1</v>
      </c>
      <c r="N28">
        <v>1</v>
      </c>
      <c r="O28">
        <v>1</v>
      </c>
      <c r="P28" t="s">
        <v>192</v>
      </c>
    </row>
    <row r="29" spans="1:16" x14ac:dyDescent="0.25">
      <c r="A29" t="s">
        <v>16</v>
      </c>
      <c r="B29" t="s">
        <v>59</v>
      </c>
      <c r="C29">
        <v>0</v>
      </c>
      <c r="D29">
        <v>11.094906806945801</v>
      </c>
      <c r="E29">
        <v>1</v>
      </c>
      <c r="F29">
        <v>1</v>
      </c>
      <c r="G29">
        <v>1</v>
      </c>
      <c r="H29">
        <v>1</v>
      </c>
      <c r="I29">
        <v>1</v>
      </c>
      <c r="J29">
        <v>1</v>
      </c>
      <c r="K29">
        <v>0</v>
      </c>
      <c r="L29">
        <v>1</v>
      </c>
      <c r="M29">
        <v>1</v>
      </c>
      <c r="N29">
        <v>1</v>
      </c>
      <c r="O29">
        <v>1</v>
      </c>
      <c r="P29" t="s">
        <v>193</v>
      </c>
    </row>
    <row r="30" spans="1:16" x14ac:dyDescent="0.25">
      <c r="A30" t="s">
        <v>16</v>
      </c>
      <c r="B30" t="s">
        <v>61</v>
      </c>
      <c r="C30">
        <v>0</v>
      </c>
      <c r="D30">
        <v>8.455237865447998</v>
      </c>
      <c r="E30">
        <v>0</v>
      </c>
      <c r="F30" t="s">
        <v>20</v>
      </c>
      <c r="G30" t="s">
        <v>20</v>
      </c>
      <c r="H30" t="s">
        <v>20</v>
      </c>
      <c r="I30" t="s">
        <v>20</v>
      </c>
      <c r="J30" t="s">
        <v>20</v>
      </c>
      <c r="K30" t="s">
        <v>20</v>
      </c>
      <c r="L30" t="s">
        <v>20</v>
      </c>
      <c r="M30" t="s">
        <v>20</v>
      </c>
      <c r="N30" t="s">
        <v>20</v>
      </c>
      <c r="O30" t="s">
        <v>20</v>
      </c>
      <c r="P30" t="s">
        <v>194</v>
      </c>
    </row>
    <row r="31" spans="1:16" x14ac:dyDescent="0.25">
      <c r="A31" t="s">
        <v>16</v>
      </c>
      <c r="B31" t="s">
        <v>63</v>
      </c>
      <c r="C31">
        <v>0</v>
      </c>
      <c r="D31">
        <v>5.6199896335601807</v>
      </c>
      <c r="E31">
        <v>1</v>
      </c>
      <c r="F31">
        <v>0</v>
      </c>
      <c r="G31">
        <v>1</v>
      </c>
      <c r="H31" t="s">
        <v>20</v>
      </c>
      <c r="I31">
        <v>1</v>
      </c>
      <c r="J31" t="s">
        <v>20</v>
      </c>
      <c r="K31">
        <v>1</v>
      </c>
      <c r="L31">
        <v>1</v>
      </c>
      <c r="M31">
        <v>1</v>
      </c>
      <c r="N31">
        <v>1</v>
      </c>
      <c r="O31">
        <v>1</v>
      </c>
      <c r="P31" t="s">
        <v>195</v>
      </c>
    </row>
    <row r="32" spans="1:16" x14ac:dyDescent="0.25">
      <c r="A32" t="s">
        <v>16</v>
      </c>
      <c r="B32" t="s">
        <v>65</v>
      </c>
      <c r="C32">
        <v>0</v>
      </c>
      <c r="D32">
        <v>6.5976188182830811</v>
      </c>
      <c r="E32">
        <v>1</v>
      </c>
      <c r="F32">
        <v>0</v>
      </c>
      <c r="G32">
        <v>1</v>
      </c>
      <c r="H32" t="s">
        <v>20</v>
      </c>
      <c r="I32">
        <v>1</v>
      </c>
      <c r="J32" t="s">
        <v>20</v>
      </c>
      <c r="K32">
        <v>1</v>
      </c>
      <c r="L32">
        <v>1</v>
      </c>
      <c r="M32">
        <v>1</v>
      </c>
      <c r="N32">
        <v>1</v>
      </c>
      <c r="O32">
        <v>1</v>
      </c>
      <c r="P32" t="s">
        <v>196</v>
      </c>
    </row>
    <row r="33" spans="1:16" x14ac:dyDescent="0.25">
      <c r="A33" t="s">
        <v>16</v>
      </c>
      <c r="B33" t="s">
        <v>67</v>
      </c>
      <c r="C33">
        <v>0</v>
      </c>
      <c r="D33">
        <v>2.849530935287476</v>
      </c>
      <c r="E33">
        <v>1</v>
      </c>
      <c r="F33">
        <v>1</v>
      </c>
      <c r="G33">
        <v>1</v>
      </c>
      <c r="H33">
        <v>1</v>
      </c>
      <c r="I33">
        <v>1</v>
      </c>
      <c r="J33">
        <v>1</v>
      </c>
      <c r="K33">
        <v>1</v>
      </c>
      <c r="L33">
        <v>1</v>
      </c>
      <c r="M33">
        <v>1</v>
      </c>
      <c r="N33">
        <v>1</v>
      </c>
      <c r="O33">
        <v>1</v>
      </c>
    </row>
    <row r="34" spans="1:16" x14ac:dyDescent="0.25">
      <c r="A34" t="s">
        <v>16</v>
      </c>
      <c r="B34" t="s">
        <v>69</v>
      </c>
      <c r="C34">
        <v>0</v>
      </c>
      <c r="D34">
        <v>6.1642210483551034</v>
      </c>
      <c r="E34">
        <v>0</v>
      </c>
      <c r="F34" t="s">
        <v>20</v>
      </c>
      <c r="G34" t="s">
        <v>20</v>
      </c>
      <c r="H34" t="s">
        <v>20</v>
      </c>
      <c r="I34" t="s">
        <v>20</v>
      </c>
      <c r="J34" t="s">
        <v>20</v>
      </c>
      <c r="K34" t="s">
        <v>20</v>
      </c>
      <c r="L34" t="s">
        <v>20</v>
      </c>
      <c r="M34" t="s">
        <v>20</v>
      </c>
      <c r="N34" t="s">
        <v>20</v>
      </c>
      <c r="O34" t="s">
        <v>20</v>
      </c>
      <c r="P34" t="s">
        <v>197</v>
      </c>
    </row>
    <row r="35" spans="1:16" x14ac:dyDescent="0.25">
      <c r="A35" t="s">
        <v>16</v>
      </c>
      <c r="B35" t="s">
        <v>71</v>
      </c>
      <c r="C35">
        <v>0</v>
      </c>
      <c r="D35">
        <v>10.17811703681946</v>
      </c>
      <c r="E35">
        <v>1</v>
      </c>
      <c r="F35">
        <v>1</v>
      </c>
      <c r="G35">
        <v>1</v>
      </c>
      <c r="H35">
        <v>1</v>
      </c>
      <c r="I35">
        <v>1</v>
      </c>
      <c r="J35">
        <v>1</v>
      </c>
      <c r="K35">
        <v>1</v>
      </c>
      <c r="L35">
        <v>1</v>
      </c>
      <c r="M35">
        <v>1</v>
      </c>
      <c r="N35">
        <v>1</v>
      </c>
      <c r="O35">
        <v>1</v>
      </c>
    </row>
    <row r="36" spans="1:16" x14ac:dyDescent="0.25">
      <c r="A36" t="s">
        <v>16</v>
      </c>
      <c r="B36" t="s">
        <v>72</v>
      </c>
      <c r="C36">
        <v>0</v>
      </c>
      <c r="D36">
        <v>9.1334362030029297</v>
      </c>
      <c r="E36">
        <v>1</v>
      </c>
      <c r="F36">
        <v>1</v>
      </c>
      <c r="G36">
        <v>1</v>
      </c>
      <c r="H36">
        <v>1</v>
      </c>
      <c r="I36">
        <v>1</v>
      </c>
      <c r="J36">
        <v>1</v>
      </c>
      <c r="K36">
        <v>1</v>
      </c>
      <c r="L36">
        <v>1</v>
      </c>
      <c r="M36">
        <v>1</v>
      </c>
      <c r="N36">
        <v>1</v>
      </c>
      <c r="O36">
        <v>1</v>
      </c>
    </row>
    <row r="37" spans="1:16" x14ac:dyDescent="0.25">
      <c r="A37" t="s">
        <v>16</v>
      </c>
      <c r="B37" t="s">
        <v>73</v>
      </c>
      <c r="C37">
        <v>0</v>
      </c>
      <c r="D37">
        <v>4.8539278507232666</v>
      </c>
      <c r="E37">
        <v>1</v>
      </c>
      <c r="F37">
        <v>0</v>
      </c>
      <c r="G37">
        <v>1</v>
      </c>
      <c r="H37" t="s">
        <v>20</v>
      </c>
      <c r="I37">
        <v>1</v>
      </c>
      <c r="J37" t="s">
        <v>20</v>
      </c>
      <c r="K37">
        <v>1</v>
      </c>
      <c r="L37">
        <v>1</v>
      </c>
      <c r="M37">
        <v>1</v>
      </c>
      <c r="N37">
        <v>1</v>
      </c>
      <c r="O37">
        <v>1</v>
      </c>
      <c r="P37" t="s">
        <v>198</v>
      </c>
    </row>
    <row r="38" spans="1:16" x14ac:dyDescent="0.25">
      <c r="A38" t="s">
        <v>16</v>
      </c>
      <c r="B38" t="s">
        <v>75</v>
      </c>
      <c r="C38">
        <v>0</v>
      </c>
      <c r="D38">
        <v>4.402916431427002</v>
      </c>
      <c r="E38">
        <v>1</v>
      </c>
      <c r="F38">
        <v>0</v>
      </c>
      <c r="G38">
        <v>1</v>
      </c>
      <c r="H38" t="s">
        <v>20</v>
      </c>
      <c r="I38">
        <v>1</v>
      </c>
      <c r="J38" t="s">
        <v>20</v>
      </c>
      <c r="K38">
        <v>1</v>
      </c>
      <c r="L38">
        <v>1</v>
      </c>
      <c r="M38">
        <v>1</v>
      </c>
      <c r="N38">
        <v>1</v>
      </c>
      <c r="O38">
        <v>1</v>
      </c>
      <c r="P38" t="s">
        <v>76</v>
      </c>
    </row>
    <row r="39" spans="1:16" x14ac:dyDescent="0.25">
      <c r="A39" t="s">
        <v>16</v>
      </c>
      <c r="B39" t="s">
        <v>77</v>
      </c>
      <c r="C39">
        <v>0</v>
      </c>
      <c r="D39">
        <v>9.9044249057769775</v>
      </c>
      <c r="E39">
        <v>1</v>
      </c>
      <c r="F39">
        <v>1</v>
      </c>
      <c r="G39">
        <v>1</v>
      </c>
      <c r="H39">
        <v>1</v>
      </c>
      <c r="I39">
        <v>1</v>
      </c>
      <c r="J39">
        <v>1</v>
      </c>
      <c r="K39">
        <v>1</v>
      </c>
      <c r="L39">
        <v>1</v>
      </c>
      <c r="M39">
        <v>1</v>
      </c>
      <c r="N39">
        <v>1</v>
      </c>
      <c r="O39">
        <v>1</v>
      </c>
    </row>
    <row r="40" spans="1:16" x14ac:dyDescent="0.25">
      <c r="A40" t="s">
        <v>16</v>
      </c>
      <c r="B40" t="s">
        <v>78</v>
      </c>
      <c r="C40">
        <v>0</v>
      </c>
      <c r="D40">
        <v>5.5411067008972168</v>
      </c>
      <c r="E40">
        <v>1</v>
      </c>
      <c r="F40">
        <v>1</v>
      </c>
      <c r="G40">
        <v>0</v>
      </c>
      <c r="H40" t="s">
        <v>20</v>
      </c>
      <c r="I40">
        <v>1</v>
      </c>
      <c r="J40">
        <v>1</v>
      </c>
      <c r="K40">
        <v>1</v>
      </c>
      <c r="L40">
        <v>1</v>
      </c>
      <c r="M40">
        <v>1</v>
      </c>
      <c r="N40">
        <v>1</v>
      </c>
      <c r="O40">
        <v>1</v>
      </c>
      <c r="P40" t="s">
        <v>199</v>
      </c>
    </row>
    <row r="41" spans="1:16" x14ac:dyDescent="0.25">
      <c r="A41" t="s">
        <v>16</v>
      </c>
      <c r="B41" t="s">
        <v>80</v>
      </c>
      <c r="C41">
        <v>0</v>
      </c>
      <c r="D41">
        <v>11.45466732978821</v>
      </c>
      <c r="E41">
        <v>0</v>
      </c>
      <c r="F41" t="s">
        <v>20</v>
      </c>
      <c r="G41" t="s">
        <v>20</v>
      </c>
      <c r="H41" t="s">
        <v>20</v>
      </c>
      <c r="I41" t="s">
        <v>20</v>
      </c>
      <c r="J41" t="s">
        <v>20</v>
      </c>
      <c r="K41" t="s">
        <v>20</v>
      </c>
      <c r="L41" t="s">
        <v>20</v>
      </c>
      <c r="M41" t="s">
        <v>20</v>
      </c>
      <c r="N41" t="s">
        <v>20</v>
      </c>
      <c r="O41" t="s">
        <v>20</v>
      </c>
      <c r="P41" t="s">
        <v>200</v>
      </c>
    </row>
    <row r="42" spans="1:16" x14ac:dyDescent="0.25">
      <c r="A42" t="s">
        <v>16</v>
      </c>
      <c r="B42" t="s">
        <v>82</v>
      </c>
      <c r="C42">
        <v>0</v>
      </c>
      <c r="D42">
        <v>10.789673089981081</v>
      </c>
      <c r="E42">
        <v>0</v>
      </c>
      <c r="F42" t="s">
        <v>20</v>
      </c>
      <c r="G42" t="s">
        <v>20</v>
      </c>
      <c r="H42" t="s">
        <v>20</v>
      </c>
      <c r="I42" t="s">
        <v>20</v>
      </c>
      <c r="J42" t="s">
        <v>20</v>
      </c>
      <c r="K42" t="s">
        <v>20</v>
      </c>
      <c r="L42" t="s">
        <v>20</v>
      </c>
      <c r="M42" t="s">
        <v>20</v>
      </c>
      <c r="N42" t="s">
        <v>20</v>
      </c>
      <c r="O42" t="s">
        <v>20</v>
      </c>
      <c r="P42" t="s">
        <v>201</v>
      </c>
    </row>
    <row r="43" spans="1:16" x14ac:dyDescent="0.25">
      <c r="A43" t="s">
        <v>16</v>
      </c>
      <c r="B43" t="s">
        <v>84</v>
      </c>
      <c r="C43">
        <v>0</v>
      </c>
      <c r="D43">
        <v>2.872268438339233</v>
      </c>
      <c r="E43">
        <v>1</v>
      </c>
      <c r="F43">
        <v>1</v>
      </c>
      <c r="G43">
        <v>1</v>
      </c>
      <c r="H43">
        <v>1</v>
      </c>
      <c r="I43">
        <v>1</v>
      </c>
      <c r="J43">
        <v>1</v>
      </c>
      <c r="K43">
        <v>1</v>
      </c>
      <c r="L43">
        <v>1</v>
      </c>
      <c r="M43">
        <v>1</v>
      </c>
      <c r="N43">
        <v>1</v>
      </c>
      <c r="O43">
        <v>1</v>
      </c>
    </row>
    <row r="44" spans="1:16" x14ac:dyDescent="0.25">
      <c r="A44" t="s">
        <v>16</v>
      </c>
      <c r="B44" t="s">
        <v>85</v>
      </c>
      <c r="C44">
        <v>0</v>
      </c>
      <c r="D44">
        <v>5.0650784969329834</v>
      </c>
      <c r="E44">
        <v>1</v>
      </c>
      <c r="F44">
        <v>1</v>
      </c>
      <c r="G44">
        <v>1</v>
      </c>
      <c r="H44">
        <v>0</v>
      </c>
      <c r="I44">
        <v>1</v>
      </c>
      <c r="J44">
        <v>1</v>
      </c>
      <c r="K44">
        <v>1</v>
      </c>
      <c r="L44">
        <v>1</v>
      </c>
      <c r="M44">
        <v>1</v>
      </c>
      <c r="N44">
        <v>1</v>
      </c>
      <c r="O44">
        <v>1</v>
      </c>
      <c r="P44" t="s">
        <v>202</v>
      </c>
    </row>
    <row r="45" spans="1:16" x14ac:dyDescent="0.25">
      <c r="A45" t="s">
        <v>16</v>
      </c>
      <c r="B45" t="s">
        <v>87</v>
      </c>
      <c r="C45">
        <v>0</v>
      </c>
      <c r="D45">
        <v>6.0225517749786377</v>
      </c>
      <c r="E45">
        <v>1</v>
      </c>
      <c r="F45">
        <v>1</v>
      </c>
      <c r="G45">
        <v>0</v>
      </c>
      <c r="H45" t="s">
        <v>20</v>
      </c>
      <c r="I45">
        <v>1</v>
      </c>
      <c r="J45">
        <v>0</v>
      </c>
      <c r="K45">
        <v>1</v>
      </c>
      <c r="L45">
        <v>1</v>
      </c>
      <c r="M45">
        <v>1</v>
      </c>
      <c r="N45">
        <v>1</v>
      </c>
      <c r="O45">
        <v>1</v>
      </c>
      <c r="P45" t="s">
        <v>203</v>
      </c>
    </row>
    <row r="46" spans="1:16" x14ac:dyDescent="0.25">
      <c r="A46" t="s">
        <v>16</v>
      </c>
      <c r="B46" t="s">
        <v>89</v>
      </c>
      <c r="C46">
        <v>0</v>
      </c>
      <c r="D46">
        <v>5.3684787750244141</v>
      </c>
      <c r="E46">
        <v>1</v>
      </c>
      <c r="F46">
        <v>1</v>
      </c>
      <c r="G46">
        <v>1</v>
      </c>
      <c r="H46">
        <v>1</v>
      </c>
      <c r="I46">
        <v>1</v>
      </c>
      <c r="J46">
        <v>0</v>
      </c>
      <c r="K46">
        <v>1</v>
      </c>
      <c r="L46">
        <v>1</v>
      </c>
      <c r="M46">
        <v>1</v>
      </c>
      <c r="N46">
        <v>1</v>
      </c>
      <c r="O46">
        <v>1</v>
      </c>
      <c r="P46" t="s">
        <v>204</v>
      </c>
    </row>
    <row r="47" spans="1:16" x14ac:dyDescent="0.25">
      <c r="A47" t="s">
        <v>16</v>
      </c>
      <c r="B47" t="s">
        <v>91</v>
      </c>
      <c r="C47">
        <v>0</v>
      </c>
      <c r="D47">
        <v>11.509788274765009</v>
      </c>
      <c r="E47">
        <v>1</v>
      </c>
      <c r="F47">
        <v>1</v>
      </c>
      <c r="G47">
        <v>1</v>
      </c>
      <c r="H47">
        <v>1</v>
      </c>
      <c r="I47">
        <v>1</v>
      </c>
      <c r="J47">
        <v>0</v>
      </c>
      <c r="K47">
        <v>1</v>
      </c>
      <c r="L47">
        <v>1</v>
      </c>
      <c r="M47">
        <v>1</v>
      </c>
      <c r="N47">
        <v>1</v>
      </c>
      <c r="O47">
        <v>1</v>
      </c>
      <c r="P47" t="s">
        <v>205</v>
      </c>
    </row>
    <row r="48" spans="1:16" x14ac:dyDescent="0.25">
      <c r="A48" t="s">
        <v>16</v>
      </c>
      <c r="B48" t="s">
        <v>92</v>
      </c>
      <c r="C48">
        <v>0</v>
      </c>
      <c r="D48">
        <v>7.9005000591278076</v>
      </c>
      <c r="E48">
        <v>1</v>
      </c>
      <c r="F48">
        <v>1</v>
      </c>
      <c r="G48">
        <v>1</v>
      </c>
      <c r="H48">
        <v>1</v>
      </c>
      <c r="I48">
        <v>1</v>
      </c>
      <c r="J48">
        <v>0</v>
      </c>
      <c r="K48">
        <v>1</v>
      </c>
      <c r="L48">
        <v>1</v>
      </c>
      <c r="M48">
        <v>1</v>
      </c>
      <c r="N48">
        <v>1</v>
      </c>
      <c r="O48">
        <v>1</v>
      </c>
      <c r="P48" t="s">
        <v>206</v>
      </c>
    </row>
    <row r="49" spans="1:16" x14ac:dyDescent="0.25">
      <c r="A49" t="s">
        <v>16</v>
      </c>
      <c r="B49" t="s">
        <v>94</v>
      </c>
      <c r="C49">
        <v>0</v>
      </c>
      <c r="D49">
        <v>2.8482918739318852</v>
      </c>
      <c r="E49">
        <v>1</v>
      </c>
      <c r="F49">
        <v>1</v>
      </c>
      <c r="G49">
        <v>1</v>
      </c>
      <c r="H49">
        <v>1</v>
      </c>
      <c r="I49">
        <v>1</v>
      </c>
      <c r="J49">
        <v>1</v>
      </c>
      <c r="K49">
        <v>1</v>
      </c>
      <c r="L49">
        <v>1</v>
      </c>
      <c r="M49">
        <v>1</v>
      </c>
      <c r="N49">
        <v>1</v>
      </c>
      <c r="O49">
        <v>1</v>
      </c>
    </row>
    <row r="50" spans="1:16" x14ac:dyDescent="0.25">
      <c r="A50" t="s">
        <v>16</v>
      </c>
      <c r="B50" t="s">
        <v>95</v>
      </c>
      <c r="C50">
        <v>0</v>
      </c>
      <c r="D50">
        <v>2.9747633934021001</v>
      </c>
      <c r="E50">
        <v>1</v>
      </c>
      <c r="F50">
        <v>1</v>
      </c>
      <c r="G50">
        <v>1</v>
      </c>
      <c r="H50">
        <v>1</v>
      </c>
      <c r="I50">
        <v>1</v>
      </c>
      <c r="J50">
        <v>1</v>
      </c>
      <c r="K50">
        <v>1</v>
      </c>
      <c r="L50">
        <v>1</v>
      </c>
      <c r="M50">
        <v>1</v>
      </c>
      <c r="N50">
        <v>1</v>
      </c>
      <c r="O50">
        <v>1</v>
      </c>
    </row>
    <row r="51" spans="1:16" x14ac:dyDescent="0.25">
      <c r="A51" t="s">
        <v>96</v>
      </c>
      <c r="B51" t="s">
        <v>17</v>
      </c>
      <c r="C51">
        <v>0</v>
      </c>
      <c r="D51">
        <v>12.229654788970951</v>
      </c>
      <c r="E51">
        <v>1</v>
      </c>
      <c r="F51">
        <v>1</v>
      </c>
      <c r="G51">
        <v>1</v>
      </c>
      <c r="H51">
        <v>0</v>
      </c>
      <c r="I51">
        <v>1</v>
      </c>
      <c r="J51">
        <v>0</v>
      </c>
      <c r="K51">
        <v>0</v>
      </c>
      <c r="L51">
        <v>1</v>
      </c>
      <c r="M51">
        <v>1</v>
      </c>
      <c r="N51">
        <v>1</v>
      </c>
      <c r="O51">
        <v>1</v>
      </c>
      <c r="P51" t="s">
        <v>207</v>
      </c>
    </row>
    <row r="52" spans="1:16" x14ac:dyDescent="0.25">
      <c r="A52" t="s">
        <v>96</v>
      </c>
      <c r="B52" t="s">
        <v>18</v>
      </c>
      <c r="C52">
        <v>0</v>
      </c>
      <c r="D52">
        <v>9.7586190700531006</v>
      </c>
      <c r="E52">
        <v>1</v>
      </c>
      <c r="F52">
        <v>1</v>
      </c>
      <c r="G52">
        <v>1</v>
      </c>
      <c r="H52">
        <v>1</v>
      </c>
      <c r="I52">
        <v>1</v>
      </c>
      <c r="J52">
        <v>1</v>
      </c>
      <c r="K52">
        <v>1</v>
      </c>
      <c r="L52">
        <v>1</v>
      </c>
      <c r="M52">
        <v>1</v>
      </c>
      <c r="N52">
        <v>1</v>
      </c>
      <c r="O52">
        <v>1</v>
      </c>
    </row>
    <row r="53" spans="1:16" x14ac:dyDescent="0.25">
      <c r="A53" t="s">
        <v>96</v>
      </c>
      <c r="B53" t="s">
        <v>19</v>
      </c>
      <c r="C53">
        <v>0</v>
      </c>
      <c r="D53">
        <v>5.6950411796569824</v>
      </c>
      <c r="E53">
        <v>1</v>
      </c>
      <c r="F53">
        <v>1</v>
      </c>
      <c r="G53">
        <v>1</v>
      </c>
      <c r="H53">
        <v>0</v>
      </c>
      <c r="I53">
        <v>1</v>
      </c>
      <c r="J53">
        <v>1</v>
      </c>
      <c r="K53">
        <v>1</v>
      </c>
      <c r="L53">
        <v>1</v>
      </c>
      <c r="M53">
        <v>1</v>
      </c>
      <c r="N53">
        <v>1</v>
      </c>
      <c r="O53">
        <v>1</v>
      </c>
      <c r="P53" t="s">
        <v>208</v>
      </c>
    </row>
    <row r="54" spans="1:16" x14ac:dyDescent="0.25">
      <c r="A54" t="s">
        <v>96</v>
      </c>
      <c r="B54" t="s">
        <v>22</v>
      </c>
      <c r="C54">
        <v>0</v>
      </c>
      <c r="D54">
        <v>8.3713462352752686</v>
      </c>
      <c r="E54">
        <v>1</v>
      </c>
      <c r="F54">
        <v>1</v>
      </c>
      <c r="G54">
        <v>1</v>
      </c>
      <c r="H54">
        <v>1</v>
      </c>
      <c r="I54">
        <v>1</v>
      </c>
      <c r="J54">
        <v>1</v>
      </c>
      <c r="K54">
        <v>1</v>
      </c>
      <c r="L54">
        <v>1</v>
      </c>
      <c r="M54">
        <v>1</v>
      </c>
      <c r="N54">
        <v>1</v>
      </c>
      <c r="O54">
        <v>1</v>
      </c>
    </row>
    <row r="55" spans="1:16" x14ac:dyDescent="0.25">
      <c r="A55" t="s">
        <v>96</v>
      </c>
      <c r="B55" t="s">
        <v>24</v>
      </c>
      <c r="C55">
        <v>0</v>
      </c>
      <c r="D55">
        <v>2.948864221572876</v>
      </c>
      <c r="E55">
        <v>1</v>
      </c>
      <c r="F55">
        <v>1</v>
      </c>
      <c r="G55">
        <v>1</v>
      </c>
      <c r="H55">
        <v>1</v>
      </c>
      <c r="I55">
        <v>1</v>
      </c>
      <c r="J55">
        <v>1</v>
      </c>
      <c r="K55">
        <v>1</v>
      </c>
      <c r="L55">
        <v>1</v>
      </c>
      <c r="M55">
        <v>1</v>
      </c>
      <c r="N55">
        <v>1</v>
      </c>
      <c r="O55">
        <v>1</v>
      </c>
    </row>
    <row r="56" spans="1:16" x14ac:dyDescent="0.25">
      <c r="A56" t="s">
        <v>96</v>
      </c>
      <c r="B56" t="s">
        <v>25</v>
      </c>
      <c r="C56">
        <v>0</v>
      </c>
      <c r="D56">
        <v>9.6805379390716553</v>
      </c>
      <c r="E56">
        <v>1</v>
      </c>
      <c r="F56">
        <v>1</v>
      </c>
      <c r="G56">
        <v>1</v>
      </c>
      <c r="H56">
        <v>1</v>
      </c>
      <c r="I56">
        <v>1</v>
      </c>
      <c r="J56">
        <v>1</v>
      </c>
      <c r="K56">
        <v>1</v>
      </c>
      <c r="L56">
        <v>1</v>
      </c>
      <c r="M56">
        <v>1</v>
      </c>
      <c r="N56">
        <v>1</v>
      </c>
      <c r="O56">
        <v>1</v>
      </c>
    </row>
    <row r="57" spans="1:16" x14ac:dyDescent="0.25">
      <c r="A57" t="s">
        <v>96</v>
      </c>
      <c r="B57" t="s">
        <v>26</v>
      </c>
      <c r="C57">
        <v>0</v>
      </c>
      <c r="D57">
        <v>2.692255973815918</v>
      </c>
      <c r="E57">
        <v>1</v>
      </c>
      <c r="F57">
        <v>1</v>
      </c>
      <c r="G57">
        <v>1</v>
      </c>
      <c r="H57">
        <v>1</v>
      </c>
      <c r="I57">
        <v>1</v>
      </c>
      <c r="J57">
        <v>1</v>
      </c>
      <c r="K57">
        <v>1</v>
      </c>
      <c r="L57">
        <v>1</v>
      </c>
      <c r="M57">
        <v>1</v>
      </c>
      <c r="N57">
        <v>1</v>
      </c>
      <c r="O57">
        <v>1</v>
      </c>
    </row>
    <row r="58" spans="1:16" x14ac:dyDescent="0.25">
      <c r="A58" t="s">
        <v>96</v>
      </c>
      <c r="B58" t="s">
        <v>27</v>
      </c>
      <c r="C58">
        <v>0</v>
      </c>
      <c r="D58">
        <v>5.1354835033416748</v>
      </c>
      <c r="E58">
        <v>1</v>
      </c>
      <c r="F58">
        <v>1</v>
      </c>
      <c r="G58">
        <v>1</v>
      </c>
      <c r="H58">
        <v>1</v>
      </c>
      <c r="I58">
        <v>1</v>
      </c>
      <c r="J58">
        <v>0</v>
      </c>
      <c r="K58">
        <v>1</v>
      </c>
      <c r="L58">
        <v>1</v>
      </c>
      <c r="M58">
        <v>1</v>
      </c>
      <c r="N58">
        <v>1</v>
      </c>
      <c r="O58">
        <v>1</v>
      </c>
      <c r="P58" t="s">
        <v>209</v>
      </c>
    </row>
    <row r="59" spans="1:16" x14ac:dyDescent="0.25">
      <c r="A59" t="s">
        <v>96</v>
      </c>
      <c r="B59" t="s">
        <v>28</v>
      </c>
      <c r="C59">
        <v>0</v>
      </c>
      <c r="D59">
        <v>2.8877577781677251</v>
      </c>
      <c r="E59">
        <v>1</v>
      </c>
      <c r="F59">
        <v>1</v>
      </c>
      <c r="G59">
        <v>1</v>
      </c>
      <c r="H59">
        <v>1</v>
      </c>
      <c r="I59">
        <v>1</v>
      </c>
      <c r="J59">
        <v>1</v>
      </c>
      <c r="K59">
        <v>1</v>
      </c>
      <c r="L59">
        <v>1</v>
      </c>
      <c r="M59">
        <v>1</v>
      </c>
      <c r="N59">
        <v>1</v>
      </c>
      <c r="O59">
        <v>1</v>
      </c>
    </row>
    <row r="60" spans="1:16" x14ac:dyDescent="0.25">
      <c r="A60" t="s">
        <v>96</v>
      </c>
      <c r="B60" t="s">
        <v>29</v>
      </c>
      <c r="C60">
        <v>0</v>
      </c>
      <c r="D60">
        <v>9.9151394367218018</v>
      </c>
      <c r="E60">
        <v>1</v>
      </c>
      <c r="F60">
        <v>1</v>
      </c>
      <c r="G60">
        <v>1</v>
      </c>
      <c r="H60">
        <v>1</v>
      </c>
      <c r="I60">
        <v>1</v>
      </c>
      <c r="J60">
        <v>1</v>
      </c>
      <c r="K60">
        <v>1</v>
      </c>
      <c r="L60">
        <v>1</v>
      </c>
      <c r="M60">
        <v>1</v>
      </c>
      <c r="N60">
        <v>1</v>
      </c>
      <c r="O60">
        <v>1</v>
      </c>
    </row>
    <row r="61" spans="1:16" x14ac:dyDescent="0.25">
      <c r="A61" t="s">
        <v>96</v>
      </c>
      <c r="B61" t="s">
        <v>31</v>
      </c>
      <c r="C61">
        <v>0</v>
      </c>
      <c r="D61">
        <v>2.9550905227661128</v>
      </c>
      <c r="E61">
        <v>1</v>
      </c>
      <c r="F61">
        <v>1</v>
      </c>
      <c r="G61">
        <v>1</v>
      </c>
      <c r="H61">
        <v>1</v>
      </c>
      <c r="I61">
        <v>1</v>
      </c>
      <c r="J61">
        <v>1</v>
      </c>
      <c r="K61">
        <v>1</v>
      </c>
      <c r="L61">
        <v>1</v>
      </c>
      <c r="M61">
        <v>1</v>
      </c>
      <c r="N61">
        <v>1</v>
      </c>
      <c r="O61">
        <v>1</v>
      </c>
    </row>
    <row r="62" spans="1:16" x14ac:dyDescent="0.25">
      <c r="A62" t="s">
        <v>96</v>
      </c>
      <c r="B62" t="s">
        <v>33</v>
      </c>
      <c r="C62">
        <v>0</v>
      </c>
      <c r="D62">
        <v>10.678818225860599</v>
      </c>
      <c r="E62">
        <v>1</v>
      </c>
      <c r="F62">
        <v>1</v>
      </c>
      <c r="G62">
        <v>1</v>
      </c>
      <c r="H62">
        <v>1</v>
      </c>
      <c r="I62">
        <v>1</v>
      </c>
      <c r="J62">
        <v>1</v>
      </c>
      <c r="K62">
        <v>1</v>
      </c>
      <c r="L62">
        <v>1</v>
      </c>
      <c r="M62">
        <v>1</v>
      </c>
      <c r="N62">
        <v>1</v>
      </c>
      <c r="O62">
        <v>1</v>
      </c>
    </row>
    <row r="63" spans="1:16" x14ac:dyDescent="0.25">
      <c r="A63" t="s">
        <v>96</v>
      </c>
      <c r="B63" t="s">
        <v>35</v>
      </c>
      <c r="C63">
        <v>0</v>
      </c>
      <c r="D63">
        <v>3.0006096363067631</v>
      </c>
      <c r="E63">
        <v>1</v>
      </c>
      <c r="F63">
        <v>1</v>
      </c>
      <c r="G63">
        <v>1</v>
      </c>
      <c r="H63">
        <v>1</v>
      </c>
      <c r="I63">
        <v>1</v>
      </c>
      <c r="J63">
        <v>1</v>
      </c>
      <c r="K63">
        <v>1</v>
      </c>
      <c r="L63">
        <v>1</v>
      </c>
      <c r="M63">
        <v>1</v>
      </c>
      <c r="N63">
        <v>1</v>
      </c>
      <c r="O63">
        <v>1</v>
      </c>
    </row>
    <row r="64" spans="1:16" x14ac:dyDescent="0.25">
      <c r="A64" t="s">
        <v>96</v>
      </c>
      <c r="B64" t="s">
        <v>36</v>
      </c>
      <c r="C64">
        <v>0</v>
      </c>
      <c r="D64">
        <v>8.5224699974060059</v>
      </c>
      <c r="E64">
        <v>1</v>
      </c>
      <c r="F64">
        <v>1</v>
      </c>
      <c r="G64">
        <v>1</v>
      </c>
      <c r="H64">
        <v>1</v>
      </c>
      <c r="I64">
        <v>1</v>
      </c>
      <c r="J64">
        <v>1</v>
      </c>
      <c r="K64">
        <v>1</v>
      </c>
      <c r="L64">
        <v>1</v>
      </c>
      <c r="M64">
        <v>1</v>
      </c>
      <c r="N64">
        <v>1</v>
      </c>
      <c r="O64">
        <v>1</v>
      </c>
    </row>
    <row r="65" spans="1:16" x14ac:dyDescent="0.25">
      <c r="A65" t="s">
        <v>96</v>
      </c>
      <c r="B65" t="s">
        <v>38</v>
      </c>
      <c r="C65">
        <v>0</v>
      </c>
      <c r="D65">
        <v>4.6177799701690674</v>
      </c>
      <c r="E65">
        <v>1</v>
      </c>
      <c r="F65">
        <v>1</v>
      </c>
      <c r="G65">
        <v>1</v>
      </c>
      <c r="H65">
        <v>1</v>
      </c>
      <c r="I65">
        <v>1</v>
      </c>
      <c r="J65">
        <v>1</v>
      </c>
      <c r="K65">
        <v>1</v>
      </c>
      <c r="L65">
        <v>1</v>
      </c>
      <c r="M65">
        <v>1</v>
      </c>
      <c r="N65">
        <v>0</v>
      </c>
      <c r="O65">
        <v>1</v>
      </c>
      <c r="P65" t="s">
        <v>210</v>
      </c>
    </row>
    <row r="66" spans="1:16" x14ac:dyDescent="0.25">
      <c r="A66" t="s">
        <v>96</v>
      </c>
      <c r="B66" t="s">
        <v>40</v>
      </c>
      <c r="C66">
        <v>0</v>
      </c>
      <c r="D66">
        <v>6.2622246742248544</v>
      </c>
      <c r="E66">
        <v>1</v>
      </c>
      <c r="F66">
        <v>0</v>
      </c>
      <c r="G66">
        <v>1</v>
      </c>
      <c r="H66" t="s">
        <v>20</v>
      </c>
      <c r="I66">
        <v>1</v>
      </c>
      <c r="J66" t="s">
        <v>20</v>
      </c>
      <c r="K66">
        <v>1</v>
      </c>
      <c r="L66">
        <v>1</v>
      </c>
      <c r="M66">
        <v>1</v>
      </c>
      <c r="N66">
        <v>1</v>
      </c>
      <c r="O66">
        <v>1</v>
      </c>
      <c r="P66" t="s">
        <v>211</v>
      </c>
    </row>
    <row r="67" spans="1:16" x14ac:dyDescent="0.25">
      <c r="A67" t="s">
        <v>96</v>
      </c>
      <c r="B67" t="s">
        <v>42</v>
      </c>
      <c r="C67">
        <v>0</v>
      </c>
      <c r="D67">
        <v>4.9587109088897714</v>
      </c>
      <c r="E67">
        <v>1</v>
      </c>
      <c r="F67">
        <v>1</v>
      </c>
      <c r="G67">
        <v>1</v>
      </c>
      <c r="H67">
        <v>0</v>
      </c>
      <c r="I67">
        <v>1</v>
      </c>
      <c r="J67">
        <v>1</v>
      </c>
      <c r="K67">
        <v>1</v>
      </c>
      <c r="L67">
        <v>1</v>
      </c>
      <c r="M67">
        <v>1</v>
      </c>
      <c r="N67">
        <v>1</v>
      </c>
      <c r="O67">
        <v>1</v>
      </c>
      <c r="P67" t="s">
        <v>212</v>
      </c>
    </row>
    <row r="68" spans="1:16" x14ac:dyDescent="0.25">
      <c r="A68" t="s">
        <v>96</v>
      </c>
      <c r="B68" t="s">
        <v>43</v>
      </c>
      <c r="C68">
        <v>0</v>
      </c>
      <c r="D68">
        <v>9.0084505081176758</v>
      </c>
      <c r="E68">
        <v>1</v>
      </c>
      <c r="F68">
        <v>1</v>
      </c>
      <c r="G68">
        <v>1</v>
      </c>
      <c r="H68">
        <v>1</v>
      </c>
      <c r="I68">
        <v>1</v>
      </c>
      <c r="J68">
        <v>1</v>
      </c>
      <c r="K68">
        <v>1</v>
      </c>
      <c r="L68">
        <v>1</v>
      </c>
      <c r="M68">
        <v>1</v>
      </c>
      <c r="N68">
        <v>1</v>
      </c>
      <c r="O68">
        <v>1</v>
      </c>
    </row>
    <row r="69" spans="1:16" x14ac:dyDescent="0.25">
      <c r="A69" t="s">
        <v>96</v>
      </c>
      <c r="B69" t="s">
        <v>44</v>
      </c>
      <c r="C69">
        <v>0</v>
      </c>
      <c r="D69">
        <v>2.9128999710083008</v>
      </c>
      <c r="E69">
        <v>1</v>
      </c>
      <c r="F69">
        <v>1</v>
      </c>
      <c r="G69">
        <v>1</v>
      </c>
      <c r="H69">
        <v>1</v>
      </c>
      <c r="I69">
        <v>1</v>
      </c>
      <c r="J69">
        <v>1</v>
      </c>
      <c r="K69">
        <v>1</v>
      </c>
      <c r="L69">
        <v>1</v>
      </c>
      <c r="M69">
        <v>1</v>
      </c>
      <c r="N69">
        <v>1</v>
      </c>
      <c r="O69">
        <v>1</v>
      </c>
    </row>
    <row r="70" spans="1:16" x14ac:dyDescent="0.25">
      <c r="A70" t="s">
        <v>96</v>
      </c>
      <c r="B70" t="s">
        <v>46</v>
      </c>
      <c r="C70">
        <v>0</v>
      </c>
      <c r="D70">
        <v>10.74209833145142</v>
      </c>
      <c r="E70">
        <v>1</v>
      </c>
      <c r="F70">
        <v>1</v>
      </c>
      <c r="G70">
        <v>1</v>
      </c>
      <c r="H70">
        <v>1</v>
      </c>
      <c r="I70">
        <v>1</v>
      </c>
      <c r="J70">
        <v>1</v>
      </c>
      <c r="K70">
        <v>1</v>
      </c>
      <c r="L70">
        <v>1</v>
      </c>
      <c r="M70">
        <v>1</v>
      </c>
      <c r="N70">
        <v>1</v>
      </c>
      <c r="O70">
        <v>1</v>
      </c>
    </row>
    <row r="71" spans="1:16" x14ac:dyDescent="0.25">
      <c r="A71" t="s">
        <v>96</v>
      </c>
      <c r="B71" t="s">
        <v>48</v>
      </c>
      <c r="C71">
        <v>0</v>
      </c>
      <c r="D71">
        <v>7.2919600009918213</v>
      </c>
      <c r="E71">
        <v>0</v>
      </c>
      <c r="F71" t="s">
        <v>20</v>
      </c>
      <c r="G71" t="s">
        <v>20</v>
      </c>
      <c r="H71" t="s">
        <v>20</v>
      </c>
      <c r="I71" t="s">
        <v>20</v>
      </c>
      <c r="J71" t="s">
        <v>20</v>
      </c>
      <c r="K71" t="s">
        <v>20</v>
      </c>
      <c r="L71" t="s">
        <v>20</v>
      </c>
      <c r="M71" t="s">
        <v>20</v>
      </c>
      <c r="N71" t="s">
        <v>20</v>
      </c>
      <c r="O71" t="s">
        <v>20</v>
      </c>
      <c r="P71" t="s">
        <v>213</v>
      </c>
    </row>
    <row r="72" spans="1:16" x14ac:dyDescent="0.25">
      <c r="A72" t="s">
        <v>96</v>
      </c>
      <c r="B72" t="s">
        <v>50</v>
      </c>
      <c r="C72">
        <v>0</v>
      </c>
      <c r="D72">
        <v>10.92075872421265</v>
      </c>
      <c r="E72">
        <v>0</v>
      </c>
      <c r="F72" t="s">
        <v>20</v>
      </c>
      <c r="G72" t="s">
        <v>20</v>
      </c>
      <c r="H72" t="s">
        <v>20</v>
      </c>
      <c r="I72" t="s">
        <v>20</v>
      </c>
      <c r="J72" t="s">
        <v>20</v>
      </c>
      <c r="K72" t="s">
        <v>20</v>
      </c>
      <c r="L72" t="s">
        <v>20</v>
      </c>
      <c r="M72" t="s">
        <v>20</v>
      </c>
      <c r="N72" t="s">
        <v>20</v>
      </c>
      <c r="O72" t="s">
        <v>20</v>
      </c>
      <c r="P72" t="s">
        <v>214</v>
      </c>
    </row>
    <row r="73" spans="1:16" x14ac:dyDescent="0.25">
      <c r="A73" t="s">
        <v>96</v>
      </c>
      <c r="B73" t="s">
        <v>51</v>
      </c>
      <c r="C73">
        <v>0</v>
      </c>
      <c r="D73">
        <v>12.41555213928223</v>
      </c>
      <c r="E73">
        <v>1</v>
      </c>
      <c r="F73">
        <v>1</v>
      </c>
      <c r="G73">
        <v>1</v>
      </c>
      <c r="H73">
        <v>1</v>
      </c>
      <c r="I73">
        <v>1</v>
      </c>
      <c r="J73">
        <v>1</v>
      </c>
      <c r="K73">
        <v>0</v>
      </c>
      <c r="L73">
        <v>1</v>
      </c>
      <c r="M73">
        <v>1</v>
      </c>
      <c r="N73">
        <v>1</v>
      </c>
      <c r="O73">
        <v>1</v>
      </c>
      <c r="P73" t="s">
        <v>215</v>
      </c>
    </row>
    <row r="74" spans="1:16" x14ac:dyDescent="0.25">
      <c r="A74" t="s">
        <v>96</v>
      </c>
      <c r="B74" t="s">
        <v>52</v>
      </c>
      <c r="C74">
        <v>0</v>
      </c>
      <c r="D74">
        <v>3.0623600482940669</v>
      </c>
      <c r="E74">
        <v>1</v>
      </c>
      <c r="F74">
        <v>1</v>
      </c>
      <c r="G74">
        <v>1</v>
      </c>
      <c r="H74">
        <v>1</v>
      </c>
      <c r="I74">
        <v>1</v>
      </c>
      <c r="J74">
        <v>1</v>
      </c>
      <c r="K74">
        <v>1</v>
      </c>
      <c r="L74">
        <v>1</v>
      </c>
      <c r="M74">
        <v>1</v>
      </c>
      <c r="N74">
        <v>1</v>
      </c>
      <c r="O74">
        <v>1</v>
      </c>
    </row>
    <row r="75" spans="1:16" x14ac:dyDescent="0.25">
      <c r="A75" t="s">
        <v>96</v>
      </c>
      <c r="B75" t="s">
        <v>53</v>
      </c>
      <c r="C75">
        <v>0</v>
      </c>
      <c r="D75">
        <v>9.6722376346588135</v>
      </c>
      <c r="E75">
        <v>1</v>
      </c>
      <c r="F75">
        <v>1</v>
      </c>
      <c r="G75">
        <v>1</v>
      </c>
      <c r="H75">
        <v>1</v>
      </c>
      <c r="I75">
        <v>1</v>
      </c>
      <c r="J75">
        <v>1</v>
      </c>
      <c r="K75">
        <v>1</v>
      </c>
      <c r="L75">
        <v>1</v>
      </c>
      <c r="M75">
        <v>1</v>
      </c>
      <c r="N75">
        <v>1</v>
      </c>
      <c r="O75">
        <v>1</v>
      </c>
    </row>
    <row r="76" spans="1:16" x14ac:dyDescent="0.25">
      <c r="A76" t="s">
        <v>96</v>
      </c>
      <c r="B76" t="s">
        <v>55</v>
      </c>
      <c r="C76">
        <v>0</v>
      </c>
      <c r="D76">
        <v>4.8039307594299316</v>
      </c>
      <c r="E76">
        <v>1</v>
      </c>
      <c r="F76">
        <v>1</v>
      </c>
      <c r="G76">
        <v>1</v>
      </c>
      <c r="H76">
        <v>1</v>
      </c>
      <c r="I76">
        <v>1</v>
      </c>
      <c r="J76">
        <v>1</v>
      </c>
      <c r="K76">
        <v>1</v>
      </c>
      <c r="L76">
        <v>1</v>
      </c>
      <c r="M76">
        <v>0</v>
      </c>
      <c r="N76">
        <v>1</v>
      </c>
      <c r="O76">
        <v>1</v>
      </c>
      <c r="P76" t="s">
        <v>216</v>
      </c>
    </row>
    <row r="77" spans="1:16" x14ac:dyDescent="0.25">
      <c r="A77" t="s">
        <v>96</v>
      </c>
      <c r="B77" t="s">
        <v>57</v>
      </c>
      <c r="C77">
        <v>0</v>
      </c>
      <c r="D77">
        <v>12.01727724075317</v>
      </c>
      <c r="E77">
        <v>1</v>
      </c>
      <c r="F77">
        <v>0</v>
      </c>
      <c r="G77">
        <v>1</v>
      </c>
      <c r="H77" t="s">
        <v>20</v>
      </c>
      <c r="I77">
        <v>1</v>
      </c>
      <c r="J77" t="s">
        <v>20</v>
      </c>
      <c r="K77">
        <v>0</v>
      </c>
      <c r="L77">
        <v>1</v>
      </c>
      <c r="M77">
        <v>1</v>
      </c>
      <c r="N77">
        <v>1</v>
      </c>
      <c r="O77">
        <v>1</v>
      </c>
      <c r="P77" t="s">
        <v>217</v>
      </c>
    </row>
    <row r="78" spans="1:16" x14ac:dyDescent="0.25">
      <c r="A78" t="s">
        <v>96</v>
      </c>
      <c r="B78" t="s">
        <v>59</v>
      </c>
      <c r="C78">
        <v>0</v>
      </c>
      <c r="D78">
        <v>4.7011213302612296</v>
      </c>
      <c r="E78">
        <v>1</v>
      </c>
      <c r="F78">
        <v>1</v>
      </c>
      <c r="G78">
        <v>1</v>
      </c>
      <c r="H78">
        <v>1</v>
      </c>
      <c r="I78">
        <v>1</v>
      </c>
      <c r="J78">
        <v>1</v>
      </c>
      <c r="K78">
        <v>0</v>
      </c>
      <c r="L78">
        <v>1</v>
      </c>
      <c r="M78">
        <v>1</v>
      </c>
      <c r="N78">
        <v>1</v>
      </c>
      <c r="O78">
        <v>1</v>
      </c>
      <c r="P78" t="s">
        <v>218</v>
      </c>
    </row>
    <row r="79" spans="1:16" x14ac:dyDescent="0.25">
      <c r="A79" t="s">
        <v>96</v>
      </c>
      <c r="B79" t="s">
        <v>61</v>
      </c>
      <c r="C79">
        <v>0</v>
      </c>
      <c r="D79">
        <v>2.9373924732208252</v>
      </c>
      <c r="E79">
        <v>1</v>
      </c>
      <c r="F79">
        <v>1</v>
      </c>
      <c r="G79">
        <v>1</v>
      </c>
      <c r="H79">
        <v>1</v>
      </c>
      <c r="I79">
        <v>1</v>
      </c>
      <c r="J79">
        <v>1</v>
      </c>
      <c r="K79">
        <v>1</v>
      </c>
      <c r="L79">
        <v>1</v>
      </c>
      <c r="M79">
        <v>1</v>
      </c>
      <c r="N79">
        <v>1</v>
      </c>
      <c r="O79">
        <v>1</v>
      </c>
    </row>
    <row r="80" spans="1:16" x14ac:dyDescent="0.25">
      <c r="A80" t="s">
        <v>96</v>
      </c>
      <c r="B80" t="s">
        <v>63</v>
      </c>
      <c r="C80">
        <v>0</v>
      </c>
      <c r="D80">
        <v>9.8157620429992676</v>
      </c>
      <c r="E80">
        <v>1</v>
      </c>
      <c r="F80">
        <v>1</v>
      </c>
      <c r="G80">
        <v>0</v>
      </c>
      <c r="H80" t="s">
        <v>20</v>
      </c>
      <c r="I80">
        <v>1</v>
      </c>
      <c r="J80">
        <v>1</v>
      </c>
      <c r="K80">
        <v>1</v>
      </c>
      <c r="L80">
        <v>0</v>
      </c>
      <c r="M80">
        <v>1</v>
      </c>
      <c r="N80">
        <v>1</v>
      </c>
      <c r="O80">
        <v>1</v>
      </c>
      <c r="P80" t="s">
        <v>219</v>
      </c>
    </row>
    <row r="81" spans="1:16" x14ac:dyDescent="0.25">
      <c r="A81" t="s">
        <v>96</v>
      </c>
      <c r="B81" t="s">
        <v>65</v>
      </c>
      <c r="C81">
        <v>0</v>
      </c>
      <c r="D81">
        <v>9.5527462959289551</v>
      </c>
      <c r="E81">
        <v>1</v>
      </c>
      <c r="F81">
        <v>1</v>
      </c>
      <c r="G81">
        <v>1</v>
      </c>
      <c r="H81">
        <v>1</v>
      </c>
      <c r="I81">
        <v>1</v>
      </c>
      <c r="J81">
        <v>1</v>
      </c>
      <c r="K81">
        <v>1</v>
      </c>
      <c r="L81">
        <v>1</v>
      </c>
      <c r="M81">
        <v>1</v>
      </c>
      <c r="N81">
        <v>1</v>
      </c>
      <c r="O81">
        <v>1</v>
      </c>
    </row>
    <row r="82" spans="1:16" x14ac:dyDescent="0.25">
      <c r="A82" t="s">
        <v>96</v>
      </c>
      <c r="B82" t="s">
        <v>67</v>
      </c>
      <c r="C82">
        <v>0</v>
      </c>
      <c r="D82">
        <v>6.6698691844940194</v>
      </c>
      <c r="E82">
        <v>1</v>
      </c>
      <c r="F82">
        <v>0</v>
      </c>
      <c r="G82">
        <v>1</v>
      </c>
      <c r="H82" t="s">
        <v>20</v>
      </c>
      <c r="I82">
        <v>1</v>
      </c>
      <c r="J82" t="s">
        <v>20</v>
      </c>
      <c r="K82">
        <v>1</v>
      </c>
      <c r="L82">
        <v>1</v>
      </c>
      <c r="M82">
        <v>1</v>
      </c>
      <c r="N82">
        <v>1</v>
      </c>
      <c r="O82">
        <v>1</v>
      </c>
      <c r="P82" t="s">
        <v>220</v>
      </c>
    </row>
    <row r="83" spans="1:16" x14ac:dyDescent="0.25">
      <c r="A83" t="s">
        <v>96</v>
      </c>
      <c r="B83" t="s">
        <v>69</v>
      </c>
      <c r="C83">
        <v>0</v>
      </c>
      <c r="D83">
        <v>7.2876491546630859</v>
      </c>
      <c r="E83">
        <v>1</v>
      </c>
      <c r="F83">
        <v>1</v>
      </c>
      <c r="G83">
        <v>0</v>
      </c>
      <c r="H83" t="s">
        <v>20</v>
      </c>
      <c r="I83">
        <v>1</v>
      </c>
      <c r="J83">
        <v>1</v>
      </c>
      <c r="K83">
        <v>1</v>
      </c>
      <c r="L83">
        <v>1</v>
      </c>
      <c r="M83">
        <v>1</v>
      </c>
      <c r="N83">
        <v>1</v>
      </c>
      <c r="O83">
        <v>1</v>
      </c>
      <c r="P83" t="s">
        <v>221</v>
      </c>
    </row>
    <row r="84" spans="1:16" x14ac:dyDescent="0.25">
      <c r="A84" t="s">
        <v>96</v>
      </c>
      <c r="B84" t="s">
        <v>71</v>
      </c>
      <c r="C84">
        <v>0</v>
      </c>
      <c r="D84">
        <v>4.8320534229278556</v>
      </c>
      <c r="E84">
        <v>1</v>
      </c>
      <c r="F84">
        <v>1</v>
      </c>
      <c r="G84">
        <v>1</v>
      </c>
      <c r="H84">
        <v>0</v>
      </c>
      <c r="I84">
        <v>1</v>
      </c>
      <c r="J84">
        <v>1</v>
      </c>
      <c r="K84">
        <v>1</v>
      </c>
      <c r="L84">
        <v>1</v>
      </c>
      <c r="M84">
        <v>1</v>
      </c>
      <c r="N84">
        <v>1</v>
      </c>
      <c r="O84">
        <v>1</v>
      </c>
      <c r="P84" t="s">
        <v>222</v>
      </c>
    </row>
    <row r="85" spans="1:16" x14ac:dyDescent="0.25">
      <c r="A85" t="s">
        <v>96</v>
      </c>
      <c r="B85" t="s">
        <v>72</v>
      </c>
      <c r="C85">
        <v>0</v>
      </c>
      <c r="D85">
        <v>2.874251127243042</v>
      </c>
      <c r="E85">
        <v>1</v>
      </c>
      <c r="F85">
        <v>1</v>
      </c>
      <c r="G85">
        <v>1</v>
      </c>
      <c r="H85">
        <v>1</v>
      </c>
      <c r="I85">
        <v>1</v>
      </c>
      <c r="J85">
        <v>1</v>
      </c>
      <c r="K85">
        <v>1</v>
      </c>
      <c r="L85">
        <v>1</v>
      </c>
      <c r="M85">
        <v>1</v>
      </c>
      <c r="N85">
        <v>1</v>
      </c>
      <c r="O85">
        <v>1</v>
      </c>
    </row>
    <row r="86" spans="1:16" x14ac:dyDescent="0.25">
      <c r="A86" t="s">
        <v>96</v>
      </c>
      <c r="B86" t="s">
        <v>73</v>
      </c>
      <c r="C86">
        <v>0</v>
      </c>
      <c r="D86">
        <v>12.431845188140869</v>
      </c>
      <c r="E86">
        <v>1</v>
      </c>
      <c r="F86">
        <v>1</v>
      </c>
      <c r="G86">
        <v>0</v>
      </c>
      <c r="H86" t="s">
        <v>20</v>
      </c>
      <c r="I86">
        <v>1</v>
      </c>
      <c r="J86">
        <v>1</v>
      </c>
      <c r="K86">
        <v>1</v>
      </c>
      <c r="L86">
        <v>1</v>
      </c>
      <c r="M86">
        <v>1</v>
      </c>
      <c r="N86">
        <v>1</v>
      </c>
      <c r="O86">
        <v>1</v>
      </c>
      <c r="P86" t="s">
        <v>223</v>
      </c>
    </row>
    <row r="87" spans="1:16" x14ac:dyDescent="0.25">
      <c r="A87" t="s">
        <v>96</v>
      </c>
      <c r="B87" t="s">
        <v>75</v>
      </c>
      <c r="C87">
        <v>0</v>
      </c>
      <c r="D87">
        <v>2.8913369178771968</v>
      </c>
      <c r="E87">
        <v>1</v>
      </c>
      <c r="F87">
        <v>1</v>
      </c>
      <c r="G87">
        <v>1</v>
      </c>
      <c r="H87">
        <v>1</v>
      </c>
      <c r="I87">
        <v>1</v>
      </c>
      <c r="J87">
        <v>1</v>
      </c>
      <c r="K87">
        <v>1</v>
      </c>
      <c r="L87">
        <v>1</v>
      </c>
      <c r="M87">
        <v>1</v>
      </c>
      <c r="N87">
        <v>1</v>
      </c>
      <c r="O87">
        <v>1</v>
      </c>
    </row>
    <row r="88" spans="1:16" x14ac:dyDescent="0.25">
      <c r="A88" t="s">
        <v>96</v>
      </c>
      <c r="B88" t="s">
        <v>77</v>
      </c>
      <c r="C88">
        <v>0</v>
      </c>
      <c r="D88">
        <v>2.9423820972442631</v>
      </c>
      <c r="E88">
        <v>1</v>
      </c>
      <c r="F88">
        <v>1</v>
      </c>
      <c r="G88">
        <v>1</v>
      </c>
      <c r="H88">
        <v>1</v>
      </c>
      <c r="I88">
        <v>1</v>
      </c>
      <c r="J88">
        <v>1</v>
      </c>
      <c r="K88">
        <v>1</v>
      </c>
      <c r="L88">
        <v>1</v>
      </c>
      <c r="M88">
        <v>1</v>
      </c>
      <c r="N88">
        <v>1</v>
      </c>
      <c r="O88">
        <v>1</v>
      </c>
    </row>
    <row r="89" spans="1:16" x14ac:dyDescent="0.25">
      <c r="A89" t="s">
        <v>96</v>
      </c>
      <c r="B89" t="s">
        <v>78</v>
      </c>
      <c r="C89">
        <v>0</v>
      </c>
      <c r="D89">
        <v>2.8870141506195068</v>
      </c>
      <c r="E89">
        <v>1</v>
      </c>
      <c r="F89">
        <v>1</v>
      </c>
      <c r="G89">
        <v>1</v>
      </c>
      <c r="H89">
        <v>1</v>
      </c>
      <c r="I89">
        <v>1</v>
      </c>
      <c r="J89">
        <v>1</v>
      </c>
      <c r="K89">
        <v>1</v>
      </c>
      <c r="L89">
        <v>1</v>
      </c>
      <c r="M89">
        <v>1</v>
      </c>
      <c r="N89">
        <v>1</v>
      </c>
      <c r="O89">
        <v>1</v>
      </c>
    </row>
    <row r="90" spans="1:16" x14ac:dyDescent="0.25">
      <c r="A90" t="s">
        <v>96</v>
      </c>
      <c r="B90" t="s">
        <v>80</v>
      </c>
      <c r="C90">
        <v>0</v>
      </c>
      <c r="D90">
        <v>10.87158942222595</v>
      </c>
      <c r="E90">
        <v>1</v>
      </c>
      <c r="F90">
        <v>1</v>
      </c>
      <c r="G90">
        <v>1</v>
      </c>
      <c r="H90">
        <v>1</v>
      </c>
      <c r="I90">
        <v>1</v>
      </c>
      <c r="J90">
        <v>1</v>
      </c>
      <c r="K90">
        <v>1</v>
      </c>
      <c r="L90">
        <v>1</v>
      </c>
      <c r="M90">
        <v>1</v>
      </c>
      <c r="N90">
        <v>1</v>
      </c>
      <c r="O90">
        <v>1</v>
      </c>
    </row>
    <row r="91" spans="1:16" x14ac:dyDescent="0.25">
      <c r="A91" t="s">
        <v>96</v>
      </c>
      <c r="B91" t="s">
        <v>82</v>
      </c>
      <c r="C91">
        <v>0</v>
      </c>
      <c r="D91">
        <v>11.82962608337402</v>
      </c>
      <c r="E91">
        <v>1</v>
      </c>
      <c r="F91">
        <v>1</v>
      </c>
      <c r="G91">
        <v>1</v>
      </c>
      <c r="H91">
        <v>0</v>
      </c>
      <c r="I91">
        <v>1</v>
      </c>
      <c r="J91">
        <v>1</v>
      </c>
      <c r="K91">
        <v>1</v>
      </c>
      <c r="L91">
        <v>1</v>
      </c>
      <c r="M91">
        <v>1</v>
      </c>
      <c r="N91">
        <v>1</v>
      </c>
      <c r="O91">
        <v>1</v>
      </c>
      <c r="P91" t="s">
        <v>224</v>
      </c>
    </row>
    <row r="92" spans="1:16" x14ac:dyDescent="0.25">
      <c r="A92" t="s">
        <v>96</v>
      </c>
      <c r="B92" t="s">
        <v>84</v>
      </c>
      <c r="C92">
        <v>0</v>
      </c>
      <c r="D92">
        <v>9.9421463012695313</v>
      </c>
      <c r="E92">
        <v>1</v>
      </c>
      <c r="F92">
        <v>1</v>
      </c>
      <c r="G92">
        <v>1</v>
      </c>
      <c r="H92">
        <v>1</v>
      </c>
      <c r="I92">
        <v>1</v>
      </c>
      <c r="J92">
        <v>1</v>
      </c>
      <c r="K92">
        <v>1</v>
      </c>
      <c r="L92">
        <v>1</v>
      </c>
      <c r="M92">
        <v>1</v>
      </c>
      <c r="N92">
        <v>1</v>
      </c>
      <c r="O92">
        <v>1</v>
      </c>
    </row>
    <row r="93" spans="1:16" x14ac:dyDescent="0.25">
      <c r="A93" t="s">
        <v>96</v>
      </c>
      <c r="B93" t="s">
        <v>85</v>
      </c>
      <c r="C93">
        <v>0</v>
      </c>
      <c r="D93">
        <v>5.0345416069030762</v>
      </c>
      <c r="E93">
        <v>1</v>
      </c>
      <c r="F93">
        <v>1</v>
      </c>
      <c r="G93">
        <v>1</v>
      </c>
      <c r="H93">
        <v>1</v>
      </c>
      <c r="I93">
        <v>1</v>
      </c>
      <c r="J93">
        <v>0</v>
      </c>
      <c r="K93">
        <v>1</v>
      </c>
      <c r="L93">
        <v>1</v>
      </c>
      <c r="M93">
        <v>1</v>
      </c>
      <c r="N93">
        <v>1</v>
      </c>
      <c r="O93">
        <v>1</v>
      </c>
      <c r="P93" t="s">
        <v>225</v>
      </c>
    </row>
    <row r="94" spans="1:16" x14ac:dyDescent="0.25">
      <c r="A94" t="s">
        <v>96</v>
      </c>
      <c r="B94" t="s">
        <v>87</v>
      </c>
      <c r="C94">
        <v>0</v>
      </c>
      <c r="D94">
        <v>4.5241482257843018</v>
      </c>
      <c r="E94">
        <v>1</v>
      </c>
      <c r="F94">
        <v>1</v>
      </c>
      <c r="G94">
        <v>1</v>
      </c>
      <c r="H94">
        <v>1</v>
      </c>
      <c r="I94">
        <v>1</v>
      </c>
      <c r="J94">
        <v>0</v>
      </c>
      <c r="K94">
        <v>1</v>
      </c>
      <c r="L94">
        <v>1</v>
      </c>
      <c r="M94">
        <v>1</v>
      </c>
      <c r="N94">
        <v>1</v>
      </c>
      <c r="O94">
        <v>1</v>
      </c>
      <c r="P94" t="s">
        <v>226</v>
      </c>
    </row>
    <row r="95" spans="1:16" x14ac:dyDescent="0.25">
      <c r="A95" t="s">
        <v>96</v>
      </c>
      <c r="B95" t="s">
        <v>89</v>
      </c>
      <c r="C95">
        <v>0</v>
      </c>
      <c r="D95">
        <v>11.904487609863279</v>
      </c>
      <c r="E95">
        <v>1</v>
      </c>
      <c r="F95">
        <v>1</v>
      </c>
      <c r="G95">
        <v>1</v>
      </c>
      <c r="H95">
        <v>1</v>
      </c>
      <c r="I95">
        <v>1</v>
      </c>
      <c r="J95">
        <v>0</v>
      </c>
      <c r="K95">
        <v>1</v>
      </c>
      <c r="L95">
        <v>1</v>
      </c>
      <c r="M95">
        <v>1</v>
      </c>
      <c r="N95">
        <v>1</v>
      </c>
      <c r="O95">
        <v>1</v>
      </c>
      <c r="P95" t="s">
        <v>227</v>
      </c>
    </row>
    <row r="96" spans="1:16" x14ac:dyDescent="0.25">
      <c r="A96" t="s">
        <v>96</v>
      </c>
      <c r="B96" t="s">
        <v>91</v>
      </c>
      <c r="C96">
        <v>0</v>
      </c>
      <c r="D96">
        <v>12.63682532310486</v>
      </c>
      <c r="E96">
        <v>1</v>
      </c>
      <c r="F96">
        <v>1</v>
      </c>
      <c r="G96">
        <v>1</v>
      </c>
      <c r="H96">
        <v>1</v>
      </c>
      <c r="I96">
        <v>1</v>
      </c>
      <c r="J96">
        <v>0</v>
      </c>
      <c r="K96">
        <v>1</v>
      </c>
      <c r="L96">
        <v>1</v>
      </c>
      <c r="M96">
        <v>1</v>
      </c>
      <c r="N96">
        <v>1</v>
      </c>
      <c r="O96">
        <v>1</v>
      </c>
      <c r="P96" t="s">
        <v>228</v>
      </c>
    </row>
    <row r="97" spans="1:16" x14ac:dyDescent="0.25">
      <c r="A97" t="s">
        <v>96</v>
      </c>
      <c r="B97" t="s">
        <v>92</v>
      </c>
      <c r="C97">
        <v>0</v>
      </c>
      <c r="D97">
        <v>10.685466051101679</v>
      </c>
      <c r="E97">
        <v>1</v>
      </c>
      <c r="F97">
        <v>1</v>
      </c>
      <c r="G97">
        <v>1</v>
      </c>
      <c r="H97">
        <v>0</v>
      </c>
      <c r="I97">
        <v>1</v>
      </c>
      <c r="J97">
        <v>1</v>
      </c>
      <c r="K97">
        <v>1</v>
      </c>
      <c r="L97">
        <v>1</v>
      </c>
      <c r="M97">
        <v>1</v>
      </c>
      <c r="N97">
        <v>1</v>
      </c>
      <c r="O97">
        <v>1</v>
      </c>
      <c r="P97" t="s">
        <v>229</v>
      </c>
    </row>
    <row r="98" spans="1:16" x14ac:dyDescent="0.25">
      <c r="A98" t="s">
        <v>96</v>
      </c>
      <c r="B98" t="s">
        <v>94</v>
      </c>
      <c r="C98">
        <v>0</v>
      </c>
      <c r="D98">
        <v>10.783765554428101</v>
      </c>
      <c r="E98">
        <v>1</v>
      </c>
      <c r="F98">
        <v>1</v>
      </c>
      <c r="G98">
        <v>1</v>
      </c>
      <c r="H98">
        <v>1</v>
      </c>
      <c r="I98">
        <v>1</v>
      </c>
      <c r="J98">
        <v>1</v>
      </c>
      <c r="K98">
        <v>1</v>
      </c>
      <c r="L98">
        <v>1</v>
      </c>
      <c r="M98">
        <v>1</v>
      </c>
      <c r="N98">
        <v>1</v>
      </c>
      <c r="O98">
        <v>1</v>
      </c>
    </row>
    <row r="99" spans="1:16" x14ac:dyDescent="0.25">
      <c r="A99" t="s">
        <v>96</v>
      </c>
      <c r="B99" t="s">
        <v>95</v>
      </c>
      <c r="C99">
        <v>0</v>
      </c>
      <c r="D99">
        <v>2.9751346111297612</v>
      </c>
      <c r="E99">
        <v>1</v>
      </c>
      <c r="F99">
        <v>1</v>
      </c>
      <c r="G99">
        <v>1</v>
      </c>
      <c r="H99">
        <v>1</v>
      </c>
      <c r="I99">
        <v>1</v>
      </c>
      <c r="J99">
        <v>1</v>
      </c>
      <c r="K99">
        <v>1</v>
      </c>
      <c r="L99">
        <v>1</v>
      </c>
      <c r="M99">
        <v>1</v>
      </c>
      <c r="N99">
        <v>1</v>
      </c>
      <c r="O99">
        <v>1</v>
      </c>
    </row>
    <row r="100" spans="1:16" x14ac:dyDescent="0.25">
      <c r="A100" t="s">
        <v>96</v>
      </c>
      <c r="B100" t="s">
        <v>121</v>
      </c>
      <c r="C100">
        <v>0</v>
      </c>
      <c r="D100">
        <v>2.918921947479248</v>
      </c>
      <c r="E100">
        <v>1</v>
      </c>
      <c r="F100">
        <v>1</v>
      </c>
      <c r="G100">
        <v>1</v>
      </c>
      <c r="H100">
        <v>1</v>
      </c>
      <c r="I100">
        <v>1</v>
      </c>
      <c r="J100">
        <v>1</v>
      </c>
      <c r="K100">
        <v>1</v>
      </c>
      <c r="L100">
        <v>1</v>
      </c>
      <c r="M100">
        <v>1</v>
      </c>
      <c r="N100">
        <v>1</v>
      </c>
      <c r="O100">
        <v>1</v>
      </c>
    </row>
    <row r="101" spans="1:16" x14ac:dyDescent="0.25">
      <c r="A101" t="s">
        <v>96</v>
      </c>
      <c r="B101" t="s">
        <v>122</v>
      </c>
      <c r="C101">
        <v>0</v>
      </c>
      <c r="D101">
        <v>12.481075763702391</v>
      </c>
      <c r="E101">
        <v>1</v>
      </c>
      <c r="F101">
        <v>1</v>
      </c>
      <c r="G101">
        <v>0</v>
      </c>
      <c r="H101" t="s">
        <v>20</v>
      </c>
      <c r="I101">
        <v>1</v>
      </c>
      <c r="J101">
        <v>0</v>
      </c>
      <c r="K101">
        <v>1</v>
      </c>
      <c r="L101">
        <v>1</v>
      </c>
      <c r="M101">
        <v>1</v>
      </c>
      <c r="N101">
        <v>1</v>
      </c>
      <c r="O101">
        <v>1</v>
      </c>
      <c r="P101" t="s">
        <v>230</v>
      </c>
    </row>
    <row r="102" spans="1:16" x14ac:dyDescent="0.25">
      <c r="A102" t="s">
        <v>96</v>
      </c>
      <c r="B102" t="s">
        <v>124</v>
      </c>
      <c r="C102">
        <v>0</v>
      </c>
      <c r="D102">
        <v>5.6424288749694824</v>
      </c>
      <c r="E102">
        <v>1</v>
      </c>
      <c r="F102">
        <v>1</v>
      </c>
      <c r="G102">
        <v>1</v>
      </c>
      <c r="H102">
        <v>1</v>
      </c>
      <c r="I102">
        <v>1</v>
      </c>
      <c r="J102">
        <v>0</v>
      </c>
      <c r="K102">
        <v>1</v>
      </c>
      <c r="L102">
        <v>1</v>
      </c>
      <c r="M102">
        <v>1</v>
      </c>
      <c r="N102">
        <v>1</v>
      </c>
      <c r="O102">
        <v>1</v>
      </c>
      <c r="P102" t="s">
        <v>231</v>
      </c>
    </row>
    <row r="103" spans="1:16" x14ac:dyDescent="0.25">
      <c r="A103" t="s">
        <v>96</v>
      </c>
      <c r="B103" t="s">
        <v>126</v>
      </c>
      <c r="C103">
        <v>0</v>
      </c>
      <c r="D103">
        <v>10.958924055099491</v>
      </c>
      <c r="E103">
        <v>1</v>
      </c>
      <c r="F103">
        <v>0</v>
      </c>
      <c r="G103">
        <v>1</v>
      </c>
      <c r="H103" t="s">
        <v>20</v>
      </c>
      <c r="I103">
        <v>1</v>
      </c>
      <c r="J103" t="s">
        <v>20</v>
      </c>
      <c r="K103">
        <v>1</v>
      </c>
      <c r="L103">
        <v>1</v>
      </c>
      <c r="M103">
        <v>1</v>
      </c>
      <c r="N103">
        <v>1</v>
      </c>
      <c r="O103">
        <v>1</v>
      </c>
      <c r="P103" t="s">
        <v>232</v>
      </c>
    </row>
    <row r="104" spans="1:16" x14ac:dyDescent="0.25">
      <c r="A104" t="s">
        <v>96</v>
      </c>
      <c r="B104" t="s">
        <v>127</v>
      </c>
      <c r="C104">
        <v>0</v>
      </c>
      <c r="D104">
        <v>12.86533570289612</v>
      </c>
      <c r="E104">
        <v>1</v>
      </c>
      <c r="F104">
        <v>1</v>
      </c>
      <c r="G104">
        <v>1</v>
      </c>
      <c r="H104">
        <v>0</v>
      </c>
      <c r="I104">
        <v>1</v>
      </c>
      <c r="J104">
        <v>0</v>
      </c>
      <c r="K104">
        <v>1</v>
      </c>
      <c r="L104">
        <v>1</v>
      </c>
      <c r="M104">
        <v>1</v>
      </c>
      <c r="N104">
        <v>1</v>
      </c>
      <c r="O104">
        <v>1</v>
      </c>
      <c r="P104" t="s">
        <v>233</v>
      </c>
    </row>
    <row r="105" spans="1:16" x14ac:dyDescent="0.25">
      <c r="A105" t="s">
        <v>96</v>
      </c>
      <c r="B105" t="s">
        <v>129</v>
      </c>
      <c r="C105">
        <v>0</v>
      </c>
      <c r="D105">
        <v>11.22834753990173</v>
      </c>
      <c r="E105">
        <v>1</v>
      </c>
      <c r="F105">
        <v>1</v>
      </c>
      <c r="G105">
        <v>1</v>
      </c>
      <c r="H105">
        <v>0</v>
      </c>
      <c r="I105">
        <v>1</v>
      </c>
      <c r="J105">
        <v>0</v>
      </c>
      <c r="K105">
        <v>1</v>
      </c>
      <c r="L105">
        <v>1</v>
      </c>
      <c r="M105">
        <v>1</v>
      </c>
      <c r="N105">
        <v>1</v>
      </c>
      <c r="O105">
        <v>1</v>
      </c>
      <c r="P105" t="s">
        <v>234</v>
      </c>
    </row>
    <row r="106" spans="1:16" x14ac:dyDescent="0.25">
      <c r="A106" t="s">
        <v>96</v>
      </c>
      <c r="B106" t="s">
        <v>131</v>
      </c>
      <c r="C106">
        <v>0</v>
      </c>
      <c r="D106">
        <v>7.1504952907562256</v>
      </c>
      <c r="E106">
        <v>1</v>
      </c>
      <c r="F106">
        <v>1</v>
      </c>
      <c r="G106">
        <v>1</v>
      </c>
      <c r="H106">
        <v>1</v>
      </c>
      <c r="I106">
        <v>1</v>
      </c>
      <c r="J106">
        <v>1</v>
      </c>
      <c r="K106">
        <v>0</v>
      </c>
      <c r="L106">
        <v>1</v>
      </c>
      <c r="M106">
        <v>1</v>
      </c>
      <c r="N106">
        <v>1</v>
      </c>
      <c r="O106">
        <v>1</v>
      </c>
      <c r="P106" t="s">
        <v>235</v>
      </c>
    </row>
    <row r="107" spans="1:16" x14ac:dyDescent="0.25">
      <c r="A107" t="s">
        <v>96</v>
      </c>
      <c r="B107" t="s">
        <v>133</v>
      </c>
      <c r="C107">
        <v>0</v>
      </c>
      <c r="D107">
        <v>6.053380012512207</v>
      </c>
      <c r="E107">
        <v>1</v>
      </c>
      <c r="F107">
        <v>1</v>
      </c>
      <c r="G107">
        <v>1</v>
      </c>
      <c r="H107">
        <v>1</v>
      </c>
      <c r="I107">
        <v>1</v>
      </c>
      <c r="J107">
        <v>1</v>
      </c>
      <c r="K107">
        <v>0</v>
      </c>
      <c r="L107">
        <v>1</v>
      </c>
      <c r="M107">
        <v>1</v>
      </c>
      <c r="N107">
        <v>1</v>
      </c>
      <c r="O107">
        <v>1</v>
      </c>
      <c r="P107" t="s">
        <v>236</v>
      </c>
    </row>
    <row r="108" spans="1:16" x14ac:dyDescent="0.25">
      <c r="A108" t="s">
        <v>96</v>
      </c>
      <c r="B108" t="s">
        <v>135</v>
      </c>
      <c r="C108">
        <v>0</v>
      </c>
      <c r="D108">
        <v>8.0117080211639404</v>
      </c>
      <c r="E108">
        <v>1</v>
      </c>
      <c r="F108">
        <v>1</v>
      </c>
      <c r="G108">
        <v>1</v>
      </c>
      <c r="H108">
        <v>1</v>
      </c>
      <c r="I108">
        <v>1</v>
      </c>
      <c r="J108">
        <v>1</v>
      </c>
      <c r="K108">
        <v>1</v>
      </c>
      <c r="L108">
        <v>1</v>
      </c>
      <c r="M108">
        <v>1</v>
      </c>
      <c r="N108">
        <v>1</v>
      </c>
      <c r="O108">
        <v>1</v>
      </c>
    </row>
    <row r="109" spans="1:16" x14ac:dyDescent="0.25">
      <c r="A109" t="s">
        <v>96</v>
      </c>
      <c r="B109" t="s">
        <v>136</v>
      </c>
      <c r="C109">
        <v>0</v>
      </c>
      <c r="D109">
        <v>3.0842680931091309</v>
      </c>
      <c r="E109">
        <v>1</v>
      </c>
      <c r="F109">
        <v>1</v>
      </c>
      <c r="G109">
        <v>1</v>
      </c>
      <c r="H109">
        <v>1</v>
      </c>
      <c r="I109">
        <v>1</v>
      </c>
      <c r="J109">
        <v>1</v>
      </c>
      <c r="K109">
        <v>1</v>
      </c>
      <c r="L109">
        <v>1</v>
      </c>
      <c r="M109">
        <v>1</v>
      </c>
      <c r="N109">
        <v>1</v>
      </c>
      <c r="O109">
        <v>1</v>
      </c>
    </row>
    <row r="110" spans="1:16" x14ac:dyDescent="0.25">
      <c r="A110" t="s">
        <v>96</v>
      </c>
      <c r="B110" t="s">
        <v>137</v>
      </c>
      <c r="C110">
        <v>0</v>
      </c>
      <c r="D110">
        <v>9.3420131206512451</v>
      </c>
      <c r="E110">
        <v>1</v>
      </c>
      <c r="F110">
        <v>1</v>
      </c>
      <c r="G110">
        <v>1</v>
      </c>
      <c r="H110">
        <v>1</v>
      </c>
      <c r="I110">
        <v>1</v>
      </c>
      <c r="J110">
        <v>1</v>
      </c>
      <c r="K110">
        <v>1</v>
      </c>
      <c r="L110">
        <v>1</v>
      </c>
      <c r="M110">
        <v>1</v>
      </c>
      <c r="N110">
        <v>1</v>
      </c>
      <c r="O110">
        <v>1</v>
      </c>
    </row>
    <row r="111" spans="1:16" x14ac:dyDescent="0.25">
      <c r="A111" t="s">
        <v>96</v>
      </c>
      <c r="B111" t="s">
        <v>138</v>
      </c>
      <c r="C111">
        <v>0</v>
      </c>
      <c r="D111">
        <v>4.6119751930236816</v>
      </c>
      <c r="E111">
        <v>1</v>
      </c>
      <c r="F111">
        <v>1</v>
      </c>
      <c r="G111">
        <v>1</v>
      </c>
      <c r="H111">
        <v>1</v>
      </c>
      <c r="I111">
        <v>1</v>
      </c>
      <c r="J111">
        <v>0</v>
      </c>
      <c r="K111">
        <v>1</v>
      </c>
      <c r="L111">
        <v>1</v>
      </c>
      <c r="M111">
        <v>1</v>
      </c>
      <c r="N111">
        <v>1</v>
      </c>
      <c r="O111">
        <v>1</v>
      </c>
      <c r="P111" t="s">
        <v>237</v>
      </c>
    </row>
    <row r="112" spans="1:16" x14ac:dyDescent="0.25">
      <c r="A112" t="s">
        <v>96</v>
      </c>
      <c r="B112" t="s">
        <v>140</v>
      </c>
      <c r="C112">
        <v>0</v>
      </c>
      <c r="D112">
        <v>2.6799519062042241</v>
      </c>
      <c r="E112">
        <v>1</v>
      </c>
      <c r="F112">
        <v>1</v>
      </c>
      <c r="G112">
        <v>1</v>
      </c>
      <c r="H112">
        <v>1</v>
      </c>
      <c r="I112">
        <v>1</v>
      </c>
      <c r="J112">
        <v>1</v>
      </c>
      <c r="K112">
        <v>1</v>
      </c>
      <c r="L112">
        <v>1</v>
      </c>
      <c r="M112">
        <v>1</v>
      </c>
      <c r="N112">
        <v>1</v>
      </c>
      <c r="O112">
        <v>1</v>
      </c>
    </row>
    <row r="113" spans="1:16" x14ac:dyDescent="0.25">
      <c r="A113" t="s">
        <v>96</v>
      </c>
      <c r="B113" t="s">
        <v>141</v>
      </c>
      <c r="C113">
        <v>0</v>
      </c>
      <c r="D113">
        <v>4.2487053871154794</v>
      </c>
      <c r="E113">
        <v>1</v>
      </c>
      <c r="F113">
        <v>1</v>
      </c>
      <c r="G113">
        <v>1</v>
      </c>
      <c r="H113">
        <v>1</v>
      </c>
      <c r="I113">
        <v>1</v>
      </c>
      <c r="J113">
        <v>0</v>
      </c>
      <c r="K113">
        <v>1</v>
      </c>
      <c r="L113">
        <v>1</v>
      </c>
      <c r="M113">
        <v>1</v>
      </c>
      <c r="N113">
        <v>1</v>
      </c>
      <c r="O113">
        <v>1</v>
      </c>
      <c r="P113" t="s">
        <v>238</v>
      </c>
    </row>
    <row r="114" spans="1:16" x14ac:dyDescent="0.25">
      <c r="A114" t="s">
        <v>143</v>
      </c>
      <c r="B114" t="s">
        <v>17</v>
      </c>
      <c r="C114">
        <v>0</v>
      </c>
      <c r="D114">
        <v>2.9073491096496582</v>
      </c>
      <c r="E114">
        <v>1</v>
      </c>
      <c r="F114">
        <v>1</v>
      </c>
      <c r="G114">
        <v>1</v>
      </c>
      <c r="H114">
        <v>1</v>
      </c>
      <c r="I114">
        <v>1</v>
      </c>
      <c r="J114">
        <v>1</v>
      </c>
      <c r="K114">
        <v>1</v>
      </c>
      <c r="L114">
        <v>1</v>
      </c>
      <c r="M114">
        <v>1</v>
      </c>
      <c r="N114">
        <v>1</v>
      </c>
      <c r="O114">
        <v>1</v>
      </c>
    </row>
    <row r="115" spans="1:16" x14ac:dyDescent="0.25">
      <c r="A115" t="s">
        <v>143</v>
      </c>
      <c r="B115" t="s">
        <v>18</v>
      </c>
      <c r="C115">
        <v>0</v>
      </c>
      <c r="D115">
        <v>2.875442743301392</v>
      </c>
      <c r="E115">
        <v>1</v>
      </c>
      <c r="F115">
        <v>1</v>
      </c>
      <c r="G115">
        <v>1</v>
      </c>
      <c r="H115">
        <v>1</v>
      </c>
      <c r="I115">
        <v>1</v>
      </c>
      <c r="J115">
        <v>1</v>
      </c>
      <c r="K115">
        <v>1</v>
      </c>
      <c r="L115">
        <v>1</v>
      </c>
      <c r="M115">
        <v>1</v>
      </c>
      <c r="N115">
        <v>1</v>
      </c>
      <c r="O115">
        <v>1</v>
      </c>
    </row>
    <row r="116" spans="1:16" x14ac:dyDescent="0.25">
      <c r="A116" t="s">
        <v>143</v>
      </c>
      <c r="B116" t="s">
        <v>19</v>
      </c>
      <c r="C116">
        <v>0</v>
      </c>
      <c r="D116">
        <v>9.5788891315460205</v>
      </c>
      <c r="E116">
        <v>1</v>
      </c>
      <c r="F116">
        <v>1</v>
      </c>
      <c r="G116">
        <v>1</v>
      </c>
      <c r="H116">
        <v>1</v>
      </c>
      <c r="I116">
        <v>1</v>
      </c>
      <c r="J116">
        <v>1</v>
      </c>
      <c r="K116">
        <v>1</v>
      </c>
      <c r="L116">
        <v>1</v>
      </c>
      <c r="M116">
        <v>1</v>
      </c>
      <c r="N116">
        <v>1</v>
      </c>
      <c r="O116">
        <v>1</v>
      </c>
    </row>
    <row r="117" spans="1:16" x14ac:dyDescent="0.25">
      <c r="A117" t="s">
        <v>143</v>
      </c>
      <c r="B117" t="s">
        <v>22</v>
      </c>
      <c r="C117">
        <v>0</v>
      </c>
      <c r="D117">
        <v>5.1260254383087158</v>
      </c>
      <c r="E117">
        <v>1</v>
      </c>
      <c r="F117">
        <v>1</v>
      </c>
      <c r="G117">
        <v>1</v>
      </c>
      <c r="H117">
        <v>1</v>
      </c>
      <c r="I117">
        <v>1</v>
      </c>
      <c r="J117">
        <v>0</v>
      </c>
      <c r="K117">
        <v>1</v>
      </c>
      <c r="L117">
        <v>1</v>
      </c>
      <c r="M117">
        <v>1</v>
      </c>
      <c r="N117">
        <v>1</v>
      </c>
      <c r="O117">
        <v>1</v>
      </c>
      <c r="P117" t="s">
        <v>239</v>
      </c>
    </row>
    <row r="118" spans="1:16" x14ac:dyDescent="0.25">
      <c r="A118" t="s">
        <v>143</v>
      </c>
      <c r="B118" t="s">
        <v>24</v>
      </c>
      <c r="C118">
        <v>0</v>
      </c>
      <c r="D118">
        <v>5.0179157257080078</v>
      </c>
      <c r="E118">
        <v>1</v>
      </c>
      <c r="F118">
        <v>1</v>
      </c>
      <c r="G118">
        <v>1</v>
      </c>
      <c r="H118">
        <v>1</v>
      </c>
      <c r="I118">
        <v>1</v>
      </c>
      <c r="J118">
        <v>1</v>
      </c>
      <c r="K118">
        <v>1</v>
      </c>
      <c r="L118">
        <v>0</v>
      </c>
      <c r="M118">
        <v>1</v>
      </c>
      <c r="N118">
        <v>0</v>
      </c>
      <c r="O118">
        <v>1</v>
      </c>
      <c r="P118" t="s">
        <v>240</v>
      </c>
    </row>
    <row r="119" spans="1:16" x14ac:dyDescent="0.25">
      <c r="A119" t="s">
        <v>143</v>
      </c>
      <c r="B119" t="s">
        <v>25</v>
      </c>
      <c r="C119">
        <v>0</v>
      </c>
      <c r="D119">
        <v>10.255049705505369</v>
      </c>
      <c r="E119">
        <v>1</v>
      </c>
      <c r="F119">
        <v>1</v>
      </c>
      <c r="G119">
        <v>1</v>
      </c>
      <c r="H119">
        <v>1</v>
      </c>
      <c r="I119">
        <v>1</v>
      </c>
      <c r="J119">
        <v>1</v>
      </c>
      <c r="K119">
        <v>1</v>
      </c>
      <c r="L119">
        <v>1</v>
      </c>
      <c r="M119">
        <v>1</v>
      </c>
      <c r="N119">
        <v>1</v>
      </c>
      <c r="O119">
        <v>1</v>
      </c>
    </row>
    <row r="120" spans="1:16" x14ac:dyDescent="0.25">
      <c r="A120" t="s">
        <v>143</v>
      </c>
      <c r="B120" t="s">
        <v>26</v>
      </c>
      <c r="C120">
        <v>0</v>
      </c>
      <c r="D120">
        <v>12.149511575698851</v>
      </c>
      <c r="E120">
        <v>1</v>
      </c>
      <c r="F120">
        <v>1</v>
      </c>
      <c r="G120">
        <v>0</v>
      </c>
      <c r="H120" t="s">
        <v>20</v>
      </c>
      <c r="I120">
        <v>1</v>
      </c>
      <c r="J120">
        <v>1</v>
      </c>
      <c r="K120">
        <v>1</v>
      </c>
      <c r="L120">
        <v>1</v>
      </c>
      <c r="M120">
        <v>1</v>
      </c>
      <c r="N120">
        <v>1</v>
      </c>
      <c r="O120">
        <v>1</v>
      </c>
      <c r="P120" t="s">
        <v>241</v>
      </c>
    </row>
    <row r="121" spans="1:16" x14ac:dyDescent="0.25">
      <c r="A121" t="s">
        <v>143</v>
      </c>
      <c r="B121" t="s">
        <v>27</v>
      </c>
      <c r="C121">
        <v>0</v>
      </c>
      <c r="D121">
        <v>2.935768842697144</v>
      </c>
      <c r="E121">
        <v>1</v>
      </c>
      <c r="F121">
        <v>1</v>
      </c>
      <c r="G121">
        <v>1</v>
      </c>
      <c r="H121">
        <v>1</v>
      </c>
      <c r="I121">
        <v>1</v>
      </c>
      <c r="J121">
        <v>1</v>
      </c>
      <c r="K121">
        <v>1</v>
      </c>
      <c r="L121">
        <v>1</v>
      </c>
      <c r="M121">
        <v>1</v>
      </c>
      <c r="N121">
        <v>1</v>
      </c>
      <c r="O121">
        <v>1</v>
      </c>
    </row>
    <row r="122" spans="1:16" x14ac:dyDescent="0.25">
      <c r="A122" t="s">
        <v>143</v>
      </c>
      <c r="B122" t="s">
        <v>28</v>
      </c>
      <c r="C122">
        <v>0</v>
      </c>
      <c r="D122">
        <v>2.8767657279968262</v>
      </c>
      <c r="E122">
        <v>1</v>
      </c>
      <c r="F122">
        <v>1</v>
      </c>
      <c r="G122">
        <v>1</v>
      </c>
      <c r="H122">
        <v>1</v>
      </c>
      <c r="I122">
        <v>1</v>
      </c>
      <c r="J122">
        <v>1</v>
      </c>
      <c r="K122">
        <v>1</v>
      </c>
      <c r="L122">
        <v>1</v>
      </c>
      <c r="M122">
        <v>1</v>
      </c>
      <c r="N122">
        <v>1</v>
      </c>
      <c r="O122">
        <v>1</v>
      </c>
    </row>
    <row r="123" spans="1:16" x14ac:dyDescent="0.25">
      <c r="A123" t="s">
        <v>143</v>
      </c>
      <c r="B123" t="s">
        <v>29</v>
      </c>
      <c r="C123">
        <v>0</v>
      </c>
      <c r="D123">
        <v>11.08843326568604</v>
      </c>
      <c r="E123">
        <v>1</v>
      </c>
      <c r="F123">
        <v>1</v>
      </c>
      <c r="G123">
        <v>1</v>
      </c>
      <c r="H123">
        <v>1</v>
      </c>
      <c r="I123">
        <v>1</v>
      </c>
      <c r="J123">
        <v>1</v>
      </c>
      <c r="K123">
        <v>0</v>
      </c>
      <c r="L123">
        <v>1</v>
      </c>
      <c r="M123">
        <v>1</v>
      </c>
      <c r="N123">
        <v>1</v>
      </c>
      <c r="O123">
        <v>1</v>
      </c>
      <c r="P123" t="s">
        <v>242</v>
      </c>
    </row>
    <row r="124" spans="1:16" x14ac:dyDescent="0.25">
      <c r="A124" t="s">
        <v>143</v>
      </c>
      <c r="B124" t="s">
        <v>31</v>
      </c>
      <c r="C124">
        <v>0</v>
      </c>
      <c r="D124">
        <v>5.1332924365997306</v>
      </c>
      <c r="E124">
        <v>0</v>
      </c>
      <c r="F124" t="s">
        <v>20</v>
      </c>
      <c r="G124" t="s">
        <v>20</v>
      </c>
      <c r="H124" t="s">
        <v>20</v>
      </c>
      <c r="I124" t="s">
        <v>20</v>
      </c>
      <c r="J124" t="s">
        <v>20</v>
      </c>
      <c r="K124" t="s">
        <v>20</v>
      </c>
      <c r="L124" t="s">
        <v>20</v>
      </c>
      <c r="M124" t="s">
        <v>20</v>
      </c>
      <c r="N124" t="s">
        <v>20</v>
      </c>
      <c r="O124" t="s">
        <v>20</v>
      </c>
      <c r="P124" t="s">
        <v>243</v>
      </c>
    </row>
    <row r="125" spans="1:16" x14ac:dyDescent="0.25">
      <c r="A125" t="s">
        <v>143</v>
      </c>
      <c r="B125" t="s">
        <v>33</v>
      </c>
      <c r="C125">
        <v>0</v>
      </c>
      <c r="D125">
        <v>4.5002155303955078</v>
      </c>
      <c r="E125">
        <v>1</v>
      </c>
      <c r="F125">
        <v>1</v>
      </c>
      <c r="G125">
        <v>0</v>
      </c>
      <c r="H125" t="s">
        <v>20</v>
      </c>
      <c r="I125">
        <v>1</v>
      </c>
      <c r="J125">
        <v>1</v>
      </c>
      <c r="K125">
        <v>1</v>
      </c>
      <c r="L125">
        <v>1</v>
      </c>
      <c r="M125">
        <v>1</v>
      </c>
      <c r="N125">
        <v>1</v>
      </c>
      <c r="O125">
        <v>1</v>
      </c>
      <c r="P125" t="s">
        <v>244</v>
      </c>
    </row>
    <row r="126" spans="1:16" x14ac:dyDescent="0.25">
      <c r="A126" t="s">
        <v>143</v>
      </c>
      <c r="B126" t="s">
        <v>35</v>
      </c>
      <c r="C126">
        <v>0</v>
      </c>
      <c r="D126">
        <v>9.280125617980957</v>
      </c>
      <c r="E126">
        <v>1</v>
      </c>
      <c r="F126">
        <v>1</v>
      </c>
      <c r="G126">
        <v>1</v>
      </c>
      <c r="H126">
        <v>1</v>
      </c>
      <c r="I126">
        <v>1</v>
      </c>
      <c r="J126">
        <v>1</v>
      </c>
      <c r="K126">
        <v>1</v>
      </c>
      <c r="L126">
        <v>1</v>
      </c>
      <c r="M126">
        <v>1</v>
      </c>
      <c r="N126">
        <v>1</v>
      </c>
      <c r="O126">
        <v>1</v>
      </c>
    </row>
    <row r="127" spans="1:16" x14ac:dyDescent="0.25">
      <c r="A127" t="s">
        <v>143</v>
      </c>
      <c r="B127" t="s">
        <v>36</v>
      </c>
      <c r="C127">
        <v>0</v>
      </c>
      <c r="D127">
        <v>2.9302089214324951</v>
      </c>
      <c r="E127">
        <v>1</v>
      </c>
      <c r="F127">
        <v>1</v>
      </c>
      <c r="G127">
        <v>1</v>
      </c>
      <c r="H127">
        <v>1</v>
      </c>
      <c r="I127">
        <v>1</v>
      </c>
      <c r="J127">
        <v>1</v>
      </c>
      <c r="K127">
        <v>1</v>
      </c>
      <c r="L127">
        <v>1</v>
      </c>
      <c r="M127">
        <v>1</v>
      </c>
      <c r="N127">
        <v>1</v>
      </c>
      <c r="O127">
        <v>1</v>
      </c>
    </row>
    <row r="128" spans="1:16" x14ac:dyDescent="0.25">
      <c r="A128" t="s">
        <v>143</v>
      </c>
      <c r="B128" t="s">
        <v>38</v>
      </c>
      <c r="C128">
        <v>0</v>
      </c>
      <c r="D128">
        <v>9.9584481716156006</v>
      </c>
      <c r="E128">
        <v>1</v>
      </c>
      <c r="F128">
        <v>1</v>
      </c>
      <c r="G128">
        <v>1</v>
      </c>
      <c r="H128">
        <v>1</v>
      </c>
      <c r="I128">
        <v>1</v>
      </c>
      <c r="J128">
        <v>1</v>
      </c>
      <c r="K128">
        <v>1</v>
      </c>
      <c r="L128">
        <v>1</v>
      </c>
      <c r="M128">
        <v>1</v>
      </c>
      <c r="N128">
        <v>1</v>
      </c>
      <c r="O128">
        <v>1</v>
      </c>
    </row>
    <row r="129" spans="1:16" x14ac:dyDescent="0.25">
      <c r="A129" t="s">
        <v>143</v>
      </c>
      <c r="B129" t="s">
        <v>40</v>
      </c>
      <c r="C129">
        <v>0</v>
      </c>
      <c r="D129">
        <v>8.8358354568481445</v>
      </c>
      <c r="E129">
        <v>1</v>
      </c>
      <c r="F129">
        <v>1</v>
      </c>
      <c r="G129">
        <v>1</v>
      </c>
      <c r="H129">
        <v>1</v>
      </c>
      <c r="I129">
        <v>1</v>
      </c>
      <c r="J129">
        <v>1</v>
      </c>
      <c r="K129">
        <v>1</v>
      </c>
      <c r="L129">
        <v>1</v>
      </c>
      <c r="M129">
        <v>1</v>
      </c>
      <c r="N129">
        <v>1</v>
      </c>
      <c r="O129">
        <v>1</v>
      </c>
    </row>
    <row r="130" spans="1:16" x14ac:dyDescent="0.25">
      <c r="A130" t="s">
        <v>143</v>
      </c>
      <c r="B130" t="s">
        <v>42</v>
      </c>
      <c r="C130">
        <v>0</v>
      </c>
      <c r="D130">
        <v>2.9360957145690918</v>
      </c>
      <c r="E130">
        <v>1</v>
      </c>
      <c r="F130">
        <v>1</v>
      </c>
      <c r="G130">
        <v>1</v>
      </c>
      <c r="H130">
        <v>1</v>
      </c>
      <c r="I130">
        <v>1</v>
      </c>
      <c r="J130">
        <v>1</v>
      </c>
      <c r="K130">
        <v>1</v>
      </c>
      <c r="L130">
        <v>1</v>
      </c>
      <c r="M130">
        <v>1</v>
      </c>
      <c r="N130">
        <v>1</v>
      </c>
      <c r="O130">
        <v>1</v>
      </c>
    </row>
    <row r="131" spans="1:16" x14ac:dyDescent="0.25">
      <c r="A131" t="s">
        <v>143</v>
      </c>
      <c r="B131" t="s">
        <v>43</v>
      </c>
      <c r="C131">
        <v>0</v>
      </c>
      <c r="D131">
        <v>3.0042052268981929</v>
      </c>
      <c r="E131">
        <v>1</v>
      </c>
      <c r="F131">
        <v>1</v>
      </c>
      <c r="G131">
        <v>1</v>
      </c>
      <c r="H131">
        <v>1</v>
      </c>
      <c r="I131">
        <v>1</v>
      </c>
      <c r="J131">
        <v>1</v>
      </c>
      <c r="K131">
        <v>1</v>
      </c>
      <c r="L131">
        <v>1</v>
      </c>
      <c r="M131">
        <v>1</v>
      </c>
      <c r="N131">
        <v>1</v>
      </c>
      <c r="O131">
        <v>1</v>
      </c>
    </row>
    <row r="132" spans="1:16" x14ac:dyDescent="0.25">
      <c r="A132" t="s">
        <v>143</v>
      </c>
      <c r="B132" t="s">
        <v>44</v>
      </c>
      <c r="C132">
        <v>0</v>
      </c>
      <c r="D132">
        <v>6.9950168132781982</v>
      </c>
      <c r="E132">
        <v>1</v>
      </c>
      <c r="F132">
        <v>1</v>
      </c>
      <c r="G132">
        <v>0</v>
      </c>
      <c r="H132" t="s">
        <v>20</v>
      </c>
      <c r="I132">
        <v>1</v>
      </c>
      <c r="J132">
        <v>1</v>
      </c>
      <c r="K132">
        <v>1</v>
      </c>
      <c r="L132">
        <v>1</v>
      </c>
      <c r="M132">
        <v>0</v>
      </c>
      <c r="N132">
        <v>1</v>
      </c>
      <c r="O132">
        <v>1</v>
      </c>
      <c r="P132" t="s">
        <v>245</v>
      </c>
    </row>
    <row r="133" spans="1:16" x14ac:dyDescent="0.25">
      <c r="A133" t="s">
        <v>143</v>
      </c>
      <c r="B133" t="s">
        <v>46</v>
      </c>
      <c r="C133">
        <v>0</v>
      </c>
      <c r="D133">
        <v>7.9958829879760742</v>
      </c>
      <c r="E133">
        <v>1</v>
      </c>
      <c r="F133">
        <v>1</v>
      </c>
      <c r="G133">
        <v>1</v>
      </c>
      <c r="H133">
        <v>1</v>
      </c>
      <c r="I133">
        <v>0</v>
      </c>
      <c r="J133">
        <v>1</v>
      </c>
      <c r="K133">
        <v>0</v>
      </c>
      <c r="L133">
        <v>1</v>
      </c>
      <c r="M133">
        <v>0</v>
      </c>
      <c r="N133">
        <v>1</v>
      </c>
      <c r="O133">
        <v>1</v>
      </c>
      <c r="P133" t="s">
        <v>246</v>
      </c>
    </row>
    <row r="134" spans="1:16" x14ac:dyDescent="0.25">
      <c r="A134" t="s">
        <v>143</v>
      </c>
      <c r="B134" t="s">
        <v>48</v>
      </c>
      <c r="C134">
        <v>0</v>
      </c>
      <c r="D134">
        <v>2.8958466053009029</v>
      </c>
      <c r="E134">
        <v>1</v>
      </c>
      <c r="F134">
        <v>1</v>
      </c>
      <c r="G134">
        <v>1</v>
      </c>
      <c r="H134">
        <v>1</v>
      </c>
      <c r="I134">
        <v>1</v>
      </c>
      <c r="J134">
        <v>1</v>
      </c>
      <c r="K134">
        <v>1</v>
      </c>
      <c r="L134">
        <v>1</v>
      </c>
      <c r="M134">
        <v>1</v>
      </c>
      <c r="N134">
        <v>1</v>
      </c>
      <c r="O134">
        <v>1</v>
      </c>
    </row>
    <row r="135" spans="1:16" x14ac:dyDescent="0.25">
      <c r="A135" t="s">
        <v>143</v>
      </c>
      <c r="B135" t="s">
        <v>50</v>
      </c>
      <c r="C135">
        <v>0</v>
      </c>
      <c r="D135">
        <v>13.590202808380131</v>
      </c>
      <c r="E135">
        <v>0</v>
      </c>
      <c r="F135" t="s">
        <v>20</v>
      </c>
      <c r="G135" t="s">
        <v>20</v>
      </c>
      <c r="H135" t="s">
        <v>20</v>
      </c>
      <c r="I135" t="s">
        <v>20</v>
      </c>
      <c r="J135" t="s">
        <v>20</v>
      </c>
      <c r="K135" t="s">
        <v>20</v>
      </c>
      <c r="L135" t="s">
        <v>20</v>
      </c>
      <c r="M135" t="s">
        <v>20</v>
      </c>
      <c r="N135" t="s">
        <v>20</v>
      </c>
      <c r="O135" t="s">
        <v>20</v>
      </c>
      <c r="P135" t="s">
        <v>247</v>
      </c>
    </row>
    <row r="136" spans="1:16" x14ac:dyDescent="0.25">
      <c r="A136" t="s">
        <v>143</v>
      </c>
      <c r="B136" t="s">
        <v>51</v>
      </c>
      <c r="C136">
        <v>0</v>
      </c>
      <c r="D136">
        <v>9.0678136348724365</v>
      </c>
      <c r="E136">
        <v>1</v>
      </c>
      <c r="F136">
        <v>1</v>
      </c>
      <c r="G136">
        <v>1</v>
      </c>
      <c r="H136">
        <v>1</v>
      </c>
      <c r="I136">
        <v>1</v>
      </c>
      <c r="J136">
        <v>1</v>
      </c>
      <c r="K136">
        <v>1</v>
      </c>
      <c r="L136">
        <v>1</v>
      </c>
      <c r="M136">
        <v>1</v>
      </c>
      <c r="N136">
        <v>1</v>
      </c>
      <c r="O136">
        <v>1</v>
      </c>
    </row>
    <row r="137" spans="1:16" x14ac:dyDescent="0.25">
      <c r="A137" t="s">
        <v>143</v>
      </c>
      <c r="B137" t="s">
        <v>52</v>
      </c>
      <c r="C137">
        <v>0</v>
      </c>
      <c r="D137">
        <v>11.0272114276886</v>
      </c>
      <c r="E137">
        <v>1</v>
      </c>
      <c r="F137">
        <v>0</v>
      </c>
      <c r="G137">
        <v>1</v>
      </c>
      <c r="H137" t="s">
        <v>20</v>
      </c>
      <c r="I137">
        <v>1</v>
      </c>
      <c r="J137" t="s">
        <v>20</v>
      </c>
      <c r="K137">
        <v>1</v>
      </c>
      <c r="L137">
        <v>1</v>
      </c>
      <c r="M137">
        <v>1</v>
      </c>
      <c r="N137">
        <v>1</v>
      </c>
      <c r="O137">
        <v>1</v>
      </c>
      <c r="P137" t="s">
        <v>248</v>
      </c>
    </row>
    <row r="138" spans="1:16" x14ac:dyDescent="0.25">
      <c r="A138" t="s">
        <v>143</v>
      </c>
      <c r="B138" t="s">
        <v>53</v>
      </c>
      <c r="C138">
        <v>0</v>
      </c>
      <c r="D138">
        <v>5.9262816905975342</v>
      </c>
      <c r="E138">
        <v>1</v>
      </c>
      <c r="F138">
        <v>0</v>
      </c>
      <c r="G138">
        <v>1</v>
      </c>
      <c r="H138" t="s">
        <v>20</v>
      </c>
      <c r="I138">
        <v>1</v>
      </c>
      <c r="J138" t="s">
        <v>20</v>
      </c>
      <c r="K138">
        <v>1</v>
      </c>
      <c r="L138">
        <v>1</v>
      </c>
      <c r="M138">
        <v>1</v>
      </c>
      <c r="N138">
        <v>1</v>
      </c>
      <c r="O138">
        <v>1</v>
      </c>
      <c r="P138" t="s">
        <v>249</v>
      </c>
    </row>
    <row r="139" spans="1:16" x14ac:dyDescent="0.25">
      <c r="A139" t="s">
        <v>143</v>
      </c>
      <c r="B139" t="s">
        <v>55</v>
      </c>
      <c r="C139">
        <v>0</v>
      </c>
      <c r="D139">
        <v>12.24036765098572</v>
      </c>
      <c r="E139">
        <v>1</v>
      </c>
      <c r="F139">
        <v>0</v>
      </c>
      <c r="G139">
        <v>1</v>
      </c>
      <c r="H139" t="s">
        <v>20</v>
      </c>
      <c r="I139">
        <v>1</v>
      </c>
      <c r="J139" t="s">
        <v>20</v>
      </c>
      <c r="K139">
        <v>1</v>
      </c>
      <c r="L139">
        <v>1</v>
      </c>
      <c r="M139">
        <v>1</v>
      </c>
      <c r="N139">
        <v>1</v>
      </c>
      <c r="O139">
        <v>1</v>
      </c>
      <c r="P139" t="s">
        <v>250</v>
      </c>
    </row>
    <row r="140" spans="1:16" x14ac:dyDescent="0.25">
      <c r="A140" t="s">
        <v>143</v>
      </c>
      <c r="B140" t="s">
        <v>57</v>
      </c>
      <c r="C140">
        <v>0</v>
      </c>
      <c r="D140">
        <v>2.894340991973877</v>
      </c>
      <c r="E140">
        <v>1</v>
      </c>
      <c r="F140">
        <v>1</v>
      </c>
      <c r="G140">
        <v>1</v>
      </c>
      <c r="H140">
        <v>1</v>
      </c>
      <c r="I140">
        <v>1</v>
      </c>
      <c r="J140">
        <v>1</v>
      </c>
      <c r="K140">
        <v>1</v>
      </c>
      <c r="L140">
        <v>1</v>
      </c>
      <c r="M140">
        <v>1</v>
      </c>
      <c r="N140">
        <v>1</v>
      </c>
      <c r="O140">
        <v>1</v>
      </c>
    </row>
    <row r="141" spans="1:16" x14ac:dyDescent="0.25">
      <c r="A141" t="s">
        <v>143</v>
      </c>
      <c r="B141" t="s">
        <v>59</v>
      </c>
      <c r="C141">
        <v>0</v>
      </c>
      <c r="D141">
        <v>9.0594422817230225</v>
      </c>
      <c r="E141">
        <v>1</v>
      </c>
      <c r="F141">
        <v>1</v>
      </c>
      <c r="G141">
        <v>1</v>
      </c>
      <c r="H141">
        <v>1</v>
      </c>
      <c r="I141">
        <v>1</v>
      </c>
      <c r="J141">
        <v>1</v>
      </c>
      <c r="K141">
        <v>1</v>
      </c>
      <c r="L141">
        <v>1</v>
      </c>
      <c r="M141">
        <v>1</v>
      </c>
      <c r="N141">
        <v>1</v>
      </c>
      <c r="O141">
        <v>1</v>
      </c>
    </row>
    <row r="142" spans="1:16" x14ac:dyDescent="0.25">
      <c r="A142" t="s">
        <v>143</v>
      </c>
      <c r="B142" t="s">
        <v>61</v>
      </c>
      <c r="C142">
        <v>0</v>
      </c>
      <c r="D142">
        <v>2.9108719825744629</v>
      </c>
      <c r="E142">
        <v>1</v>
      </c>
      <c r="F142">
        <v>1</v>
      </c>
      <c r="G142">
        <v>1</v>
      </c>
      <c r="H142">
        <v>1</v>
      </c>
      <c r="I142">
        <v>1</v>
      </c>
      <c r="J142">
        <v>1</v>
      </c>
      <c r="K142">
        <v>1</v>
      </c>
      <c r="L142">
        <v>1</v>
      </c>
      <c r="M142">
        <v>1</v>
      </c>
      <c r="N142">
        <v>1</v>
      </c>
      <c r="O142">
        <v>1</v>
      </c>
    </row>
    <row r="143" spans="1:16" x14ac:dyDescent="0.25">
      <c r="A143" t="s">
        <v>143</v>
      </c>
      <c r="B143" t="s">
        <v>63</v>
      </c>
      <c r="C143">
        <v>0</v>
      </c>
      <c r="D143">
        <v>3.0518398284912109</v>
      </c>
      <c r="E143">
        <v>1</v>
      </c>
      <c r="F143">
        <v>1</v>
      </c>
      <c r="G143">
        <v>1</v>
      </c>
      <c r="H143">
        <v>1</v>
      </c>
      <c r="I143">
        <v>1</v>
      </c>
      <c r="J143">
        <v>1</v>
      </c>
      <c r="K143">
        <v>1</v>
      </c>
      <c r="L143">
        <v>1</v>
      </c>
      <c r="M143">
        <v>1</v>
      </c>
      <c r="N143">
        <v>1</v>
      </c>
      <c r="O143">
        <v>1</v>
      </c>
    </row>
    <row r="144" spans="1:16" x14ac:dyDescent="0.25">
      <c r="A144" t="s">
        <v>143</v>
      </c>
      <c r="B144" t="s">
        <v>65</v>
      </c>
      <c r="C144">
        <v>0</v>
      </c>
      <c r="D144">
        <v>9.0391919612884521</v>
      </c>
      <c r="E144">
        <v>1</v>
      </c>
      <c r="F144">
        <v>1</v>
      </c>
      <c r="G144">
        <v>1</v>
      </c>
      <c r="H144">
        <v>1</v>
      </c>
      <c r="I144">
        <v>1</v>
      </c>
      <c r="J144">
        <v>1</v>
      </c>
      <c r="K144">
        <v>1</v>
      </c>
      <c r="L144">
        <v>1</v>
      </c>
      <c r="M144">
        <v>1</v>
      </c>
      <c r="N144">
        <v>1</v>
      </c>
      <c r="O144">
        <v>1</v>
      </c>
    </row>
    <row r="145" spans="1:16" x14ac:dyDescent="0.25">
      <c r="A145" t="s">
        <v>143</v>
      </c>
      <c r="B145" t="s">
        <v>67</v>
      </c>
      <c r="C145">
        <v>0</v>
      </c>
      <c r="D145">
        <v>12.317299365997309</v>
      </c>
      <c r="E145">
        <v>0</v>
      </c>
      <c r="F145" t="s">
        <v>20</v>
      </c>
      <c r="G145" t="s">
        <v>20</v>
      </c>
      <c r="H145" t="s">
        <v>20</v>
      </c>
      <c r="I145" t="s">
        <v>20</v>
      </c>
      <c r="J145" t="s">
        <v>20</v>
      </c>
      <c r="K145" t="s">
        <v>20</v>
      </c>
      <c r="L145" t="s">
        <v>20</v>
      </c>
      <c r="M145" t="s">
        <v>20</v>
      </c>
      <c r="N145" t="s">
        <v>20</v>
      </c>
      <c r="O145" t="s">
        <v>20</v>
      </c>
      <c r="P145" t="s">
        <v>251</v>
      </c>
    </row>
    <row r="146" spans="1:16" x14ac:dyDescent="0.25">
      <c r="A146" t="s">
        <v>143</v>
      </c>
      <c r="B146" t="s">
        <v>69</v>
      </c>
      <c r="C146">
        <v>0</v>
      </c>
      <c r="D146">
        <v>11.158169269561769</v>
      </c>
      <c r="E146">
        <v>1</v>
      </c>
      <c r="F146">
        <v>1</v>
      </c>
      <c r="G146">
        <v>1</v>
      </c>
      <c r="H146">
        <v>1</v>
      </c>
      <c r="I146">
        <v>1</v>
      </c>
      <c r="J146">
        <v>1</v>
      </c>
      <c r="K146">
        <v>1</v>
      </c>
      <c r="L146">
        <v>1</v>
      </c>
      <c r="M146">
        <v>1</v>
      </c>
      <c r="N146">
        <v>1</v>
      </c>
      <c r="O146">
        <v>1</v>
      </c>
    </row>
    <row r="147" spans="1:16" x14ac:dyDescent="0.25">
      <c r="A147" t="s">
        <v>143</v>
      </c>
      <c r="B147" t="s">
        <v>71</v>
      </c>
      <c r="C147">
        <v>0</v>
      </c>
      <c r="D147">
        <v>6.0150716304779053</v>
      </c>
      <c r="E147">
        <v>1</v>
      </c>
      <c r="F147">
        <v>1</v>
      </c>
      <c r="G147">
        <v>1</v>
      </c>
      <c r="H147">
        <v>1</v>
      </c>
      <c r="I147">
        <v>1</v>
      </c>
      <c r="J147">
        <v>1</v>
      </c>
      <c r="K147">
        <v>0</v>
      </c>
      <c r="L147">
        <v>1</v>
      </c>
      <c r="M147">
        <v>1</v>
      </c>
      <c r="N147">
        <v>1</v>
      </c>
      <c r="O147">
        <v>1</v>
      </c>
      <c r="P147" t="s">
        <v>252</v>
      </c>
    </row>
    <row r="148" spans="1:16" x14ac:dyDescent="0.25">
      <c r="A148" t="s">
        <v>143</v>
      </c>
      <c r="B148" t="s">
        <v>72</v>
      </c>
      <c r="C148">
        <v>0</v>
      </c>
      <c r="D148">
        <v>2.8715934753417969</v>
      </c>
      <c r="E148">
        <v>1</v>
      </c>
      <c r="F148">
        <v>1</v>
      </c>
      <c r="G148">
        <v>1</v>
      </c>
      <c r="H148">
        <v>1</v>
      </c>
      <c r="I148">
        <v>1</v>
      </c>
      <c r="J148">
        <v>1</v>
      </c>
      <c r="K148">
        <v>1</v>
      </c>
      <c r="L148">
        <v>1</v>
      </c>
      <c r="M148">
        <v>1</v>
      </c>
      <c r="N148">
        <v>1</v>
      </c>
      <c r="O148">
        <v>1</v>
      </c>
    </row>
    <row r="149" spans="1:16" x14ac:dyDescent="0.25">
      <c r="A149" t="s">
        <v>143</v>
      </c>
      <c r="B149" t="s">
        <v>73</v>
      </c>
      <c r="C149">
        <v>0</v>
      </c>
      <c r="D149">
        <v>9.1976861953735352</v>
      </c>
      <c r="E149">
        <v>1</v>
      </c>
      <c r="F149">
        <v>1</v>
      </c>
      <c r="G149">
        <v>1</v>
      </c>
      <c r="H149">
        <v>1</v>
      </c>
      <c r="I149">
        <v>1</v>
      </c>
      <c r="J149">
        <v>1</v>
      </c>
      <c r="K149">
        <v>1</v>
      </c>
      <c r="L149">
        <v>1</v>
      </c>
      <c r="M149">
        <v>1</v>
      </c>
      <c r="N149">
        <v>1</v>
      </c>
      <c r="O149">
        <v>1</v>
      </c>
    </row>
    <row r="150" spans="1:16" x14ac:dyDescent="0.25">
      <c r="A150" t="s">
        <v>143</v>
      </c>
      <c r="B150" t="s">
        <v>75</v>
      </c>
      <c r="C150">
        <v>0</v>
      </c>
      <c r="D150">
        <v>9.8560118675231934</v>
      </c>
      <c r="E150">
        <v>1</v>
      </c>
      <c r="F150">
        <v>1</v>
      </c>
      <c r="G150">
        <v>0</v>
      </c>
      <c r="H150" t="s">
        <v>20</v>
      </c>
      <c r="I150">
        <v>1</v>
      </c>
      <c r="J150">
        <v>1</v>
      </c>
      <c r="K150">
        <v>1</v>
      </c>
      <c r="L150">
        <v>1</v>
      </c>
      <c r="M150">
        <v>1</v>
      </c>
      <c r="N150">
        <v>1</v>
      </c>
      <c r="O150">
        <v>1</v>
      </c>
      <c r="P150" t="s">
        <v>253</v>
      </c>
    </row>
    <row r="151" spans="1:16" x14ac:dyDescent="0.25">
      <c r="A151" t="s">
        <v>143</v>
      </c>
      <c r="B151" t="s">
        <v>77</v>
      </c>
      <c r="C151">
        <v>0</v>
      </c>
      <c r="D151">
        <v>9.5461053848266602</v>
      </c>
      <c r="E151">
        <v>1</v>
      </c>
      <c r="F151">
        <v>1</v>
      </c>
      <c r="G151">
        <v>0</v>
      </c>
      <c r="H151" t="s">
        <v>20</v>
      </c>
      <c r="I151">
        <v>1</v>
      </c>
      <c r="J151">
        <v>1</v>
      </c>
      <c r="K151">
        <v>1</v>
      </c>
      <c r="L151">
        <v>1</v>
      </c>
      <c r="M151">
        <v>1</v>
      </c>
      <c r="N151">
        <v>1</v>
      </c>
      <c r="O151">
        <v>1</v>
      </c>
      <c r="P151" t="s">
        <v>254</v>
      </c>
    </row>
    <row r="152" spans="1:16" x14ac:dyDescent="0.25">
      <c r="A152" t="s">
        <v>143</v>
      </c>
      <c r="B152" t="s">
        <v>78</v>
      </c>
      <c r="C152">
        <v>0</v>
      </c>
      <c r="D152">
        <v>2.8991000652313228</v>
      </c>
      <c r="E152">
        <v>1</v>
      </c>
      <c r="F152">
        <v>1</v>
      </c>
      <c r="G152">
        <v>1</v>
      </c>
      <c r="H152">
        <v>1</v>
      </c>
      <c r="I152">
        <v>1</v>
      </c>
      <c r="J152">
        <v>1</v>
      </c>
      <c r="K152">
        <v>1</v>
      </c>
      <c r="L152">
        <v>1</v>
      </c>
      <c r="M152">
        <v>1</v>
      </c>
      <c r="N152">
        <v>1</v>
      </c>
      <c r="O152">
        <v>1</v>
      </c>
    </row>
    <row r="153" spans="1:16" x14ac:dyDescent="0.25">
      <c r="A153" t="s">
        <v>143</v>
      </c>
      <c r="B153" t="s">
        <v>80</v>
      </c>
      <c r="C153">
        <v>0</v>
      </c>
      <c r="D153">
        <v>5.1986894607543954</v>
      </c>
      <c r="E153">
        <v>1</v>
      </c>
      <c r="F153">
        <v>1</v>
      </c>
      <c r="G153">
        <v>1</v>
      </c>
      <c r="H153">
        <v>0</v>
      </c>
      <c r="I153">
        <v>1</v>
      </c>
      <c r="J153">
        <v>1</v>
      </c>
      <c r="K153">
        <v>1</v>
      </c>
      <c r="L153">
        <v>1</v>
      </c>
      <c r="M153">
        <v>1</v>
      </c>
      <c r="N153">
        <v>1</v>
      </c>
      <c r="O153">
        <v>1</v>
      </c>
      <c r="P153" t="s">
        <v>255</v>
      </c>
    </row>
    <row r="154" spans="1:16" x14ac:dyDescent="0.25">
      <c r="A154" t="s">
        <v>143</v>
      </c>
      <c r="B154" t="s">
        <v>82</v>
      </c>
      <c r="C154">
        <v>0</v>
      </c>
      <c r="D154">
        <v>2.8736968040466309</v>
      </c>
      <c r="E154">
        <v>1</v>
      </c>
      <c r="F154">
        <v>1</v>
      </c>
      <c r="G154">
        <v>1</v>
      </c>
      <c r="H154">
        <v>1</v>
      </c>
      <c r="I154">
        <v>1</v>
      </c>
      <c r="J154">
        <v>1</v>
      </c>
      <c r="K154">
        <v>1</v>
      </c>
      <c r="L154">
        <v>1</v>
      </c>
      <c r="M154">
        <v>1</v>
      </c>
      <c r="N154">
        <v>1</v>
      </c>
      <c r="O154">
        <v>1</v>
      </c>
    </row>
    <row r="155" spans="1:16" x14ac:dyDescent="0.25">
      <c r="A155" t="s">
        <v>143</v>
      </c>
      <c r="B155" t="s">
        <v>84</v>
      </c>
      <c r="C155">
        <v>0</v>
      </c>
      <c r="D155">
        <v>10.162947177886959</v>
      </c>
      <c r="E155">
        <v>1</v>
      </c>
      <c r="F155">
        <v>1</v>
      </c>
      <c r="G155">
        <v>1</v>
      </c>
      <c r="H155">
        <v>1</v>
      </c>
      <c r="I155">
        <v>1</v>
      </c>
      <c r="J155">
        <v>1</v>
      </c>
      <c r="K155">
        <v>1</v>
      </c>
      <c r="L155">
        <v>1</v>
      </c>
      <c r="M155">
        <v>1</v>
      </c>
      <c r="N155">
        <v>1</v>
      </c>
      <c r="O155">
        <v>1</v>
      </c>
    </row>
    <row r="156" spans="1:16" x14ac:dyDescent="0.25">
      <c r="A156" t="s">
        <v>143</v>
      </c>
      <c r="B156" t="s">
        <v>85</v>
      </c>
      <c r="C156">
        <v>0</v>
      </c>
      <c r="D156">
        <v>16.94784593582153</v>
      </c>
      <c r="E156">
        <v>1</v>
      </c>
      <c r="F156">
        <v>1</v>
      </c>
      <c r="G156">
        <v>1</v>
      </c>
      <c r="H156">
        <v>1</v>
      </c>
      <c r="I156">
        <v>1</v>
      </c>
      <c r="J156">
        <v>0</v>
      </c>
      <c r="K156">
        <v>1</v>
      </c>
      <c r="L156">
        <v>0</v>
      </c>
      <c r="M156">
        <v>0</v>
      </c>
      <c r="N156">
        <v>1</v>
      </c>
      <c r="O156">
        <v>1</v>
      </c>
      <c r="P156" t="s">
        <v>256</v>
      </c>
    </row>
    <row r="157" spans="1:16" x14ac:dyDescent="0.25">
      <c r="A157" t="s">
        <v>143</v>
      </c>
      <c r="B157" t="s">
        <v>87</v>
      </c>
      <c r="C157">
        <v>0</v>
      </c>
      <c r="D157">
        <v>6.6685037612915039</v>
      </c>
      <c r="E157">
        <v>1</v>
      </c>
      <c r="F157">
        <v>1</v>
      </c>
      <c r="G157">
        <v>0</v>
      </c>
      <c r="H157" t="s">
        <v>20</v>
      </c>
      <c r="I157">
        <v>1</v>
      </c>
      <c r="J157">
        <v>1</v>
      </c>
      <c r="K157">
        <v>1</v>
      </c>
      <c r="L157">
        <v>1</v>
      </c>
      <c r="M157">
        <v>1</v>
      </c>
      <c r="N157">
        <v>1</v>
      </c>
      <c r="O157">
        <v>1</v>
      </c>
      <c r="P157" t="s">
        <v>257</v>
      </c>
    </row>
    <row r="158" spans="1:16" x14ac:dyDescent="0.25">
      <c r="A158" t="s">
        <v>143</v>
      </c>
      <c r="B158" t="s">
        <v>89</v>
      </c>
      <c r="C158">
        <v>0</v>
      </c>
      <c r="D158">
        <v>5.4387388229370117</v>
      </c>
      <c r="E158">
        <v>1</v>
      </c>
      <c r="F158">
        <v>1</v>
      </c>
      <c r="G158">
        <v>1</v>
      </c>
      <c r="H158">
        <v>1</v>
      </c>
      <c r="I158">
        <v>1</v>
      </c>
      <c r="J158">
        <v>0</v>
      </c>
      <c r="K158">
        <v>1</v>
      </c>
      <c r="L158">
        <v>1</v>
      </c>
      <c r="M158">
        <v>1</v>
      </c>
      <c r="N158">
        <v>1</v>
      </c>
      <c r="O158">
        <v>1</v>
      </c>
      <c r="P158" t="s">
        <v>258</v>
      </c>
    </row>
    <row r="159" spans="1:16" x14ac:dyDescent="0.25">
      <c r="A159" t="s">
        <v>143</v>
      </c>
      <c r="B159" t="s">
        <v>91</v>
      </c>
      <c r="C159">
        <v>0</v>
      </c>
      <c r="D159">
        <v>12.012764453887939</v>
      </c>
      <c r="E159">
        <v>1</v>
      </c>
      <c r="F159">
        <v>1</v>
      </c>
      <c r="G159">
        <v>1</v>
      </c>
      <c r="H159">
        <v>1</v>
      </c>
      <c r="I159">
        <v>1</v>
      </c>
      <c r="J159">
        <v>0</v>
      </c>
      <c r="K159">
        <v>1</v>
      </c>
      <c r="L159">
        <v>1</v>
      </c>
      <c r="M159">
        <v>1</v>
      </c>
      <c r="N159">
        <v>1</v>
      </c>
      <c r="O159">
        <v>1</v>
      </c>
      <c r="P159" t="s">
        <v>259</v>
      </c>
    </row>
    <row r="160" spans="1:16" x14ac:dyDescent="0.25">
      <c r="A160" t="s">
        <v>143</v>
      </c>
      <c r="B160" t="s">
        <v>92</v>
      </c>
      <c r="C160">
        <v>0</v>
      </c>
      <c r="D160">
        <v>5.0656180381774902</v>
      </c>
      <c r="E160">
        <v>1</v>
      </c>
      <c r="F160">
        <v>1</v>
      </c>
      <c r="G160">
        <v>1</v>
      </c>
      <c r="H160">
        <v>1</v>
      </c>
      <c r="I160">
        <v>1</v>
      </c>
      <c r="J160">
        <v>0</v>
      </c>
      <c r="K160">
        <v>1</v>
      </c>
      <c r="L160">
        <v>1</v>
      </c>
      <c r="M160">
        <v>1</v>
      </c>
      <c r="N160">
        <v>1</v>
      </c>
      <c r="O160">
        <v>1</v>
      </c>
      <c r="P160" t="s">
        <v>260</v>
      </c>
    </row>
    <row r="161" spans="1:16" x14ac:dyDescent="0.25">
      <c r="A161" t="s">
        <v>143</v>
      </c>
      <c r="B161" t="s">
        <v>94</v>
      </c>
      <c r="C161">
        <v>0</v>
      </c>
      <c r="D161">
        <v>10.6379337310791</v>
      </c>
      <c r="E161">
        <v>1</v>
      </c>
      <c r="F161">
        <v>1</v>
      </c>
      <c r="G161">
        <v>1</v>
      </c>
      <c r="H161">
        <v>1</v>
      </c>
      <c r="I161">
        <v>1</v>
      </c>
      <c r="J161">
        <v>1</v>
      </c>
      <c r="K161">
        <v>1</v>
      </c>
      <c r="L161">
        <v>1</v>
      </c>
      <c r="M161">
        <v>1</v>
      </c>
      <c r="N161">
        <v>1</v>
      </c>
      <c r="O161">
        <v>1</v>
      </c>
    </row>
    <row r="162" spans="1:16" x14ac:dyDescent="0.25">
      <c r="A162" t="s">
        <v>143</v>
      </c>
      <c r="B162" t="s">
        <v>95</v>
      </c>
      <c r="C162">
        <v>0</v>
      </c>
      <c r="D162">
        <v>11.76282739639282</v>
      </c>
      <c r="E162">
        <v>1</v>
      </c>
      <c r="F162">
        <v>1</v>
      </c>
      <c r="G162">
        <v>1</v>
      </c>
      <c r="H162">
        <v>1</v>
      </c>
      <c r="I162">
        <v>1</v>
      </c>
      <c r="J162">
        <v>0</v>
      </c>
      <c r="K162">
        <v>1</v>
      </c>
      <c r="L162">
        <v>1</v>
      </c>
      <c r="M162">
        <v>1</v>
      </c>
      <c r="N162">
        <v>1</v>
      </c>
      <c r="O162">
        <v>1</v>
      </c>
      <c r="P162" t="s">
        <v>261</v>
      </c>
    </row>
    <row r="163" spans="1:16" x14ac:dyDescent="0.25">
      <c r="A163" t="s">
        <v>143</v>
      </c>
      <c r="B163" t="s">
        <v>121</v>
      </c>
      <c r="C163">
        <v>0</v>
      </c>
      <c r="D163">
        <v>11.24404907226562</v>
      </c>
      <c r="E163">
        <v>1</v>
      </c>
      <c r="F163">
        <v>1</v>
      </c>
      <c r="G163">
        <v>1</v>
      </c>
      <c r="H163">
        <v>1</v>
      </c>
      <c r="I163">
        <v>1</v>
      </c>
      <c r="J163">
        <v>0</v>
      </c>
      <c r="K163">
        <v>1</v>
      </c>
      <c r="L163">
        <v>1</v>
      </c>
      <c r="M163">
        <v>1</v>
      </c>
      <c r="N163">
        <v>1</v>
      </c>
      <c r="O163">
        <v>1</v>
      </c>
      <c r="P163" t="s">
        <v>262</v>
      </c>
    </row>
    <row r="164" spans="1:16" x14ac:dyDescent="0.25">
      <c r="A164" t="s">
        <v>143</v>
      </c>
      <c r="B164" t="s">
        <v>122</v>
      </c>
      <c r="C164">
        <v>0</v>
      </c>
      <c r="D164">
        <v>9.1833682060241699</v>
      </c>
      <c r="E164">
        <v>1</v>
      </c>
      <c r="F164">
        <v>1</v>
      </c>
      <c r="G164">
        <v>1</v>
      </c>
      <c r="H164">
        <v>1</v>
      </c>
      <c r="I164">
        <v>1</v>
      </c>
      <c r="J164">
        <v>1</v>
      </c>
      <c r="K164">
        <v>1</v>
      </c>
      <c r="L164">
        <v>1</v>
      </c>
      <c r="M164">
        <v>1</v>
      </c>
      <c r="N164">
        <v>1</v>
      </c>
      <c r="O164">
        <v>1</v>
      </c>
    </row>
    <row r="165" spans="1:16" x14ac:dyDescent="0.25">
      <c r="A165" t="s">
        <v>143</v>
      </c>
      <c r="B165" t="s">
        <v>124</v>
      </c>
      <c r="C165">
        <v>0</v>
      </c>
      <c r="D165">
        <v>7.3106963634490967</v>
      </c>
      <c r="E165">
        <v>1</v>
      </c>
      <c r="F165">
        <v>0</v>
      </c>
      <c r="G165">
        <v>1</v>
      </c>
      <c r="H165" t="s">
        <v>20</v>
      </c>
      <c r="I165">
        <v>1</v>
      </c>
      <c r="J165" t="s">
        <v>20</v>
      </c>
      <c r="K165">
        <v>0</v>
      </c>
      <c r="L165">
        <v>1</v>
      </c>
      <c r="M165">
        <v>1</v>
      </c>
      <c r="N165">
        <v>1</v>
      </c>
      <c r="O165">
        <v>1</v>
      </c>
      <c r="P165" t="s">
        <v>263</v>
      </c>
    </row>
    <row r="166" spans="1:16" x14ac:dyDescent="0.25">
      <c r="A166" t="s">
        <v>143</v>
      </c>
      <c r="B166" t="s">
        <v>126</v>
      </c>
      <c r="C166">
        <v>0</v>
      </c>
      <c r="D166">
        <v>9.4965484142303467</v>
      </c>
      <c r="E166">
        <v>1</v>
      </c>
      <c r="F166">
        <v>1</v>
      </c>
      <c r="G166">
        <v>1</v>
      </c>
      <c r="H166">
        <v>1</v>
      </c>
      <c r="I166">
        <v>1</v>
      </c>
      <c r="J166">
        <v>1</v>
      </c>
      <c r="K166">
        <v>1</v>
      </c>
      <c r="L166">
        <v>1</v>
      </c>
      <c r="M166">
        <v>1</v>
      </c>
      <c r="N166">
        <v>1</v>
      </c>
      <c r="O166">
        <v>1</v>
      </c>
    </row>
    <row r="167" spans="1:16" x14ac:dyDescent="0.25">
      <c r="A167" t="s">
        <v>143</v>
      </c>
      <c r="B167" t="s">
        <v>127</v>
      </c>
      <c r="C167">
        <v>0</v>
      </c>
      <c r="D167">
        <v>11.73291325569153</v>
      </c>
      <c r="E167">
        <v>1</v>
      </c>
      <c r="F167">
        <v>1</v>
      </c>
      <c r="G167">
        <v>1</v>
      </c>
      <c r="H167">
        <v>1</v>
      </c>
      <c r="I167">
        <v>1</v>
      </c>
      <c r="J167">
        <v>0</v>
      </c>
      <c r="K167">
        <v>1</v>
      </c>
      <c r="L167">
        <v>1</v>
      </c>
      <c r="M167">
        <v>1</v>
      </c>
      <c r="N167">
        <v>1</v>
      </c>
      <c r="O167">
        <v>1</v>
      </c>
      <c r="P167" t="s">
        <v>264</v>
      </c>
    </row>
    <row r="168" spans="1:16" x14ac:dyDescent="0.25">
      <c r="A168" t="s">
        <v>143</v>
      </c>
      <c r="B168" t="s">
        <v>129</v>
      </c>
      <c r="C168">
        <v>0</v>
      </c>
      <c r="D168">
        <v>4.4916880130767822</v>
      </c>
      <c r="E168">
        <v>1</v>
      </c>
      <c r="F168">
        <v>1</v>
      </c>
      <c r="G168">
        <v>1</v>
      </c>
      <c r="H168">
        <v>1</v>
      </c>
      <c r="I168">
        <v>1</v>
      </c>
      <c r="J168">
        <v>0</v>
      </c>
      <c r="K168">
        <v>1</v>
      </c>
      <c r="L168">
        <v>1</v>
      </c>
      <c r="M168">
        <v>1</v>
      </c>
      <c r="N168">
        <v>1</v>
      </c>
      <c r="O168">
        <v>1</v>
      </c>
      <c r="P168" t="s">
        <v>265</v>
      </c>
    </row>
    <row r="169" spans="1:16" x14ac:dyDescent="0.25">
      <c r="A169" t="s">
        <v>143</v>
      </c>
      <c r="B169" t="s">
        <v>131</v>
      </c>
      <c r="C169">
        <v>0</v>
      </c>
      <c r="D169">
        <v>6.3322117328643799</v>
      </c>
      <c r="E169">
        <v>0</v>
      </c>
      <c r="F169" t="s">
        <v>20</v>
      </c>
      <c r="G169" t="s">
        <v>20</v>
      </c>
      <c r="H169" t="s">
        <v>20</v>
      </c>
      <c r="I169" t="s">
        <v>20</v>
      </c>
      <c r="J169" t="s">
        <v>20</v>
      </c>
      <c r="K169" t="s">
        <v>20</v>
      </c>
      <c r="L169" t="s">
        <v>20</v>
      </c>
      <c r="M169" t="s">
        <v>20</v>
      </c>
      <c r="N169" t="s">
        <v>20</v>
      </c>
      <c r="O169" t="s">
        <v>20</v>
      </c>
      <c r="P169" t="s">
        <v>266</v>
      </c>
    </row>
    <row r="170" spans="1:16" x14ac:dyDescent="0.25">
      <c r="A170" t="s">
        <v>143</v>
      </c>
      <c r="B170" t="s">
        <v>133</v>
      </c>
      <c r="C170">
        <v>0</v>
      </c>
      <c r="D170">
        <v>10.702357292175289</v>
      </c>
      <c r="E170">
        <v>1</v>
      </c>
      <c r="F170">
        <v>1</v>
      </c>
      <c r="G170">
        <v>1</v>
      </c>
      <c r="H170">
        <v>0</v>
      </c>
      <c r="I170">
        <v>1</v>
      </c>
      <c r="J170">
        <v>0</v>
      </c>
      <c r="K170">
        <v>1</v>
      </c>
      <c r="L170">
        <v>1</v>
      </c>
      <c r="M170">
        <v>1</v>
      </c>
      <c r="N170">
        <v>1</v>
      </c>
      <c r="O170">
        <v>1</v>
      </c>
      <c r="P170" t="s">
        <v>267</v>
      </c>
    </row>
    <row r="171" spans="1:16" x14ac:dyDescent="0.25">
      <c r="A171" t="s">
        <v>143</v>
      </c>
      <c r="B171" t="s">
        <v>135</v>
      </c>
      <c r="C171">
        <v>0</v>
      </c>
      <c r="D171">
        <v>2.881989479064941</v>
      </c>
      <c r="E171">
        <v>1</v>
      </c>
      <c r="F171">
        <v>1</v>
      </c>
      <c r="G171">
        <v>1</v>
      </c>
      <c r="H171">
        <v>1</v>
      </c>
      <c r="I171">
        <v>1</v>
      </c>
      <c r="J171">
        <v>1</v>
      </c>
      <c r="K171">
        <v>1</v>
      </c>
      <c r="L171">
        <v>1</v>
      </c>
      <c r="M171">
        <v>1</v>
      </c>
      <c r="N171">
        <v>1</v>
      </c>
      <c r="O171">
        <v>1</v>
      </c>
    </row>
    <row r="172" spans="1:16" x14ac:dyDescent="0.25">
      <c r="A172" t="s">
        <v>143</v>
      </c>
      <c r="B172" t="s">
        <v>136</v>
      </c>
      <c r="C172">
        <v>0</v>
      </c>
      <c r="D172">
        <v>11.487912654876711</v>
      </c>
      <c r="E172">
        <v>1</v>
      </c>
      <c r="F172">
        <v>1</v>
      </c>
      <c r="G172">
        <v>1</v>
      </c>
      <c r="H172">
        <v>1</v>
      </c>
      <c r="I172">
        <v>1</v>
      </c>
      <c r="J172">
        <v>1</v>
      </c>
      <c r="K172">
        <v>0</v>
      </c>
      <c r="L172">
        <v>1</v>
      </c>
      <c r="M172">
        <v>1</v>
      </c>
      <c r="N172">
        <v>1</v>
      </c>
      <c r="O172">
        <v>1</v>
      </c>
      <c r="P172" t="s">
        <v>268</v>
      </c>
    </row>
    <row r="173" spans="1:16" x14ac:dyDescent="0.25">
      <c r="A173" t="s">
        <v>143</v>
      </c>
      <c r="B173" t="s">
        <v>137</v>
      </c>
      <c r="C173">
        <v>0</v>
      </c>
      <c r="D173">
        <v>2.947914838790894</v>
      </c>
      <c r="E173">
        <v>1</v>
      </c>
      <c r="F173">
        <v>1</v>
      </c>
      <c r="G173">
        <v>1</v>
      </c>
      <c r="H173">
        <v>1</v>
      </c>
      <c r="I173">
        <v>1</v>
      </c>
      <c r="J173">
        <v>1</v>
      </c>
      <c r="K173">
        <v>1</v>
      </c>
      <c r="L173">
        <v>1</v>
      </c>
      <c r="M173">
        <v>1</v>
      </c>
      <c r="N173">
        <v>1</v>
      </c>
      <c r="O173">
        <v>1</v>
      </c>
    </row>
    <row r="174" spans="1:16" x14ac:dyDescent="0.25">
      <c r="A174" t="s">
        <v>143</v>
      </c>
      <c r="B174" t="s">
        <v>138</v>
      </c>
      <c r="C174">
        <v>0</v>
      </c>
      <c r="D174">
        <v>10.51129460334778</v>
      </c>
      <c r="E174">
        <v>1</v>
      </c>
      <c r="F174">
        <v>1</v>
      </c>
      <c r="G174">
        <v>1</v>
      </c>
      <c r="H174">
        <v>1</v>
      </c>
      <c r="I174">
        <v>1</v>
      </c>
      <c r="J174">
        <v>1</v>
      </c>
      <c r="K174">
        <v>1</v>
      </c>
      <c r="L174">
        <v>1</v>
      </c>
      <c r="M174">
        <v>1</v>
      </c>
      <c r="N174">
        <v>1</v>
      </c>
      <c r="O174">
        <v>1</v>
      </c>
    </row>
    <row r="175" spans="1:16" x14ac:dyDescent="0.25">
      <c r="A175" t="s">
        <v>143</v>
      </c>
      <c r="B175" t="s">
        <v>140</v>
      </c>
      <c r="C175">
        <v>0</v>
      </c>
      <c r="D175">
        <v>5.384537935256958</v>
      </c>
      <c r="E175">
        <v>1</v>
      </c>
      <c r="F175">
        <v>1</v>
      </c>
      <c r="G175">
        <v>1</v>
      </c>
      <c r="H175">
        <v>1</v>
      </c>
      <c r="I175">
        <v>1</v>
      </c>
      <c r="J175">
        <v>0</v>
      </c>
      <c r="K175">
        <v>1</v>
      </c>
      <c r="L175">
        <v>1</v>
      </c>
      <c r="M175">
        <v>1</v>
      </c>
      <c r="N175">
        <v>1</v>
      </c>
      <c r="O175">
        <v>1</v>
      </c>
      <c r="P175" t="s">
        <v>269</v>
      </c>
    </row>
    <row r="176" spans="1:16" x14ac:dyDescent="0.25">
      <c r="A176" t="s">
        <v>143</v>
      </c>
      <c r="B176" t="s">
        <v>141</v>
      </c>
      <c r="C176">
        <v>0</v>
      </c>
      <c r="D176">
        <v>4.8163714408874512</v>
      </c>
      <c r="E176">
        <v>1</v>
      </c>
      <c r="F176">
        <v>1</v>
      </c>
      <c r="G176">
        <v>1</v>
      </c>
      <c r="H176">
        <v>1</v>
      </c>
      <c r="I176">
        <v>1</v>
      </c>
      <c r="J176">
        <v>0</v>
      </c>
      <c r="K176">
        <v>1</v>
      </c>
      <c r="L176">
        <v>1</v>
      </c>
      <c r="M176">
        <v>1</v>
      </c>
      <c r="N176">
        <v>1</v>
      </c>
      <c r="O176">
        <v>1</v>
      </c>
      <c r="P176" t="s">
        <v>270</v>
      </c>
    </row>
    <row r="177" spans="1:15" x14ac:dyDescent="0.25">
      <c r="A177" t="s">
        <v>143</v>
      </c>
      <c r="B177" t="s">
        <v>180</v>
      </c>
      <c r="C177">
        <v>0</v>
      </c>
      <c r="D177">
        <v>11.19425582885742</v>
      </c>
      <c r="E177">
        <v>1</v>
      </c>
      <c r="F177">
        <v>1</v>
      </c>
      <c r="G177">
        <v>1</v>
      </c>
      <c r="H177">
        <v>1</v>
      </c>
      <c r="I177">
        <v>1</v>
      </c>
      <c r="J177">
        <v>1</v>
      </c>
      <c r="K177">
        <v>1</v>
      </c>
      <c r="L177">
        <v>1</v>
      </c>
      <c r="M177">
        <v>1</v>
      </c>
      <c r="N177">
        <v>1</v>
      </c>
      <c r="O177">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77"/>
  <sheetViews>
    <sheetView topLeftCell="A34"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2.9567797183990479</v>
      </c>
      <c r="E2">
        <v>1</v>
      </c>
      <c r="F2">
        <v>1</v>
      </c>
      <c r="G2">
        <v>1</v>
      </c>
      <c r="H2">
        <v>1</v>
      </c>
      <c r="I2">
        <v>1</v>
      </c>
      <c r="J2">
        <v>1</v>
      </c>
      <c r="K2">
        <v>1</v>
      </c>
      <c r="L2">
        <v>1</v>
      </c>
      <c r="M2">
        <v>1</v>
      </c>
      <c r="N2">
        <v>1</v>
      </c>
      <c r="O2">
        <v>1</v>
      </c>
    </row>
    <row r="3" spans="1:16" x14ac:dyDescent="0.25">
      <c r="A3" t="s">
        <v>16</v>
      </c>
      <c r="B3" t="s">
        <v>18</v>
      </c>
      <c r="C3">
        <v>0</v>
      </c>
      <c r="D3">
        <v>9.3557088375091553</v>
      </c>
      <c r="E3">
        <v>1</v>
      </c>
      <c r="F3">
        <v>1</v>
      </c>
      <c r="G3">
        <v>1</v>
      </c>
      <c r="H3">
        <v>1</v>
      </c>
      <c r="I3">
        <v>1</v>
      </c>
      <c r="J3">
        <v>1</v>
      </c>
      <c r="K3">
        <v>1</v>
      </c>
      <c r="L3">
        <v>1</v>
      </c>
      <c r="M3">
        <v>1</v>
      </c>
      <c r="N3">
        <v>1</v>
      </c>
      <c r="O3">
        <v>1</v>
      </c>
    </row>
    <row r="4" spans="1:16" x14ac:dyDescent="0.25">
      <c r="A4" t="s">
        <v>16</v>
      </c>
      <c r="B4" t="s">
        <v>19</v>
      </c>
      <c r="C4">
        <v>0</v>
      </c>
      <c r="D4">
        <v>2.689929723739624</v>
      </c>
      <c r="E4">
        <v>1</v>
      </c>
      <c r="F4">
        <v>1</v>
      </c>
      <c r="G4">
        <v>1</v>
      </c>
      <c r="H4">
        <v>1</v>
      </c>
      <c r="I4">
        <v>1</v>
      </c>
      <c r="J4">
        <v>1</v>
      </c>
      <c r="K4">
        <v>1</v>
      </c>
      <c r="L4">
        <v>1</v>
      </c>
      <c r="M4">
        <v>1</v>
      </c>
      <c r="N4">
        <v>1</v>
      </c>
      <c r="O4">
        <v>1</v>
      </c>
    </row>
    <row r="5" spans="1:16" x14ac:dyDescent="0.25">
      <c r="A5" t="s">
        <v>16</v>
      </c>
      <c r="B5" t="s">
        <v>22</v>
      </c>
      <c r="C5">
        <v>0</v>
      </c>
      <c r="D5">
        <v>11.31614875793457</v>
      </c>
      <c r="E5">
        <v>1</v>
      </c>
      <c r="F5">
        <v>1</v>
      </c>
      <c r="G5">
        <v>1</v>
      </c>
      <c r="H5">
        <v>1</v>
      </c>
      <c r="I5">
        <v>1</v>
      </c>
      <c r="J5">
        <v>0</v>
      </c>
      <c r="K5">
        <v>1</v>
      </c>
      <c r="L5">
        <v>1</v>
      </c>
      <c r="M5">
        <v>1</v>
      </c>
      <c r="N5">
        <v>1</v>
      </c>
      <c r="O5">
        <v>1</v>
      </c>
      <c r="P5" t="s">
        <v>271</v>
      </c>
    </row>
    <row r="6" spans="1:16" x14ac:dyDescent="0.25">
      <c r="A6" t="s">
        <v>16</v>
      </c>
      <c r="B6" t="s">
        <v>24</v>
      </c>
      <c r="C6">
        <v>0</v>
      </c>
      <c r="D6">
        <v>10.965541362762449</v>
      </c>
      <c r="E6">
        <v>1</v>
      </c>
      <c r="F6">
        <v>1</v>
      </c>
      <c r="G6">
        <v>1</v>
      </c>
      <c r="H6">
        <v>0</v>
      </c>
      <c r="I6">
        <v>1</v>
      </c>
      <c r="J6">
        <v>1</v>
      </c>
      <c r="K6">
        <v>1</v>
      </c>
      <c r="L6">
        <v>1</v>
      </c>
      <c r="M6">
        <v>1</v>
      </c>
      <c r="N6">
        <v>1</v>
      </c>
      <c r="O6">
        <v>1</v>
      </c>
      <c r="P6" t="s">
        <v>272</v>
      </c>
    </row>
    <row r="7" spans="1:16" x14ac:dyDescent="0.25">
      <c r="A7" t="s">
        <v>16</v>
      </c>
      <c r="B7" t="s">
        <v>25</v>
      </c>
      <c r="C7">
        <v>0</v>
      </c>
      <c r="D7">
        <v>2.9796931743621831</v>
      </c>
      <c r="E7">
        <v>1</v>
      </c>
      <c r="F7">
        <v>1</v>
      </c>
      <c r="G7">
        <v>1</v>
      </c>
      <c r="H7">
        <v>1</v>
      </c>
      <c r="I7">
        <v>1</v>
      </c>
      <c r="J7">
        <v>1</v>
      </c>
      <c r="K7">
        <v>1</v>
      </c>
      <c r="L7">
        <v>1</v>
      </c>
      <c r="M7">
        <v>1</v>
      </c>
      <c r="N7">
        <v>1</v>
      </c>
      <c r="O7">
        <v>1</v>
      </c>
    </row>
    <row r="8" spans="1:16" x14ac:dyDescent="0.25">
      <c r="A8" t="s">
        <v>16</v>
      </c>
      <c r="B8" t="s">
        <v>26</v>
      </c>
      <c r="C8">
        <v>0</v>
      </c>
      <c r="D8">
        <v>2.9824397563934331</v>
      </c>
      <c r="E8">
        <v>1</v>
      </c>
      <c r="F8">
        <v>1</v>
      </c>
      <c r="G8">
        <v>1</v>
      </c>
      <c r="H8">
        <v>1</v>
      </c>
      <c r="I8">
        <v>1</v>
      </c>
      <c r="J8">
        <v>1</v>
      </c>
      <c r="K8">
        <v>1</v>
      </c>
      <c r="L8">
        <v>1</v>
      </c>
      <c r="M8">
        <v>1</v>
      </c>
      <c r="N8">
        <v>1</v>
      </c>
      <c r="O8">
        <v>1</v>
      </c>
    </row>
    <row r="9" spans="1:16" x14ac:dyDescent="0.25">
      <c r="A9" t="s">
        <v>16</v>
      </c>
      <c r="B9" t="s">
        <v>27</v>
      </c>
      <c r="C9">
        <v>0</v>
      </c>
      <c r="D9">
        <v>2.8794114589691162</v>
      </c>
      <c r="E9">
        <v>1</v>
      </c>
      <c r="F9">
        <v>1</v>
      </c>
      <c r="G9">
        <v>1</v>
      </c>
      <c r="H9">
        <v>1</v>
      </c>
      <c r="I9">
        <v>1</v>
      </c>
      <c r="J9">
        <v>1</v>
      </c>
      <c r="K9">
        <v>1</v>
      </c>
      <c r="L9">
        <v>1</v>
      </c>
      <c r="M9">
        <v>1</v>
      </c>
      <c r="N9">
        <v>1</v>
      </c>
      <c r="O9">
        <v>1</v>
      </c>
    </row>
    <row r="10" spans="1:16" x14ac:dyDescent="0.25">
      <c r="A10" t="s">
        <v>16</v>
      </c>
      <c r="B10" t="s">
        <v>28</v>
      </c>
      <c r="C10">
        <v>0</v>
      </c>
      <c r="D10">
        <v>9.6901721954345703</v>
      </c>
      <c r="E10">
        <v>1</v>
      </c>
      <c r="F10">
        <v>1</v>
      </c>
      <c r="G10">
        <v>1</v>
      </c>
      <c r="H10">
        <v>1</v>
      </c>
      <c r="I10">
        <v>1</v>
      </c>
      <c r="J10">
        <v>1</v>
      </c>
      <c r="K10">
        <v>1</v>
      </c>
      <c r="L10">
        <v>1</v>
      </c>
      <c r="M10">
        <v>1</v>
      </c>
      <c r="N10">
        <v>1</v>
      </c>
      <c r="O10">
        <v>1</v>
      </c>
    </row>
    <row r="11" spans="1:16" x14ac:dyDescent="0.25">
      <c r="A11" t="s">
        <v>16</v>
      </c>
      <c r="B11" t="s">
        <v>29</v>
      </c>
      <c r="C11">
        <v>0</v>
      </c>
      <c r="D11">
        <v>10.342495918273929</v>
      </c>
      <c r="E11">
        <v>0</v>
      </c>
      <c r="F11" t="s">
        <v>20</v>
      </c>
      <c r="G11" t="s">
        <v>20</v>
      </c>
      <c r="H11" t="s">
        <v>20</v>
      </c>
      <c r="I11" t="s">
        <v>20</v>
      </c>
      <c r="J11" t="s">
        <v>20</v>
      </c>
      <c r="K11" t="s">
        <v>20</v>
      </c>
      <c r="L11" t="s">
        <v>20</v>
      </c>
      <c r="M11" t="s">
        <v>20</v>
      </c>
      <c r="N11" t="s">
        <v>20</v>
      </c>
      <c r="O11" t="s">
        <v>20</v>
      </c>
      <c r="P11" t="s">
        <v>273</v>
      </c>
    </row>
    <row r="12" spans="1:16" x14ac:dyDescent="0.25">
      <c r="A12" t="s">
        <v>16</v>
      </c>
      <c r="B12" t="s">
        <v>31</v>
      </c>
      <c r="C12">
        <v>0</v>
      </c>
      <c r="D12">
        <v>4.9535210132598877</v>
      </c>
      <c r="E12">
        <v>1</v>
      </c>
      <c r="F12">
        <v>1</v>
      </c>
      <c r="G12">
        <v>1</v>
      </c>
      <c r="H12">
        <v>0</v>
      </c>
      <c r="I12">
        <v>1</v>
      </c>
      <c r="J12">
        <v>1</v>
      </c>
      <c r="K12">
        <v>1</v>
      </c>
      <c r="L12">
        <v>1</v>
      </c>
      <c r="M12">
        <v>1</v>
      </c>
      <c r="N12">
        <v>1</v>
      </c>
      <c r="O12">
        <v>1</v>
      </c>
      <c r="P12" t="s">
        <v>274</v>
      </c>
    </row>
    <row r="13" spans="1:16" x14ac:dyDescent="0.25">
      <c r="A13" t="s">
        <v>16</v>
      </c>
      <c r="B13" t="s">
        <v>33</v>
      </c>
      <c r="C13">
        <v>0</v>
      </c>
      <c r="D13">
        <v>11.58971905708313</v>
      </c>
      <c r="E13">
        <v>0</v>
      </c>
      <c r="F13" t="s">
        <v>20</v>
      </c>
      <c r="G13" t="s">
        <v>20</v>
      </c>
      <c r="H13" t="s">
        <v>20</v>
      </c>
      <c r="I13" t="s">
        <v>20</v>
      </c>
      <c r="J13" t="s">
        <v>20</v>
      </c>
      <c r="K13" t="s">
        <v>20</v>
      </c>
      <c r="L13" t="s">
        <v>20</v>
      </c>
      <c r="M13" t="s">
        <v>20</v>
      </c>
      <c r="N13" t="s">
        <v>20</v>
      </c>
      <c r="O13" t="s">
        <v>20</v>
      </c>
      <c r="P13" t="s">
        <v>275</v>
      </c>
    </row>
    <row r="14" spans="1:16" x14ac:dyDescent="0.25">
      <c r="A14" t="s">
        <v>16</v>
      </c>
      <c r="B14" t="s">
        <v>35</v>
      </c>
      <c r="C14">
        <v>0</v>
      </c>
      <c r="D14">
        <v>2.8949840068817139</v>
      </c>
      <c r="E14">
        <v>1</v>
      </c>
      <c r="F14">
        <v>1</v>
      </c>
      <c r="G14">
        <v>1</v>
      </c>
      <c r="H14">
        <v>1</v>
      </c>
      <c r="I14">
        <v>1</v>
      </c>
      <c r="J14">
        <v>1</v>
      </c>
      <c r="K14">
        <v>1</v>
      </c>
      <c r="L14">
        <v>1</v>
      </c>
      <c r="M14">
        <v>1</v>
      </c>
      <c r="N14">
        <v>1</v>
      </c>
      <c r="O14">
        <v>1</v>
      </c>
    </row>
    <row r="15" spans="1:16" x14ac:dyDescent="0.25">
      <c r="A15" t="s">
        <v>16</v>
      </c>
      <c r="B15" t="s">
        <v>36</v>
      </c>
      <c r="C15">
        <v>0</v>
      </c>
      <c r="D15">
        <v>2.9831359386444092</v>
      </c>
      <c r="E15">
        <v>1</v>
      </c>
      <c r="F15">
        <v>1</v>
      </c>
      <c r="G15">
        <v>1</v>
      </c>
      <c r="H15">
        <v>1</v>
      </c>
      <c r="I15">
        <v>1</v>
      </c>
      <c r="J15">
        <v>1</v>
      </c>
      <c r="K15">
        <v>1</v>
      </c>
      <c r="L15">
        <v>1</v>
      </c>
      <c r="M15">
        <v>1</v>
      </c>
      <c r="N15">
        <v>1</v>
      </c>
      <c r="O15">
        <v>1</v>
      </c>
    </row>
    <row r="16" spans="1:16" x14ac:dyDescent="0.25">
      <c r="A16" t="s">
        <v>16</v>
      </c>
      <c r="B16" t="s">
        <v>38</v>
      </c>
      <c r="C16">
        <v>0</v>
      </c>
      <c r="D16">
        <v>10.36503267288208</v>
      </c>
      <c r="E16">
        <v>1</v>
      </c>
      <c r="F16">
        <v>1</v>
      </c>
      <c r="G16">
        <v>0</v>
      </c>
      <c r="H16" t="s">
        <v>20</v>
      </c>
      <c r="I16">
        <v>1</v>
      </c>
      <c r="J16">
        <v>1</v>
      </c>
      <c r="K16">
        <v>1</v>
      </c>
      <c r="L16">
        <v>1</v>
      </c>
      <c r="M16">
        <v>1</v>
      </c>
      <c r="N16">
        <v>1</v>
      </c>
      <c r="O16">
        <v>1</v>
      </c>
      <c r="P16" t="s">
        <v>276</v>
      </c>
    </row>
    <row r="17" spans="1:16" x14ac:dyDescent="0.25">
      <c r="A17" t="s">
        <v>16</v>
      </c>
      <c r="B17" t="s">
        <v>40</v>
      </c>
      <c r="C17">
        <v>0</v>
      </c>
      <c r="D17">
        <v>10.19451284408569</v>
      </c>
      <c r="E17">
        <v>1</v>
      </c>
      <c r="F17">
        <v>1</v>
      </c>
      <c r="G17">
        <v>1</v>
      </c>
      <c r="H17">
        <v>0</v>
      </c>
      <c r="I17">
        <v>1</v>
      </c>
      <c r="J17">
        <v>1</v>
      </c>
      <c r="K17">
        <v>1</v>
      </c>
      <c r="L17">
        <v>1</v>
      </c>
      <c r="M17">
        <v>1</v>
      </c>
      <c r="N17">
        <v>1</v>
      </c>
      <c r="O17">
        <v>1</v>
      </c>
      <c r="P17" t="s">
        <v>277</v>
      </c>
    </row>
    <row r="18" spans="1:16" x14ac:dyDescent="0.25">
      <c r="A18" t="s">
        <v>16</v>
      </c>
      <c r="B18" t="s">
        <v>42</v>
      </c>
      <c r="C18">
        <v>0</v>
      </c>
      <c r="D18">
        <v>9.5279474258422852</v>
      </c>
      <c r="E18">
        <v>1</v>
      </c>
      <c r="F18">
        <v>1</v>
      </c>
      <c r="G18">
        <v>1</v>
      </c>
      <c r="H18">
        <v>1</v>
      </c>
      <c r="I18">
        <v>1</v>
      </c>
      <c r="J18">
        <v>1</v>
      </c>
      <c r="K18">
        <v>1</v>
      </c>
      <c r="L18">
        <v>1</v>
      </c>
      <c r="M18">
        <v>1</v>
      </c>
      <c r="N18">
        <v>1</v>
      </c>
      <c r="O18">
        <v>1</v>
      </c>
    </row>
    <row r="19" spans="1:16" x14ac:dyDescent="0.25">
      <c r="A19" t="s">
        <v>16</v>
      </c>
      <c r="B19" t="s">
        <v>43</v>
      </c>
      <c r="C19">
        <v>0</v>
      </c>
      <c r="D19">
        <v>2.8732562065124512</v>
      </c>
      <c r="E19">
        <v>1</v>
      </c>
      <c r="F19">
        <v>1</v>
      </c>
      <c r="G19">
        <v>1</v>
      </c>
      <c r="H19">
        <v>1</v>
      </c>
      <c r="I19">
        <v>1</v>
      </c>
      <c r="J19">
        <v>1</v>
      </c>
      <c r="K19">
        <v>1</v>
      </c>
      <c r="L19">
        <v>1</v>
      </c>
      <c r="M19">
        <v>1</v>
      </c>
      <c r="N19">
        <v>1</v>
      </c>
      <c r="O19">
        <v>1</v>
      </c>
    </row>
    <row r="20" spans="1:16" x14ac:dyDescent="0.25">
      <c r="A20" t="s">
        <v>16</v>
      </c>
      <c r="B20" t="s">
        <v>44</v>
      </c>
      <c r="C20">
        <v>0</v>
      </c>
      <c r="D20">
        <v>3.0203921794891362</v>
      </c>
      <c r="E20">
        <v>1</v>
      </c>
      <c r="F20">
        <v>1</v>
      </c>
      <c r="G20">
        <v>1</v>
      </c>
      <c r="H20">
        <v>1</v>
      </c>
      <c r="I20">
        <v>1</v>
      </c>
      <c r="J20">
        <v>1</v>
      </c>
      <c r="K20">
        <v>1</v>
      </c>
      <c r="L20">
        <v>1</v>
      </c>
      <c r="M20">
        <v>1</v>
      </c>
      <c r="N20">
        <v>1</v>
      </c>
      <c r="O20">
        <v>1</v>
      </c>
    </row>
    <row r="21" spans="1:16" x14ac:dyDescent="0.25">
      <c r="A21" t="s">
        <v>16</v>
      </c>
      <c r="B21" t="s">
        <v>46</v>
      </c>
      <c r="C21">
        <v>0</v>
      </c>
      <c r="D21">
        <v>10.96650362014771</v>
      </c>
      <c r="E21">
        <v>1</v>
      </c>
      <c r="F21">
        <v>1</v>
      </c>
      <c r="G21">
        <v>1</v>
      </c>
      <c r="H21">
        <v>1</v>
      </c>
      <c r="I21">
        <v>1</v>
      </c>
      <c r="J21">
        <v>1</v>
      </c>
      <c r="K21">
        <v>1</v>
      </c>
      <c r="L21">
        <v>0</v>
      </c>
      <c r="M21">
        <v>1</v>
      </c>
      <c r="N21">
        <v>0</v>
      </c>
      <c r="O21">
        <v>1</v>
      </c>
      <c r="P21" t="s">
        <v>278</v>
      </c>
    </row>
    <row r="22" spans="1:16" x14ac:dyDescent="0.25">
      <c r="A22" t="s">
        <v>16</v>
      </c>
      <c r="B22" t="s">
        <v>48</v>
      </c>
      <c r="C22">
        <v>0</v>
      </c>
      <c r="D22">
        <v>11.720195531845089</v>
      </c>
      <c r="E22">
        <v>1</v>
      </c>
      <c r="F22">
        <v>1</v>
      </c>
      <c r="G22">
        <v>1</v>
      </c>
      <c r="H22">
        <v>0</v>
      </c>
      <c r="I22">
        <v>1</v>
      </c>
      <c r="J22">
        <v>1</v>
      </c>
      <c r="K22">
        <v>1</v>
      </c>
      <c r="L22">
        <v>1</v>
      </c>
      <c r="M22">
        <v>1</v>
      </c>
      <c r="N22">
        <v>1</v>
      </c>
      <c r="O22">
        <v>1</v>
      </c>
      <c r="P22" t="s">
        <v>279</v>
      </c>
    </row>
    <row r="23" spans="1:16" x14ac:dyDescent="0.25">
      <c r="A23" t="s">
        <v>16</v>
      </c>
      <c r="B23" t="s">
        <v>50</v>
      </c>
      <c r="C23">
        <v>0</v>
      </c>
      <c r="D23">
        <v>2.9746658802032471</v>
      </c>
      <c r="E23">
        <v>1</v>
      </c>
      <c r="F23">
        <v>1</v>
      </c>
      <c r="G23">
        <v>1</v>
      </c>
      <c r="H23">
        <v>1</v>
      </c>
      <c r="I23">
        <v>1</v>
      </c>
      <c r="J23">
        <v>1</v>
      </c>
      <c r="K23">
        <v>1</v>
      </c>
      <c r="L23">
        <v>1</v>
      </c>
      <c r="M23">
        <v>1</v>
      </c>
      <c r="N23">
        <v>1</v>
      </c>
      <c r="O23">
        <v>1</v>
      </c>
    </row>
    <row r="24" spans="1:16" x14ac:dyDescent="0.25">
      <c r="A24" t="s">
        <v>16</v>
      </c>
      <c r="B24" t="s">
        <v>51</v>
      </c>
      <c r="C24">
        <v>0</v>
      </c>
      <c r="D24">
        <v>2.966508150100708</v>
      </c>
      <c r="E24">
        <v>1</v>
      </c>
      <c r="F24">
        <v>1</v>
      </c>
      <c r="G24">
        <v>1</v>
      </c>
      <c r="H24">
        <v>1</v>
      </c>
      <c r="I24">
        <v>1</v>
      </c>
      <c r="J24">
        <v>1</v>
      </c>
      <c r="K24">
        <v>1</v>
      </c>
      <c r="L24">
        <v>1</v>
      </c>
      <c r="M24">
        <v>1</v>
      </c>
      <c r="N24">
        <v>1</v>
      </c>
      <c r="O24">
        <v>1</v>
      </c>
    </row>
    <row r="25" spans="1:16" x14ac:dyDescent="0.25">
      <c r="A25" t="s">
        <v>16</v>
      </c>
      <c r="B25" t="s">
        <v>52</v>
      </c>
      <c r="C25">
        <v>0</v>
      </c>
      <c r="D25">
        <v>2.8752787113189702</v>
      </c>
      <c r="E25">
        <v>1</v>
      </c>
      <c r="F25">
        <v>1</v>
      </c>
      <c r="G25">
        <v>1</v>
      </c>
      <c r="H25">
        <v>1</v>
      </c>
      <c r="I25">
        <v>1</v>
      </c>
      <c r="J25">
        <v>1</v>
      </c>
      <c r="K25">
        <v>1</v>
      </c>
      <c r="L25">
        <v>1</v>
      </c>
      <c r="M25">
        <v>1</v>
      </c>
      <c r="N25">
        <v>1</v>
      </c>
      <c r="O25">
        <v>1</v>
      </c>
    </row>
    <row r="26" spans="1:16" x14ac:dyDescent="0.25">
      <c r="A26" t="s">
        <v>16</v>
      </c>
      <c r="B26" t="s">
        <v>53</v>
      </c>
      <c r="C26">
        <v>0</v>
      </c>
      <c r="D26">
        <v>7.2034103870391846</v>
      </c>
      <c r="E26">
        <v>1</v>
      </c>
      <c r="F26">
        <v>0</v>
      </c>
      <c r="G26">
        <v>1</v>
      </c>
      <c r="H26" t="s">
        <v>20</v>
      </c>
      <c r="I26">
        <v>1</v>
      </c>
      <c r="J26" t="s">
        <v>20</v>
      </c>
      <c r="K26">
        <v>0</v>
      </c>
      <c r="L26">
        <v>1</v>
      </c>
      <c r="M26">
        <v>1</v>
      </c>
      <c r="N26">
        <v>1</v>
      </c>
      <c r="O26">
        <v>1</v>
      </c>
      <c r="P26" t="s">
        <v>280</v>
      </c>
    </row>
    <row r="27" spans="1:16" x14ac:dyDescent="0.25">
      <c r="A27" t="s">
        <v>16</v>
      </c>
      <c r="B27" t="s">
        <v>55</v>
      </c>
      <c r="C27">
        <v>0</v>
      </c>
      <c r="D27">
        <v>10.599791765213009</v>
      </c>
      <c r="E27">
        <v>1</v>
      </c>
      <c r="F27">
        <v>0</v>
      </c>
      <c r="G27">
        <v>0</v>
      </c>
      <c r="H27" t="s">
        <v>20</v>
      </c>
      <c r="I27">
        <v>1</v>
      </c>
      <c r="J27" t="s">
        <v>20</v>
      </c>
      <c r="K27">
        <v>1</v>
      </c>
      <c r="L27">
        <v>1</v>
      </c>
      <c r="M27">
        <v>1</v>
      </c>
      <c r="N27">
        <v>1</v>
      </c>
      <c r="O27">
        <v>1</v>
      </c>
      <c r="P27" t="s">
        <v>281</v>
      </c>
    </row>
    <row r="28" spans="1:16" x14ac:dyDescent="0.25">
      <c r="A28" t="s">
        <v>16</v>
      </c>
      <c r="B28" t="s">
        <v>57</v>
      </c>
      <c r="C28">
        <v>0</v>
      </c>
      <c r="D28">
        <v>8.8197243213653564</v>
      </c>
      <c r="E28">
        <v>1</v>
      </c>
      <c r="F28">
        <v>1</v>
      </c>
      <c r="G28">
        <v>1</v>
      </c>
      <c r="H28">
        <v>1</v>
      </c>
      <c r="I28">
        <v>1</v>
      </c>
      <c r="J28">
        <v>1</v>
      </c>
      <c r="K28">
        <v>1</v>
      </c>
      <c r="L28">
        <v>1</v>
      </c>
      <c r="M28">
        <v>1</v>
      </c>
      <c r="N28">
        <v>1</v>
      </c>
      <c r="O28">
        <v>1</v>
      </c>
    </row>
    <row r="29" spans="1:16" x14ac:dyDescent="0.25">
      <c r="A29" t="s">
        <v>16</v>
      </c>
      <c r="B29" t="s">
        <v>59</v>
      </c>
      <c r="C29">
        <v>0</v>
      </c>
      <c r="D29">
        <v>11.08942484855652</v>
      </c>
      <c r="E29">
        <v>1</v>
      </c>
      <c r="F29">
        <v>1</v>
      </c>
      <c r="G29">
        <v>1</v>
      </c>
      <c r="H29">
        <v>1</v>
      </c>
      <c r="I29">
        <v>1</v>
      </c>
      <c r="J29">
        <v>1</v>
      </c>
      <c r="K29">
        <v>0</v>
      </c>
      <c r="L29">
        <v>1</v>
      </c>
      <c r="M29">
        <v>1</v>
      </c>
      <c r="N29">
        <v>1</v>
      </c>
      <c r="O29">
        <v>1</v>
      </c>
      <c r="P29" t="s">
        <v>282</v>
      </c>
    </row>
    <row r="30" spans="1:16" x14ac:dyDescent="0.25">
      <c r="A30" t="s">
        <v>16</v>
      </c>
      <c r="B30" t="s">
        <v>61</v>
      </c>
      <c r="C30">
        <v>0</v>
      </c>
      <c r="D30">
        <v>12.980158090591431</v>
      </c>
      <c r="E30">
        <v>1</v>
      </c>
      <c r="F30">
        <v>1</v>
      </c>
      <c r="G30">
        <v>1</v>
      </c>
      <c r="H30">
        <v>1</v>
      </c>
      <c r="I30">
        <v>1</v>
      </c>
      <c r="J30">
        <v>1</v>
      </c>
      <c r="K30">
        <v>0</v>
      </c>
      <c r="L30">
        <v>1</v>
      </c>
      <c r="M30">
        <v>1</v>
      </c>
      <c r="N30">
        <v>1</v>
      </c>
      <c r="O30">
        <v>1</v>
      </c>
      <c r="P30" t="s">
        <v>283</v>
      </c>
    </row>
    <row r="31" spans="1:16" x14ac:dyDescent="0.25">
      <c r="A31" t="s">
        <v>16</v>
      </c>
      <c r="B31" t="s">
        <v>63</v>
      </c>
      <c r="C31">
        <v>0</v>
      </c>
      <c r="D31">
        <v>6.0309760570526123</v>
      </c>
      <c r="E31">
        <v>1</v>
      </c>
      <c r="F31">
        <v>0</v>
      </c>
      <c r="G31">
        <v>1</v>
      </c>
      <c r="H31" t="s">
        <v>20</v>
      </c>
      <c r="I31">
        <v>1</v>
      </c>
      <c r="J31" t="s">
        <v>20</v>
      </c>
      <c r="K31">
        <v>1</v>
      </c>
      <c r="L31">
        <v>1</v>
      </c>
      <c r="M31">
        <v>1</v>
      </c>
      <c r="N31">
        <v>1</v>
      </c>
      <c r="O31">
        <v>1</v>
      </c>
      <c r="P31" t="s">
        <v>284</v>
      </c>
    </row>
    <row r="32" spans="1:16" x14ac:dyDescent="0.25">
      <c r="A32" t="s">
        <v>16</v>
      </c>
      <c r="B32" t="s">
        <v>65</v>
      </c>
      <c r="C32">
        <v>0</v>
      </c>
      <c r="D32">
        <v>6.2696967124938956</v>
      </c>
      <c r="E32">
        <v>1</v>
      </c>
      <c r="F32">
        <v>0</v>
      </c>
      <c r="G32">
        <v>1</v>
      </c>
      <c r="H32" t="s">
        <v>20</v>
      </c>
      <c r="I32">
        <v>1</v>
      </c>
      <c r="J32" t="s">
        <v>20</v>
      </c>
      <c r="K32">
        <v>1</v>
      </c>
      <c r="L32">
        <v>1</v>
      </c>
      <c r="M32">
        <v>1</v>
      </c>
      <c r="N32">
        <v>1</v>
      </c>
      <c r="O32">
        <v>1</v>
      </c>
      <c r="P32" t="s">
        <v>285</v>
      </c>
    </row>
    <row r="33" spans="1:16" x14ac:dyDescent="0.25">
      <c r="A33" t="s">
        <v>16</v>
      </c>
      <c r="B33" t="s">
        <v>67</v>
      </c>
      <c r="C33">
        <v>0</v>
      </c>
      <c r="D33">
        <v>11.808160066604611</v>
      </c>
      <c r="E33">
        <v>1</v>
      </c>
      <c r="F33">
        <v>0</v>
      </c>
      <c r="G33">
        <v>1</v>
      </c>
      <c r="H33" t="s">
        <v>20</v>
      </c>
      <c r="I33">
        <v>1</v>
      </c>
      <c r="J33" t="s">
        <v>20</v>
      </c>
      <c r="K33">
        <v>1</v>
      </c>
      <c r="L33">
        <v>1</v>
      </c>
      <c r="M33">
        <v>1</v>
      </c>
      <c r="N33">
        <v>1</v>
      </c>
      <c r="O33">
        <v>1</v>
      </c>
      <c r="P33" t="s">
        <v>286</v>
      </c>
    </row>
    <row r="34" spans="1:16" x14ac:dyDescent="0.25">
      <c r="A34" t="s">
        <v>16</v>
      </c>
      <c r="B34" t="s">
        <v>69</v>
      </c>
      <c r="C34">
        <v>0</v>
      </c>
      <c r="D34">
        <v>7.3993215560913086</v>
      </c>
      <c r="E34">
        <v>0</v>
      </c>
      <c r="F34" t="s">
        <v>20</v>
      </c>
      <c r="G34" t="s">
        <v>20</v>
      </c>
      <c r="H34" t="s">
        <v>20</v>
      </c>
      <c r="I34" t="s">
        <v>20</v>
      </c>
      <c r="J34" t="s">
        <v>20</v>
      </c>
      <c r="K34" t="s">
        <v>20</v>
      </c>
      <c r="L34" t="s">
        <v>20</v>
      </c>
      <c r="M34" t="s">
        <v>20</v>
      </c>
      <c r="N34" t="s">
        <v>20</v>
      </c>
      <c r="O34" t="s">
        <v>20</v>
      </c>
      <c r="P34" t="s">
        <v>287</v>
      </c>
    </row>
    <row r="35" spans="1:16" x14ac:dyDescent="0.25">
      <c r="A35" t="s">
        <v>16</v>
      </c>
      <c r="B35" t="s">
        <v>71</v>
      </c>
      <c r="C35">
        <v>0</v>
      </c>
      <c r="D35">
        <v>9.7738401889801025</v>
      </c>
      <c r="E35">
        <v>1</v>
      </c>
      <c r="F35">
        <v>1</v>
      </c>
      <c r="G35">
        <v>1</v>
      </c>
      <c r="H35">
        <v>1</v>
      </c>
      <c r="I35">
        <v>1</v>
      </c>
      <c r="J35">
        <v>1</v>
      </c>
      <c r="K35">
        <v>1</v>
      </c>
      <c r="L35">
        <v>1</v>
      </c>
      <c r="M35">
        <v>1</v>
      </c>
      <c r="N35">
        <v>1</v>
      </c>
      <c r="O35">
        <v>1</v>
      </c>
    </row>
    <row r="36" spans="1:16" x14ac:dyDescent="0.25">
      <c r="A36" t="s">
        <v>16</v>
      </c>
      <c r="B36" t="s">
        <v>72</v>
      </c>
      <c r="C36">
        <v>0</v>
      </c>
      <c r="D36">
        <v>2.886877059936523</v>
      </c>
      <c r="E36">
        <v>1</v>
      </c>
      <c r="F36">
        <v>1</v>
      </c>
      <c r="G36">
        <v>1</v>
      </c>
      <c r="H36">
        <v>1</v>
      </c>
      <c r="I36">
        <v>1</v>
      </c>
      <c r="J36">
        <v>1</v>
      </c>
      <c r="K36">
        <v>1</v>
      </c>
      <c r="L36">
        <v>1</v>
      </c>
      <c r="M36">
        <v>1</v>
      </c>
      <c r="N36">
        <v>1</v>
      </c>
      <c r="O36">
        <v>1</v>
      </c>
    </row>
    <row r="37" spans="1:16" x14ac:dyDescent="0.25">
      <c r="A37" t="s">
        <v>16</v>
      </c>
      <c r="B37" t="s">
        <v>73</v>
      </c>
      <c r="C37">
        <v>0</v>
      </c>
      <c r="D37">
        <v>5.0062360763549796</v>
      </c>
      <c r="E37">
        <v>1</v>
      </c>
      <c r="F37">
        <v>0</v>
      </c>
      <c r="G37">
        <v>1</v>
      </c>
      <c r="H37" t="s">
        <v>20</v>
      </c>
      <c r="I37">
        <v>1</v>
      </c>
      <c r="J37" t="s">
        <v>20</v>
      </c>
      <c r="K37">
        <v>1</v>
      </c>
      <c r="L37">
        <v>1</v>
      </c>
      <c r="M37">
        <v>1</v>
      </c>
      <c r="N37">
        <v>1</v>
      </c>
      <c r="O37">
        <v>1</v>
      </c>
      <c r="P37" t="s">
        <v>288</v>
      </c>
    </row>
    <row r="38" spans="1:16" x14ac:dyDescent="0.25">
      <c r="A38" t="s">
        <v>16</v>
      </c>
      <c r="B38" t="s">
        <v>75</v>
      </c>
      <c r="C38">
        <v>0</v>
      </c>
      <c r="D38">
        <v>4.1251063346862793</v>
      </c>
      <c r="E38">
        <v>1</v>
      </c>
      <c r="F38">
        <v>0</v>
      </c>
      <c r="G38">
        <v>1</v>
      </c>
      <c r="H38" t="s">
        <v>20</v>
      </c>
      <c r="I38">
        <v>1</v>
      </c>
      <c r="J38" t="s">
        <v>20</v>
      </c>
      <c r="K38">
        <v>1</v>
      </c>
      <c r="L38">
        <v>1</v>
      </c>
      <c r="M38">
        <v>1</v>
      </c>
      <c r="N38">
        <v>1</v>
      </c>
      <c r="O38">
        <v>1</v>
      </c>
      <c r="P38" t="s">
        <v>76</v>
      </c>
    </row>
    <row r="39" spans="1:16" x14ac:dyDescent="0.25">
      <c r="A39" t="s">
        <v>16</v>
      </c>
      <c r="B39" t="s">
        <v>77</v>
      </c>
      <c r="C39">
        <v>0</v>
      </c>
      <c r="D39">
        <v>8.7281646728515625</v>
      </c>
      <c r="E39">
        <v>1</v>
      </c>
      <c r="F39">
        <v>1</v>
      </c>
      <c r="G39">
        <v>1</v>
      </c>
      <c r="H39">
        <v>1</v>
      </c>
      <c r="I39">
        <v>1</v>
      </c>
      <c r="J39">
        <v>1</v>
      </c>
      <c r="K39">
        <v>1</v>
      </c>
      <c r="L39">
        <v>1</v>
      </c>
      <c r="M39">
        <v>1</v>
      </c>
      <c r="N39">
        <v>1</v>
      </c>
      <c r="O39">
        <v>1</v>
      </c>
    </row>
    <row r="40" spans="1:16" x14ac:dyDescent="0.25">
      <c r="A40" t="s">
        <v>16</v>
      </c>
      <c r="B40" t="s">
        <v>78</v>
      </c>
      <c r="C40">
        <v>0</v>
      </c>
      <c r="D40">
        <v>11.697304248809809</v>
      </c>
      <c r="E40">
        <v>1</v>
      </c>
      <c r="F40">
        <v>1</v>
      </c>
      <c r="G40">
        <v>0</v>
      </c>
      <c r="H40" t="s">
        <v>20</v>
      </c>
      <c r="I40">
        <v>1</v>
      </c>
      <c r="J40">
        <v>1</v>
      </c>
      <c r="K40">
        <v>1</v>
      </c>
      <c r="L40">
        <v>1</v>
      </c>
      <c r="M40">
        <v>1</v>
      </c>
      <c r="N40">
        <v>1</v>
      </c>
      <c r="O40">
        <v>1</v>
      </c>
      <c r="P40" t="s">
        <v>289</v>
      </c>
    </row>
    <row r="41" spans="1:16" x14ac:dyDescent="0.25">
      <c r="A41" t="s">
        <v>16</v>
      </c>
      <c r="B41" t="s">
        <v>80</v>
      </c>
      <c r="C41">
        <v>0</v>
      </c>
      <c r="D41">
        <v>7.8077518939971924</v>
      </c>
      <c r="E41">
        <v>0</v>
      </c>
      <c r="F41" t="s">
        <v>20</v>
      </c>
      <c r="G41" t="s">
        <v>20</v>
      </c>
      <c r="H41" t="s">
        <v>20</v>
      </c>
      <c r="I41" t="s">
        <v>20</v>
      </c>
      <c r="J41" t="s">
        <v>20</v>
      </c>
      <c r="K41" t="s">
        <v>20</v>
      </c>
      <c r="L41" t="s">
        <v>20</v>
      </c>
      <c r="M41" t="s">
        <v>20</v>
      </c>
      <c r="N41" t="s">
        <v>20</v>
      </c>
      <c r="O41" t="s">
        <v>20</v>
      </c>
      <c r="P41" t="s">
        <v>290</v>
      </c>
    </row>
    <row r="42" spans="1:16" x14ac:dyDescent="0.25">
      <c r="A42" t="s">
        <v>16</v>
      </c>
      <c r="B42" t="s">
        <v>82</v>
      </c>
      <c r="C42">
        <v>0</v>
      </c>
      <c r="D42">
        <v>10.601785659790041</v>
      </c>
      <c r="E42">
        <v>0</v>
      </c>
      <c r="F42" t="s">
        <v>20</v>
      </c>
      <c r="G42" t="s">
        <v>20</v>
      </c>
      <c r="H42" t="s">
        <v>20</v>
      </c>
      <c r="I42" t="s">
        <v>20</v>
      </c>
      <c r="J42" t="s">
        <v>20</v>
      </c>
      <c r="K42" t="s">
        <v>20</v>
      </c>
      <c r="L42" t="s">
        <v>20</v>
      </c>
      <c r="M42" t="s">
        <v>20</v>
      </c>
      <c r="N42" t="s">
        <v>20</v>
      </c>
      <c r="O42" t="s">
        <v>20</v>
      </c>
      <c r="P42" t="s">
        <v>291</v>
      </c>
    </row>
    <row r="43" spans="1:16" x14ac:dyDescent="0.25">
      <c r="A43" t="s">
        <v>16</v>
      </c>
      <c r="B43" t="s">
        <v>84</v>
      </c>
      <c r="C43">
        <v>0</v>
      </c>
      <c r="D43">
        <v>10.473657846450809</v>
      </c>
      <c r="E43">
        <v>1</v>
      </c>
      <c r="F43">
        <v>1</v>
      </c>
      <c r="G43">
        <v>1</v>
      </c>
      <c r="H43">
        <v>1</v>
      </c>
      <c r="I43">
        <v>1</v>
      </c>
      <c r="J43">
        <v>1</v>
      </c>
      <c r="K43">
        <v>1</v>
      </c>
      <c r="L43">
        <v>1</v>
      </c>
      <c r="M43">
        <v>1</v>
      </c>
      <c r="N43">
        <v>1</v>
      </c>
      <c r="O43">
        <v>1</v>
      </c>
    </row>
    <row r="44" spans="1:16" x14ac:dyDescent="0.25">
      <c r="A44" t="s">
        <v>16</v>
      </c>
      <c r="B44" t="s">
        <v>85</v>
      </c>
      <c r="C44">
        <v>0</v>
      </c>
      <c r="D44">
        <v>10.985693693161011</v>
      </c>
      <c r="E44">
        <v>1</v>
      </c>
      <c r="F44">
        <v>1</v>
      </c>
      <c r="G44">
        <v>1</v>
      </c>
      <c r="H44">
        <v>0</v>
      </c>
      <c r="I44">
        <v>1</v>
      </c>
      <c r="J44">
        <v>1</v>
      </c>
      <c r="K44">
        <v>1</v>
      </c>
      <c r="L44">
        <v>1</v>
      </c>
      <c r="M44">
        <v>1</v>
      </c>
      <c r="N44">
        <v>1</v>
      </c>
      <c r="O44">
        <v>1</v>
      </c>
      <c r="P44" t="s">
        <v>292</v>
      </c>
    </row>
    <row r="45" spans="1:16" x14ac:dyDescent="0.25">
      <c r="A45" t="s">
        <v>16</v>
      </c>
      <c r="B45" t="s">
        <v>87</v>
      </c>
      <c r="C45">
        <v>0</v>
      </c>
      <c r="D45">
        <v>6.1562807559967041</v>
      </c>
      <c r="E45">
        <v>1</v>
      </c>
      <c r="F45">
        <v>1</v>
      </c>
      <c r="G45">
        <v>0</v>
      </c>
      <c r="H45" t="s">
        <v>20</v>
      </c>
      <c r="I45">
        <v>1</v>
      </c>
      <c r="J45">
        <v>0</v>
      </c>
      <c r="K45">
        <v>1</v>
      </c>
      <c r="L45">
        <v>1</v>
      </c>
      <c r="M45">
        <v>1</v>
      </c>
      <c r="N45">
        <v>1</v>
      </c>
      <c r="O45">
        <v>1</v>
      </c>
      <c r="P45" t="s">
        <v>293</v>
      </c>
    </row>
    <row r="46" spans="1:16" x14ac:dyDescent="0.25">
      <c r="A46" t="s">
        <v>16</v>
      </c>
      <c r="B46" t="s">
        <v>89</v>
      </c>
      <c r="C46">
        <v>0</v>
      </c>
      <c r="D46">
        <v>5.9583954811096191</v>
      </c>
      <c r="E46">
        <v>1</v>
      </c>
      <c r="F46">
        <v>1</v>
      </c>
      <c r="G46">
        <v>1</v>
      </c>
      <c r="H46">
        <v>1</v>
      </c>
      <c r="I46">
        <v>1</v>
      </c>
      <c r="J46">
        <v>0</v>
      </c>
      <c r="K46">
        <v>1</v>
      </c>
      <c r="L46">
        <v>1</v>
      </c>
      <c r="M46">
        <v>1</v>
      </c>
      <c r="N46">
        <v>1</v>
      </c>
      <c r="O46">
        <v>1</v>
      </c>
      <c r="P46" t="s">
        <v>294</v>
      </c>
    </row>
    <row r="47" spans="1:16" x14ac:dyDescent="0.25">
      <c r="A47" t="s">
        <v>16</v>
      </c>
      <c r="B47" t="s">
        <v>91</v>
      </c>
      <c r="C47">
        <v>0</v>
      </c>
      <c r="D47">
        <v>2.9751114845275879</v>
      </c>
      <c r="E47">
        <v>1</v>
      </c>
      <c r="F47">
        <v>1</v>
      </c>
      <c r="G47">
        <v>1</v>
      </c>
      <c r="H47">
        <v>1</v>
      </c>
      <c r="I47">
        <v>1</v>
      </c>
      <c r="J47">
        <v>1</v>
      </c>
      <c r="K47">
        <v>1</v>
      </c>
      <c r="L47">
        <v>1</v>
      </c>
      <c r="M47">
        <v>1</v>
      </c>
      <c r="N47">
        <v>1</v>
      </c>
      <c r="O47">
        <v>1</v>
      </c>
    </row>
    <row r="48" spans="1:16" x14ac:dyDescent="0.25">
      <c r="A48" t="s">
        <v>16</v>
      </c>
      <c r="B48" t="s">
        <v>92</v>
      </c>
      <c r="C48">
        <v>0</v>
      </c>
      <c r="D48">
        <v>9.5675432682037354</v>
      </c>
      <c r="E48">
        <v>1</v>
      </c>
      <c r="F48">
        <v>1</v>
      </c>
      <c r="G48">
        <v>1</v>
      </c>
      <c r="H48">
        <v>1</v>
      </c>
      <c r="I48">
        <v>1</v>
      </c>
      <c r="J48">
        <v>1</v>
      </c>
      <c r="K48">
        <v>1</v>
      </c>
      <c r="L48">
        <v>1</v>
      </c>
      <c r="M48">
        <v>1</v>
      </c>
      <c r="N48">
        <v>1</v>
      </c>
      <c r="O48">
        <v>1</v>
      </c>
    </row>
    <row r="49" spans="1:16" x14ac:dyDescent="0.25">
      <c r="A49" t="s">
        <v>16</v>
      </c>
      <c r="B49" t="s">
        <v>94</v>
      </c>
      <c r="C49">
        <v>0</v>
      </c>
      <c r="D49">
        <v>2.9818732738494869</v>
      </c>
      <c r="E49">
        <v>1</v>
      </c>
      <c r="F49">
        <v>1</v>
      </c>
      <c r="G49">
        <v>1</v>
      </c>
      <c r="H49">
        <v>1</v>
      </c>
      <c r="I49">
        <v>1</v>
      </c>
      <c r="J49">
        <v>1</v>
      </c>
      <c r="K49">
        <v>1</v>
      </c>
      <c r="L49">
        <v>1</v>
      </c>
      <c r="M49">
        <v>1</v>
      </c>
      <c r="N49">
        <v>1</v>
      </c>
      <c r="O49">
        <v>1</v>
      </c>
    </row>
    <row r="50" spans="1:16" x14ac:dyDescent="0.25">
      <c r="A50" t="s">
        <v>16</v>
      </c>
      <c r="B50" t="s">
        <v>95</v>
      </c>
      <c r="C50">
        <v>0</v>
      </c>
      <c r="D50">
        <v>2.9533810615539551</v>
      </c>
      <c r="E50">
        <v>1</v>
      </c>
      <c r="F50">
        <v>1</v>
      </c>
      <c r="G50">
        <v>1</v>
      </c>
      <c r="H50">
        <v>1</v>
      </c>
      <c r="I50">
        <v>1</v>
      </c>
      <c r="J50">
        <v>1</v>
      </c>
      <c r="K50">
        <v>1</v>
      </c>
      <c r="L50">
        <v>1</v>
      </c>
      <c r="M50">
        <v>1</v>
      </c>
      <c r="N50">
        <v>1</v>
      </c>
      <c r="O50">
        <v>1</v>
      </c>
    </row>
    <row r="51" spans="1:16" x14ac:dyDescent="0.25">
      <c r="A51" t="s">
        <v>96</v>
      </c>
      <c r="B51" t="s">
        <v>17</v>
      </c>
      <c r="C51">
        <v>0</v>
      </c>
      <c r="D51">
        <v>2.9073338508605961</v>
      </c>
      <c r="E51">
        <v>1</v>
      </c>
      <c r="F51">
        <v>1</v>
      </c>
      <c r="G51">
        <v>1</v>
      </c>
      <c r="H51">
        <v>1</v>
      </c>
      <c r="I51">
        <v>1</v>
      </c>
      <c r="J51">
        <v>1</v>
      </c>
      <c r="K51">
        <v>1</v>
      </c>
      <c r="L51">
        <v>1</v>
      </c>
      <c r="M51">
        <v>1</v>
      </c>
      <c r="N51">
        <v>1</v>
      </c>
      <c r="O51">
        <v>1</v>
      </c>
    </row>
    <row r="52" spans="1:16" x14ac:dyDescent="0.25">
      <c r="A52" t="s">
        <v>96</v>
      </c>
      <c r="B52" t="s">
        <v>18</v>
      </c>
      <c r="C52">
        <v>0</v>
      </c>
      <c r="D52">
        <v>10.6428165435791</v>
      </c>
      <c r="E52">
        <v>1</v>
      </c>
      <c r="F52">
        <v>1</v>
      </c>
      <c r="G52">
        <v>1</v>
      </c>
      <c r="H52">
        <v>1</v>
      </c>
      <c r="I52">
        <v>1</v>
      </c>
      <c r="J52">
        <v>1</v>
      </c>
      <c r="K52">
        <v>1</v>
      </c>
      <c r="L52">
        <v>1</v>
      </c>
      <c r="M52">
        <v>1</v>
      </c>
      <c r="N52">
        <v>1</v>
      </c>
      <c r="O52">
        <v>1</v>
      </c>
    </row>
    <row r="53" spans="1:16" x14ac:dyDescent="0.25">
      <c r="A53" t="s">
        <v>96</v>
      </c>
      <c r="B53" t="s">
        <v>19</v>
      </c>
      <c r="C53">
        <v>0</v>
      </c>
      <c r="D53">
        <v>10.801421880722049</v>
      </c>
      <c r="E53">
        <v>1</v>
      </c>
      <c r="F53">
        <v>1</v>
      </c>
      <c r="G53">
        <v>1</v>
      </c>
      <c r="H53">
        <v>0</v>
      </c>
      <c r="I53">
        <v>1</v>
      </c>
      <c r="J53">
        <v>1</v>
      </c>
      <c r="K53">
        <v>1</v>
      </c>
      <c r="L53">
        <v>1</v>
      </c>
      <c r="M53">
        <v>1</v>
      </c>
      <c r="N53">
        <v>1</v>
      </c>
      <c r="O53">
        <v>1</v>
      </c>
      <c r="P53" t="s">
        <v>295</v>
      </c>
    </row>
    <row r="54" spans="1:16" x14ac:dyDescent="0.25">
      <c r="A54" t="s">
        <v>96</v>
      </c>
      <c r="B54" t="s">
        <v>22</v>
      </c>
      <c r="C54">
        <v>0</v>
      </c>
      <c r="D54">
        <v>9.3619742393493652</v>
      </c>
      <c r="E54">
        <v>1</v>
      </c>
      <c r="F54">
        <v>1</v>
      </c>
      <c r="G54">
        <v>1</v>
      </c>
      <c r="H54">
        <v>1</v>
      </c>
      <c r="I54">
        <v>1</v>
      </c>
      <c r="J54">
        <v>1</v>
      </c>
      <c r="K54">
        <v>1</v>
      </c>
      <c r="L54">
        <v>1</v>
      </c>
      <c r="M54">
        <v>1</v>
      </c>
      <c r="N54">
        <v>1</v>
      </c>
      <c r="O54">
        <v>1</v>
      </c>
    </row>
    <row r="55" spans="1:16" x14ac:dyDescent="0.25">
      <c r="A55" t="s">
        <v>96</v>
      </c>
      <c r="B55" t="s">
        <v>24</v>
      </c>
      <c r="C55">
        <v>0</v>
      </c>
      <c r="D55">
        <v>2.648353099822998</v>
      </c>
      <c r="E55">
        <v>1</v>
      </c>
      <c r="F55">
        <v>1</v>
      </c>
      <c r="G55">
        <v>1</v>
      </c>
      <c r="H55">
        <v>1</v>
      </c>
      <c r="I55">
        <v>1</v>
      </c>
      <c r="J55">
        <v>1</v>
      </c>
      <c r="K55">
        <v>1</v>
      </c>
      <c r="L55">
        <v>1</v>
      </c>
      <c r="M55">
        <v>1</v>
      </c>
      <c r="N55">
        <v>1</v>
      </c>
      <c r="O55">
        <v>1</v>
      </c>
    </row>
    <row r="56" spans="1:16" x14ac:dyDescent="0.25">
      <c r="A56" t="s">
        <v>96</v>
      </c>
      <c r="B56" t="s">
        <v>25</v>
      </c>
      <c r="C56">
        <v>0</v>
      </c>
      <c r="D56">
        <v>4.72174072265625</v>
      </c>
      <c r="E56">
        <v>1</v>
      </c>
      <c r="F56">
        <v>1</v>
      </c>
      <c r="G56">
        <v>0</v>
      </c>
      <c r="H56" t="s">
        <v>20</v>
      </c>
      <c r="I56">
        <v>1</v>
      </c>
      <c r="J56">
        <v>1</v>
      </c>
      <c r="K56">
        <v>1</v>
      </c>
      <c r="L56">
        <v>1</v>
      </c>
      <c r="M56">
        <v>1</v>
      </c>
      <c r="N56">
        <v>1</v>
      </c>
      <c r="O56">
        <v>1</v>
      </c>
      <c r="P56" t="s">
        <v>296</v>
      </c>
    </row>
    <row r="57" spans="1:16" x14ac:dyDescent="0.25">
      <c r="A57" t="s">
        <v>96</v>
      </c>
      <c r="B57" t="s">
        <v>26</v>
      </c>
      <c r="C57">
        <v>0</v>
      </c>
      <c r="D57">
        <v>2.6793911457061772</v>
      </c>
      <c r="E57">
        <v>1</v>
      </c>
      <c r="F57">
        <v>1</v>
      </c>
      <c r="G57">
        <v>1</v>
      </c>
      <c r="H57">
        <v>1</v>
      </c>
      <c r="I57">
        <v>1</v>
      </c>
      <c r="J57">
        <v>1</v>
      </c>
      <c r="K57">
        <v>1</v>
      </c>
      <c r="L57">
        <v>1</v>
      </c>
      <c r="M57">
        <v>1</v>
      </c>
      <c r="N57">
        <v>1</v>
      </c>
      <c r="O57">
        <v>1</v>
      </c>
    </row>
    <row r="58" spans="1:16" x14ac:dyDescent="0.25">
      <c r="A58" t="s">
        <v>96</v>
      </c>
      <c r="B58" t="s">
        <v>27</v>
      </c>
      <c r="C58">
        <v>0</v>
      </c>
      <c r="D58">
        <v>5.4413306713104248</v>
      </c>
      <c r="E58">
        <v>1</v>
      </c>
      <c r="F58">
        <v>1</v>
      </c>
      <c r="G58">
        <v>1</v>
      </c>
      <c r="H58">
        <v>1</v>
      </c>
      <c r="I58">
        <v>1</v>
      </c>
      <c r="J58">
        <v>0</v>
      </c>
      <c r="K58">
        <v>1</v>
      </c>
      <c r="L58">
        <v>1</v>
      </c>
      <c r="M58">
        <v>1</v>
      </c>
      <c r="N58">
        <v>1</v>
      </c>
      <c r="O58">
        <v>1</v>
      </c>
      <c r="P58" t="s">
        <v>297</v>
      </c>
    </row>
    <row r="59" spans="1:16" x14ac:dyDescent="0.25">
      <c r="A59" t="s">
        <v>96</v>
      </c>
      <c r="B59" t="s">
        <v>28</v>
      </c>
      <c r="C59">
        <v>0</v>
      </c>
      <c r="D59">
        <v>2.8628041744232182</v>
      </c>
      <c r="E59">
        <v>1</v>
      </c>
      <c r="F59">
        <v>1</v>
      </c>
      <c r="G59">
        <v>1</v>
      </c>
      <c r="H59">
        <v>1</v>
      </c>
      <c r="I59">
        <v>1</v>
      </c>
      <c r="J59">
        <v>1</v>
      </c>
      <c r="K59">
        <v>1</v>
      </c>
      <c r="L59">
        <v>1</v>
      </c>
      <c r="M59">
        <v>1</v>
      </c>
      <c r="N59">
        <v>1</v>
      </c>
      <c r="O59">
        <v>1</v>
      </c>
    </row>
    <row r="60" spans="1:16" x14ac:dyDescent="0.25">
      <c r="A60" t="s">
        <v>96</v>
      </c>
      <c r="B60" t="s">
        <v>29</v>
      </c>
      <c r="C60">
        <v>0</v>
      </c>
      <c r="D60">
        <v>2.8323862552642818</v>
      </c>
      <c r="E60">
        <v>1</v>
      </c>
      <c r="F60">
        <v>1</v>
      </c>
      <c r="G60">
        <v>1</v>
      </c>
      <c r="H60">
        <v>1</v>
      </c>
      <c r="I60">
        <v>1</v>
      </c>
      <c r="J60">
        <v>1</v>
      </c>
      <c r="K60">
        <v>1</v>
      </c>
      <c r="L60">
        <v>1</v>
      </c>
      <c r="M60">
        <v>1</v>
      </c>
      <c r="N60">
        <v>1</v>
      </c>
      <c r="O60">
        <v>1</v>
      </c>
    </row>
    <row r="61" spans="1:16" x14ac:dyDescent="0.25">
      <c r="A61" t="s">
        <v>96</v>
      </c>
      <c r="B61" t="s">
        <v>31</v>
      </c>
      <c r="C61">
        <v>0</v>
      </c>
      <c r="D61">
        <v>2.8130207061767578</v>
      </c>
      <c r="E61">
        <v>1</v>
      </c>
      <c r="F61">
        <v>1</v>
      </c>
      <c r="G61">
        <v>1</v>
      </c>
      <c r="H61">
        <v>1</v>
      </c>
      <c r="I61">
        <v>1</v>
      </c>
      <c r="J61">
        <v>1</v>
      </c>
      <c r="K61">
        <v>1</v>
      </c>
      <c r="L61">
        <v>1</v>
      </c>
      <c r="M61">
        <v>1</v>
      </c>
      <c r="N61">
        <v>1</v>
      </c>
      <c r="O61">
        <v>1</v>
      </c>
    </row>
    <row r="62" spans="1:16" x14ac:dyDescent="0.25">
      <c r="A62" t="s">
        <v>96</v>
      </c>
      <c r="B62" t="s">
        <v>33</v>
      </c>
      <c r="C62">
        <v>0</v>
      </c>
      <c r="D62">
        <v>10.88783645629883</v>
      </c>
      <c r="E62">
        <v>1</v>
      </c>
      <c r="F62">
        <v>1</v>
      </c>
      <c r="G62">
        <v>1</v>
      </c>
      <c r="H62">
        <v>1</v>
      </c>
      <c r="I62">
        <v>1</v>
      </c>
      <c r="J62">
        <v>1</v>
      </c>
      <c r="K62">
        <v>1</v>
      </c>
      <c r="L62">
        <v>1</v>
      </c>
      <c r="M62">
        <v>1</v>
      </c>
      <c r="N62">
        <v>1</v>
      </c>
      <c r="O62">
        <v>1</v>
      </c>
    </row>
    <row r="63" spans="1:16" x14ac:dyDescent="0.25">
      <c r="A63" t="s">
        <v>96</v>
      </c>
      <c r="B63" t="s">
        <v>35</v>
      </c>
      <c r="C63">
        <v>0</v>
      </c>
      <c r="D63">
        <v>2.9079258441925049</v>
      </c>
      <c r="E63">
        <v>1</v>
      </c>
      <c r="F63">
        <v>1</v>
      </c>
      <c r="G63">
        <v>1</v>
      </c>
      <c r="H63">
        <v>1</v>
      </c>
      <c r="I63">
        <v>1</v>
      </c>
      <c r="J63">
        <v>1</v>
      </c>
      <c r="K63">
        <v>1</v>
      </c>
      <c r="L63">
        <v>1</v>
      </c>
      <c r="M63">
        <v>1</v>
      </c>
      <c r="N63">
        <v>1</v>
      </c>
      <c r="O63">
        <v>1</v>
      </c>
    </row>
    <row r="64" spans="1:16" x14ac:dyDescent="0.25">
      <c r="A64" t="s">
        <v>96</v>
      </c>
      <c r="B64" t="s">
        <v>36</v>
      </c>
      <c r="C64">
        <v>0</v>
      </c>
      <c r="D64">
        <v>9.6336114406585693</v>
      </c>
      <c r="E64">
        <v>1</v>
      </c>
      <c r="F64">
        <v>1</v>
      </c>
      <c r="G64">
        <v>1</v>
      </c>
      <c r="H64">
        <v>1</v>
      </c>
      <c r="I64">
        <v>1</v>
      </c>
      <c r="J64">
        <v>1</v>
      </c>
      <c r="K64">
        <v>1</v>
      </c>
      <c r="L64">
        <v>1</v>
      </c>
      <c r="M64">
        <v>1</v>
      </c>
      <c r="N64">
        <v>1</v>
      </c>
      <c r="O64">
        <v>1</v>
      </c>
    </row>
    <row r="65" spans="1:16" x14ac:dyDescent="0.25">
      <c r="A65" t="s">
        <v>96</v>
      </c>
      <c r="B65" t="s">
        <v>38</v>
      </c>
      <c r="C65">
        <v>0</v>
      </c>
      <c r="D65">
        <v>11.084560394287109</v>
      </c>
      <c r="E65">
        <v>1</v>
      </c>
      <c r="F65">
        <v>1</v>
      </c>
      <c r="G65">
        <v>1</v>
      </c>
      <c r="H65">
        <v>1</v>
      </c>
      <c r="I65">
        <v>1</v>
      </c>
      <c r="J65">
        <v>0</v>
      </c>
      <c r="K65">
        <v>1</v>
      </c>
      <c r="L65">
        <v>1</v>
      </c>
      <c r="M65">
        <v>1</v>
      </c>
      <c r="N65">
        <v>1</v>
      </c>
      <c r="O65">
        <v>1</v>
      </c>
      <c r="P65" t="s">
        <v>298</v>
      </c>
    </row>
    <row r="66" spans="1:16" x14ac:dyDescent="0.25">
      <c r="A66" t="s">
        <v>96</v>
      </c>
      <c r="B66" t="s">
        <v>40</v>
      </c>
      <c r="C66">
        <v>0</v>
      </c>
      <c r="D66">
        <v>5.9549796581268311</v>
      </c>
      <c r="E66">
        <v>1</v>
      </c>
      <c r="F66">
        <v>0</v>
      </c>
      <c r="G66">
        <v>1</v>
      </c>
      <c r="H66" t="s">
        <v>20</v>
      </c>
      <c r="I66">
        <v>1</v>
      </c>
      <c r="J66" t="s">
        <v>20</v>
      </c>
      <c r="K66">
        <v>1</v>
      </c>
      <c r="L66">
        <v>1</v>
      </c>
      <c r="M66">
        <v>1</v>
      </c>
      <c r="N66">
        <v>1</v>
      </c>
      <c r="O66">
        <v>1</v>
      </c>
      <c r="P66" t="s">
        <v>299</v>
      </c>
    </row>
    <row r="67" spans="1:16" x14ac:dyDescent="0.25">
      <c r="A67" t="s">
        <v>96</v>
      </c>
      <c r="B67" t="s">
        <v>42</v>
      </c>
      <c r="C67">
        <v>0</v>
      </c>
      <c r="D67">
        <v>5.7516834735870361</v>
      </c>
      <c r="E67">
        <v>1</v>
      </c>
      <c r="F67">
        <v>1</v>
      </c>
      <c r="G67">
        <v>1</v>
      </c>
      <c r="H67">
        <v>0</v>
      </c>
      <c r="I67">
        <v>1</v>
      </c>
      <c r="J67">
        <v>1</v>
      </c>
      <c r="K67">
        <v>1</v>
      </c>
      <c r="L67">
        <v>1</v>
      </c>
      <c r="M67">
        <v>1</v>
      </c>
      <c r="N67">
        <v>1</v>
      </c>
      <c r="O67">
        <v>1</v>
      </c>
      <c r="P67" t="s">
        <v>300</v>
      </c>
    </row>
    <row r="68" spans="1:16" x14ac:dyDescent="0.25">
      <c r="A68" t="s">
        <v>96</v>
      </c>
      <c r="B68" t="s">
        <v>43</v>
      </c>
      <c r="C68">
        <v>0</v>
      </c>
      <c r="D68">
        <v>9.5563781261444092</v>
      </c>
      <c r="E68">
        <v>1</v>
      </c>
      <c r="F68">
        <v>1</v>
      </c>
      <c r="G68">
        <v>1</v>
      </c>
      <c r="H68">
        <v>1</v>
      </c>
      <c r="I68">
        <v>1</v>
      </c>
      <c r="J68">
        <v>1</v>
      </c>
      <c r="K68">
        <v>1</v>
      </c>
      <c r="L68">
        <v>1</v>
      </c>
      <c r="M68">
        <v>1</v>
      </c>
      <c r="N68">
        <v>1</v>
      </c>
      <c r="O68">
        <v>1</v>
      </c>
    </row>
    <row r="69" spans="1:16" x14ac:dyDescent="0.25">
      <c r="A69" t="s">
        <v>96</v>
      </c>
      <c r="B69" t="s">
        <v>44</v>
      </c>
      <c r="C69">
        <v>0</v>
      </c>
      <c r="D69">
        <v>2.9165480136871338</v>
      </c>
      <c r="E69">
        <v>1</v>
      </c>
      <c r="F69">
        <v>1</v>
      </c>
      <c r="G69">
        <v>1</v>
      </c>
      <c r="H69">
        <v>1</v>
      </c>
      <c r="I69">
        <v>1</v>
      </c>
      <c r="J69">
        <v>1</v>
      </c>
      <c r="K69">
        <v>1</v>
      </c>
      <c r="L69">
        <v>1</v>
      </c>
      <c r="M69">
        <v>1</v>
      </c>
      <c r="N69">
        <v>1</v>
      </c>
      <c r="O69">
        <v>1</v>
      </c>
    </row>
    <row r="70" spans="1:16" x14ac:dyDescent="0.25">
      <c r="A70" t="s">
        <v>96</v>
      </c>
      <c r="B70" t="s">
        <v>46</v>
      </c>
      <c r="C70">
        <v>0</v>
      </c>
      <c r="D70">
        <v>8.4860537052154541</v>
      </c>
      <c r="E70">
        <v>1</v>
      </c>
      <c r="F70">
        <v>1</v>
      </c>
      <c r="G70">
        <v>1</v>
      </c>
      <c r="H70">
        <v>1</v>
      </c>
      <c r="I70">
        <v>1</v>
      </c>
      <c r="J70">
        <v>1</v>
      </c>
      <c r="K70">
        <v>1</v>
      </c>
      <c r="L70">
        <v>1</v>
      </c>
      <c r="M70">
        <v>1</v>
      </c>
      <c r="N70">
        <v>1</v>
      </c>
      <c r="O70">
        <v>1</v>
      </c>
    </row>
    <row r="71" spans="1:16" x14ac:dyDescent="0.25">
      <c r="A71" t="s">
        <v>96</v>
      </c>
      <c r="B71" t="s">
        <v>48</v>
      </c>
      <c r="C71">
        <v>0</v>
      </c>
      <c r="D71">
        <v>12.680811405181879</v>
      </c>
      <c r="E71">
        <v>0</v>
      </c>
      <c r="F71" t="s">
        <v>20</v>
      </c>
      <c r="G71" t="s">
        <v>20</v>
      </c>
      <c r="H71" t="s">
        <v>20</v>
      </c>
      <c r="I71" t="s">
        <v>20</v>
      </c>
      <c r="J71" t="s">
        <v>20</v>
      </c>
      <c r="K71" t="s">
        <v>20</v>
      </c>
      <c r="L71" t="s">
        <v>20</v>
      </c>
      <c r="M71" t="s">
        <v>20</v>
      </c>
      <c r="N71" t="s">
        <v>20</v>
      </c>
      <c r="O71" t="s">
        <v>20</v>
      </c>
      <c r="P71" t="s">
        <v>301</v>
      </c>
    </row>
    <row r="72" spans="1:16" x14ac:dyDescent="0.25">
      <c r="A72" t="s">
        <v>96</v>
      </c>
      <c r="B72" t="s">
        <v>50</v>
      </c>
      <c r="C72">
        <v>0</v>
      </c>
      <c r="D72">
        <v>13.13143420219421</v>
      </c>
      <c r="E72">
        <v>1</v>
      </c>
      <c r="F72">
        <v>1</v>
      </c>
      <c r="G72">
        <v>1</v>
      </c>
      <c r="H72">
        <v>1</v>
      </c>
      <c r="I72">
        <v>1</v>
      </c>
      <c r="J72">
        <v>1</v>
      </c>
      <c r="K72">
        <v>1</v>
      </c>
      <c r="L72">
        <v>1</v>
      </c>
      <c r="M72">
        <v>0</v>
      </c>
      <c r="N72">
        <v>1</v>
      </c>
      <c r="O72">
        <v>1</v>
      </c>
      <c r="P72" t="s">
        <v>302</v>
      </c>
    </row>
    <row r="73" spans="1:16" x14ac:dyDescent="0.25">
      <c r="A73" t="s">
        <v>96</v>
      </c>
      <c r="B73" t="s">
        <v>51</v>
      </c>
      <c r="C73">
        <v>0</v>
      </c>
      <c r="D73">
        <v>12.20019626617432</v>
      </c>
      <c r="E73">
        <v>1</v>
      </c>
      <c r="F73">
        <v>1</v>
      </c>
      <c r="G73">
        <v>1</v>
      </c>
      <c r="H73">
        <v>1</v>
      </c>
      <c r="I73">
        <v>1</v>
      </c>
      <c r="J73">
        <v>1</v>
      </c>
      <c r="K73">
        <v>0</v>
      </c>
      <c r="L73">
        <v>1</v>
      </c>
      <c r="M73">
        <v>1</v>
      </c>
      <c r="N73">
        <v>1</v>
      </c>
      <c r="O73">
        <v>1</v>
      </c>
      <c r="P73" t="s">
        <v>303</v>
      </c>
    </row>
    <row r="74" spans="1:16" x14ac:dyDescent="0.25">
      <c r="A74" t="s">
        <v>96</v>
      </c>
      <c r="B74" t="s">
        <v>52</v>
      </c>
      <c r="C74">
        <v>0</v>
      </c>
      <c r="D74">
        <v>2.806061744689941</v>
      </c>
      <c r="E74">
        <v>1</v>
      </c>
      <c r="F74">
        <v>1</v>
      </c>
      <c r="G74">
        <v>1</v>
      </c>
      <c r="H74">
        <v>1</v>
      </c>
      <c r="I74">
        <v>1</v>
      </c>
      <c r="J74">
        <v>1</v>
      </c>
      <c r="K74">
        <v>1</v>
      </c>
      <c r="L74">
        <v>1</v>
      </c>
      <c r="M74">
        <v>1</v>
      </c>
      <c r="N74">
        <v>1</v>
      </c>
      <c r="O74">
        <v>1</v>
      </c>
    </row>
    <row r="75" spans="1:16" x14ac:dyDescent="0.25">
      <c r="A75" t="s">
        <v>96</v>
      </c>
      <c r="B75" t="s">
        <v>53</v>
      </c>
      <c r="C75">
        <v>0</v>
      </c>
      <c r="D75">
        <v>4.9957597255706787</v>
      </c>
      <c r="E75">
        <v>1</v>
      </c>
      <c r="F75">
        <v>1</v>
      </c>
      <c r="G75">
        <v>0</v>
      </c>
      <c r="H75" t="s">
        <v>20</v>
      </c>
      <c r="I75">
        <v>1</v>
      </c>
      <c r="J75">
        <v>1</v>
      </c>
      <c r="K75">
        <v>1</v>
      </c>
      <c r="L75">
        <v>1</v>
      </c>
      <c r="M75">
        <v>1</v>
      </c>
      <c r="N75">
        <v>1</v>
      </c>
      <c r="O75">
        <v>1</v>
      </c>
      <c r="P75" t="s">
        <v>304</v>
      </c>
    </row>
    <row r="76" spans="1:16" x14ac:dyDescent="0.25">
      <c r="A76" t="s">
        <v>96</v>
      </c>
      <c r="B76" t="s">
        <v>55</v>
      </c>
      <c r="C76">
        <v>0</v>
      </c>
      <c r="D76">
        <v>4.0120561122894287</v>
      </c>
      <c r="E76">
        <v>1</v>
      </c>
      <c r="F76">
        <v>1</v>
      </c>
      <c r="G76">
        <v>1</v>
      </c>
      <c r="H76">
        <v>1</v>
      </c>
      <c r="I76">
        <v>1</v>
      </c>
      <c r="J76">
        <v>1</v>
      </c>
      <c r="K76">
        <v>1</v>
      </c>
      <c r="L76">
        <v>1</v>
      </c>
      <c r="M76">
        <v>0</v>
      </c>
      <c r="N76">
        <v>1</v>
      </c>
      <c r="O76">
        <v>1</v>
      </c>
      <c r="P76" t="s">
        <v>305</v>
      </c>
    </row>
    <row r="77" spans="1:16" x14ac:dyDescent="0.25">
      <c r="A77" t="s">
        <v>96</v>
      </c>
      <c r="B77" t="s">
        <v>57</v>
      </c>
      <c r="C77">
        <v>0</v>
      </c>
      <c r="D77">
        <v>5.9877228736877441</v>
      </c>
      <c r="E77">
        <v>1</v>
      </c>
      <c r="F77">
        <v>0</v>
      </c>
      <c r="G77">
        <v>1</v>
      </c>
      <c r="H77" t="s">
        <v>20</v>
      </c>
      <c r="I77">
        <v>1</v>
      </c>
      <c r="J77" t="s">
        <v>20</v>
      </c>
      <c r="K77">
        <v>1</v>
      </c>
      <c r="L77">
        <v>1</v>
      </c>
      <c r="M77">
        <v>1</v>
      </c>
      <c r="N77">
        <v>1</v>
      </c>
      <c r="O77">
        <v>1</v>
      </c>
      <c r="P77" t="s">
        <v>306</v>
      </c>
    </row>
    <row r="78" spans="1:16" x14ac:dyDescent="0.25">
      <c r="A78" t="s">
        <v>96</v>
      </c>
      <c r="B78" t="s">
        <v>59</v>
      </c>
      <c r="C78">
        <v>0</v>
      </c>
      <c r="D78">
        <v>4.5446469783782959</v>
      </c>
      <c r="E78">
        <v>1</v>
      </c>
      <c r="F78">
        <v>1</v>
      </c>
      <c r="G78">
        <v>1</v>
      </c>
      <c r="H78">
        <v>1</v>
      </c>
      <c r="I78">
        <v>1</v>
      </c>
      <c r="J78">
        <v>1</v>
      </c>
      <c r="K78">
        <v>0</v>
      </c>
      <c r="L78">
        <v>1</v>
      </c>
      <c r="M78">
        <v>1</v>
      </c>
      <c r="N78">
        <v>1</v>
      </c>
      <c r="O78">
        <v>1</v>
      </c>
      <c r="P78" t="s">
        <v>307</v>
      </c>
    </row>
    <row r="79" spans="1:16" x14ac:dyDescent="0.25">
      <c r="A79" t="s">
        <v>96</v>
      </c>
      <c r="B79" t="s">
        <v>61</v>
      </c>
      <c r="C79">
        <v>0</v>
      </c>
      <c r="D79">
        <v>3.0035901069641109</v>
      </c>
      <c r="E79">
        <v>1</v>
      </c>
      <c r="F79">
        <v>1</v>
      </c>
      <c r="G79">
        <v>1</v>
      </c>
      <c r="H79">
        <v>1</v>
      </c>
      <c r="I79">
        <v>1</v>
      </c>
      <c r="J79">
        <v>1</v>
      </c>
      <c r="K79">
        <v>1</v>
      </c>
      <c r="L79">
        <v>1</v>
      </c>
      <c r="M79">
        <v>1</v>
      </c>
      <c r="N79">
        <v>1</v>
      </c>
      <c r="O79">
        <v>1</v>
      </c>
    </row>
    <row r="80" spans="1:16" x14ac:dyDescent="0.25">
      <c r="A80" t="s">
        <v>96</v>
      </c>
      <c r="B80" t="s">
        <v>63</v>
      </c>
      <c r="C80">
        <v>0</v>
      </c>
      <c r="D80">
        <v>12.75340676307678</v>
      </c>
      <c r="E80">
        <v>1</v>
      </c>
      <c r="F80">
        <v>1</v>
      </c>
      <c r="G80">
        <v>0</v>
      </c>
      <c r="H80" t="s">
        <v>20</v>
      </c>
      <c r="I80">
        <v>1</v>
      </c>
      <c r="J80">
        <v>1</v>
      </c>
      <c r="K80">
        <v>1</v>
      </c>
      <c r="L80">
        <v>1</v>
      </c>
      <c r="M80">
        <v>1</v>
      </c>
      <c r="N80">
        <v>1</v>
      </c>
      <c r="O80">
        <v>1</v>
      </c>
      <c r="P80" t="s">
        <v>308</v>
      </c>
    </row>
    <row r="81" spans="1:16" x14ac:dyDescent="0.25">
      <c r="A81" t="s">
        <v>96</v>
      </c>
      <c r="B81" t="s">
        <v>65</v>
      </c>
      <c r="C81">
        <v>0</v>
      </c>
      <c r="D81">
        <v>6.7848329544067383</v>
      </c>
      <c r="E81">
        <v>1</v>
      </c>
      <c r="F81">
        <v>1</v>
      </c>
      <c r="G81">
        <v>1</v>
      </c>
      <c r="H81">
        <v>1</v>
      </c>
      <c r="I81">
        <v>1</v>
      </c>
      <c r="J81">
        <v>1</v>
      </c>
      <c r="K81">
        <v>1</v>
      </c>
      <c r="L81">
        <v>1</v>
      </c>
      <c r="M81">
        <v>1</v>
      </c>
      <c r="N81">
        <v>1</v>
      </c>
      <c r="O81">
        <v>1</v>
      </c>
    </row>
    <row r="82" spans="1:16" x14ac:dyDescent="0.25">
      <c r="A82" t="s">
        <v>96</v>
      </c>
      <c r="B82" t="s">
        <v>67</v>
      </c>
      <c r="C82">
        <v>0</v>
      </c>
      <c r="D82">
        <v>6.7580249309539786</v>
      </c>
      <c r="E82">
        <v>1</v>
      </c>
      <c r="F82">
        <v>0</v>
      </c>
      <c r="G82">
        <v>1</v>
      </c>
      <c r="H82" t="s">
        <v>20</v>
      </c>
      <c r="I82">
        <v>1</v>
      </c>
      <c r="J82" t="s">
        <v>20</v>
      </c>
      <c r="K82">
        <v>1</v>
      </c>
      <c r="L82">
        <v>1</v>
      </c>
      <c r="M82">
        <v>1</v>
      </c>
      <c r="N82">
        <v>1</v>
      </c>
      <c r="O82">
        <v>1</v>
      </c>
      <c r="P82" t="s">
        <v>309</v>
      </c>
    </row>
    <row r="83" spans="1:16" x14ac:dyDescent="0.25">
      <c r="A83" t="s">
        <v>96</v>
      </c>
      <c r="B83" t="s">
        <v>69</v>
      </c>
      <c r="C83">
        <v>0</v>
      </c>
      <c r="D83">
        <v>6.8770968914031982</v>
      </c>
      <c r="E83">
        <v>1</v>
      </c>
      <c r="F83">
        <v>1</v>
      </c>
      <c r="G83">
        <v>0</v>
      </c>
      <c r="H83" t="s">
        <v>20</v>
      </c>
      <c r="I83">
        <v>1</v>
      </c>
      <c r="J83">
        <v>1</v>
      </c>
      <c r="K83">
        <v>1</v>
      </c>
      <c r="L83">
        <v>1</v>
      </c>
      <c r="M83">
        <v>1</v>
      </c>
      <c r="N83">
        <v>1</v>
      </c>
      <c r="O83">
        <v>1</v>
      </c>
      <c r="P83" t="s">
        <v>310</v>
      </c>
    </row>
    <row r="84" spans="1:16" x14ac:dyDescent="0.25">
      <c r="A84" t="s">
        <v>96</v>
      </c>
      <c r="B84" t="s">
        <v>71</v>
      </c>
      <c r="C84">
        <v>0</v>
      </c>
      <c r="D84">
        <v>5.2390265464782706</v>
      </c>
      <c r="E84">
        <v>1</v>
      </c>
      <c r="F84">
        <v>1</v>
      </c>
      <c r="G84">
        <v>1</v>
      </c>
      <c r="H84">
        <v>0</v>
      </c>
      <c r="I84">
        <v>1</v>
      </c>
      <c r="J84">
        <v>1</v>
      </c>
      <c r="K84">
        <v>1</v>
      </c>
      <c r="L84">
        <v>1</v>
      </c>
      <c r="M84">
        <v>1</v>
      </c>
      <c r="N84">
        <v>1</v>
      </c>
      <c r="O84">
        <v>1</v>
      </c>
      <c r="P84" t="s">
        <v>311</v>
      </c>
    </row>
    <row r="85" spans="1:16" x14ac:dyDescent="0.25">
      <c r="A85" t="s">
        <v>96</v>
      </c>
      <c r="B85" t="s">
        <v>72</v>
      </c>
      <c r="C85">
        <v>0</v>
      </c>
      <c r="D85">
        <v>4.7286310195922852</v>
      </c>
      <c r="E85">
        <v>1</v>
      </c>
      <c r="F85">
        <v>1</v>
      </c>
      <c r="G85">
        <v>1</v>
      </c>
      <c r="H85">
        <v>1</v>
      </c>
      <c r="I85">
        <v>1</v>
      </c>
      <c r="J85">
        <v>1</v>
      </c>
      <c r="K85">
        <v>0</v>
      </c>
      <c r="L85">
        <v>1</v>
      </c>
      <c r="M85">
        <v>1</v>
      </c>
      <c r="N85">
        <v>1</v>
      </c>
      <c r="O85">
        <v>1</v>
      </c>
      <c r="P85" t="s">
        <v>312</v>
      </c>
    </row>
    <row r="86" spans="1:16" x14ac:dyDescent="0.25">
      <c r="A86" t="s">
        <v>96</v>
      </c>
      <c r="B86" t="s">
        <v>73</v>
      </c>
      <c r="C86">
        <v>0</v>
      </c>
      <c r="D86">
        <v>12.115764379501339</v>
      </c>
      <c r="E86">
        <v>1</v>
      </c>
      <c r="F86">
        <v>1</v>
      </c>
      <c r="G86">
        <v>0</v>
      </c>
      <c r="H86" t="s">
        <v>20</v>
      </c>
      <c r="I86">
        <v>1</v>
      </c>
      <c r="J86">
        <v>1</v>
      </c>
      <c r="K86">
        <v>1</v>
      </c>
      <c r="L86">
        <v>1</v>
      </c>
      <c r="M86">
        <v>1</v>
      </c>
      <c r="N86">
        <v>1</v>
      </c>
      <c r="O86">
        <v>1</v>
      </c>
      <c r="P86" t="s">
        <v>313</v>
      </c>
    </row>
    <row r="87" spans="1:16" x14ac:dyDescent="0.25">
      <c r="A87" t="s">
        <v>96</v>
      </c>
      <c r="B87" t="s">
        <v>75</v>
      </c>
      <c r="C87">
        <v>0</v>
      </c>
      <c r="D87">
        <v>2.8728141784667969</v>
      </c>
      <c r="E87">
        <v>1</v>
      </c>
      <c r="F87">
        <v>1</v>
      </c>
      <c r="G87">
        <v>1</v>
      </c>
      <c r="H87">
        <v>1</v>
      </c>
      <c r="I87">
        <v>1</v>
      </c>
      <c r="J87">
        <v>1</v>
      </c>
      <c r="K87">
        <v>1</v>
      </c>
      <c r="L87">
        <v>1</v>
      </c>
      <c r="M87">
        <v>1</v>
      </c>
      <c r="N87">
        <v>1</v>
      </c>
      <c r="O87">
        <v>1</v>
      </c>
    </row>
    <row r="88" spans="1:16" x14ac:dyDescent="0.25">
      <c r="A88" t="s">
        <v>96</v>
      </c>
      <c r="B88" t="s">
        <v>77</v>
      </c>
      <c r="C88">
        <v>0</v>
      </c>
      <c r="D88">
        <v>2.8707559108734131</v>
      </c>
      <c r="E88">
        <v>1</v>
      </c>
      <c r="F88">
        <v>1</v>
      </c>
      <c r="G88">
        <v>1</v>
      </c>
      <c r="H88">
        <v>1</v>
      </c>
      <c r="I88">
        <v>1</v>
      </c>
      <c r="J88">
        <v>1</v>
      </c>
      <c r="K88">
        <v>1</v>
      </c>
      <c r="L88">
        <v>1</v>
      </c>
      <c r="M88">
        <v>1</v>
      </c>
      <c r="N88">
        <v>1</v>
      </c>
      <c r="O88">
        <v>1</v>
      </c>
    </row>
    <row r="89" spans="1:16" x14ac:dyDescent="0.25">
      <c r="A89" t="s">
        <v>96</v>
      </c>
      <c r="B89" t="s">
        <v>78</v>
      </c>
      <c r="C89">
        <v>0</v>
      </c>
      <c r="D89">
        <v>2.880862951278687</v>
      </c>
      <c r="E89">
        <v>1</v>
      </c>
      <c r="F89">
        <v>1</v>
      </c>
      <c r="G89">
        <v>1</v>
      </c>
      <c r="H89">
        <v>1</v>
      </c>
      <c r="I89">
        <v>1</v>
      </c>
      <c r="J89">
        <v>1</v>
      </c>
      <c r="K89">
        <v>1</v>
      </c>
      <c r="L89">
        <v>1</v>
      </c>
      <c r="M89">
        <v>1</v>
      </c>
      <c r="N89">
        <v>1</v>
      </c>
      <c r="O89">
        <v>1</v>
      </c>
    </row>
    <row r="90" spans="1:16" x14ac:dyDescent="0.25">
      <c r="A90" t="s">
        <v>96</v>
      </c>
      <c r="B90" t="s">
        <v>80</v>
      </c>
      <c r="C90">
        <v>0</v>
      </c>
      <c r="D90">
        <v>2.9991755485534668</v>
      </c>
      <c r="E90">
        <v>1</v>
      </c>
      <c r="F90">
        <v>1</v>
      </c>
      <c r="G90">
        <v>1</v>
      </c>
      <c r="H90">
        <v>1</v>
      </c>
      <c r="I90">
        <v>1</v>
      </c>
      <c r="J90">
        <v>1</v>
      </c>
      <c r="K90">
        <v>1</v>
      </c>
      <c r="L90">
        <v>1</v>
      </c>
      <c r="M90">
        <v>1</v>
      </c>
      <c r="N90">
        <v>1</v>
      </c>
      <c r="O90">
        <v>1</v>
      </c>
    </row>
    <row r="91" spans="1:16" x14ac:dyDescent="0.25">
      <c r="A91" t="s">
        <v>96</v>
      </c>
      <c r="B91" t="s">
        <v>82</v>
      </c>
      <c r="C91">
        <v>0</v>
      </c>
      <c r="D91">
        <v>5.0411007404327393</v>
      </c>
      <c r="E91">
        <v>1</v>
      </c>
      <c r="F91">
        <v>1</v>
      </c>
      <c r="G91">
        <v>1</v>
      </c>
      <c r="H91">
        <v>0</v>
      </c>
      <c r="I91">
        <v>1</v>
      </c>
      <c r="J91">
        <v>1</v>
      </c>
      <c r="K91">
        <v>1</v>
      </c>
      <c r="L91">
        <v>1</v>
      </c>
      <c r="M91">
        <v>1</v>
      </c>
      <c r="N91">
        <v>1</v>
      </c>
      <c r="O91">
        <v>1</v>
      </c>
      <c r="P91" t="s">
        <v>314</v>
      </c>
    </row>
    <row r="92" spans="1:16" x14ac:dyDescent="0.25">
      <c r="A92" t="s">
        <v>96</v>
      </c>
      <c r="B92" t="s">
        <v>84</v>
      </c>
      <c r="C92">
        <v>0</v>
      </c>
      <c r="D92">
        <v>9.2112889289855957</v>
      </c>
      <c r="E92">
        <v>1</v>
      </c>
      <c r="F92">
        <v>1</v>
      </c>
      <c r="G92">
        <v>1</v>
      </c>
      <c r="H92">
        <v>1</v>
      </c>
      <c r="I92">
        <v>1</v>
      </c>
      <c r="J92">
        <v>1</v>
      </c>
      <c r="K92">
        <v>1</v>
      </c>
      <c r="L92">
        <v>1</v>
      </c>
      <c r="M92">
        <v>1</v>
      </c>
      <c r="N92">
        <v>1</v>
      </c>
      <c r="O92">
        <v>1</v>
      </c>
    </row>
    <row r="93" spans="1:16" x14ac:dyDescent="0.25">
      <c r="A93" t="s">
        <v>96</v>
      </c>
      <c r="B93" t="s">
        <v>85</v>
      </c>
      <c r="C93">
        <v>0</v>
      </c>
      <c r="D93">
        <v>4.7134783267974854</v>
      </c>
      <c r="E93">
        <v>1</v>
      </c>
      <c r="F93">
        <v>1</v>
      </c>
      <c r="G93">
        <v>1</v>
      </c>
      <c r="H93">
        <v>1</v>
      </c>
      <c r="I93">
        <v>1</v>
      </c>
      <c r="J93">
        <v>0</v>
      </c>
      <c r="K93">
        <v>1</v>
      </c>
      <c r="L93">
        <v>1</v>
      </c>
      <c r="M93">
        <v>1</v>
      </c>
      <c r="N93">
        <v>1</v>
      </c>
      <c r="O93">
        <v>1</v>
      </c>
      <c r="P93" t="s">
        <v>315</v>
      </c>
    </row>
    <row r="94" spans="1:16" x14ac:dyDescent="0.25">
      <c r="A94" t="s">
        <v>96</v>
      </c>
      <c r="B94" t="s">
        <v>87</v>
      </c>
      <c r="C94">
        <v>0</v>
      </c>
      <c r="D94">
        <v>4.7259697914123544</v>
      </c>
      <c r="E94">
        <v>1</v>
      </c>
      <c r="F94">
        <v>1</v>
      </c>
      <c r="G94">
        <v>1</v>
      </c>
      <c r="H94">
        <v>1</v>
      </c>
      <c r="I94">
        <v>1</v>
      </c>
      <c r="J94">
        <v>0</v>
      </c>
      <c r="K94">
        <v>1</v>
      </c>
      <c r="L94">
        <v>1</v>
      </c>
      <c r="M94">
        <v>1</v>
      </c>
      <c r="N94">
        <v>1</v>
      </c>
      <c r="O94">
        <v>1</v>
      </c>
      <c r="P94" t="s">
        <v>316</v>
      </c>
    </row>
    <row r="95" spans="1:16" x14ac:dyDescent="0.25">
      <c r="A95" t="s">
        <v>96</v>
      </c>
      <c r="B95" t="s">
        <v>89</v>
      </c>
      <c r="C95">
        <v>0</v>
      </c>
      <c r="D95">
        <v>14.7045681476593</v>
      </c>
      <c r="E95">
        <v>1</v>
      </c>
      <c r="F95">
        <v>1</v>
      </c>
      <c r="G95">
        <v>1</v>
      </c>
      <c r="H95">
        <v>1</v>
      </c>
      <c r="I95">
        <v>1</v>
      </c>
      <c r="J95">
        <v>0</v>
      </c>
      <c r="K95">
        <v>1</v>
      </c>
      <c r="L95">
        <v>1</v>
      </c>
      <c r="M95">
        <v>1</v>
      </c>
      <c r="N95">
        <v>1</v>
      </c>
      <c r="O95">
        <v>1</v>
      </c>
      <c r="P95" t="s">
        <v>317</v>
      </c>
    </row>
    <row r="96" spans="1:16" x14ac:dyDescent="0.25">
      <c r="A96" t="s">
        <v>96</v>
      </c>
      <c r="B96" t="s">
        <v>91</v>
      </c>
      <c r="C96">
        <v>0</v>
      </c>
      <c r="D96">
        <v>12.21103262901306</v>
      </c>
      <c r="E96">
        <v>1</v>
      </c>
      <c r="F96">
        <v>1</v>
      </c>
      <c r="G96">
        <v>1</v>
      </c>
      <c r="H96">
        <v>1</v>
      </c>
      <c r="I96">
        <v>1</v>
      </c>
      <c r="J96">
        <v>0</v>
      </c>
      <c r="K96">
        <v>1</v>
      </c>
      <c r="L96">
        <v>1</v>
      </c>
      <c r="M96">
        <v>1</v>
      </c>
      <c r="N96">
        <v>1</v>
      </c>
      <c r="O96">
        <v>1</v>
      </c>
      <c r="P96" t="s">
        <v>318</v>
      </c>
    </row>
    <row r="97" spans="1:16" x14ac:dyDescent="0.25">
      <c r="A97" t="s">
        <v>96</v>
      </c>
      <c r="B97" t="s">
        <v>92</v>
      </c>
      <c r="C97">
        <v>0</v>
      </c>
      <c r="D97">
        <v>5.2349042892456046</v>
      </c>
      <c r="E97">
        <v>1</v>
      </c>
      <c r="F97">
        <v>1</v>
      </c>
      <c r="G97">
        <v>1</v>
      </c>
      <c r="H97">
        <v>0</v>
      </c>
      <c r="I97">
        <v>1</v>
      </c>
      <c r="J97">
        <v>1</v>
      </c>
      <c r="K97">
        <v>1</v>
      </c>
      <c r="L97">
        <v>1</v>
      </c>
      <c r="M97">
        <v>1</v>
      </c>
      <c r="N97">
        <v>1</v>
      </c>
      <c r="O97">
        <v>1</v>
      </c>
      <c r="P97" t="s">
        <v>319</v>
      </c>
    </row>
    <row r="98" spans="1:16" x14ac:dyDescent="0.25">
      <c r="A98" t="s">
        <v>96</v>
      </c>
      <c r="B98" t="s">
        <v>94</v>
      </c>
      <c r="C98">
        <v>0</v>
      </c>
      <c r="D98">
        <v>12.530779600143431</v>
      </c>
      <c r="E98">
        <v>1</v>
      </c>
      <c r="F98">
        <v>1</v>
      </c>
      <c r="G98">
        <v>1</v>
      </c>
      <c r="H98">
        <v>1</v>
      </c>
      <c r="I98">
        <v>1</v>
      </c>
      <c r="J98">
        <v>1</v>
      </c>
      <c r="K98">
        <v>1</v>
      </c>
      <c r="L98">
        <v>1</v>
      </c>
      <c r="M98">
        <v>1</v>
      </c>
      <c r="N98">
        <v>1</v>
      </c>
      <c r="O98">
        <v>1</v>
      </c>
    </row>
    <row r="99" spans="1:16" x14ac:dyDescent="0.25">
      <c r="A99" t="s">
        <v>96</v>
      </c>
      <c r="B99" t="s">
        <v>95</v>
      </c>
      <c r="C99">
        <v>0</v>
      </c>
      <c r="D99">
        <v>2.797484397888184</v>
      </c>
      <c r="E99">
        <v>1</v>
      </c>
      <c r="F99">
        <v>1</v>
      </c>
      <c r="G99">
        <v>1</v>
      </c>
      <c r="H99">
        <v>1</v>
      </c>
      <c r="I99">
        <v>1</v>
      </c>
      <c r="J99">
        <v>1</v>
      </c>
      <c r="K99">
        <v>1</v>
      </c>
      <c r="L99">
        <v>1</v>
      </c>
      <c r="M99">
        <v>1</v>
      </c>
      <c r="N99">
        <v>1</v>
      </c>
      <c r="O99">
        <v>1</v>
      </c>
    </row>
    <row r="100" spans="1:16" x14ac:dyDescent="0.25">
      <c r="A100" t="s">
        <v>96</v>
      </c>
      <c r="B100" t="s">
        <v>121</v>
      </c>
      <c r="C100">
        <v>0</v>
      </c>
      <c r="D100">
        <v>2.891977071762085</v>
      </c>
      <c r="E100">
        <v>1</v>
      </c>
      <c r="F100">
        <v>1</v>
      </c>
      <c r="G100">
        <v>1</v>
      </c>
      <c r="H100">
        <v>1</v>
      </c>
      <c r="I100">
        <v>1</v>
      </c>
      <c r="J100">
        <v>1</v>
      </c>
      <c r="K100">
        <v>1</v>
      </c>
      <c r="L100">
        <v>1</v>
      </c>
      <c r="M100">
        <v>1</v>
      </c>
      <c r="N100">
        <v>1</v>
      </c>
      <c r="O100">
        <v>1</v>
      </c>
    </row>
    <row r="101" spans="1:16" x14ac:dyDescent="0.25">
      <c r="A101" t="s">
        <v>96</v>
      </c>
      <c r="B101" t="s">
        <v>122</v>
      </c>
      <c r="C101">
        <v>0</v>
      </c>
      <c r="D101">
        <v>14.95331335067749</v>
      </c>
      <c r="E101">
        <v>1</v>
      </c>
      <c r="F101">
        <v>1</v>
      </c>
      <c r="G101">
        <v>0</v>
      </c>
      <c r="H101" t="s">
        <v>20</v>
      </c>
      <c r="I101">
        <v>1</v>
      </c>
      <c r="J101">
        <v>1</v>
      </c>
      <c r="K101">
        <v>1</v>
      </c>
      <c r="L101">
        <v>1</v>
      </c>
      <c r="M101">
        <v>1</v>
      </c>
      <c r="N101">
        <v>1</v>
      </c>
      <c r="O101">
        <v>1</v>
      </c>
      <c r="P101" t="s">
        <v>320</v>
      </c>
    </row>
    <row r="102" spans="1:16" x14ac:dyDescent="0.25">
      <c r="A102" t="s">
        <v>96</v>
      </c>
      <c r="B102" t="s">
        <v>124</v>
      </c>
      <c r="C102">
        <v>0</v>
      </c>
      <c r="D102">
        <v>10.16959452629089</v>
      </c>
      <c r="E102">
        <v>1</v>
      </c>
      <c r="F102">
        <v>1</v>
      </c>
      <c r="G102">
        <v>1</v>
      </c>
      <c r="H102">
        <v>1</v>
      </c>
      <c r="I102">
        <v>1</v>
      </c>
      <c r="J102">
        <v>0</v>
      </c>
      <c r="K102">
        <v>1</v>
      </c>
      <c r="L102">
        <v>1</v>
      </c>
      <c r="M102">
        <v>1</v>
      </c>
      <c r="N102">
        <v>1</v>
      </c>
      <c r="O102">
        <v>1</v>
      </c>
      <c r="P102" t="s">
        <v>321</v>
      </c>
    </row>
    <row r="103" spans="1:16" x14ac:dyDescent="0.25">
      <c r="A103" t="s">
        <v>96</v>
      </c>
      <c r="B103" t="s">
        <v>126</v>
      </c>
      <c r="C103">
        <v>0</v>
      </c>
      <c r="D103">
        <v>10.17002892494202</v>
      </c>
      <c r="E103">
        <v>1</v>
      </c>
      <c r="F103">
        <v>1</v>
      </c>
      <c r="G103">
        <v>1</v>
      </c>
      <c r="H103">
        <v>1</v>
      </c>
      <c r="I103">
        <v>1</v>
      </c>
      <c r="J103">
        <v>1</v>
      </c>
      <c r="K103">
        <v>1</v>
      </c>
      <c r="L103">
        <v>1</v>
      </c>
      <c r="M103">
        <v>1</v>
      </c>
      <c r="N103">
        <v>1</v>
      </c>
      <c r="O103">
        <v>1</v>
      </c>
    </row>
    <row r="104" spans="1:16" x14ac:dyDescent="0.25">
      <c r="A104" t="s">
        <v>96</v>
      </c>
      <c r="B104" t="s">
        <v>127</v>
      </c>
      <c r="C104">
        <v>0</v>
      </c>
      <c r="D104">
        <v>12.222529172897341</v>
      </c>
      <c r="E104">
        <v>1</v>
      </c>
      <c r="F104">
        <v>1</v>
      </c>
      <c r="G104">
        <v>1</v>
      </c>
      <c r="H104">
        <v>0</v>
      </c>
      <c r="I104">
        <v>1</v>
      </c>
      <c r="J104">
        <v>0</v>
      </c>
      <c r="K104">
        <v>1</v>
      </c>
      <c r="L104">
        <v>1</v>
      </c>
      <c r="M104">
        <v>1</v>
      </c>
      <c r="N104">
        <v>1</v>
      </c>
      <c r="O104">
        <v>1</v>
      </c>
      <c r="P104" t="s">
        <v>322</v>
      </c>
    </row>
    <row r="105" spans="1:16" x14ac:dyDescent="0.25">
      <c r="A105" t="s">
        <v>96</v>
      </c>
      <c r="B105" t="s">
        <v>129</v>
      </c>
      <c r="C105">
        <v>0</v>
      </c>
      <c r="D105">
        <v>5.2767484188079834</v>
      </c>
      <c r="E105">
        <v>1</v>
      </c>
      <c r="F105">
        <v>1</v>
      </c>
      <c r="G105">
        <v>1</v>
      </c>
      <c r="H105">
        <v>0</v>
      </c>
      <c r="I105">
        <v>1</v>
      </c>
      <c r="J105">
        <v>1</v>
      </c>
      <c r="K105">
        <v>1</v>
      </c>
      <c r="L105">
        <v>1</v>
      </c>
      <c r="M105">
        <v>1</v>
      </c>
      <c r="N105">
        <v>1</v>
      </c>
      <c r="O105">
        <v>1</v>
      </c>
      <c r="P105" t="s">
        <v>323</v>
      </c>
    </row>
    <row r="106" spans="1:16" x14ac:dyDescent="0.25">
      <c r="A106" t="s">
        <v>96</v>
      </c>
      <c r="B106" t="s">
        <v>131</v>
      </c>
      <c r="C106">
        <v>0</v>
      </c>
      <c r="D106">
        <v>8.9982495307922363</v>
      </c>
      <c r="E106">
        <v>0</v>
      </c>
      <c r="F106" t="s">
        <v>20</v>
      </c>
      <c r="G106" t="s">
        <v>20</v>
      </c>
      <c r="H106" t="s">
        <v>20</v>
      </c>
      <c r="I106" t="s">
        <v>20</v>
      </c>
      <c r="J106" t="s">
        <v>20</v>
      </c>
      <c r="K106" t="s">
        <v>20</v>
      </c>
      <c r="L106" t="s">
        <v>20</v>
      </c>
      <c r="M106" t="s">
        <v>20</v>
      </c>
      <c r="N106" t="s">
        <v>20</v>
      </c>
      <c r="O106" t="s">
        <v>20</v>
      </c>
      <c r="P106" t="s">
        <v>324</v>
      </c>
    </row>
    <row r="107" spans="1:16" x14ac:dyDescent="0.25">
      <c r="A107" t="s">
        <v>96</v>
      </c>
      <c r="B107" t="s">
        <v>133</v>
      </c>
      <c r="C107">
        <v>0</v>
      </c>
      <c r="D107">
        <v>11.19581055641174</v>
      </c>
      <c r="E107">
        <v>1</v>
      </c>
      <c r="F107">
        <v>1</v>
      </c>
      <c r="G107">
        <v>1</v>
      </c>
      <c r="H107">
        <v>1</v>
      </c>
      <c r="I107">
        <v>1</v>
      </c>
      <c r="J107">
        <v>1</v>
      </c>
      <c r="K107">
        <v>0</v>
      </c>
      <c r="L107">
        <v>1</v>
      </c>
      <c r="M107">
        <v>1</v>
      </c>
      <c r="N107">
        <v>1</v>
      </c>
      <c r="O107">
        <v>1</v>
      </c>
      <c r="P107" t="s">
        <v>325</v>
      </c>
    </row>
    <row r="108" spans="1:16" x14ac:dyDescent="0.25">
      <c r="A108" t="s">
        <v>96</v>
      </c>
      <c r="B108" t="s">
        <v>135</v>
      </c>
      <c r="C108">
        <v>0</v>
      </c>
      <c r="D108">
        <v>10.90813732147217</v>
      </c>
      <c r="E108">
        <v>1</v>
      </c>
      <c r="F108">
        <v>1</v>
      </c>
      <c r="G108">
        <v>1</v>
      </c>
      <c r="H108">
        <v>1</v>
      </c>
      <c r="I108">
        <v>1</v>
      </c>
      <c r="J108">
        <v>1</v>
      </c>
      <c r="K108">
        <v>1</v>
      </c>
      <c r="L108">
        <v>1</v>
      </c>
      <c r="M108">
        <v>1</v>
      </c>
      <c r="N108">
        <v>1</v>
      </c>
      <c r="O108">
        <v>1</v>
      </c>
    </row>
    <row r="109" spans="1:16" x14ac:dyDescent="0.25">
      <c r="A109" t="s">
        <v>96</v>
      </c>
      <c r="B109" t="s">
        <v>136</v>
      </c>
      <c r="C109">
        <v>0</v>
      </c>
      <c r="D109">
        <v>2.85394287109375</v>
      </c>
      <c r="E109">
        <v>1</v>
      </c>
      <c r="F109">
        <v>1</v>
      </c>
      <c r="G109">
        <v>1</v>
      </c>
      <c r="H109">
        <v>1</v>
      </c>
      <c r="I109">
        <v>1</v>
      </c>
      <c r="J109">
        <v>1</v>
      </c>
      <c r="K109">
        <v>1</v>
      </c>
      <c r="L109">
        <v>1</v>
      </c>
      <c r="M109">
        <v>1</v>
      </c>
      <c r="N109">
        <v>1</v>
      </c>
      <c r="O109">
        <v>1</v>
      </c>
    </row>
    <row r="110" spans="1:16" x14ac:dyDescent="0.25">
      <c r="A110" t="s">
        <v>96</v>
      </c>
      <c r="B110" t="s">
        <v>137</v>
      </c>
      <c r="C110">
        <v>0</v>
      </c>
      <c r="D110">
        <v>9.3751745223999023</v>
      </c>
      <c r="E110">
        <v>1</v>
      </c>
      <c r="F110">
        <v>1</v>
      </c>
      <c r="G110">
        <v>1</v>
      </c>
      <c r="H110">
        <v>1</v>
      </c>
      <c r="I110">
        <v>1</v>
      </c>
      <c r="J110">
        <v>1</v>
      </c>
      <c r="K110">
        <v>1</v>
      </c>
      <c r="L110">
        <v>1</v>
      </c>
      <c r="M110">
        <v>1</v>
      </c>
      <c r="N110">
        <v>1</v>
      </c>
      <c r="O110">
        <v>1</v>
      </c>
    </row>
    <row r="111" spans="1:16" x14ac:dyDescent="0.25">
      <c r="A111" t="s">
        <v>96</v>
      </c>
      <c r="B111" t="s">
        <v>138</v>
      </c>
      <c r="C111">
        <v>0</v>
      </c>
      <c r="D111">
        <v>4.577833890914917</v>
      </c>
      <c r="E111">
        <v>1</v>
      </c>
      <c r="F111">
        <v>1</v>
      </c>
      <c r="G111">
        <v>1</v>
      </c>
      <c r="H111">
        <v>1</v>
      </c>
      <c r="I111">
        <v>1</v>
      </c>
      <c r="J111">
        <v>0</v>
      </c>
      <c r="K111">
        <v>1</v>
      </c>
      <c r="L111">
        <v>1</v>
      </c>
      <c r="M111">
        <v>1</v>
      </c>
      <c r="N111">
        <v>1</v>
      </c>
      <c r="O111">
        <v>1</v>
      </c>
      <c r="P111" t="s">
        <v>326</v>
      </c>
    </row>
    <row r="112" spans="1:16" x14ac:dyDescent="0.25">
      <c r="A112" t="s">
        <v>96</v>
      </c>
      <c r="B112" t="s">
        <v>140</v>
      </c>
      <c r="C112">
        <v>0</v>
      </c>
      <c r="D112">
        <v>2.985565185546875</v>
      </c>
      <c r="E112">
        <v>1</v>
      </c>
      <c r="F112">
        <v>1</v>
      </c>
      <c r="G112">
        <v>1</v>
      </c>
      <c r="H112">
        <v>1</v>
      </c>
      <c r="I112">
        <v>1</v>
      </c>
      <c r="J112">
        <v>1</v>
      </c>
      <c r="K112">
        <v>1</v>
      </c>
      <c r="L112">
        <v>1</v>
      </c>
      <c r="M112">
        <v>1</v>
      </c>
      <c r="N112">
        <v>1</v>
      </c>
      <c r="O112">
        <v>1</v>
      </c>
    </row>
    <row r="113" spans="1:16" x14ac:dyDescent="0.25">
      <c r="A113" t="s">
        <v>96</v>
      </c>
      <c r="B113" t="s">
        <v>141</v>
      </c>
      <c r="C113">
        <v>0</v>
      </c>
      <c r="D113">
        <v>4.9170346260070801</v>
      </c>
      <c r="E113">
        <v>1</v>
      </c>
      <c r="F113">
        <v>1</v>
      </c>
      <c r="G113">
        <v>1</v>
      </c>
      <c r="H113">
        <v>1</v>
      </c>
      <c r="I113">
        <v>1</v>
      </c>
      <c r="J113">
        <v>0</v>
      </c>
      <c r="K113">
        <v>1</v>
      </c>
      <c r="L113">
        <v>1</v>
      </c>
      <c r="M113">
        <v>1</v>
      </c>
      <c r="N113">
        <v>1</v>
      </c>
      <c r="O113">
        <v>1</v>
      </c>
      <c r="P113" t="s">
        <v>327</v>
      </c>
    </row>
    <row r="114" spans="1:16" x14ac:dyDescent="0.25">
      <c r="A114" t="s">
        <v>143</v>
      </c>
      <c r="B114" t="s">
        <v>17</v>
      </c>
      <c r="C114">
        <v>0</v>
      </c>
      <c r="D114">
        <v>7.7018766403198242</v>
      </c>
      <c r="E114">
        <v>1</v>
      </c>
      <c r="F114">
        <v>1</v>
      </c>
      <c r="G114">
        <v>1</v>
      </c>
      <c r="H114">
        <v>1</v>
      </c>
      <c r="I114">
        <v>1</v>
      </c>
      <c r="J114">
        <v>0</v>
      </c>
      <c r="K114">
        <v>1</v>
      </c>
      <c r="L114">
        <v>1</v>
      </c>
      <c r="M114">
        <v>1</v>
      </c>
      <c r="N114">
        <v>1</v>
      </c>
      <c r="O114">
        <v>1</v>
      </c>
      <c r="P114" t="s">
        <v>328</v>
      </c>
    </row>
    <row r="115" spans="1:16" x14ac:dyDescent="0.25">
      <c r="A115" t="s">
        <v>143</v>
      </c>
      <c r="B115" t="s">
        <v>18</v>
      </c>
      <c r="C115">
        <v>0</v>
      </c>
      <c r="D115">
        <v>2.972110509872437</v>
      </c>
      <c r="E115">
        <v>1</v>
      </c>
      <c r="F115">
        <v>1</v>
      </c>
      <c r="G115">
        <v>1</v>
      </c>
      <c r="H115">
        <v>1</v>
      </c>
      <c r="I115">
        <v>1</v>
      </c>
      <c r="J115">
        <v>1</v>
      </c>
      <c r="K115">
        <v>1</v>
      </c>
      <c r="L115">
        <v>1</v>
      </c>
      <c r="M115">
        <v>1</v>
      </c>
      <c r="N115">
        <v>1</v>
      </c>
      <c r="O115">
        <v>1</v>
      </c>
    </row>
    <row r="116" spans="1:16" x14ac:dyDescent="0.25">
      <c r="A116" t="s">
        <v>143</v>
      </c>
      <c r="B116" t="s">
        <v>19</v>
      </c>
      <c r="C116">
        <v>0</v>
      </c>
      <c r="D116">
        <v>2.8703675270080571</v>
      </c>
      <c r="E116">
        <v>1</v>
      </c>
      <c r="F116">
        <v>1</v>
      </c>
      <c r="G116">
        <v>1</v>
      </c>
      <c r="H116">
        <v>1</v>
      </c>
      <c r="I116">
        <v>1</v>
      </c>
      <c r="J116">
        <v>1</v>
      </c>
      <c r="K116">
        <v>1</v>
      </c>
      <c r="L116">
        <v>1</v>
      </c>
      <c r="M116">
        <v>1</v>
      </c>
      <c r="N116">
        <v>1</v>
      </c>
      <c r="O116">
        <v>1</v>
      </c>
    </row>
    <row r="117" spans="1:16" x14ac:dyDescent="0.25">
      <c r="A117" t="s">
        <v>143</v>
      </c>
      <c r="B117" t="s">
        <v>22</v>
      </c>
      <c r="C117">
        <v>0</v>
      </c>
      <c r="D117">
        <v>4.5322458744049072</v>
      </c>
      <c r="E117">
        <v>1</v>
      </c>
      <c r="F117">
        <v>1</v>
      </c>
      <c r="G117">
        <v>1</v>
      </c>
      <c r="H117">
        <v>1</v>
      </c>
      <c r="I117">
        <v>1</v>
      </c>
      <c r="J117">
        <v>0</v>
      </c>
      <c r="K117">
        <v>1</v>
      </c>
      <c r="L117">
        <v>1</v>
      </c>
      <c r="M117">
        <v>1</v>
      </c>
      <c r="N117">
        <v>1</v>
      </c>
      <c r="O117">
        <v>1</v>
      </c>
      <c r="P117" t="s">
        <v>329</v>
      </c>
    </row>
    <row r="118" spans="1:16" x14ac:dyDescent="0.25">
      <c r="A118" t="s">
        <v>143</v>
      </c>
      <c r="B118" t="s">
        <v>24</v>
      </c>
      <c r="C118">
        <v>0</v>
      </c>
      <c r="D118">
        <v>4.7081959247589111</v>
      </c>
      <c r="E118">
        <v>1</v>
      </c>
      <c r="F118">
        <v>1</v>
      </c>
      <c r="G118">
        <v>1</v>
      </c>
      <c r="H118">
        <v>1</v>
      </c>
      <c r="I118">
        <v>1</v>
      </c>
      <c r="J118">
        <v>1</v>
      </c>
      <c r="K118">
        <v>1</v>
      </c>
      <c r="L118">
        <v>0</v>
      </c>
      <c r="M118">
        <v>1</v>
      </c>
      <c r="N118">
        <v>0</v>
      </c>
      <c r="O118">
        <v>1</v>
      </c>
      <c r="P118" t="s">
        <v>330</v>
      </c>
    </row>
    <row r="119" spans="1:16" x14ac:dyDescent="0.25">
      <c r="A119" t="s">
        <v>143</v>
      </c>
      <c r="B119" t="s">
        <v>25</v>
      </c>
      <c r="C119">
        <v>0</v>
      </c>
      <c r="D119">
        <v>10.26740598678589</v>
      </c>
      <c r="E119">
        <v>0</v>
      </c>
      <c r="F119" t="s">
        <v>20</v>
      </c>
      <c r="G119" t="s">
        <v>20</v>
      </c>
      <c r="H119" t="s">
        <v>20</v>
      </c>
      <c r="I119" t="s">
        <v>20</v>
      </c>
      <c r="J119" t="s">
        <v>20</v>
      </c>
      <c r="K119" t="s">
        <v>20</v>
      </c>
      <c r="L119" t="s">
        <v>20</v>
      </c>
      <c r="M119" t="s">
        <v>20</v>
      </c>
      <c r="N119" t="s">
        <v>20</v>
      </c>
      <c r="O119" t="s">
        <v>20</v>
      </c>
      <c r="P119" t="s">
        <v>331</v>
      </c>
    </row>
    <row r="120" spans="1:16" x14ac:dyDescent="0.25">
      <c r="A120" t="s">
        <v>143</v>
      </c>
      <c r="B120" t="s">
        <v>26</v>
      </c>
      <c r="C120">
        <v>0</v>
      </c>
      <c r="D120">
        <v>10.789104700088499</v>
      </c>
      <c r="E120">
        <v>1</v>
      </c>
      <c r="F120">
        <v>1</v>
      </c>
      <c r="G120">
        <v>0</v>
      </c>
      <c r="H120" t="s">
        <v>20</v>
      </c>
      <c r="I120">
        <v>1</v>
      </c>
      <c r="J120">
        <v>1</v>
      </c>
      <c r="K120">
        <v>1</v>
      </c>
      <c r="L120">
        <v>1</v>
      </c>
      <c r="M120">
        <v>1</v>
      </c>
      <c r="N120">
        <v>1</v>
      </c>
      <c r="O120">
        <v>1</v>
      </c>
      <c r="P120" t="s">
        <v>332</v>
      </c>
    </row>
    <row r="121" spans="1:16" x14ac:dyDescent="0.25">
      <c r="A121" t="s">
        <v>143</v>
      </c>
      <c r="B121" t="s">
        <v>27</v>
      </c>
      <c r="C121">
        <v>0</v>
      </c>
      <c r="D121">
        <v>2.9719960689544682</v>
      </c>
      <c r="E121">
        <v>1</v>
      </c>
      <c r="F121">
        <v>1</v>
      </c>
      <c r="G121">
        <v>1</v>
      </c>
      <c r="H121">
        <v>1</v>
      </c>
      <c r="I121">
        <v>1</v>
      </c>
      <c r="J121">
        <v>1</v>
      </c>
      <c r="K121">
        <v>1</v>
      </c>
      <c r="L121">
        <v>1</v>
      </c>
      <c r="M121">
        <v>1</v>
      </c>
      <c r="N121">
        <v>1</v>
      </c>
      <c r="O121">
        <v>1</v>
      </c>
    </row>
    <row r="122" spans="1:16" x14ac:dyDescent="0.25">
      <c r="A122" t="s">
        <v>143</v>
      </c>
      <c r="B122" t="s">
        <v>28</v>
      </c>
      <c r="C122">
        <v>0</v>
      </c>
      <c r="D122">
        <v>3.172818660736084</v>
      </c>
      <c r="E122">
        <v>1</v>
      </c>
      <c r="F122">
        <v>1</v>
      </c>
      <c r="G122">
        <v>1</v>
      </c>
      <c r="H122">
        <v>1</v>
      </c>
      <c r="I122">
        <v>1</v>
      </c>
      <c r="J122">
        <v>1</v>
      </c>
      <c r="K122">
        <v>1</v>
      </c>
      <c r="L122">
        <v>1</v>
      </c>
      <c r="M122">
        <v>1</v>
      </c>
      <c r="N122">
        <v>1</v>
      </c>
      <c r="O122">
        <v>1</v>
      </c>
    </row>
    <row r="123" spans="1:16" x14ac:dyDescent="0.25">
      <c r="A123" t="s">
        <v>143</v>
      </c>
      <c r="B123" t="s">
        <v>29</v>
      </c>
      <c r="C123">
        <v>0</v>
      </c>
      <c r="D123">
        <v>5.1729092597961426</v>
      </c>
      <c r="E123">
        <v>1</v>
      </c>
      <c r="F123">
        <v>1</v>
      </c>
      <c r="G123">
        <v>1</v>
      </c>
      <c r="H123">
        <v>1</v>
      </c>
      <c r="I123">
        <v>1</v>
      </c>
      <c r="J123">
        <v>0</v>
      </c>
      <c r="K123">
        <v>0</v>
      </c>
      <c r="L123">
        <v>1</v>
      </c>
      <c r="M123">
        <v>1</v>
      </c>
      <c r="N123">
        <v>1</v>
      </c>
      <c r="O123">
        <v>1</v>
      </c>
      <c r="P123" t="s">
        <v>333</v>
      </c>
    </row>
    <row r="124" spans="1:16" x14ac:dyDescent="0.25">
      <c r="A124" t="s">
        <v>143</v>
      </c>
      <c r="B124" t="s">
        <v>31</v>
      </c>
      <c r="C124">
        <v>0</v>
      </c>
      <c r="D124">
        <v>10.481448173522949</v>
      </c>
      <c r="E124">
        <v>0</v>
      </c>
      <c r="F124" t="s">
        <v>20</v>
      </c>
      <c r="G124" t="s">
        <v>20</v>
      </c>
      <c r="H124" t="s">
        <v>20</v>
      </c>
      <c r="I124" t="s">
        <v>20</v>
      </c>
      <c r="J124" t="s">
        <v>20</v>
      </c>
      <c r="K124" t="s">
        <v>20</v>
      </c>
      <c r="L124" t="s">
        <v>20</v>
      </c>
      <c r="M124" t="s">
        <v>20</v>
      </c>
      <c r="N124" t="s">
        <v>20</v>
      </c>
      <c r="O124" t="s">
        <v>20</v>
      </c>
      <c r="P124" t="s">
        <v>334</v>
      </c>
    </row>
    <row r="125" spans="1:16" x14ac:dyDescent="0.25">
      <c r="A125" t="s">
        <v>143</v>
      </c>
      <c r="B125" t="s">
        <v>33</v>
      </c>
      <c r="C125">
        <v>0</v>
      </c>
      <c r="D125">
        <v>4.6702024936676034</v>
      </c>
      <c r="E125">
        <v>1</v>
      </c>
      <c r="F125">
        <v>1</v>
      </c>
      <c r="G125">
        <v>0</v>
      </c>
      <c r="H125" t="s">
        <v>20</v>
      </c>
      <c r="I125">
        <v>1</v>
      </c>
      <c r="J125">
        <v>1</v>
      </c>
      <c r="K125">
        <v>1</v>
      </c>
      <c r="L125">
        <v>1</v>
      </c>
      <c r="M125">
        <v>1</v>
      </c>
      <c r="N125">
        <v>1</v>
      </c>
      <c r="O125">
        <v>1</v>
      </c>
      <c r="P125" t="s">
        <v>335</v>
      </c>
    </row>
    <row r="126" spans="1:16" x14ac:dyDescent="0.25">
      <c r="A126" t="s">
        <v>143</v>
      </c>
      <c r="B126" t="s">
        <v>35</v>
      </c>
      <c r="C126">
        <v>0</v>
      </c>
      <c r="D126">
        <v>10.616028547286991</v>
      </c>
      <c r="E126">
        <v>1</v>
      </c>
      <c r="F126">
        <v>1</v>
      </c>
      <c r="G126">
        <v>1</v>
      </c>
      <c r="H126">
        <v>1</v>
      </c>
      <c r="I126">
        <v>1</v>
      </c>
      <c r="J126">
        <v>1</v>
      </c>
      <c r="K126">
        <v>1</v>
      </c>
      <c r="L126">
        <v>1</v>
      </c>
      <c r="M126">
        <v>1</v>
      </c>
      <c r="N126">
        <v>1</v>
      </c>
      <c r="O126">
        <v>1</v>
      </c>
    </row>
    <row r="127" spans="1:16" x14ac:dyDescent="0.25">
      <c r="A127" t="s">
        <v>143</v>
      </c>
      <c r="B127" t="s">
        <v>36</v>
      </c>
      <c r="C127">
        <v>0</v>
      </c>
      <c r="D127">
        <v>2.8536653518676758</v>
      </c>
      <c r="E127">
        <v>1</v>
      </c>
      <c r="F127">
        <v>1</v>
      </c>
      <c r="G127">
        <v>1</v>
      </c>
      <c r="H127">
        <v>1</v>
      </c>
      <c r="I127">
        <v>1</v>
      </c>
      <c r="J127">
        <v>1</v>
      </c>
      <c r="K127">
        <v>1</v>
      </c>
      <c r="L127">
        <v>1</v>
      </c>
      <c r="M127">
        <v>1</v>
      </c>
      <c r="N127">
        <v>1</v>
      </c>
      <c r="O127">
        <v>1</v>
      </c>
    </row>
    <row r="128" spans="1:16" x14ac:dyDescent="0.25">
      <c r="A128" t="s">
        <v>143</v>
      </c>
      <c r="B128" t="s">
        <v>38</v>
      </c>
      <c r="C128">
        <v>0</v>
      </c>
      <c r="D128">
        <v>10.349632978439329</v>
      </c>
      <c r="E128">
        <v>1</v>
      </c>
      <c r="F128">
        <v>1</v>
      </c>
      <c r="G128">
        <v>1</v>
      </c>
      <c r="H128">
        <v>1</v>
      </c>
      <c r="I128">
        <v>1</v>
      </c>
      <c r="J128">
        <v>1</v>
      </c>
      <c r="K128">
        <v>1</v>
      </c>
      <c r="L128">
        <v>1</v>
      </c>
      <c r="M128">
        <v>1</v>
      </c>
      <c r="N128">
        <v>1</v>
      </c>
      <c r="O128">
        <v>1</v>
      </c>
    </row>
    <row r="129" spans="1:16" x14ac:dyDescent="0.25">
      <c r="A129" t="s">
        <v>143</v>
      </c>
      <c r="B129" t="s">
        <v>40</v>
      </c>
      <c r="C129">
        <v>0</v>
      </c>
      <c r="D129">
        <v>9.4512293338775635</v>
      </c>
      <c r="E129">
        <v>1</v>
      </c>
      <c r="F129">
        <v>1</v>
      </c>
      <c r="G129">
        <v>1</v>
      </c>
      <c r="H129">
        <v>1</v>
      </c>
      <c r="I129">
        <v>1</v>
      </c>
      <c r="J129">
        <v>1</v>
      </c>
      <c r="K129">
        <v>1</v>
      </c>
      <c r="L129">
        <v>1</v>
      </c>
      <c r="M129">
        <v>1</v>
      </c>
      <c r="N129">
        <v>1</v>
      </c>
      <c r="O129">
        <v>1</v>
      </c>
    </row>
    <row r="130" spans="1:16" x14ac:dyDescent="0.25">
      <c r="A130" t="s">
        <v>143</v>
      </c>
      <c r="B130" t="s">
        <v>42</v>
      </c>
      <c r="C130">
        <v>0</v>
      </c>
      <c r="D130">
        <v>3.1031126976013179</v>
      </c>
      <c r="E130">
        <v>1</v>
      </c>
      <c r="F130">
        <v>1</v>
      </c>
      <c r="G130">
        <v>1</v>
      </c>
      <c r="H130">
        <v>1</v>
      </c>
      <c r="I130">
        <v>1</v>
      </c>
      <c r="J130">
        <v>1</v>
      </c>
      <c r="K130">
        <v>1</v>
      </c>
      <c r="L130">
        <v>1</v>
      </c>
      <c r="M130">
        <v>1</v>
      </c>
      <c r="N130">
        <v>1</v>
      </c>
      <c r="O130">
        <v>1</v>
      </c>
    </row>
    <row r="131" spans="1:16" x14ac:dyDescent="0.25">
      <c r="A131" t="s">
        <v>143</v>
      </c>
      <c r="B131" t="s">
        <v>43</v>
      </c>
      <c r="C131">
        <v>0</v>
      </c>
      <c r="D131">
        <v>2.850367546081543</v>
      </c>
      <c r="E131">
        <v>1</v>
      </c>
      <c r="F131">
        <v>1</v>
      </c>
      <c r="G131">
        <v>1</v>
      </c>
      <c r="H131">
        <v>1</v>
      </c>
      <c r="I131">
        <v>1</v>
      </c>
      <c r="J131">
        <v>1</v>
      </c>
      <c r="K131">
        <v>1</v>
      </c>
      <c r="L131">
        <v>1</v>
      </c>
      <c r="M131">
        <v>1</v>
      </c>
      <c r="N131">
        <v>1</v>
      </c>
      <c r="O131">
        <v>1</v>
      </c>
    </row>
    <row r="132" spans="1:16" x14ac:dyDescent="0.25">
      <c r="A132" t="s">
        <v>143</v>
      </c>
      <c r="B132" t="s">
        <v>44</v>
      </c>
      <c r="C132">
        <v>0</v>
      </c>
      <c r="D132">
        <v>11.811464786529539</v>
      </c>
      <c r="E132">
        <v>1</v>
      </c>
      <c r="F132">
        <v>1</v>
      </c>
      <c r="G132">
        <v>0</v>
      </c>
      <c r="H132" t="s">
        <v>20</v>
      </c>
      <c r="I132">
        <v>1</v>
      </c>
      <c r="J132">
        <v>1</v>
      </c>
      <c r="K132">
        <v>1</v>
      </c>
      <c r="L132">
        <v>1</v>
      </c>
      <c r="M132">
        <v>0</v>
      </c>
      <c r="N132">
        <v>1</v>
      </c>
      <c r="O132">
        <v>1</v>
      </c>
      <c r="P132" t="s">
        <v>336</v>
      </c>
    </row>
    <row r="133" spans="1:16" x14ac:dyDescent="0.25">
      <c r="A133" t="s">
        <v>143</v>
      </c>
      <c r="B133" t="s">
        <v>46</v>
      </c>
      <c r="C133">
        <v>0</v>
      </c>
      <c r="D133">
        <v>6.4746100902557373</v>
      </c>
      <c r="E133">
        <v>1</v>
      </c>
      <c r="F133">
        <v>1</v>
      </c>
      <c r="G133">
        <v>1</v>
      </c>
      <c r="H133">
        <v>1</v>
      </c>
      <c r="I133">
        <v>1</v>
      </c>
      <c r="J133">
        <v>1</v>
      </c>
      <c r="K133">
        <v>1</v>
      </c>
      <c r="L133">
        <v>1</v>
      </c>
      <c r="M133">
        <v>0</v>
      </c>
      <c r="N133">
        <v>1</v>
      </c>
      <c r="O133">
        <v>1</v>
      </c>
      <c r="P133" t="s">
        <v>337</v>
      </c>
    </row>
    <row r="134" spans="1:16" x14ac:dyDescent="0.25">
      <c r="A134" t="s">
        <v>143</v>
      </c>
      <c r="B134" t="s">
        <v>48</v>
      </c>
      <c r="C134">
        <v>0</v>
      </c>
      <c r="D134">
        <v>2.9564774036407471</v>
      </c>
      <c r="E134">
        <v>1</v>
      </c>
      <c r="F134">
        <v>1</v>
      </c>
      <c r="G134">
        <v>1</v>
      </c>
      <c r="H134">
        <v>1</v>
      </c>
      <c r="I134">
        <v>1</v>
      </c>
      <c r="J134">
        <v>1</v>
      </c>
      <c r="K134">
        <v>1</v>
      </c>
      <c r="L134">
        <v>1</v>
      </c>
      <c r="M134">
        <v>1</v>
      </c>
      <c r="N134">
        <v>1</v>
      </c>
      <c r="O134">
        <v>1</v>
      </c>
    </row>
    <row r="135" spans="1:16" x14ac:dyDescent="0.25">
      <c r="A135" t="s">
        <v>143</v>
      </c>
      <c r="B135" t="s">
        <v>50</v>
      </c>
      <c r="C135">
        <v>0</v>
      </c>
      <c r="D135">
        <v>12.57463407516479</v>
      </c>
      <c r="E135">
        <v>0</v>
      </c>
      <c r="F135" t="s">
        <v>20</v>
      </c>
      <c r="G135" t="s">
        <v>20</v>
      </c>
      <c r="H135" t="s">
        <v>20</v>
      </c>
      <c r="I135" t="s">
        <v>20</v>
      </c>
      <c r="J135" t="s">
        <v>20</v>
      </c>
      <c r="K135" t="s">
        <v>20</v>
      </c>
      <c r="L135" t="s">
        <v>20</v>
      </c>
      <c r="M135" t="s">
        <v>20</v>
      </c>
      <c r="N135" t="s">
        <v>20</v>
      </c>
      <c r="O135" t="s">
        <v>20</v>
      </c>
      <c r="P135" t="s">
        <v>338</v>
      </c>
    </row>
    <row r="136" spans="1:16" x14ac:dyDescent="0.25">
      <c r="A136" t="s">
        <v>143</v>
      </c>
      <c r="B136" t="s">
        <v>51</v>
      </c>
      <c r="C136">
        <v>0</v>
      </c>
      <c r="D136">
        <v>9.9309594631195068</v>
      </c>
      <c r="E136">
        <v>1</v>
      </c>
      <c r="F136">
        <v>1</v>
      </c>
      <c r="G136">
        <v>1</v>
      </c>
      <c r="H136">
        <v>1</v>
      </c>
      <c r="I136">
        <v>1</v>
      </c>
      <c r="J136">
        <v>1</v>
      </c>
      <c r="K136">
        <v>1</v>
      </c>
      <c r="L136">
        <v>1</v>
      </c>
      <c r="M136">
        <v>1</v>
      </c>
      <c r="N136">
        <v>1</v>
      </c>
      <c r="O136">
        <v>1</v>
      </c>
    </row>
    <row r="137" spans="1:16" x14ac:dyDescent="0.25">
      <c r="A137" t="s">
        <v>143</v>
      </c>
      <c r="B137" t="s">
        <v>52</v>
      </c>
      <c r="C137">
        <v>0</v>
      </c>
      <c r="D137">
        <v>9.3364434242248535</v>
      </c>
      <c r="E137">
        <v>1</v>
      </c>
      <c r="F137">
        <v>1</v>
      </c>
      <c r="G137">
        <v>1</v>
      </c>
      <c r="H137">
        <v>1</v>
      </c>
      <c r="I137">
        <v>1</v>
      </c>
      <c r="J137">
        <v>1</v>
      </c>
      <c r="K137">
        <v>1</v>
      </c>
      <c r="L137">
        <v>1</v>
      </c>
      <c r="M137">
        <v>1</v>
      </c>
      <c r="N137">
        <v>1</v>
      </c>
      <c r="O137">
        <v>1</v>
      </c>
    </row>
    <row r="138" spans="1:16" x14ac:dyDescent="0.25">
      <c r="A138" t="s">
        <v>143</v>
      </c>
      <c r="B138" t="s">
        <v>53</v>
      </c>
      <c r="C138">
        <v>0</v>
      </c>
      <c r="D138">
        <v>6.1732935905456543</v>
      </c>
      <c r="E138">
        <v>1</v>
      </c>
      <c r="F138">
        <v>0</v>
      </c>
      <c r="G138">
        <v>1</v>
      </c>
      <c r="H138" t="s">
        <v>20</v>
      </c>
      <c r="I138">
        <v>1</v>
      </c>
      <c r="J138" t="s">
        <v>20</v>
      </c>
      <c r="K138">
        <v>1</v>
      </c>
      <c r="L138">
        <v>1</v>
      </c>
      <c r="M138">
        <v>1</v>
      </c>
      <c r="N138">
        <v>1</v>
      </c>
      <c r="O138">
        <v>1</v>
      </c>
      <c r="P138" t="s">
        <v>339</v>
      </c>
    </row>
    <row r="139" spans="1:16" x14ac:dyDescent="0.25">
      <c r="A139" t="s">
        <v>143</v>
      </c>
      <c r="B139" t="s">
        <v>55</v>
      </c>
      <c r="C139">
        <v>0</v>
      </c>
      <c r="D139">
        <v>10.392081737518311</v>
      </c>
      <c r="E139">
        <v>1</v>
      </c>
      <c r="F139">
        <v>0</v>
      </c>
      <c r="G139">
        <v>1</v>
      </c>
      <c r="H139" t="s">
        <v>20</v>
      </c>
      <c r="I139">
        <v>1</v>
      </c>
      <c r="J139" t="s">
        <v>20</v>
      </c>
      <c r="K139">
        <v>1</v>
      </c>
      <c r="L139">
        <v>1</v>
      </c>
      <c r="M139">
        <v>1</v>
      </c>
      <c r="N139">
        <v>1</v>
      </c>
      <c r="O139">
        <v>1</v>
      </c>
      <c r="P139" t="s">
        <v>340</v>
      </c>
    </row>
    <row r="140" spans="1:16" x14ac:dyDescent="0.25">
      <c r="A140" t="s">
        <v>143</v>
      </c>
      <c r="B140" t="s">
        <v>57</v>
      </c>
      <c r="C140">
        <v>0</v>
      </c>
      <c r="D140">
        <v>2.841687679290771</v>
      </c>
      <c r="E140">
        <v>1</v>
      </c>
      <c r="F140">
        <v>1</v>
      </c>
      <c r="G140">
        <v>1</v>
      </c>
      <c r="H140">
        <v>1</v>
      </c>
      <c r="I140">
        <v>1</v>
      </c>
      <c r="J140">
        <v>1</v>
      </c>
      <c r="K140">
        <v>1</v>
      </c>
      <c r="L140">
        <v>1</v>
      </c>
      <c r="M140">
        <v>1</v>
      </c>
      <c r="N140">
        <v>1</v>
      </c>
      <c r="O140">
        <v>1</v>
      </c>
    </row>
    <row r="141" spans="1:16" x14ac:dyDescent="0.25">
      <c r="A141" t="s">
        <v>143</v>
      </c>
      <c r="B141" t="s">
        <v>59</v>
      </c>
      <c r="C141">
        <v>0</v>
      </c>
      <c r="D141">
        <v>10.074303865432739</v>
      </c>
      <c r="E141">
        <v>1</v>
      </c>
      <c r="F141">
        <v>1</v>
      </c>
      <c r="G141">
        <v>1</v>
      </c>
      <c r="H141">
        <v>1</v>
      </c>
      <c r="I141">
        <v>1</v>
      </c>
      <c r="J141">
        <v>1</v>
      </c>
      <c r="K141">
        <v>1</v>
      </c>
      <c r="L141">
        <v>1</v>
      </c>
      <c r="M141">
        <v>1</v>
      </c>
      <c r="N141">
        <v>1</v>
      </c>
      <c r="O141">
        <v>1</v>
      </c>
    </row>
    <row r="142" spans="1:16" x14ac:dyDescent="0.25">
      <c r="A142" t="s">
        <v>143</v>
      </c>
      <c r="B142" t="s">
        <v>61</v>
      </c>
      <c r="C142">
        <v>0</v>
      </c>
      <c r="D142">
        <v>2.861507892608643</v>
      </c>
      <c r="E142">
        <v>1</v>
      </c>
      <c r="F142">
        <v>1</v>
      </c>
      <c r="G142">
        <v>1</v>
      </c>
      <c r="H142">
        <v>1</v>
      </c>
      <c r="I142">
        <v>1</v>
      </c>
      <c r="J142">
        <v>1</v>
      </c>
      <c r="K142">
        <v>1</v>
      </c>
      <c r="L142">
        <v>1</v>
      </c>
      <c r="M142">
        <v>1</v>
      </c>
      <c r="N142">
        <v>1</v>
      </c>
      <c r="O142">
        <v>1</v>
      </c>
    </row>
    <row r="143" spans="1:16" x14ac:dyDescent="0.25">
      <c r="A143" t="s">
        <v>143</v>
      </c>
      <c r="B143" t="s">
        <v>63</v>
      </c>
      <c r="C143">
        <v>0</v>
      </c>
      <c r="D143">
        <v>7.1882796287536621</v>
      </c>
      <c r="E143">
        <v>1</v>
      </c>
      <c r="F143">
        <v>1</v>
      </c>
      <c r="G143">
        <v>1</v>
      </c>
      <c r="H143">
        <v>1</v>
      </c>
      <c r="I143">
        <v>1</v>
      </c>
      <c r="J143">
        <v>0</v>
      </c>
      <c r="K143">
        <v>0</v>
      </c>
      <c r="L143">
        <v>1</v>
      </c>
      <c r="M143">
        <v>1</v>
      </c>
      <c r="N143">
        <v>1</v>
      </c>
      <c r="O143">
        <v>1</v>
      </c>
      <c r="P143" t="s">
        <v>341</v>
      </c>
    </row>
    <row r="144" spans="1:16" x14ac:dyDescent="0.25">
      <c r="A144" t="s">
        <v>143</v>
      </c>
      <c r="B144" t="s">
        <v>65</v>
      </c>
      <c r="C144">
        <v>0</v>
      </c>
      <c r="D144">
        <v>9.7609720230102539</v>
      </c>
      <c r="E144">
        <v>1</v>
      </c>
      <c r="F144">
        <v>1</v>
      </c>
      <c r="G144">
        <v>1</v>
      </c>
      <c r="H144">
        <v>1</v>
      </c>
      <c r="I144">
        <v>1</v>
      </c>
      <c r="J144">
        <v>1</v>
      </c>
      <c r="K144">
        <v>1</v>
      </c>
      <c r="L144">
        <v>1</v>
      </c>
      <c r="M144">
        <v>1</v>
      </c>
      <c r="N144">
        <v>1</v>
      </c>
      <c r="O144">
        <v>1</v>
      </c>
    </row>
    <row r="145" spans="1:16" x14ac:dyDescent="0.25">
      <c r="A145" t="s">
        <v>143</v>
      </c>
      <c r="B145" t="s">
        <v>67</v>
      </c>
      <c r="C145">
        <v>0</v>
      </c>
      <c r="D145">
        <v>14.386284351348881</v>
      </c>
      <c r="E145">
        <v>0</v>
      </c>
      <c r="F145" t="s">
        <v>20</v>
      </c>
      <c r="G145" t="s">
        <v>20</v>
      </c>
      <c r="H145" t="s">
        <v>20</v>
      </c>
      <c r="I145" t="s">
        <v>20</v>
      </c>
      <c r="J145" t="s">
        <v>20</v>
      </c>
      <c r="K145" t="s">
        <v>20</v>
      </c>
      <c r="L145" t="s">
        <v>20</v>
      </c>
      <c r="M145" t="s">
        <v>20</v>
      </c>
      <c r="N145" t="s">
        <v>20</v>
      </c>
      <c r="O145" t="s">
        <v>20</v>
      </c>
      <c r="P145" t="s">
        <v>342</v>
      </c>
    </row>
    <row r="146" spans="1:16" x14ac:dyDescent="0.25">
      <c r="A146" t="s">
        <v>143</v>
      </c>
      <c r="B146" t="s">
        <v>69</v>
      </c>
      <c r="C146">
        <v>0</v>
      </c>
      <c r="D146">
        <v>8.5205440521240234</v>
      </c>
      <c r="E146">
        <v>1</v>
      </c>
      <c r="F146">
        <v>1</v>
      </c>
      <c r="G146">
        <v>1</v>
      </c>
      <c r="H146">
        <v>0</v>
      </c>
      <c r="I146">
        <v>1</v>
      </c>
      <c r="J146">
        <v>1</v>
      </c>
      <c r="K146">
        <v>0</v>
      </c>
      <c r="L146">
        <v>1</v>
      </c>
      <c r="M146">
        <v>1</v>
      </c>
      <c r="N146">
        <v>1</v>
      </c>
      <c r="O146">
        <v>1</v>
      </c>
      <c r="P146" t="s">
        <v>343</v>
      </c>
    </row>
    <row r="147" spans="1:16" x14ac:dyDescent="0.25">
      <c r="A147" t="s">
        <v>143</v>
      </c>
      <c r="B147" t="s">
        <v>71</v>
      </c>
      <c r="C147">
        <v>0</v>
      </c>
      <c r="D147">
        <v>5.0161538124084473</v>
      </c>
      <c r="E147">
        <v>1</v>
      </c>
      <c r="F147">
        <v>1</v>
      </c>
      <c r="G147">
        <v>1</v>
      </c>
      <c r="H147">
        <v>1</v>
      </c>
      <c r="I147">
        <v>1</v>
      </c>
      <c r="J147">
        <v>1</v>
      </c>
      <c r="K147">
        <v>0</v>
      </c>
      <c r="L147">
        <v>1</v>
      </c>
      <c r="M147">
        <v>1</v>
      </c>
      <c r="N147">
        <v>1</v>
      </c>
      <c r="O147">
        <v>1</v>
      </c>
      <c r="P147" t="s">
        <v>344</v>
      </c>
    </row>
    <row r="148" spans="1:16" x14ac:dyDescent="0.25">
      <c r="A148" t="s">
        <v>143</v>
      </c>
      <c r="B148" t="s">
        <v>72</v>
      </c>
      <c r="C148">
        <v>0</v>
      </c>
      <c r="D148">
        <v>2.8871617317199711</v>
      </c>
      <c r="E148">
        <v>1</v>
      </c>
      <c r="F148">
        <v>1</v>
      </c>
      <c r="G148">
        <v>1</v>
      </c>
      <c r="H148">
        <v>1</v>
      </c>
      <c r="I148">
        <v>1</v>
      </c>
      <c r="J148">
        <v>1</v>
      </c>
      <c r="K148">
        <v>1</v>
      </c>
      <c r="L148">
        <v>1</v>
      </c>
      <c r="M148">
        <v>1</v>
      </c>
      <c r="N148">
        <v>1</v>
      </c>
      <c r="O148">
        <v>1</v>
      </c>
    </row>
    <row r="149" spans="1:16" x14ac:dyDescent="0.25">
      <c r="A149" t="s">
        <v>143</v>
      </c>
      <c r="B149" t="s">
        <v>73</v>
      </c>
      <c r="C149">
        <v>0</v>
      </c>
      <c r="D149">
        <v>9.4488224983215332</v>
      </c>
      <c r="E149">
        <v>1</v>
      </c>
      <c r="F149">
        <v>1</v>
      </c>
      <c r="G149">
        <v>1</v>
      </c>
      <c r="H149">
        <v>1</v>
      </c>
      <c r="I149">
        <v>1</v>
      </c>
      <c r="J149">
        <v>1</v>
      </c>
      <c r="K149">
        <v>1</v>
      </c>
      <c r="L149">
        <v>1</v>
      </c>
      <c r="M149">
        <v>1</v>
      </c>
      <c r="N149">
        <v>1</v>
      </c>
      <c r="O149">
        <v>1</v>
      </c>
    </row>
    <row r="150" spans="1:16" x14ac:dyDescent="0.25">
      <c r="A150" t="s">
        <v>143</v>
      </c>
      <c r="B150" t="s">
        <v>75</v>
      </c>
      <c r="C150">
        <v>0</v>
      </c>
      <c r="D150">
        <v>12.00232458114624</v>
      </c>
      <c r="E150">
        <v>1</v>
      </c>
      <c r="F150">
        <v>1</v>
      </c>
      <c r="G150">
        <v>0</v>
      </c>
      <c r="H150" t="s">
        <v>20</v>
      </c>
      <c r="I150">
        <v>1</v>
      </c>
      <c r="J150">
        <v>1</v>
      </c>
      <c r="K150">
        <v>1</v>
      </c>
      <c r="L150">
        <v>1</v>
      </c>
      <c r="M150">
        <v>1</v>
      </c>
      <c r="N150">
        <v>1</v>
      </c>
      <c r="O150">
        <v>1</v>
      </c>
      <c r="P150" t="s">
        <v>345</v>
      </c>
    </row>
    <row r="151" spans="1:16" x14ac:dyDescent="0.25">
      <c r="A151" t="s">
        <v>143</v>
      </c>
      <c r="B151" t="s">
        <v>77</v>
      </c>
      <c r="C151">
        <v>0</v>
      </c>
      <c r="D151">
        <v>9.7529811859130859</v>
      </c>
      <c r="E151">
        <v>1</v>
      </c>
      <c r="F151">
        <v>1</v>
      </c>
      <c r="G151">
        <v>0</v>
      </c>
      <c r="H151" t="s">
        <v>20</v>
      </c>
      <c r="I151">
        <v>1</v>
      </c>
      <c r="J151">
        <v>1</v>
      </c>
      <c r="K151">
        <v>1</v>
      </c>
      <c r="L151">
        <v>1</v>
      </c>
      <c r="M151">
        <v>1</v>
      </c>
      <c r="N151">
        <v>1</v>
      </c>
      <c r="O151">
        <v>1</v>
      </c>
      <c r="P151" t="s">
        <v>346</v>
      </c>
    </row>
    <row r="152" spans="1:16" x14ac:dyDescent="0.25">
      <c r="A152" t="s">
        <v>143</v>
      </c>
      <c r="B152" t="s">
        <v>78</v>
      </c>
      <c r="C152">
        <v>0</v>
      </c>
      <c r="D152">
        <v>8.3170266151428223</v>
      </c>
      <c r="E152">
        <v>0</v>
      </c>
      <c r="F152" t="s">
        <v>20</v>
      </c>
      <c r="G152" t="s">
        <v>20</v>
      </c>
      <c r="H152" t="s">
        <v>20</v>
      </c>
      <c r="I152" t="s">
        <v>20</v>
      </c>
      <c r="J152" t="s">
        <v>20</v>
      </c>
      <c r="K152" t="s">
        <v>20</v>
      </c>
      <c r="L152" t="s">
        <v>20</v>
      </c>
      <c r="M152" t="s">
        <v>20</v>
      </c>
      <c r="N152" t="s">
        <v>20</v>
      </c>
      <c r="O152" t="s">
        <v>20</v>
      </c>
      <c r="P152" t="s">
        <v>347</v>
      </c>
    </row>
    <row r="153" spans="1:16" x14ac:dyDescent="0.25">
      <c r="A153" t="s">
        <v>143</v>
      </c>
      <c r="B153" t="s">
        <v>80</v>
      </c>
      <c r="C153">
        <v>0</v>
      </c>
      <c r="D153">
        <v>5.444608211517334</v>
      </c>
      <c r="E153">
        <v>1</v>
      </c>
      <c r="F153">
        <v>1</v>
      </c>
      <c r="G153">
        <v>1</v>
      </c>
      <c r="H153">
        <v>0</v>
      </c>
      <c r="I153">
        <v>1</v>
      </c>
      <c r="J153">
        <v>1</v>
      </c>
      <c r="K153">
        <v>1</v>
      </c>
      <c r="L153">
        <v>1</v>
      </c>
      <c r="M153">
        <v>1</v>
      </c>
      <c r="N153">
        <v>1</v>
      </c>
      <c r="O153">
        <v>1</v>
      </c>
      <c r="P153" t="s">
        <v>348</v>
      </c>
    </row>
    <row r="154" spans="1:16" x14ac:dyDescent="0.25">
      <c r="A154" t="s">
        <v>143</v>
      </c>
      <c r="B154" t="s">
        <v>82</v>
      </c>
      <c r="C154">
        <v>0</v>
      </c>
      <c r="D154">
        <v>2.660785436630249</v>
      </c>
      <c r="E154">
        <v>1</v>
      </c>
      <c r="F154">
        <v>1</v>
      </c>
      <c r="G154">
        <v>1</v>
      </c>
      <c r="H154">
        <v>1</v>
      </c>
      <c r="I154">
        <v>1</v>
      </c>
      <c r="J154">
        <v>1</v>
      </c>
      <c r="K154">
        <v>1</v>
      </c>
      <c r="L154">
        <v>1</v>
      </c>
      <c r="M154">
        <v>1</v>
      </c>
      <c r="N154">
        <v>1</v>
      </c>
      <c r="O154">
        <v>1</v>
      </c>
    </row>
    <row r="155" spans="1:16" x14ac:dyDescent="0.25">
      <c r="A155" t="s">
        <v>143</v>
      </c>
      <c r="B155" t="s">
        <v>84</v>
      </c>
      <c r="C155">
        <v>0</v>
      </c>
      <c r="D155">
        <v>10.16819262504578</v>
      </c>
      <c r="E155">
        <v>1</v>
      </c>
      <c r="F155">
        <v>1</v>
      </c>
      <c r="G155">
        <v>1</v>
      </c>
      <c r="H155">
        <v>1</v>
      </c>
      <c r="I155">
        <v>1</v>
      </c>
      <c r="J155">
        <v>1</v>
      </c>
      <c r="K155">
        <v>1</v>
      </c>
      <c r="L155">
        <v>1</v>
      </c>
      <c r="M155">
        <v>1</v>
      </c>
      <c r="N155">
        <v>1</v>
      </c>
      <c r="O155">
        <v>1</v>
      </c>
    </row>
    <row r="156" spans="1:16" x14ac:dyDescent="0.25">
      <c r="A156" t="s">
        <v>143</v>
      </c>
      <c r="B156" t="s">
        <v>85</v>
      </c>
      <c r="C156">
        <v>0</v>
      </c>
      <c r="D156">
        <v>13.08073401451111</v>
      </c>
      <c r="E156">
        <v>1</v>
      </c>
      <c r="F156">
        <v>1</v>
      </c>
      <c r="G156">
        <v>1</v>
      </c>
      <c r="H156">
        <v>1</v>
      </c>
      <c r="I156">
        <v>1</v>
      </c>
      <c r="J156">
        <v>0</v>
      </c>
      <c r="K156">
        <v>1</v>
      </c>
      <c r="L156">
        <v>1</v>
      </c>
      <c r="M156">
        <v>1</v>
      </c>
      <c r="N156">
        <v>1</v>
      </c>
      <c r="O156">
        <v>1</v>
      </c>
      <c r="P156" t="s">
        <v>349</v>
      </c>
    </row>
    <row r="157" spans="1:16" x14ac:dyDescent="0.25">
      <c r="A157" t="s">
        <v>143</v>
      </c>
      <c r="B157" t="s">
        <v>87</v>
      </c>
      <c r="C157">
        <v>0</v>
      </c>
      <c r="D157">
        <v>5.5026984214782706</v>
      </c>
      <c r="E157">
        <v>1</v>
      </c>
      <c r="F157">
        <v>1</v>
      </c>
      <c r="G157">
        <v>0</v>
      </c>
      <c r="H157" t="s">
        <v>20</v>
      </c>
      <c r="I157">
        <v>1</v>
      </c>
      <c r="J157">
        <v>1</v>
      </c>
      <c r="K157">
        <v>1</v>
      </c>
      <c r="L157">
        <v>1</v>
      </c>
      <c r="M157">
        <v>1</v>
      </c>
      <c r="N157">
        <v>1</v>
      </c>
      <c r="O157">
        <v>1</v>
      </c>
      <c r="P157" t="s">
        <v>350</v>
      </c>
    </row>
    <row r="158" spans="1:16" x14ac:dyDescent="0.25">
      <c r="A158" t="s">
        <v>143</v>
      </c>
      <c r="B158" t="s">
        <v>89</v>
      </c>
      <c r="C158">
        <v>0</v>
      </c>
      <c r="D158">
        <v>5.1283519268035889</v>
      </c>
      <c r="E158">
        <v>1</v>
      </c>
      <c r="F158">
        <v>1</v>
      </c>
      <c r="G158">
        <v>1</v>
      </c>
      <c r="H158">
        <v>1</v>
      </c>
      <c r="I158">
        <v>1</v>
      </c>
      <c r="J158">
        <v>0</v>
      </c>
      <c r="K158">
        <v>1</v>
      </c>
      <c r="L158">
        <v>1</v>
      </c>
      <c r="M158">
        <v>1</v>
      </c>
      <c r="N158">
        <v>1</v>
      </c>
      <c r="O158">
        <v>1</v>
      </c>
      <c r="P158" t="s">
        <v>351</v>
      </c>
    </row>
    <row r="159" spans="1:16" x14ac:dyDescent="0.25">
      <c r="A159" t="s">
        <v>143</v>
      </c>
      <c r="B159" t="s">
        <v>91</v>
      </c>
      <c r="C159">
        <v>0</v>
      </c>
      <c r="D159">
        <v>13.45523428916931</v>
      </c>
      <c r="E159">
        <v>1</v>
      </c>
      <c r="F159">
        <v>1</v>
      </c>
      <c r="G159">
        <v>1</v>
      </c>
      <c r="H159">
        <v>1</v>
      </c>
      <c r="I159">
        <v>1</v>
      </c>
      <c r="J159">
        <v>0</v>
      </c>
      <c r="K159">
        <v>1</v>
      </c>
      <c r="L159">
        <v>1</v>
      </c>
      <c r="M159">
        <v>1</v>
      </c>
      <c r="N159">
        <v>1</v>
      </c>
      <c r="O159">
        <v>1</v>
      </c>
      <c r="P159" t="s">
        <v>352</v>
      </c>
    </row>
    <row r="160" spans="1:16" x14ac:dyDescent="0.25">
      <c r="A160" t="s">
        <v>143</v>
      </c>
      <c r="B160" t="s">
        <v>92</v>
      </c>
      <c r="C160">
        <v>0</v>
      </c>
      <c r="D160">
        <v>12.780693531036381</v>
      </c>
      <c r="E160">
        <v>1</v>
      </c>
      <c r="F160">
        <v>1</v>
      </c>
      <c r="G160">
        <v>1</v>
      </c>
      <c r="H160">
        <v>0</v>
      </c>
      <c r="I160">
        <v>1</v>
      </c>
      <c r="J160">
        <v>0</v>
      </c>
      <c r="K160">
        <v>1</v>
      </c>
      <c r="L160">
        <v>1</v>
      </c>
      <c r="M160">
        <v>1</v>
      </c>
      <c r="N160">
        <v>1</v>
      </c>
      <c r="O160">
        <v>1</v>
      </c>
      <c r="P160" t="s">
        <v>353</v>
      </c>
    </row>
    <row r="161" spans="1:16" x14ac:dyDescent="0.25">
      <c r="A161" t="s">
        <v>143</v>
      </c>
      <c r="B161" t="s">
        <v>94</v>
      </c>
      <c r="C161">
        <v>0</v>
      </c>
      <c r="D161">
        <v>13.530673027038571</v>
      </c>
      <c r="E161">
        <v>1</v>
      </c>
      <c r="F161">
        <v>1</v>
      </c>
      <c r="G161">
        <v>1</v>
      </c>
      <c r="H161">
        <v>1</v>
      </c>
      <c r="I161">
        <v>1</v>
      </c>
      <c r="J161">
        <v>0</v>
      </c>
      <c r="K161">
        <v>1</v>
      </c>
      <c r="L161">
        <v>1</v>
      </c>
      <c r="M161">
        <v>1</v>
      </c>
      <c r="N161">
        <v>1</v>
      </c>
      <c r="O161">
        <v>1</v>
      </c>
      <c r="P161" t="s">
        <v>354</v>
      </c>
    </row>
    <row r="162" spans="1:16" x14ac:dyDescent="0.25">
      <c r="A162" t="s">
        <v>143</v>
      </c>
      <c r="B162" t="s">
        <v>95</v>
      </c>
      <c r="C162">
        <v>0</v>
      </c>
      <c r="D162">
        <v>6.1574854850769043</v>
      </c>
      <c r="E162">
        <v>1</v>
      </c>
      <c r="F162">
        <v>1</v>
      </c>
      <c r="G162">
        <v>1</v>
      </c>
      <c r="H162">
        <v>1</v>
      </c>
      <c r="I162">
        <v>1</v>
      </c>
      <c r="J162">
        <v>0</v>
      </c>
      <c r="K162">
        <v>1</v>
      </c>
      <c r="L162">
        <v>1</v>
      </c>
      <c r="M162">
        <v>1</v>
      </c>
      <c r="N162">
        <v>1</v>
      </c>
      <c r="O162">
        <v>1</v>
      </c>
      <c r="P162" t="s">
        <v>355</v>
      </c>
    </row>
    <row r="163" spans="1:16" x14ac:dyDescent="0.25">
      <c r="A163" t="s">
        <v>143</v>
      </c>
      <c r="B163" t="s">
        <v>121</v>
      </c>
      <c r="C163">
        <v>0</v>
      </c>
      <c r="D163">
        <v>8.209195613861084</v>
      </c>
      <c r="E163">
        <v>1</v>
      </c>
      <c r="F163">
        <v>1</v>
      </c>
      <c r="G163">
        <v>1</v>
      </c>
      <c r="H163">
        <v>1</v>
      </c>
      <c r="I163">
        <v>1</v>
      </c>
      <c r="J163">
        <v>0</v>
      </c>
      <c r="K163">
        <v>1</v>
      </c>
      <c r="L163">
        <v>1</v>
      </c>
      <c r="M163">
        <v>1</v>
      </c>
      <c r="N163">
        <v>1</v>
      </c>
      <c r="O163">
        <v>1</v>
      </c>
      <c r="P163" t="s">
        <v>356</v>
      </c>
    </row>
    <row r="164" spans="1:16" x14ac:dyDescent="0.25">
      <c r="A164" t="s">
        <v>143</v>
      </c>
      <c r="B164" t="s">
        <v>122</v>
      </c>
      <c r="C164">
        <v>0</v>
      </c>
      <c r="D164">
        <v>9.1299774646759033</v>
      </c>
      <c r="E164">
        <v>1</v>
      </c>
      <c r="F164">
        <v>1</v>
      </c>
      <c r="G164">
        <v>1</v>
      </c>
      <c r="H164">
        <v>1</v>
      </c>
      <c r="I164">
        <v>1</v>
      </c>
      <c r="J164">
        <v>1</v>
      </c>
      <c r="K164">
        <v>1</v>
      </c>
      <c r="L164">
        <v>1</v>
      </c>
      <c r="M164">
        <v>1</v>
      </c>
      <c r="N164">
        <v>1</v>
      </c>
      <c r="O164">
        <v>1</v>
      </c>
    </row>
    <row r="165" spans="1:16" x14ac:dyDescent="0.25">
      <c r="A165" t="s">
        <v>143</v>
      </c>
      <c r="B165" t="s">
        <v>124</v>
      </c>
      <c r="C165">
        <v>0</v>
      </c>
      <c r="D165">
        <v>7.2897706031799316</v>
      </c>
      <c r="E165">
        <v>1</v>
      </c>
      <c r="F165">
        <v>0</v>
      </c>
      <c r="G165">
        <v>1</v>
      </c>
      <c r="H165" t="s">
        <v>20</v>
      </c>
      <c r="I165">
        <v>1</v>
      </c>
      <c r="J165" t="s">
        <v>20</v>
      </c>
      <c r="K165">
        <v>0</v>
      </c>
      <c r="L165">
        <v>1</v>
      </c>
      <c r="M165">
        <v>1</v>
      </c>
      <c r="N165">
        <v>1</v>
      </c>
      <c r="O165">
        <v>1</v>
      </c>
      <c r="P165" t="s">
        <v>357</v>
      </c>
    </row>
    <row r="166" spans="1:16" x14ac:dyDescent="0.25">
      <c r="A166" t="s">
        <v>143</v>
      </c>
      <c r="B166" t="s">
        <v>126</v>
      </c>
      <c r="C166">
        <v>0</v>
      </c>
      <c r="D166">
        <v>2.8670296669006352</v>
      </c>
      <c r="E166">
        <v>1</v>
      </c>
      <c r="F166">
        <v>1</v>
      </c>
      <c r="G166">
        <v>1</v>
      </c>
      <c r="H166">
        <v>1</v>
      </c>
      <c r="I166">
        <v>1</v>
      </c>
      <c r="J166">
        <v>1</v>
      </c>
      <c r="K166">
        <v>1</v>
      </c>
      <c r="L166">
        <v>1</v>
      </c>
      <c r="M166">
        <v>1</v>
      </c>
      <c r="N166">
        <v>1</v>
      </c>
      <c r="O166">
        <v>1</v>
      </c>
    </row>
    <row r="167" spans="1:16" x14ac:dyDescent="0.25">
      <c r="A167" t="s">
        <v>143</v>
      </c>
      <c r="B167" t="s">
        <v>127</v>
      </c>
      <c r="C167">
        <v>0</v>
      </c>
      <c r="D167">
        <v>10.61990261077881</v>
      </c>
      <c r="E167">
        <v>1</v>
      </c>
      <c r="F167">
        <v>1</v>
      </c>
      <c r="G167">
        <v>1</v>
      </c>
      <c r="H167">
        <v>1</v>
      </c>
      <c r="I167">
        <v>1</v>
      </c>
      <c r="J167">
        <v>0</v>
      </c>
      <c r="K167">
        <v>1</v>
      </c>
      <c r="L167">
        <v>1</v>
      </c>
      <c r="M167">
        <v>1</v>
      </c>
      <c r="N167">
        <v>1</v>
      </c>
      <c r="O167">
        <v>1</v>
      </c>
      <c r="P167" t="s">
        <v>358</v>
      </c>
    </row>
    <row r="168" spans="1:16" x14ac:dyDescent="0.25">
      <c r="A168" t="s">
        <v>143</v>
      </c>
      <c r="B168" t="s">
        <v>129</v>
      </c>
      <c r="C168">
        <v>0</v>
      </c>
      <c r="D168">
        <v>4.9313883781433114</v>
      </c>
      <c r="E168">
        <v>1</v>
      </c>
      <c r="F168">
        <v>1</v>
      </c>
      <c r="G168">
        <v>1</v>
      </c>
      <c r="H168">
        <v>1</v>
      </c>
      <c r="I168">
        <v>1</v>
      </c>
      <c r="J168">
        <v>0</v>
      </c>
      <c r="K168">
        <v>1</v>
      </c>
      <c r="L168">
        <v>1</v>
      </c>
      <c r="M168">
        <v>1</v>
      </c>
      <c r="N168">
        <v>1</v>
      </c>
      <c r="O168">
        <v>1</v>
      </c>
      <c r="P168" t="s">
        <v>359</v>
      </c>
    </row>
    <row r="169" spans="1:16" x14ac:dyDescent="0.25">
      <c r="A169" t="s">
        <v>143</v>
      </c>
      <c r="B169" t="s">
        <v>131</v>
      </c>
      <c r="C169">
        <v>0</v>
      </c>
      <c r="D169">
        <v>11.14864802360535</v>
      </c>
      <c r="E169">
        <v>0</v>
      </c>
      <c r="F169" t="s">
        <v>20</v>
      </c>
      <c r="G169" t="s">
        <v>20</v>
      </c>
      <c r="H169" t="s">
        <v>20</v>
      </c>
      <c r="I169" t="s">
        <v>20</v>
      </c>
      <c r="J169" t="s">
        <v>20</v>
      </c>
      <c r="K169" t="s">
        <v>20</v>
      </c>
      <c r="L169" t="s">
        <v>20</v>
      </c>
      <c r="M169" t="s">
        <v>20</v>
      </c>
      <c r="N169" t="s">
        <v>20</v>
      </c>
      <c r="O169" t="s">
        <v>20</v>
      </c>
      <c r="P169" t="s">
        <v>360</v>
      </c>
    </row>
    <row r="170" spans="1:16" x14ac:dyDescent="0.25">
      <c r="A170" t="s">
        <v>143</v>
      </c>
      <c r="B170" t="s">
        <v>133</v>
      </c>
      <c r="C170">
        <v>0</v>
      </c>
      <c r="D170">
        <v>5.2450382709503174</v>
      </c>
      <c r="E170">
        <v>1</v>
      </c>
      <c r="F170">
        <v>1</v>
      </c>
      <c r="G170">
        <v>1</v>
      </c>
      <c r="H170">
        <v>0</v>
      </c>
      <c r="I170">
        <v>1</v>
      </c>
      <c r="J170">
        <v>1</v>
      </c>
      <c r="K170">
        <v>1</v>
      </c>
      <c r="L170">
        <v>1</v>
      </c>
      <c r="M170">
        <v>1</v>
      </c>
      <c r="N170">
        <v>1</v>
      </c>
      <c r="O170">
        <v>1</v>
      </c>
      <c r="P170" t="s">
        <v>361</v>
      </c>
    </row>
    <row r="171" spans="1:16" x14ac:dyDescent="0.25">
      <c r="A171" t="s">
        <v>143</v>
      </c>
      <c r="B171" t="s">
        <v>135</v>
      </c>
      <c r="C171">
        <v>0</v>
      </c>
      <c r="D171">
        <v>2.8483715057373051</v>
      </c>
      <c r="E171">
        <v>1</v>
      </c>
      <c r="F171">
        <v>1</v>
      </c>
      <c r="G171">
        <v>1</v>
      </c>
      <c r="H171">
        <v>1</v>
      </c>
      <c r="I171">
        <v>1</v>
      </c>
      <c r="J171">
        <v>1</v>
      </c>
      <c r="K171">
        <v>1</v>
      </c>
      <c r="L171">
        <v>1</v>
      </c>
      <c r="M171">
        <v>1</v>
      </c>
      <c r="N171">
        <v>1</v>
      </c>
      <c r="O171">
        <v>1</v>
      </c>
    </row>
    <row r="172" spans="1:16" x14ac:dyDescent="0.25">
      <c r="A172" t="s">
        <v>143</v>
      </c>
      <c r="B172" t="s">
        <v>136</v>
      </c>
      <c r="C172">
        <v>0</v>
      </c>
      <c r="D172">
        <v>10.395691156387331</v>
      </c>
      <c r="E172">
        <v>0</v>
      </c>
      <c r="F172" t="s">
        <v>20</v>
      </c>
      <c r="G172" t="s">
        <v>20</v>
      </c>
      <c r="H172" t="s">
        <v>20</v>
      </c>
      <c r="I172" t="s">
        <v>20</v>
      </c>
      <c r="J172" t="s">
        <v>20</v>
      </c>
      <c r="K172" t="s">
        <v>20</v>
      </c>
      <c r="L172" t="s">
        <v>20</v>
      </c>
      <c r="M172" t="s">
        <v>20</v>
      </c>
      <c r="N172" t="s">
        <v>20</v>
      </c>
      <c r="O172" t="s">
        <v>20</v>
      </c>
      <c r="P172" t="s">
        <v>362</v>
      </c>
    </row>
    <row r="173" spans="1:16" x14ac:dyDescent="0.25">
      <c r="A173" t="s">
        <v>143</v>
      </c>
      <c r="B173" t="s">
        <v>137</v>
      </c>
      <c r="C173">
        <v>0</v>
      </c>
      <c r="D173">
        <v>2.9753446578979492</v>
      </c>
      <c r="E173">
        <v>1</v>
      </c>
      <c r="F173">
        <v>1</v>
      </c>
      <c r="G173">
        <v>1</v>
      </c>
      <c r="H173">
        <v>1</v>
      </c>
      <c r="I173">
        <v>1</v>
      </c>
      <c r="J173">
        <v>1</v>
      </c>
      <c r="K173">
        <v>1</v>
      </c>
      <c r="L173">
        <v>1</v>
      </c>
      <c r="M173">
        <v>1</v>
      </c>
      <c r="N173">
        <v>1</v>
      </c>
      <c r="O173">
        <v>1</v>
      </c>
    </row>
    <row r="174" spans="1:16" x14ac:dyDescent="0.25">
      <c r="A174" t="s">
        <v>143</v>
      </c>
      <c r="B174" t="s">
        <v>138</v>
      </c>
      <c r="C174">
        <v>0</v>
      </c>
      <c r="D174">
        <v>2.9480972290039058</v>
      </c>
      <c r="E174">
        <v>1</v>
      </c>
      <c r="F174">
        <v>1</v>
      </c>
      <c r="G174">
        <v>1</v>
      </c>
      <c r="H174">
        <v>1</v>
      </c>
      <c r="I174">
        <v>1</v>
      </c>
      <c r="J174">
        <v>1</v>
      </c>
      <c r="K174">
        <v>1</v>
      </c>
      <c r="L174">
        <v>1</v>
      </c>
      <c r="M174">
        <v>1</v>
      </c>
      <c r="N174">
        <v>1</v>
      </c>
      <c r="O174">
        <v>1</v>
      </c>
    </row>
    <row r="175" spans="1:16" x14ac:dyDescent="0.25">
      <c r="A175" t="s">
        <v>143</v>
      </c>
      <c r="B175" t="s">
        <v>140</v>
      </c>
      <c r="C175">
        <v>0</v>
      </c>
      <c r="D175">
        <v>12.33326578140259</v>
      </c>
      <c r="E175">
        <v>1</v>
      </c>
      <c r="F175">
        <v>1</v>
      </c>
      <c r="G175">
        <v>1</v>
      </c>
      <c r="H175">
        <v>1</v>
      </c>
      <c r="I175">
        <v>1</v>
      </c>
      <c r="J175">
        <v>0</v>
      </c>
      <c r="K175">
        <v>1</v>
      </c>
      <c r="L175">
        <v>1</v>
      </c>
      <c r="M175">
        <v>1</v>
      </c>
      <c r="N175">
        <v>1</v>
      </c>
      <c r="O175">
        <v>1</v>
      </c>
      <c r="P175" t="s">
        <v>363</v>
      </c>
    </row>
    <row r="176" spans="1:16" x14ac:dyDescent="0.25">
      <c r="A176" t="s">
        <v>143</v>
      </c>
      <c r="B176" t="s">
        <v>141</v>
      </c>
      <c r="C176">
        <v>0</v>
      </c>
      <c r="D176">
        <v>5.5201423168182373</v>
      </c>
      <c r="E176">
        <v>1</v>
      </c>
      <c r="F176">
        <v>1</v>
      </c>
      <c r="G176">
        <v>1</v>
      </c>
      <c r="H176">
        <v>1</v>
      </c>
      <c r="I176">
        <v>1</v>
      </c>
      <c r="J176">
        <v>0</v>
      </c>
      <c r="K176">
        <v>1</v>
      </c>
      <c r="L176">
        <v>1</v>
      </c>
      <c r="M176">
        <v>1</v>
      </c>
      <c r="N176">
        <v>1</v>
      </c>
      <c r="O176">
        <v>1</v>
      </c>
      <c r="P176" t="s">
        <v>364</v>
      </c>
    </row>
    <row r="177" spans="1:16" x14ac:dyDescent="0.25">
      <c r="A177" t="s">
        <v>143</v>
      </c>
      <c r="B177" t="s">
        <v>180</v>
      </c>
      <c r="C177">
        <v>0</v>
      </c>
      <c r="D177">
        <v>5.1231534481048584</v>
      </c>
      <c r="E177">
        <v>1</v>
      </c>
      <c r="F177">
        <v>1</v>
      </c>
      <c r="G177">
        <v>1</v>
      </c>
      <c r="H177">
        <v>1</v>
      </c>
      <c r="I177">
        <v>1</v>
      </c>
      <c r="J177">
        <v>0</v>
      </c>
      <c r="K177">
        <v>1</v>
      </c>
      <c r="L177">
        <v>1</v>
      </c>
      <c r="M177">
        <v>1</v>
      </c>
      <c r="N177">
        <v>1</v>
      </c>
      <c r="O177">
        <v>1</v>
      </c>
      <c r="P177" t="s">
        <v>365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77"/>
  <sheetViews>
    <sheetView topLeftCell="A40" workbookViewId="0">
      <selection activeCell="F27" sqref="F27"/>
    </sheetView>
  </sheetViews>
  <sheetFormatPr defaultRowHeight="13.8" x14ac:dyDescent="0.25"/>
  <cols>
    <col min="2" max="2" width="1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2.7721302509307861</v>
      </c>
      <c r="E2">
        <v>1</v>
      </c>
      <c r="F2">
        <v>1</v>
      </c>
      <c r="G2">
        <v>1</v>
      </c>
      <c r="H2">
        <v>1</v>
      </c>
      <c r="I2">
        <v>1</v>
      </c>
      <c r="J2">
        <v>1</v>
      </c>
      <c r="K2">
        <v>1</v>
      </c>
      <c r="L2">
        <v>1</v>
      </c>
      <c r="M2">
        <v>1</v>
      </c>
      <c r="N2">
        <v>1</v>
      </c>
      <c r="O2">
        <v>1</v>
      </c>
    </row>
    <row r="3" spans="1:16" x14ac:dyDescent="0.25">
      <c r="A3" t="s">
        <v>16</v>
      </c>
      <c r="B3" t="s">
        <v>18</v>
      </c>
      <c r="C3">
        <v>0</v>
      </c>
      <c r="D3">
        <v>10.24150776863098</v>
      </c>
      <c r="E3">
        <v>1</v>
      </c>
      <c r="F3">
        <v>1</v>
      </c>
      <c r="G3">
        <v>1</v>
      </c>
      <c r="H3">
        <v>1</v>
      </c>
      <c r="I3">
        <v>1</v>
      </c>
      <c r="J3">
        <v>1</v>
      </c>
      <c r="K3">
        <v>1</v>
      </c>
      <c r="L3">
        <v>1</v>
      </c>
      <c r="M3">
        <v>1</v>
      </c>
      <c r="N3">
        <v>1</v>
      </c>
      <c r="O3">
        <v>1</v>
      </c>
    </row>
    <row r="4" spans="1:16" x14ac:dyDescent="0.25">
      <c r="A4" t="s">
        <v>16</v>
      </c>
      <c r="B4" t="s">
        <v>19</v>
      </c>
      <c r="C4">
        <v>0</v>
      </c>
      <c r="D4">
        <v>2.6927347183227539</v>
      </c>
      <c r="E4">
        <v>1</v>
      </c>
      <c r="F4">
        <v>1</v>
      </c>
      <c r="G4">
        <v>1</v>
      </c>
      <c r="H4">
        <v>1</v>
      </c>
      <c r="I4">
        <v>1</v>
      </c>
      <c r="J4">
        <v>1</v>
      </c>
      <c r="K4">
        <v>1</v>
      </c>
      <c r="L4">
        <v>1</v>
      </c>
      <c r="M4">
        <v>1</v>
      </c>
      <c r="N4">
        <v>1</v>
      </c>
      <c r="O4">
        <v>1</v>
      </c>
    </row>
    <row r="5" spans="1:16" x14ac:dyDescent="0.25">
      <c r="A5" t="s">
        <v>16</v>
      </c>
      <c r="B5" t="s">
        <v>22</v>
      </c>
      <c r="C5">
        <v>0</v>
      </c>
      <c r="D5">
        <v>9.7683601379394531</v>
      </c>
      <c r="E5">
        <v>1</v>
      </c>
      <c r="F5">
        <v>1</v>
      </c>
      <c r="G5">
        <v>1</v>
      </c>
      <c r="H5">
        <v>1</v>
      </c>
      <c r="I5">
        <v>1</v>
      </c>
      <c r="J5">
        <v>1</v>
      </c>
      <c r="K5">
        <v>1</v>
      </c>
      <c r="L5">
        <v>1</v>
      </c>
      <c r="M5">
        <v>1</v>
      </c>
      <c r="N5">
        <v>1</v>
      </c>
      <c r="O5">
        <v>1</v>
      </c>
    </row>
    <row r="6" spans="1:16" x14ac:dyDescent="0.25">
      <c r="A6" t="s">
        <v>16</v>
      </c>
      <c r="B6" t="s">
        <v>24</v>
      </c>
      <c r="C6">
        <v>0</v>
      </c>
      <c r="D6">
        <v>10.422423601150509</v>
      </c>
      <c r="E6">
        <v>1</v>
      </c>
      <c r="F6">
        <v>1</v>
      </c>
      <c r="G6">
        <v>1</v>
      </c>
      <c r="H6">
        <v>0</v>
      </c>
      <c r="I6">
        <v>1</v>
      </c>
      <c r="J6">
        <v>1</v>
      </c>
      <c r="K6">
        <v>1</v>
      </c>
      <c r="L6">
        <v>1</v>
      </c>
      <c r="M6">
        <v>1</v>
      </c>
      <c r="N6">
        <v>1</v>
      </c>
      <c r="O6">
        <v>1</v>
      </c>
      <c r="P6" t="s">
        <v>366</v>
      </c>
    </row>
    <row r="7" spans="1:16" x14ac:dyDescent="0.25">
      <c r="A7" t="s">
        <v>16</v>
      </c>
      <c r="B7" t="s">
        <v>25</v>
      </c>
      <c r="C7">
        <v>0</v>
      </c>
      <c r="D7">
        <v>2.7081830501556401</v>
      </c>
      <c r="E7">
        <v>1</v>
      </c>
      <c r="F7">
        <v>1</v>
      </c>
      <c r="G7">
        <v>1</v>
      </c>
      <c r="H7">
        <v>1</v>
      </c>
      <c r="I7">
        <v>1</v>
      </c>
      <c r="J7">
        <v>1</v>
      </c>
      <c r="K7">
        <v>1</v>
      </c>
      <c r="L7">
        <v>1</v>
      </c>
      <c r="M7">
        <v>1</v>
      </c>
      <c r="N7">
        <v>1</v>
      </c>
      <c r="O7">
        <v>1</v>
      </c>
    </row>
    <row r="8" spans="1:16" x14ac:dyDescent="0.25">
      <c r="A8" t="s">
        <v>16</v>
      </c>
      <c r="B8" t="s">
        <v>26</v>
      </c>
      <c r="C8">
        <v>0</v>
      </c>
      <c r="D8">
        <v>2.684292078018188</v>
      </c>
      <c r="E8">
        <v>1</v>
      </c>
      <c r="F8">
        <v>1</v>
      </c>
      <c r="G8">
        <v>1</v>
      </c>
      <c r="H8">
        <v>1</v>
      </c>
      <c r="I8">
        <v>1</v>
      </c>
      <c r="J8">
        <v>1</v>
      </c>
      <c r="K8">
        <v>1</v>
      </c>
      <c r="L8">
        <v>1</v>
      </c>
      <c r="M8">
        <v>1</v>
      </c>
      <c r="N8">
        <v>1</v>
      </c>
      <c r="O8">
        <v>1</v>
      </c>
    </row>
    <row r="9" spans="1:16" x14ac:dyDescent="0.25">
      <c r="A9" t="s">
        <v>16</v>
      </c>
      <c r="B9" t="s">
        <v>27</v>
      </c>
      <c r="C9">
        <v>0</v>
      </c>
      <c r="D9">
        <v>2.719542503356934</v>
      </c>
      <c r="E9">
        <v>1</v>
      </c>
      <c r="F9">
        <v>1</v>
      </c>
      <c r="G9">
        <v>1</v>
      </c>
      <c r="H9">
        <v>1</v>
      </c>
      <c r="I9">
        <v>1</v>
      </c>
      <c r="J9">
        <v>1</v>
      </c>
      <c r="K9">
        <v>1</v>
      </c>
      <c r="L9">
        <v>1</v>
      </c>
      <c r="M9">
        <v>1</v>
      </c>
      <c r="N9">
        <v>1</v>
      </c>
      <c r="O9">
        <v>1</v>
      </c>
    </row>
    <row r="10" spans="1:16" x14ac:dyDescent="0.25">
      <c r="A10" t="s">
        <v>16</v>
      </c>
      <c r="B10" t="s">
        <v>28</v>
      </c>
      <c r="C10">
        <v>0</v>
      </c>
      <c r="D10">
        <v>9.3472027778625488</v>
      </c>
      <c r="E10">
        <v>1</v>
      </c>
      <c r="F10">
        <v>1</v>
      </c>
      <c r="G10">
        <v>1</v>
      </c>
      <c r="H10">
        <v>1</v>
      </c>
      <c r="I10">
        <v>1</v>
      </c>
      <c r="J10">
        <v>1</v>
      </c>
      <c r="K10">
        <v>1</v>
      </c>
      <c r="L10">
        <v>1</v>
      </c>
      <c r="M10">
        <v>1</v>
      </c>
      <c r="N10">
        <v>1</v>
      </c>
      <c r="O10">
        <v>1</v>
      </c>
    </row>
    <row r="11" spans="1:16" x14ac:dyDescent="0.25">
      <c r="A11" t="s">
        <v>16</v>
      </c>
      <c r="B11" t="s">
        <v>29</v>
      </c>
      <c r="C11">
        <v>0</v>
      </c>
      <c r="D11">
        <v>10.126400470733641</v>
      </c>
      <c r="E11">
        <v>0</v>
      </c>
      <c r="F11" t="s">
        <v>20</v>
      </c>
      <c r="G11" t="s">
        <v>20</v>
      </c>
      <c r="H11" t="s">
        <v>20</v>
      </c>
      <c r="I11" t="s">
        <v>20</v>
      </c>
      <c r="J11" t="s">
        <v>20</v>
      </c>
      <c r="K11" t="s">
        <v>20</v>
      </c>
      <c r="L11" t="s">
        <v>20</v>
      </c>
      <c r="M11" t="s">
        <v>20</v>
      </c>
      <c r="N11" t="s">
        <v>20</v>
      </c>
      <c r="O11" t="s">
        <v>20</v>
      </c>
      <c r="P11" t="s">
        <v>367</v>
      </c>
    </row>
    <row r="12" spans="1:16" x14ac:dyDescent="0.25">
      <c r="A12" t="s">
        <v>16</v>
      </c>
      <c r="B12" t="s">
        <v>31</v>
      </c>
      <c r="C12">
        <v>0</v>
      </c>
      <c r="D12">
        <v>11.15717840194702</v>
      </c>
      <c r="E12">
        <v>1</v>
      </c>
      <c r="F12">
        <v>1</v>
      </c>
      <c r="G12">
        <v>1</v>
      </c>
      <c r="H12">
        <v>0</v>
      </c>
      <c r="I12">
        <v>1</v>
      </c>
      <c r="J12">
        <v>1</v>
      </c>
      <c r="K12">
        <v>1</v>
      </c>
      <c r="L12">
        <v>1</v>
      </c>
      <c r="M12">
        <v>1</v>
      </c>
      <c r="N12">
        <v>1</v>
      </c>
      <c r="O12">
        <v>1</v>
      </c>
      <c r="P12" t="s">
        <v>368</v>
      </c>
    </row>
    <row r="13" spans="1:16" x14ac:dyDescent="0.25">
      <c r="A13" t="s">
        <v>16</v>
      </c>
      <c r="B13" t="s">
        <v>33</v>
      </c>
      <c r="C13">
        <v>0</v>
      </c>
      <c r="D13">
        <v>7.8492450714111328</v>
      </c>
      <c r="E13">
        <v>1</v>
      </c>
      <c r="F13">
        <v>0</v>
      </c>
      <c r="G13">
        <v>1</v>
      </c>
      <c r="H13" t="s">
        <v>20</v>
      </c>
      <c r="I13">
        <v>1</v>
      </c>
      <c r="J13" t="s">
        <v>20</v>
      </c>
      <c r="K13">
        <v>1</v>
      </c>
      <c r="L13">
        <v>0</v>
      </c>
      <c r="M13">
        <v>1</v>
      </c>
      <c r="N13">
        <v>1</v>
      </c>
      <c r="O13">
        <v>1</v>
      </c>
      <c r="P13" t="s">
        <v>369</v>
      </c>
    </row>
    <row r="14" spans="1:16" x14ac:dyDescent="0.25">
      <c r="A14" t="s">
        <v>16</v>
      </c>
      <c r="B14" t="s">
        <v>35</v>
      </c>
      <c r="C14">
        <v>0</v>
      </c>
      <c r="D14">
        <v>2.7743420600891109</v>
      </c>
      <c r="E14">
        <v>1</v>
      </c>
      <c r="F14">
        <v>1</v>
      </c>
      <c r="G14">
        <v>1</v>
      </c>
      <c r="H14">
        <v>1</v>
      </c>
      <c r="I14">
        <v>1</v>
      </c>
      <c r="J14">
        <v>1</v>
      </c>
      <c r="K14">
        <v>1</v>
      </c>
      <c r="L14">
        <v>1</v>
      </c>
      <c r="M14">
        <v>1</v>
      </c>
      <c r="N14">
        <v>1</v>
      </c>
      <c r="O14">
        <v>1</v>
      </c>
    </row>
    <row r="15" spans="1:16" x14ac:dyDescent="0.25">
      <c r="A15" t="s">
        <v>16</v>
      </c>
      <c r="B15" t="s">
        <v>36</v>
      </c>
      <c r="C15">
        <v>0</v>
      </c>
      <c r="D15">
        <v>6.5698113441467294</v>
      </c>
      <c r="E15">
        <v>1</v>
      </c>
      <c r="F15">
        <v>1</v>
      </c>
      <c r="G15">
        <v>1</v>
      </c>
      <c r="H15">
        <v>1</v>
      </c>
      <c r="I15">
        <v>1</v>
      </c>
      <c r="J15">
        <v>0</v>
      </c>
      <c r="K15">
        <v>1</v>
      </c>
      <c r="L15">
        <v>1</v>
      </c>
      <c r="M15">
        <v>1</v>
      </c>
      <c r="N15">
        <v>1</v>
      </c>
      <c r="O15">
        <v>1</v>
      </c>
      <c r="P15" t="s">
        <v>370</v>
      </c>
    </row>
    <row r="16" spans="1:16" x14ac:dyDescent="0.25">
      <c r="A16" t="s">
        <v>16</v>
      </c>
      <c r="B16" t="s">
        <v>38</v>
      </c>
      <c r="C16">
        <v>0</v>
      </c>
      <c r="D16">
        <v>6.0532822608947754</v>
      </c>
      <c r="E16">
        <v>1</v>
      </c>
      <c r="F16">
        <v>1</v>
      </c>
      <c r="G16">
        <v>0</v>
      </c>
      <c r="H16" t="s">
        <v>20</v>
      </c>
      <c r="I16">
        <v>1</v>
      </c>
      <c r="J16">
        <v>1</v>
      </c>
      <c r="K16">
        <v>1</v>
      </c>
      <c r="L16">
        <v>1</v>
      </c>
      <c r="M16">
        <v>1</v>
      </c>
      <c r="N16">
        <v>1</v>
      </c>
      <c r="O16">
        <v>1</v>
      </c>
      <c r="P16" t="s">
        <v>371</v>
      </c>
    </row>
    <row r="17" spans="1:16" x14ac:dyDescent="0.25">
      <c r="A17" t="s">
        <v>16</v>
      </c>
      <c r="B17" t="s">
        <v>40</v>
      </c>
      <c r="C17">
        <v>0</v>
      </c>
      <c r="D17">
        <v>10.384726047515869</v>
      </c>
      <c r="E17">
        <v>1</v>
      </c>
      <c r="F17">
        <v>1</v>
      </c>
      <c r="G17">
        <v>1</v>
      </c>
      <c r="H17">
        <v>0</v>
      </c>
      <c r="I17">
        <v>1</v>
      </c>
      <c r="J17">
        <v>1</v>
      </c>
      <c r="K17">
        <v>1</v>
      </c>
      <c r="L17">
        <v>1</v>
      </c>
      <c r="M17">
        <v>1</v>
      </c>
      <c r="N17">
        <v>1</v>
      </c>
      <c r="O17">
        <v>1</v>
      </c>
      <c r="P17" t="s">
        <v>372</v>
      </c>
    </row>
    <row r="18" spans="1:16" x14ac:dyDescent="0.25">
      <c r="A18" t="s">
        <v>16</v>
      </c>
      <c r="B18" t="s">
        <v>42</v>
      </c>
      <c r="C18">
        <v>0</v>
      </c>
      <c r="D18">
        <v>2.8108341693878169</v>
      </c>
      <c r="E18">
        <v>1</v>
      </c>
      <c r="F18">
        <v>1</v>
      </c>
      <c r="G18">
        <v>1</v>
      </c>
      <c r="H18">
        <v>1</v>
      </c>
      <c r="I18">
        <v>1</v>
      </c>
      <c r="J18">
        <v>1</v>
      </c>
      <c r="K18">
        <v>1</v>
      </c>
      <c r="L18">
        <v>1</v>
      </c>
      <c r="M18">
        <v>1</v>
      </c>
      <c r="N18">
        <v>1</v>
      </c>
      <c r="O18">
        <v>1</v>
      </c>
    </row>
    <row r="19" spans="1:16" x14ac:dyDescent="0.25">
      <c r="A19" t="s">
        <v>16</v>
      </c>
      <c r="B19" t="s">
        <v>43</v>
      </c>
      <c r="C19">
        <v>0</v>
      </c>
      <c r="D19">
        <v>9.2825939655303955</v>
      </c>
      <c r="E19">
        <v>1</v>
      </c>
      <c r="F19">
        <v>1</v>
      </c>
      <c r="G19">
        <v>1</v>
      </c>
      <c r="H19">
        <v>1</v>
      </c>
      <c r="I19">
        <v>1</v>
      </c>
      <c r="J19">
        <v>1</v>
      </c>
      <c r="K19">
        <v>1</v>
      </c>
      <c r="L19">
        <v>1</v>
      </c>
      <c r="M19">
        <v>1</v>
      </c>
      <c r="N19">
        <v>1</v>
      </c>
      <c r="O19">
        <v>1</v>
      </c>
    </row>
    <row r="20" spans="1:16" x14ac:dyDescent="0.25">
      <c r="A20" t="s">
        <v>16</v>
      </c>
      <c r="B20" t="s">
        <v>44</v>
      </c>
      <c r="C20">
        <v>0</v>
      </c>
      <c r="D20">
        <v>7.352503776550293</v>
      </c>
      <c r="E20">
        <v>1</v>
      </c>
      <c r="F20">
        <v>1</v>
      </c>
      <c r="G20">
        <v>0</v>
      </c>
      <c r="H20" t="s">
        <v>20</v>
      </c>
      <c r="I20">
        <v>1</v>
      </c>
      <c r="J20">
        <v>1</v>
      </c>
      <c r="K20">
        <v>1</v>
      </c>
      <c r="L20">
        <v>1</v>
      </c>
      <c r="M20">
        <v>1</v>
      </c>
      <c r="N20">
        <v>1</v>
      </c>
      <c r="O20">
        <v>1</v>
      </c>
      <c r="P20" t="s">
        <v>373</v>
      </c>
    </row>
    <row r="21" spans="1:16" x14ac:dyDescent="0.25">
      <c r="A21" t="s">
        <v>16</v>
      </c>
      <c r="B21" t="s">
        <v>46</v>
      </c>
      <c r="C21">
        <v>0</v>
      </c>
      <c r="D21">
        <v>11.98287653923035</v>
      </c>
      <c r="E21">
        <v>0</v>
      </c>
      <c r="F21" t="s">
        <v>20</v>
      </c>
      <c r="G21" t="s">
        <v>20</v>
      </c>
      <c r="H21" t="s">
        <v>20</v>
      </c>
      <c r="I21" t="s">
        <v>20</v>
      </c>
      <c r="J21" t="s">
        <v>20</v>
      </c>
      <c r="K21" t="s">
        <v>20</v>
      </c>
      <c r="L21" t="s">
        <v>20</v>
      </c>
      <c r="M21" t="s">
        <v>20</v>
      </c>
      <c r="N21" t="s">
        <v>20</v>
      </c>
      <c r="O21" t="s">
        <v>20</v>
      </c>
      <c r="P21" t="s">
        <v>374</v>
      </c>
    </row>
    <row r="22" spans="1:16" x14ac:dyDescent="0.25">
      <c r="A22" t="s">
        <v>16</v>
      </c>
      <c r="B22" t="s">
        <v>48</v>
      </c>
      <c r="C22">
        <v>0</v>
      </c>
      <c r="D22">
        <v>2.8754899501800542</v>
      </c>
      <c r="E22">
        <v>1</v>
      </c>
      <c r="F22">
        <v>1</v>
      </c>
      <c r="G22">
        <v>1</v>
      </c>
      <c r="H22">
        <v>1</v>
      </c>
      <c r="I22">
        <v>1</v>
      </c>
      <c r="J22">
        <v>1</v>
      </c>
      <c r="K22">
        <v>1</v>
      </c>
      <c r="L22">
        <v>1</v>
      </c>
      <c r="M22">
        <v>1</v>
      </c>
      <c r="N22">
        <v>1</v>
      </c>
      <c r="O22">
        <v>1</v>
      </c>
    </row>
    <row r="23" spans="1:16" x14ac:dyDescent="0.25">
      <c r="A23" t="s">
        <v>16</v>
      </c>
      <c r="B23" t="s">
        <v>50</v>
      </c>
      <c r="C23">
        <v>0</v>
      </c>
      <c r="D23">
        <v>2.7190721035003662</v>
      </c>
      <c r="E23">
        <v>1</v>
      </c>
      <c r="F23">
        <v>1</v>
      </c>
      <c r="G23">
        <v>1</v>
      </c>
      <c r="H23">
        <v>1</v>
      </c>
      <c r="I23">
        <v>1</v>
      </c>
      <c r="J23">
        <v>1</v>
      </c>
      <c r="K23">
        <v>1</v>
      </c>
      <c r="L23">
        <v>1</v>
      </c>
      <c r="M23">
        <v>1</v>
      </c>
      <c r="N23">
        <v>1</v>
      </c>
      <c r="O23">
        <v>1</v>
      </c>
    </row>
    <row r="24" spans="1:16" x14ac:dyDescent="0.25">
      <c r="A24" t="s">
        <v>16</v>
      </c>
      <c r="B24" t="s">
        <v>51</v>
      </c>
      <c r="C24">
        <v>0</v>
      </c>
      <c r="D24">
        <v>9.7729227542877197</v>
      </c>
      <c r="E24">
        <v>1</v>
      </c>
      <c r="F24">
        <v>1</v>
      </c>
      <c r="G24">
        <v>1</v>
      </c>
      <c r="H24">
        <v>1</v>
      </c>
      <c r="I24">
        <v>1</v>
      </c>
      <c r="J24">
        <v>1</v>
      </c>
      <c r="K24">
        <v>1</v>
      </c>
      <c r="L24">
        <v>1</v>
      </c>
      <c r="M24">
        <v>1</v>
      </c>
      <c r="N24">
        <v>1</v>
      </c>
      <c r="O24">
        <v>1</v>
      </c>
    </row>
    <row r="25" spans="1:16" x14ac:dyDescent="0.25">
      <c r="A25" t="s">
        <v>16</v>
      </c>
      <c r="B25" t="s">
        <v>52</v>
      </c>
      <c r="C25">
        <v>0</v>
      </c>
      <c r="D25">
        <v>11.030297040939329</v>
      </c>
      <c r="E25">
        <v>0</v>
      </c>
      <c r="F25" t="s">
        <v>20</v>
      </c>
      <c r="G25" t="s">
        <v>20</v>
      </c>
      <c r="H25" t="s">
        <v>20</v>
      </c>
      <c r="I25" t="s">
        <v>20</v>
      </c>
      <c r="J25" t="s">
        <v>20</v>
      </c>
      <c r="K25" t="s">
        <v>20</v>
      </c>
      <c r="L25" t="s">
        <v>20</v>
      </c>
      <c r="M25" t="s">
        <v>20</v>
      </c>
      <c r="N25" t="s">
        <v>20</v>
      </c>
      <c r="O25" t="s">
        <v>20</v>
      </c>
      <c r="P25" t="s">
        <v>375</v>
      </c>
    </row>
    <row r="26" spans="1:16" x14ac:dyDescent="0.25">
      <c r="A26" t="s">
        <v>16</v>
      </c>
      <c r="B26" t="s">
        <v>53</v>
      </c>
      <c r="C26">
        <v>0</v>
      </c>
      <c r="D26">
        <v>6.6835355758666992</v>
      </c>
      <c r="E26">
        <v>1</v>
      </c>
      <c r="F26">
        <v>1</v>
      </c>
      <c r="G26">
        <v>1</v>
      </c>
      <c r="H26">
        <v>1</v>
      </c>
      <c r="I26">
        <v>1</v>
      </c>
      <c r="J26">
        <v>1</v>
      </c>
      <c r="K26">
        <v>0</v>
      </c>
      <c r="L26">
        <v>1</v>
      </c>
      <c r="M26">
        <v>1</v>
      </c>
      <c r="N26">
        <v>1</v>
      </c>
      <c r="O26">
        <v>1</v>
      </c>
      <c r="P26" t="s">
        <v>376</v>
      </c>
    </row>
    <row r="27" spans="1:16" x14ac:dyDescent="0.25">
      <c r="A27" t="s">
        <v>16</v>
      </c>
      <c r="B27" t="s">
        <v>55</v>
      </c>
      <c r="C27">
        <v>0</v>
      </c>
      <c r="D27">
        <v>11.82054567337036</v>
      </c>
      <c r="E27">
        <v>1</v>
      </c>
      <c r="F27">
        <v>0</v>
      </c>
      <c r="G27">
        <v>1</v>
      </c>
      <c r="H27" t="s">
        <v>20</v>
      </c>
      <c r="I27">
        <v>1</v>
      </c>
      <c r="J27" t="s">
        <v>20</v>
      </c>
      <c r="K27">
        <v>1</v>
      </c>
      <c r="L27">
        <v>1</v>
      </c>
      <c r="M27">
        <v>1</v>
      </c>
      <c r="N27">
        <v>1</v>
      </c>
      <c r="O27">
        <v>1</v>
      </c>
      <c r="P27" t="s">
        <v>377</v>
      </c>
    </row>
    <row r="28" spans="1:16" x14ac:dyDescent="0.25">
      <c r="A28" t="s">
        <v>16</v>
      </c>
      <c r="B28" t="s">
        <v>57</v>
      </c>
      <c r="C28">
        <v>0</v>
      </c>
      <c r="D28">
        <v>8.9201805591583252</v>
      </c>
      <c r="E28">
        <v>1</v>
      </c>
      <c r="F28">
        <v>1</v>
      </c>
      <c r="G28">
        <v>1</v>
      </c>
      <c r="H28">
        <v>1</v>
      </c>
      <c r="I28">
        <v>1</v>
      </c>
      <c r="J28">
        <v>1</v>
      </c>
      <c r="K28">
        <v>1</v>
      </c>
      <c r="L28">
        <v>1</v>
      </c>
      <c r="M28">
        <v>1</v>
      </c>
      <c r="N28">
        <v>1</v>
      </c>
      <c r="O28">
        <v>1</v>
      </c>
    </row>
    <row r="29" spans="1:16" x14ac:dyDescent="0.25">
      <c r="A29" t="s">
        <v>16</v>
      </c>
      <c r="B29" t="s">
        <v>59</v>
      </c>
      <c r="C29">
        <v>0</v>
      </c>
      <c r="D29">
        <v>10.476948738098139</v>
      </c>
      <c r="E29">
        <v>1</v>
      </c>
      <c r="F29">
        <v>1</v>
      </c>
      <c r="G29">
        <v>1</v>
      </c>
      <c r="H29">
        <v>1</v>
      </c>
      <c r="I29">
        <v>1</v>
      </c>
      <c r="J29">
        <v>1</v>
      </c>
      <c r="K29">
        <v>0</v>
      </c>
      <c r="L29">
        <v>1</v>
      </c>
      <c r="M29">
        <v>1</v>
      </c>
      <c r="N29">
        <v>1</v>
      </c>
      <c r="O29">
        <v>1</v>
      </c>
      <c r="P29" t="s">
        <v>378</v>
      </c>
    </row>
    <row r="30" spans="1:16" x14ac:dyDescent="0.25">
      <c r="A30" t="s">
        <v>16</v>
      </c>
      <c r="B30" t="s">
        <v>61</v>
      </c>
      <c r="C30">
        <v>0</v>
      </c>
      <c r="D30">
        <v>7.2338526248931876</v>
      </c>
      <c r="E30">
        <v>0</v>
      </c>
      <c r="F30" t="s">
        <v>20</v>
      </c>
      <c r="G30" t="s">
        <v>20</v>
      </c>
      <c r="H30" t="s">
        <v>20</v>
      </c>
      <c r="I30" t="s">
        <v>20</v>
      </c>
      <c r="J30" t="s">
        <v>20</v>
      </c>
      <c r="K30" t="s">
        <v>20</v>
      </c>
      <c r="L30" t="s">
        <v>20</v>
      </c>
      <c r="M30" t="s">
        <v>20</v>
      </c>
      <c r="N30" t="s">
        <v>20</v>
      </c>
      <c r="O30" t="s">
        <v>20</v>
      </c>
      <c r="P30" t="s">
        <v>379</v>
      </c>
    </row>
    <row r="31" spans="1:16" x14ac:dyDescent="0.25">
      <c r="A31" t="s">
        <v>16</v>
      </c>
      <c r="B31" t="s">
        <v>63</v>
      </c>
      <c r="C31">
        <v>0</v>
      </c>
      <c r="D31">
        <v>5.4060375690460214</v>
      </c>
      <c r="E31">
        <v>1</v>
      </c>
      <c r="F31">
        <v>0</v>
      </c>
      <c r="G31">
        <v>1</v>
      </c>
      <c r="H31" t="s">
        <v>20</v>
      </c>
      <c r="I31">
        <v>1</v>
      </c>
      <c r="J31" t="s">
        <v>20</v>
      </c>
      <c r="K31">
        <v>1</v>
      </c>
      <c r="L31">
        <v>1</v>
      </c>
      <c r="M31">
        <v>1</v>
      </c>
      <c r="N31">
        <v>1</v>
      </c>
      <c r="O31">
        <v>1</v>
      </c>
      <c r="P31" t="s">
        <v>380</v>
      </c>
    </row>
    <row r="32" spans="1:16" x14ac:dyDescent="0.25">
      <c r="A32" t="s">
        <v>16</v>
      </c>
      <c r="B32" t="s">
        <v>65</v>
      </c>
      <c r="C32">
        <v>0</v>
      </c>
      <c r="D32">
        <v>6.3895785808563232</v>
      </c>
      <c r="E32">
        <v>1</v>
      </c>
      <c r="F32">
        <v>0</v>
      </c>
      <c r="G32">
        <v>1</v>
      </c>
      <c r="H32" t="s">
        <v>20</v>
      </c>
      <c r="I32">
        <v>1</v>
      </c>
      <c r="J32" t="s">
        <v>20</v>
      </c>
      <c r="K32">
        <v>1</v>
      </c>
      <c r="L32">
        <v>1</v>
      </c>
      <c r="M32">
        <v>1</v>
      </c>
      <c r="N32">
        <v>1</v>
      </c>
      <c r="O32">
        <v>1</v>
      </c>
      <c r="P32" t="s">
        <v>381</v>
      </c>
    </row>
    <row r="33" spans="1:16" x14ac:dyDescent="0.25">
      <c r="A33" t="s">
        <v>16</v>
      </c>
      <c r="B33" t="s">
        <v>67</v>
      </c>
      <c r="C33">
        <v>0</v>
      </c>
      <c r="D33">
        <v>2.6909747123718262</v>
      </c>
      <c r="E33">
        <v>1</v>
      </c>
      <c r="F33">
        <v>1</v>
      </c>
      <c r="G33">
        <v>1</v>
      </c>
      <c r="H33">
        <v>1</v>
      </c>
      <c r="I33">
        <v>1</v>
      </c>
      <c r="J33">
        <v>1</v>
      </c>
      <c r="K33">
        <v>1</v>
      </c>
      <c r="L33">
        <v>1</v>
      </c>
      <c r="M33">
        <v>1</v>
      </c>
      <c r="N33">
        <v>1</v>
      </c>
      <c r="O33">
        <v>1</v>
      </c>
    </row>
    <row r="34" spans="1:16" x14ac:dyDescent="0.25">
      <c r="A34" t="s">
        <v>16</v>
      </c>
      <c r="B34" t="s">
        <v>69</v>
      </c>
      <c r="C34">
        <v>0</v>
      </c>
      <c r="D34">
        <v>6.441002368927002</v>
      </c>
      <c r="E34">
        <v>0</v>
      </c>
      <c r="F34" t="s">
        <v>20</v>
      </c>
      <c r="G34" t="s">
        <v>20</v>
      </c>
      <c r="H34" t="s">
        <v>20</v>
      </c>
      <c r="I34" t="s">
        <v>20</v>
      </c>
      <c r="J34" t="s">
        <v>20</v>
      </c>
      <c r="K34" t="s">
        <v>20</v>
      </c>
      <c r="L34" t="s">
        <v>20</v>
      </c>
      <c r="M34" t="s">
        <v>20</v>
      </c>
      <c r="N34" t="s">
        <v>20</v>
      </c>
      <c r="O34" t="s">
        <v>20</v>
      </c>
      <c r="P34" t="s">
        <v>382</v>
      </c>
    </row>
    <row r="35" spans="1:16" x14ac:dyDescent="0.25">
      <c r="A35" t="s">
        <v>16</v>
      </c>
      <c r="B35" t="s">
        <v>71</v>
      </c>
      <c r="C35">
        <v>0</v>
      </c>
      <c r="D35">
        <v>9.4294013977050781</v>
      </c>
      <c r="E35">
        <v>1</v>
      </c>
      <c r="F35">
        <v>1</v>
      </c>
      <c r="G35">
        <v>1</v>
      </c>
      <c r="H35">
        <v>1</v>
      </c>
      <c r="I35">
        <v>1</v>
      </c>
      <c r="J35">
        <v>1</v>
      </c>
      <c r="K35">
        <v>1</v>
      </c>
      <c r="L35">
        <v>1</v>
      </c>
      <c r="M35">
        <v>1</v>
      </c>
      <c r="N35">
        <v>1</v>
      </c>
      <c r="O35">
        <v>1</v>
      </c>
    </row>
    <row r="36" spans="1:16" x14ac:dyDescent="0.25">
      <c r="A36" t="s">
        <v>16</v>
      </c>
      <c r="B36" t="s">
        <v>72</v>
      </c>
      <c r="C36">
        <v>0</v>
      </c>
      <c r="D36">
        <v>9.0323402881622314</v>
      </c>
      <c r="E36">
        <v>1</v>
      </c>
      <c r="F36">
        <v>1</v>
      </c>
      <c r="G36">
        <v>1</v>
      </c>
      <c r="H36">
        <v>1</v>
      </c>
      <c r="I36">
        <v>1</v>
      </c>
      <c r="J36">
        <v>1</v>
      </c>
      <c r="K36">
        <v>1</v>
      </c>
      <c r="L36">
        <v>1</v>
      </c>
      <c r="M36">
        <v>1</v>
      </c>
      <c r="N36">
        <v>1</v>
      </c>
      <c r="O36">
        <v>1</v>
      </c>
    </row>
    <row r="37" spans="1:16" x14ac:dyDescent="0.25">
      <c r="A37" t="s">
        <v>16</v>
      </c>
      <c r="B37" t="s">
        <v>73</v>
      </c>
      <c r="C37">
        <v>0</v>
      </c>
      <c r="D37">
        <v>4.5625810623168954</v>
      </c>
      <c r="E37">
        <v>1</v>
      </c>
      <c r="F37">
        <v>0</v>
      </c>
      <c r="G37">
        <v>1</v>
      </c>
      <c r="H37" t="s">
        <v>20</v>
      </c>
      <c r="I37">
        <v>1</v>
      </c>
      <c r="J37" t="s">
        <v>20</v>
      </c>
      <c r="K37">
        <v>1</v>
      </c>
      <c r="L37">
        <v>1</v>
      </c>
      <c r="M37">
        <v>1</v>
      </c>
      <c r="N37">
        <v>1</v>
      </c>
      <c r="O37">
        <v>1</v>
      </c>
      <c r="P37" t="s">
        <v>383</v>
      </c>
    </row>
    <row r="38" spans="1:16" x14ac:dyDescent="0.25">
      <c r="A38" t="s">
        <v>16</v>
      </c>
      <c r="B38" t="s">
        <v>75</v>
      </c>
      <c r="C38">
        <v>0</v>
      </c>
      <c r="D38">
        <v>4.8202664852142334</v>
      </c>
      <c r="E38">
        <v>1</v>
      </c>
      <c r="F38">
        <v>0</v>
      </c>
      <c r="G38">
        <v>1</v>
      </c>
      <c r="H38" t="s">
        <v>20</v>
      </c>
      <c r="I38">
        <v>1</v>
      </c>
      <c r="J38" t="s">
        <v>20</v>
      </c>
      <c r="K38">
        <v>1</v>
      </c>
      <c r="L38">
        <v>1</v>
      </c>
      <c r="M38">
        <v>1</v>
      </c>
      <c r="N38">
        <v>1</v>
      </c>
      <c r="O38">
        <v>1</v>
      </c>
      <c r="P38" t="s">
        <v>384</v>
      </c>
    </row>
    <row r="39" spans="1:16" x14ac:dyDescent="0.25">
      <c r="A39" t="s">
        <v>16</v>
      </c>
      <c r="B39" t="s">
        <v>77</v>
      </c>
      <c r="C39">
        <v>0</v>
      </c>
      <c r="D39">
        <v>6.5712754726409912</v>
      </c>
      <c r="E39">
        <v>1</v>
      </c>
      <c r="F39">
        <v>1</v>
      </c>
      <c r="G39">
        <v>1</v>
      </c>
      <c r="H39">
        <v>1</v>
      </c>
      <c r="I39">
        <v>1</v>
      </c>
      <c r="J39">
        <v>1</v>
      </c>
      <c r="K39">
        <v>1</v>
      </c>
      <c r="L39">
        <v>1</v>
      </c>
      <c r="M39">
        <v>0</v>
      </c>
      <c r="N39">
        <v>1</v>
      </c>
      <c r="O39">
        <v>1</v>
      </c>
      <c r="P39" t="s">
        <v>385</v>
      </c>
    </row>
    <row r="40" spans="1:16" x14ac:dyDescent="0.25">
      <c r="A40" t="s">
        <v>16</v>
      </c>
      <c r="B40" t="s">
        <v>78</v>
      </c>
      <c r="C40">
        <v>0</v>
      </c>
      <c r="D40">
        <v>11.92199015617371</v>
      </c>
      <c r="E40">
        <v>1</v>
      </c>
      <c r="F40">
        <v>1</v>
      </c>
      <c r="G40">
        <v>1</v>
      </c>
      <c r="H40">
        <v>0</v>
      </c>
      <c r="I40">
        <v>1</v>
      </c>
      <c r="J40">
        <v>1</v>
      </c>
      <c r="K40">
        <v>1</v>
      </c>
      <c r="L40">
        <v>1</v>
      </c>
      <c r="M40">
        <v>1</v>
      </c>
      <c r="N40">
        <v>1</v>
      </c>
      <c r="O40">
        <v>1</v>
      </c>
      <c r="P40" t="s">
        <v>386</v>
      </c>
    </row>
    <row r="41" spans="1:16" x14ac:dyDescent="0.25">
      <c r="A41" t="s">
        <v>16</v>
      </c>
      <c r="B41" t="s">
        <v>80</v>
      </c>
      <c r="C41">
        <v>0</v>
      </c>
      <c r="D41">
        <v>8.6776468753814697</v>
      </c>
      <c r="E41">
        <v>0</v>
      </c>
      <c r="F41" t="s">
        <v>20</v>
      </c>
      <c r="G41" t="s">
        <v>20</v>
      </c>
      <c r="H41" t="s">
        <v>20</v>
      </c>
      <c r="I41" t="s">
        <v>20</v>
      </c>
      <c r="J41" t="s">
        <v>20</v>
      </c>
      <c r="K41" t="s">
        <v>20</v>
      </c>
      <c r="L41" t="s">
        <v>20</v>
      </c>
      <c r="M41" t="s">
        <v>20</v>
      </c>
      <c r="N41" t="s">
        <v>20</v>
      </c>
      <c r="O41" t="s">
        <v>20</v>
      </c>
      <c r="P41" t="s">
        <v>387</v>
      </c>
    </row>
    <row r="42" spans="1:16" x14ac:dyDescent="0.25">
      <c r="A42" t="s">
        <v>16</v>
      </c>
      <c r="B42" t="s">
        <v>82</v>
      </c>
      <c r="C42">
        <v>0</v>
      </c>
      <c r="D42">
        <v>13.459555625915529</v>
      </c>
      <c r="E42">
        <v>0</v>
      </c>
      <c r="F42" t="s">
        <v>20</v>
      </c>
      <c r="G42" t="s">
        <v>20</v>
      </c>
      <c r="H42" t="s">
        <v>20</v>
      </c>
      <c r="I42" t="s">
        <v>20</v>
      </c>
      <c r="J42" t="s">
        <v>20</v>
      </c>
      <c r="K42" t="s">
        <v>20</v>
      </c>
      <c r="L42" t="s">
        <v>20</v>
      </c>
      <c r="M42" t="s">
        <v>20</v>
      </c>
      <c r="N42" t="s">
        <v>20</v>
      </c>
      <c r="O42" t="s">
        <v>20</v>
      </c>
      <c r="P42" t="s">
        <v>388</v>
      </c>
    </row>
    <row r="43" spans="1:16" x14ac:dyDescent="0.25">
      <c r="A43" t="s">
        <v>16</v>
      </c>
      <c r="B43" t="s">
        <v>84</v>
      </c>
      <c r="C43">
        <v>0</v>
      </c>
      <c r="D43">
        <v>2.769118070602417</v>
      </c>
      <c r="E43">
        <v>1</v>
      </c>
      <c r="F43">
        <v>1</v>
      </c>
      <c r="G43">
        <v>1</v>
      </c>
      <c r="H43">
        <v>1</v>
      </c>
      <c r="I43">
        <v>1</v>
      </c>
      <c r="J43">
        <v>1</v>
      </c>
      <c r="K43">
        <v>1</v>
      </c>
      <c r="L43">
        <v>1</v>
      </c>
      <c r="M43">
        <v>1</v>
      </c>
      <c r="N43">
        <v>1</v>
      </c>
      <c r="O43">
        <v>1</v>
      </c>
    </row>
    <row r="44" spans="1:16" x14ac:dyDescent="0.25">
      <c r="A44" t="s">
        <v>16</v>
      </c>
      <c r="B44" t="s">
        <v>85</v>
      </c>
      <c r="C44">
        <v>0</v>
      </c>
      <c r="D44">
        <v>11.94144868850708</v>
      </c>
      <c r="E44">
        <v>1</v>
      </c>
      <c r="F44">
        <v>1</v>
      </c>
      <c r="G44">
        <v>1</v>
      </c>
      <c r="H44">
        <v>0</v>
      </c>
      <c r="I44">
        <v>1</v>
      </c>
      <c r="J44">
        <v>1</v>
      </c>
      <c r="K44">
        <v>1</v>
      </c>
      <c r="L44">
        <v>1</v>
      </c>
      <c r="M44">
        <v>1</v>
      </c>
      <c r="N44">
        <v>1</v>
      </c>
      <c r="O44">
        <v>1</v>
      </c>
      <c r="P44" t="s">
        <v>389</v>
      </c>
    </row>
    <row r="45" spans="1:16" x14ac:dyDescent="0.25">
      <c r="A45" t="s">
        <v>16</v>
      </c>
      <c r="B45" t="s">
        <v>87</v>
      </c>
      <c r="C45">
        <v>0</v>
      </c>
      <c r="D45">
        <v>6.3352353572845459</v>
      </c>
      <c r="E45">
        <v>1</v>
      </c>
      <c r="F45">
        <v>1</v>
      </c>
      <c r="G45">
        <v>0</v>
      </c>
      <c r="H45" t="s">
        <v>20</v>
      </c>
      <c r="I45">
        <v>1</v>
      </c>
      <c r="J45">
        <v>0</v>
      </c>
      <c r="K45">
        <v>1</v>
      </c>
      <c r="L45">
        <v>1</v>
      </c>
      <c r="M45">
        <v>1</v>
      </c>
      <c r="N45">
        <v>1</v>
      </c>
      <c r="O45">
        <v>1</v>
      </c>
      <c r="P45" t="s">
        <v>390</v>
      </c>
    </row>
    <row r="46" spans="1:16" x14ac:dyDescent="0.25">
      <c r="A46" t="s">
        <v>16</v>
      </c>
      <c r="B46" t="s">
        <v>89</v>
      </c>
      <c r="C46">
        <v>0</v>
      </c>
      <c r="D46">
        <v>12.216660022735599</v>
      </c>
      <c r="E46">
        <v>1</v>
      </c>
      <c r="F46">
        <v>1</v>
      </c>
      <c r="G46">
        <v>1</v>
      </c>
      <c r="H46">
        <v>1</v>
      </c>
      <c r="I46">
        <v>1</v>
      </c>
      <c r="J46">
        <v>0</v>
      </c>
      <c r="K46">
        <v>1</v>
      </c>
      <c r="L46">
        <v>1</v>
      </c>
      <c r="M46">
        <v>1</v>
      </c>
      <c r="N46">
        <v>1</v>
      </c>
      <c r="O46">
        <v>1</v>
      </c>
      <c r="P46" t="s">
        <v>391</v>
      </c>
    </row>
    <row r="47" spans="1:16" x14ac:dyDescent="0.25">
      <c r="A47" t="s">
        <v>16</v>
      </c>
      <c r="B47" t="s">
        <v>91</v>
      </c>
      <c r="C47">
        <v>0</v>
      </c>
      <c r="D47">
        <v>2.886661291122437</v>
      </c>
      <c r="E47">
        <v>1</v>
      </c>
      <c r="F47">
        <v>1</v>
      </c>
      <c r="G47">
        <v>1</v>
      </c>
      <c r="H47">
        <v>1</v>
      </c>
      <c r="I47">
        <v>1</v>
      </c>
      <c r="J47">
        <v>1</v>
      </c>
      <c r="K47">
        <v>1</v>
      </c>
      <c r="L47">
        <v>1</v>
      </c>
      <c r="M47">
        <v>1</v>
      </c>
      <c r="N47">
        <v>1</v>
      </c>
      <c r="O47">
        <v>1</v>
      </c>
    </row>
    <row r="48" spans="1:16" x14ac:dyDescent="0.25">
      <c r="A48" t="s">
        <v>16</v>
      </c>
      <c r="B48" t="s">
        <v>92</v>
      </c>
      <c r="C48">
        <v>0</v>
      </c>
      <c r="D48">
        <v>6.801922082901001</v>
      </c>
      <c r="E48">
        <v>1</v>
      </c>
      <c r="F48">
        <v>1</v>
      </c>
      <c r="G48">
        <v>1</v>
      </c>
      <c r="H48">
        <v>1</v>
      </c>
      <c r="I48">
        <v>1</v>
      </c>
      <c r="J48">
        <v>0</v>
      </c>
      <c r="K48">
        <v>1</v>
      </c>
      <c r="L48">
        <v>1</v>
      </c>
      <c r="M48">
        <v>1</v>
      </c>
      <c r="N48">
        <v>1</v>
      </c>
      <c r="O48">
        <v>1</v>
      </c>
      <c r="P48" t="s">
        <v>392</v>
      </c>
    </row>
    <row r="49" spans="1:16" x14ac:dyDescent="0.25">
      <c r="A49" t="s">
        <v>16</v>
      </c>
      <c r="B49" t="s">
        <v>94</v>
      </c>
      <c r="C49">
        <v>0</v>
      </c>
      <c r="D49">
        <v>2.7354059219360352</v>
      </c>
      <c r="E49">
        <v>1</v>
      </c>
      <c r="F49">
        <v>1</v>
      </c>
      <c r="G49">
        <v>1</v>
      </c>
      <c r="H49">
        <v>1</v>
      </c>
      <c r="I49">
        <v>1</v>
      </c>
      <c r="J49">
        <v>1</v>
      </c>
      <c r="K49">
        <v>1</v>
      </c>
      <c r="L49">
        <v>1</v>
      </c>
      <c r="M49">
        <v>1</v>
      </c>
      <c r="N49">
        <v>1</v>
      </c>
      <c r="O49">
        <v>1</v>
      </c>
    </row>
    <row r="50" spans="1:16" x14ac:dyDescent="0.25">
      <c r="A50" t="s">
        <v>16</v>
      </c>
      <c r="B50" t="s">
        <v>95</v>
      </c>
      <c r="C50">
        <v>0</v>
      </c>
      <c r="D50">
        <v>2.8853986263275151</v>
      </c>
      <c r="E50">
        <v>1</v>
      </c>
      <c r="F50">
        <v>1</v>
      </c>
      <c r="G50">
        <v>1</v>
      </c>
      <c r="H50">
        <v>1</v>
      </c>
      <c r="I50">
        <v>1</v>
      </c>
      <c r="J50">
        <v>1</v>
      </c>
      <c r="K50">
        <v>1</v>
      </c>
      <c r="L50">
        <v>1</v>
      </c>
      <c r="M50">
        <v>1</v>
      </c>
      <c r="N50">
        <v>1</v>
      </c>
      <c r="O50">
        <v>1</v>
      </c>
    </row>
    <row r="51" spans="1:16" x14ac:dyDescent="0.25">
      <c r="A51" t="s">
        <v>96</v>
      </c>
      <c r="B51" t="s">
        <v>17</v>
      </c>
      <c r="C51">
        <v>0</v>
      </c>
      <c r="D51">
        <v>2.8994991779327388</v>
      </c>
      <c r="E51">
        <v>1</v>
      </c>
      <c r="F51">
        <v>1</v>
      </c>
      <c r="G51">
        <v>1</v>
      </c>
      <c r="H51">
        <v>1</v>
      </c>
      <c r="I51">
        <v>1</v>
      </c>
      <c r="J51">
        <v>1</v>
      </c>
      <c r="K51">
        <v>1</v>
      </c>
      <c r="L51">
        <v>1</v>
      </c>
      <c r="M51">
        <v>1</v>
      </c>
      <c r="N51">
        <v>1</v>
      </c>
      <c r="O51">
        <v>1</v>
      </c>
    </row>
    <row r="52" spans="1:16" x14ac:dyDescent="0.25">
      <c r="A52" t="s">
        <v>96</v>
      </c>
      <c r="B52" t="s">
        <v>18</v>
      </c>
      <c r="C52">
        <v>0</v>
      </c>
      <c r="D52">
        <v>9.7312290668487549</v>
      </c>
      <c r="E52">
        <v>1</v>
      </c>
      <c r="F52">
        <v>1</v>
      </c>
      <c r="G52">
        <v>1</v>
      </c>
      <c r="H52">
        <v>1</v>
      </c>
      <c r="I52">
        <v>1</v>
      </c>
      <c r="J52">
        <v>1</v>
      </c>
      <c r="K52">
        <v>1</v>
      </c>
      <c r="L52">
        <v>1</v>
      </c>
      <c r="M52">
        <v>1</v>
      </c>
      <c r="N52">
        <v>1</v>
      </c>
      <c r="O52">
        <v>1</v>
      </c>
    </row>
    <row r="53" spans="1:16" x14ac:dyDescent="0.25">
      <c r="A53" t="s">
        <v>96</v>
      </c>
      <c r="B53" t="s">
        <v>19</v>
      </c>
      <c r="C53">
        <v>0</v>
      </c>
      <c r="D53">
        <v>5.0156967639923096</v>
      </c>
      <c r="E53">
        <v>1</v>
      </c>
      <c r="F53">
        <v>1</v>
      </c>
      <c r="G53">
        <v>1</v>
      </c>
      <c r="H53">
        <v>0</v>
      </c>
      <c r="I53">
        <v>1</v>
      </c>
      <c r="J53">
        <v>1</v>
      </c>
      <c r="K53">
        <v>1</v>
      </c>
      <c r="L53">
        <v>1</v>
      </c>
      <c r="M53">
        <v>1</v>
      </c>
      <c r="N53">
        <v>1</v>
      </c>
      <c r="O53">
        <v>1</v>
      </c>
      <c r="P53" t="s">
        <v>393</v>
      </c>
    </row>
    <row r="54" spans="1:16" x14ac:dyDescent="0.25">
      <c r="A54" t="s">
        <v>96</v>
      </c>
      <c r="B54" t="s">
        <v>22</v>
      </c>
      <c r="C54">
        <v>0</v>
      </c>
      <c r="D54">
        <v>9.0596532821655273</v>
      </c>
      <c r="E54">
        <v>1</v>
      </c>
      <c r="F54">
        <v>1</v>
      </c>
      <c r="G54">
        <v>1</v>
      </c>
      <c r="H54">
        <v>1</v>
      </c>
      <c r="I54">
        <v>1</v>
      </c>
      <c r="J54">
        <v>1</v>
      </c>
      <c r="K54">
        <v>1</v>
      </c>
      <c r="L54">
        <v>1</v>
      </c>
      <c r="M54">
        <v>1</v>
      </c>
      <c r="N54">
        <v>1</v>
      </c>
      <c r="O54">
        <v>1</v>
      </c>
    </row>
    <row r="55" spans="1:16" x14ac:dyDescent="0.25">
      <c r="A55" t="s">
        <v>96</v>
      </c>
      <c r="B55" t="s">
        <v>24</v>
      </c>
      <c r="C55">
        <v>0</v>
      </c>
      <c r="D55">
        <v>11.58609414100647</v>
      </c>
      <c r="E55">
        <v>1</v>
      </c>
      <c r="F55">
        <v>1</v>
      </c>
      <c r="G55">
        <v>1</v>
      </c>
      <c r="H55">
        <v>0</v>
      </c>
      <c r="I55">
        <v>1</v>
      </c>
      <c r="J55">
        <v>1</v>
      </c>
      <c r="K55">
        <v>1</v>
      </c>
      <c r="L55">
        <v>1</v>
      </c>
      <c r="M55">
        <v>0</v>
      </c>
      <c r="N55">
        <v>1</v>
      </c>
      <c r="O55">
        <v>1</v>
      </c>
      <c r="P55" t="s">
        <v>394</v>
      </c>
    </row>
    <row r="56" spans="1:16" x14ac:dyDescent="0.25">
      <c r="A56" t="s">
        <v>96</v>
      </c>
      <c r="B56" t="s">
        <v>25</v>
      </c>
      <c r="C56">
        <v>0</v>
      </c>
      <c r="D56">
        <v>10.541284799575809</v>
      </c>
      <c r="E56">
        <v>1</v>
      </c>
      <c r="F56">
        <v>1</v>
      </c>
      <c r="G56">
        <v>0</v>
      </c>
      <c r="H56" t="s">
        <v>20</v>
      </c>
      <c r="I56">
        <v>1</v>
      </c>
      <c r="J56">
        <v>1</v>
      </c>
      <c r="K56">
        <v>1</v>
      </c>
      <c r="L56">
        <v>1</v>
      </c>
      <c r="M56">
        <v>1</v>
      </c>
      <c r="N56">
        <v>1</v>
      </c>
      <c r="O56">
        <v>1</v>
      </c>
      <c r="P56" t="s">
        <v>395</v>
      </c>
    </row>
    <row r="57" spans="1:16" x14ac:dyDescent="0.25">
      <c r="A57" t="s">
        <v>96</v>
      </c>
      <c r="B57" t="s">
        <v>26</v>
      </c>
      <c r="C57">
        <v>0</v>
      </c>
      <c r="D57">
        <v>2.6838309764862061</v>
      </c>
      <c r="E57">
        <v>1</v>
      </c>
      <c r="F57">
        <v>1</v>
      </c>
      <c r="G57">
        <v>1</v>
      </c>
      <c r="H57">
        <v>1</v>
      </c>
      <c r="I57">
        <v>1</v>
      </c>
      <c r="J57">
        <v>1</v>
      </c>
      <c r="K57">
        <v>1</v>
      </c>
      <c r="L57">
        <v>1</v>
      </c>
      <c r="M57">
        <v>1</v>
      </c>
      <c r="N57">
        <v>1</v>
      </c>
      <c r="O57">
        <v>1</v>
      </c>
    </row>
    <row r="58" spans="1:16" x14ac:dyDescent="0.25">
      <c r="A58" t="s">
        <v>96</v>
      </c>
      <c r="B58" t="s">
        <v>27</v>
      </c>
      <c r="C58">
        <v>0</v>
      </c>
      <c r="D58">
        <v>5.1229555606842041</v>
      </c>
      <c r="E58">
        <v>1</v>
      </c>
      <c r="F58">
        <v>1</v>
      </c>
      <c r="G58">
        <v>1</v>
      </c>
      <c r="H58">
        <v>1</v>
      </c>
      <c r="I58">
        <v>1</v>
      </c>
      <c r="J58">
        <v>0</v>
      </c>
      <c r="K58">
        <v>1</v>
      </c>
      <c r="L58">
        <v>1</v>
      </c>
      <c r="M58">
        <v>1</v>
      </c>
      <c r="N58">
        <v>1</v>
      </c>
      <c r="O58">
        <v>1</v>
      </c>
      <c r="P58" t="s">
        <v>396</v>
      </c>
    </row>
    <row r="59" spans="1:16" x14ac:dyDescent="0.25">
      <c r="A59" t="s">
        <v>96</v>
      </c>
      <c r="B59" t="s">
        <v>28</v>
      </c>
      <c r="C59">
        <v>0</v>
      </c>
      <c r="D59">
        <v>2.8025462627410889</v>
      </c>
      <c r="E59">
        <v>1</v>
      </c>
      <c r="F59">
        <v>1</v>
      </c>
      <c r="G59">
        <v>1</v>
      </c>
      <c r="H59">
        <v>1</v>
      </c>
      <c r="I59">
        <v>1</v>
      </c>
      <c r="J59">
        <v>1</v>
      </c>
      <c r="K59">
        <v>1</v>
      </c>
      <c r="L59">
        <v>1</v>
      </c>
      <c r="M59">
        <v>1</v>
      </c>
      <c r="N59">
        <v>1</v>
      </c>
      <c r="O59">
        <v>1</v>
      </c>
    </row>
    <row r="60" spans="1:16" x14ac:dyDescent="0.25">
      <c r="A60" t="s">
        <v>96</v>
      </c>
      <c r="B60" t="s">
        <v>29</v>
      </c>
      <c r="C60">
        <v>0</v>
      </c>
      <c r="D60">
        <v>9.6712391376495361</v>
      </c>
      <c r="E60">
        <v>1</v>
      </c>
      <c r="F60">
        <v>1</v>
      </c>
      <c r="G60">
        <v>1</v>
      </c>
      <c r="H60">
        <v>1</v>
      </c>
      <c r="I60">
        <v>1</v>
      </c>
      <c r="J60">
        <v>1</v>
      </c>
      <c r="K60">
        <v>1</v>
      </c>
      <c r="L60">
        <v>1</v>
      </c>
      <c r="M60">
        <v>1</v>
      </c>
      <c r="N60">
        <v>1</v>
      </c>
      <c r="O60">
        <v>1</v>
      </c>
    </row>
    <row r="61" spans="1:16" x14ac:dyDescent="0.25">
      <c r="A61" t="s">
        <v>96</v>
      </c>
      <c r="B61" t="s">
        <v>31</v>
      </c>
      <c r="C61">
        <v>0</v>
      </c>
      <c r="D61">
        <v>2.854555606842041</v>
      </c>
      <c r="E61">
        <v>1</v>
      </c>
      <c r="F61">
        <v>1</v>
      </c>
      <c r="G61">
        <v>1</v>
      </c>
      <c r="H61">
        <v>1</v>
      </c>
      <c r="I61">
        <v>1</v>
      </c>
      <c r="J61">
        <v>1</v>
      </c>
      <c r="K61">
        <v>1</v>
      </c>
      <c r="L61">
        <v>1</v>
      </c>
      <c r="M61">
        <v>1</v>
      </c>
      <c r="N61">
        <v>1</v>
      </c>
      <c r="O61">
        <v>1</v>
      </c>
    </row>
    <row r="62" spans="1:16" x14ac:dyDescent="0.25">
      <c r="A62" t="s">
        <v>96</v>
      </c>
      <c r="B62" t="s">
        <v>33</v>
      </c>
      <c r="C62">
        <v>0</v>
      </c>
      <c r="D62">
        <v>10.68159770965576</v>
      </c>
      <c r="E62">
        <v>1</v>
      </c>
      <c r="F62">
        <v>1</v>
      </c>
      <c r="G62">
        <v>1</v>
      </c>
      <c r="H62">
        <v>1</v>
      </c>
      <c r="I62">
        <v>1</v>
      </c>
      <c r="J62">
        <v>1</v>
      </c>
      <c r="K62">
        <v>1</v>
      </c>
      <c r="L62">
        <v>1</v>
      </c>
      <c r="M62">
        <v>1</v>
      </c>
      <c r="N62">
        <v>1</v>
      </c>
      <c r="O62">
        <v>1</v>
      </c>
    </row>
    <row r="63" spans="1:16" x14ac:dyDescent="0.25">
      <c r="A63" t="s">
        <v>96</v>
      </c>
      <c r="B63" t="s">
        <v>35</v>
      </c>
      <c r="C63">
        <v>0</v>
      </c>
      <c r="D63">
        <v>2.7905054092407231</v>
      </c>
      <c r="E63">
        <v>1</v>
      </c>
      <c r="F63">
        <v>1</v>
      </c>
      <c r="G63">
        <v>1</v>
      </c>
      <c r="H63">
        <v>1</v>
      </c>
      <c r="I63">
        <v>1</v>
      </c>
      <c r="J63">
        <v>1</v>
      </c>
      <c r="K63">
        <v>1</v>
      </c>
      <c r="L63">
        <v>1</v>
      </c>
      <c r="M63">
        <v>1</v>
      </c>
      <c r="N63">
        <v>1</v>
      </c>
      <c r="O63">
        <v>1</v>
      </c>
    </row>
    <row r="64" spans="1:16" x14ac:dyDescent="0.25">
      <c r="A64" t="s">
        <v>96</v>
      </c>
      <c r="B64" t="s">
        <v>36</v>
      </c>
      <c r="C64">
        <v>0</v>
      </c>
      <c r="D64">
        <v>2.85985279083252</v>
      </c>
      <c r="E64">
        <v>1</v>
      </c>
      <c r="F64">
        <v>1</v>
      </c>
      <c r="G64">
        <v>1</v>
      </c>
      <c r="H64">
        <v>1</v>
      </c>
      <c r="I64">
        <v>1</v>
      </c>
      <c r="J64">
        <v>1</v>
      </c>
      <c r="K64">
        <v>1</v>
      </c>
      <c r="L64">
        <v>1</v>
      </c>
      <c r="M64">
        <v>1</v>
      </c>
      <c r="N64">
        <v>1</v>
      </c>
      <c r="O64">
        <v>1</v>
      </c>
    </row>
    <row r="65" spans="1:16" x14ac:dyDescent="0.25">
      <c r="A65" t="s">
        <v>96</v>
      </c>
      <c r="B65" t="s">
        <v>38</v>
      </c>
      <c r="C65">
        <v>0</v>
      </c>
      <c r="D65">
        <v>11.006094932556151</v>
      </c>
      <c r="E65">
        <v>1</v>
      </c>
      <c r="F65">
        <v>1</v>
      </c>
      <c r="G65">
        <v>1</v>
      </c>
      <c r="H65">
        <v>1</v>
      </c>
      <c r="I65">
        <v>1</v>
      </c>
      <c r="J65">
        <v>0</v>
      </c>
      <c r="K65">
        <v>0</v>
      </c>
      <c r="L65">
        <v>1</v>
      </c>
      <c r="M65">
        <v>1</v>
      </c>
      <c r="N65">
        <v>1</v>
      </c>
      <c r="O65">
        <v>1</v>
      </c>
      <c r="P65" t="s">
        <v>397</v>
      </c>
    </row>
    <row r="66" spans="1:16" x14ac:dyDescent="0.25">
      <c r="A66" t="s">
        <v>96</v>
      </c>
      <c r="B66" t="s">
        <v>40</v>
      </c>
      <c r="C66">
        <v>0</v>
      </c>
      <c r="D66">
        <v>5.7348861694335938</v>
      </c>
      <c r="E66">
        <v>1</v>
      </c>
      <c r="F66">
        <v>0</v>
      </c>
      <c r="G66">
        <v>1</v>
      </c>
      <c r="H66" t="s">
        <v>20</v>
      </c>
      <c r="I66">
        <v>1</v>
      </c>
      <c r="J66" t="s">
        <v>20</v>
      </c>
      <c r="K66">
        <v>1</v>
      </c>
      <c r="L66">
        <v>1</v>
      </c>
      <c r="M66">
        <v>1</v>
      </c>
      <c r="N66">
        <v>1</v>
      </c>
      <c r="O66">
        <v>1</v>
      </c>
      <c r="P66" t="s">
        <v>398</v>
      </c>
    </row>
    <row r="67" spans="1:16" x14ac:dyDescent="0.25">
      <c r="A67" t="s">
        <v>96</v>
      </c>
      <c r="B67" t="s">
        <v>42</v>
      </c>
      <c r="C67">
        <v>0</v>
      </c>
      <c r="D67">
        <v>4.7120342254638672</v>
      </c>
      <c r="E67">
        <v>1</v>
      </c>
      <c r="F67">
        <v>1</v>
      </c>
      <c r="G67">
        <v>1</v>
      </c>
      <c r="H67">
        <v>0</v>
      </c>
      <c r="I67">
        <v>1</v>
      </c>
      <c r="J67">
        <v>1</v>
      </c>
      <c r="K67">
        <v>1</v>
      </c>
      <c r="L67">
        <v>1</v>
      </c>
      <c r="M67">
        <v>1</v>
      </c>
      <c r="N67">
        <v>1</v>
      </c>
      <c r="O67">
        <v>1</v>
      </c>
      <c r="P67" t="s">
        <v>399</v>
      </c>
    </row>
    <row r="68" spans="1:16" x14ac:dyDescent="0.25">
      <c r="A68" t="s">
        <v>96</v>
      </c>
      <c r="B68" t="s">
        <v>43</v>
      </c>
      <c r="C68">
        <v>0</v>
      </c>
      <c r="D68">
        <v>7.3415577411651611</v>
      </c>
      <c r="E68">
        <v>1</v>
      </c>
      <c r="F68">
        <v>1</v>
      </c>
      <c r="G68">
        <v>1</v>
      </c>
      <c r="H68">
        <v>1</v>
      </c>
      <c r="I68">
        <v>1</v>
      </c>
      <c r="J68">
        <v>1</v>
      </c>
      <c r="K68">
        <v>0</v>
      </c>
      <c r="L68">
        <v>1</v>
      </c>
      <c r="M68">
        <v>1</v>
      </c>
      <c r="N68">
        <v>1</v>
      </c>
      <c r="O68">
        <v>1</v>
      </c>
      <c r="P68" t="s">
        <v>400</v>
      </c>
    </row>
    <row r="69" spans="1:16" x14ac:dyDescent="0.25">
      <c r="A69" t="s">
        <v>96</v>
      </c>
      <c r="B69" t="s">
        <v>44</v>
      </c>
      <c r="C69">
        <v>0</v>
      </c>
      <c r="D69">
        <v>2.7556138038635249</v>
      </c>
      <c r="E69">
        <v>1</v>
      </c>
      <c r="F69">
        <v>1</v>
      </c>
      <c r="G69">
        <v>1</v>
      </c>
      <c r="H69">
        <v>1</v>
      </c>
      <c r="I69">
        <v>1</v>
      </c>
      <c r="J69">
        <v>1</v>
      </c>
      <c r="K69">
        <v>1</v>
      </c>
      <c r="L69">
        <v>1</v>
      </c>
      <c r="M69">
        <v>1</v>
      </c>
      <c r="N69">
        <v>1</v>
      </c>
      <c r="O69">
        <v>1</v>
      </c>
    </row>
    <row r="70" spans="1:16" x14ac:dyDescent="0.25">
      <c r="A70" t="s">
        <v>96</v>
      </c>
      <c r="B70" t="s">
        <v>46</v>
      </c>
      <c r="C70">
        <v>0</v>
      </c>
      <c r="D70">
        <v>8.2756848335266113</v>
      </c>
      <c r="E70">
        <v>1</v>
      </c>
      <c r="F70">
        <v>1</v>
      </c>
      <c r="G70">
        <v>1</v>
      </c>
      <c r="H70">
        <v>1</v>
      </c>
      <c r="I70">
        <v>1</v>
      </c>
      <c r="J70">
        <v>1</v>
      </c>
      <c r="K70">
        <v>1</v>
      </c>
      <c r="L70">
        <v>1</v>
      </c>
      <c r="M70">
        <v>1</v>
      </c>
      <c r="N70">
        <v>1</v>
      </c>
      <c r="O70">
        <v>1</v>
      </c>
    </row>
    <row r="71" spans="1:16" x14ac:dyDescent="0.25">
      <c r="A71" t="s">
        <v>96</v>
      </c>
      <c r="B71" t="s">
        <v>48</v>
      </c>
      <c r="C71">
        <v>0</v>
      </c>
      <c r="D71">
        <v>12.80516910552979</v>
      </c>
      <c r="E71">
        <v>0</v>
      </c>
      <c r="F71" t="s">
        <v>20</v>
      </c>
      <c r="G71" t="s">
        <v>20</v>
      </c>
      <c r="H71" t="s">
        <v>20</v>
      </c>
      <c r="I71" t="s">
        <v>20</v>
      </c>
      <c r="J71" t="s">
        <v>20</v>
      </c>
      <c r="K71" t="s">
        <v>20</v>
      </c>
      <c r="L71" t="s">
        <v>20</v>
      </c>
      <c r="M71" t="s">
        <v>20</v>
      </c>
      <c r="N71" t="s">
        <v>20</v>
      </c>
      <c r="O71" t="s">
        <v>20</v>
      </c>
      <c r="P71" t="s">
        <v>401</v>
      </c>
    </row>
    <row r="72" spans="1:16" x14ac:dyDescent="0.25">
      <c r="A72" t="s">
        <v>96</v>
      </c>
      <c r="B72" t="s">
        <v>50</v>
      </c>
      <c r="C72">
        <v>0</v>
      </c>
      <c r="D72">
        <v>11.445534229278559</v>
      </c>
      <c r="E72">
        <v>0</v>
      </c>
      <c r="F72" t="s">
        <v>20</v>
      </c>
      <c r="G72" t="s">
        <v>20</v>
      </c>
      <c r="H72" t="s">
        <v>20</v>
      </c>
      <c r="I72" t="s">
        <v>20</v>
      </c>
      <c r="J72" t="s">
        <v>20</v>
      </c>
      <c r="K72" t="s">
        <v>20</v>
      </c>
      <c r="L72" t="s">
        <v>20</v>
      </c>
      <c r="M72" t="s">
        <v>20</v>
      </c>
      <c r="N72" t="s">
        <v>20</v>
      </c>
      <c r="O72" t="s">
        <v>20</v>
      </c>
      <c r="P72" t="s">
        <v>402</v>
      </c>
    </row>
    <row r="73" spans="1:16" x14ac:dyDescent="0.25">
      <c r="A73" t="s">
        <v>96</v>
      </c>
      <c r="B73" t="s">
        <v>51</v>
      </c>
      <c r="C73">
        <v>0</v>
      </c>
      <c r="D73">
        <v>12.325494527816771</v>
      </c>
      <c r="E73">
        <v>1</v>
      </c>
      <c r="F73">
        <v>1</v>
      </c>
      <c r="G73">
        <v>0</v>
      </c>
      <c r="H73" t="s">
        <v>20</v>
      </c>
      <c r="I73">
        <v>1</v>
      </c>
      <c r="J73">
        <v>1</v>
      </c>
      <c r="K73">
        <v>0</v>
      </c>
      <c r="L73">
        <v>1</v>
      </c>
      <c r="M73">
        <v>1</v>
      </c>
      <c r="N73">
        <v>1</v>
      </c>
      <c r="O73">
        <v>1</v>
      </c>
      <c r="P73" t="s">
        <v>403</v>
      </c>
    </row>
    <row r="74" spans="1:16" x14ac:dyDescent="0.25">
      <c r="A74" t="s">
        <v>96</v>
      </c>
      <c r="B74" t="s">
        <v>52</v>
      </c>
      <c r="C74">
        <v>0</v>
      </c>
      <c r="D74">
        <v>9.5778324604034424</v>
      </c>
      <c r="E74">
        <v>1</v>
      </c>
      <c r="F74">
        <v>1</v>
      </c>
      <c r="G74">
        <v>1</v>
      </c>
      <c r="H74">
        <v>1</v>
      </c>
      <c r="I74">
        <v>1</v>
      </c>
      <c r="J74">
        <v>1</v>
      </c>
      <c r="K74">
        <v>1</v>
      </c>
      <c r="L74">
        <v>1</v>
      </c>
      <c r="M74">
        <v>1</v>
      </c>
      <c r="N74">
        <v>1</v>
      </c>
      <c r="O74">
        <v>1</v>
      </c>
    </row>
    <row r="75" spans="1:16" x14ac:dyDescent="0.25">
      <c r="A75" t="s">
        <v>96</v>
      </c>
      <c r="B75" t="s">
        <v>53</v>
      </c>
      <c r="C75">
        <v>0</v>
      </c>
      <c r="D75">
        <v>9.746516227722168</v>
      </c>
      <c r="E75">
        <v>1</v>
      </c>
      <c r="F75">
        <v>1</v>
      </c>
      <c r="G75">
        <v>1</v>
      </c>
      <c r="H75">
        <v>1</v>
      </c>
      <c r="I75">
        <v>1</v>
      </c>
      <c r="J75">
        <v>1</v>
      </c>
      <c r="K75">
        <v>1</v>
      </c>
      <c r="L75">
        <v>1</v>
      </c>
      <c r="M75">
        <v>1</v>
      </c>
      <c r="N75">
        <v>1</v>
      </c>
      <c r="O75">
        <v>1</v>
      </c>
    </row>
    <row r="76" spans="1:16" x14ac:dyDescent="0.25">
      <c r="A76" t="s">
        <v>96</v>
      </c>
      <c r="B76" t="s">
        <v>55</v>
      </c>
      <c r="C76">
        <v>0</v>
      </c>
      <c r="D76">
        <v>4.283811092376709</v>
      </c>
      <c r="E76">
        <v>1</v>
      </c>
      <c r="F76">
        <v>1</v>
      </c>
      <c r="G76">
        <v>1</v>
      </c>
      <c r="H76">
        <v>1</v>
      </c>
      <c r="I76">
        <v>1</v>
      </c>
      <c r="J76">
        <v>1</v>
      </c>
      <c r="K76">
        <v>1</v>
      </c>
      <c r="L76">
        <v>1</v>
      </c>
      <c r="M76">
        <v>0</v>
      </c>
      <c r="N76">
        <v>1</v>
      </c>
      <c r="O76">
        <v>1</v>
      </c>
      <c r="P76" t="s">
        <v>404</v>
      </c>
    </row>
    <row r="77" spans="1:16" x14ac:dyDescent="0.25">
      <c r="A77" t="s">
        <v>96</v>
      </c>
      <c r="B77" t="s">
        <v>57</v>
      </c>
      <c r="C77">
        <v>0</v>
      </c>
      <c r="D77">
        <v>10.697632551193241</v>
      </c>
      <c r="E77">
        <v>1</v>
      </c>
      <c r="F77">
        <v>1</v>
      </c>
      <c r="G77">
        <v>1</v>
      </c>
      <c r="H77">
        <v>1</v>
      </c>
      <c r="I77">
        <v>1</v>
      </c>
      <c r="J77">
        <v>1</v>
      </c>
      <c r="K77">
        <v>1</v>
      </c>
      <c r="L77">
        <v>1</v>
      </c>
      <c r="M77">
        <v>1</v>
      </c>
      <c r="N77">
        <v>1</v>
      </c>
      <c r="O77">
        <v>1</v>
      </c>
    </row>
    <row r="78" spans="1:16" x14ac:dyDescent="0.25">
      <c r="A78" t="s">
        <v>96</v>
      </c>
      <c r="B78" t="s">
        <v>59</v>
      </c>
      <c r="C78">
        <v>0</v>
      </c>
      <c r="D78">
        <v>4.2367954254150391</v>
      </c>
      <c r="E78">
        <v>1</v>
      </c>
      <c r="F78">
        <v>1</v>
      </c>
      <c r="G78">
        <v>1</v>
      </c>
      <c r="H78">
        <v>1</v>
      </c>
      <c r="I78">
        <v>1</v>
      </c>
      <c r="J78">
        <v>1</v>
      </c>
      <c r="K78">
        <v>0</v>
      </c>
      <c r="L78">
        <v>1</v>
      </c>
      <c r="M78">
        <v>1</v>
      </c>
      <c r="N78">
        <v>1</v>
      </c>
      <c r="O78">
        <v>1</v>
      </c>
      <c r="P78" t="s">
        <v>405</v>
      </c>
    </row>
    <row r="79" spans="1:16" x14ac:dyDescent="0.25">
      <c r="A79" t="s">
        <v>96</v>
      </c>
      <c r="B79" t="s">
        <v>61</v>
      </c>
      <c r="C79">
        <v>0</v>
      </c>
      <c r="D79">
        <v>2.755799531936646</v>
      </c>
      <c r="E79">
        <v>1</v>
      </c>
      <c r="F79">
        <v>1</v>
      </c>
      <c r="G79">
        <v>1</v>
      </c>
      <c r="H79">
        <v>1</v>
      </c>
      <c r="I79">
        <v>1</v>
      </c>
      <c r="J79">
        <v>1</v>
      </c>
      <c r="K79">
        <v>1</v>
      </c>
      <c r="L79">
        <v>1</v>
      </c>
      <c r="M79">
        <v>1</v>
      </c>
      <c r="N79">
        <v>1</v>
      </c>
      <c r="O79">
        <v>1</v>
      </c>
    </row>
    <row r="80" spans="1:16" x14ac:dyDescent="0.25">
      <c r="A80" t="s">
        <v>96</v>
      </c>
      <c r="B80" t="s">
        <v>63</v>
      </c>
      <c r="C80">
        <v>0</v>
      </c>
      <c r="D80">
        <v>9.5519070625305176</v>
      </c>
      <c r="E80">
        <v>1</v>
      </c>
      <c r="F80">
        <v>1</v>
      </c>
      <c r="G80">
        <v>0</v>
      </c>
      <c r="H80" t="s">
        <v>20</v>
      </c>
      <c r="I80">
        <v>1</v>
      </c>
      <c r="J80">
        <v>1</v>
      </c>
      <c r="K80">
        <v>1</v>
      </c>
      <c r="L80">
        <v>1</v>
      </c>
      <c r="M80">
        <v>1</v>
      </c>
      <c r="N80">
        <v>1</v>
      </c>
      <c r="O80">
        <v>1</v>
      </c>
      <c r="P80" t="s">
        <v>406</v>
      </c>
    </row>
    <row r="81" spans="1:16" x14ac:dyDescent="0.25">
      <c r="A81" t="s">
        <v>96</v>
      </c>
      <c r="B81" t="s">
        <v>65</v>
      </c>
      <c r="C81">
        <v>0</v>
      </c>
      <c r="D81">
        <v>7.9960360527038574</v>
      </c>
      <c r="E81">
        <v>1</v>
      </c>
      <c r="F81">
        <v>1</v>
      </c>
      <c r="G81">
        <v>1</v>
      </c>
      <c r="H81">
        <v>1</v>
      </c>
      <c r="I81">
        <v>1</v>
      </c>
      <c r="J81">
        <v>1</v>
      </c>
      <c r="K81">
        <v>1</v>
      </c>
      <c r="L81">
        <v>1</v>
      </c>
      <c r="M81">
        <v>1</v>
      </c>
      <c r="N81">
        <v>1</v>
      </c>
      <c r="O81">
        <v>1</v>
      </c>
    </row>
    <row r="82" spans="1:16" x14ac:dyDescent="0.25">
      <c r="A82" t="s">
        <v>96</v>
      </c>
      <c r="B82" t="s">
        <v>67</v>
      </c>
      <c r="C82">
        <v>0</v>
      </c>
      <c r="D82">
        <v>6.5736451148986816</v>
      </c>
      <c r="E82">
        <v>1</v>
      </c>
      <c r="F82">
        <v>0</v>
      </c>
      <c r="G82">
        <v>1</v>
      </c>
      <c r="H82" t="s">
        <v>20</v>
      </c>
      <c r="I82">
        <v>1</v>
      </c>
      <c r="J82" t="s">
        <v>20</v>
      </c>
      <c r="K82">
        <v>1</v>
      </c>
      <c r="L82">
        <v>1</v>
      </c>
      <c r="M82">
        <v>1</v>
      </c>
      <c r="N82">
        <v>1</v>
      </c>
      <c r="O82">
        <v>1</v>
      </c>
      <c r="P82" t="s">
        <v>407</v>
      </c>
    </row>
    <row r="83" spans="1:16" x14ac:dyDescent="0.25">
      <c r="A83" t="s">
        <v>96</v>
      </c>
      <c r="B83" t="s">
        <v>69</v>
      </c>
      <c r="C83">
        <v>0</v>
      </c>
      <c r="D83">
        <v>9.9798705577850342</v>
      </c>
      <c r="E83">
        <v>1</v>
      </c>
      <c r="F83">
        <v>1</v>
      </c>
      <c r="G83">
        <v>0</v>
      </c>
      <c r="H83" t="s">
        <v>20</v>
      </c>
      <c r="I83">
        <v>1</v>
      </c>
      <c r="J83">
        <v>1</v>
      </c>
      <c r="K83">
        <v>1</v>
      </c>
      <c r="L83">
        <v>1</v>
      </c>
      <c r="M83">
        <v>1</v>
      </c>
      <c r="N83">
        <v>1</v>
      </c>
      <c r="O83">
        <v>1</v>
      </c>
      <c r="P83" t="s">
        <v>408</v>
      </c>
    </row>
    <row r="84" spans="1:16" x14ac:dyDescent="0.25">
      <c r="A84" t="s">
        <v>96</v>
      </c>
      <c r="B84" t="s">
        <v>71</v>
      </c>
      <c r="C84">
        <v>0</v>
      </c>
      <c r="D84">
        <v>10.36747097969055</v>
      </c>
      <c r="E84">
        <v>1</v>
      </c>
      <c r="F84">
        <v>1</v>
      </c>
      <c r="G84">
        <v>1</v>
      </c>
      <c r="H84">
        <v>0</v>
      </c>
      <c r="I84">
        <v>1</v>
      </c>
      <c r="J84">
        <v>1</v>
      </c>
      <c r="K84">
        <v>1</v>
      </c>
      <c r="L84">
        <v>1</v>
      </c>
      <c r="M84">
        <v>1</v>
      </c>
      <c r="N84">
        <v>1</v>
      </c>
      <c r="O84">
        <v>1</v>
      </c>
      <c r="P84" t="s">
        <v>409</v>
      </c>
    </row>
    <row r="85" spans="1:16" x14ac:dyDescent="0.25">
      <c r="A85" t="s">
        <v>96</v>
      </c>
      <c r="B85" t="s">
        <v>72</v>
      </c>
      <c r="C85">
        <v>0</v>
      </c>
      <c r="D85">
        <v>2.6823301315307622</v>
      </c>
      <c r="E85">
        <v>1</v>
      </c>
      <c r="F85">
        <v>1</v>
      </c>
      <c r="G85">
        <v>1</v>
      </c>
      <c r="H85">
        <v>1</v>
      </c>
      <c r="I85">
        <v>1</v>
      </c>
      <c r="J85">
        <v>1</v>
      </c>
      <c r="K85">
        <v>1</v>
      </c>
      <c r="L85">
        <v>1</v>
      </c>
      <c r="M85">
        <v>1</v>
      </c>
      <c r="N85">
        <v>1</v>
      </c>
      <c r="O85">
        <v>1</v>
      </c>
    </row>
    <row r="86" spans="1:16" x14ac:dyDescent="0.25">
      <c r="A86" t="s">
        <v>96</v>
      </c>
      <c r="B86" t="s">
        <v>73</v>
      </c>
      <c r="C86">
        <v>0</v>
      </c>
      <c r="D86">
        <v>10.6579921245575</v>
      </c>
      <c r="E86">
        <v>1</v>
      </c>
      <c r="F86">
        <v>1</v>
      </c>
      <c r="G86">
        <v>0</v>
      </c>
      <c r="H86" t="s">
        <v>20</v>
      </c>
      <c r="I86">
        <v>1</v>
      </c>
      <c r="J86">
        <v>1</v>
      </c>
      <c r="K86">
        <v>1</v>
      </c>
      <c r="L86">
        <v>1</v>
      </c>
      <c r="M86">
        <v>1</v>
      </c>
      <c r="N86">
        <v>1</v>
      </c>
      <c r="O86">
        <v>1</v>
      </c>
      <c r="P86" t="s">
        <v>410</v>
      </c>
    </row>
    <row r="87" spans="1:16" x14ac:dyDescent="0.25">
      <c r="A87" t="s">
        <v>96</v>
      </c>
      <c r="B87" t="s">
        <v>75</v>
      </c>
      <c r="C87">
        <v>0</v>
      </c>
      <c r="D87">
        <v>2.7687504291534419</v>
      </c>
      <c r="E87">
        <v>1</v>
      </c>
      <c r="F87">
        <v>1</v>
      </c>
      <c r="G87">
        <v>1</v>
      </c>
      <c r="H87">
        <v>1</v>
      </c>
      <c r="I87">
        <v>1</v>
      </c>
      <c r="J87">
        <v>1</v>
      </c>
      <c r="K87">
        <v>1</v>
      </c>
      <c r="L87">
        <v>1</v>
      </c>
      <c r="M87">
        <v>1</v>
      </c>
      <c r="N87">
        <v>1</v>
      </c>
      <c r="O87">
        <v>1</v>
      </c>
    </row>
    <row r="88" spans="1:16" x14ac:dyDescent="0.25">
      <c r="A88" t="s">
        <v>96</v>
      </c>
      <c r="B88" t="s">
        <v>77</v>
      </c>
      <c r="C88">
        <v>0</v>
      </c>
      <c r="D88">
        <v>2.7652614116668701</v>
      </c>
      <c r="E88">
        <v>1</v>
      </c>
      <c r="F88">
        <v>1</v>
      </c>
      <c r="G88">
        <v>1</v>
      </c>
      <c r="H88">
        <v>1</v>
      </c>
      <c r="I88">
        <v>1</v>
      </c>
      <c r="J88">
        <v>1</v>
      </c>
      <c r="K88">
        <v>1</v>
      </c>
      <c r="L88">
        <v>1</v>
      </c>
      <c r="M88">
        <v>1</v>
      </c>
      <c r="N88">
        <v>1</v>
      </c>
      <c r="O88">
        <v>1</v>
      </c>
    </row>
    <row r="89" spans="1:16" x14ac:dyDescent="0.25">
      <c r="A89" t="s">
        <v>96</v>
      </c>
      <c r="B89" t="s">
        <v>78</v>
      </c>
      <c r="C89">
        <v>0</v>
      </c>
      <c r="D89">
        <v>2.7542483806610112</v>
      </c>
      <c r="E89">
        <v>1</v>
      </c>
      <c r="F89">
        <v>1</v>
      </c>
      <c r="G89">
        <v>1</v>
      </c>
      <c r="H89">
        <v>1</v>
      </c>
      <c r="I89">
        <v>1</v>
      </c>
      <c r="J89">
        <v>1</v>
      </c>
      <c r="K89">
        <v>1</v>
      </c>
      <c r="L89">
        <v>1</v>
      </c>
      <c r="M89">
        <v>1</v>
      </c>
      <c r="N89">
        <v>1</v>
      </c>
      <c r="O89">
        <v>1</v>
      </c>
    </row>
    <row r="90" spans="1:16" x14ac:dyDescent="0.25">
      <c r="A90" t="s">
        <v>96</v>
      </c>
      <c r="B90" t="s">
        <v>80</v>
      </c>
      <c r="C90">
        <v>0</v>
      </c>
      <c r="D90">
        <v>2.9913628101348881</v>
      </c>
      <c r="E90">
        <v>1</v>
      </c>
      <c r="F90">
        <v>1</v>
      </c>
      <c r="G90">
        <v>1</v>
      </c>
      <c r="H90">
        <v>1</v>
      </c>
      <c r="I90">
        <v>1</v>
      </c>
      <c r="J90">
        <v>1</v>
      </c>
      <c r="K90">
        <v>1</v>
      </c>
      <c r="L90">
        <v>1</v>
      </c>
      <c r="M90">
        <v>1</v>
      </c>
      <c r="N90">
        <v>1</v>
      </c>
      <c r="O90">
        <v>1</v>
      </c>
    </row>
    <row r="91" spans="1:16" x14ac:dyDescent="0.25">
      <c r="A91" t="s">
        <v>96</v>
      </c>
      <c r="B91" t="s">
        <v>82</v>
      </c>
      <c r="C91">
        <v>0</v>
      </c>
      <c r="D91">
        <v>5.1295719146728516</v>
      </c>
      <c r="E91">
        <v>1</v>
      </c>
      <c r="F91">
        <v>1</v>
      </c>
      <c r="G91">
        <v>1</v>
      </c>
      <c r="H91">
        <v>0</v>
      </c>
      <c r="I91">
        <v>1</v>
      </c>
      <c r="J91">
        <v>1</v>
      </c>
      <c r="K91">
        <v>1</v>
      </c>
      <c r="L91">
        <v>1</v>
      </c>
      <c r="M91">
        <v>1</v>
      </c>
      <c r="N91">
        <v>1</v>
      </c>
      <c r="O91">
        <v>1</v>
      </c>
      <c r="P91" t="s">
        <v>411</v>
      </c>
    </row>
    <row r="92" spans="1:16" x14ac:dyDescent="0.25">
      <c r="A92" t="s">
        <v>96</v>
      </c>
      <c r="B92" t="s">
        <v>84</v>
      </c>
      <c r="C92">
        <v>0</v>
      </c>
      <c r="D92">
        <v>11.81403827667236</v>
      </c>
      <c r="E92">
        <v>0</v>
      </c>
      <c r="F92" t="s">
        <v>20</v>
      </c>
      <c r="G92" t="s">
        <v>20</v>
      </c>
      <c r="H92" t="s">
        <v>20</v>
      </c>
      <c r="I92" t="s">
        <v>20</v>
      </c>
      <c r="J92" t="s">
        <v>20</v>
      </c>
      <c r="K92" t="s">
        <v>20</v>
      </c>
      <c r="L92" t="s">
        <v>20</v>
      </c>
      <c r="M92" t="s">
        <v>20</v>
      </c>
      <c r="N92" t="s">
        <v>20</v>
      </c>
      <c r="O92" t="s">
        <v>20</v>
      </c>
      <c r="P92" t="s">
        <v>412</v>
      </c>
    </row>
    <row r="93" spans="1:16" x14ac:dyDescent="0.25">
      <c r="A93" t="s">
        <v>96</v>
      </c>
      <c r="B93" t="s">
        <v>85</v>
      </c>
      <c r="C93">
        <v>0</v>
      </c>
      <c r="D93">
        <v>4.6180388927459717</v>
      </c>
      <c r="E93">
        <v>1</v>
      </c>
      <c r="F93">
        <v>1</v>
      </c>
      <c r="G93">
        <v>1</v>
      </c>
      <c r="H93">
        <v>1</v>
      </c>
      <c r="I93">
        <v>1</v>
      </c>
      <c r="J93">
        <v>0</v>
      </c>
      <c r="K93">
        <v>1</v>
      </c>
      <c r="L93">
        <v>1</v>
      </c>
      <c r="M93">
        <v>1</v>
      </c>
      <c r="N93">
        <v>1</v>
      </c>
      <c r="O93">
        <v>1</v>
      </c>
      <c r="P93" t="s">
        <v>413</v>
      </c>
    </row>
    <row r="94" spans="1:16" x14ac:dyDescent="0.25">
      <c r="A94" t="s">
        <v>96</v>
      </c>
      <c r="B94" t="s">
        <v>87</v>
      </c>
      <c r="C94">
        <v>0</v>
      </c>
      <c r="D94">
        <v>4.8227901458740234</v>
      </c>
      <c r="E94">
        <v>1</v>
      </c>
      <c r="F94">
        <v>1</v>
      </c>
      <c r="G94">
        <v>1</v>
      </c>
      <c r="H94">
        <v>1</v>
      </c>
      <c r="I94">
        <v>1</v>
      </c>
      <c r="J94">
        <v>0</v>
      </c>
      <c r="K94">
        <v>1</v>
      </c>
      <c r="L94">
        <v>1</v>
      </c>
      <c r="M94">
        <v>1</v>
      </c>
      <c r="N94">
        <v>1</v>
      </c>
      <c r="O94">
        <v>1</v>
      </c>
      <c r="P94" t="s">
        <v>414</v>
      </c>
    </row>
    <row r="95" spans="1:16" x14ac:dyDescent="0.25">
      <c r="A95" t="s">
        <v>96</v>
      </c>
      <c r="B95" t="s">
        <v>89</v>
      </c>
      <c r="C95">
        <v>0</v>
      </c>
      <c r="D95">
        <v>7.3180840015411377</v>
      </c>
      <c r="E95">
        <v>1</v>
      </c>
      <c r="F95">
        <v>1</v>
      </c>
      <c r="G95">
        <v>1</v>
      </c>
      <c r="H95">
        <v>1</v>
      </c>
      <c r="I95">
        <v>1</v>
      </c>
      <c r="J95">
        <v>0</v>
      </c>
      <c r="K95">
        <v>1</v>
      </c>
      <c r="L95">
        <v>1</v>
      </c>
      <c r="M95">
        <v>1</v>
      </c>
      <c r="N95">
        <v>1</v>
      </c>
      <c r="O95">
        <v>1</v>
      </c>
      <c r="P95" t="s">
        <v>415</v>
      </c>
    </row>
    <row r="96" spans="1:16" x14ac:dyDescent="0.25">
      <c r="A96" t="s">
        <v>96</v>
      </c>
      <c r="B96" t="s">
        <v>91</v>
      </c>
      <c r="C96">
        <v>0</v>
      </c>
      <c r="D96">
        <v>11.578536510467529</v>
      </c>
      <c r="E96">
        <v>1</v>
      </c>
      <c r="F96">
        <v>1</v>
      </c>
      <c r="G96">
        <v>1</v>
      </c>
      <c r="H96">
        <v>1</v>
      </c>
      <c r="I96">
        <v>1</v>
      </c>
      <c r="J96">
        <v>1</v>
      </c>
      <c r="K96">
        <v>1</v>
      </c>
      <c r="L96">
        <v>1</v>
      </c>
      <c r="M96">
        <v>1</v>
      </c>
      <c r="N96">
        <v>1</v>
      </c>
      <c r="O96">
        <v>1</v>
      </c>
    </row>
    <row r="97" spans="1:16" x14ac:dyDescent="0.25">
      <c r="A97" t="s">
        <v>96</v>
      </c>
      <c r="B97" t="s">
        <v>92</v>
      </c>
      <c r="C97">
        <v>0</v>
      </c>
      <c r="D97">
        <v>11.497562408447269</v>
      </c>
      <c r="E97">
        <v>1</v>
      </c>
      <c r="F97">
        <v>1</v>
      </c>
      <c r="G97">
        <v>1</v>
      </c>
      <c r="H97">
        <v>0</v>
      </c>
      <c r="I97">
        <v>1</v>
      </c>
      <c r="J97">
        <v>1</v>
      </c>
      <c r="K97">
        <v>1</v>
      </c>
      <c r="L97">
        <v>1</v>
      </c>
      <c r="M97">
        <v>1</v>
      </c>
      <c r="N97">
        <v>1</v>
      </c>
      <c r="O97">
        <v>1</v>
      </c>
      <c r="P97" t="s">
        <v>416</v>
      </c>
    </row>
    <row r="98" spans="1:16" x14ac:dyDescent="0.25">
      <c r="A98" t="s">
        <v>96</v>
      </c>
      <c r="B98" t="s">
        <v>94</v>
      </c>
      <c r="C98">
        <v>0</v>
      </c>
      <c r="D98">
        <v>10.885334968566889</v>
      </c>
      <c r="E98">
        <v>1</v>
      </c>
      <c r="F98">
        <v>1</v>
      </c>
      <c r="G98">
        <v>1</v>
      </c>
      <c r="H98">
        <v>1</v>
      </c>
      <c r="I98">
        <v>1</v>
      </c>
      <c r="J98">
        <v>1</v>
      </c>
      <c r="K98">
        <v>1</v>
      </c>
      <c r="L98">
        <v>1</v>
      </c>
      <c r="M98">
        <v>1</v>
      </c>
      <c r="N98">
        <v>1</v>
      </c>
      <c r="O98">
        <v>1</v>
      </c>
    </row>
    <row r="99" spans="1:16" x14ac:dyDescent="0.25">
      <c r="A99" t="s">
        <v>96</v>
      </c>
      <c r="B99" t="s">
        <v>95</v>
      </c>
      <c r="C99">
        <v>0</v>
      </c>
      <c r="D99">
        <v>2.6660418510437012</v>
      </c>
      <c r="E99">
        <v>1</v>
      </c>
      <c r="F99">
        <v>1</v>
      </c>
      <c r="G99">
        <v>1</v>
      </c>
      <c r="H99">
        <v>1</v>
      </c>
      <c r="I99">
        <v>1</v>
      </c>
      <c r="J99">
        <v>1</v>
      </c>
      <c r="K99">
        <v>1</v>
      </c>
      <c r="L99">
        <v>1</v>
      </c>
      <c r="M99">
        <v>1</v>
      </c>
      <c r="N99">
        <v>1</v>
      </c>
      <c r="O99">
        <v>1</v>
      </c>
    </row>
    <row r="100" spans="1:16" x14ac:dyDescent="0.25">
      <c r="A100" t="s">
        <v>96</v>
      </c>
      <c r="B100" t="s">
        <v>121</v>
      </c>
      <c r="C100">
        <v>0</v>
      </c>
      <c r="D100">
        <v>2.6896216869354248</v>
      </c>
      <c r="E100">
        <v>1</v>
      </c>
      <c r="F100">
        <v>1</v>
      </c>
      <c r="G100">
        <v>1</v>
      </c>
      <c r="H100">
        <v>1</v>
      </c>
      <c r="I100">
        <v>1</v>
      </c>
      <c r="J100">
        <v>1</v>
      </c>
      <c r="K100">
        <v>1</v>
      </c>
      <c r="L100">
        <v>1</v>
      </c>
      <c r="M100">
        <v>1</v>
      </c>
      <c r="N100">
        <v>1</v>
      </c>
      <c r="O100">
        <v>1</v>
      </c>
    </row>
    <row r="101" spans="1:16" x14ac:dyDescent="0.25">
      <c r="A101" t="s">
        <v>96</v>
      </c>
      <c r="B101" t="s">
        <v>122</v>
      </c>
      <c r="C101">
        <v>0</v>
      </c>
      <c r="D101">
        <v>11.88764572143555</v>
      </c>
      <c r="E101">
        <v>1</v>
      </c>
      <c r="F101">
        <v>1</v>
      </c>
      <c r="G101">
        <v>0</v>
      </c>
      <c r="H101" t="s">
        <v>20</v>
      </c>
      <c r="I101">
        <v>1</v>
      </c>
      <c r="J101">
        <v>1</v>
      </c>
      <c r="K101">
        <v>1</v>
      </c>
      <c r="L101">
        <v>1</v>
      </c>
      <c r="M101">
        <v>1</v>
      </c>
      <c r="N101">
        <v>1</v>
      </c>
      <c r="O101">
        <v>1</v>
      </c>
      <c r="P101" t="s">
        <v>417</v>
      </c>
    </row>
    <row r="102" spans="1:16" x14ac:dyDescent="0.25">
      <c r="A102" t="s">
        <v>96</v>
      </c>
      <c r="B102" t="s">
        <v>124</v>
      </c>
      <c r="C102">
        <v>0</v>
      </c>
      <c r="D102">
        <v>10.88573479652405</v>
      </c>
      <c r="E102">
        <v>1</v>
      </c>
      <c r="F102">
        <v>1</v>
      </c>
      <c r="G102">
        <v>1</v>
      </c>
      <c r="H102">
        <v>1</v>
      </c>
      <c r="I102">
        <v>1</v>
      </c>
      <c r="J102">
        <v>0</v>
      </c>
      <c r="K102">
        <v>1</v>
      </c>
      <c r="L102">
        <v>1</v>
      </c>
      <c r="M102">
        <v>1</v>
      </c>
      <c r="N102">
        <v>1</v>
      </c>
      <c r="O102">
        <v>1</v>
      </c>
      <c r="P102" t="s">
        <v>418</v>
      </c>
    </row>
    <row r="103" spans="1:16" x14ac:dyDescent="0.25">
      <c r="A103" t="s">
        <v>96</v>
      </c>
      <c r="B103" t="s">
        <v>126</v>
      </c>
      <c r="C103">
        <v>0</v>
      </c>
      <c r="D103">
        <v>10.26919555664062</v>
      </c>
      <c r="E103">
        <v>1</v>
      </c>
      <c r="F103">
        <v>0</v>
      </c>
      <c r="G103">
        <v>1</v>
      </c>
      <c r="H103" t="s">
        <v>20</v>
      </c>
      <c r="I103">
        <v>1</v>
      </c>
      <c r="J103" t="s">
        <v>20</v>
      </c>
      <c r="K103">
        <v>1</v>
      </c>
      <c r="L103">
        <v>1</v>
      </c>
      <c r="M103">
        <v>1</v>
      </c>
      <c r="N103">
        <v>1</v>
      </c>
      <c r="O103">
        <v>1</v>
      </c>
      <c r="P103" t="s">
        <v>419</v>
      </c>
    </row>
    <row r="104" spans="1:16" x14ac:dyDescent="0.25">
      <c r="A104" t="s">
        <v>96</v>
      </c>
      <c r="B104" t="s">
        <v>127</v>
      </c>
      <c r="C104">
        <v>0</v>
      </c>
      <c r="D104">
        <v>11.81568622589111</v>
      </c>
      <c r="E104">
        <v>1</v>
      </c>
      <c r="F104">
        <v>1</v>
      </c>
      <c r="G104">
        <v>1</v>
      </c>
      <c r="H104">
        <v>0</v>
      </c>
      <c r="I104">
        <v>1</v>
      </c>
      <c r="J104">
        <v>0</v>
      </c>
      <c r="K104">
        <v>1</v>
      </c>
      <c r="L104">
        <v>1</v>
      </c>
      <c r="M104">
        <v>1</v>
      </c>
      <c r="N104">
        <v>1</v>
      </c>
      <c r="O104">
        <v>1</v>
      </c>
      <c r="P104" t="s">
        <v>420</v>
      </c>
    </row>
    <row r="105" spans="1:16" x14ac:dyDescent="0.25">
      <c r="A105" t="s">
        <v>96</v>
      </c>
      <c r="B105" t="s">
        <v>129</v>
      </c>
      <c r="C105">
        <v>0</v>
      </c>
      <c r="D105">
        <v>4.5051102638244629</v>
      </c>
      <c r="E105">
        <v>1</v>
      </c>
      <c r="F105">
        <v>1</v>
      </c>
      <c r="G105">
        <v>1</v>
      </c>
      <c r="H105">
        <v>0</v>
      </c>
      <c r="I105">
        <v>1</v>
      </c>
      <c r="J105">
        <v>1</v>
      </c>
      <c r="K105">
        <v>1</v>
      </c>
      <c r="L105">
        <v>1</v>
      </c>
      <c r="M105">
        <v>1</v>
      </c>
      <c r="N105">
        <v>1</v>
      </c>
      <c r="O105">
        <v>1</v>
      </c>
      <c r="P105" t="s">
        <v>421</v>
      </c>
    </row>
    <row r="106" spans="1:16" x14ac:dyDescent="0.25">
      <c r="A106" t="s">
        <v>96</v>
      </c>
      <c r="B106" t="s">
        <v>131</v>
      </c>
      <c r="C106">
        <v>0</v>
      </c>
      <c r="D106">
        <v>11.812830448150629</v>
      </c>
      <c r="E106">
        <v>0</v>
      </c>
      <c r="F106" t="s">
        <v>20</v>
      </c>
      <c r="G106" t="s">
        <v>20</v>
      </c>
      <c r="H106" t="s">
        <v>20</v>
      </c>
      <c r="I106" t="s">
        <v>20</v>
      </c>
      <c r="J106" t="s">
        <v>20</v>
      </c>
      <c r="K106" t="s">
        <v>20</v>
      </c>
      <c r="L106" t="s">
        <v>20</v>
      </c>
      <c r="M106" t="s">
        <v>20</v>
      </c>
      <c r="N106" t="s">
        <v>20</v>
      </c>
      <c r="O106" t="s">
        <v>20</v>
      </c>
      <c r="P106" t="s">
        <v>422</v>
      </c>
    </row>
    <row r="107" spans="1:16" x14ac:dyDescent="0.25">
      <c r="A107" t="s">
        <v>96</v>
      </c>
      <c r="B107" t="s">
        <v>133</v>
      </c>
      <c r="C107">
        <v>0</v>
      </c>
      <c r="D107">
        <v>5.4463813304901123</v>
      </c>
      <c r="E107">
        <v>1</v>
      </c>
      <c r="F107">
        <v>1</v>
      </c>
      <c r="G107">
        <v>1</v>
      </c>
      <c r="H107">
        <v>1</v>
      </c>
      <c r="I107">
        <v>1</v>
      </c>
      <c r="J107">
        <v>1</v>
      </c>
      <c r="K107">
        <v>0</v>
      </c>
      <c r="L107">
        <v>1</v>
      </c>
      <c r="M107">
        <v>1</v>
      </c>
      <c r="N107">
        <v>1</v>
      </c>
      <c r="O107">
        <v>1</v>
      </c>
      <c r="P107" t="s">
        <v>423</v>
      </c>
    </row>
    <row r="108" spans="1:16" x14ac:dyDescent="0.25">
      <c r="A108" t="s">
        <v>96</v>
      </c>
      <c r="B108" t="s">
        <v>135</v>
      </c>
      <c r="C108">
        <v>0</v>
      </c>
      <c r="D108">
        <v>10.597431898117071</v>
      </c>
      <c r="E108">
        <v>1</v>
      </c>
      <c r="F108">
        <v>1</v>
      </c>
      <c r="G108">
        <v>1</v>
      </c>
      <c r="H108">
        <v>1</v>
      </c>
      <c r="I108">
        <v>1</v>
      </c>
      <c r="J108">
        <v>1</v>
      </c>
      <c r="K108">
        <v>1</v>
      </c>
      <c r="L108">
        <v>1</v>
      </c>
      <c r="M108">
        <v>1</v>
      </c>
      <c r="N108">
        <v>1</v>
      </c>
      <c r="O108">
        <v>1</v>
      </c>
    </row>
    <row r="109" spans="1:16" x14ac:dyDescent="0.25">
      <c r="A109" t="s">
        <v>96</v>
      </c>
      <c r="B109" t="s">
        <v>136</v>
      </c>
      <c r="C109">
        <v>0</v>
      </c>
      <c r="D109">
        <v>2.6277215480804439</v>
      </c>
      <c r="E109">
        <v>1</v>
      </c>
      <c r="F109">
        <v>1</v>
      </c>
      <c r="G109">
        <v>1</v>
      </c>
      <c r="H109">
        <v>1</v>
      </c>
      <c r="I109">
        <v>1</v>
      </c>
      <c r="J109">
        <v>1</v>
      </c>
      <c r="K109">
        <v>1</v>
      </c>
      <c r="L109">
        <v>1</v>
      </c>
      <c r="M109">
        <v>1</v>
      </c>
      <c r="N109">
        <v>1</v>
      </c>
      <c r="O109">
        <v>1</v>
      </c>
    </row>
    <row r="110" spans="1:16" x14ac:dyDescent="0.25">
      <c r="A110" t="s">
        <v>96</v>
      </c>
      <c r="B110" t="s">
        <v>137</v>
      </c>
      <c r="C110">
        <v>0</v>
      </c>
      <c r="D110">
        <v>9.3484067916870117</v>
      </c>
      <c r="E110">
        <v>1</v>
      </c>
      <c r="F110">
        <v>1</v>
      </c>
      <c r="G110">
        <v>1</v>
      </c>
      <c r="H110">
        <v>1</v>
      </c>
      <c r="I110">
        <v>1</v>
      </c>
      <c r="J110">
        <v>1</v>
      </c>
      <c r="K110">
        <v>1</v>
      </c>
      <c r="L110">
        <v>1</v>
      </c>
      <c r="M110">
        <v>1</v>
      </c>
      <c r="N110">
        <v>1</v>
      </c>
      <c r="O110">
        <v>1</v>
      </c>
    </row>
    <row r="111" spans="1:16" x14ac:dyDescent="0.25">
      <c r="A111" t="s">
        <v>96</v>
      </c>
      <c r="B111" t="s">
        <v>138</v>
      </c>
      <c r="C111">
        <v>0</v>
      </c>
      <c r="D111">
        <v>4.0506150722503662</v>
      </c>
      <c r="E111">
        <v>1</v>
      </c>
      <c r="F111">
        <v>1</v>
      </c>
      <c r="G111">
        <v>1</v>
      </c>
      <c r="H111">
        <v>1</v>
      </c>
      <c r="I111">
        <v>1</v>
      </c>
      <c r="J111">
        <v>0</v>
      </c>
      <c r="K111">
        <v>1</v>
      </c>
      <c r="L111">
        <v>1</v>
      </c>
      <c r="M111">
        <v>1</v>
      </c>
      <c r="N111">
        <v>1</v>
      </c>
      <c r="O111">
        <v>1</v>
      </c>
      <c r="P111" t="s">
        <v>424</v>
      </c>
    </row>
    <row r="112" spans="1:16" x14ac:dyDescent="0.25">
      <c r="A112" t="s">
        <v>96</v>
      </c>
      <c r="B112" t="s">
        <v>140</v>
      </c>
      <c r="C112">
        <v>0</v>
      </c>
      <c r="D112">
        <v>2.7380819320678711</v>
      </c>
      <c r="E112">
        <v>1</v>
      </c>
      <c r="F112">
        <v>1</v>
      </c>
      <c r="G112">
        <v>1</v>
      </c>
      <c r="H112">
        <v>1</v>
      </c>
      <c r="I112">
        <v>1</v>
      </c>
      <c r="J112">
        <v>1</v>
      </c>
      <c r="K112">
        <v>1</v>
      </c>
      <c r="L112">
        <v>1</v>
      </c>
      <c r="M112">
        <v>1</v>
      </c>
      <c r="N112">
        <v>1</v>
      </c>
      <c r="O112">
        <v>1</v>
      </c>
    </row>
    <row r="113" spans="1:16" x14ac:dyDescent="0.25">
      <c r="A113" t="s">
        <v>96</v>
      </c>
      <c r="B113" t="s">
        <v>141</v>
      </c>
      <c r="C113">
        <v>0</v>
      </c>
      <c r="D113">
        <v>5.3088481426239014</v>
      </c>
      <c r="E113">
        <v>1</v>
      </c>
      <c r="F113">
        <v>1</v>
      </c>
      <c r="G113">
        <v>1</v>
      </c>
      <c r="H113">
        <v>1</v>
      </c>
      <c r="I113">
        <v>1</v>
      </c>
      <c r="J113">
        <v>0</v>
      </c>
      <c r="K113">
        <v>1</v>
      </c>
      <c r="L113">
        <v>1</v>
      </c>
      <c r="M113">
        <v>1</v>
      </c>
      <c r="N113">
        <v>1</v>
      </c>
      <c r="O113">
        <v>1</v>
      </c>
      <c r="P113" t="s">
        <v>425</v>
      </c>
    </row>
    <row r="114" spans="1:16" x14ac:dyDescent="0.25">
      <c r="A114" t="s">
        <v>143</v>
      </c>
      <c r="B114" t="s">
        <v>17</v>
      </c>
      <c r="C114">
        <v>0</v>
      </c>
      <c r="D114">
        <v>2.768105030059814</v>
      </c>
      <c r="E114">
        <v>1</v>
      </c>
      <c r="F114">
        <v>1</v>
      </c>
      <c r="G114">
        <v>1</v>
      </c>
      <c r="H114">
        <v>1</v>
      </c>
      <c r="I114">
        <v>1</v>
      </c>
      <c r="J114">
        <v>1</v>
      </c>
      <c r="K114">
        <v>1</v>
      </c>
      <c r="L114">
        <v>1</v>
      </c>
      <c r="M114">
        <v>1</v>
      </c>
      <c r="N114">
        <v>1</v>
      </c>
      <c r="O114">
        <v>1</v>
      </c>
    </row>
    <row r="115" spans="1:16" x14ac:dyDescent="0.25">
      <c r="A115" t="s">
        <v>143</v>
      </c>
      <c r="B115" t="s">
        <v>18</v>
      </c>
      <c r="C115">
        <v>0</v>
      </c>
      <c r="D115">
        <v>9.4577052593231201</v>
      </c>
      <c r="E115">
        <v>1</v>
      </c>
      <c r="F115">
        <v>1</v>
      </c>
      <c r="G115">
        <v>1</v>
      </c>
      <c r="H115">
        <v>1</v>
      </c>
      <c r="I115">
        <v>1</v>
      </c>
      <c r="J115">
        <v>1</v>
      </c>
      <c r="K115">
        <v>1</v>
      </c>
      <c r="L115">
        <v>1</v>
      </c>
      <c r="M115">
        <v>1</v>
      </c>
      <c r="N115">
        <v>1</v>
      </c>
      <c r="O115">
        <v>1</v>
      </c>
    </row>
    <row r="116" spans="1:16" x14ac:dyDescent="0.25">
      <c r="A116" t="s">
        <v>143</v>
      </c>
      <c r="B116" t="s">
        <v>19</v>
      </c>
      <c r="C116">
        <v>0</v>
      </c>
      <c r="D116">
        <v>10.9757866859436</v>
      </c>
      <c r="E116">
        <v>1</v>
      </c>
      <c r="F116">
        <v>1</v>
      </c>
      <c r="G116">
        <v>1</v>
      </c>
      <c r="H116">
        <v>1</v>
      </c>
      <c r="I116">
        <v>1</v>
      </c>
      <c r="J116">
        <v>1</v>
      </c>
      <c r="K116">
        <v>1</v>
      </c>
      <c r="L116">
        <v>1</v>
      </c>
      <c r="M116">
        <v>1</v>
      </c>
      <c r="N116">
        <v>1</v>
      </c>
      <c r="O116">
        <v>1</v>
      </c>
    </row>
    <row r="117" spans="1:16" x14ac:dyDescent="0.25">
      <c r="A117" t="s">
        <v>143</v>
      </c>
      <c r="B117" t="s">
        <v>22</v>
      </c>
      <c r="C117">
        <v>0</v>
      </c>
      <c r="D117">
        <v>4.9225013256072998</v>
      </c>
      <c r="E117">
        <v>1</v>
      </c>
      <c r="F117">
        <v>1</v>
      </c>
      <c r="G117">
        <v>1</v>
      </c>
      <c r="H117">
        <v>1</v>
      </c>
      <c r="I117">
        <v>1</v>
      </c>
      <c r="J117">
        <v>0</v>
      </c>
      <c r="K117">
        <v>1</v>
      </c>
      <c r="L117">
        <v>1</v>
      </c>
      <c r="M117">
        <v>1</v>
      </c>
      <c r="N117">
        <v>1</v>
      </c>
      <c r="O117">
        <v>1</v>
      </c>
      <c r="P117" t="s">
        <v>426</v>
      </c>
    </row>
    <row r="118" spans="1:16" x14ac:dyDescent="0.25">
      <c r="A118" t="s">
        <v>143</v>
      </c>
      <c r="B118" t="s">
        <v>24</v>
      </c>
      <c r="C118">
        <v>0</v>
      </c>
      <c r="D118">
        <v>4.521970272064209</v>
      </c>
      <c r="E118">
        <v>1</v>
      </c>
      <c r="F118">
        <v>1</v>
      </c>
      <c r="G118">
        <v>1</v>
      </c>
      <c r="H118">
        <v>1</v>
      </c>
      <c r="I118">
        <v>1</v>
      </c>
      <c r="J118">
        <v>1</v>
      </c>
      <c r="K118">
        <v>1</v>
      </c>
      <c r="L118">
        <v>0</v>
      </c>
      <c r="M118">
        <v>1</v>
      </c>
      <c r="N118">
        <v>0</v>
      </c>
      <c r="O118">
        <v>1</v>
      </c>
      <c r="P118" t="s">
        <v>427</v>
      </c>
    </row>
    <row r="119" spans="1:16" x14ac:dyDescent="0.25">
      <c r="A119" t="s">
        <v>143</v>
      </c>
      <c r="B119" t="s">
        <v>25</v>
      </c>
      <c r="C119">
        <v>0</v>
      </c>
      <c r="D119">
        <v>6.7243282794952393</v>
      </c>
      <c r="E119">
        <v>0</v>
      </c>
      <c r="F119" t="s">
        <v>20</v>
      </c>
      <c r="G119" t="s">
        <v>20</v>
      </c>
      <c r="H119" t="s">
        <v>20</v>
      </c>
      <c r="I119" t="s">
        <v>20</v>
      </c>
      <c r="J119" t="s">
        <v>20</v>
      </c>
      <c r="K119" t="s">
        <v>20</v>
      </c>
      <c r="L119" t="s">
        <v>20</v>
      </c>
      <c r="M119" t="s">
        <v>20</v>
      </c>
      <c r="N119" t="s">
        <v>20</v>
      </c>
      <c r="O119" t="s">
        <v>20</v>
      </c>
      <c r="P119" t="s">
        <v>428</v>
      </c>
    </row>
    <row r="120" spans="1:16" x14ac:dyDescent="0.25">
      <c r="A120" t="s">
        <v>143</v>
      </c>
      <c r="B120" t="s">
        <v>26</v>
      </c>
      <c r="C120">
        <v>0</v>
      </c>
      <c r="D120">
        <v>12.160701513290411</v>
      </c>
      <c r="E120">
        <v>1</v>
      </c>
      <c r="F120">
        <v>1</v>
      </c>
      <c r="G120">
        <v>0</v>
      </c>
      <c r="H120" t="s">
        <v>20</v>
      </c>
      <c r="I120">
        <v>1</v>
      </c>
      <c r="J120">
        <v>1</v>
      </c>
      <c r="K120">
        <v>0</v>
      </c>
      <c r="L120">
        <v>1</v>
      </c>
      <c r="M120">
        <v>1</v>
      </c>
      <c r="N120">
        <v>1</v>
      </c>
      <c r="O120">
        <v>1</v>
      </c>
      <c r="P120" t="s">
        <v>429</v>
      </c>
    </row>
    <row r="121" spans="1:16" x14ac:dyDescent="0.25">
      <c r="A121" t="s">
        <v>143</v>
      </c>
      <c r="B121" t="s">
        <v>27</v>
      </c>
      <c r="C121">
        <v>0</v>
      </c>
      <c r="D121">
        <v>10.162825107574459</v>
      </c>
      <c r="E121">
        <v>1</v>
      </c>
      <c r="F121">
        <v>1</v>
      </c>
      <c r="G121">
        <v>1</v>
      </c>
      <c r="H121">
        <v>1</v>
      </c>
      <c r="I121">
        <v>1</v>
      </c>
      <c r="J121">
        <v>1</v>
      </c>
      <c r="K121">
        <v>1</v>
      </c>
      <c r="L121">
        <v>1</v>
      </c>
      <c r="M121">
        <v>1</v>
      </c>
      <c r="N121">
        <v>1</v>
      </c>
      <c r="O121">
        <v>1</v>
      </c>
    </row>
    <row r="122" spans="1:16" x14ac:dyDescent="0.25">
      <c r="A122" t="s">
        <v>143</v>
      </c>
      <c r="B122" t="s">
        <v>28</v>
      </c>
      <c r="C122">
        <v>0</v>
      </c>
      <c r="D122">
        <v>2.671597003936768</v>
      </c>
      <c r="E122">
        <v>1</v>
      </c>
      <c r="F122">
        <v>1</v>
      </c>
      <c r="G122">
        <v>1</v>
      </c>
      <c r="H122">
        <v>1</v>
      </c>
      <c r="I122">
        <v>1</v>
      </c>
      <c r="J122">
        <v>1</v>
      </c>
      <c r="K122">
        <v>1</v>
      </c>
      <c r="L122">
        <v>1</v>
      </c>
      <c r="M122">
        <v>1</v>
      </c>
      <c r="N122">
        <v>1</v>
      </c>
      <c r="O122">
        <v>1</v>
      </c>
    </row>
    <row r="123" spans="1:16" x14ac:dyDescent="0.25">
      <c r="A123" t="s">
        <v>143</v>
      </c>
      <c r="B123" t="s">
        <v>29</v>
      </c>
      <c r="C123">
        <v>0</v>
      </c>
      <c r="D123">
        <v>4.8220365047454834</v>
      </c>
      <c r="E123">
        <v>1</v>
      </c>
      <c r="F123">
        <v>1</v>
      </c>
      <c r="G123">
        <v>1</v>
      </c>
      <c r="H123">
        <v>1</v>
      </c>
      <c r="I123">
        <v>1</v>
      </c>
      <c r="J123">
        <v>0</v>
      </c>
      <c r="K123">
        <v>0</v>
      </c>
      <c r="L123">
        <v>1</v>
      </c>
      <c r="M123">
        <v>1</v>
      </c>
      <c r="N123">
        <v>1</v>
      </c>
      <c r="O123">
        <v>1</v>
      </c>
      <c r="P123" t="s">
        <v>430</v>
      </c>
    </row>
    <row r="124" spans="1:16" x14ac:dyDescent="0.25">
      <c r="A124" t="s">
        <v>143</v>
      </c>
      <c r="B124" t="s">
        <v>31</v>
      </c>
      <c r="C124">
        <v>0</v>
      </c>
      <c r="D124">
        <v>11.190095186233521</v>
      </c>
      <c r="E124">
        <v>0</v>
      </c>
      <c r="F124" t="s">
        <v>20</v>
      </c>
      <c r="G124" t="s">
        <v>20</v>
      </c>
      <c r="H124" t="s">
        <v>20</v>
      </c>
      <c r="I124" t="s">
        <v>20</v>
      </c>
      <c r="J124" t="s">
        <v>20</v>
      </c>
      <c r="K124" t="s">
        <v>20</v>
      </c>
      <c r="L124" t="s">
        <v>20</v>
      </c>
      <c r="M124" t="s">
        <v>20</v>
      </c>
      <c r="N124" t="s">
        <v>20</v>
      </c>
      <c r="O124" t="s">
        <v>20</v>
      </c>
      <c r="P124" t="s">
        <v>431</v>
      </c>
    </row>
    <row r="125" spans="1:16" x14ac:dyDescent="0.25">
      <c r="A125" t="s">
        <v>143</v>
      </c>
      <c r="B125" t="s">
        <v>33</v>
      </c>
      <c r="C125">
        <v>0</v>
      </c>
      <c r="D125">
        <v>12.013297557830811</v>
      </c>
      <c r="E125">
        <v>1</v>
      </c>
      <c r="F125">
        <v>1</v>
      </c>
      <c r="G125">
        <v>0</v>
      </c>
      <c r="H125" t="s">
        <v>20</v>
      </c>
      <c r="I125">
        <v>1</v>
      </c>
      <c r="J125">
        <v>1</v>
      </c>
      <c r="K125">
        <v>1</v>
      </c>
      <c r="L125">
        <v>1</v>
      </c>
      <c r="M125">
        <v>1</v>
      </c>
      <c r="N125">
        <v>1</v>
      </c>
      <c r="O125">
        <v>1</v>
      </c>
      <c r="P125" t="s">
        <v>432</v>
      </c>
    </row>
    <row r="126" spans="1:16" x14ac:dyDescent="0.25">
      <c r="A126" t="s">
        <v>143</v>
      </c>
      <c r="B126" t="s">
        <v>35</v>
      </c>
      <c r="C126">
        <v>0</v>
      </c>
      <c r="D126">
        <v>2.6699094772338872</v>
      </c>
      <c r="E126">
        <v>1</v>
      </c>
      <c r="F126">
        <v>1</v>
      </c>
      <c r="G126">
        <v>1</v>
      </c>
      <c r="H126">
        <v>1</v>
      </c>
      <c r="I126">
        <v>1</v>
      </c>
      <c r="J126">
        <v>1</v>
      </c>
      <c r="K126">
        <v>1</v>
      </c>
      <c r="L126">
        <v>1</v>
      </c>
      <c r="M126">
        <v>1</v>
      </c>
      <c r="N126">
        <v>1</v>
      </c>
      <c r="O126">
        <v>1</v>
      </c>
    </row>
    <row r="127" spans="1:16" x14ac:dyDescent="0.25">
      <c r="A127" t="s">
        <v>143</v>
      </c>
      <c r="B127" t="s">
        <v>36</v>
      </c>
      <c r="C127">
        <v>0</v>
      </c>
      <c r="D127">
        <v>2.769576787948608</v>
      </c>
      <c r="E127">
        <v>1</v>
      </c>
      <c r="F127">
        <v>1</v>
      </c>
      <c r="G127">
        <v>1</v>
      </c>
      <c r="H127">
        <v>1</v>
      </c>
      <c r="I127">
        <v>1</v>
      </c>
      <c r="J127">
        <v>1</v>
      </c>
      <c r="K127">
        <v>1</v>
      </c>
      <c r="L127">
        <v>1</v>
      </c>
      <c r="M127">
        <v>1</v>
      </c>
      <c r="N127">
        <v>1</v>
      </c>
      <c r="O127">
        <v>1</v>
      </c>
    </row>
    <row r="128" spans="1:16" x14ac:dyDescent="0.25">
      <c r="A128" t="s">
        <v>143</v>
      </c>
      <c r="B128" t="s">
        <v>38</v>
      </c>
      <c r="C128">
        <v>0</v>
      </c>
      <c r="D128">
        <v>9.1319084167480469</v>
      </c>
      <c r="E128">
        <v>1</v>
      </c>
      <c r="F128">
        <v>1</v>
      </c>
      <c r="G128">
        <v>1</v>
      </c>
      <c r="H128">
        <v>1</v>
      </c>
      <c r="I128">
        <v>1</v>
      </c>
      <c r="J128">
        <v>1</v>
      </c>
      <c r="K128">
        <v>1</v>
      </c>
      <c r="L128">
        <v>1</v>
      </c>
      <c r="M128">
        <v>1</v>
      </c>
      <c r="N128">
        <v>1</v>
      </c>
      <c r="O128">
        <v>1</v>
      </c>
    </row>
    <row r="129" spans="1:16" x14ac:dyDescent="0.25">
      <c r="A129" t="s">
        <v>143</v>
      </c>
      <c r="B129" t="s">
        <v>40</v>
      </c>
      <c r="C129">
        <v>0</v>
      </c>
      <c r="D129">
        <v>2.75766921043396</v>
      </c>
      <c r="E129">
        <v>1</v>
      </c>
      <c r="F129">
        <v>1</v>
      </c>
      <c r="G129">
        <v>1</v>
      </c>
      <c r="H129">
        <v>1</v>
      </c>
      <c r="I129">
        <v>1</v>
      </c>
      <c r="J129">
        <v>1</v>
      </c>
      <c r="K129">
        <v>1</v>
      </c>
      <c r="L129">
        <v>1</v>
      </c>
      <c r="M129">
        <v>1</v>
      </c>
      <c r="N129">
        <v>1</v>
      </c>
      <c r="O129">
        <v>1</v>
      </c>
    </row>
    <row r="130" spans="1:16" x14ac:dyDescent="0.25">
      <c r="A130" t="s">
        <v>143</v>
      </c>
      <c r="B130" t="s">
        <v>42</v>
      </c>
      <c r="C130">
        <v>0</v>
      </c>
      <c r="D130">
        <v>2.7105555534362789</v>
      </c>
      <c r="E130">
        <v>1</v>
      </c>
      <c r="F130">
        <v>1</v>
      </c>
      <c r="G130">
        <v>1</v>
      </c>
      <c r="H130">
        <v>1</v>
      </c>
      <c r="I130">
        <v>1</v>
      </c>
      <c r="J130">
        <v>1</v>
      </c>
      <c r="K130">
        <v>1</v>
      </c>
      <c r="L130">
        <v>1</v>
      </c>
      <c r="M130">
        <v>1</v>
      </c>
      <c r="N130">
        <v>1</v>
      </c>
      <c r="O130">
        <v>1</v>
      </c>
    </row>
    <row r="131" spans="1:16" x14ac:dyDescent="0.25">
      <c r="A131" t="s">
        <v>143</v>
      </c>
      <c r="B131" t="s">
        <v>43</v>
      </c>
      <c r="C131">
        <v>0</v>
      </c>
      <c r="D131">
        <v>2.847697257995605</v>
      </c>
      <c r="E131">
        <v>1</v>
      </c>
      <c r="F131">
        <v>1</v>
      </c>
      <c r="G131">
        <v>1</v>
      </c>
      <c r="H131">
        <v>1</v>
      </c>
      <c r="I131">
        <v>1</v>
      </c>
      <c r="J131">
        <v>1</v>
      </c>
      <c r="K131">
        <v>1</v>
      </c>
      <c r="L131">
        <v>1</v>
      </c>
      <c r="M131">
        <v>1</v>
      </c>
      <c r="N131">
        <v>1</v>
      </c>
      <c r="O131">
        <v>1</v>
      </c>
    </row>
    <row r="132" spans="1:16" x14ac:dyDescent="0.25">
      <c r="A132" t="s">
        <v>143</v>
      </c>
      <c r="B132" t="s">
        <v>44</v>
      </c>
      <c r="C132">
        <v>0</v>
      </c>
      <c r="D132">
        <v>11.10261034965515</v>
      </c>
      <c r="E132">
        <v>1</v>
      </c>
      <c r="F132">
        <v>1</v>
      </c>
      <c r="G132">
        <v>0</v>
      </c>
      <c r="H132" t="s">
        <v>20</v>
      </c>
      <c r="I132">
        <v>1</v>
      </c>
      <c r="J132">
        <v>1</v>
      </c>
      <c r="K132">
        <v>1</v>
      </c>
      <c r="L132">
        <v>1</v>
      </c>
      <c r="M132">
        <v>0</v>
      </c>
      <c r="N132">
        <v>1</v>
      </c>
      <c r="O132">
        <v>1</v>
      </c>
      <c r="P132" t="s">
        <v>433</v>
      </c>
    </row>
    <row r="133" spans="1:16" x14ac:dyDescent="0.25">
      <c r="A133" t="s">
        <v>143</v>
      </c>
      <c r="B133" t="s">
        <v>46</v>
      </c>
      <c r="C133">
        <v>0</v>
      </c>
      <c r="D133">
        <v>6.8352100849151611</v>
      </c>
      <c r="E133">
        <v>1</v>
      </c>
      <c r="F133">
        <v>1</v>
      </c>
      <c r="G133">
        <v>1</v>
      </c>
      <c r="H133">
        <v>1</v>
      </c>
      <c r="I133">
        <v>1</v>
      </c>
      <c r="J133">
        <v>1</v>
      </c>
      <c r="K133">
        <v>0</v>
      </c>
      <c r="L133">
        <v>1</v>
      </c>
      <c r="M133">
        <v>0</v>
      </c>
      <c r="N133">
        <v>1</v>
      </c>
      <c r="O133">
        <v>1</v>
      </c>
      <c r="P133" t="s">
        <v>434</v>
      </c>
    </row>
    <row r="134" spans="1:16" x14ac:dyDescent="0.25">
      <c r="A134" t="s">
        <v>143</v>
      </c>
      <c r="B134" t="s">
        <v>48</v>
      </c>
      <c r="C134">
        <v>0</v>
      </c>
      <c r="D134">
        <v>2.8651916980743408</v>
      </c>
      <c r="E134">
        <v>1</v>
      </c>
      <c r="F134">
        <v>1</v>
      </c>
      <c r="G134">
        <v>1</v>
      </c>
      <c r="H134">
        <v>1</v>
      </c>
      <c r="I134">
        <v>1</v>
      </c>
      <c r="J134">
        <v>1</v>
      </c>
      <c r="K134">
        <v>1</v>
      </c>
      <c r="L134">
        <v>1</v>
      </c>
      <c r="M134">
        <v>1</v>
      </c>
      <c r="N134">
        <v>1</v>
      </c>
      <c r="O134">
        <v>1</v>
      </c>
    </row>
    <row r="135" spans="1:16" x14ac:dyDescent="0.25">
      <c r="A135" t="s">
        <v>143</v>
      </c>
      <c r="B135" t="s">
        <v>50</v>
      </c>
      <c r="C135">
        <v>0</v>
      </c>
      <c r="D135">
        <v>8.3190643787384033</v>
      </c>
      <c r="E135">
        <v>0</v>
      </c>
      <c r="F135" t="s">
        <v>20</v>
      </c>
      <c r="G135" t="s">
        <v>20</v>
      </c>
      <c r="H135" t="s">
        <v>20</v>
      </c>
      <c r="I135" t="s">
        <v>20</v>
      </c>
      <c r="J135" t="s">
        <v>20</v>
      </c>
      <c r="K135" t="s">
        <v>20</v>
      </c>
      <c r="L135" t="s">
        <v>20</v>
      </c>
      <c r="M135" t="s">
        <v>20</v>
      </c>
      <c r="N135" t="s">
        <v>20</v>
      </c>
      <c r="O135" t="s">
        <v>20</v>
      </c>
      <c r="P135" t="s">
        <v>435</v>
      </c>
    </row>
    <row r="136" spans="1:16" x14ac:dyDescent="0.25">
      <c r="A136" t="s">
        <v>143</v>
      </c>
      <c r="B136" t="s">
        <v>51</v>
      </c>
      <c r="C136">
        <v>0</v>
      </c>
      <c r="D136">
        <v>8.5190231800079346</v>
      </c>
      <c r="E136">
        <v>1</v>
      </c>
      <c r="F136">
        <v>1</v>
      </c>
      <c r="G136">
        <v>1</v>
      </c>
      <c r="H136">
        <v>1</v>
      </c>
      <c r="I136">
        <v>1</v>
      </c>
      <c r="J136">
        <v>1</v>
      </c>
      <c r="K136">
        <v>1</v>
      </c>
      <c r="L136">
        <v>1</v>
      </c>
      <c r="M136">
        <v>1</v>
      </c>
      <c r="N136">
        <v>1</v>
      </c>
      <c r="O136">
        <v>1</v>
      </c>
    </row>
    <row r="137" spans="1:16" x14ac:dyDescent="0.25">
      <c r="A137" t="s">
        <v>143</v>
      </c>
      <c r="B137" t="s">
        <v>52</v>
      </c>
      <c r="C137">
        <v>0</v>
      </c>
      <c r="D137">
        <v>4.6163949966430664</v>
      </c>
      <c r="E137">
        <v>1</v>
      </c>
      <c r="F137">
        <v>0</v>
      </c>
      <c r="G137">
        <v>1</v>
      </c>
      <c r="H137" t="s">
        <v>20</v>
      </c>
      <c r="I137">
        <v>1</v>
      </c>
      <c r="J137" t="s">
        <v>20</v>
      </c>
      <c r="K137">
        <v>1</v>
      </c>
      <c r="L137">
        <v>1</v>
      </c>
      <c r="M137">
        <v>1</v>
      </c>
      <c r="N137">
        <v>1</v>
      </c>
      <c r="O137">
        <v>1</v>
      </c>
      <c r="P137" t="s">
        <v>436</v>
      </c>
    </row>
    <row r="138" spans="1:16" x14ac:dyDescent="0.25">
      <c r="A138" t="s">
        <v>143</v>
      </c>
      <c r="B138" t="s">
        <v>53</v>
      </c>
      <c r="C138">
        <v>0</v>
      </c>
      <c r="D138">
        <v>5.9822103977203369</v>
      </c>
      <c r="E138">
        <v>1</v>
      </c>
      <c r="F138">
        <v>0</v>
      </c>
      <c r="G138">
        <v>1</v>
      </c>
      <c r="H138" t="s">
        <v>20</v>
      </c>
      <c r="I138">
        <v>1</v>
      </c>
      <c r="J138" t="s">
        <v>20</v>
      </c>
      <c r="K138">
        <v>1</v>
      </c>
      <c r="L138">
        <v>1</v>
      </c>
      <c r="M138">
        <v>1</v>
      </c>
      <c r="N138">
        <v>1</v>
      </c>
      <c r="O138">
        <v>1</v>
      </c>
      <c r="P138" t="s">
        <v>437</v>
      </c>
    </row>
    <row r="139" spans="1:16" x14ac:dyDescent="0.25">
      <c r="A139" t="s">
        <v>143</v>
      </c>
      <c r="B139" t="s">
        <v>55</v>
      </c>
      <c r="C139">
        <v>0</v>
      </c>
      <c r="D139">
        <v>10.024666309356689</v>
      </c>
      <c r="E139">
        <v>1</v>
      </c>
      <c r="F139">
        <v>1</v>
      </c>
      <c r="G139">
        <v>1</v>
      </c>
      <c r="H139">
        <v>1</v>
      </c>
      <c r="I139">
        <v>1</v>
      </c>
      <c r="J139">
        <v>1</v>
      </c>
      <c r="K139">
        <v>1</v>
      </c>
      <c r="L139">
        <v>1</v>
      </c>
      <c r="M139">
        <v>1</v>
      </c>
      <c r="N139">
        <v>1</v>
      </c>
      <c r="O139">
        <v>1</v>
      </c>
    </row>
    <row r="140" spans="1:16" x14ac:dyDescent="0.25">
      <c r="A140" t="s">
        <v>143</v>
      </c>
      <c r="B140" t="s">
        <v>57</v>
      </c>
      <c r="C140">
        <v>0</v>
      </c>
      <c r="D140">
        <v>2.7088911533355708</v>
      </c>
      <c r="E140">
        <v>1</v>
      </c>
      <c r="F140">
        <v>1</v>
      </c>
      <c r="G140">
        <v>1</v>
      </c>
      <c r="H140">
        <v>1</v>
      </c>
      <c r="I140">
        <v>1</v>
      </c>
      <c r="J140">
        <v>1</v>
      </c>
      <c r="K140">
        <v>1</v>
      </c>
      <c r="L140">
        <v>1</v>
      </c>
      <c r="M140">
        <v>1</v>
      </c>
      <c r="N140">
        <v>1</v>
      </c>
      <c r="O140">
        <v>1</v>
      </c>
    </row>
    <row r="141" spans="1:16" x14ac:dyDescent="0.25">
      <c r="A141" t="s">
        <v>143</v>
      </c>
      <c r="B141" t="s">
        <v>59</v>
      </c>
      <c r="C141">
        <v>0</v>
      </c>
      <c r="D141">
        <v>10.11665320396423</v>
      </c>
      <c r="E141">
        <v>1</v>
      </c>
      <c r="F141">
        <v>1</v>
      </c>
      <c r="G141">
        <v>1</v>
      </c>
      <c r="H141">
        <v>1</v>
      </c>
      <c r="I141">
        <v>1</v>
      </c>
      <c r="J141">
        <v>1</v>
      </c>
      <c r="K141">
        <v>1</v>
      </c>
      <c r="L141">
        <v>1</v>
      </c>
      <c r="M141">
        <v>1</v>
      </c>
      <c r="N141">
        <v>1</v>
      </c>
      <c r="O141">
        <v>1</v>
      </c>
    </row>
    <row r="142" spans="1:16" x14ac:dyDescent="0.25">
      <c r="A142" t="s">
        <v>143</v>
      </c>
      <c r="B142" t="s">
        <v>61</v>
      </c>
      <c r="C142">
        <v>0</v>
      </c>
      <c r="D142">
        <v>8.6619582176208496</v>
      </c>
      <c r="E142">
        <v>1</v>
      </c>
      <c r="F142">
        <v>1</v>
      </c>
      <c r="G142">
        <v>1</v>
      </c>
      <c r="H142">
        <v>1</v>
      </c>
      <c r="I142">
        <v>1</v>
      </c>
      <c r="J142">
        <v>1</v>
      </c>
      <c r="K142">
        <v>1</v>
      </c>
      <c r="L142">
        <v>1</v>
      </c>
      <c r="M142">
        <v>1</v>
      </c>
      <c r="N142">
        <v>1</v>
      </c>
      <c r="O142">
        <v>1</v>
      </c>
    </row>
    <row r="143" spans="1:16" x14ac:dyDescent="0.25">
      <c r="A143" t="s">
        <v>143</v>
      </c>
      <c r="B143" t="s">
        <v>63</v>
      </c>
      <c r="C143">
        <v>0</v>
      </c>
      <c r="D143">
        <v>2.7468552589416499</v>
      </c>
      <c r="E143">
        <v>1</v>
      </c>
      <c r="F143">
        <v>1</v>
      </c>
      <c r="G143">
        <v>1</v>
      </c>
      <c r="H143">
        <v>1</v>
      </c>
      <c r="I143">
        <v>1</v>
      </c>
      <c r="J143">
        <v>1</v>
      </c>
      <c r="K143">
        <v>1</v>
      </c>
      <c r="L143">
        <v>1</v>
      </c>
      <c r="M143">
        <v>1</v>
      </c>
      <c r="N143">
        <v>1</v>
      </c>
      <c r="O143">
        <v>1</v>
      </c>
    </row>
    <row r="144" spans="1:16" x14ac:dyDescent="0.25">
      <c r="A144" t="s">
        <v>143</v>
      </c>
      <c r="B144" t="s">
        <v>65</v>
      </c>
      <c r="C144">
        <v>0</v>
      </c>
      <c r="D144">
        <v>8.6009726524353027</v>
      </c>
      <c r="E144">
        <v>1</v>
      </c>
      <c r="F144">
        <v>1</v>
      </c>
      <c r="G144">
        <v>1</v>
      </c>
      <c r="H144">
        <v>1</v>
      </c>
      <c r="I144">
        <v>1</v>
      </c>
      <c r="J144">
        <v>1</v>
      </c>
      <c r="K144">
        <v>1</v>
      </c>
      <c r="L144">
        <v>1</v>
      </c>
      <c r="M144">
        <v>1</v>
      </c>
      <c r="N144">
        <v>1</v>
      </c>
      <c r="O144">
        <v>1</v>
      </c>
    </row>
    <row r="145" spans="1:16" x14ac:dyDescent="0.25">
      <c r="A145" t="s">
        <v>143</v>
      </c>
      <c r="B145" t="s">
        <v>67</v>
      </c>
      <c r="C145">
        <v>0</v>
      </c>
      <c r="D145">
        <v>11.093186378479</v>
      </c>
      <c r="E145">
        <v>0</v>
      </c>
      <c r="F145" t="s">
        <v>20</v>
      </c>
      <c r="G145" t="s">
        <v>20</v>
      </c>
      <c r="H145" t="s">
        <v>20</v>
      </c>
      <c r="I145" t="s">
        <v>20</v>
      </c>
      <c r="J145" t="s">
        <v>20</v>
      </c>
      <c r="K145" t="s">
        <v>20</v>
      </c>
      <c r="L145" t="s">
        <v>20</v>
      </c>
      <c r="M145" t="s">
        <v>20</v>
      </c>
      <c r="N145" t="s">
        <v>20</v>
      </c>
      <c r="O145" t="s">
        <v>20</v>
      </c>
      <c r="P145" t="s">
        <v>438</v>
      </c>
    </row>
    <row r="146" spans="1:16" x14ac:dyDescent="0.25">
      <c r="A146" t="s">
        <v>143</v>
      </c>
      <c r="B146" t="s">
        <v>69</v>
      </c>
      <c r="C146">
        <v>0</v>
      </c>
      <c r="D146">
        <v>6.4769775867462158</v>
      </c>
      <c r="E146">
        <v>1</v>
      </c>
      <c r="F146">
        <v>1</v>
      </c>
      <c r="G146">
        <v>1</v>
      </c>
      <c r="H146">
        <v>1</v>
      </c>
      <c r="I146">
        <v>1</v>
      </c>
      <c r="J146">
        <v>1</v>
      </c>
      <c r="K146">
        <v>0</v>
      </c>
      <c r="L146">
        <v>1</v>
      </c>
      <c r="M146">
        <v>1</v>
      </c>
      <c r="N146">
        <v>1</v>
      </c>
      <c r="O146">
        <v>1</v>
      </c>
      <c r="P146" t="s">
        <v>439</v>
      </c>
    </row>
    <row r="147" spans="1:16" x14ac:dyDescent="0.25">
      <c r="A147" t="s">
        <v>143</v>
      </c>
      <c r="B147" t="s">
        <v>71</v>
      </c>
      <c r="C147">
        <v>0</v>
      </c>
      <c r="D147">
        <v>5.2090139389038086</v>
      </c>
      <c r="E147">
        <v>1</v>
      </c>
      <c r="F147">
        <v>1</v>
      </c>
      <c r="G147">
        <v>1</v>
      </c>
      <c r="H147">
        <v>1</v>
      </c>
      <c r="I147">
        <v>1</v>
      </c>
      <c r="J147">
        <v>1</v>
      </c>
      <c r="K147">
        <v>0</v>
      </c>
      <c r="L147">
        <v>1</v>
      </c>
      <c r="M147">
        <v>1</v>
      </c>
      <c r="N147">
        <v>1</v>
      </c>
      <c r="O147">
        <v>1</v>
      </c>
      <c r="P147" t="s">
        <v>440</v>
      </c>
    </row>
    <row r="148" spans="1:16" x14ac:dyDescent="0.25">
      <c r="A148" t="s">
        <v>143</v>
      </c>
      <c r="B148" t="s">
        <v>72</v>
      </c>
      <c r="C148">
        <v>0</v>
      </c>
      <c r="D148">
        <v>2.7625586986541748</v>
      </c>
      <c r="E148">
        <v>1</v>
      </c>
      <c r="F148">
        <v>1</v>
      </c>
      <c r="G148">
        <v>1</v>
      </c>
      <c r="H148">
        <v>1</v>
      </c>
      <c r="I148">
        <v>1</v>
      </c>
      <c r="J148">
        <v>1</v>
      </c>
      <c r="K148">
        <v>1</v>
      </c>
      <c r="L148">
        <v>1</v>
      </c>
      <c r="M148">
        <v>1</v>
      </c>
      <c r="N148">
        <v>1</v>
      </c>
      <c r="O148">
        <v>1</v>
      </c>
    </row>
    <row r="149" spans="1:16" x14ac:dyDescent="0.25">
      <c r="A149" t="s">
        <v>143</v>
      </c>
      <c r="B149" t="s">
        <v>73</v>
      </c>
      <c r="C149">
        <v>0</v>
      </c>
      <c r="D149">
        <v>8.6209516525268555</v>
      </c>
      <c r="E149">
        <v>1</v>
      </c>
      <c r="F149">
        <v>1</v>
      </c>
      <c r="G149">
        <v>1</v>
      </c>
      <c r="H149">
        <v>1</v>
      </c>
      <c r="I149">
        <v>1</v>
      </c>
      <c r="J149">
        <v>1</v>
      </c>
      <c r="K149">
        <v>1</v>
      </c>
      <c r="L149">
        <v>1</v>
      </c>
      <c r="M149">
        <v>1</v>
      </c>
      <c r="N149">
        <v>1</v>
      </c>
      <c r="O149">
        <v>1</v>
      </c>
    </row>
    <row r="150" spans="1:16" x14ac:dyDescent="0.25">
      <c r="A150" t="s">
        <v>143</v>
      </c>
      <c r="B150" t="s">
        <v>75</v>
      </c>
      <c r="C150">
        <v>0</v>
      </c>
      <c r="D150">
        <v>11.518833160400391</v>
      </c>
      <c r="E150">
        <v>0</v>
      </c>
      <c r="F150" t="s">
        <v>20</v>
      </c>
      <c r="G150" t="s">
        <v>20</v>
      </c>
      <c r="H150" t="s">
        <v>20</v>
      </c>
      <c r="I150" t="s">
        <v>20</v>
      </c>
      <c r="J150" t="s">
        <v>20</v>
      </c>
      <c r="K150" t="s">
        <v>20</v>
      </c>
      <c r="L150" t="s">
        <v>20</v>
      </c>
      <c r="M150" t="s">
        <v>20</v>
      </c>
      <c r="N150" t="s">
        <v>20</v>
      </c>
      <c r="O150" t="s">
        <v>20</v>
      </c>
      <c r="P150" t="s">
        <v>441</v>
      </c>
    </row>
    <row r="151" spans="1:16" x14ac:dyDescent="0.25">
      <c r="A151" t="s">
        <v>143</v>
      </c>
      <c r="B151" t="s">
        <v>77</v>
      </c>
      <c r="C151">
        <v>0</v>
      </c>
      <c r="D151">
        <v>10.3921492099762</v>
      </c>
      <c r="E151">
        <v>1</v>
      </c>
      <c r="F151">
        <v>1</v>
      </c>
      <c r="G151">
        <v>1</v>
      </c>
      <c r="H151">
        <v>1</v>
      </c>
      <c r="I151">
        <v>1</v>
      </c>
      <c r="J151">
        <v>1</v>
      </c>
      <c r="K151">
        <v>1</v>
      </c>
      <c r="L151">
        <v>1</v>
      </c>
      <c r="M151">
        <v>1</v>
      </c>
      <c r="N151">
        <v>1</v>
      </c>
      <c r="O151">
        <v>1</v>
      </c>
    </row>
    <row r="152" spans="1:16" x14ac:dyDescent="0.25">
      <c r="A152" t="s">
        <v>143</v>
      </c>
      <c r="B152" t="s">
        <v>78</v>
      </c>
      <c r="C152">
        <v>0</v>
      </c>
      <c r="D152">
        <v>8.6016817092895508</v>
      </c>
      <c r="E152">
        <v>0</v>
      </c>
      <c r="F152" t="s">
        <v>20</v>
      </c>
      <c r="G152" t="s">
        <v>20</v>
      </c>
      <c r="H152" t="s">
        <v>20</v>
      </c>
      <c r="I152" t="s">
        <v>20</v>
      </c>
      <c r="J152" t="s">
        <v>20</v>
      </c>
      <c r="K152" t="s">
        <v>20</v>
      </c>
      <c r="L152" t="s">
        <v>20</v>
      </c>
      <c r="M152" t="s">
        <v>20</v>
      </c>
      <c r="N152" t="s">
        <v>20</v>
      </c>
      <c r="O152" t="s">
        <v>20</v>
      </c>
      <c r="P152" t="s">
        <v>442</v>
      </c>
    </row>
    <row r="153" spans="1:16" x14ac:dyDescent="0.25">
      <c r="A153" t="s">
        <v>143</v>
      </c>
      <c r="B153" t="s">
        <v>80</v>
      </c>
      <c r="C153">
        <v>0</v>
      </c>
      <c r="D153">
        <v>5.4315693378448486</v>
      </c>
      <c r="E153">
        <v>1</v>
      </c>
      <c r="F153">
        <v>1</v>
      </c>
      <c r="G153">
        <v>1</v>
      </c>
      <c r="H153">
        <v>0</v>
      </c>
      <c r="I153">
        <v>1</v>
      </c>
      <c r="J153">
        <v>1</v>
      </c>
      <c r="K153">
        <v>1</v>
      </c>
      <c r="L153">
        <v>1</v>
      </c>
      <c r="M153">
        <v>1</v>
      </c>
      <c r="N153">
        <v>1</v>
      </c>
      <c r="O153">
        <v>1</v>
      </c>
      <c r="P153" t="s">
        <v>348</v>
      </c>
    </row>
    <row r="154" spans="1:16" x14ac:dyDescent="0.25">
      <c r="A154" t="s">
        <v>143</v>
      </c>
      <c r="B154" t="s">
        <v>82</v>
      </c>
      <c r="C154">
        <v>0</v>
      </c>
      <c r="D154">
        <v>2.7481846809387211</v>
      </c>
      <c r="E154">
        <v>1</v>
      </c>
      <c r="F154">
        <v>1</v>
      </c>
      <c r="G154">
        <v>1</v>
      </c>
      <c r="H154">
        <v>1</v>
      </c>
      <c r="I154">
        <v>1</v>
      </c>
      <c r="J154">
        <v>1</v>
      </c>
      <c r="K154">
        <v>1</v>
      </c>
      <c r="L154">
        <v>1</v>
      </c>
      <c r="M154">
        <v>1</v>
      </c>
      <c r="N154">
        <v>1</v>
      </c>
      <c r="O154">
        <v>1</v>
      </c>
    </row>
    <row r="155" spans="1:16" x14ac:dyDescent="0.25">
      <c r="A155" t="s">
        <v>143</v>
      </c>
      <c r="B155" t="s">
        <v>84</v>
      </c>
      <c r="C155">
        <v>0</v>
      </c>
      <c r="D155">
        <v>9.3944330215454102</v>
      </c>
      <c r="E155">
        <v>1</v>
      </c>
      <c r="F155">
        <v>1</v>
      </c>
      <c r="G155">
        <v>1</v>
      </c>
      <c r="H155">
        <v>1</v>
      </c>
      <c r="I155">
        <v>1</v>
      </c>
      <c r="J155">
        <v>1</v>
      </c>
      <c r="K155">
        <v>1</v>
      </c>
      <c r="L155">
        <v>1</v>
      </c>
      <c r="M155">
        <v>1</v>
      </c>
      <c r="N155">
        <v>1</v>
      </c>
      <c r="O155">
        <v>1</v>
      </c>
    </row>
    <row r="156" spans="1:16" x14ac:dyDescent="0.25">
      <c r="A156" t="s">
        <v>143</v>
      </c>
      <c r="B156" t="s">
        <v>85</v>
      </c>
      <c r="C156">
        <v>0</v>
      </c>
      <c r="D156">
        <v>13.08491539955139</v>
      </c>
      <c r="E156">
        <v>1</v>
      </c>
      <c r="F156">
        <v>1</v>
      </c>
      <c r="G156">
        <v>1</v>
      </c>
      <c r="H156">
        <v>1</v>
      </c>
      <c r="I156">
        <v>1</v>
      </c>
      <c r="J156">
        <v>0</v>
      </c>
      <c r="K156">
        <v>1</v>
      </c>
      <c r="L156">
        <v>1</v>
      </c>
      <c r="M156">
        <v>1</v>
      </c>
      <c r="N156">
        <v>1</v>
      </c>
      <c r="O156">
        <v>1</v>
      </c>
      <c r="P156" t="s">
        <v>443</v>
      </c>
    </row>
    <row r="157" spans="1:16" x14ac:dyDescent="0.25">
      <c r="A157" t="s">
        <v>143</v>
      </c>
      <c r="B157" t="s">
        <v>87</v>
      </c>
      <c r="C157">
        <v>0</v>
      </c>
      <c r="D157">
        <v>6.3332948684692383</v>
      </c>
      <c r="E157">
        <v>1</v>
      </c>
      <c r="F157">
        <v>1</v>
      </c>
      <c r="G157">
        <v>0</v>
      </c>
      <c r="H157" t="s">
        <v>20</v>
      </c>
      <c r="I157">
        <v>1</v>
      </c>
      <c r="J157">
        <v>1</v>
      </c>
      <c r="K157">
        <v>1</v>
      </c>
      <c r="L157">
        <v>1</v>
      </c>
      <c r="M157">
        <v>1</v>
      </c>
      <c r="N157">
        <v>1</v>
      </c>
      <c r="O157">
        <v>1</v>
      </c>
      <c r="P157" t="s">
        <v>444</v>
      </c>
    </row>
    <row r="158" spans="1:16" x14ac:dyDescent="0.25">
      <c r="A158" t="s">
        <v>143</v>
      </c>
      <c r="B158" t="s">
        <v>89</v>
      </c>
      <c r="C158">
        <v>0</v>
      </c>
      <c r="D158">
        <v>12.855803251266479</v>
      </c>
      <c r="E158">
        <v>1</v>
      </c>
      <c r="F158">
        <v>1</v>
      </c>
      <c r="G158">
        <v>1</v>
      </c>
      <c r="H158">
        <v>1</v>
      </c>
      <c r="I158">
        <v>1</v>
      </c>
      <c r="J158">
        <v>0</v>
      </c>
      <c r="K158">
        <v>1</v>
      </c>
      <c r="L158">
        <v>1</v>
      </c>
      <c r="M158">
        <v>1</v>
      </c>
      <c r="N158">
        <v>1</v>
      </c>
      <c r="O158">
        <v>1</v>
      </c>
      <c r="P158" t="s">
        <v>445</v>
      </c>
    </row>
    <row r="159" spans="1:16" x14ac:dyDescent="0.25">
      <c r="A159" t="s">
        <v>143</v>
      </c>
      <c r="B159" t="s">
        <v>91</v>
      </c>
      <c r="C159">
        <v>0</v>
      </c>
      <c r="D159">
        <v>11.501501798629761</v>
      </c>
      <c r="E159">
        <v>1</v>
      </c>
      <c r="F159">
        <v>1</v>
      </c>
      <c r="G159">
        <v>1</v>
      </c>
      <c r="H159">
        <v>1</v>
      </c>
      <c r="I159">
        <v>1</v>
      </c>
      <c r="J159">
        <v>0</v>
      </c>
      <c r="K159">
        <v>1</v>
      </c>
      <c r="L159">
        <v>1</v>
      </c>
      <c r="M159">
        <v>1</v>
      </c>
      <c r="N159">
        <v>1</v>
      </c>
      <c r="O159">
        <v>1</v>
      </c>
      <c r="P159" t="s">
        <v>446</v>
      </c>
    </row>
    <row r="160" spans="1:16" x14ac:dyDescent="0.25">
      <c r="A160" t="s">
        <v>143</v>
      </c>
      <c r="B160" t="s">
        <v>92</v>
      </c>
      <c r="C160">
        <v>0</v>
      </c>
      <c r="D160">
        <v>11.19813346862793</v>
      </c>
      <c r="E160">
        <v>1</v>
      </c>
      <c r="F160">
        <v>1</v>
      </c>
      <c r="G160">
        <v>1</v>
      </c>
      <c r="H160">
        <v>0</v>
      </c>
      <c r="I160">
        <v>1</v>
      </c>
      <c r="J160">
        <v>1</v>
      </c>
      <c r="K160">
        <v>1</v>
      </c>
      <c r="L160">
        <v>1</v>
      </c>
      <c r="M160">
        <v>1</v>
      </c>
      <c r="N160">
        <v>1</v>
      </c>
      <c r="O160">
        <v>1</v>
      </c>
      <c r="P160" t="s">
        <v>447</v>
      </c>
    </row>
    <row r="161" spans="1:16" x14ac:dyDescent="0.25">
      <c r="A161" t="s">
        <v>143</v>
      </c>
      <c r="B161" t="s">
        <v>94</v>
      </c>
      <c r="C161">
        <v>0</v>
      </c>
      <c r="D161">
        <v>12.107821941375731</v>
      </c>
      <c r="E161">
        <v>1</v>
      </c>
      <c r="F161">
        <v>1</v>
      </c>
      <c r="G161">
        <v>1</v>
      </c>
      <c r="H161">
        <v>1</v>
      </c>
      <c r="I161">
        <v>1</v>
      </c>
      <c r="J161">
        <v>1</v>
      </c>
      <c r="K161">
        <v>1</v>
      </c>
      <c r="L161">
        <v>1</v>
      </c>
      <c r="M161">
        <v>1</v>
      </c>
      <c r="N161">
        <v>1</v>
      </c>
      <c r="O161">
        <v>1</v>
      </c>
    </row>
    <row r="162" spans="1:16" x14ac:dyDescent="0.25">
      <c r="A162" t="s">
        <v>143</v>
      </c>
      <c r="B162" t="s">
        <v>95</v>
      </c>
      <c r="C162">
        <v>0</v>
      </c>
      <c r="D162">
        <v>10.98585939407349</v>
      </c>
      <c r="E162">
        <v>1</v>
      </c>
      <c r="F162">
        <v>1</v>
      </c>
      <c r="G162">
        <v>1</v>
      </c>
      <c r="H162">
        <v>1</v>
      </c>
      <c r="I162">
        <v>1</v>
      </c>
      <c r="J162">
        <v>0</v>
      </c>
      <c r="K162">
        <v>1</v>
      </c>
      <c r="L162">
        <v>1</v>
      </c>
      <c r="M162">
        <v>1</v>
      </c>
      <c r="N162">
        <v>1</v>
      </c>
      <c r="O162">
        <v>1</v>
      </c>
      <c r="P162" t="s">
        <v>448</v>
      </c>
    </row>
    <row r="163" spans="1:16" x14ac:dyDescent="0.25">
      <c r="A163" t="s">
        <v>143</v>
      </c>
      <c r="B163" t="s">
        <v>121</v>
      </c>
      <c r="C163">
        <v>0</v>
      </c>
      <c r="D163">
        <v>11.906946659088129</v>
      </c>
      <c r="E163">
        <v>1</v>
      </c>
      <c r="F163">
        <v>1</v>
      </c>
      <c r="G163">
        <v>0</v>
      </c>
      <c r="H163" t="s">
        <v>20</v>
      </c>
      <c r="I163">
        <v>1</v>
      </c>
      <c r="J163">
        <v>0</v>
      </c>
      <c r="K163">
        <v>1</v>
      </c>
      <c r="L163">
        <v>1</v>
      </c>
      <c r="M163">
        <v>1</v>
      </c>
      <c r="N163">
        <v>1</v>
      </c>
      <c r="O163">
        <v>1</v>
      </c>
      <c r="P163" t="s">
        <v>449</v>
      </c>
    </row>
    <row r="164" spans="1:16" x14ac:dyDescent="0.25">
      <c r="A164" t="s">
        <v>143</v>
      </c>
      <c r="B164" t="s">
        <v>122</v>
      </c>
      <c r="C164">
        <v>0</v>
      </c>
      <c r="D164">
        <v>7.0497004985809326</v>
      </c>
      <c r="E164">
        <v>1</v>
      </c>
      <c r="F164">
        <v>1</v>
      </c>
      <c r="G164">
        <v>1</v>
      </c>
      <c r="H164">
        <v>1</v>
      </c>
      <c r="I164">
        <v>1</v>
      </c>
      <c r="J164">
        <v>0</v>
      </c>
      <c r="K164">
        <v>1</v>
      </c>
      <c r="L164">
        <v>1</v>
      </c>
      <c r="M164">
        <v>1</v>
      </c>
      <c r="N164">
        <v>1</v>
      </c>
      <c r="O164">
        <v>1</v>
      </c>
      <c r="P164" t="s">
        <v>450</v>
      </c>
    </row>
    <row r="165" spans="1:16" x14ac:dyDescent="0.25">
      <c r="A165" t="s">
        <v>143</v>
      </c>
      <c r="B165" t="s">
        <v>124</v>
      </c>
      <c r="C165">
        <v>0</v>
      </c>
      <c r="D165">
        <v>7.3318352699279794</v>
      </c>
      <c r="E165">
        <v>1</v>
      </c>
      <c r="F165">
        <v>0</v>
      </c>
      <c r="G165">
        <v>1</v>
      </c>
      <c r="H165" t="s">
        <v>20</v>
      </c>
      <c r="I165">
        <v>1</v>
      </c>
      <c r="J165" t="s">
        <v>20</v>
      </c>
      <c r="K165">
        <v>0</v>
      </c>
      <c r="L165">
        <v>1</v>
      </c>
      <c r="M165">
        <v>1</v>
      </c>
      <c r="N165">
        <v>1</v>
      </c>
      <c r="O165">
        <v>1</v>
      </c>
      <c r="P165" t="s">
        <v>451</v>
      </c>
    </row>
    <row r="166" spans="1:16" x14ac:dyDescent="0.25">
      <c r="A166" t="s">
        <v>143</v>
      </c>
      <c r="B166" t="s">
        <v>126</v>
      </c>
      <c r="C166">
        <v>0</v>
      </c>
      <c r="D166">
        <v>2.7629802227020259</v>
      </c>
      <c r="E166">
        <v>1</v>
      </c>
      <c r="F166">
        <v>1</v>
      </c>
      <c r="G166">
        <v>1</v>
      </c>
      <c r="H166">
        <v>1</v>
      </c>
      <c r="I166">
        <v>1</v>
      </c>
      <c r="J166">
        <v>1</v>
      </c>
      <c r="K166">
        <v>1</v>
      </c>
      <c r="L166">
        <v>1</v>
      </c>
      <c r="M166">
        <v>1</v>
      </c>
      <c r="N166">
        <v>1</v>
      </c>
      <c r="O166">
        <v>1</v>
      </c>
    </row>
    <row r="167" spans="1:16" x14ac:dyDescent="0.25">
      <c r="A167" t="s">
        <v>143</v>
      </c>
      <c r="B167" t="s">
        <v>127</v>
      </c>
      <c r="C167">
        <v>0</v>
      </c>
      <c r="D167">
        <v>6.8567523956298828</v>
      </c>
      <c r="E167">
        <v>1</v>
      </c>
      <c r="F167">
        <v>1</v>
      </c>
      <c r="G167">
        <v>1</v>
      </c>
      <c r="H167">
        <v>1</v>
      </c>
      <c r="I167">
        <v>1</v>
      </c>
      <c r="J167">
        <v>0</v>
      </c>
      <c r="K167">
        <v>1</v>
      </c>
      <c r="L167">
        <v>1</v>
      </c>
      <c r="M167">
        <v>1</v>
      </c>
      <c r="N167">
        <v>1</v>
      </c>
      <c r="O167">
        <v>1</v>
      </c>
      <c r="P167" t="s">
        <v>452</v>
      </c>
    </row>
    <row r="168" spans="1:16" x14ac:dyDescent="0.25">
      <c r="A168" t="s">
        <v>143</v>
      </c>
      <c r="B168" t="s">
        <v>129</v>
      </c>
      <c r="C168">
        <v>0</v>
      </c>
      <c r="D168">
        <v>4.5145618915557861</v>
      </c>
      <c r="E168">
        <v>1</v>
      </c>
      <c r="F168">
        <v>1</v>
      </c>
      <c r="G168">
        <v>1</v>
      </c>
      <c r="H168">
        <v>1</v>
      </c>
      <c r="I168">
        <v>1</v>
      </c>
      <c r="J168">
        <v>0</v>
      </c>
      <c r="K168">
        <v>1</v>
      </c>
      <c r="L168">
        <v>1</v>
      </c>
      <c r="M168">
        <v>1</v>
      </c>
      <c r="N168">
        <v>1</v>
      </c>
      <c r="O168">
        <v>1</v>
      </c>
      <c r="P168" t="s">
        <v>453</v>
      </c>
    </row>
    <row r="169" spans="1:16" x14ac:dyDescent="0.25">
      <c r="A169" t="s">
        <v>143</v>
      </c>
      <c r="B169" t="s">
        <v>131</v>
      </c>
      <c r="C169">
        <v>0</v>
      </c>
      <c r="D169">
        <v>9.3509514331817627</v>
      </c>
      <c r="E169">
        <v>0</v>
      </c>
      <c r="F169" t="s">
        <v>20</v>
      </c>
      <c r="G169" t="s">
        <v>20</v>
      </c>
      <c r="H169" t="s">
        <v>20</v>
      </c>
      <c r="I169" t="s">
        <v>20</v>
      </c>
      <c r="J169" t="s">
        <v>20</v>
      </c>
      <c r="K169" t="s">
        <v>20</v>
      </c>
      <c r="L169" t="s">
        <v>20</v>
      </c>
      <c r="M169" t="s">
        <v>20</v>
      </c>
      <c r="N169" t="s">
        <v>20</v>
      </c>
      <c r="O169" t="s">
        <v>20</v>
      </c>
      <c r="P169" t="s">
        <v>454</v>
      </c>
    </row>
    <row r="170" spans="1:16" x14ac:dyDescent="0.25">
      <c r="A170" t="s">
        <v>143</v>
      </c>
      <c r="B170" t="s">
        <v>133</v>
      </c>
      <c r="C170">
        <v>0</v>
      </c>
      <c r="D170">
        <v>4.6231124401092529</v>
      </c>
      <c r="E170">
        <v>1</v>
      </c>
      <c r="F170">
        <v>1</v>
      </c>
      <c r="G170">
        <v>1</v>
      </c>
      <c r="H170">
        <v>0</v>
      </c>
      <c r="I170">
        <v>1</v>
      </c>
      <c r="J170">
        <v>1</v>
      </c>
      <c r="K170">
        <v>1</v>
      </c>
      <c r="L170">
        <v>1</v>
      </c>
      <c r="M170">
        <v>1</v>
      </c>
      <c r="N170">
        <v>1</v>
      </c>
      <c r="O170">
        <v>1</v>
      </c>
      <c r="P170" t="s">
        <v>455</v>
      </c>
    </row>
    <row r="171" spans="1:16" x14ac:dyDescent="0.25">
      <c r="A171" t="s">
        <v>143</v>
      </c>
      <c r="B171" t="s">
        <v>135</v>
      </c>
      <c r="C171">
        <v>0</v>
      </c>
      <c r="D171">
        <v>2.7413079738616939</v>
      </c>
      <c r="E171">
        <v>1</v>
      </c>
      <c r="F171">
        <v>1</v>
      </c>
      <c r="G171">
        <v>1</v>
      </c>
      <c r="H171">
        <v>1</v>
      </c>
      <c r="I171">
        <v>1</v>
      </c>
      <c r="J171">
        <v>1</v>
      </c>
      <c r="K171">
        <v>1</v>
      </c>
      <c r="L171">
        <v>1</v>
      </c>
      <c r="M171">
        <v>1</v>
      </c>
      <c r="N171">
        <v>1</v>
      </c>
      <c r="O171">
        <v>1</v>
      </c>
    </row>
    <row r="172" spans="1:16" x14ac:dyDescent="0.25">
      <c r="A172" t="s">
        <v>143</v>
      </c>
      <c r="B172" t="s">
        <v>136</v>
      </c>
      <c r="C172">
        <v>0</v>
      </c>
      <c r="D172">
        <v>5.7648999691009521</v>
      </c>
      <c r="E172">
        <v>0</v>
      </c>
      <c r="F172" t="s">
        <v>20</v>
      </c>
      <c r="G172" t="s">
        <v>20</v>
      </c>
      <c r="H172" t="s">
        <v>20</v>
      </c>
      <c r="I172" t="s">
        <v>20</v>
      </c>
      <c r="J172" t="s">
        <v>20</v>
      </c>
      <c r="K172" t="s">
        <v>20</v>
      </c>
      <c r="L172" t="s">
        <v>20</v>
      </c>
      <c r="M172" t="s">
        <v>20</v>
      </c>
      <c r="N172" t="s">
        <v>20</v>
      </c>
      <c r="O172" t="s">
        <v>20</v>
      </c>
      <c r="P172" t="s">
        <v>456</v>
      </c>
    </row>
    <row r="173" spans="1:16" x14ac:dyDescent="0.25">
      <c r="A173" t="s">
        <v>143</v>
      </c>
      <c r="B173" t="s">
        <v>137</v>
      </c>
      <c r="C173">
        <v>0</v>
      </c>
      <c r="D173">
        <v>2.9455316066741939</v>
      </c>
      <c r="E173">
        <v>1</v>
      </c>
      <c r="F173">
        <v>1</v>
      </c>
      <c r="G173">
        <v>1</v>
      </c>
      <c r="H173">
        <v>1</v>
      </c>
      <c r="I173">
        <v>1</v>
      </c>
      <c r="J173">
        <v>1</v>
      </c>
      <c r="K173">
        <v>1</v>
      </c>
      <c r="L173">
        <v>1</v>
      </c>
      <c r="M173">
        <v>1</v>
      </c>
      <c r="N173">
        <v>1</v>
      </c>
      <c r="O173">
        <v>1</v>
      </c>
    </row>
    <row r="174" spans="1:16" x14ac:dyDescent="0.25">
      <c r="A174" t="s">
        <v>143</v>
      </c>
      <c r="B174" t="s">
        <v>138</v>
      </c>
      <c r="C174">
        <v>0</v>
      </c>
      <c r="D174">
        <v>2.6908330917358398</v>
      </c>
      <c r="E174">
        <v>1</v>
      </c>
      <c r="F174">
        <v>1</v>
      </c>
      <c r="G174">
        <v>1</v>
      </c>
      <c r="H174">
        <v>1</v>
      </c>
      <c r="I174">
        <v>1</v>
      </c>
      <c r="J174">
        <v>1</v>
      </c>
      <c r="K174">
        <v>1</v>
      </c>
      <c r="L174">
        <v>1</v>
      </c>
      <c r="M174">
        <v>1</v>
      </c>
      <c r="N174">
        <v>1</v>
      </c>
      <c r="O174">
        <v>1</v>
      </c>
    </row>
    <row r="175" spans="1:16" x14ac:dyDescent="0.25">
      <c r="A175" t="s">
        <v>143</v>
      </c>
      <c r="B175" t="s">
        <v>140</v>
      </c>
      <c r="C175">
        <v>0</v>
      </c>
      <c r="D175">
        <v>12.40231108665466</v>
      </c>
      <c r="E175">
        <v>1</v>
      </c>
      <c r="F175">
        <v>1</v>
      </c>
      <c r="G175">
        <v>1</v>
      </c>
      <c r="H175">
        <v>1</v>
      </c>
      <c r="I175">
        <v>1</v>
      </c>
      <c r="J175">
        <v>0</v>
      </c>
      <c r="K175">
        <v>1</v>
      </c>
      <c r="L175">
        <v>1</v>
      </c>
      <c r="M175">
        <v>1</v>
      </c>
      <c r="N175">
        <v>1</v>
      </c>
      <c r="O175">
        <v>1</v>
      </c>
      <c r="P175" t="s">
        <v>457</v>
      </c>
    </row>
    <row r="176" spans="1:16" x14ac:dyDescent="0.25">
      <c r="A176" t="s">
        <v>143</v>
      </c>
      <c r="B176" t="s">
        <v>141</v>
      </c>
      <c r="C176">
        <v>0</v>
      </c>
      <c r="D176">
        <v>5.76430344581604</v>
      </c>
      <c r="E176">
        <v>1</v>
      </c>
      <c r="F176">
        <v>1</v>
      </c>
      <c r="G176">
        <v>1</v>
      </c>
      <c r="H176">
        <v>1</v>
      </c>
      <c r="I176">
        <v>1</v>
      </c>
      <c r="J176">
        <v>0</v>
      </c>
      <c r="K176">
        <v>1</v>
      </c>
      <c r="L176">
        <v>1</v>
      </c>
      <c r="M176">
        <v>1</v>
      </c>
      <c r="N176">
        <v>1</v>
      </c>
      <c r="O176">
        <v>1</v>
      </c>
      <c r="P176" t="s">
        <v>458</v>
      </c>
    </row>
    <row r="177" spans="1:16" x14ac:dyDescent="0.25">
      <c r="A177" t="s">
        <v>143</v>
      </c>
      <c r="B177" t="s">
        <v>180</v>
      </c>
      <c r="C177">
        <v>0</v>
      </c>
      <c r="D177">
        <v>4.5897126197814941</v>
      </c>
      <c r="E177">
        <v>1</v>
      </c>
      <c r="F177">
        <v>1</v>
      </c>
      <c r="G177">
        <v>1</v>
      </c>
      <c r="H177">
        <v>1</v>
      </c>
      <c r="I177">
        <v>1</v>
      </c>
      <c r="J177">
        <v>0</v>
      </c>
      <c r="K177">
        <v>1</v>
      </c>
      <c r="L177">
        <v>1</v>
      </c>
      <c r="M177">
        <v>1</v>
      </c>
      <c r="N177">
        <v>1</v>
      </c>
      <c r="O177">
        <v>1</v>
      </c>
      <c r="P177" t="s">
        <v>459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77"/>
  <sheetViews>
    <sheetView topLeftCell="A43" workbookViewId="0">
      <selection activeCell="F27" sqref="F27"/>
    </sheetView>
  </sheetViews>
  <sheetFormatPr defaultRowHeight="13.8" x14ac:dyDescent="0.25"/>
  <cols>
    <col min="2" max="2" width="12.398437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2.8541140556335449</v>
      </c>
      <c r="E2">
        <v>1</v>
      </c>
      <c r="F2">
        <v>1</v>
      </c>
      <c r="G2">
        <v>1</v>
      </c>
      <c r="H2">
        <v>1</v>
      </c>
      <c r="I2">
        <v>1</v>
      </c>
      <c r="J2">
        <v>1</v>
      </c>
      <c r="K2">
        <v>1</v>
      </c>
      <c r="L2">
        <v>1</v>
      </c>
      <c r="M2">
        <v>1</v>
      </c>
      <c r="N2">
        <v>1</v>
      </c>
      <c r="O2">
        <v>1</v>
      </c>
    </row>
    <row r="3" spans="1:16" x14ac:dyDescent="0.25">
      <c r="A3" t="s">
        <v>16</v>
      </c>
      <c r="B3" t="s">
        <v>18</v>
      </c>
      <c r="C3">
        <v>0</v>
      </c>
      <c r="D3">
        <v>11.20166492462158</v>
      </c>
      <c r="E3">
        <v>1</v>
      </c>
      <c r="F3">
        <v>1</v>
      </c>
      <c r="G3">
        <v>1</v>
      </c>
      <c r="H3">
        <v>1</v>
      </c>
      <c r="I3">
        <v>1</v>
      </c>
      <c r="J3">
        <v>0</v>
      </c>
      <c r="K3">
        <v>1</v>
      </c>
      <c r="L3">
        <v>1</v>
      </c>
      <c r="M3">
        <v>1</v>
      </c>
      <c r="N3">
        <v>1</v>
      </c>
      <c r="O3">
        <v>1</v>
      </c>
      <c r="P3" t="s">
        <v>460</v>
      </c>
    </row>
    <row r="4" spans="1:16" x14ac:dyDescent="0.25">
      <c r="A4" t="s">
        <v>16</v>
      </c>
      <c r="B4" t="s">
        <v>19</v>
      </c>
      <c r="C4">
        <v>0</v>
      </c>
      <c r="D4">
        <v>2.776127815246582</v>
      </c>
      <c r="E4">
        <v>1</v>
      </c>
      <c r="F4">
        <v>1</v>
      </c>
      <c r="G4">
        <v>1</v>
      </c>
      <c r="H4">
        <v>1</v>
      </c>
      <c r="I4">
        <v>1</v>
      </c>
      <c r="J4">
        <v>1</v>
      </c>
      <c r="K4">
        <v>1</v>
      </c>
      <c r="L4">
        <v>1</v>
      </c>
      <c r="M4">
        <v>1</v>
      </c>
      <c r="N4">
        <v>1</v>
      </c>
      <c r="O4">
        <v>1</v>
      </c>
    </row>
    <row r="5" spans="1:16" x14ac:dyDescent="0.25">
      <c r="A5" t="s">
        <v>16</v>
      </c>
      <c r="B5" t="s">
        <v>22</v>
      </c>
      <c r="C5">
        <v>0</v>
      </c>
      <c r="D5">
        <v>9.6568248271942139</v>
      </c>
      <c r="E5">
        <v>1</v>
      </c>
      <c r="F5">
        <v>1</v>
      </c>
      <c r="G5">
        <v>1</v>
      </c>
      <c r="H5">
        <v>1</v>
      </c>
      <c r="I5">
        <v>1</v>
      </c>
      <c r="J5">
        <v>0</v>
      </c>
      <c r="K5">
        <v>1</v>
      </c>
      <c r="L5">
        <v>1</v>
      </c>
      <c r="M5">
        <v>1</v>
      </c>
      <c r="N5">
        <v>1</v>
      </c>
      <c r="O5">
        <v>1</v>
      </c>
      <c r="P5" t="s">
        <v>461</v>
      </c>
    </row>
    <row r="6" spans="1:16" x14ac:dyDescent="0.25">
      <c r="A6" t="s">
        <v>16</v>
      </c>
      <c r="B6" t="s">
        <v>24</v>
      </c>
      <c r="C6">
        <v>0</v>
      </c>
      <c r="D6">
        <v>9.4693446159362793</v>
      </c>
      <c r="E6">
        <v>1</v>
      </c>
      <c r="F6">
        <v>1</v>
      </c>
      <c r="G6">
        <v>1</v>
      </c>
      <c r="H6">
        <v>1</v>
      </c>
      <c r="I6">
        <v>1</v>
      </c>
      <c r="J6">
        <v>1</v>
      </c>
      <c r="K6">
        <v>1</v>
      </c>
      <c r="L6">
        <v>1</v>
      </c>
      <c r="M6">
        <v>1</v>
      </c>
      <c r="N6">
        <v>1</v>
      </c>
      <c r="O6">
        <v>1</v>
      </c>
    </row>
    <row r="7" spans="1:16" x14ac:dyDescent="0.25">
      <c r="A7" t="s">
        <v>16</v>
      </c>
      <c r="B7" t="s">
        <v>25</v>
      </c>
      <c r="C7">
        <v>0</v>
      </c>
      <c r="D7">
        <v>2.7998907566070561</v>
      </c>
      <c r="E7">
        <v>1</v>
      </c>
      <c r="F7">
        <v>1</v>
      </c>
      <c r="G7">
        <v>1</v>
      </c>
      <c r="H7">
        <v>1</v>
      </c>
      <c r="I7">
        <v>1</v>
      </c>
      <c r="J7">
        <v>1</v>
      </c>
      <c r="K7">
        <v>1</v>
      </c>
      <c r="L7">
        <v>1</v>
      </c>
      <c r="M7">
        <v>1</v>
      </c>
      <c r="N7">
        <v>1</v>
      </c>
      <c r="O7">
        <v>1</v>
      </c>
    </row>
    <row r="8" spans="1:16" x14ac:dyDescent="0.25">
      <c r="A8" t="s">
        <v>16</v>
      </c>
      <c r="B8" t="s">
        <v>26</v>
      </c>
      <c r="C8">
        <v>0</v>
      </c>
      <c r="D8">
        <v>2.730435848236084</v>
      </c>
      <c r="E8">
        <v>1</v>
      </c>
      <c r="F8">
        <v>1</v>
      </c>
      <c r="G8">
        <v>1</v>
      </c>
      <c r="H8">
        <v>1</v>
      </c>
      <c r="I8">
        <v>1</v>
      </c>
      <c r="J8">
        <v>1</v>
      </c>
      <c r="K8">
        <v>1</v>
      </c>
      <c r="L8">
        <v>1</v>
      </c>
      <c r="M8">
        <v>1</v>
      </c>
      <c r="N8">
        <v>1</v>
      </c>
      <c r="O8">
        <v>1</v>
      </c>
    </row>
    <row r="9" spans="1:16" x14ac:dyDescent="0.25">
      <c r="A9" t="s">
        <v>16</v>
      </c>
      <c r="B9" t="s">
        <v>27</v>
      </c>
      <c r="C9">
        <v>0</v>
      </c>
      <c r="D9">
        <v>2.8494665622711182</v>
      </c>
      <c r="E9">
        <v>1</v>
      </c>
      <c r="F9">
        <v>1</v>
      </c>
      <c r="G9">
        <v>1</v>
      </c>
      <c r="H9">
        <v>1</v>
      </c>
      <c r="I9">
        <v>1</v>
      </c>
      <c r="J9">
        <v>1</v>
      </c>
      <c r="K9">
        <v>1</v>
      </c>
      <c r="L9">
        <v>1</v>
      </c>
      <c r="M9">
        <v>1</v>
      </c>
      <c r="N9">
        <v>1</v>
      </c>
      <c r="O9">
        <v>1</v>
      </c>
    </row>
    <row r="10" spans="1:16" x14ac:dyDescent="0.25">
      <c r="A10" t="s">
        <v>16</v>
      </c>
      <c r="B10" t="s">
        <v>28</v>
      </c>
      <c r="C10">
        <v>0</v>
      </c>
      <c r="D10">
        <v>9.2154850959777832</v>
      </c>
      <c r="E10">
        <v>1</v>
      </c>
      <c r="F10">
        <v>1</v>
      </c>
      <c r="G10">
        <v>1</v>
      </c>
      <c r="H10">
        <v>1</v>
      </c>
      <c r="I10">
        <v>1</v>
      </c>
      <c r="J10">
        <v>1</v>
      </c>
      <c r="K10">
        <v>1</v>
      </c>
      <c r="L10">
        <v>1</v>
      </c>
      <c r="M10">
        <v>1</v>
      </c>
      <c r="N10">
        <v>1</v>
      </c>
      <c r="O10">
        <v>1</v>
      </c>
    </row>
    <row r="11" spans="1:16" x14ac:dyDescent="0.25">
      <c r="A11" t="s">
        <v>16</v>
      </c>
      <c r="B11" t="s">
        <v>29</v>
      </c>
      <c r="C11">
        <v>0</v>
      </c>
      <c r="D11">
        <v>10.23229765892029</v>
      </c>
      <c r="E11">
        <v>0</v>
      </c>
      <c r="F11" t="s">
        <v>20</v>
      </c>
      <c r="G11" t="s">
        <v>20</v>
      </c>
      <c r="H11" t="s">
        <v>20</v>
      </c>
      <c r="I11" t="s">
        <v>20</v>
      </c>
      <c r="J11" t="s">
        <v>20</v>
      </c>
      <c r="K11" t="s">
        <v>20</v>
      </c>
      <c r="L11" t="s">
        <v>20</v>
      </c>
      <c r="M11" t="s">
        <v>20</v>
      </c>
      <c r="N11" t="s">
        <v>20</v>
      </c>
      <c r="O11" t="s">
        <v>20</v>
      </c>
      <c r="P11" t="s">
        <v>462</v>
      </c>
    </row>
    <row r="12" spans="1:16" x14ac:dyDescent="0.25">
      <c r="A12" t="s">
        <v>16</v>
      </c>
      <c r="B12" t="s">
        <v>31</v>
      </c>
      <c r="C12">
        <v>0</v>
      </c>
      <c r="D12">
        <v>11.36864566802979</v>
      </c>
      <c r="E12">
        <v>1</v>
      </c>
      <c r="F12">
        <v>1</v>
      </c>
      <c r="G12">
        <v>1</v>
      </c>
      <c r="H12">
        <v>0</v>
      </c>
      <c r="I12">
        <v>1</v>
      </c>
      <c r="J12">
        <v>1</v>
      </c>
      <c r="K12">
        <v>1</v>
      </c>
      <c r="L12">
        <v>1</v>
      </c>
      <c r="M12">
        <v>1</v>
      </c>
      <c r="N12">
        <v>1</v>
      </c>
      <c r="O12">
        <v>1</v>
      </c>
      <c r="P12" t="s">
        <v>463</v>
      </c>
    </row>
    <row r="13" spans="1:16" x14ac:dyDescent="0.25">
      <c r="A13" t="s">
        <v>16</v>
      </c>
      <c r="B13" t="s">
        <v>33</v>
      </c>
      <c r="C13">
        <v>0</v>
      </c>
      <c r="D13">
        <v>9.8009011745452881</v>
      </c>
      <c r="E13">
        <v>0</v>
      </c>
      <c r="F13" t="s">
        <v>20</v>
      </c>
      <c r="G13" t="s">
        <v>20</v>
      </c>
      <c r="H13" t="s">
        <v>20</v>
      </c>
      <c r="I13" t="s">
        <v>20</v>
      </c>
      <c r="J13" t="s">
        <v>20</v>
      </c>
      <c r="K13" t="s">
        <v>20</v>
      </c>
      <c r="L13" t="s">
        <v>20</v>
      </c>
      <c r="M13" t="s">
        <v>20</v>
      </c>
      <c r="N13" t="s">
        <v>20</v>
      </c>
      <c r="O13" t="s">
        <v>20</v>
      </c>
      <c r="P13" t="s">
        <v>464</v>
      </c>
    </row>
    <row r="14" spans="1:16" x14ac:dyDescent="0.25">
      <c r="A14" t="s">
        <v>16</v>
      </c>
      <c r="B14" t="s">
        <v>35</v>
      </c>
      <c r="C14">
        <v>0</v>
      </c>
      <c r="D14">
        <v>2.772072553634644</v>
      </c>
      <c r="E14">
        <v>1</v>
      </c>
      <c r="F14">
        <v>1</v>
      </c>
      <c r="G14">
        <v>1</v>
      </c>
      <c r="H14">
        <v>1</v>
      </c>
      <c r="I14">
        <v>1</v>
      </c>
      <c r="J14">
        <v>1</v>
      </c>
      <c r="K14">
        <v>1</v>
      </c>
      <c r="L14">
        <v>1</v>
      </c>
      <c r="M14">
        <v>1</v>
      </c>
      <c r="N14">
        <v>1</v>
      </c>
      <c r="O14">
        <v>1</v>
      </c>
    </row>
    <row r="15" spans="1:16" x14ac:dyDescent="0.25">
      <c r="A15" t="s">
        <v>16</v>
      </c>
      <c r="B15" t="s">
        <v>36</v>
      </c>
      <c r="C15">
        <v>0</v>
      </c>
      <c r="D15">
        <v>2.7717733383178711</v>
      </c>
      <c r="E15">
        <v>1</v>
      </c>
      <c r="F15">
        <v>1</v>
      </c>
      <c r="G15">
        <v>1</v>
      </c>
      <c r="H15">
        <v>1</v>
      </c>
      <c r="I15">
        <v>1</v>
      </c>
      <c r="J15">
        <v>1</v>
      </c>
      <c r="K15">
        <v>1</v>
      </c>
      <c r="L15">
        <v>1</v>
      </c>
      <c r="M15">
        <v>1</v>
      </c>
      <c r="N15">
        <v>1</v>
      </c>
      <c r="O15">
        <v>1</v>
      </c>
    </row>
    <row r="16" spans="1:16" x14ac:dyDescent="0.25">
      <c r="A16" t="s">
        <v>16</v>
      </c>
      <c r="B16" t="s">
        <v>38</v>
      </c>
      <c r="C16">
        <v>0</v>
      </c>
      <c r="D16">
        <v>7.8065428733825684</v>
      </c>
      <c r="E16">
        <v>1</v>
      </c>
      <c r="F16">
        <v>1</v>
      </c>
      <c r="G16">
        <v>1</v>
      </c>
      <c r="H16">
        <v>1</v>
      </c>
      <c r="I16">
        <v>1</v>
      </c>
      <c r="J16">
        <v>1</v>
      </c>
      <c r="K16">
        <v>1</v>
      </c>
      <c r="L16">
        <v>1</v>
      </c>
      <c r="M16">
        <v>1</v>
      </c>
      <c r="N16">
        <v>1</v>
      </c>
      <c r="O16">
        <v>1</v>
      </c>
    </row>
    <row r="17" spans="1:16" x14ac:dyDescent="0.25">
      <c r="A17" t="s">
        <v>16</v>
      </c>
      <c r="B17" t="s">
        <v>40</v>
      </c>
      <c r="C17">
        <v>0</v>
      </c>
      <c r="D17">
        <v>4.9685878753662109</v>
      </c>
      <c r="E17">
        <v>1</v>
      </c>
      <c r="F17">
        <v>1</v>
      </c>
      <c r="G17">
        <v>1</v>
      </c>
      <c r="H17">
        <v>0</v>
      </c>
      <c r="I17">
        <v>1</v>
      </c>
      <c r="J17">
        <v>1</v>
      </c>
      <c r="K17">
        <v>1</v>
      </c>
      <c r="L17">
        <v>1</v>
      </c>
      <c r="M17">
        <v>1</v>
      </c>
      <c r="N17">
        <v>1</v>
      </c>
      <c r="O17">
        <v>1</v>
      </c>
      <c r="P17" t="s">
        <v>465</v>
      </c>
    </row>
    <row r="18" spans="1:16" x14ac:dyDescent="0.25">
      <c r="A18" t="s">
        <v>16</v>
      </c>
      <c r="B18" t="s">
        <v>42</v>
      </c>
      <c r="C18">
        <v>0</v>
      </c>
      <c r="D18">
        <v>9.519188404083252</v>
      </c>
      <c r="E18">
        <v>1</v>
      </c>
      <c r="F18">
        <v>1</v>
      </c>
      <c r="G18">
        <v>1</v>
      </c>
      <c r="H18">
        <v>1</v>
      </c>
      <c r="I18">
        <v>1</v>
      </c>
      <c r="J18">
        <v>1</v>
      </c>
      <c r="K18">
        <v>1</v>
      </c>
      <c r="L18">
        <v>1</v>
      </c>
      <c r="M18">
        <v>1</v>
      </c>
      <c r="N18">
        <v>1</v>
      </c>
      <c r="O18">
        <v>1</v>
      </c>
    </row>
    <row r="19" spans="1:16" x14ac:dyDescent="0.25">
      <c r="A19" t="s">
        <v>16</v>
      </c>
      <c r="B19" t="s">
        <v>43</v>
      </c>
      <c r="C19">
        <v>0</v>
      </c>
      <c r="D19">
        <v>2.7862098217010498</v>
      </c>
      <c r="E19">
        <v>1</v>
      </c>
      <c r="F19">
        <v>1</v>
      </c>
      <c r="G19">
        <v>1</v>
      </c>
      <c r="H19">
        <v>1</v>
      </c>
      <c r="I19">
        <v>1</v>
      </c>
      <c r="J19">
        <v>1</v>
      </c>
      <c r="K19">
        <v>1</v>
      </c>
      <c r="L19">
        <v>1</v>
      </c>
      <c r="M19">
        <v>1</v>
      </c>
      <c r="N19">
        <v>1</v>
      </c>
      <c r="O19">
        <v>1</v>
      </c>
    </row>
    <row r="20" spans="1:16" x14ac:dyDescent="0.25">
      <c r="A20" t="s">
        <v>16</v>
      </c>
      <c r="B20" t="s">
        <v>44</v>
      </c>
      <c r="C20">
        <v>0</v>
      </c>
      <c r="D20">
        <v>2.7639214992523189</v>
      </c>
      <c r="E20">
        <v>1</v>
      </c>
      <c r="F20">
        <v>1</v>
      </c>
      <c r="G20">
        <v>1</v>
      </c>
      <c r="H20">
        <v>1</v>
      </c>
      <c r="I20">
        <v>1</v>
      </c>
      <c r="J20">
        <v>1</v>
      </c>
      <c r="K20">
        <v>1</v>
      </c>
      <c r="L20">
        <v>1</v>
      </c>
      <c r="M20">
        <v>1</v>
      </c>
      <c r="N20">
        <v>1</v>
      </c>
      <c r="O20">
        <v>1</v>
      </c>
    </row>
    <row r="21" spans="1:16" x14ac:dyDescent="0.25">
      <c r="A21" t="s">
        <v>16</v>
      </c>
      <c r="B21" t="s">
        <v>46</v>
      </c>
      <c r="C21">
        <v>0</v>
      </c>
      <c r="D21">
        <v>11.722820520400999</v>
      </c>
      <c r="E21">
        <v>0</v>
      </c>
      <c r="F21" t="s">
        <v>20</v>
      </c>
      <c r="G21" t="s">
        <v>20</v>
      </c>
      <c r="H21" t="s">
        <v>20</v>
      </c>
      <c r="I21" t="s">
        <v>20</v>
      </c>
      <c r="J21" t="s">
        <v>20</v>
      </c>
      <c r="K21" t="s">
        <v>20</v>
      </c>
      <c r="L21" t="s">
        <v>20</v>
      </c>
      <c r="M21" t="s">
        <v>20</v>
      </c>
      <c r="N21" t="s">
        <v>20</v>
      </c>
      <c r="O21" t="s">
        <v>20</v>
      </c>
      <c r="P21" t="s">
        <v>466</v>
      </c>
    </row>
    <row r="22" spans="1:16" x14ac:dyDescent="0.25">
      <c r="A22" t="s">
        <v>16</v>
      </c>
      <c r="B22" t="s">
        <v>48</v>
      </c>
      <c r="C22">
        <v>0</v>
      </c>
      <c r="D22">
        <v>2.6637003421783452</v>
      </c>
      <c r="E22">
        <v>1</v>
      </c>
      <c r="F22">
        <v>1</v>
      </c>
      <c r="G22">
        <v>1</v>
      </c>
      <c r="H22">
        <v>1</v>
      </c>
      <c r="I22">
        <v>1</v>
      </c>
      <c r="J22">
        <v>1</v>
      </c>
      <c r="K22">
        <v>1</v>
      </c>
      <c r="L22">
        <v>1</v>
      </c>
      <c r="M22">
        <v>1</v>
      </c>
      <c r="N22">
        <v>1</v>
      </c>
      <c r="O22">
        <v>1</v>
      </c>
    </row>
    <row r="23" spans="1:16" x14ac:dyDescent="0.25">
      <c r="A23" t="s">
        <v>16</v>
      </c>
      <c r="B23" t="s">
        <v>50</v>
      </c>
      <c r="C23">
        <v>0</v>
      </c>
      <c r="D23">
        <v>7.5977950096130371</v>
      </c>
      <c r="E23">
        <v>1</v>
      </c>
      <c r="F23">
        <v>1</v>
      </c>
      <c r="G23">
        <v>1</v>
      </c>
      <c r="H23">
        <v>1</v>
      </c>
      <c r="I23">
        <v>1</v>
      </c>
      <c r="J23">
        <v>1</v>
      </c>
      <c r="K23">
        <v>1</v>
      </c>
      <c r="L23">
        <v>1</v>
      </c>
      <c r="M23">
        <v>1</v>
      </c>
      <c r="N23">
        <v>1</v>
      </c>
      <c r="O23">
        <v>1</v>
      </c>
    </row>
    <row r="24" spans="1:16" x14ac:dyDescent="0.25">
      <c r="A24" t="s">
        <v>16</v>
      </c>
      <c r="B24" t="s">
        <v>51</v>
      </c>
      <c r="C24">
        <v>0</v>
      </c>
      <c r="D24">
        <v>8.6290090084075928</v>
      </c>
      <c r="E24">
        <v>1</v>
      </c>
      <c r="F24">
        <v>1</v>
      </c>
      <c r="G24">
        <v>1</v>
      </c>
      <c r="H24">
        <v>1</v>
      </c>
      <c r="I24">
        <v>1</v>
      </c>
      <c r="J24">
        <v>1</v>
      </c>
      <c r="K24">
        <v>1</v>
      </c>
      <c r="L24">
        <v>1</v>
      </c>
      <c r="M24">
        <v>1</v>
      </c>
      <c r="N24">
        <v>1</v>
      </c>
      <c r="O24">
        <v>1</v>
      </c>
    </row>
    <row r="25" spans="1:16" x14ac:dyDescent="0.25">
      <c r="A25" t="s">
        <v>16</v>
      </c>
      <c r="B25" t="s">
        <v>52</v>
      </c>
      <c r="C25">
        <v>0</v>
      </c>
      <c r="D25">
        <v>7.296607494354248</v>
      </c>
      <c r="E25">
        <v>0</v>
      </c>
      <c r="F25" t="s">
        <v>20</v>
      </c>
      <c r="G25" t="s">
        <v>20</v>
      </c>
      <c r="H25" t="s">
        <v>20</v>
      </c>
      <c r="I25" t="s">
        <v>20</v>
      </c>
      <c r="J25" t="s">
        <v>20</v>
      </c>
      <c r="K25" t="s">
        <v>20</v>
      </c>
      <c r="L25" t="s">
        <v>20</v>
      </c>
      <c r="M25" t="s">
        <v>20</v>
      </c>
      <c r="N25" t="s">
        <v>20</v>
      </c>
      <c r="O25" t="s">
        <v>20</v>
      </c>
      <c r="P25" t="s">
        <v>467</v>
      </c>
    </row>
    <row r="26" spans="1:16" x14ac:dyDescent="0.25">
      <c r="A26" t="s">
        <v>16</v>
      </c>
      <c r="B26" t="s">
        <v>53</v>
      </c>
      <c r="C26">
        <v>0</v>
      </c>
      <c r="D26">
        <v>7.6788125038146973</v>
      </c>
      <c r="E26">
        <v>1</v>
      </c>
      <c r="F26">
        <v>1</v>
      </c>
      <c r="G26">
        <v>1</v>
      </c>
      <c r="H26">
        <v>1</v>
      </c>
      <c r="I26">
        <v>1</v>
      </c>
      <c r="J26">
        <v>1</v>
      </c>
      <c r="K26">
        <v>0</v>
      </c>
      <c r="L26">
        <v>1</v>
      </c>
      <c r="M26">
        <v>1</v>
      </c>
      <c r="N26">
        <v>1</v>
      </c>
      <c r="O26">
        <v>1</v>
      </c>
      <c r="P26" t="s">
        <v>468</v>
      </c>
    </row>
    <row r="27" spans="1:16" x14ac:dyDescent="0.25">
      <c r="A27" t="s">
        <v>16</v>
      </c>
      <c r="B27" t="s">
        <v>55</v>
      </c>
      <c r="C27">
        <v>0</v>
      </c>
      <c r="D27">
        <v>4.1047816276550293</v>
      </c>
      <c r="E27">
        <v>1</v>
      </c>
      <c r="F27">
        <v>0</v>
      </c>
      <c r="G27">
        <v>1</v>
      </c>
      <c r="H27" t="s">
        <v>20</v>
      </c>
      <c r="I27">
        <v>1</v>
      </c>
      <c r="J27" t="s">
        <v>20</v>
      </c>
      <c r="K27">
        <v>1</v>
      </c>
      <c r="L27">
        <v>1</v>
      </c>
      <c r="M27">
        <v>1</v>
      </c>
      <c r="N27">
        <v>1</v>
      </c>
      <c r="O27">
        <v>1</v>
      </c>
      <c r="P27" t="s">
        <v>469</v>
      </c>
    </row>
    <row r="28" spans="1:16" x14ac:dyDescent="0.25">
      <c r="A28" t="s">
        <v>16</v>
      </c>
      <c r="B28" t="s">
        <v>57</v>
      </c>
      <c r="C28">
        <v>0</v>
      </c>
      <c r="D28">
        <v>9.2431211471557617</v>
      </c>
      <c r="E28">
        <v>1</v>
      </c>
      <c r="F28">
        <v>1</v>
      </c>
      <c r="G28">
        <v>1</v>
      </c>
      <c r="H28">
        <v>1</v>
      </c>
      <c r="I28">
        <v>1</v>
      </c>
      <c r="J28">
        <v>1</v>
      </c>
      <c r="K28">
        <v>1</v>
      </c>
      <c r="L28">
        <v>1</v>
      </c>
      <c r="M28">
        <v>1</v>
      </c>
      <c r="N28">
        <v>1</v>
      </c>
      <c r="O28">
        <v>1</v>
      </c>
    </row>
    <row r="29" spans="1:16" x14ac:dyDescent="0.25">
      <c r="A29" t="s">
        <v>16</v>
      </c>
      <c r="B29" t="s">
        <v>59</v>
      </c>
      <c r="C29">
        <v>0</v>
      </c>
      <c r="D29">
        <v>9.9699113368988037</v>
      </c>
      <c r="E29">
        <v>1</v>
      </c>
      <c r="F29">
        <v>1</v>
      </c>
      <c r="G29">
        <v>1</v>
      </c>
      <c r="H29">
        <v>1</v>
      </c>
      <c r="I29">
        <v>1</v>
      </c>
      <c r="J29">
        <v>1</v>
      </c>
      <c r="K29">
        <v>0</v>
      </c>
      <c r="L29">
        <v>1</v>
      </c>
      <c r="M29">
        <v>1</v>
      </c>
      <c r="N29">
        <v>1</v>
      </c>
      <c r="O29">
        <v>1</v>
      </c>
      <c r="P29" t="s">
        <v>470</v>
      </c>
    </row>
    <row r="30" spans="1:16" x14ac:dyDescent="0.25">
      <c r="A30" t="s">
        <v>16</v>
      </c>
      <c r="B30" t="s">
        <v>61</v>
      </c>
      <c r="C30">
        <v>0</v>
      </c>
      <c r="D30">
        <v>11.09597563743591</v>
      </c>
      <c r="E30">
        <v>0</v>
      </c>
      <c r="F30" t="s">
        <v>20</v>
      </c>
      <c r="G30" t="s">
        <v>20</v>
      </c>
      <c r="H30" t="s">
        <v>20</v>
      </c>
      <c r="I30" t="s">
        <v>20</v>
      </c>
      <c r="J30" t="s">
        <v>20</v>
      </c>
      <c r="K30" t="s">
        <v>20</v>
      </c>
      <c r="L30" t="s">
        <v>20</v>
      </c>
      <c r="M30" t="s">
        <v>20</v>
      </c>
      <c r="N30" t="s">
        <v>20</v>
      </c>
      <c r="O30" t="s">
        <v>20</v>
      </c>
      <c r="P30" t="s">
        <v>471</v>
      </c>
    </row>
    <row r="31" spans="1:16" x14ac:dyDescent="0.25">
      <c r="A31" t="s">
        <v>16</v>
      </c>
      <c r="B31" t="s">
        <v>63</v>
      </c>
      <c r="C31">
        <v>0</v>
      </c>
      <c r="D31">
        <v>5.3404498100280762</v>
      </c>
      <c r="E31">
        <v>1</v>
      </c>
      <c r="F31">
        <v>0</v>
      </c>
      <c r="G31">
        <v>1</v>
      </c>
      <c r="H31" t="s">
        <v>20</v>
      </c>
      <c r="I31">
        <v>1</v>
      </c>
      <c r="J31" t="s">
        <v>20</v>
      </c>
      <c r="K31">
        <v>1</v>
      </c>
      <c r="L31">
        <v>1</v>
      </c>
      <c r="M31">
        <v>1</v>
      </c>
      <c r="N31">
        <v>1</v>
      </c>
      <c r="O31">
        <v>1</v>
      </c>
      <c r="P31" t="s">
        <v>472</v>
      </c>
    </row>
    <row r="32" spans="1:16" x14ac:dyDescent="0.25">
      <c r="A32" t="s">
        <v>16</v>
      </c>
      <c r="B32" t="s">
        <v>65</v>
      </c>
      <c r="C32">
        <v>0</v>
      </c>
      <c r="D32">
        <v>4.8256056308746338</v>
      </c>
      <c r="E32">
        <v>1</v>
      </c>
      <c r="F32">
        <v>0</v>
      </c>
      <c r="G32">
        <v>1</v>
      </c>
      <c r="H32" t="s">
        <v>20</v>
      </c>
      <c r="I32">
        <v>1</v>
      </c>
      <c r="J32" t="s">
        <v>20</v>
      </c>
      <c r="K32">
        <v>1</v>
      </c>
      <c r="L32">
        <v>1</v>
      </c>
      <c r="M32">
        <v>1</v>
      </c>
      <c r="N32">
        <v>1</v>
      </c>
      <c r="O32">
        <v>1</v>
      </c>
      <c r="P32" t="s">
        <v>473</v>
      </c>
    </row>
    <row r="33" spans="1:16" x14ac:dyDescent="0.25">
      <c r="A33" t="s">
        <v>16</v>
      </c>
      <c r="B33" t="s">
        <v>67</v>
      </c>
      <c r="C33">
        <v>0</v>
      </c>
      <c r="D33">
        <v>9.8622920513153076</v>
      </c>
      <c r="E33">
        <v>1</v>
      </c>
      <c r="F33">
        <v>1</v>
      </c>
      <c r="G33">
        <v>1</v>
      </c>
      <c r="H33">
        <v>1</v>
      </c>
      <c r="I33">
        <v>1</v>
      </c>
      <c r="J33">
        <v>1</v>
      </c>
      <c r="K33">
        <v>0</v>
      </c>
      <c r="L33">
        <v>1</v>
      </c>
      <c r="M33">
        <v>1</v>
      </c>
      <c r="N33">
        <v>1</v>
      </c>
      <c r="O33">
        <v>1</v>
      </c>
      <c r="P33" t="s">
        <v>474</v>
      </c>
    </row>
    <row r="34" spans="1:16" x14ac:dyDescent="0.25">
      <c r="A34" t="s">
        <v>16</v>
      </c>
      <c r="B34" t="s">
        <v>69</v>
      </c>
      <c r="C34">
        <v>0</v>
      </c>
      <c r="D34">
        <v>5.7878282070159912</v>
      </c>
      <c r="E34">
        <v>0</v>
      </c>
      <c r="F34" t="s">
        <v>20</v>
      </c>
      <c r="G34" t="s">
        <v>20</v>
      </c>
      <c r="H34" t="s">
        <v>20</v>
      </c>
      <c r="I34" t="s">
        <v>20</v>
      </c>
      <c r="J34" t="s">
        <v>20</v>
      </c>
      <c r="K34" t="s">
        <v>20</v>
      </c>
      <c r="L34" t="s">
        <v>20</v>
      </c>
      <c r="M34" t="s">
        <v>20</v>
      </c>
      <c r="N34" t="s">
        <v>20</v>
      </c>
      <c r="O34" t="s">
        <v>20</v>
      </c>
      <c r="P34" t="s">
        <v>475</v>
      </c>
    </row>
    <row r="35" spans="1:16" x14ac:dyDescent="0.25">
      <c r="A35" t="s">
        <v>16</v>
      </c>
      <c r="B35" t="s">
        <v>71</v>
      </c>
      <c r="C35">
        <v>0</v>
      </c>
      <c r="D35">
        <v>9.4229245185852051</v>
      </c>
      <c r="E35">
        <v>1</v>
      </c>
      <c r="F35">
        <v>1</v>
      </c>
      <c r="G35">
        <v>1</v>
      </c>
      <c r="H35">
        <v>1</v>
      </c>
      <c r="I35">
        <v>1</v>
      </c>
      <c r="J35">
        <v>1</v>
      </c>
      <c r="K35">
        <v>1</v>
      </c>
      <c r="L35">
        <v>1</v>
      </c>
      <c r="M35">
        <v>1</v>
      </c>
      <c r="N35">
        <v>1</v>
      </c>
      <c r="O35">
        <v>1</v>
      </c>
    </row>
    <row r="36" spans="1:16" x14ac:dyDescent="0.25">
      <c r="A36" t="s">
        <v>16</v>
      </c>
      <c r="B36" t="s">
        <v>72</v>
      </c>
      <c r="C36">
        <v>0</v>
      </c>
      <c r="D36">
        <v>2.5533957481384282</v>
      </c>
      <c r="E36">
        <v>1</v>
      </c>
      <c r="F36">
        <v>1</v>
      </c>
      <c r="G36">
        <v>1</v>
      </c>
      <c r="H36">
        <v>1</v>
      </c>
      <c r="I36">
        <v>1</v>
      </c>
      <c r="J36">
        <v>1</v>
      </c>
      <c r="K36">
        <v>1</v>
      </c>
      <c r="L36">
        <v>1</v>
      </c>
      <c r="M36">
        <v>1</v>
      </c>
      <c r="N36">
        <v>1</v>
      </c>
      <c r="O36">
        <v>1</v>
      </c>
    </row>
    <row r="37" spans="1:16" x14ac:dyDescent="0.25">
      <c r="A37" t="s">
        <v>16</v>
      </c>
      <c r="B37" t="s">
        <v>73</v>
      </c>
      <c r="C37">
        <v>0</v>
      </c>
      <c r="D37">
        <v>4.8272571563720703</v>
      </c>
      <c r="E37">
        <v>1</v>
      </c>
      <c r="F37">
        <v>0</v>
      </c>
      <c r="G37">
        <v>1</v>
      </c>
      <c r="H37" t="s">
        <v>20</v>
      </c>
      <c r="I37">
        <v>1</v>
      </c>
      <c r="J37" t="s">
        <v>20</v>
      </c>
      <c r="K37">
        <v>1</v>
      </c>
      <c r="L37">
        <v>1</v>
      </c>
      <c r="M37">
        <v>1</v>
      </c>
      <c r="N37">
        <v>1</v>
      </c>
      <c r="O37">
        <v>1</v>
      </c>
      <c r="P37" t="s">
        <v>476</v>
      </c>
    </row>
    <row r="38" spans="1:16" x14ac:dyDescent="0.25">
      <c r="A38" t="s">
        <v>16</v>
      </c>
      <c r="B38" t="s">
        <v>75</v>
      </c>
      <c r="C38">
        <v>0</v>
      </c>
      <c r="D38">
        <v>3.8220615386962891</v>
      </c>
      <c r="E38">
        <v>1</v>
      </c>
      <c r="F38">
        <v>0</v>
      </c>
      <c r="G38">
        <v>1</v>
      </c>
      <c r="H38" t="s">
        <v>20</v>
      </c>
      <c r="I38">
        <v>1</v>
      </c>
      <c r="J38" t="s">
        <v>20</v>
      </c>
      <c r="K38">
        <v>1</v>
      </c>
      <c r="L38">
        <v>1</v>
      </c>
      <c r="M38">
        <v>1</v>
      </c>
      <c r="N38">
        <v>1</v>
      </c>
      <c r="O38">
        <v>1</v>
      </c>
      <c r="P38" t="s">
        <v>76</v>
      </c>
    </row>
    <row r="39" spans="1:16" x14ac:dyDescent="0.25">
      <c r="A39" t="s">
        <v>16</v>
      </c>
      <c r="B39" t="s">
        <v>77</v>
      </c>
      <c r="C39">
        <v>0</v>
      </c>
      <c r="D39">
        <v>10.359656572341921</v>
      </c>
      <c r="E39">
        <v>1</v>
      </c>
      <c r="F39">
        <v>1</v>
      </c>
      <c r="G39">
        <v>1</v>
      </c>
      <c r="H39">
        <v>1</v>
      </c>
      <c r="I39">
        <v>1</v>
      </c>
      <c r="J39">
        <v>1</v>
      </c>
      <c r="K39">
        <v>1</v>
      </c>
      <c r="L39">
        <v>1</v>
      </c>
      <c r="M39">
        <v>0</v>
      </c>
      <c r="N39">
        <v>1</v>
      </c>
      <c r="O39">
        <v>1</v>
      </c>
      <c r="P39" t="s">
        <v>477</v>
      </c>
    </row>
    <row r="40" spans="1:16" x14ac:dyDescent="0.25">
      <c r="A40" t="s">
        <v>16</v>
      </c>
      <c r="B40" t="s">
        <v>78</v>
      </c>
      <c r="C40">
        <v>0</v>
      </c>
      <c r="D40">
        <v>9.5862164497375488</v>
      </c>
      <c r="E40">
        <v>1</v>
      </c>
      <c r="F40">
        <v>1</v>
      </c>
      <c r="G40">
        <v>0</v>
      </c>
      <c r="H40" t="s">
        <v>20</v>
      </c>
      <c r="I40">
        <v>1</v>
      </c>
      <c r="J40">
        <v>1</v>
      </c>
      <c r="K40">
        <v>1</v>
      </c>
      <c r="L40">
        <v>1</v>
      </c>
      <c r="M40">
        <v>1</v>
      </c>
      <c r="N40">
        <v>1</v>
      </c>
      <c r="O40">
        <v>1</v>
      </c>
      <c r="P40" t="s">
        <v>478</v>
      </c>
    </row>
    <row r="41" spans="1:16" x14ac:dyDescent="0.25">
      <c r="A41" t="s">
        <v>16</v>
      </c>
      <c r="B41" t="s">
        <v>80</v>
      </c>
      <c r="C41">
        <v>0</v>
      </c>
      <c r="D41">
        <v>8.9972741603851318</v>
      </c>
      <c r="E41">
        <v>0</v>
      </c>
      <c r="F41" t="s">
        <v>20</v>
      </c>
      <c r="G41" t="s">
        <v>20</v>
      </c>
      <c r="H41" t="s">
        <v>20</v>
      </c>
      <c r="I41" t="s">
        <v>20</v>
      </c>
      <c r="J41" t="s">
        <v>20</v>
      </c>
      <c r="K41" t="s">
        <v>20</v>
      </c>
      <c r="L41" t="s">
        <v>20</v>
      </c>
      <c r="M41" t="s">
        <v>20</v>
      </c>
      <c r="N41" t="s">
        <v>20</v>
      </c>
      <c r="O41" t="s">
        <v>20</v>
      </c>
      <c r="P41" t="s">
        <v>479</v>
      </c>
    </row>
    <row r="42" spans="1:16" x14ac:dyDescent="0.25">
      <c r="A42" t="s">
        <v>16</v>
      </c>
      <c r="B42" t="s">
        <v>82</v>
      </c>
      <c r="C42">
        <v>0</v>
      </c>
      <c r="D42">
        <v>12.39122366905212</v>
      </c>
      <c r="E42">
        <v>0</v>
      </c>
      <c r="F42" t="s">
        <v>20</v>
      </c>
      <c r="G42" t="s">
        <v>20</v>
      </c>
      <c r="H42" t="s">
        <v>20</v>
      </c>
      <c r="I42" t="s">
        <v>20</v>
      </c>
      <c r="J42" t="s">
        <v>20</v>
      </c>
      <c r="K42" t="s">
        <v>20</v>
      </c>
      <c r="L42" t="s">
        <v>20</v>
      </c>
      <c r="M42" t="s">
        <v>20</v>
      </c>
      <c r="N42" t="s">
        <v>20</v>
      </c>
      <c r="O42" t="s">
        <v>20</v>
      </c>
      <c r="P42" t="s">
        <v>480</v>
      </c>
    </row>
    <row r="43" spans="1:16" x14ac:dyDescent="0.25">
      <c r="A43" t="s">
        <v>16</v>
      </c>
      <c r="B43" t="s">
        <v>84</v>
      </c>
      <c r="C43">
        <v>0</v>
      </c>
      <c r="D43">
        <v>9.4957168102264404</v>
      </c>
      <c r="E43">
        <v>1</v>
      </c>
      <c r="F43">
        <v>1</v>
      </c>
      <c r="G43">
        <v>1</v>
      </c>
      <c r="H43">
        <v>1</v>
      </c>
      <c r="I43">
        <v>1</v>
      </c>
      <c r="J43">
        <v>1</v>
      </c>
      <c r="K43">
        <v>1</v>
      </c>
      <c r="L43">
        <v>1</v>
      </c>
      <c r="M43">
        <v>1</v>
      </c>
      <c r="N43">
        <v>1</v>
      </c>
      <c r="O43">
        <v>1</v>
      </c>
    </row>
    <row r="44" spans="1:16" x14ac:dyDescent="0.25">
      <c r="A44" t="s">
        <v>16</v>
      </c>
      <c r="B44" t="s">
        <v>85</v>
      </c>
      <c r="C44">
        <v>0</v>
      </c>
      <c r="D44">
        <v>5.0676248073577881</v>
      </c>
      <c r="E44">
        <v>1</v>
      </c>
      <c r="F44">
        <v>1</v>
      </c>
      <c r="G44">
        <v>1</v>
      </c>
      <c r="H44">
        <v>0</v>
      </c>
      <c r="I44">
        <v>1</v>
      </c>
      <c r="J44">
        <v>1</v>
      </c>
      <c r="K44">
        <v>1</v>
      </c>
      <c r="L44">
        <v>1</v>
      </c>
      <c r="M44">
        <v>1</v>
      </c>
      <c r="N44">
        <v>1</v>
      </c>
      <c r="O44">
        <v>1</v>
      </c>
      <c r="P44" t="s">
        <v>481</v>
      </c>
    </row>
    <row r="45" spans="1:16" x14ac:dyDescent="0.25">
      <c r="A45" t="s">
        <v>16</v>
      </c>
      <c r="B45" t="s">
        <v>87</v>
      </c>
      <c r="C45">
        <v>0</v>
      </c>
      <c r="D45">
        <v>6.3326661586761466</v>
      </c>
      <c r="E45">
        <v>1</v>
      </c>
      <c r="F45">
        <v>1</v>
      </c>
      <c r="G45">
        <v>0</v>
      </c>
      <c r="H45" t="s">
        <v>20</v>
      </c>
      <c r="I45">
        <v>1</v>
      </c>
      <c r="J45">
        <v>0</v>
      </c>
      <c r="K45">
        <v>1</v>
      </c>
      <c r="L45">
        <v>1</v>
      </c>
      <c r="M45">
        <v>1</v>
      </c>
      <c r="N45">
        <v>1</v>
      </c>
      <c r="O45">
        <v>1</v>
      </c>
      <c r="P45" t="s">
        <v>482</v>
      </c>
    </row>
    <row r="46" spans="1:16" x14ac:dyDescent="0.25">
      <c r="A46" t="s">
        <v>16</v>
      </c>
      <c r="B46" t="s">
        <v>89</v>
      </c>
      <c r="C46">
        <v>0</v>
      </c>
      <c r="D46">
        <v>5.9560503959655762</v>
      </c>
      <c r="E46">
        <v>1</v>
      </c>
      <c r="F46">
        <v>1</v>
      </c>
      <c r="G46">
        <v>1</v>
      </c>
      <c r="H46">
        <v>1</v>
      </c>
      <c r="I46">
        <v>1</v>
      </c>
      <c r="J46">
        <v>0</v>
      </c>
      <c r="K46">
        <v>1</v>
      </c>
      <c r="L46">
        <v>1</v>
      </c>
      <c r="M46">
        <v>1</v>
      </c>
      <c r="N46">
        <v>1</v>
      </c>
      <c r="O46">
        <v>1</v>
      </c>
      <c r="P46" t="s">
        <v>483</v>
      </c>
    </row>
    <row r="47" spans="1:16" x14ac:dyDescent="0.25">
      <c r="A47" t="s">
        <v>16</v>
      </c>
      <c r="B47" t="s">
        <v>91</v>
      </c>
      <c r="C47">
        <v>0</v>
      </c>
      <c r="D47">
        <v>11.83691191673279</v>
      </c>
      <c r="E47">
        <v>1</v>
      </c>
      <c r="F47">
        <v>1</v>
      </c>
      <c r="G47">
        <v>1</v>
      </c>
      <c r="H47">
        <v>1</v>
      </c>
      <c r="I47">
        <v>1</v>
      </c>
      <c r="J47">
        <v>0</v>
      </c>
      <c r="K47">
        <v>1</v>
      </c>
      <c r="L47">
        <v>1</v>
      </c>
      <c r="M47">
        <v>1</v>
      </c>
      <c r="N47">
        <v>1</v>
      </c>
      <c r="O47">
        <v>1</v>
      </c>
      <c r="P47" t="s">
        <v>484</v>
      </c>
    </row>
    <row r="48" spans="1:16" x14ac:dyDescent="0.25">
      <c r="A48" t="s">
        <v>16</v>
      </c>
      <c r="B48" t="s">
        <v>92</v>
      </c>
      <c r="C48">
        <v>0</v>
      </c>
      <c r="D48">
        <v>11.40176129341125</v>
      </c>
      <c r="E48">
        <v>1</v>
      </c>
      <c r="F48">
        <v>1</v>
      </c>
      <c r="G48">
        <v>1</v>
      </c>
      <c r="H48">
        <v>1</v>
      </c>
      <c r="I48">
        <v>1</v>
      </c>
      <c r="J48">
        <v>0</v>
      </c>
      <c r="K48">
        <v>1</v>
      </c>
      <c r="L48">
        <v>1</v>
      </c>
      <c r="M48">
        <v>1</v>
      </c>
      <c r="N48">
        <v>1</v>
      </c>
      <c r="O48">
        <v>1</v>
      </c>
      <c r="P48" t="s">
        <v>485</v>
      </c>
    </row>
    <row r="49" spans="1:16" x14ac:dyDescent="0.25">
      <c r="A49" t="s">
        <v>16</v>
      </c>
      <c r="B49" t="s">
        <v>94</v>
      </c>
      <c r="C49">
        <v>0</v>
      </c>
      <c r="D49">
        <v>2.757574319839478</v>
      </c>
      <c r="E49">
        <v>1</v>
      </c>
      <c r="F49">
        <v>1</v>
      </c>
      <c r="G49">
        <v>1</v>
      </c>
      <c r="H49">
        <v>1</v>
      </c>
      <c r="I49">
        <v>1</v>
      </c>
      <c r="J49">
        <v>1</v>
      </c>
      <c r="K49">
        <v>1</v>
      </c>
      <c r="L49">
        <v>1</v>
      </c>
      <c r="M49">
        <v>1</v>
      </c>
      <c r="N49">
        <v>1</v>
      </c>
      <c r="O49">
        <v>1</v>
      </c>
    </row>
    <row r="50" spans="1:16" x14ac:dyDescent="0.25">
      <c r="A50" t="s">
        <v>16</v>
      </c>
      <c r="B50" t="s">
        <v>95</v>
      </c>
      <c r="C50">
        <v>0</v>
      </c>
      <c r="D50">
        <v>9.3420848846435547</v>
      </c>
      <c r="E50">
        <v>1</v>
      </c>
      <c r="F50">
        <v>1</v>
      </c>
      <c r="G50">
        <v>1</v>
      </c>
      <c r="H50">
        <v>1</v>
      </c>
      <c r="I50">
        <v>1</v>
      </c>
      <c r="J50">
        <v>1</v>
      </c>
      <c r="K50">
        <v>1</v>
      </c>
      <c r="L50">
        <v>1</v>
      </c>
      <c r="M50">
        <v>1</v>
      </c>
      <c r="N50">
        <v>1</v>
      </c>
      <c r="O50">
        <v>1</v>
      </c>
    </row>
    <row r="51" spans="1:16" x14ac:dyDescent="0.25">
      <c r="A51" t="s">
        <v>96</v>
      </c>
      <c r="B51" t="s">
        <v>17</v>
      </c>
      <c r="C51">
        <v>0</v>
      </c>
      <c r="D51">
        <v>2.5371024608612061</v>
      </c>
      <c r="E51">
        <v>1</v>
      </c>
      <c r="F51">
        <v>1</v>
      </c>
      <c r="G51">
        <v>1</v>
      </c>
      <c r="H51">
        <v>1</v>
      </c>
      <c r="I51">
        <v>1</v>
      </c>
      <c r="J51">
        <v>1</v>
      </c>
      <c r="K51">
        <v>1</v>
      </c>
      <c r="L51">
        <v>1</v>
      </c>
      <c r="M51">
        <v>1</v>
      </c>
      <c r="N51">
        <v>1</v>
      </c>
      <c r="O51">
        <v>1</v>
      </c>
    </row>
    <row r="52" spans="1:16" x14ac:dyDescent="0.25">
      <c r="A52" t="s">
        <v>96</v>
      </c>
      <c r="B52" t="s">
        <v>18</v>
      </c>
      <c r="C52">
        <v>0</v>
      </c>
      <c r="D52">
        <v>9.2786040306091309</v>
      </c>
      <c r="E52">
        <v>1</v>
      </c>
      <c r="F52">
        <v>1</v>
      </c>
      <c r="G52">
        <v>1</v>
      </c>
      <c r="H52">
        <v>1</v>
      </c>
      <c r="I52">
        <v>1</v>
      </c>
      <c r="J52">
        <v>1</v>
      </c>
      <c r="K52">
        <v>1</v>
      </c>
      <c r="L52">
        <v>1</v>
      </c>
      <c r="M52">
        <v>1</v>
      </c>
      <c r="N52">
        <v>1</v>
      </c>
      <c r="O52">
        <v>1</v>
      </c>
    </row>
    <row r="53" spans="1:16" x14ac:dyDescent="0.25">
      <c r="A53" t="s">
        <v>96</v>
      </c>
      <c r="B53" t="s">
        <v>19</v>
      </c>
      <c r="C53">
        <v>0</v>
      </c>
      <c r="D53">
        <v>11.714806318283079</v>
      </c>
      <c r="E53">
        <v>1</v>
      </c>
      <c r="F53">
        <v>1</v>
      </c>
      <c r="G53">
        <v>1</v>
      </c>
      <c r="H53">
        <v>0</v>
      </c>
      <c r="I53">
        <v>1</v>
      </c>
      <c r="J53">
        <v>1</v>
      </c>
      <c r="K53">
        <v>1</v>
      </c>
      <c r="L53">
        <v>1</v>
      </c>
      <c r="M53">
        <v>1</v>
      </c>
      <c r="N53">
        <v>1</v>
      </c>
      <c r="O53">
        <v>1</v>
      </c>
      <c r="P53" t="s">
        <v>486</v>
      </c>
    </row>
    <row r="54" spans="1:16" x14ac:dyDescent="0.25">
      <c r="A54" t="s">
        <v>96</v>
      </c>
      <c r="B54" t="s">
        <v>22</v>
      </c>
      <c r="C54">
        <v>0</v>
      </c>
      <c r="D54">
        <v>9.562678337097168</v>
      </c>
      <c r="E54">
        <v>1</v>
      </c>
      <c r="F54">
        <v>1</v>
      </c>
      <c r="G54">
        <v>1</v>
      </c>
      <c r="H54">
        <v>1</v>
      </c>
      <c r="I54">
        <v>1</v>
      </c>
      <c r="J54">
        <v>1</v>
      </c>
      <c r="K54">
        <v>1</v>
      </c>
      <c r="L54">
        <v>1</v>
      </c>
      <c r="M54">
        <v>1</v>
      </c>
      <c r="N54">
        <v>1</v>
      </c>
      <c r="O54">
        <v>1</v>
      </c>
    </row>
    <row r="55" spans="1:16" x14ac:dyDescent="0.25">
      <c r="A55" t="s">
        <v>96</v>
      </c>
      <c r="B55" t="s">
        <v>24</v>
      </c>
      <c r="C55">
        <v>0</v>
      </c>
      <c r="D55">
        <v>2.777135848999023</v>
      </c>
      <c r="E55">
        <v>1</v>
      </c>
      <c r="F55">
        <v>1</v>
      </c>
      <c r="G55">
        <v>1</v>
      </c>
      <c r="H55">
        <v>1</v>
      </c>
      <c r="I55">
        <v>1</v>
      </c>
      <c r="J55">
        <v>1</v>
      </c>
      <c r="K55">
        <v>1</v>
      </c>
      <c r="L55">
        <v>1</v>
      </c>
      <c r="M55">
        <v>1</v>
      </c>
      <c r="N55">
        <v>1</v>
      </c>
      <c r="O55">
        <v>1</v>
      </c>
    </row>
    <row r="56" spans="1:16" x14ac:dyDescent="0.25">
      <c r="A56" t="s">
        <v>96</v>
      </c>
      <c r="B56" t="s">
        <v>25</v>
      </c>
      <c r="C56">
        <v>0</v>
      </c>
      <c r="D56">
        <v>12.222668409347531</v>
      </c>
      <c r="E56">
        <v>1</v>
      </c>
      <c r="F56">
        <v>1</v>
      </c>
      <c r="G56">
        <v>0</v>
      </c>
      <c r="H56" t="s">
        <v>20</v>
      </c>
      <c r="I56">
        <v>1</v>
      </c>
      <c r="J56">
        <v>1</v>
      </c>
      <c r="K56">
        <v>1</v>
      </c>
      <c r="L56">
        <v>1</v>
      </c>
      <c r="M56">
        <v>1</v>
      </c>
      <c r="N56">
        <v>1</v>
      </c>
      <c r="O56">
        <v>1</v>
      </c>
      <c r="P56" t="s">
        <v>487</v>
      </c>
    </row>
    <row r="57" spans="1:16" x14ac:dyDescent="0.25">
      <c r="A57" t="s">
        <v>96</v>
      </c>
      <c r="B57" t="s">
        <v>26</v>
      </c>
      <c r="C57">
        <v>0</v>
      </c>
      <c r="D57">
        <v>2.6772396564483638</v>
      </c>
      <c r="E57">
        <v>1</v>
      </c>
      <c r="F57">
        <v>1</v>
      </c>
      <c r="G57">
        <v>1</v>
      </c>
      <c r="H57">
        <v>1</v>
      </c>
      <c r="I57">
        <v>1</v>
      </c>
      <c r="J57">
        <v>1</v>
      </c>
      <c r="K57">
        <v>1</v>
      </c>
      <c r="L57">
        <v>1</v>
      </c>
      <c r="M57">
        <v>1</v>
      </c>
      <c r="N57">
        <v>1</v>
      </c>
      <c r="O57">
        <v>1</v>
      </c>
    </row>
    <row r="58" spans="1:16" x14ac:dyDescent="0.25">
      <c r="A58" t="s">
        <v>96</v>
      </c>
      <c r="B58" t="s">
        <v>27</v>
      </c>
      <c r="C58">
        <v>0</v>
      </c>
      <c r="D58">
        <v>4.9606585502624512</v>
      </c>
      <c r="E58">
        <v>1</v>
      </c>
      <c r="F58">
        <v>1</v>
      </c>
      <c r="G58">
        <v>1</v>
      </c>
      <c r="H58">
        <v>1</v>
      </c>
      <c r="I58">
        <v>1</v>
      </c>
      <c r="J58">
        <v>0</v>
      </c>
      <c r="K58">
        <v>1</v>
      </c>
      <c r="L58">
        <v>1</v>
      </c>
      <c r="M58">
        <v>1</v>
      </c>
      <c r="N58">
        <v>1</v>
      </c>
      <c r="O58">
        <v>1</v>
      </c>
      <c r="P58" t="s">
        <v>488</v>
      </c>
    </row>
    <row r="59" spans="1:16" x14ac:dyDescent="0.25">
      <c r="A59" t="s">
        <v>96</v>
      </c>
      <c r="B59" t="s">
        <v>28</v>
      </c>
      <c r="C59">
        <v>0</v>
      </c>
      <c r="D59">
        <v>2.741660356521606</v>
      </c>
      <c r="E59">
        <v>1</v>
      </c>
      <c r="F59">
        <v>1</v>
      </c>
      <c r="G59">
        <v>1</v>
      </c>
      <c r="H59">
        <v>1</v>
      </c>
      <c r="I59">
        <v>1</v>
      </c>
      <c r="J59">
        <v>1</v>
      </c>
      <c r="K59">
        <v>1</v>
      </c>
      <c r="L59">
        <v>1</v>
      </c>
      <c r="M59">
        <v>1</v>
      </c>
      <c r="N59">
        <v>1</v>
      </c>
      <c r="O59">
        <v>1</v>
      </c>
    </row>
    <row r="60" spans="1:16" x14ac:dyDescent="0.25">
      <c r="A60" t="s">
        <v>96</v>
      </c>
      <c r="B60" t="s">
        <v>29</v>
      </c>
      <c r="C60">
        <v>0</v>
      </c>
      <c r="D60">
        <v>2.736758947372437</v>
      </c>
      <c r="E60">
        <v>1</v>
      </c>
      <c r="F60">
        <v>1</v>
      </c>
      <c r="G60">
        <v>1</v>
      </c>
      <c r="H60">
        <v>1</v>
      </c>
      <c r="I60">
        <v>1</v>
      </c>
      <c r="J60">
        <v>1</v>
      </c>
      <c r="K60">
        <v>1</v>
      </c>
      <c r="L60">
        <v>1</v>
      </c>
      <c r="M60">
        <v>1</v>
      </c>
      <c r="N60">
        <v>1</v>
      </c>
      <c r="O60">
        <v>1</v>
      </c>
    </row>
    <row r="61" spans="1:16" x14ac:dyDescent="0.25">
      <c r="A61" t="s">
        <v>96</v>
      </c>
      <c r="B61" t="s">
        <v>31</v>
      </c>
      <c r="C61">
        <v>0</v>
      </c>
      <c r="D61">
        <v>2.8179271221160889</v>
      </c>
      <c r="E61">
        <v>1</v>
      </c>
      <c r="F61">
        <v>1</v>
      </c>
      <c r="G61">
        <v>1</v>
      </c>
      <c r="H61">
        <v>1</v>
      </c>
      <c r="I61">
        <v>1</v>
      </c>
      <c r="J61">
        <v>1</v>
      </c>
      <c r="K61">
        <v>1</v>
      </c>
      <c r="L61">
        <v>1</v>
      </c>
      <c r="M61">
        <v>1</v>
      </c>
      <c r="N61">
        <v>1</v>
      </c>
      <c r="O61">
        <v>1</v>
      </c>
    </row>
    <row r="62" spans="1:16" x14ac:dyDescent="0.25">
      <c r="A62" t="s">
        <v>96</v>
      </c>
      <c r="B62" t="s">
        <v>33</v>
      </c>
      <c r="C62">
        <v>0</v>
      </c>
      <c r="D62">
        <v>12.16376924514771</v>
      </c>
      <c r="E62">
        <v>1</v>
      </c>
      <c r="F62">
        <v>1</v>
      </c>
      <c r="G62">
        <v>1</v>
      </c>
      <c r="H62">
        <v>1</v>
      </c>
      <c r="I62">
        <v>1</v>
      </c>
      <c r="J62">
        <v>1</v>
      </c>
      <c r="K62">
        <v>1</v>
      </c>
      <c r="L62">
        <v>1</v>
      </c>
      <c r="M62">
        <v>1</v>
      </c>
      <c r="N62">
        <v>1</v>
      </c>
      <c r="O62">
        <v>1</v>
      </c>
    </row>
    <row r="63" spans="1:16" x14ac:dyDescent="0.25">
      <c r="A63" t="s">
        <v>96</v>
      </c>
      <c r="B63" t="s">
        <v>35</v>
      </c>
      <c r="C63">
        <v>0</v>
      </c>
      <c r="D63">
        <v>2.7809562683105469</v>
      </c>
      <c r="E63">
        <v>1</v>
      </c>
      <c r="F63">
        <v>1</v>
      </c>
      <c r="G63">
        <v>1</v>
      </c>
      <c r="H63">
        <v>1</v>
      </c>
      <c r="I63">
        <v>1</v>
      </c>
      <c r="J63">
        <v>1</v>
      </c>
      <c r="K63">
        <v>1</v>
      </c>
      <c r="L63">
        <v>1</v>
      </c>
      <c r="M63">
        <v>1</v>
      </c>
      <c r="N63">
        <v>1</v>
      </c>
      <c r="O63">
        <v>1</v>
      </c>
    </row>
    <row r="64" spans="1:16" x14ac:dyDescent="0.25">
      <c r="A64" t="s">
        <v>96</v>
      </c>
      <c r="B64" t="s">
        <v>36</v>
      </c>
      <c r="C64">
        <v>0</v>
      </c>
      <c r="D64">
        <v>9.735105037689209</v>
      </c>
      <c r="E64">
        <v>1</v>
      </c>
      <c r="F64">
        <v>1</v>
      </c>
      <c r="G64">
        <v>1</v>
      </c>
      <c r="H64">
        <v>1</v>
      </c>
      <c r="I64">
        <v>1</v>
      </c>
      <c r="J64">
        <v>1</v>
      </c>
      <c r="K64">
        <v>1</v>
      </c>
      <c r="L64">
        <v>1</v>
      </c>
      <c r="M64">
        <v>1</v>
      </c>
      <c r="N64">
        <v>1</v>
      </c>
      <c r="O64">
        <v>1</v>
      </c>
    </row>
    <row r="65" spans="1:16" x14ac:dyDescent="0.25">
      <c r="A65" t="s">
        <v>96</v>
      </c>
      <c r="B65" t="s">
        <v>38</v>
      </c>
      <c r="C65">
        <v>0</v>
      </c>
      <c r="D65">
        <v>10.147685050964361</v>
      </c>
      <c r="E65">
        <v>1</v>
      </c>
      <c r="F65">
        <v>0</v>
      </c>
      <c r="G65">
        <v>1</v>
      </c>
      <c r="H65" t="s">
        <v>20</v>
      </c>
      <c r="I65">
        <v>1</v>
      </c>
      <c r="J65" t="s">
        <v>20</v>
      </c>
      <c r="K65">
        <v>1</v>
      </c>
      <c r="L65">
        <v>1</v>
      </c>
      <c r="M65">
        <v>1</v>
      </c>
      <c r="N65">
        <v>1</v>
      </c>
      <c r="O65">
        <v>1</v>
      </c>
      <c r="P65" t="s">
        <v>489</v>
      </c>
    </row>
    <row r="66" spans="1:16" x14ac:dyDescent="0.25">
      <c r="A66" t="s">
        <v>96</v>
      </c>
      <c r="B66" t="s">
        <v>40</v>
      </c>
      <c r="C66">
        <v>0</v>
      </c>
      <c r="D66">
        <v>11.17711329460144</v>
      </c>
      <c r="E66">
        <v>1</v>
      </c>
      <c r="F66">
        <v>0</v>
      </c>
      <c r="G66">
        <v>1</v>
      </c>
      <c r="H66" t="s">
        <v>20</v>
      </c>
      <c r="I66">
        <v>1</v>
      </c>
      <c r="J66" t="s">
        <v>20</v>
      </c>
      <c r="K66">
        <v>1</v>
      </c>
      <c r="L66">
        <v>1</v>
      </c>
      <c r="M66">
        <v>1</v>
      </c>
      <c r="N66">
        <v>1</v>
      </c>
      <c r="O66">
        <v>1</v>
      </c>
      <c r="P66" t="s">
        <v>490</v>
      </c>
    </row>
    <row r="67" spans="1:16" x14ac:dyDescent="0.25">
      <c r="A67" t="s">
        <v>96</v>
      </c>
      <c r="B67" t="s">
        <v>42</v>
      </c>
      <c r="C67">
        <v>0</v>
      </c>
      <c r="D67">
        <v>11.506978034973139</v>
      </c>
      <c r="E67">
        <v>1</v>
      </c>
      <c r="F67">
        <v>1</v>
      </c>
      <c r="G67">
        <v>1</v>
      </c>
      <c r="H67">
        <v>0</v>
      </c>
      <c r="I67">
        <v>1</v>
      </c>
      <c r="J67">
        <v>1</v>
      </c>
      <c r="K67">
        <v>1</v>
      </c>
      <c r="L67">
        <v>1</v>
      </c>
      <c r="M67">
        <v>1</v>
      </c>
      <c r="N67">
        <v>1</v>
      </c>
      <c r="O67">
        <v>1</v>
      </c>
      <c r="P67" t="s">
        <v>491</v>
      </c>
    </row>
    <row r="68" spans="1:16" x14ac:dyDescent="0.25">
      <c r="A68" t="s">
        <v>96</v>
      </c>
      <c r="B68" t="s">
        <v>43</v>
      </c>
      <c r="C68">
        <v>0</v>
      </c>
      <c r="D68">
        <v>12.10335636138916</v>
      </c>
      <c r="E68">
        <v>1</v>
      </c>
      <c r="F68">
        <v>1</v>
      </c>
      <c r="G68">
        <v>1</v>
      </c>
      <c r="H68">
        <v>1</v>
      </c>
      <c r="I68">
        <v>1</v>
      </c>
      <c r="J68">
        <v>1</v>
      </c>
      <c r="K68">
        <v>0</v>
      </c>
      <c r="L68">
        <v>1</v>
      </c>
      <c r="M68">
        <v>1</v>
      </c>
      <c r="N68">
        <v>1</v>
      </c>
      <c r="O68">
        <v>1</v>
      </c>
      <c r="P68" t="s">
        <v>492</v>
      </c>
    </row>
    <row r="69" spans="1:16" x14ac:dyDescent="0.25">
      <c r="A69" t="s">
        <v>96</v>
      </c>
      <c r="B69" t="s">
        <v>44</v>
      </c>
      <c r="C69">
        <v>0</v>
      </c>
      <c r="D69">
        <v>2.69297194480896</v>
      </c>
      <c r="E69">
        <v>1</v>
      </c>
      <c r="F69">
        <v>1</v>
      </c>
      <c r="G69">
        <v>1</v>
      </c>
      <c r="H69">
        <v>1</v>
      </c>
      <c r="I69">
        <v>1</v>
      </c>
      <c r="J69">
        <v>1</v>
      </c>
      <c r="K69">
        <v>1</v>
      </c>
      <c r="L69">
        <v>1</v>
      </c>
      <c r="M69">
        <v>1</v>
      </c>
      <c r="N69">
        <v>1</v>
      </c>
      <c r="O69">
        <v>1</v>
      </c>
    </row>
    <row r="70" spans="1:16" x14ac:dyDescent="0.25">
      <c r="A70" t="s">
        <v>96</v>
      </c>
      <c r="B70" t="s">
        <v>46</v>
      </c>
      <c r="C70">
        <v>0</v>
      </c>
      <c r="D70">
        <v>9.7354235649108887</v>
      </c>
      <c r="E70">
        <v>1</v>
      </c>
      <c r="F70">
        <v>1</v>
      </c>
      <c r="G70">
        <v>1</v>
      </c>
      <c r="H70">
        <v>1</v>
      </c>
      <c r="I70">
        <v>1</v>
      </c>
      <c r="J70">
        <v>1</v>
      </c>
      <c r="K70">
        <v>1</v>
      </c>
      <c r="L70">
        <v>1</v>
      </c>
      <c r="M70">
        <v>1</v>
      </c>
      <c r="N70">
        <v>1</v>
      </c>
      <c r="O70">
        <v>1</v>
      </c>
    </row>
    <row r="71" spans="1:16" x14ac:dyDescent="0.25">
      <c r="A71" t="s">
        <v>96</v>
      </c>
      <c r="B71" t="s">
        <v>48</v>
      </c>
      <c r="C71">
        <v>0</v>
      </c>
      <c r="D71">
        <v>12.401503801345831</v>
      </c>
      <c r="E71">
        <v>0</v>
      </c>
      <c r="F71" t="s">
        <v>20</v>
      </c>
      <c r="G71" t="s">
        <v>20</v>
      </c>
      <c r="H71" t="s">
        <v>20</v>
      </c>
      <c r="I71" t="s">
        <v>20</v>
      </c>
      <c r="J71" t="s">
        <v>20</v>
      </c>
      <c r="K71" t="s">
        <v>20</v>
      </c>
      <c r="L71" t="s">
        <v>20</v>
      </c>
      <c r="M71" t="s">
        <v>20</v>
      </c>
      <c r="N71" t="s">
        <v>20</v>
      </c>
      <c r="O71" t="s">
        <v>20</v>
      </c>
      <c r="P71" t="s">
        <v>493</v>
      </c>
    </row>
    <row r="72" spans="1:16" x14ac:dyDescent="0.25">
      <c r="A72" t="s">
        <v>96</v>
      </c>
      <c r="B72" t="s">
        <v>50</v>
      </c>
      <c r="C72">
        <v>0</v>
      </c>
      <c r="D72">
        <v>11.43465876579285</v>
      </c>
      <c r="E72">
        <v>1</v>
      </c>
      <c r="F72">
        <v>1</v>
      </c>
      <c r="G72">
        <v>1</v>
      </c>
      <c r="H72">
        <v>1</v>
      </c>
      <c r="I72">
        <v>1</v>
      </c>
      <c r="J72">
        <v>1</v>
      </c>
      <c r="K72">
        <v>1</v>
      </c>
      <c r="L72">
        <v>1</v>
      </c>
      <c r="M72">
        <v>0</v>
      </c>
      <c r="N72">
        <v>1</v>
      </c>
      <c r="O72">
        <v>1</v>
      </c>
      <c r="P72" t="s">
        <v>494</v>
      </c>
    </row>
    <row r="73" spans="1:16" x14ac:dyDescent="0.25">
      <c r="A73" t="s">
        <v>96</v>
      </c>
      <c r="B73" t="s">
        <v>51</v>
      </c>
      <c r="C73">
        <v>0</v>
      </c>
      <c r="D73">
        <v>13.35729289054871</v>
      </c>
      <c r="E73">
        <v>1</v>
      </c>
      <c r="F73">
        <v>1</v>
      </c>
      <c r="G73">
        <v>1</v>
      </c>
      <c r="H73">
        <v>1</v>
      </c>
      <c r="I73">
        <v>1</v>
      </c>
      <c r="J73">
        <v>1</v>
      </c>
      <c r="K73">
        <v>0</v>
      </c>
      <c r="L73">
        <v>1</v>
      </c>
      <c r="M73">
        <v>1</v>
      </c>
      <c r="N73">
        <v>1</v>
      </c>
      <c r="O73">
        <v>1</v>
      </c>
      <c r="P73" t="s">
        <v>495</v>
      </c>
    </row>
    <row r="74" spans="1:16" x14ac:dyDescent="0.25">
      <c r="A74" t="s">
        <v>96</v>
      </c>
      <c r="B74" t="s">
        <v>52</v>
      </c>
      <c r="C74">
        <v>0</v>
      </c>
      <c r="D74">
        <v>9.3260133266448975</v>
      </c>
      <c r="E74">
        <v>1</v>
      </c>
      <c r="F74">
        <v>1</v>
      </c>
      <c r="G74">
        <v>1</v>
      </c>
      <c r="H74">
        <v>1</v>
      </c>
      <c r="I74">
        <v>1</v>
      </c>
      <c r="J74">
        <v>1</v>
      </c>
      <c r="K74">
        <v>1</v>
      </c>
      <c r="L74">
        <v>1</v>
      </c>
      <c r="M74">
        <v>1</v>
      </c>
      <c r="N74">
        <v>1</v>
      </c>
      <c r="O74">
        <v>1</v>
      </c>
    </row>
    <row r="75" spans="1:16" x14ac:dyDescent="0.25">
      <c r="A75" t="s">
        <v>96</v>
      </c>
      <c r="B75" t="s">
        <v>53</v>
      </c>
      <c r="C75">
        <v>0</v>
      </c>
      <c r="D75">
        <v>5.4639875888824463</v>
      </c>
      <c r="E75">
        <v>1</v>
      </c>
      <c r="F75">
        <v>1</v>
      </c>
      <c r="G75">
        <v>0</v>
      </c>
      <c r="H75" t="s">
        <v>20</v>
      </c>
      <c r="I75">
        <v>1</v>
      </c>
      <c r="J75">
        <v>1</v>
      </c>
      <c r="K75">
        <v>1</v>
      </c>
      <c r="L75">
        <v>1</v>
      </c>
      <c r="M75">
        <v>1</v>
      </c>
      <c r="N75">
        <v>1</v>
      </c>
      <c r="O75">
        <v>1</v>
      </c>
      <c r="P75" t="s">
        <v>496</v>
      </c>
    </row>
    <row r="76" spans="1:16" x14ac:dyDescent="0.25">
      <c r="A76" t="s">
        <v>96</v>
      </c>
      <c r="B76" t="s">
        <v>55</v>
      </c>
      <c r="C76">
        <v>0</v>
      </c>
      <c r="D76">
        <v>3.7283716201782231</v>
      </c>
      <c r="E76">
        <v>1</v>
      </c>
      <c r="F76">
        <v>1</v>
      </c>
      <c r="G76">
        <v>1</v>
      </c>
      <c r="H76">
        <v>1</v>
      </c>
      <c r="I76">
        <v>1</v>
      </c>
      <c r="J76">
        <v>1</v>
      </c>
      <c r="K76">
        <v>1</v>
      </c>
      <c r="L76">
        <v>1</v>
      </c>
      <c r="M76">
        <v>0</v>
      </c>
      <c r="N76">
        <v>1</v>
      </c>
      <c r="O76">
        <v>1</v>
      </c>
      <c r="P76" t="s">
        <v>497</v>
      </c>
    </row>
    <row r="77" spans="1:16" x14ac:dyDescent="0.25">
      <c r="A77" t="s">
        <v>96</v>
      </c>
      <c r="B77" t="s">
        <v>57</v>
      </c>
      <c r="C77">
        <v>0</v>
      </c>
      <c r="D77">
        <v>4.8878109455108643</v>
      </c>
      <c r="E77">
        <v>1</v>
      </c>
      <c r="F77">
        <v>0</v>
      </c>
      <c r="G77">
        <v>1</v>
      </c>
      <c r="H77" t="s">
        <v>20</v>
      </c>
      <c r="I77">
        <v>1</v>
      </c>
      <c r="J77" t="s">
        <v>20</v>
      </c>
      <c r="K77">
        <v>1</v>
      </c>
      <c r="L77">
        <v>1</v>
      </c>
      <c r="M77">
        <v>1</v>
      </c>
      <c r="N77">
        <v>1</v>
      </c>
      <c r="O77">
        <v>1</v>
      </c>
      <c r="P77" t="s">
        <v>498</v>
      </c>
    </row>
    <row r="78" spans="1:16" x14ac:dyDescent="0.25">
      <c r="A78" t="s">
        <v>96</v>
      </c>
      <c r="B78" t="s">
        <v>59</v>
      </c>
      <c r="C78">
        <v>0</v>
      </c>
      <c r="D78">
        <v>4.0109331607818604</v>
      </c>
      <c r="E78">
        <v>1</v>
      </c>
      <c r="F78">
        <v>1</v>
      </c>
      <c r="G78">
        <v>1</v>
      </c>
      <c r="H78">
        <v>1</v>
      </c>
      <c r="I78">
        <v>1</v>
      </c>
      <c r="J78">
        <v>1</v>
      </c>
      <c r="K78">
        <v>0</v>
      </c>
      <c r="L78">
        <v>1</v>
      </c>
      <c r="M78">
        <v>1</v>
      </c>
      <c r="N78">
        <v>1</v>
      </c>
      <c r="O78">
        <v>1</v>
      </c>
      <c r="P78" t="s">
        <v>499</v>
      </c>
    </row>
    <row r="79" spans="1:16" x14ac:dyDescent="0.25">
      <c r="A79" t="s">
        <v>96</v>
      </c>
      <c r="B79" t="s">
        <v>61</v>
      </c>
      <c r="C79">
        <v>0</v>
      </c>
      <c r="D79">
        <v>2.8886208534240718</v>
      </c>
      <c r="E79">
        <v>1</v>
      </c>
      <c r="F79">
        <v>1</v>
      </c>
      <c r="G79">
        <v>1</v>
      </c>
      <c r="H79">
        <v>1</v>
      </c>
      <c r="I79">
        <v>1</v>
      </c>
      <c r="J79">
        <v>1</v>
      </c>
      <c r="K79">
        <v>1</v>
      </c>
      <c r="L79">
        <v>1</v>
      </c>
      <c r="M79">
        <v>1</v>
      </c>
      <c r="N79">
        <v>1</v>
      </c>
      <c r="O79">
        <v>1</v>
      </c>
    </row>
    <row r="80" spans="1:16" x14ac:dyDescent="0.25">
      <c r="A80" t="s">
        <v>96</v>
      </c>
      <c r="B80" t="s">
        <v>63</v>
      </c>
      <c r="C80">
        <v>0</v>
      </c>
      <c r="D80">
        <v>11.474496364593509</v>
      </c>
      <c r="E80">
        <v>1</v>
      </c>
      <c r="F80">
        <v>1</v>
      </c>
      <c r="G80">
        <v>0</v>
      </c>
      <c r="H80" t="s">
        <v>20</v>
      </c>
      <c r="I80">
        <v>1</v>
      </c>
      <c r="J80">
        <v>1</v>
      </c>
      <c r="K80">
        <v>1</v>
      </c>
      <c r="L80">
        <v>1</v>
      </c>
      <c r="M80">
        <v>1</v>
      </c>
      <c r="N80">
        <v>1</v>
      </c>
      <c r="O80">
        <v>1</v>
      </c>
      <c r="P80" t="s">
        <v>500</v>
      </c>
    </row>
    <row r="81" spans="1:16" x14ac:dyDescent="0.25">
      <c r="A81" t="s">
        <v>96</v>
      </c>
      <c r="B81" t="s">
        <v>65</v>
      </c>
      <c r="C81">
        <v>0</v>
      </c>
      <c r="D81">
        <v>2.7695634365081792</v>
      </c>
      <c r="E81">
        <v>1</v>
      </c>
      <c r="F81">
        <v>1</v>
      </c>
      <c r="G81">
        <v>1</v>
      </c>
      <c r="H81">
        <v>1</v>
      </c>
      <c r="I81">
        <v>1</v>
      </c>
      <c r="J81">
        <v>1</v>
      </c>
      <c r="K81">
        <v>1</v>
      </c>
      <c r="L81">
        <v>1</v>
      </c>
      <c r="M81">
        <v>1</v>
      </c>
      <c r="N81">
        <v>1</v>
      </c>
      <c r="O81">
        <v>1</v>
      </c>
    </row>
    <row r="82" spans="1:16" x14ac:dyDescent="0.25">
      <c r="A82" t="s">
        <v>96</v>
      </c>
      <c r="B82" t="s">
        <v>67</v>
      </c>
      <c r="C82">
        <v>0</v>
      </c>
      <c r="D82">
        <v>6.2631196975708008</v>
      </c>
      <c r="E82">
        <v>1</v>
      </c>
      <c r="F82">
        <v>0</v>
      </c>
      <c r="G82">
        <v>1</v>
      </c>
      <c r="H82" t="s">
        <v>20</v>
      </c>
      <c r="I82">
        <v>1</v>
      </c>
      <c r="J82" t="s">
        <v>20</v>
      </c>
      <c r="K82">
        <v>1</v>
      </c>
      <c r="L82">
        <v>1</v>
      </c>
      <c r="M82">
        <v>1</v>
      </c>
      <c r="N82">
        <v>1</v>
      </c>
      <c r="O82">
        <v>1</v>
      </c>
      <c r="P82" t="s">
        <v>501</v>
      </c>
    </row>
    <row r="83" spans="1:16" x14ac:dyDescent="0.25">
      <c r="A83" t="s">
        <v>96</v>
      </c>
      <c r="B83" t="s">
        <v>69</v>
      </c>
      <c r="C83">
        <v>0</v>
      </c>
      <c r="D83">
        <v>2.8990156650543208</v>
      </c>
      <c r="E83">
        <v>1</v>
      </c>
      <c r="F83">
        <v>1</v>
      </c>
      <c r="G83">
        <v>1</v>
      </c>
      <c r="H83">
        <v>1</v>
      </c>
      <c r="I83">
        <v>1</v>
      </c>
      <c r="J83">
        <v>1</v>
      </c>
      <c r="K83">
        <v>1</v>
      </c>
      <c r="L83">
        <v>1</v>
      </c>
      <c r="M83">
        <v>1</v>
      </c>
      <c r="N83">
        <v>1</v>
      </c>
      <c r="O83">
        <v>1</v>
      </c>
    </row>
    <row r="84" spans="1:16" x14ac:dyDescent="0.25">
      <c r="A84" t="s">
        <v>96</v>
      </c>
      <c r="B84" t="s">
        <v>71</v>
      </c>
      <c r="C84">
        <v>0</v>
      </c>
      <c r="D84">
        <v>5.0041630268096924</v>
      </c>
      <c r="E84">
        <v>1</v>
      </c>
      <c r="F84">
        <v>1</v>
      </c>
      <c r="G84">
        <v>1</v>
      </c>
      <c r="H84">
        <v>0</v>
      </c>
      <c r="I84">
        <v>1</v>
      </c>
      <c r="J84">
        <v>1</v>
      </c>
      <c r="K84">
        <v>1</v>
      </c>
      <c r="L84">
        <v>1</v>
      </c>
      <c r="M84">
        <v>1</v>
      </c>
      <c r="N84">
        <v>1</v>
      </c>
      <c r="O84">
        <v>1</v>
      </c>
      <c r="P84" t="s">
        <v>502</v>
      </c>
    </row>
    <row r="85" spans="1:16" x14ac:dyDescent="0.25">
      <c r="A85" t="s">
        <v>96</v>
      </c>
      <c r="B85" t="s">
        <v>72</v>
      </c>
      <c r="C85">
        <v>0</v>
      </c>
      <c r="D85">
        <v>4.6194322109222412</v>
      </c>
      <c r="E85">
        <v>1</v>
      </c>
      <c r="F85">
        <v>1</v>
      </c>
      <c r="G85">
        <v>1</v>
      </c>
      <c r="H85">
        <v>1</v>
      </c>
      <c r="I85">
        <v>1</v>
      </c>
      <c r="J85">
        <v>1</v>
      </c>
      <c r="K85">
        <v>0</v>
      </c>
      <c r="L85">
        <v>1</v>
      </c>
      <c r="M85">
        <v>1</v>
      </c>
      <c r="N85">
        <v>1</v>
      </c>
      <c r="O85">
        <v>1</v>
      </c>
      <c r="P85" t="s">
        <v>503</v>
      </c>
    </row>
    <row r="86" spans="1:16" x14ac:dyDescent="0.25">
      <c r="A86" t="s">
        <v>96</v>
      </c>
      <c r="B86" t="s">
        <v>73</v>
      </c>
      <c r="C86">
        <v>0</v>
      </c>
      <c r="D86">
        <v>11.50827693939209</v>
      </c>
      <c r="E86">
        <v>1</v>
      </c>
      <c r="F86">
        <v>1</v>
      </c>
      <c r="G86">
        <v>0</v>
      </c>
      <c r="H86" t="s">
        <v>20</v>
      </c>
      <c r="I86">
        <v>1</v>
      </c>
      <c r="J86">
        <v>1</v>
      </c>
      <c r="K86">
        <v>1</v>
      </c>
      <c r="L86">
        <v>1</v>
      </c>
      <c r="M86">
        <v>1</v>
      </c>
      <c r="N86">
        <v>1</v>
      </c>
      <c r="O86">
        <v>1</v>
      </c>
      <c r="P86" t="s">
        <v>504</v>
      </c>
    </row>
    <row r="87" spans="1:16" x14ac:dyDescent="0.25">
      <c r="A87" t="s">
        <v>96</v>
      </c>
      <c r="B87" t="s">
        <v>75</v>
      </c>
      <c r="C87">
        <v>0</v>
      </c>
      <c r="D87">
        <v>8.9380893707275391</v>
      </c>
      <c r="E87">
        <v>1</v>
      </c>
      <c r="F87">
        <v>1</v>
      </c>
      <c r="G87">
        <v>1</v>
      </c>
      <c r="H87">
        <v>1</v>
      </c>
      <c r="I87">
        <v>1</v>
      </c>
      <c r="J87">
        <v>1</v>
      </c>
      <c r="K87">
        <v>1</v>
      </c>
      <c r="L87">
        <v>1</v>
      </c>
      <c r="M87">
        <v>1</v>
      </c>
      <c r="N87">
        <v>1</v>
      </c>
      <c r="O87">
        <v>1</v>
      </c>
    </row>
    <row r="88" spans="1:16" x14ac:dyDescent="0.25">
      <c r="A88" t="s">
        <v>96</v>
      </c>
      <c r="B88" t="s">
        <v>77</v>
      </c>
      <c r="C88">
        <v>0</v>
      </c>
      <c r="D88">
        <v>9.9697151184082031</v>
      </c>
      <c r="E88">
        <v>1</v>
      </c>
      <c r="F88">
        <v>1</v>
      </c>
      <c r="G88">
        <v>1</v>
      </c>
      <c r="H88">
        <v>1</v>
      </c>
      <c r="I88">
        <v>1</v>
      </c>
      <c r="J88">
        <v>1</v>
      </c>
      <c r="K88">
        <v>1</v>
      </c>
      <c r="L88">
        <v>1</v>
      </c>
      <c r="M88">
        <v>1</v>
      </c>
      <c r="N88">
        <v>1</v>
      </c>
      <c r="O88">
        <v>1</v>
      </c>
    </row>
    <row r="89" spans="1:16" x14ac:dyDescent="0.25">
      <c r="A89" t="s">
        <v>96</v>
      </c>
      <c r="B89" t="s">
        <v>78</v>
      </c>
      <c r="C89">
        <v>0</v>
      </c>
      <c r="D89">
        <v>2.7609786987304692</v>
      </c>
      <c r="E89">
        <v>1</v>
      </c>
      <c r="F89">
        <v>1</v>
      </c>
      <c r="G89">
        <v>1</v>
      </c>
      <c r="H89">
        <v>1</v>
      </c>
      <c r="I89">
        <v>1</v>
      </c>
      <c r="J89">
        <v>1</v>
      </c>
      <c r="K89">
        <v>1</v>
      </c>
      <c r="L89">
        <v>1</v>
      </c>
      <c r="M89">
        <v>1</v>
      </c>
      <c r="N89">
        <v>1</v>
      </c>
      <c r="O89">
        <v>1</v>
      </c>
    </row>
    <row r="90" spans="1:16" x14ac:dyDescent="0.25">
      <c r="A90" t="s">
        <v>96</v>
      </c>
      <c r="B90" t="s">
        <v>80</v>
      </c>
      <c r="C90">
        <v>0</v>
      </c>
      <c r="D90">
        <v>2.7677690982818599</v>
      </c>
      <c r="E90">
        <v>1</v>
      </c>
      <c r="F90">
        <v>1</v>
      </c>
      <c r="G90">
        <v>1</v>
      </c>
      <c r="H90">
        <v>1</v>
      </c>
      <c r="I90">
        <v>1</v>
      </c>
      <c r="J90">
        <v>1</v>
      </c>
      <c r="K90">
        <v>1</v>
      </c>
      <c r="L90">
        <v>1</v>
      </c>
      <c r="M90">
        <v>1</v>
      </c>
      <c r="N90">
        <v>1</v>
      </c>
      <c r="O90">
        <v>1</v>
      </c>
    </row>
    <row r="91" spans="1:16" x14ac:dyDescent="0.25">
      <c r="A91" t="s">
        <v>96</v>
      </c>
      <c r="B91" t="s">
        <v>82</v>
      </c>
      <c r="C91">
        <v>0</v>
      </c>
      <c r="D91">
        <v>4.4421520233154297</v>
      </c>
      <c r="E91">
        <v>1</v>
      </c>
      <c r="F91">
        <v>1</v>
      </c>
      <c r="G91">
        <v>1</v>
      </c>
      <c r="H91">
        <v>0</v>
      </c>
      <c r="I91">
        <v>1</v>
      </c>
      <c r="J91">
        <v>1</v>
      </c>
      <c r="K91">
        <v>1</v>
      </c>
      <c r="L91">
        <v>1</v>
      </c>
      <c r="M91">
        <v>1</v>
      </c>
      <c r="N91">
        <v>1</v>
      </c>
      <c r="O91">
        <v>1</v>
      </c>
      <c r="P91" t="s">
        <v>505</v>
      </c>
    </row>
    <row r="92" spans="1:16" x14ac:dyDescent="0.25">
      <c r="A92" t="s">
        <v>96</v>
      </c>
      <c r="B92" t="s">
        <v>84</v>
      </c>
      <c r="C92">
        <v>0</v>
      </c>
      <c r="D92">
        <v>10.453574180603029</v>
      </c>
      <c r="E92">
        <v>1</v>
      </c>
      <c r="F92">
        <v>1</v>
      </c>
      <c r="G92">
        <v>1</v>
      </c>
      <c r="H92">
        <v>1</v>
      </c>
      <c r="I92">
        <v>1</v>
      </c>
      <c r="J92">
        <v>1</v>
      </c>
      <c r="K92">
        <v>1</v>
      </c>
      <c r="L92">
        <v>1</v>
      </c>
      <c r="M92">
        <v>1</v>
      </c>
      <c r="N92">
        <v>1</v>
      </c>
      <c r="O92">
        <v>1</v>
      </c>
    </row>
    <row r="93" spans="1:16" x14ac:dyDescent="0.25">
      <c r="A93" t="s">
        <v>96</v>
      </c>
      <c r="B93" t="s">
        <v>85</v>
      </c>
      <c r="C93">
        <v>0</v>
      </c>
      <c r="D93">
        <v>5.2336447238922119</v>
      </c>
      <c r="E93">
        <v>1</v>
      </c>
      <c r="F93">
        <v>1</v>
      </c>
      <c r="G93">
        <v>1</v>
      </c>
      <c r="H93">
        <v>1</v>
      </c>
      <c r="I93">
        <v>1</v>
      </c>
      <c r="J93">
        <v>0</v>
      </c>
      <c r="K93">
        <v>1</v>
      </c>
      <c r="L93">
        <v>1</v>
      </c>
      <c r="M93">
        <v>1</v>
      </c>
      <c r="N93">
        <v>1</v>
      </c>
      <c r="O93">
        <v>1</v>
      </c>
      <c r="P93" t="s">
        <v>506</v>
      </c>
    </row>
    <row r="94" spans="1:16" x14ac:dyDescent="0.25">
      <c r="A94" t="s">
        <v>96</v>
      </c>
      <c r="B94" t="s">
        <v>87</v>
      </c>
      <c r="C94">
        <v>0</v>
      </c>
      <c r="D94">
        <v>4.8309082984924316</v>
      </c>
      <c r="E94">
        <v>1</v>
      </c>
      <c r="F94">
        <v>1</v>
      </c>
      <c r="G94">
        <v>1</v>
      </c>
      <c r="H94">
        <v>1</v>
      </c>
      <c r="I94">
        <v>1</v>
      </c>
      <c r="J94">
        <v>0</v>
      </c>
      <c r="K94">
        <v>1</v>
      </c>
      <c r="L94">
        <v>1</v>
      </c>
      <c r="M94">
        <v>1</v>
      </c>
      <c r="N94">
        <v>1</v>
      </c>
      <c r="O94">
        <v>1</v>
      </c>
      <c r="P94" t="s">
        <v>507</v>
      </c>
    </row>
    <row r="95" spans="1:16" x14ac:dyDescent="0.25">
      <c r="A95" t="s">
        <v>96</v>
      </c>
      <c r="B95" t="s">
        <v>89</v>
      </c>
      <c r="C95">
        <v>0</v>
      </c>
      <c r="D95">
        <v>4.6100349426269531</v>
      </c>
      <c r="E95">
        <v>1</v>
      </c>
      <c r="F95">
        <v>1</v>
      </c>
      <c r="G95">
        <v>1</v>
      </c>
      <c r="H95">
        <v>1</v>
      </c>
      <c r="I95">
        <v>1</v>
      </c>
      <c r="J95">
        <v>0</v>
      </c>
      <c r="K95">
        <v>1</v>
      </c>
      <c r="L95">
        <v>1</v>
      </c>
      <c r="M95">
        <v>1</v>
      </c>
      <c r="N95">
        <v>1</v>
      </c>
      <c r="O95">
        <v>1</v>
      </c>
      <c r="P95" t="s">
        <v>508</v>
      </c>
    </row>
    <row r="96" spans="1:16" x14ac:dyDescent="0.25">
      <c r="A96" t="s">
        <v>96</v>
      </c>
      <c r="B96" t="s">
        <v>91</v>
      </c>
      <c r="C96">
        <v>0</v>
      </c>
      <c r="D96">
        <v>7.2633054256439209</v>
      </c>
      <c r="E96">
        <v>1</v>
      </c>
      <c r="F96">
        <v>1</v>
      </c>
      <c r="G96">
        <v>1</v>
      </c>
      <c r="H96">
        <v>1</v>
      </c>
      <c r="I96">
        <v>1</v>
      </c>
      <c r="J96">
        <v>0</v>
      </c>
      <c r="K96">
        <v>1</v>
      </c>
      <c r="L96">
        <v>1</v>
      </c>
      <c r="M96">
        <v>1</v>
      </c>
      <c r="N96">
        <v>1</v>
      </c>
      <c r="O96">
        <v>1</v>
      </c>
      <c r="P96" t="s">
        <v>509</v>
      </c>
    </row>
    <row r="97" spans="1:16" x14ac:dyDescent="0.25">
      <c r="A97" t="s">
        <v>96</v>
      </c>
      <c r="B97" t="s">
        <v>92</v>
      </c>
      <c r="C97">
        <v>0</v>
      </c>
      <c r="D97">
        <v>4.745898962020874</v>
      </c>
      <c r="E97">
        <v>1</v>
      </c>
      <c r="F97">
        <v>1</v>
      </c>
      <c r="G97">
        <v>1</v>
      </c>
      <c r="H97">
        <v>0</v>
      </c>
      <c r="I97">
        <v>1</v>
      </c>
      <c r="J97">
        <v>1</v>
      </c>
      <c r="K97">
        <v>1</v>
      </c>
      <c r="L97">
        <v>1</v>
      </c>
      <c r="M97">
        <v>1</v>
      </c>
      <c r="N97">
        <v>1</v>
      </c>
      <c r="O97">
        <v>1</v>
      </c>
      <c r="P97" t="s">
        <v>510</v>
      </c>
    </row>
    <row r="98" spans="1:16" x14ac:dyDescent="0.25">
      <c r="A98" t="s">
        <v>96</v>
      </c>
      <c r="B98" t="s">
        <v>94</v>
      </c>
      <c r="C98">
        <v>0</v>
      </c>
      <c r="D98">
        <v>12.958503723144529</v>
      </c>
      <c r="E98">
        <v>1</v>
      </c>
      <c r="F98">
        <v>1</v>
      </c>
      <c r="G98">
        <v>1</v>
      </c>
      <c r="H98">
        <v>1</v>
      </c>
      <c r="I98">
        <v>1</v>
      </c>
      <c r="J98">
        <v>0</v>
      </c>
      <c r="K98">
        <v>1</v>
      </c>
      <c r="L98">
        <v>1</v>
      </c>
      <c r="M98">
        <v>1</v>
      </c>
      <c r="N98">
        <v>1</v>
      </c>
      <c r="O98">
        <v>1</v>
      </c>
      <c r="P98" t="s">
        <v>511</v>
      </c>
    </row>
    <row r="99" spans="1:16" x14ac:dyDescent="0.25">
      <c r="A99" t="s">
        <v>96</v>
      </c>
      <c r="B99" t="s">
        <v>95</v>
      </c>
      <c r="C99">
        <v>0</v>
      </c>
      <c r="D99">
        <v>2.8604400157928471</v>
      </c>
      <c r="E99">
        <v>1</v>
      </c>
      <c r="F99">
        <v>1</v>
      </c>
      <c r="G99">
        <v>1</v>
      </c>
      <c r="H99">
        <v>1</v>
      </c>
      <c r="I99">
        <v>1</v>
      </c>
      <c r="J99">
        <v>1</v>
      </c>
      <c r="K99">
        <v>1</v>
      </c>
      <c r="L99">
        <v>1</v>
      </c>
      <c r="M99">
        <v>1</v>
      </c>
      <c r="N99">
        <v>1</v>
      </c>
      <c r="O99">
        <v>1</v>
      </c>
    </row>
    <row r="100" spans="1:16" x14ac:dyDescent="0.25">
      <c r="A100" t="s">
        <v>96</v>
      </c>
      <c r="B100" t="s">
        <v>121</v>
      </c>
      <c r="C100">
        <v>0</v>
      </c>
      <c r="D100">
        <v>2.6784837245941162</v>
      </c>
      <c r="E100">
        <v>1</v>
      </c>
      <c r="F100">
        <v>1</v>
      </c>
      <c r="G100">
        <v>1</v>
      </c>
      <c r="H100">
        <v>1</v>
      </c>
      <c r="I100">
        <v>1</v>
      </c>
      <c r="J100">
        <v>1</v>
      </c>
      <c r="K100">
        <v>1</v>
      </c>
      <c r="L100">
        <v>1</v>
      </c>
      <c r="M100">
        <v>1</v>
      </c>
      <c r="N100">
        <v>1</v>
      </c>
      <c r="O100">
        <v>1</v>
      </c>
    </row>
    <row r="101" spans="1:16" x14ac:dyDescent="0.25">
      <c r="A101" t="s">
        <v>96</v>
      </c>
      <c r="B101" t="s">
        <v>122</v>
      </c>
      <c r="C101">
        <v>0</v>
      </c>
      <c r="D101">
        <v>7.097557544708252</v>
      </c>
      <c r="E101">
        <v>1</v>
      </c>
      <c r="F101">
        <v>1</v>
      </c>
      <c r="G101">
        <v>0</v>
      </c>
      <c r="H101" t="s">
        <v>20</v>
      </c>
      <c r="I101">
        <v>1</v>
      </c>
      <c r="J101">
        <v>0</v>
      </c>
      <c r="K101">
        <v>1</v>
      </c>
      <c r="L101">
        <v>1</v>
      </c>
      <c r="M101">
        <v>1</v>
      </c>
      <c r="N101">
        <v>1</v>
      </c>
      <c r="O101">
        <v>1</v>
      </c>
      <c r="P101" t="s">
        <v>512</v>
      </c>
    </row>
    <row r="102" spans="1:16" x14ac:dyDescent="0.25">
      <c r="A102" t="s">
        <v>96</v>
      </c>
      <c r="B102" t="s">
        <v>124</v>
      </c>
      <c r="C102">
        <v>0</v>
      </c>
      <c r="D102">
        <v>5.2053887844085693</v>
      </c>
      <c r="E102">
        <v>1</v>
      </c>
      <c r="F102">
        <v>1</v>
      </c>
      <c r="G102">
        <v>1</v>
      </c>
      <c r="H102">
        <v>1</v>
      </c>
      <c r="I102">
        <v>1</v>
      </c>
      <c r="J102">
        <v>0</v>
      </c>
      <c r="K102">
        <v>1</v>
      </c>
      <c r="L102">
        <v>1</v>
      </c>
      <c r="M102">
        <v>1</v>
      </c>
      <c r="N102">
        <v>1</v>
      </c>
      <c r="O102">
        <v>1</v>
      </c>
      <c r="P102" t="s">
        <v>513</v>
      </c>
    </row>
    <row r="103" spans="1:16" x14ac:dyDescent="0.25">
      <c r="A103" t="s">
        <v>96</v>
      </c>
      <c r="B103" t="s">
        <v>126</v>
      </c>
      <c r="C103">
        <v>0</v>
      </c>
      <c r="D103">
        <v>9.4271748065948486</v>
      </c>
      <c r="E103">
        <v>1</v>
      </c>
      <c r="F103">
        <v>1</v>
      </c>
      <c r="G103">
        <v>1</v>
      </c>
      <c r="H103">
        <v>1</v>
      </c>
      <c r="I103">
        <v>1</v>
      </c>
      <c r="J103">
        <v>1</v>
      </c>
      <c r="K103">
        <v>1</v>
      </c>
      <c r="L103">
        <v>1</v>
      </c>
      <c r="M103">
        <v>1</v>
      </c>
      <c r="N103">
        <v>1</v>
      </c>
      <c r="O103">
        <v>1</v>
      </c>
    </row>
    <row r="104" spans="1:16" x14ac:dyDescent="0.25">
      <c r="A104" t="s">
        <v>96</v>
      </c>
      <c r="B104" t="s">
        <v>127</v>
      </c>
      <c r="C104">
        <v>0</v>
      </c>
      <c r="D104">
        <v>11.544736862182621</v>
      </c>
      <c r="E104">
        <v>1</v>
      </c>
      <c r="F104">
        <v>1</v>
      </c>
      <c r="G104">
        <v>1</v>
      </c>
      <c r="H104">
        <v>0</v>
      </c>
      <c r="I104">
        <v>1</v>
      </c>
      <c r="J104">
        <v>1</v>
      </c>
      <c r="K104">
        <v>1</v>
      </c>
      <c r="L104">
        <v>1</v>
      </c>
      <c r="M104">
        <v>1</v>
      </c>
      <c r="N104">
        <v>1</v>
      </c>
      <c r="O104">
        <v>1</v>
      </c>
      <c r="P104" t="s">
        <v>514</v>
      </c>
    </row>
    <row r="105" spans="1:16" x14ac:dyDescent="0.25">
      <c r="A105" t="s">
        <v>96</v>
      </c>
      <c r="B105" t="s">
        <v>129</v>
      </c>
      <c r="C105">
        <v>0</v>
      </c>
      <c r="D105">
        <v>4.9121127128601074</v>
      </c>
      <c r="E105">
        <v>1</v>
      </c>
      <c r="F105">
        <v>1</v>
      </c>
      <c r="G105">
        <v>1</v>
      </c>
      <c r="H105">
        <v>0</v>
      </c>
      <c r="I105">
        <v>1</v>
      </c>
      <c r="J105">
        <v>1</v>
      </c>
      <c r="K105">
        <v>1</v>
      </c>
      <c r="L105">
        <v>1</v>
      </c>
      <c r="M105">
        <v>1</v>
      </c>
      <c r="N105">
        <v>1</v>
      </c>
      <c r="O105">
        <v>1</v>
      </c>
      <c r="P105" t="s">
        <v>515</v>
      </c>
    </row>
    <row r="106" spans="1:16" x14ac:dyDescent="0.25">
      <c r="A106" t="s">
        <v>96</v>
      </c>
      <c r="B106" t="s">
        <v>131</v>
      </c>
      <c r="C106">
        <v>0</v>
      </c>
      <c r="D106">
        <v>12.230711698532099</v>
      </c>
      <c r="E106">
        <v>1</v>
      </c>
      <c r="F106">
        <v>1</v>
      </c>
      <c r="G106">
        <v>1</v>
      </c>
      <c r="H106">
        <v>1</v>
      </c>
      <c r="I106">
        <v>1</v>
      </c>
      <c r="J106">
        <v>1</v>
      </c>
      <c r="K106">
        <v>0</v>
      </c>
      <c r="L106">
        <v>1</v>
      </c>
      <c r="M106">
        <v>1</v>
      </c>
      <c r="N106">
        <v>1</v>
      </c>
      <c r="O106">
        <v>1</v>
      </c>
      <c r="P106" t="s">
        <v>516</v>
      </c>
    </row>
    <row r="107" spans="1:16" x14ac:dyDescent="0.25">
      <c r="A107" t="s">
        <v>96</v>
      </c>
      <c r="B107" t="s">
        <v>133</v>
      </c>
      <c r="C107">
        <v>0</v>
      </c>
      <c r="D107">
        <v>12.01216769218445</v>
      </c>
      <c r="E107">
        <v>1</v>
      </c>
      <c r="F107">
        <v>1</v>
      </c>
      <c r="G107">
        <v>1</v>
      </c>
      <c r="H107">
        <v>1</v>
      </c>
      <c r="I107">
        <v>1</v>
      </c>
      <c r="J107">
        <v>1</v>
      </c>
      <c r="K107">
        <v>0</v>
      </c>
      <c r="L107">
        <v>1</v>
      </c>
      <c r="M107">
        <v>1</v>
      </c>
      <c r="N107">
        <v>1</v>
      </c>
      <c r="O107">
        <v>1</v>
      </c>
      <c r="P107" t="s">
        <v>517</v>
      </c>
    </row>
    <row r="108" spans="1:16" x14ac:dyDescent="0.25">
      <c r="A108" t="s">
        <v>96</v>
      </c>
      <c r="B108" t="s">
        <v>135</v>
      </c>
      <c r="C108">
        <v>0</v>
      </c>
      <c r="D108">
        <v>10.1299421787262</v>
      </c>
      <c r="E108">
        <v>1</v>
      </c>
      <c r="F108">
        <v>1</v>
      </c>
      <c r="G108">
        <v>1</v>
      </c>
      <c r="H108">
        <v>1</v>
      </c>
      <c r="I108">
        <v>1</v>
      </c>
      <c r="J108">
        <v>1</v>
      </c>
      <c r="K108">
        <v>1</v>
      </c>
      <c r="L108">
        <v>1</v>
      </c>
      <c r="M108">
        <v>1</v>
      </c>
      <c r="N108">
        <v>1</v>
      </c>
      <c r="O108">
        <v>1</v>
      </c>
    </row>
    <row r="109" spans="1:16" x14ac:dyDescent="0.25">
      <c r="A109" t="s">
        <v>96</v>
      </c>
      <c r="B109" t="s">
        <v>136</v>
      </c>
      <c r="C109">
        <v>0</v>
      </c>
      <c r="D109">
        <v>2.7056787014007568</v>
      </c>
      <c r="E109">
        <v>1</v>
      </c>
      <c r="F109">
        <v>1</v>
      </c>
      <c r="G109">
        <v>1</v>
      </c>
      <c r="H109">
        <v>1</v>
      </c>
      <c r="I109">
        <v>1</v>
      </c>
      <c r="J109">
        <v>1</v>
      </c>
      <c r="K109">
        <v>1</v>
      </c>
      <c r="L109">
        <v>1</v>
      </c>
      <c r="M109">
        <v>1</v>
      </c>
      <c r="N109">
        <v>1</v>
      </c>
      <c r="O109">
        <v>1</v>
      </c>
    </row>
    <row r="110" spans="1:16" x14ac:dyDescent="0.25">
      <c r="A110" t="s">
        <v>96</v>
      </c>
      <c r="B110" t="s">
        <v>137</v>
      </c>
      <c r="C110">
        <v>0</v>
      </c>
      <c r="D110">
        <v>8.593111515045166</v>
      </c>
      <c r="E110">
        <v>1</v>
      </c>
      <c r="F110">
        <v>1</v>
      </c>
      <c r="G110">
        <v>1</v>
      </c>
      <c r="H110">
        <v>1</v>
      </c>
      <c r="I110">
        <v>1</v>
      </c>
      <c r="J110">
        <v>1</v>
      </c>
      <c r="K110">
        <v>1</v>
      </c>
      <c r="L110">
        <v>1</v>
      </c>
      <c r="M110">
        <v>1</v>
      </c>
      <c r="N110">
        <v>1</v>
      </c>
      <c r="O110">
        <v>1</v>
      </c>
    </row>
    <row r="111" spans="1:16" x14ac:dyDescent="0.25">
      <c r="A111" t="s">
        <v>96</v>
      </c>
      <c r="B111" t="s">
        <v>138</v>
      </c>
      <c r="C111">
        <v>0</v>
      </c>
      <c r="D111">
        <v>4.2350561618804932</v>
      </c>
      <c r="E111">
        <v>1</v>
      </c>
      <c r="F111">
        <v>1</v>
      </c>
      <c r="G111">
        <v>1</v>
      </c>
      <c r="H111">
        <v>1</v>
      </c>
      <c r="I111">
        <v>1</v>
      </c>
      <c r="J111">
        <v>0</v>
      </c>
      <c r="K111">
        <v>1</v>
      </c>
      <c r="L111">
        <v>1</v>
      </c>
      <c r="M111">
        <v>1</v>
      </c>
      <c r="N111">
        <v>1</v>
      </c>
      <c r="O111">
        <v>1</v>
      </c>
      <c r="P111" t="s">
        <v>518</v>
      </c>
    </row>
    <row r="112" spans="1:16" x14ac:dyDescent="0.25">
      <c r="A112" t="s">
        <v>96</v>
      </c>
      <c r="B112" t="s">
        <v>140</v>
      </c>
      <c r="C112">
        <v>0</v>
      </c>
      <c r="D112">
        <v>2.760358333587646</v>
      </c>
      <c r="E112">
        <v>1</v>
      </c>
      <c r="F112">
        <v>1</v>
      </c>
      <c r="G112">
        <v>1</v>
      </c>
      <c r="H112">
        <v>1</v>
      </c>
      <c r="I112">
        <v>1</v>
      </c>
      <c r="J112">
        <v>1</v>
      </c>
      <c r="K112">
        <v>1</v>
      </c>
      <c r="L112">
        <v>1</v>
      </c>
      <c r="M112">
        <v>1</v>
      </c>
      <c r="N112">
        <v>1</v>
      </c>
      <c r="O112">
        <v>1</v>
      </c>
    </row>
    <row r="113" spans="1:16" x14ac:dyDescent="0.25">
      <c r="A113" t="s">
        <v>96</v>
      </c>
      <c r="B113" t="s">
        <v>141</v>
      </c>
      <c r="C113">
        <v>0</v>
      </c>
      <c r="D113">
        <v>4.9360141754150391</v>
      </c>
      <c r="E113">
        <v>1</v>
      </c>
      <c r="F113">
        <v>1</v>
      </c>
      <c r="G113">
        <v>1</v>
      </c>
      <c r="H113">
        <v>1</v>
      </c>
      <c r="I113">
        <v>1</v>
      </c>
      <c r="J113">
        <v>0</v>
      </c>
      <c r="K113">
        <v>1</v>
      </c>
      <c r="L113">
        <v>1</v>
      </c>
      <c r="M113">
        <v>1</v>
      </c>
      <c r="N113">
        <v>1</v>
      </c>
      <c r="O113">
        <v>1</v>
      </c>
      <c r="P113" t="s">
        <v>519</v>
      </c>
    </row>
    <row r="114" spans="1:16" x14ac:dyDescent="0.25">
      <c r="A114" t="s">
        <v>143</v>
      </c>
      <c r="B114" t="s">
        <v>17</v>
      </c>
      <c r="C114">
        <v>0</v>
      </c>
      <c r="D114">
        <v>2.6857321262359619</v>
      </c>
      <c r="E114">
        <v>1</v>
      </c>
      <c r="F114">
        <v>1</v>
      </c>
      <c r="G114">
        <v>1</v>
      </c>
      <c r="H114">
        <v>1</v>
      </c>
      <c r="I114">
        <v>1</v>
      </c>
      <c r="J114">
        <v>1</v>
      </c>
      <c r="K114">
        <v>1</v>
      </c>
      <c r="L114">
        <v>1</v>
      </c>
      <c r="M114">
        <v>1</v>
      </c>
      <c r="N114">
        <v>1</v>
      </c>
      <c r="O114">
        <v>1</v>
      </c>
    </row>
    <row r="115" spans="1:16" x14ac:dyDescent="0.25">
      <c r="A115" t="s">
        <v>143</v>
      </c>
      <c r="B115" t="s">
        <v>18</v>
      </c>
      <c r="C115">
        <v>0</v>
      </c>
      <c r="D115">
        <v>2.703189373016357</v>
      </c>
      <c r="E115">
        <v>1</v>
      </c>
      <c r="F115">
        <v>1</v>
      </c>
      <c r="G115">
        <v>1</v>
      </c>
      <c r="H115">
        <v>1</v>
      </c>
      <c r="I115">
        <v>1</v>
      </c>
      <c r="J115">
        <v>1</v>
      </c>
      <c r="K115">
        <v>1</v>
      </c>
      <c r="L115">
        <v>1</v>
      </c>
      <c r="M115">
        <v>1</v>
      </c>
      <c r="N115">
        <v>1</v>
      </c>
      <c r="O115">
        <v>1</v>
      </c>
    </row>
    <row r="116" spans="1:16" x14ac:dyDescent="0.25">
      <c r="A116" t="s">
        <v>143</v>
      </c>
      <c r="B116" t="s">
        <v>19</v>
      </c>
      <c r="C116">
        <v>0</v>
      </c>
      <c r="D116">
        <v>2.6963882446289058</v>
      </c>
      <c r="E116">
        <v>1</v>
      </c>
      <c r="F116">
        <v>1</v>
      </c>
      <c r="G116">
        <v>1</v>
      </c>
      <c r="H116">
        <v>1</v>
      </c>
      <c r="I116">
        <v>1</v>
      </c>
      <c r="J116">
        <v>1</v>
      </c>
      <c r="K116">
        <v>1</v>
      </c>
      <c r="L116">
        <v>1</v>
      </c>
      <c r="M116">
        <v>1</v>
      </c>
      <c r="N116">
        <v>1</v>
      </c>
      <c r="O116">
        <v>1</v>
      </c>
    </row>
    <row r="117" spans="1:16" x14ac:dyDescent="0.25">
      <c r="A117" t="s">
        <v>143</v>
      </c>
      <c r="B117" t="s">
        <v>22</v>
      </c>
      <c r="C117">
        <v>0</v>
      </c>
      <c r="D117">
        <v>5.004697322845459</v>
      </c>
      <c r="E117">
        <v>1</v>
      </c>
      <c r="F117">
        <v>1</v>
      </c>
      <c r="G117">
        <v>1</v>
      </c>
      <c r="H117">
        <v>1</v>
      </c>
      <c r="I117">
        <v>1</v>
      </c>
      <c r="J117">
        <v>0</v>
      </c>
      <c r="K117">
        <v>1</v>
      </c>
      <c r="L117">
        <v>1</v>
      </c>
      <c r="M117">
        <v>1</v>
      </c>
      <c r="N117">
        <v>1</v>
      </c>
      <c r="O117">
        <v>1</v>
      </c>
      <c r="P117" t="s">
        <v>520</v>
      </c>
    </row>
    <row r="118" spans="1:16" x14ac:dyDescent="0.25">
      <c r="A118" t="s">
        <v>143</v>
      </c>
      <c r="B118" t="s">
        <v>24</v>
      </c>
      <c r="C118">
        <v>0</v>
      </c>
      <c r="D118">
        <v>4.1250572204589844</v>
      </c>
      <c r="E118">
        <v>1</v>
      </c>
      <c r="F118">
        <v>1</v>
      </c>
      <c r="G118">
        <v>1</v>
      </c>
      <c r="H118">
        <v>1</v>
      </c>
      <c r="I118">
        <v>1</v>
      </c>
      <c r="J118">
        <v>1</v>
      </c>
      <c r="K118">
        <v>1</v>
      </c>
      <c r="L118">
        <v>0</v>
      </c>
      <c r="M118">
        <v>1</v>
      </c>
      <c r="N118">
        <v>1</v>
      </c>
      <c r="O118">
        <v>1</v>
      </c>
      <c r="P118" t="s">
        <v>521</v>
      </c>
    </row>
    <row r="119" spans="1:16" x14ac:dyDescent="0.25">
      <c r="A119" t="s">
        <v>143</v>
      </c>
      <c r="B119" t="s">
        <v>25</v>
      </c>
      <c r="C119">
        <v>0</v>
      </c>
      <c r="D119">
        <v>7.1907732486724854</v>
      </c>
      <c r="E119">
        <v>1</v>
      </c>
      <c r="F119">
        <v>1</v>
      </c>
      <c r="G119">
        <v>1</v>
      </c>
      <c r="H119">
        <v>1</v>
      </c>
      <c r="I119">
        <v>1</v>
      </c>
      <c r="J119">
        <v>1</v>
      </c>
      <c r="K119">
        <v>1</v>
      </c>
      <c r="L119">
        <v>0</v>
      </c>
      <c r="M119">
        <v>1</v>
      </c>
      <c r="N119">
        <v>1</v>
      </c>
      <c r="O119">
        <v>1</v>
      </c>
      <c r="P119" t="s">
        <v>522</v>
      </c>
    </row>
    <row r="120" spans="1:16" x14ac:dyDescent="0.25">
      <c r="A120" t="s">
        <v>143</v>
      </c>
      <c r="B120" t="s">
        <v>26</v>
      </c>
      <c r="C120">
        <v>0</v>
      </c>
      <c r="D120">
        <v>11.5038161277771</v>
      </c>
      <c r="E120">
        <v>1</v>
      </c>
      <c r="F120">
        <v>1</v>
      </c>
      <c r="G120">
        <v>0</v>
      </c>
      <c r="H120" t="s">
        <v>20</v>
      </c>
      <c r="I120">
        <v>1</v>
      </c>
      <c r="J120">
        <v>1</v>
      </c>
      <c r="K120">
        <v>1</v>
      </c>
      <c r="L120">
        <v>1</v>
      </c>
      <c r="M120">
        <v>1</v>
      </c>
      <c r="N120">
        <v>1</v>
      </c>
      <c r="O120">
        <v>1</v>
      </c>
      <c r="P120" t="s">
        <v>523</v>
      </c>
    </row>
    <row r="121" spans="1:16" x14ac:dyDescent="0.25">
      <c r="A121" t="s">
        <v>143</v>
      </c>
      <c r="B121" t="s">
        <v>27</v>
      </c>
      <c r="C121">
        <v>0</v>
      </c>
      <c r="D121">
        <v>9.6489393711090088</v>
      </c>
      <c r="E121">
        <v>1</v>
      </c>
      <c r="F121">
        <v>1</v>
      </c>
      <c r="G121">
        <v>1</v>
      </c>
      <c r="H121">
        <v>1</v>
      </c>
      <c r="I121">
        <v>1</v>
      </c>
      <c r="J121">
        <v>1</v>
      </c>
      <c r="K121">
        <v>1</v>
      </c>
      <c r="L121">
        <v>1</v>
      </c>
      <c r="M121">
        <v>1</v>
      </c>
      <c r="N121">
        <v>1</v>
      </c>
      <c r="O121">
        <v>1</v>
      </c>
    </row>
    <row r="122" spans="1:16" x14ac:dyDescent="0.25">
      <c r="A122" t="s">
        <v>143</v>
      </c>
      <c r="B122" t="s">
        <v>28</v>
      </c>
      <c r="C122">
        <v>0</v>
      </c>
      <c r="D122">
        <v>2.6989073753356929</v>
      </c>
      <c r="E122">
        <v>1</v>
      </c>
      <c r="F122">
        <v>1</v>
      </c>
      <c r="G122">
        <v>1</v>
      </c>
      <c r="H122">
        <v>1</v>
      </c>
      <c r="I122">
        <v>1</v>
      </c>
      <c r="J122">
        <v>1</v>
      </c>
      <c r="K122">
        <v>1</v>
      </c>
      <c r="L122">
        <v>1</v>
      </c>
      <c r="M122">
        <v>1</v>
      </c>
      <c r="N122">
        <v>1</v>
      </c>
      <c r="O122">
        <v>1</v>
      </c>
    </row>
    <row r="123" spans="1:16" x14ac:dyDescent="0.25">
      <c r="A123" t="s">
        <v>143</v>
      </c>
      <c r="B123" t="s">
        <v>29</v>
      </c>
      <c r="C123">
        <v>0</v>
      </c>
      <c r="D123">
        <v>4.7328681945800781</v>
      </c>
      <c r="E123">
        <v>1</v>
      </c>
      <c r="F123">
        <v>1</v>
      </c>
      <c r="G123">
        <v>1</v>
      </c>
      <c r="H123">
        <v>1</v>
      </c>
      <c r="I123">
        <v>1</v>
      </c>
      <c r="J123">
        <v>0</v>
      </c>
      <c r="K123">
        <v>0</v>
      </c>
      <c r="L123">
        <v>1</v>
      </c>
      <c r="M123">
        <v>1</v>
      </c>
      <c r="N123">
        <v>1</v>
      </c>
      <c r="O123">
        <v>1</v>
      </c>
      <c r="P123" t="s">
        <v>524</v>
      </c>
    </row>
    <row r="124" spans="1:16" x14ac:dyDescent="0.25">
      <c r="A124" t="s">
        <v>143</v>
      </c>
      <c r="B124" t="s">
        <v>31</v>
      </c>
      <c r="C124">
        <v>0</v>
      </c>
      <c r="D124">
        <v>9.6129715442657471</v>
      </c>
      <c r="E124">
        <v>0</v>
      </c>
      <c r="F124" t="s">
        <v>20</v>
      </c>
      <c r="G124" t="s">
        <v>20</v>
      </c>
      <c r="H124" t="s">
        <v>20</v>
      </c>
      <c r="I124" t="s">
        <v>20</v>
      </c>
      <c r="J124" t="s">
        <v>20</v>
      </c>
      <c r="K124" t="s">
        <v>20</v>
      </c>
      <c r="L124" t="s">
        <v>20</v>
      </c>
      <c r="M124" t="s">
        <v>20</v>
      </c>
      <c r="N124" t="s">
        <v>20</v>
      </c>
      <c r="O124" t="s">
        <v>20</v>
      </c>
      <c r="P124" t="s">
        <v>525</v>
      </c>
    </row>
    <row r="125" spans="1:16" x14ac:dyDescent="0.25">
      <c r="A125" t="s">
        <v>143</v>
      </c>
      <c r="B125" t="s">
        <v>33</v>
      </c>
      <c r="C125">
        <v>0</v>
      </c>
      <c r="D125">
        <v>10.680442333221441</v>
      </c>
      <c r="E125">
        <v>1</v>
      </c>
      <c r="F125">
        <v>1</v>
      </c>
      <c r="G125">
        <v>1</v>
      </c>
      <c r="H125">
        <v>1</v>
      </c>
      <c r="I125">
        <v>1</v>
      </c>
      <c r="J125">
        <v>1</v>
      </c>
      <c r="K125">
        <v>1</v>
      </c>
      <c r="L125">
        <v>1</v>
      </c>
      <c r="M125">
        <v>0</v>
      </c>
      <c r="N125">
        <v>1</v>
      </c>
      <c r="O125">
        <v>1</v>
      </c>
      <c r="P125" t="s">
        <v>526</v>
      </c>
    </row>
    <row r="126" spans="1:16" x14ac:dyDescent="0.25">
      <c r="A126" t="s">
        <v>143</v>
      </c>
      <c r="B126" t="s">
        <v>35</v>
      </c>
      <c r="C126">
        <v>0</v>
      </c>
      <c r="D126">
        <v>9.3632433414459229</v>
      </c>
      <c r="E126">
        <v>1</v>
      </c>
      <c r="F126">
        <v>1</v>
      </c>
      <c r="G126">
        <v>1</v>
      </c>
      <c r="H126">
        <v>1</v>
      </c>
      <c r="I126">
        <v>1</v>
      </c>
      <c r="J126">
        <v>1</v>
      </c>
      <c r="K126">
        <v>1</v>
      </c>
      <c r="L126">
        <v>1</v>
      </c>
      <c r="M126">
        <v>1</v>
      </c>
      <c r="N126">
        <v>1</v>
      </c>
      <c r="O126">
        <v>1</v>
      </c>
    </row>
    <row r="127" spans="1:16" x14ac:dyDescent="0.25">
      <c r="A127" t="s">
        <v>143</v>
      </c>
      <c r="B127" t="s">
        <v>36</v>
      </c>
      <c r="C127">
        <v>0</v>
      </c>
      <c r="D127">
        <v>2.6665399074554439</v>
      </c>
      <c r="E127">
        <v>1</v>
      </c>
      <c r="F127">
        <v>1</v>
      </c>
      <c r="G127">
        <v>1</v>
      </c>
      <c r="H127">
        <v>1</v>
      </c>
      <c r="I127">
        <v>1</v>
      </c>
      <c r="J127">
        <v>1</v>
      </c>
      <c r="K127">
        <v>1</v>
      </c>
      <c r="L127">
        <v>1</v>
      </c>
      <c r="M127">
        <v>1</v>
      </c>
      <c r="N127">
        <v>1</v>
      </c>
      <c r="O127">
        <v>1</v>
      </c>
    </row>
    <row r="128" spans="1:16" x14ac:dyDescent="0.25">
      <c r="A128" t="s">
        <v>143</v>
      </c>
      <c r="B128" t="s">
        <v>38</v>
      </c>
      <c r="C128">
        <v>0</v>
      </c>
      <c r="D128">
        <v>8.9340827465057373</v>
      </c>
      <c r="E128">
        <v>1</v>
      </c>
      <c r="F128">
        <v>1</v>
      </c>
      <c r="G128">
        <v>1</v>
      </c>
      <c r="H128">
        <v>1</v>
      </c>
      <c r="I128">
        <v>1</v>
      </c>
      <c r="J128">
        <v>1</v>
      </c>
      <c r="K128">
        <v>1</v>
      </c>
      <c r="L128">
        <v>1</v>
      </c>
      <c r="M128">
        <v>1</v>
      </c>
      <c r="N128">
        <v>1</v>
      </c>
      <c r="O128">
        <v>1</v>
      </c>
    </row>
    <row r="129" spans="1:16" x14ac:dyDescent="0.25">
      <c r="A129" t="s">
        <v>143</v>
      </c>
      <c r="B129" t="s">
        <v>40</v>
      </c>
      <c r="C129">
        <v>0</v>
      </c>
      <c r="D129">
        <v>7.6750478744506836</v>
      </c>
      <c r="E129">
        <v>1</v>
      </c>
      <c r="F129">
        <v>1</v>
      </c>
      <c r="G129">
        <v>1</v>
      </c>
      <c r="H129">
        <v>1</v>
      </c>
      <c r="I129">
        <v>1</v>
      </c>
      <c r="J129">
        <v>1</v>
      </c>
      <c r="K129">
        <v>1</v>
      </c>
      <c r="L129">
        <v>1</v>
      </c>
      <c r="M129">
        <v>1</v>
      </c>
      <c r="N129">
        <v>1</v>
      </c>
      <c r="O129">
        <v>1</v>
      </c>
    </row>
    <row r="130" spans="1:16" x14ac:dyDescent="0.25">
      <c r="A130" t="s">
        <v>143</v>
      </c>
      <c r="B130" t="s">
        <v>42</v>
      </c>
      <c r="C130">
        <v>0</v>
      </c>
      <c r="D130">
        <v>2.5568752288818359</v>
      </c>
      <c r="E130">
        <v>1</v>
      </c>
      <c r="F130">
        <v>1</v>
      </c>
      <c r="G130">
        <v>1</v>
      </c>
      <c r="H130">
        <v>1</v>
      </c>
      <c r="I130">
        <v>1</v>
      </c>
      <c r="J130">
        <v>1</v>
      </c>
      <c r="K130">
        <v>1</v>
      </c>
      <c r="L130">
        <v>1</v>
      </c>
      <c r="M130">
        <v>1</v>
      </c>
      <c r="N130">
        <v>1</v>
      </c>
      <c r="O130">
        <v>1</v>
      </c>
    </row>
    <row r="131" spans="1:16" x14ac:dyDescent="0.25">
      <c r="A131" t="s">
        <v>143</v>
      </c>
      <c r="B131" t="s">
        <v>43</v>
      </c>
      <c r="C131">
        <v>0</v>
      </c>
      <c r="D131">
        <v>2.6757385730743408</v>
      </c>
      <c r="E131">
        <v>1</v>
      </c>
      <c r="F131">
        <v>1</v>
      </c>
      <c r="G131">
        <v>1</v>
      </c>
      <c r="H131">
        <v>1</v>
      </c>
      <c r="I131">
        <v>1</v>
      </c>
      <c r="J131">
        <v>1</v>
      </c>
      <c r="K131">
        <v>1</v>
      </c>
      <c r="L131">
        <v>1</v>
      </c>
      <c r="M131">
        <v>1</v>
      </c>
      <c r="N131">
        <v>1</v>
      </c>
      <c r="O131">
        <v>1</v>
      </c>
    </row>
    <row r="132" spans="1:16" x14ac:dyDescent="0.25">
      <c r="A132" t="s">
        <v>143</v>
      </c>
      <c r="B132" t="s">
        <v>44</v>
      </c>
      <c r="C132">
        <v>0</v>
      </c>
      <c r="D132">
        <v>12.40927696228027</v>
      </c>
      <c r="E132">
        <v>1</v>
      </c>
      <c r="F132">
        <v>1</v>
      </c>
      <c r="G132">
        <v>0</v>
      </c>
      <c r="H132" t="s">
        <v>20</v>
      </c>
      <c r="I132">
        <v>1</v>
      </c>
      <c r="J132">
        <v>1</v>
      </c>
      <c r="K132">
        <v>1</v>
      </c>
      <c r="L132">
        <v>1</v>
      </c>
      <c r="M132">
        <v>0</v>
      </c>
      <c r="N132">
        <v>1</v>
      </c>
      <c r="O132">
        <v>1</v>
      </c>
      <c r="P132" t="s">
        <v>527</v>
      </c>
    </row>
    <row r="133" spans="1:16" x14ac:dyDescent="0.25">
      <c r="A133" t="s">
        <v>143</v>
      </c>
      <c r="B133" t="s">
        <v>46</v>
      </c>
      <c r="C133">
        <v>0</v>
      </c>
      <c r="D133">
        <v>12.64328837394714</v>
      </c>
      <c r="E133">
        <v>1</v>
      </c>
      <c r="F133">
        <v>1</v>
      </c>
      <c r="G133">
        <v>1</v>
      </c>
      <c r="H133">
        <v>1</v>
      </c>
      <c r="I133">
        <v>1</v>
      </c>
      <c r="J133">
        <v>1</v>
      </c>
      <c r="K133">
        <v>0</v>
      </c>
      <c r="L133">
        <v>1</v>
      </c>
      <c r="M133">
        <v>0</v>
      </c>
      <c r="N133">
        <v>1</v>
      </c>
      <c r="O133">
        <v>1</v>
      </c>
      <c r="P133" t="s">
        <v>528</v>
      </c>
    </row>
    <row r="134" spans="1:16" x14ac:dyDescent="0.25">
      <c r="A134" t="s">
        <v>143</v>
      </c>
      <c r="B134" t="s">
        <v>48</v>
      </c>
      <c r="C134">
        <v>0</v>
      </c>
      <c r="D134">
        <v>2.754470586776733</v>
      </c>
      <c r="E134">
        <v>1</v>
      </c>
      <c r="F134">
        <v>1</v>
      </c>
      <c r="G134">
        <v>1</v>
      </c>
      <c r="H134">
        <v>1</v>
      </c>
      <c r="I134">
        <v>1</v>
      </c>
      <c r="J134">
        <v>1</v>
      </c>
      <c r="K134">
        <v>1</v>
      </c>
      <c r="L134">
        <v>1</v>
      </c>
      <c r="M134">
        <v>1</v>
      </c>
      <c r="N134">
        <v>1</v>
      </c>
      <c r="O134">
        <v>1</v>
      </c>
    </row>
    <row r="135" spans="1:16" x14ac:dyDescent="0.25">
      <c r="A135" t="s">
        <v>143</v>
      </c>
      <c r="B135" t="s">
        <v>50</v>
      </c>
      <c r="C135">
        <v>0</v>
      </c>
      <c r="D135">
        <v>8.8331828117370605</v>
      </c>
      <c r="E135">
        <v>0</v>
      </c>
      <c r="F135" t="s">
        <v>20</v>
      </c>
      <c r="G135" t="s">
        <v>20</v>
      </c>
      <c r="H135" t="s">
        <v>20</v>
      </c>
      <c r="I135" t="s">
        <v>20</v>
      </c>
      <c r="J135" t="s">
        <v>20</v>
      </c>
      <c r="K135" t="s">
        <v>20</v>
      </c>
      <c r="L135" t="s">
        <v>20</v>
      </c>
      <c r="M135" t="s">
        <v>20</v>
      </c>
      <c r="N135" t="s">
        <v>20</v>
      </c>
      <c r="O135" t="s">
        <v>20</v>
      </c>
      <c r="P135" t="s">
        <v>529</v>
      </c>
    </row>
    <row r="136" spans="1:16" x14ac:dyDescent="0.25">
      <c r="A136" t="s">
        <v>143</v>
      </c>
      <c r="B136" t="s">
        <v>51</v>
      </c>
      <c r="C136">
        <v>0</v>
      </c>
      <c r="D136">
        <v>9.2691812515258789</v>
      </c>
      <c r="E136">
        <v>1</v>
      </c>
      <c r="F136">
        <v>1</v>
      </c>
      <c r="G136">
        <v>1</v>
      </c>
      <c r="H136">
        <v>1</v>
      </c>
      <c r="I136">
        <v>1</v>
      </c>
      <c r="J136">
        <v>1</v>
      </c>
      <c r="K136">
        <v>1</v>
      </c>
      <c r="L136">
        <v>1</v>
      </c>
      <c r="M136">
        <v>1</v>
      </c>
      <c r="N136">
        <v>1</v>
      </c>
      <c r="O136">
        <v>1</v>
      </c>
    </row>
    <row r="137" spans="1:16" x14ac:dyDescent="0.25">
      <c r="A137" t="s">
        <v>143</v>
      </c>
      <c r="B137" t="s">
        <v>52</v>
      </c>
      <c r="C137">
        <v>0</v>
      </c>
      <c r="D137">
        <v>5.0913951396942139</v>
      </c>
      <c r="E137">
        <v>1</v>
      </c>
      <c r="F137">
        <v>0</v>
      </c>
      <c r="G137">
        <v>1</v>
      </c>
      <c r="H137" t="s">
        <v>20</v>
      </c>
      <c r="I137">
        <v>1</v>
      </c>
      <c r="J137" t="s">
        <v>20</v>
      </c>
      <c r="K137">
        <v>0</v>
      </c>
      <c r="L137">
        <v>1</v>
      </c>
      <c r="M137">
        <v>1</v>
      </c>
      <c r="N137">
        <v>1</v>
      </c>
      <c r="O137">
        <v>1</v>
      </c>
      <c r="P137" t="s">
        <v>530</v>
      </c>
    </row>
    <row r="138" spans="1:16" x14ac:dyDescent="0.25">
      <c r="A138" t="s">
        <v>143</v>
      </c>
      <c r="B138" t="s">
        <v>53</v>
      </c>
      <c r="C138">
        <v>0</v>
      </c>
      <c r="D138">
        <v>5.6606476306915283</v>
      </c>
      <c r="E138">
        <v>1</v>
      </c>
      <c r="F138">
        <v>0</v>
      </c>
      <c r="G138">
        <v>1</v>
      </c>
      <c r="H138" t="s">
        <v>20</v>
      </c>
      <c r="I138">
        <v>1</v>
      </c>
      <c r="J138" t="s">
        <v>20</v>
      </c>
      <c r="K138">
        <v>1</v>
      </c>
      <c r="L138">
        <v>1</v>
      </c>
      <c r="M138">
        <v>1</v>
      </c>
      <c r="N138">
        <v>1</v>
      </c>
      <c r="O138">
        <v>1</v>
      </c>
      <c r="P138" t="s">
        <v>531</v>
      </c>
    </row>
    <row r="139" spans="1:16" x14ac:dyDescent="0.25">
      <c r="A139" t="s">
        <v>143</v>
      </c>
      <c r="B139" t="s">
        <v>55</v>
      </c>
      <c r="C139">
        <v>0</v>
      </c>
      <c r="D139">
        <v>10.18534827232361</v>
      </c>
      <c r="E139">
        <v>1</v>
      </c>
      <c r="F139">
        <v>0</v>
      </c>
      <c r="G139">
        <v>1</v>
      </c>
      <c r="H139" t="s">
        <v>20</v>
      </c>
      <c r="I139">
        <v>1</v>
      </c>
      <c r="J139" t="s">
        <v>20</v>
      </c>
      <c r="K139">
        <v>1</v>
      </c>
      <c r="L139">
        <v>1</v>
      </c>
      <c r="M139">
        <v>1</v>
      </c>
      <c r="N139">
        <v>1</v>
      </c>
      <c r="O139">
        <v>1</v>
      </c>
      <c r="P139" t="s">
        <v>532</v>
      </c>
    </row>
    <row r="140" spans="1:16" x14ac:dyDescent="0.25">
      <c r="A140" t="s">
        <v>143</v>
      </c>
      <c r="B140" t="s">
        <v>57</v>
      </c>
      <c r="C140">
        <v>0</v>
      </c>
      <c r="D140">
        <v>9.8631229400634766</v>
      </c>
      <c r="E140">
        <v>1</v>
      </c>
      <c r="F140">
        <v>1</v>
      </c>
      <c r="G140">
        <v>1</v>
      </c>
      <c r="H140">
        <v>1</v>
      </c>
      <c r="I140">
        <v>1</v>
      </c>
      <c r="J140">
        <v>1</v>
      </c>
      <c r="K140">
        <v>1</v>
      </c>
      <c r="L140">
        <v>1</v>
      </c>
      <c r="M140">
        <v>1</v>
      </c>
      <c r="N140">
        <v>1</v>
      </c>
      <c r="O140">
        <v>1</v>
      </c>
    </row>
    <row r="141" spans="1:16" x14ac:dyDescent="0.25">
      <c r="A141" t="s">
        <v>143</v>
      </c>
      <c r="B141" t="s">
        <v>59</v>
      </c>
      <c r="C141">
        <v>0</v>
      </c>
      <c r="D141">
        <v>9.8282699584960938</v>
      </c>
      <c r="E141">
        <v>1</v>
      </c>
      <c r="F141">
        <v>1</v>
      </c>
      <c r="G141">
        <v>1</v>
      </c>
      <c r="H141">
        <v>1</v>
      </c>
      <c r="I141">
        <v>1</v>
      </c>
      <c r="J141">
        <v>1</v>
      </c>
      <c r="K141">
        <v>1</v>
      </c>
      <c r="L141">
        <v>1</v>
      </c>
      <c r="M141">
        <v>1</v>
      </c>
      <c r="N141">
        <v>1</v>
      </c>
      <c r="O141">
        <v>1</v>
      </c>
    </row>
    <row r="142" spans="1:16" x14ac:dyDescent="0.25">
      <c r="A142" t="s">
        <v>143</v>
      </c>
      <c r="B142" t="s">
        <v>61</v>
      </c>
      <c r="C142">
        <v>0</v>
      </c>
      <c r="D142">
        <v>9.3496112823486328</v>
      </c>
      <c r="E142">
        <v>1</v>
      </c>
      <c r="F142">
        <v>1</v>
      </c>
      <c r="G142">
        <v>1</v>
      </c>
      <c r="H142">
        <v>1</v>
      </c>
      <c r="I142">
        <v>1</v>
      </c>
      <c r="J142">
        <v>1</v>
      </c>
      <c r="K142">
        <v>1</v>
      </c>
      <c r="L142">
        <v>1</v>
      </c>
      <c r="M142">
        <v>1</v>
      </c>
      <c r="N142">
        <v>1</v>
      </c>
      <c r="O142">
        <v>1</v>
      </c>
    </row>
    <row r="143" spans="1:16" x14ac:dyDescent="0.25">
      <c r="A143" t="s">
        <v>143</v>
      </c>
      <c r="B143" t="s">
        <v>63</v>
      </c>
      <c r="C143">
        <v>0</v>
      </c>
      <c r="D143">
        <v>2.660775899887085</v>
      </c>
      <c r="E143">
        <v>1</v>
      </c>
      <c r="F143">
        <v>1</v>
      </c>
      <c r="G143">
        <v>1</v>
      </c>
      <c r="H143">
        <v>1</v>
      </c>
      <c r="I143">
        <v>1</v>
      </c>
      <c r="J143">
        <v>1</v>
      </c>
      <c r="K143">
        <v>1</v>
      </c>
      <c r="L143">
        <v>1</v>
      </c>
      <c r="M143">
        <v>1</v>
      </c>
      <c r="N143">
        <v>1</v>
      </c>
      <c r="O143">
        <v>1</v>
      </c>
    </row>
    <row r="144" spans="1:16" x14ac:dyDescent="0.25">
      <c r="A144" t="s">
        <v>143</v>
      </c>
      <c r="B144" t="s">
        <v>65</v>
      </c>
      <c r="C144">
        <v>0</v>
      </c>
      <c r="D144">
        <v>8.5020864009857178</v>
      </c>
      <c r="E144">
        <v>1</v>
      </c>
      <c r="F144">
        <v>1</v>
      </c>
      <c r="G144">
        <v>1</v>
      </c>
      <c r="H144">
        <v>1</v>
      </c>
      <c r="I144">
        <v>1</v>
      </c>
      <c r="J144">
        <v>1</v>
      </c>
      <c r="K144">
        <v>1</v>
      </c>
      <c r="L144">
        <v>1</v>
      </c>
      <c r="M144">
        <v>1</v>
      </c>
      <c r="N144">
        <v>1</v>
      </c>
      <c r="O144">
        <v>1</v>
      </c>
    </row>
    <row r="145" spans="1:16" x14ac:dyDescent="0.25">
      <c r="A145" t="s">
        <v>143</v>
      </c>
      <c r="B145" t="s">
        <v>67</v>
      </c>
      <c r="C145">
        <v>0</v>
      </c>
      <c r="D145">
        <v>14.04013252258301</v>
      </c>
      <c r="E145">
        <v>0</v>
      </c>
      <c r="F145" t="s">
        <v>20</v>
      </c>
      <c r="G145" t="s">
        <v>20</v>
      </c>
      <c r="H145" t="s">
        <v>20</v>
      </c>
      <c r="I145" t="s">
        <v>20</v>
      </c>
      <c r="J145" t="s">
        <v>20</v>
      </c>
      <c r="K145" t="s">
        <v>20</v>
      </c>
      <c r="L145" t="s">
        <v>20</v>
      </c>
      <c r="M145" t="s">
        <v>20</v>
      </c>
      <c r="N145" t="s">
        <v>20</v>
      </c>
      <c r="O145" t="s">
        <v>20</v>
      </c>
      <c r="P145" t="s">
        <v>533</v>
      </c>
    </row>
    <row r="146" spans="1:16" x14ac:dyDescent="0.25">
      <c r="A146" t="s">
        <v>143</v>
      </c>
      <c r="B146" t="s">
        <v>69</v>
      </c>
      <c r="C146">
        <v>0</v>
      </c>
      <c r="D146">
        <v>7.1417441368103027</v>
      </c>
      <c r="E146">
        <v>1</v>
      </c>
      <c r="F146">
        <v>1</v>
      </c>
      <c r="G146">
        <v>1</v>
      </c>
      <c r="H146">
        <v>1</v>
      </c>
      <c r="I146">
        <v>1</v>
      </c>
      <c r="J146">
        <v>1</v>
      </c>
      <c r="K146">
        <v>0</v>
      </c>
      <c r="L146">
        <v>1</v>
      </c>
      <c r="M146">
        <v>1</v>
      </c>
      <c r="N146">
        <v>1</v>
      </c>
      <c r="O146">
        <v>1</v>
      </c>
      <c r="P146" t="s">
        <v>534</v>
      </c>
    </row>
    <row r="147" spans="1:16" x14ac:dyDescent="0.25">
      <c r="A147" t="s">
        <v>143</v>
      </c>
      <c r="B147" t="s">
        <v>71</v>
      </c>
      <c r="C147">
        <v>0</v>
      </c>
      <c r="D147">
        <v>4.8132174015045166</v>
      </c>
      <c r="E147">
        <v>1</v>
      </c>
      <c r="F147">
        <v>1</v>
      </c>
      <c r="G147">
        <v>1</v>
      </c>
      <c r="H147">
        <v>1</v>
      </c>
      <c r="I147">
        <v>1</v>
      </c>
      <c r="J147">
        <v>1</v>
      </c>
      <c r="K147">
        <v>0</v>
      </c>
      <c r="L147">
        <v>1</v>
      </c>
      <c r="M147">
        <v>1</v>
      </c>
      <c r="N147">
        <v>1</v>
      </c>
      <c r="O147">
        <v>1</v>
      </c>
      <c r="P147" t="s">
        <v>535</v>
      </c>
    </row>
    <row r="148" spans="1:16" x14ac:dyDescent="0.25">
      <c r="A148" t="s">
        <v>143</v>
      </c>
      <c r="B148" t="s">
        <v>72</v>
      </c>
      <c r="C148">
        <v>0</v>
      </c>
      <c r="D148">
        <v>2.741381168365479</v>
      </c>
      <c r="E148">
        <v>1</v>
      </c>
      <c r="F148">
        <v>1</v>
      </c>
      <c r="G148">
        <v>1</v>
      </c>
      <c r="H148">
        <v>1</v>
      </c>
      <c r="I148">
        <v>1</v>
      </c>
      <c r="J148">
        <v>1</v>
      </c>
      <c r="K148">
        <v>1</v>
      </c>
      <c r="L148">
        <v>1</v>
      </c>
      <c r="M148">
        <v>1</v>
      </c>
      <c r="N148">
        <v>1</v>
      </c>
      <c r="O148">
        <v>1</v>
      </c>
    </row>
    <row r="149" spans="1:16" x14ac:dyDescent="0.25">
      <c r="A149" t="s">
        <v>143</v>
      </c>
      <c r="B149" t="s">
        <v>73</v>
      </c>
      <c r="C149">
        <v>0</v>
      </c>
      <c r="D149">
        <v>8.2144186496734619</v>
      </c>
      <c r="E149">
        <v>1</v>
      </c>
      <c r="F149">
        <v>1</v>
      </c>
      <c r="G149">
        <v>1</v>
      </c>
      <c r="H149">
        <v>1</v>
      </c>
      <c r="I149">
        <v>1</v>
      </c>
      <c r="J149">
        <v>1</v>
      </c>
      <c r="K149">
        <v>1</v>
      </c>
      <c r="L149">
        <v>1</v>
      </c>
      <c r="M149">
        <v>1</v>
      </c>
      <c r="N149">
        <v>1</v>
      </c>
      <c r="O149">
        <v>1</v>
      </c>
    </row>
    <row r="150" spans="1:16" x14ac:dyDescent="0.25">
      <c r="A150" t="s">
        <v>143</v>
      </c>
      <c r="B150" t="s">
        <v>75</v>
      </c>
      <c r="C150">
        <v>0</v>
      </c>
      <c r="D150">
        <v>8.7483377456665039</v>
      </c>
      <c r="E150">
        <v>0</v>
      </c>
      <c r="F150" t="s">
        <v>20</v>
      </c>
      <c r="G150" t="s">
        <v>20</v>
      </c>
      <c r="H150" t="s">
        <v>20</v>
      </c>
      <c r="I150" t="s">
        <v>20</v>
      </c>
      <c r="J150" t="s">
        <v>20</v>
      </c>
      <c r="K150" t="s">
        <v>20</v>
      </c>
      <c r="L150" t="s">
        <v>20</v>
      </c>
      <c r="M150" t="s">
        <v>20</v>
      </c>
      <c r="N150" t="s">
        <v>20</v>
      </c>
      <c r="O150" t="s">
        <v>20</v>
      </c>
      <c r="P150" t="s">
        <v>536</v>
      </c>
    </row>
    <row r="151" spans="1:16" x14ac:dyDescent="0.25">
      <c r="A151" t="s">
        <v>143</v>
      </c>
      <c r="B151" t="s">
        <v>77</v>
      </c>
      <c r="C151">
        <v>0</v>
      </c>
      <c r="D151">
        <v>10.561549186706539</v>
      </c>
      <c r="E151">
        <v>1</v>
      </c>
      <c r="F151">
        <v>1</v>
      </c>
      <c r="G151">
        <v>1</v>
      </c>
      <c r="H151">
        <v>1</v>
      </c>
      <c r="I151">
        <v>1</v>
      </c>
      <c r="J151">
        <v>1</v>
      </c>
      <c r="K151">
        <v>1</v>
      </c>
      <c r="L151">
        <v>1</v>
      </c>
      <c r="M151">
        <v>1</v>
      </c>
      <c r="N151">
        <v>1</v>
      </c>
      <c r="O151">
        <v>1</v>
      </c>
    </row>
    <row r="152" spans="1:16" x14ac:dyDescent="0.25">
      <c r="A152" t="s">
        <v>143</v>
      </c>
      <c r="B152" t="s">
        <v>78</v>
      </c>
      <c r="C152">
        <v>0</v>
      </c>
      <c r="D152">
        <v>2.7274191379547119</v>
      </c>
      <c r="E152">
        <v>1</v>
      </c>
      <c r="F152">
        <v>1</v>
      </c>
      <c r="G152">
        <v>1</v>
      </c>
      <c r="H152">
        <v>1</v>
      </c>
      <c r="I152">
        <v>1</v>
      </c>
      <c r="J152">
        <v>1</v>
      </c>
      <c r="K152">
        <v>1</v>
      </c>
      <c r="L152">
        <v>1</v>
      </c>
      <c r="M152">
        <v>1</v>
      </c>
      <c r="N152">
        <v>1</v>
      </c>
      <c r="O152">
        <v>1</v>
      </c>
    </row>
    <row r="153" spans="1:16" x14ac:dyDescent="0.25">
      <c r="A153" t="s">
        <v>143</v>
      </c>
      <c r="B153" t="s">
        <v>80</v>
      </c>
      <c r="C153">
        <v>0</v>
      </c>
      <c r="D153">
        <v>4.9585297107696533</v>
      </c>
      <c r="E153">
        <v>1</v>
      </c>
      <c r="F153">
        <v>1</v>
      </c>
      <c r="G153">
        <v>1</v>
      </c>
      <c r="H153">
        <v>0</v>
      </c>
      <c r="I153">
        <v>1</v>
      </c>
      <c r="J153">
        <v>1</v>
      </c>
      <c r="K153">
        <v>1</v>
      </c>
      <c r="L153">
        <v>1</v>
      </c>
      <c r="M153">
        <v>1</v>
      </c>
      <c r="N153">
        <v>1</v>
      </c>
      <c r="O153">
        <v>1</v>
      </c>
      <c r="P153" t="s">
        <v>537</v>
      </c>
    </row>
    <row r="154" spans="1:16" x14ac:dyDescent="0.25">
      <c r="A154" t="s">
        <v>143</v>
      </c>
      <c r="B154" t="s">
        <v>82</v>
      </c>
      <c r="C154">
        <v>0</v>
      </c>
      <c r="D154">
        <v>2.784847736358643</v>
      </c>
      <c r="E154">
        <v>1</v>
      </c>
      <c r="F154">
        <v>1</v>
      </c>
      <c r="G154">
        <v>1</v>
      </c>
      <c r="H154">
        <v>1</v>
      </c>
      <c r="I154">
        <v>1</v>
      </c>
      <c r="J154">
        <v>1</v>
      </c>
      <c r="K154">
        <v>1</v>
      </c>
      <c r="L154">
        <v>1</v>
      </c>
      <c r="M154">
        <v>1</v>
      </c>
      <c r="N154">
        <v>1</v>
      </c>
      <c r="O154">
        <v>1</v>
      </c>
    </row>
    <row r="155" spans="1:16" x14ac:dyDescent="0.25">
      <c r="A155" t="s">
        <v>143</v>
      </c>
      <c r="B155" t="s">
        <v>84</v>
      </c>
      <c r="C155">
        <v>0</v>
      </c>
      <c r="D155">
        <v>9.5322554111480713</v>
      </c>
      <c r="E155">
        <v>1</v>
      </c>
      <c r="F155">
        <v>1</v>
      </c>
      <c r="G155">
        <v>1</v>
      </c>
      <c r="H155">
        <v>1</v>
      </c>
      <c r="I155">
        <v>1</v>
      </c>
      <c r="J155">
        <v>1</v>
      </c>
      <c r="K155">
        <v>1</v>
      </c>
      <c r="L155">
        <v>1</v>
      </c>
      <c r="M155">
        <v>1</v>
      </c>
      <c r="N155">
        <v>1</v>
      </c>
      <c r="O155">
        <v>1</v>
      </c>
    </row>
    <row r="156" spans="1:16" x14ac:dyDescent="0.25">
      <c r="A156" t="s">
        <v>143</v>
      </c>
      <c r="B156" t="s">
        <v>85</v>
      </c>
      <c r="C156">
        <v>0</v>
      </c>
      <c r="D156">
        <v>14.654482841491699</v>
      </c>
      <c r="E156">
        <v>0</v>
      </c>
      <c r="F156" t="s">
        <v>20</v>
      </c>
      <c r="G156" t="s">
        <v>20</v>
      </c>
      <c r="H156" t="s">
        <v>20</v>
      </c>
      <c r="I156" t="s">
        <v>20</v>
      </c>
      <c r="J156" t="s">
        <v>20</v>
      </c>
      <c r="K156" t="s">
        <v>20</v>
      </c>
      <c r="L156" t="s">
        <v>20</v>
      </c>
      <c r="M156" t="s">
        <v>20</v>
      </c>
      <c r="N156" t="s">
        <v>20</v>
      </c>
      <c r="O156" t="s">
        <v>20</v>
      </c>
      <c r="P156" t="s">
        <v>538</v>
      </c>
    </row>
    <row r="157" spans="1:16" x14ac:dyDescent="0.25">
      <c r="A157" t="s">
        <v>143</v>
      </c>
      <c r="B157" t="s">
        <v>87</v>
      </c>
      <c r="C157">
        <v>0</v>
      </c>
      <c r="D157">
        <v>6.2888913154602051</v>
      </c>
      <c r="E157">
        <v>1</v>
      </c>
      <c r="F157">
        <v>1</v>
      </c>
      <c r="G157">
        <v>0</v>
      </c>
      <c r="H157" t="s">
        <v>20</v>
      </c>
      <c r="I157">
        <v>1</v>
      </c>
      <c r="J157">
        <v>1</v>
      </c>
      <c r="K157">
        <v>1</v>
      </c>
      <c r="L157">
        <v>1</v>
      </c>
      <c r="M157">
        <v>1</v>
      </c>
      <c r="N157">
        <v>1</v>
      </c>
      <c r="O157">
        <v>1</v>
      </c>
      <c r="P157" t="s">
        <v>539</v>
      </c>
    </row>
    <row r="158" spans="1:16" x14ac:dyDescent="0.25">
      <c r="A158" t="s">
        <v>143</v>
      </c>
      <c r="B158" t="s">
        <v>89</v>
      </c>
      <c r="C158">
        <v>0</v>
      </c>
      <c r="D158">
        <v>7.0162858963012704</v>
      </c>
      <c r="E158">
        <v>1</v>
      </c>
      <c r="F158">
        <v>1</v>
      </c>
      <c r="G158">
        <v>1</v>
      </c>
      <c r="H158">
        <v>1</v>
      </c>
      <c r="I158">
        <v>1</v>
      </c>
      <c r="J158">
        <v>0</v>
      </c>
      <c r="K158">
        <v>1</v>
      </c>
      <c r="L158">
        <v>1</v>
      </c>
      <c r="M158">
        <v>1</v>
      </c>
      <c r="N158">
        <v>1</v>
      </c>
      <c r="O158">
        <v>1</v>
      </c>
      <c r="P158" t="s">
        <v>540</v>
      </c>
    </row>
    <row r="159" spans="1:16" x14ac:dyDescent="0.25">
      <c r="A159" t="s">
        <v>143</v>
      </c>
      <c r="B159" t="s">
        <v>91</v>
      </c>
      <c r="C159">
        <v>0</v>
      </c>
      <c r="D159">
        <v>7.0414574146270752</v>
      </c>
      <c r="E159">
        <v>1</v>
      </c>
      <c r="F159">
        <v>1</v>
      </c>
      <c r="G159">
        <v>1</v>
      </c>
      <c r="H159">
        <v>1</v>
      </c>
      <c r="I159">
        <v>1</v>
      </c>
      <c r="J159">
        <v>0</v>
      </c>
      <c r="K159">
        <v>1</v>
      </c>
      <c r="L159">
        <v>1</v>
      </c>
      <c r="M159">
        <v>1</v>
      </c>
      <c r="N159">
        <v>1</v>
      </c>
      <c r="O159">
        <v>1</v>
      </c>
      <c r="P159" t="s">
        <v>541</v>
      </c>
    </row>
    <row r="160" spans="1:16" x14ac:dyDescent="0.25">
      <c r="A160" t="s">
        <v>143</v>
      </c>
      <c r="B160" t="s">
        <v>92</v>
      </c>
      <c r="C160">
        <v>0</v>
      </c>
      <c r="D160">
        <v>4.8180716037750244</v>
      </c>
      <c r="E160">
        <v>1</v>
      </c>
      <c r="F160">
        <v>1</v>
      </c>
      <c r="G160">
        <v>1</v>
      </c>
      <c r="H160">
        <v>1</v>
      </c>
      <c r="I160">
        <v>1</v>
      </c>
      <c r="J160">
        <v>0</v>
      </c>
      <c r="K160">
        <v>1</v>
      </c>
      <c r="L160">
        <v>1</v>
      </c>
      <c r="M160">
        <v>1</v>
      </c>
      <c r="N160">
        <v>1</v>
      </c>
      <c r="O160">
        <v>1</v>
      </c>
      <c r="P160" t="s">
        <v>542</v>
      </c>
    </row>
    <row r="161" spans="1:16" x14ac:dyDescent="0.25">
      <c r="A161" t="s">
        <v>143</v>
      </c>
      <c r="B161" t="s">
        <v>94</v>
      </c>
      <c r="C161">
        <v>0</v>
      </c>
      <c r="D161">
        <v>9.5557036399841309</v>
      </c>
      <c r="E161">
        <v>1</v>
      </c>
      <c r="F161">
        <v>1</v>
      </c>
      <c r="G161">
        <v>1</v>
      </c>
      <c r="H161">
        <v>1</v>
      </c>
      <c r="I161">
        <v>1</v>
      </c>
      <c r="J161">
        <v>1</v>
      </c>
      <c r="K161">
        <v>1</v>
      </c>
      <c r="L161">
        <v>1</v>
      </c>
      <c r="M161">
        <v>1</v>
      </c>
      <c r="N161">
        <v>1</v>
      </c>
      <c r="O161">
        <v>1</v>
      </c>
    </row>
    <row r="162" spans="1:16" x14ac:dyDescent="0.25">
      <c r="A162" t="s">
        <v>143</v>
      </c>
      <c r="B162" t="s">
        <v>95</v>
      </c>
      <c r="C162">
        <v>0</v>
      </c>
      <c r="D162">
        <v>5.4296269416809082</v>
      </c>
      <c r="E162">
        <v>1</v>
      </c>
      <c r="F162">
        <v>1</v>
      </c>
      <c r="G162">
        <v>1</v>
      </c>
      <c r="H162">
        <v>1</v>
      </c>
      <c r="I162">
        <v>1</v>
      </c>
      <c r="J162">
        <v>0</v>
      </c>
      <c r="K162">
        <v>1</v>
      </c>
      <c r="L162">
        <v>1</v>
      </c>
      <c r="M162">
        <v>1</v>
      </c>
      <c r="N162">
        <v>1</v>
      </c>
      <c r="O162">
        <v>1</v>
      </c>
      <c r="P162" t="s">
        <v>543</v>
      </c>
    </row>
    <row r="163" spans="1:16" x14ac:dyDescent="0.25">
      <c r="A163" t="s">
        <v>143</v>
      </c>
      <c r="B163" t="s">
        <v>121</v>
      </c>
      <c r="C163">
        <v>0</v>
      </c>
      <c r="D163">
        <v>6.8651077747344971</v>
      </c>
      <c r="E163">
        <v>1</v>
      </c>
      <c r="F163">
        <v>1</v>
      </c>
      <c r="G163">
        <v>1</v>
      </c>
      <c r="H163">
        <v>1</v>
      </c>
      <c r="I163">
        <v>1</v>
      </c>
      <c r="J163">
        <v>0</v>
      </c>
      <c r="K163">
        <v>1</v>
      </c>
      <c r="L163">
        <v>1</v>
      </c>
      <c r="M163">
        <v>1</v>
      </c>
      <c r="N163">
        <v>1</v>
      </c>
      <c r="O163">
        <v>1</v>
      </c>
      <c r="P163" t="s">
        <v>544</v>
      </c>
    </row>
    <row r="164" spans="1:16" x14ac:dyDescent="0.25">
      <c r="A164" t="s">
        <v>143</v>
      </c>
      <c r="B164" t="s">
        <v>122</v>
      </c>
      <c r="C164">
        <v>0</v>
      </c>
      <c r="D164">
        <v>2.7058365345001221</v>
      </c>
      <c r="E164">
        <v>1</v>
      </c>
      <c r="F164">
        <v>1</v>
      </c>
      <c r="G164">
        <v>1</v>
      </c>
      <c r="H164">
        <v>1</v>
      </c>
      <c r="I164">
        <v>1</v>
      </c>
      <c r="J164">
        <v>1</v>
      </c>
      <c r="K164">
        <v>1</v>
      </c>
      <c r="L164">
        <v>1</v>
      </c>
      <c r="M164">
        <v>1</v>
      </c>
      <c r="N164">
        <v>1</v>
      </c>
      <c r="O164">
        <v>1</v>
      </c>
    </row>
    <row r="165" spans="1:16" x14ac:dyDescent="0.25">
      <c r="A165" t="s">
        <v>143</v>
      </c>
      <c r="B165" t="s">
        <v>124</v>
      </c>
      <c r="C165">
        <v>0</v>
      </c>
      <c r="D165">
        <v>6.6308937072753906</v>
      </c>
      <c r="E165">
        <v>1</v>
      </c>
      <c r="F165">
        <v>0</v>
      </c>
      <c r="G165">
        <v>1</v>
      </c>
      <c r="H165" t="s">
        <v>20</v>
      </c>
      <c r="I165">
        <v>1</v>
      </c>
      <c r="J165" t="s">
        <v>20</v>
      </c>
      <c r="K165">
        <v>0</v>
      </c>
      <c r="L165">
        <v>1</v>
      </c>
      <c r="M165">
        <v>1</v>
      </c>
      <c r="N165">
        <v>1</v>
      </c>
      <c r="O165">
        <v>1</v>
      </c>
      <c r="P165" t="s">
        <v>545</v>
      </c>
    </row>
    <row r="166" spans="1:16" x14ac:dyDescent="0.25">
      <c r="A166" t="s">
        <v>143</v>
      </c>
      <c r="B166" t="s">
        <v>126</v>
      </c>
      <c r="C166">
        <v>0</v>
      </c>
      <c r="D166">
        <v>2.772489070892334</v>
      </c>
      <c r="E166">
        <v>1</v>
      </c>
      <c r="F166">
        <v>1</v>
      </c>
      <c r="G166">
        <v>1</v>
      </c>
      <c r="H166">
        <v>1</v>
      </c>
      <c r="I166">
        <v>1</v>
      </c>
      <c r="J166">
        <v>1</v>
      </c>
      <c r="K166">
        <v>1</v>
      </c>
      <c r="L166">
        <v>1</v>
      </c>
      <c r="M166">
        <v>1</v>
      </c>
      <c r="N166">
        <v>1</v>
      </c>
      <c r="O166">
        <v>1</v>
      </c>
    </row>
    <row r="167" spans="1:16" x14ac:dyDescent="0.25">
      <c r="A167" t="s">
        <v>143</v>
      </c>
      <c r="B167" t="s">
        <v>127</v>
      </c>
      <c r="C167">
        <v>0</v>
      </c>
      <c r="D167">
        <v>6.4933559894561768</v>
      </c>
      <c r="E167">
        <v>1</v>
      </c>
      <c r="F167">
        <v>1</v>
      </c>
      <c r="G167">
        <v>1</v>
      </c>
      <c r="H167">
        <v>1</v>
      </c>
      <c r="I167">
        <v>1</v>
      </c>
      <c r="J167">
        <v>0</v>
      </c>
      <c r="K167">
        <v>1</v>
      </c>
      <c r="L167">
        <v>1</v>
      </c>
      <c r="M167">
        <v>1</v>
      </c>
      <c r="N167">
        <v>1</v>
      </c>
      <c r="O167">
        <v>1</v>
      </c>
      <c r="P167" t="s">
        <v>546</v>
      </c>
    </row>
    <row r="168" spans="1:16" x14ac:dyDescent="0.25">
      <c r="A168" t="s">
        <v>143</v>
      </c>
      <c r="B168" t="s">
        <v>129</v>
      </c>
      <c r="C168">
        <v>0</v>
      </c>
      <c r="D168">
        <v>4.9922904968261719</v>
      </c>
      <c r="E168">
        <v>1</v>
      </c>
      <c r="F168">
        <v>1</v>
      </c>
      <c r="G168">
        <v>1</v>
      </c>
      <c r="H168">
        <v>1</v>
      </c>
      <c r="I168">
        <v>1</v>
      </c>
      <c r="J168">
        <v>0</v>
      </c>
      <c r="K168">
        <v>1</v>
      </c>
      <c r="L168">
        <v>1</v>
      </c>
      <c r="M168">
        <v>1</v>
      </c>
      <c r="N168">
        <v>1</v>
      </c>
      <c r="O168">
        <v>1</v>
      </c>
      <c r="P168" t="s">
        <v>547</v>
      </c>
    </row>
    <row r="169" spans="1:16" x14ac:dyDescent="0.25">
      <c r="A169" t="s">
        <v>143</v>
      </c>
      <c r="B169" t="s">
        <v>131</v>
      </c>
      <c r="C169">
        <v>0</v>
      </c>
      <c r="D169">
        <v>14.27706241607666</v>
      </c>
      <c r="E169">
        <v>0</v>
      </c>
      <c r="F169" t="s">
        <v>20</v>
      </c>
      <c r="G169" t="s">
        <v>20</v>
      </c>
      <c r="H169" t="s">
        <v>20</v>
      </c>
      <c r="I169" t="s">
        <v>20</v>
      </c>
      <c r="J169" t="s">
        <v>20</v>
      </c>
      <c r="K169" t="s">
        <v>20</v>
      </c>
      <c r="L169" t="s">
        <v>20</v>
      </c>
      <c r="M169" t="s">
        <v>20</v>
      </c>
      <c r="N169" t="s">
        <v>20</v>
      </c>
      <c r="O169" t="s">
        <v>20</v>
      </c>
      <c r="P169" t="s">
        <v>548</v>
      </c>
    </row>
    <row r="170" spans="1:16" x14ac:dyDescent="0.25">
      <c r="A170" t="s">
        <v>143</v>
      </c>
      <c r="B170" t="s">
        <v>133</v>
      </c>
      <c r="C170">
        <v>0</v>
      </c>
      <c r="D170">
        <v>11.90906500816345</v>
      </c>
      <c r="E170">
        <v>1</v>
      </c>
      <c r="F170">
        <v>1</v>
      </c>
      <c r="G170">
        <v>1</v>
      </c>
      <c r="H170">
        <v>0</v>
      </c>
      <c r="I170">
        <v>1</v>
      </c>
      <c r="J170">
        <v>1</v>
      </c>
      <c r="K170">
        <v>1</v>
      </c>
      <c r="L170">
        <v>1</v>
      </c>
      <c r="M170">
        <v>1</v>
      </c>
      <c r="N170">
        <v>1</v>
      </c>
      <c r="O170">
        <v>1</v>
      </c>
      <c r="P170" t="s">
        <v>549</v>
      </c>
    </row>
    <row r="171" spans="1:16" x14ac:dyDescent="0.25">
      <c r="A171" t="s">
        <v>143</v>
      </c>
      <c r="B171" t="s">
        <v>135</v>
      </c>
      <c r="C171">
        <v>0</v>
      </c>
      <c r="D171">
        <v>2.749355792999268</v>
      </c>
      <c r="E171">
        <v>1</v>
      </c>
      <c r="F171">
        <v>1</v>
      </c>
      <c r="G171">
        <v>1</v>
      </c>
      <c r="H171">
        <v>1</v>
      </c>
      <c r="I171">
        <v>1</v>
      </c>
      <c r="J171">
        <v>1</v>
      </c>
      <c r="K171">
        <v>1</v>
      </c>
      <c r="L171">
        <v>1</v>
      </c>
      <c r="M171">
        <v>1</v>
      </c>
      <c r="N171">
        <v>1</v>
      </c>
      <c r="O171">
        <v>1</v>
      </c>
    </row>
    <row r="172" spans="1:16" x14ac:dyDescent="0.25">
      <c r="A172" t="s">
        <v>143</v>
      </c>
      <c r="B172" t="s">
        <v>136</v>
      </c>
      <c r="C172">
        <v>0</v>
      </c>
      <c r="D172">
        <v>9.5095114707946777</v>
      </c>
      <c r="E172">
        <v>0</v>
      </c>
      <c r="F172" t="s">
        <v>20</v>
      </c>
      <c r="G172" t="s">
        <v>20</v>
      </c>
      <c r="H172" t="s">
        <v>20</v>
      </c>
      <c r="I172" t="s">
        <v>20</v>
      </c>
      <c r="J172" t="s">
        <v>20</v>
      </c>
      <c r="K172" t="s">
        <v>20</v>
      </c>
      <c r="L172" t="s">
        <v>20</v>
      </c>
      <c r="M172" t="s">
        <v>20</v>
      </c>
      <c r="N172" t="s">
        <v>20</v>
      </c>
      <c r="O172" t="s">
        <v>20</v>
      </c>
      <c r="P172" t="s">
        <v>550</v>
      </c>
    </row>
    <row r="173" spans="1:16" x14ac:dyDescent="0.25">
      <c r="A173" t="s">
        <v>143</v>
      </c>
      <c r="B173" t="s">
        <v>137</v>
      </c>
      <c r="C173">
        <v>0</v>
      </c>
      <c r="D173">
        <v>2.7054681777954102</v>
      </c>
      <c r="E173">
        <v>1</v>
      </c>
      <c r="F173">
        <v>1</v>
      </c>
      <c r="G173">
        <v>1</v>
      </c>
      <c r="H173">
        <v>1</v>
      </c>
      <c r="I173">
        <v>1</v>
      </c>
      <c r="J173">
        <v>1</v>
      </c>
      <c r="K173">
        <v>1</v>
      </c>
      <c r="L173">
        <v>1</v>
      </c>
      <c r="M173">
        <v>1</v>
      </c>
      <c r="N173">
        <v>1</v>
      </c>
      <c r="O173">
        <v>1</v>
      </c>
    </row>
    <row r="174" spans="1:16" x14ac:dyDescent="0.25">
      <c r="A174" t="s">
        <v>143</v>
      </c>
      <c r="B174" t="s">
        <v>138</v>
      </c>
      <c r="C174">
        <v>0</v>
      </c>
      <c r="D174">
        <v>6.6668059825897217</v>
      </c>
      <c r="E174">
        <v>1</v>
      </c>
      <c r="F174">
        <v>1</v>
      </c>
      <c r="G174">
        <v>1</v>
      </c>
      <c r="H174">
        <v>1</v>
      </c>
      <c r="I174">
        <v>1</v>
      </c>
      <c r="J174">
        <v>1</v>
      </c>
      <c r="K174">
        <v>1</v>
      </c>
      <c r="L174">
        <v>0</v>
      </c>
      <c r="M174">
        <v>1</v>
      </c>
      <c r="N174">
        <v>1</v>
      </c>
      <c r="O174">
        <v>1</v>
      </c>
      <c r="P174" t="s">
        <v>551</v>
      </c>
    </row>
    <row r="175" spans="1:16" x14ac:dyDescent="0.25">
      <c r="A175" t="s">
        <v>143</v>
      </c>
      <c r="B175" t="s">
        <v>140</v>
      </c>
      <c r="C175">
        <v>0</v>
      </c>
      <c r="D175">
        <v>12.5262451171875</v>
      </c>
      <c r="E175">
        <v>1</v>
      </c>
      <c r="F175">
        <v>1</v>
      </c>
      <c r="G175">
        <v>1</v>
      </c>
      <c r="H175">
        <v>1</v>
      </c>
      <c r="I175">
        <v>1</v>
      </c>
      <c r="J175">
        <v>0</v>
      </c>
      <c r="K175">
        <v>1</v>
      </c>
      <c r="L175">
        <v>1</v>
      </c>
      <c r="M175">
        <v>1</v>
      </c>
      <c r="N175">
        <v>1</v>
      </c>
      <c r="O175">
        <v>1</v>
      </c>
      <c r="P175" t="s">
        <v>552</v>
      </c>
    </row>
    <row r="176" spans="1:16" x14ac:dyDescent="0.25">
      <c r="A176" t="s">
        <v>143</v>
      </c>
      <c r="B176" t="s">
        <v>141</v>
      </c>
      <c r="C176">
        <v>0</v>
      </c>
      <c r="D176">
        <v>4.8154482841491699</v>
      </c>
      <c r="E176">
        <v>1</v>
      </c>
      <c r="F176">
        <v>1</v>
      </c>
      <c r="G176">
        <v>1</v>
      </c>
      <c r="H176">
        <v>1</v>
      </c>
      <c r="I176">
        <v>1</v>
      </c>
      <c r="J176">
        <v>0</v>
      </c>
      <c r="K176">
        <v>1</v>
      </c>
      <c r="L176">
        <v>1</v>
      </c>
      <c r="M176">
        <v>1</v>
      </c>
      <c r="N176">
        <v>1</v>
      </c>
      <c r="O176">
        <v>1</v>
      </c>
      <c r="P176" t="s">
        <v>553</v>
      </c>
    </row>
    <row r="177" spans="1:16" x14ac:dyDescent="0.25">
      <c r="A177" t="s">
        <v>143</v>
      </c>
      <c r="B177" t="s">
        <v>180</v>
      </c>
      <c r="C177">
        <v>0</v>
      </c>
      <c r="D177">
        <v>11.404387235641479</v>
      </c>
      <c r="E177">
        <v>1</v>
      </c>
      <c r="F177">
        <v>1</v>
      </c>
      <c r="G177">
        <v>1</v>
      </c>
      <c r="H177">
        <v>1</v>
      </c>
      <c r="I177">
        <v>1</v>
      </c>
      <c r="J177">
        <v>0</v>
      </c>
      <c r="K177">
        <v>1</v>
      </c>
      <c r="L177">
        <v>1</v>
      </c>
      <c r="M177">
        <v>1</v>
      </c>
      <c r="N177">
        <v>1</v>
      </c>
      <c r="O177">
        <v>1</v>
      </c>
      <c r="P177" t="s">
        <v>554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0C100-E9F9-4C0D-AD5F-9FADDA44E501}">
  <dimension ref="A1:O177"/>
  <sheetViews>
    <sheetView tabSelected="1" topLeftCell="A97" workbookViewId="0">
      <selection activeCell="E114" sqref="E114:O177"/>
    </sheetView>
  </sheetViews>
  <sheetFormatPr defaultRowHeight="13.8" x14ac:dyDescent="0.25"/>
  <cols>
    <col min="2" max="2" width="12.39843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16</v>
      </c>
      <c r="B2" t="s">
        <v>17</v>
      </c>
      <c r="C2">
        <v>0</v>
      </c>
      <c r="D2">
        <v>2.8541140556335449</v>
      </c>
      <c r="E2">
        <f>ROUND(SUM(services_v2_9!E2,services_v2_8!E2,services_v2_7!E2,services_v2_6!E2,services_v2_10!E2)/COUNT(services_v2_9!E2,services_v2_8!E2,services_v2_7!E2,services_v2_6!E2,services_v2_10!E2),0)</f>
        <v>1</v>
      </c>
      <c r="F2">
        <f>IF($E2=0, "NA", ROUND(SUM(services_v2_9!F2,services_v2_8!F2,services_v2_7!F2,services_v2_6!F2,services_v2_10!F2)/COUNT(services_v2_9!F2,services_v2_8!F2,services_v2_7!F2,services_v2_6!F2,services_v2_10!F2),0))</f>
        <v>1</v>
      </c>
      <c r="G2">
        <f>IF($E2=0, "NA", ROUND(SUM(services_v2_9!G2,services_v2_8!G2,services_v2_7!G2,services_v2_6!G2,services_v2_10!G2)/COUNT(services_v2_9!G2,services_v2_8!G2,services_v2_7!G2,services_v2_6!G2,services_v2_10!G2),0))</f>
        <v>1</v>
      </c>
      <c r="H2">
        <f>IF(AND(F2=1,G2=1),ROUND(SUM(services_v2_9!H2,services_v2_8!H2,services_v2_7!H2,services_v2_6!H2,services_v2_10!H2)/COUNT(services_v2_9!H2,services_v2_8!H2,services_v2_7!H2,services_v2_6!H2,services_v2_10!H2),0),"NA")</f>
        <v>1</v>
      </c>
      <c r="I2">
        <f>IF($E2=0, "NA", ROUND(SUM(services_v2_9!I2,services_v2_8!I2,services_v2_7!I2,services_v2_6!I2,services_v2_10!I2)/COUNT(services_v2_9!I2,services_v2_8!I2,services_v2_7!I2,services_v2_6!I2,services_v2_10!I2),0))</f>
        <v>1</v>
      </c>
      <c r="J2">
        <f>IF(F2=1,ROUND(SUM(services_v2_9!J2,services_v2_8!J2,services_v2_7!J2,services_v2_6!J2,services_v2_10!J2)/COUNT(services_v2_9!J2,services_v2_8!J2,services_v2_7!J2,services_v2_6!J2,services_v2_10!J2),0),"NA")</f>
        <v>1</v>
      </c>
      <c r="K2">
        <f>IF($E2=0, "NA", ROUND(SUM(services_v2_9!K2,services_v2_8!K2,services_v2_7!K2,services_v2_6!K2,services_v2_10!K2)/COUNT(services_v2_9!K2,services_v2_8!K2,services_v2_7!K2,services_v2_6!K2,services_v2_10!K2),0))</f>
        <v>1</v>
      </c>
      <c r="L2">
        <f>IF($E2=0, "NA", ROUND(SUM(services_v2_9!L2,services_v2_8!L2,services_v2_7!L2,services_v2_6!L2,services_v2_10!L2)/COUNT(services_v2_9!L2,services_v2_8!L2,services_v2_7!L2,services_v2_6!L2,services_v2_10!L2),0))</f>
        <v>1</v>
      </c>
      <c r="M2">
        <f>IF($E2=0, "NA", ROUND(SUM(services_v2_9!M2,services_v2_8!M2,services_v2_7!M2,services_v2_6!M2,services_v2_10!M2)/COUNT(services_v2_9!M2,services_v2_8!M2,services_v2_7!M2,services_v2_6!M2,services_v2_10!M2),0))</f>
        <v>1</v>
      </c>
      <c r="N2">
        <f>IF($E2=0, "NA", ROUND(SUM(services_v2_9!N2,services_v2_8!N2,services_v2_7!N2,services_v2_6!N2,services_v2_10!N2)/COUNT(services_v2_9!N2,services_v2_8!N2,services_v2_7!N2,services_v2_6!N2,services_v2_10!N2),0))</f>
        <v>1</v>
      </c>
      <c r="O2">
        <f>IF($E2=0, "NA", ROUND(SUM(services_v2_9!O2,services_v2_8!O2,services_v2_7!O2,services_v2_6!O2,services_v2_10!O2)/COUNT(services_v2_9!O2,services_v2_8!O2,services_v2_7!O2,services_v2_6!O2,services_v2_10!O2),0))</f>
        <v>1</v>
      </c>
    </row>
    <row r="3" spans="1:15" x14ac:dyDescent="0.25">
      <c r="A3" t="s">
        <v>16</v>
      </c>
      <c r="B3" t="s">
        <v>18</v>
      </c>
      <c r="C3">
        <v>0</v>
      </c>
      <c r="D3">
        <v>11.20166492462158</v>
      </c>
      <c r="E3">
        <f>ROUND(SUM(services_v2_9!E3,services_v2_8!E3,services_v2_7!E3,services_v2_6!E3,services_v2_10!E3)/COUNT(services_v2_9!E3,services_v2_8!E3,services_v2_7!E3,services_v2_6!E3,services_v2_10!E3),0)</f>
        <v>1</v>
      </c>
      <c r="F3">
        <f>IF($E3=0, "NA", ROUND(SUM(services_v2_9!F3,services_v2_8!F3,services_v2_7!F3,services_v2_6!F3,services_v2_10!F3)/COUNT(services_v2_9!F3,services_v2_8!F3,services_v2_7!F3,services_v2_6!F3,services_v2_10!F3),0))</f>
        <v>1</v>
      </c>
      <c r="G3">
        <f>IF($E3=0, "NA", ROUND(SUM(services_v2_9!G3,services_v2_8!G3,services_v2_7!G3,services_v2_6!G3,services_v2_10!G3)/COUNT(services_v2_9!G3,services_v2_8!G3,services_v2_7!G3,services_v2_6!G3,services_v2_10!G3),0))</f>
        <v>1</v>
      </c>
      <c r="H3">
        <f>IF(AND(F3=1,G3=1),ROUND(SUM(services_v2_9!H3,services_v2_8!H3,services_v2_7!H3,services_v2_6!H3,services_v2_10!H3)/COUNT(services_v2_9!H3,services_v2_8!H3,services_v2_7!H3,services_v2_6!H3,services_v2_10!H3),0),"NA")</f>
        <v>1</v>
      </c>
      <c r="I3">
        <f>IF($E3=0, "NA", ROUND(SUM(services_v2_9!I3,services_v2_8!I3,services_v2_7!I3,services_v2_6!I3,services_v2_10!I3)/COUNT(services_v2_9!I3,services_v2_8!I3,services_v2_7!I3,services_v2_6!I3,services_v2_10!I3),0))</f>
        <v>1</v>
      </c>
      <c r="J3">
        <f>IF(F3=1,ROUND(SUM(services_v2_9!J3,services_v2_8!J3,services_v2_7!J3,services_v2_6!J3,services_v2_10!J3)/COUNT(services_v2_9!J3,services_v2_8!J3,services_v2_7!J3,services_v2_6!J3,services_v2_10!J3),0),"NA")</f>
        <v>1</v>
      </c>
      <c r="K3">
        <f>IF($E3=0, "NA", ROUND(SUM(services_v2_9!K3,services_v2_8!K3,services_v2_7!K3,services_v2_6!K3,services_v2_10!K3)/COUNT(services_v2_9!K3,services_v2_8!K3,services_v2_7!K3,services_v2_6!K3,services_v2_10!K3),0))</f>
        <v>1</v>
      </c>
      <c r="L3">
        <f>IF($E3=0, "NA", ROUND(SUM(services_v2_9!L3,services_v2_8!L3,services_v2_7!L3,services_v2_6!L3,services_v2_10!L3)/COUNT(services_v2_9!L3,services_v2_8!L3,services_v2_7!L3,services_v2_6!L3,services_v2_10!L3),0))</f>
        <v>1</v>
      </c>
      <c r="M3">
        <f>IF($E3=0, "NA", ROUND(SUM(services_v2_9!M3,services_v2_8!M3,services_v2_7!M3,services_v2_6!M3,services_v2_10!M3)/COUNT(services_v2_9!M3,services_v2_8!M3,services_v2_7!M3,services_v2_6!M3,services_v2_10!M3),0))</f>
        <v>1</v>
      </c>
      <c r="N3">
        <f>IF($E3=0, "NA", ROUND(SUM(services_v2_9!N3,services_v2_8!N3,services_v2_7!N3,services_v2_6!N3,services_v2_10!N3)/COUNT(services_v2_9!N3,services_v2_8!N3,services_v2_7!N3,services_v2_6!N3,services_v2_10!N3),0))</f>
        <v>1</v>
      </c>
      <c r="O3">
        <f>IF($E3=0, "NA", ROUND(SUM(services_v2_9!O3,services_v2_8!O3,services_v2_7!O3,services_v2_6!O3,services_v2_10!O3)/COUNT(services_v2_9!O3,services_v2_8!O3,services_v2_7!O3,services_v2_6!O3,services_v2_10!O3),0))</f>
        <v>1</v>
      </c>
    </row>
    <row r="4" spans="1:15" x14ac:dyDescent="0.25">
      <c r="A4" t="s">
        <v>16</v>
      </c>
      <c r="B4" t="s">
        <v>19</v>
      </c>
      <c r="C4">
        <v>0</v>
      </c>
      <c r="D4">
        <v>2.776127815246582</v>
      </c>
      <c r="E4">
        <f>ROUND(SUM(services_v2_9!E4,services_v2_8!E4,services_v2_7!E4,services_v2_6!E4,services_v2_10!E4)/COUNT(services_v2_9!E4,services_v2_8!E4,services_v2_7!E4,services_v2_6!E4,services_v2_10!E4),0)</f>
        <v>1</v>
      </c>
      <c r="F4">
        <f>IF($E4=0, "NA", ROUND(SUM(services_v2_9!F4,services_v2_8!F4,services_v2_7!F4,services_v2_6!F4,services_v2_10!F4)/COUNT(services_v2_9!F4,services_v2_8!F4,services_v2_7!F4,services_v2_6!F4,services_v2_10!F4),0))</f>
        <v>1</v>
      </c>
      <c r="G4">
        <f>IF($E4=0, "NA", ROUND(SUM(services_v2_9!G4,services_v2_8!G4,services_v2_7!G4,services_v2_6!G4,services_v2_10!G4)/COUNT(services_v2_9!G4,services_v2_8!G4,services_v2_7!G4,services_v2_6!G4,services_v2_10!G4),0))</f>
        <v>1</v>
      </c>
      <c r="H4">
        <f>IF(AND(F4=1,G4=1),ROUND(SUM(services_v2_9!H4,services_v2_8!H4,services_v2_7!H4,services_v2_6!H4,services_v2_10!H4)/COUNT(services_v2_9!H4,services_v2_8!H4,services_v2_7!H4,services_v2_6!H4,services_v2_10!H4),0),"NA")</f>
        <v>1</v>
      </c>
      <c r="I4">
        <f>IF($E4=0, "NA", ROUND(SUM(services_v2_9!I4,services_v2_8!I4,services_v2_7!I4,services_v2_6!I4,services_v2_10!I4)/COUNT(services_v2_9!I4,services_v2_8!I4,services_v2_7!I4,services_v2_6!I4,services_v2_10!I4),0))</f>
        <v>1</v>
      </c>
      <c r="J4">
        <f>IF(F4=1,ROUND(SUM(services_v2_9!J4,services_v2_8!J4,services_v2_7!J4,services_v2_6!J4,services_v2_10!J4)/COUNT(services_v2_9!J4,services_v2_8!J4,services_v2_7!J4,services_v2_6!J4,services_v2_10!J4),0),"NA")</f>
        <v>1</v>
      </c>
      <c r="K4">
        <f>IF($E4=0, "NA", ROUND(SUM(services_v2_9!K4,services_v2_8!K4,services_v2_7!K4,services_v2_6!K4,services_v2_10!K4)/COUNT(services_v2_9!K4,services_v2_8!K4,services_v2_7!K4,services_v2_6!K4,services_v2_10!K4),0))</f>
        <v>1</v>
      </c>
      <c r="L4">
        <f>IF($E4=0, "NA", ROUND(SUM(services_v2_9!L4,services_v2_8!L4,services_v2_7!L4,services_v2_6!L4,services_v2_10!L4)/COUNT(services_v2_9!L4,services_v2_8!L4,services_v2_7!L4,services_v2_6!L4,services_v2_10!L4),0))</f>
        <v>1</v>
      </c>
      <c r="M4">
        <f>IF($E4=0, "NA", ROUND(SUM(services_v2_9!M4,services_v2_8!M4,services_v2_7!M4,services_v2_6!M4,services_v2_10!M4)/COUNT(services_v2_9!M4,services_v2_8!M4,services_v2_7!M4,services_v2_6!M4,services_v2_10!M4),0))</f>
        <v>1</v>
      </c>
      <c r="N4">
        <f>IF($E4=0, "NA", ROUND(SUM(services_v2_9!N4,services_v2_8!N4,services_v2_7!N4,services_v2_6!N4,services_v2_10!N4)/COUNT(services_v2_9!N4,services_v2_8!N4,services_v2_7!N4,services_v2_6!N4,services_v2_10!N4),0))</f>
        <v>1</v>
      </c>
      <c r="O4">
        <f>IF($E4=0, "NA", ROUND(SUM(services_v2_9!O4,services_v2_8!O4,services_v2_7!O4,services_v2_6!O4,services_v2_10!O4)/COUNT(services_v2_9!O4,services_v2_8!O4,services_v2_7!O4,services_v2_6!O4,services_v2_10!O4),0))</f>
        <v>1</v>
      </c>
    </row>
    <row r="5" spans="1:15" x14ac:dyDescent="0.25">
      <c r="A5" t="s">
        <v>16</v>
      </c>
      <c r="B5" t="s">
        <v>22</v>
      </c>
      <c r="C5">
        <v>0</v>
      </c>
      <c r="D5">
        <v>9.6568248271942139</v>
      </c>
      <c r="E5">
        <f>ROUND(SUM(services_v2_9!E5,services_v2_8!E5,services_v2_7!E5,services_v2_6!E5,services_v2_10!E5)/COUNT(services_v2_9!E5,services_v2_8!E5,services_v2_7!E5,services_v2_6!E5,services_v2_10!E5),0)</f>
        <v>1</v>
      </c>
      <c r="F5">
        <f>IF($E5=0, "NA", ROUND(SUM(services_v2_9!F5,services_v2_8!F5,services_v2_7!F5,services_v2_6!F5,services_v2_10!F5)/COUNT(services_v2_9!F5,services_v2_8!F5,services_v2_7!F5,services_v2_6!F5,services_v2_10!F5),0))</f>
        <v>1</v>
      </c>
      <c r="G5">
        <f>IF($E5=0, "NA", ROUND(SUM(services_v2_9!G5,services_v2_8!G5,services_v2_7!G5,services_v2_6!G5,services_v2_10!G5)/COUNT(services_v2_9!G5,services_v2_8!G5,services_v2_7!G5,services_v2_6!G5,services_v2_10!G5),0))</f>
        <v>1</v>
      </c>
      <c r="H5">
        <f>IF(AND(F5=1,G5=1),ROUND(SUM(services_v2_9!H5,services_v2_8!H5,services_v2_7!H5,services_v2_6!H5,services_v2_10!H5)/COUNT(services_v2_9!H5,services_v2_8!H5,services_v2_7!H5,services_v2_6!H5,services_v2_10!H5),0),"NA")</f>
        <v>1</v>
      </c>
      <c r="I5">
        <f>IF($E5=0, "NA", ROUND(SUM(services_v2_9!I5,services_v2_8!I5,services_v2_7!I5,services_v2_6!I5,services_v2_10!I5)/COUNT(services_v2_9!I5,services_v2_8!I5,services_v2_7!I5,services_v2_6!I5,services_v2_10!I5),0))</f>
        <v>1</v>
      </c>
      <c r="J5">
        <f>IF(F5=1,ROUND(SUM(services_v2_9!J5,services_v2_8!J5,services_v2_7!J5,services_v2_6!J5,services_v2_10!J5)/COUNT(services_v2_9!J5,services_v2_8!J5,services_v2_7!J5,services_v2_6!J5,services_v2_10!J5),0),"NA")</f>
        <v>0</v>
      </c>
      <c r="K5">
        <f>IF($E5=0, "NA", ROUND(SUM(services_v2_9!K5,services_v2_8!K5,services_v2_7!K5,services_v2_6!K5,services_v2_10!K5)/COUNT(services_v2_9!K5,services_v2_8!K5,services_v2_7!K5,services_v2_6!K5,services_v2_10!K5),0))</f>
        <v>1</v>
      </c>
      <c r="L5">
        <f>IF($E5=0, "NA", ROUND(SUM(services_v2_9!L5,services_v2_8!L5,services_v2_7!L5,services_v2_6!L5,services_v2_10!L5)/COUNT(services_v2_9!L5,services_v2_8!L5,services_v2_7!L5,services_v2_6!L5,services_v2_10!L5),0))</f>
        <v>1</v>
      </c>
      <c r="M5">
        <f>IF($E5=0, "NA", ROUND(SUM(services_v2_9!M5,services_v2_8!M5,services_v2_7!M5,services_v2_6!M5,services_v2_10!M5)/COUNT(services_v2_9!M5,services_v2_8!M5,services_v2_7!M5,services_v2_6!M5,services_v2_10!M5),0))</f>
        <v>1</v>
      </c>
      <c r="N5">
        <f>IF($E5=0, "NA", ROUND(SUM(services_v2_9!N5,services_v2_8!N5,services_v2_7!N5,services_v2_6!N5,services_v2_10!N5)/COUNT(services_v2_9!N5,services_v2_8!N5,services_v2_7!N5,services_v2_6!N5,services_v2_10!N5),0))</f>
        <v>1</v>
      </c>
      <c r="O5">
        <f>IF($E5=0, "NA", ROUND(SUM(services_v2_9!O5,services_v2_8!O5,services_v2_7!O5,services_v2_6!O5,services_v2_10!O5)/COUNT(services_v2_9!O5,services_v2_8!O5,services_v2_7!O5,services_v2_6!O5,services_v2_10!O5),0))</f>
        <v>1</v>
      </c>
    </row>
    <row r="6" spans="1:15" x14ac:dyDescent="0.25">
      <c r="A6" t="s">
        <v>16</v>
      </c>
      <c r="B6" t="s">
        <v>24</v>
      </c>
      <c r="C6">
        <v>0</v>
      </c>
      <c r="D6">
        <v>9.4693446159362793</v>
      </c>
      <c r="E6">
        <f>ROUND(SUM(services_v2_9!E6,services_v2_8!E6,services_v2_7!E6,services_v2_6!E6,services_v2_10!E6)/COUNT(services_v2_9!E6,services_v2_8!E6,services_v2_7!E6,services_v2_6!E6,services_v2_10!E6),0)</f>
        <v>1</v>
      </c>
      <c r="F6">
        <f>IF($E6=0, "NA", ROUND(SUM(services_v2_9!F6,services_v2_8!F6,services_v2_7!F6,services_v2_6!F6,services_v2_10!F6)/COUNT(services_v2_9!F6,services_v2_8!F6,services_v2_7!F6,services_v2_6!F6,services_v2_10!F6),0))</f>
        <v>1</v>
      </c>
      <c r="G6">
        <f>IF($E6=0, "NA", ROUND(SUM(services_v2_9!G6,services_v2_8!G6,services_v2_7!G6,services_v2_6!G6,services_v2_10!G6)/COUNT(services_v2_9!G6,services_v2_8!G6,services_v2_7!G6,services_v2_6!G6,services_v2_10!G6),0))</f>
        <v>1</v>
      </c>
      <c r="H6">
        <f>IF(AND(F6=1,G6=1),ROUND(SUM(services_v2_9!H6,services_v2_8!H6,services_v2_7!H6,services_v2_6!H6,services_v2_10!H6)/COUNT(services_v2_9!H6,services_v2_8!H6,services_v2_7!H6,services_v2_6!H6,services_v2_10!H6),0),"NA")</f>
        <v>1</v>
      </c>
      <c r="I6">
        <f>IF($E6=0, "NA", ROUND(SUM(services_v2_9!I6,services_v2_8!I6,services_v2_7!I6,services_v2_6!I6,services_v2_10!I6)/COUNT(services_v2_9!I6,services_v2_8!I6,services_v2_7!I6,services_v2_6!I6,services_v2_10!I6),0))</f>
        <v>1</v>
      </c>
      <c r="J6">
        <f>IF(F6=1,ROUND(SUM(services_v2_9!J6,services_v2_8!J6,services_v2_7!J6,services_v2_6!J6,services_v2_10!J6)/COUNT(services_v2_9!J6,services_v2_8!J6,services_v2_7!J6,services_v2_6!J6,services_v2_10!J6),0),"NA")</f>
        <v>1</v>
      </c>
      <c r="K6">
        <f>IF($E6=0, "NA", ROUND(SUM(services_v2_9!K6,services_v2_8!K6,services_v2_7!K6,services_v2_6!K6,services_v2_10!K6)/COUNT(services_v2_9!K6,services_v2_8!K6,services_v2_7!K6,services_v2_6!K6,services_v2_10!K6),0))</f>
        <v>1</v>
      </c>
      <c r="L6">
        <f>IF($E6=0, "NA", ROUND(SUM(services_v2_9!L6,services_v2_8!L6,services_v2_7!L6,services_v2_6!L6,services_v2_10!L6)/COUNT(services_v2_9!L6,services_v2_8!L6,services_v2_7!L6,services_v2_6!L6,services_v2_10!L6),0))</f>
        <v>1</v>
      </c>
      <c r="M6">
        <f>IF($E6=0, "NA", ROUND(SUM(services_v2_9!M6,services_v2_8!M6,services_v2_7!M6,services_v2_6!M6,services_v2_10!M6)/COUNT(services_v2_9!M6,services_v2_8!M6,services_v2_7!M6,services_v2_6!M6,services_v2_10!M6),0))</f>
        <v>1</v>
      </c>
      <c r="N6">
        <f>IF($E6=0, "NA", ROUND(SUM(services_v2_9!N6,services_v2_8!N6,services_v2_7!N6,services_v2_6!N6,services_v2_10!N6)/COUNT(services_v2_9!N6,services_v2_8!N6,services_v2_7!N6,services_v2_6!N6,services_v2_10!N6),0))</f>
        <v>1</v>
      </c>
      <c r="O6">
        <f>IF($E6=0, "NA", ROUND(SUM(services_v2_9!O6,services_v2_8!O6,services_v2_7!O6,services_v2_6!O6,services_v2_10!O6)/COUNT(services_v2_9!O6,services_v2_8!O6,services_v2_7!O6,services_v2_6!O6,services_v2_10!O6),0))</f>
        <v>1</v>
      </c>
    </row>
    <row r="7" spans="1:15" x14ac:dyDescent="0.25">
      <c r="A7" t="s">
        <v>16</v>
      </c>
      <c r="B7" t="s">
        <v>25</v>
      </c>
      <c r="C7">
        <v>0</v>
      </c>
      <c r="D7">
        <v>2.7998907566070561</v>
      </c>
      <c r="E7">
        <f>ROUND(SUM(services_v2_9!E7,services_v2_8!E7,services_v2_7!E7,services_v2_6!E7,services_v2_10!E7)/COUNT(services_v2_9!E7,services_v2_8!E7,services_v2_7!E7,services_v2_6!E7,services_v2_10!E7),0)</f>
        <v>1</v>
      </c>
      <c r="F7">
        <f>IF($E7=0, "NA", ROUND(SUM(services_v2_9!F7,services_v2_8!F7,services_v2_7!F7,services_v2_6!F7,services_v2_10!F7)/COUNT(services_v2_9!F7,services_v2_8!F7,services_v2_7!F7,services_v2_6!F7,services_v2_10!F7),0))</f>
        <v>1</v>
      </c>
      <c r="G7">
        <f>IF($E7=0, "NA", ROUND(SUM(services_v2_9!G7,services_v2_8!G7,services_v2_7!G7,services_v2_6!G7,services_v2_10!G7)/COUNT(services_v2_9!G7,services_v2_8!G7,services_v2_7!G7,services_v2_6!G7,services_v2_10!G7),0))</f>
        <v>1</v>
      </c>
      <c r="H7">
        <f>IF(AND(F7=1,G7=1),ROUND(SUM(services_v2_9!H7,services_v2_8!H7,services_v2_7!H7,services_v2_6!H7,services_v2_10!H7)/COUNT(services_v2_9!H7,services_v2_8!H7,services_v2_7!H7,services_v2_6!H7,services_v2_10!H7),0),"NA")</f>
        <v>1</v>
      </c>
      <c r="I7">
        <f>IF($E7=0, "NA", ROUND(SUM(services_v2_9!I7,services_v2_8!I7,services_v2_7!I7,services_v2_6!I7,services_v2_10!I7)/COUNT(services_v2_9!I7,services_v2_8!I7,services_v2_7!I7,services_v2_6!I7,services_v2_10!I7),0))</f>
        <v>1</v>
      </c>
      <c r="J7">
        <f>IF(F7=1,ROUND(SUM(services_v2_9!J7,services_v2_8!J7,services_v2_7!J7,services_v2_6!J7,services_v2_10!J7)/COUNT(services_v2_9!J7,services_v2_8!J7,services_v2_7!J7,services_v2_6!J7,services_v2_10!J7),0),"NA")</f>
        <v>1</v>
      </c>
      <c r="K7">
        <f>IF($E7=0, "NA", ROUND(SUM(services_v2_9!K7,services_v2_8!K7,services_v2_7!K7,services_v2_6!K7,services_v2_10!K7)/COUNT(services_v2_9!K7,services_v2_8!K7,services_v2_7!K7,services_v2_6!K7,services_v2_10!K7),0))</f>
        <v>1</v>
      </c>
      <c r="L7">
        <f>IF($E7=0, "NA", ROUND(SUM(services_v2_9!L7,services_v2_8!L7,services_v2_7!L7,services_v2_6!L7,services_v2_10!L7)/COUNT(services_v2_9!L7,services_v2_8!L7,services_v2_7!L7,services_v2_6!L7,services_v2_10!L7),0))</f>
        <v>1</v>
      </c>
      <c r="M7">
        <f>IF($E7=0, "NA", ROUND(SUM(services_v2_9!M7,services_v2_8!M7,services_v2_7!M7,services_v2_6!M7,services_v2_10!M7)/COUNT(services_v2_9!M7,services_v2_8!M7,services_v2_7!M7,services_v2_6!M7,services_v2_10!M7),0))</f>
        <v>1</v>
      </c>
      <c r="N7">
        <f>IF($E7=0, "NA", ROUND(SUM(services_v2_9!N7,services_v2_8!N7,services_v2_7!N7,services_v2_6!N7,services_v2_10!N7)/COUNT(services_v2_9!N7,services_v2_8!N7,services_v2_7!N7,services_v2_6!N7,services_v2_10!N7),0))</f>
        <v>1</v>
      </c>
      <c r="O7">
        <f>IF($E7=0, "NA", ROUND(SUM(services_v2_9!O7,services_v2_8!O7,services_v2_7!O7,services_v2_6!O7,services_v2_10!O7)/COUNT(services_v2_9!O7,services_v2_8!O7,services_v2_7!O7,services_v2_6!O7,services_v2_10!O7),0))</f>
        <v>1</v>
      </c>
    </row>
    <row r="8" spans="1:15" x14ac:dyDescent="0.25">
      <c r="A8" t="s">
        <v>16</v>
      </c>
      <c r="B8" t="s">
        <v>26</v>
      </c>
      <c r="C8">
        <v>0</v>
      </c>
      <c r="D8">
        <v>2.730435848236084</v>
      </c>
      <c r="E8">
        <f>ROUND(SUM(services_v2_9!E8,services_v2_8!E8,services_v2_7!E8,services_v2_6!E8,services_v2_10!E8)/COUNT(services_v2_9!E8,services_v2_8!E8,services_v2_7!E8,services_v2_6!E8,services_v2_10!E8),0)</f>
        <v>1</v>
      </c>
      <c r="F8">
        <f>IF($E8=0, "NA", ROUND(SUM(services_v2_9!F8,services_v2_8!F8,services_v2_7!F8,services_v2_6!F8,services_v2_10!F8)/COUNT(services_v2_9!F8,services_v2_8!F8,services_v2_7!F8,services_v2_6!F8,services_v2_10!F8),0))</f>
        <v>1</v>
      </c>
      <c r="G8">
        <f>IF($E8=0, "NA", ROUND(SUM(services_v2_9!G8,services_v2_8!G8,services_v2_7!G8,services_v2_6!G8,services_v2_10!G8)/COUNT(services_v2_9!G8,services_v2_8!G8,services_v2_7!G8,services_v2_6!G8,services_v2_10!G8),0))</f>
        <v>1</v>
      </c>
      <c r="H8">
        <f>IF(AND(F8=1,G8=1),ROUND(SUM(services_v2_9!H8,services_v2_8!H8,services_v2_7!H8,services_v2_6!H8,services_v2_10!H8)/COUNT(services_v2_9!H8,services_v2_8!H8,services_v2_7!H8,services_v2_6!H8,services_v2_10!H8),0),"NA")</f>
        <v>1</v>
      </c>
      <c r="I8">
        <f>IF($E8=0, "NA", ROUND(SUM(services_v2_9!I8,services_v2_8!I8,services_v2_7!I8,services_v2_6!I8,services_v2_10!I8)/COUNT(services_v2_9!I8,services_v2_8!I8,services_v2_7!I8,services_v2_6!I8,services_v2_10!I8),0))</f>
        <v>1</v>
      </c>
      <c r="J8">
        <f>IF(F8=1,ROUND(SUM(services_v2_9!J8,services_v2_8!J8,services_v2_7!J8,services_v2_6!J8,services_v2_10!J8)/COUNT(services_v2_9!J8,services_v2_8!J8,services_v2_7!J8,services_v2_6!J8,services_v2_10!J8),0),"NA")</f>
        <v>1</v>
      </c>
      <c r="K8">
        <f>IF($E8=0, "NA", ROUND(SUM(services_v2_9!K8,services_v2_8!K8,services_v2_7!K8,services_v2_6!K8,services_v2_10!K8)/COUNT(services_v2_9!K8,services_v2_8!K8,services_v2_7!K8,services_v2_6!K8,services_v2_10!K8),0))</f>
        <v>1</v>
      </c>
      <c r="L8">
        <f>IF($E8=0, "NA", ROUND(SUM(services_v2_9!L8,services_v2_8!L8,services_v2_7!L8,services_v2_6!L8,services_v2_10!L8)/COUNT(services_v2_9!L8,services_v2_8!L8,services_v2_7!L8,services_v2_6!L8,services_v2_10!L8),0))</f>
        <v>1</v>
      </c>
      <c r="M8">
        <f>IF($E8=0, "NA", ROUND(SUM(services_v2_9!M8,services_v2_8!M8,services_v2_7!M8,services_v2_6!M8,services_v2_10!M8)/COUNT(services_v2_9!M8,services_v2_8!M8,services_v2_7!M8,services_v2_6!M8,services_v2_10!M8),0))</f>
        <v>1</v>
      </c>
      <c r="N8">
        <f>IF($E8=0, "NA", ROUND(SUM(services_v2_9!N8,services_v2_8!N8,services_v2_7!N8,services_v2_6!N8,services_v2_10!N8)/COUNT(services_v2_9!N8,services_v2_8!N8,services_v2_7!N8,services_v2_6!N8,services_v2_10!N8),0))</f>
        <v>1</v>
      </c>
      <c r="O8">
        <f>IF($E8=0, "NA", ROUND(SUM(services_v2_9!O8,services_v2_8!O8,services_v2_7!O8,services_v2_6!O8,services_v2_10!O8)/COUNT(services_v2_9!O8,services_v2_8!O8,services_v2_7!O8,services_v2_6!O8,services_v2_10!O8),0))</f>
        <v>1</v>
      </c>
    </row>
    <row r="9" spans="1:15" x14ac:dyDescent="0.25">
      <c r="A9" t="s">
        <v>16</v>
      </c>
      <c r="B9" t="s">
        <v>27</v>
      </c>
      <c r="C9">
        <v>0</v>
      </c>
      <c r="D9">
        <v>2.8494665622711182</v>
      </c>
      <c r="E9">
        <f>ROUND(SUM(services_v2_9!E9,services_v2_8!E9,services_v2_7!E9,services_v2_6!E9,services_v2_10!E9)/COUNT(services_v2_9!E9,services_v2_8!E9,services_v2_7!E9,services_v2_6!E9,services_v2_10!E9),0)</f>
        <v>1</v>
      </c>
      <c r="F9">
        <f>IF($E9=0, "NA", ROUND(SUM(services_v2_9!F9,services_v2_8!F9,services_v2_7!F9,services_v2_6!F9,services_v2_10!F9)/COUNT(services_v2_9!F9,services_v2_8!F9,services_v2_7!F9,services_v2_6!F9,services_v2_10!F9),0))</f>
        <v>1</v>
      </c>
      <c r="G9">
        <f>IF($E9=0, "NA", ROUND(SUM(services_v2_9!G9,services_v2_8!G9,services_v2_7!G9,services_v2_6!G9,services_v2_10!G9)/COUNT(services_v2_9!G9,services_v2_8!G9,services_v2_7!G9,services_v2_6!G9,services_v2_10!G9),0))</f>
        <v>1</v>
      </c>
      <c r="H9">
        <f>IF(AND(F9=1,G9=1),ROUND(SUM(services_v2_9!H9,services_v2_8!H9,services_v2_7!H9,services_v2_6!H9,services_v2_10!H9)/COUNT(services_v2_9!H9,services_v2_8!H9,services_v2_7!H9,services_v2_6!H9,services_v2_10!H9),0),"NA")</f>
        <v>1</v>
      </c>
      <c r="I9">
        <f>IF($E9=0, "NA", ROUND(SUM(services_v2_9!I9,services_v2_8!I9,services_v2_7!I9,services_v2_6!I9,services_v2_10!I9)/COUNT(services_v2_9!I9,services_v2_8!I9,services_v2_7!I9,services_v2_6!I9,services_v2_10!I9),0))</f>
        <v>1</v>
      </c>
      <c r="J9">
        <f>IF(F9=1,ROUND(SUM(services_v2_9!J9,services_v2_8!J9,services_v2_7!J9,services_v2_6!J9,services_v2_10!J9)/COUNT(services_v2_9!J9,services_v2_8!J9,services_v2_7!J9,services_v2_6!J9,services_v2_10!J9),0),"NA")</f>
        <v>1</v>
      </c>
      <c r="K9">
        <f>IF($E9=0, "NA", ROUND(SUM(services_v2_9!K9,services_v2_8!K9,services_v2_7!K9,services_v2_6!K9,services_v2_10!K9)/COUNT(services_v2_9!K9,services_v2_8!K9,services_v2_7!K9,services_v2_6!K9,services_v2_10!K9),0))</f>
        <v>1</v>
      </c>
      <c r="L9">
        <f>IF($E9=0, "NA", ROUND(SUM(services_v2_9!L9,services_v2_8!L9,services_v2_7!L9,services_v2_6!L9,services_v2_10!L9)/COUNT(services_v2_9!L9,services_v2_8!L9,services_v2_7!L9,services_v2_6!L9,services_v2_10!L9),0))</f>
        <v>1</v>
      </c>
      <c r="M9">
        <f>IF($E9=0, "NA", ROUND(SUM(services_v2_9!M9,services_v2_8!M9,services_v2_7!M9,services_v2_6!M9,services_v2_10!M9)/COUNT(services_v2_9!M9,services_v2_8!M9,services_v2_7!M9,services_v2_6!M9,services_v2_10!M9),0))</f>
        <v>1</v>
      </c>
      <c r="N9">
        <f>IF($E9=0, "NA", ROUND(SUM(services_v2_9!N9,services_v2_8!N9,services_v2_7!N9,services_v2_6!N9,services_v2_10!N9)/COUNT(services_v2_9!N9,services_v2_8!N9,services_v2_7!N9,services_v2_6!N9,services_v2_10!N9),0))</f>
        <v>1</v>
      </c>
      <c r="O9">
        <f>IF($E9=0, "NA", ROUND(SUM(services_v2_9!O9,services_v2_8!O9,services_v2_7!O9,services_v2_6!O9,services_v2_10!O9)/COUNT(services_v2_9!O9,services_v2_8!O9,services_v2_7!O9,services_v2_6!O9,services_v2_10!O9),0))</f>
        <v>1</v>
      </c>
    </row>
    <row r="10" spans="1:15" x14ac:dyDescent="0.25">
      <c r="A10" t="s">
        <v>16</v>
      </c>
      <c r="B10" t="s">
        <v>28</v>
      </c>
      <c r="C10">
        <v>0</v>
      </c>
      <c r="D10">
        <v>9.2154850959777832</v>
      </c>
      <c r="E10">
        <f>ROUND(SUM(services_v2_9!E10,services_v2_8!E10,services_v2_7!E10,services_v2_6!E10,services_v2_10!E10)/COUNT(services_v2_9!E10,services_v2_8!E10,services_v2_7!E10,services_v2_6!E10,services_v2_10!E10),0)</f>
        <v>1</v>
      </c>
      <c r="F10">
        <f>IF($E10=0, "NA", ROUND(SUM(services_v2_9!F10,services_v2_8!F10,services_v2_7!F10,services_v2_6!F10,services_v2_10!F10)/COUNT(services_v2_9!F10,services_v2_8!F10,services_v2_7!F10,services_v2_6!F10,services_v2_10!F10),0))</f>
        <v>1</v>
      </c>
      <c r="G10">
        <f>IF($E10=0, "NA", ROUND(SUM(services_v2_9!G10,services_v2_8!G10,services_v2_7!G10,services_v2_6!G10,services_v2_10!G10)/COUNT(services_v2_9!G10,services_v2_8!G10,services_v2_7!G10,services_v2_6!G10,services_v2_10!G10),0))</f>
        <v>1</v>
      </c>
      <c r="H10">
        <f>IF(AND(F10=1,G10=1),ROUND(SUM(services_v2_9!H10,services_v2_8!H10,services_v2_7!H10,services_v2_6!H10,services_v2_10!H10)/COUNT(services_v2_9!H10,services_v2_8!H10,services_v2_7!H10,services_v2_6!H10,services_v2_10!H10),0),"NA")</f>
        <v>1</v>
      </c>
      <c r="I10">
        <f>IF($E10=0, "NA", ROUND(SUM(services_v2_9!I10,services_v2_8!I10,services_v2_7!I10,services_v2_6!I10,services_v2_10!I10)/COUNT(services_v2_9!I10,services_v2_8!I10,services_v2_7!I10,services_v2_6!I10,services_v2_10!I10),0))</f>
        <v>1</v>
      </c>
      <c r="J10">
        <f>IF(F10=1,ROUND(SUM(services_v2_9!J10,services_v2_8!J10,services_v2_7!J10,services_v2_6!J10,services_v2_10!J10)/COUNT(services_v2_9!J10,services_v2_8!J10,services_v2_7!J10,services_v2_6!J10,services_v2_10!J10),0),"NA")</f>
        <v>1</v>
      </c>
      <c r="K10">
        <f>IF($E10=0, "NA", ROUND(SUM(services_v2_9!K10,services_v2_8!K10,services_v2_7!K10,services_v2_6!K10,services_v2_10!K10)/COUNT(services_v2_9!K10,services_v2_8!K10,services_v2_7!K10,services_v2_6!K10,services_v2_10!K10),0))</f>
        <v>1</v>
      </c>
      <c r="L10">
        <f>IF($E10=0, "NA", ROUND(SUM(services_v2_9!L10,services_v2_8!L10,services_v2_7!L10,services_v2_6!L10,services_v2_10!L10)/COUNT(services_v2_9!L10,services_v2_8!L10,services_v2_7!L10,services_v2_6!L10,services_v2_10!L10),0))</f>
        <v>1</v>
      </c>
      <c r="M10">
        <f>IF($E10=0, "NA", ROUND(SUM(services_v2_9!M10,services_v2_8!M10,services_v2_7!M10,services_v2_6!M10,services_v2_10!M10)/COUNT(services_v2_9!M10,services_v2_8!M10,services_v2_7!M10,services_v2_6!M10,services_v2_10!M10),0))</f>
        <v>1</v>
      </c>
      <c r="N10">
        <f>IF($E10=0, "NA", ROUND(SUM(services_v2_9!N10,services_v2_8!N10,services_v2_7!N10,services_v2_6!N10,services_v2_10!N10)/COUNT(services_v2_9!N10,services_v2_8!N10,services_v2_7!N10,services_v2_6!N10,services_v2_10!N10),0))</f>
        <v>1</v>
      </c>
      <c r="O10">
        <f>IF($E10=0, "NA", ROUND(SUM(services_v2_9!O10,services_v2_8!O10,services_v2_7!O10,services_v2_6!O10,services_v2_10!O10)/COUNT(services_v2_9!O10,services_v2_8!O10,services_v2_7!O10,services_v2_6!O10,services_v2_10!O10),0))</f>
        <v>1</v>
      </c>
    </row>
    <row r="11" spans="1:15" x14ac:dyDescent="0.25">
      <c r="A11" t="s">
        <v>16</v>
      </c>
      <c r="B11" t="s">
        <v>29</v>
      </c>
      <c r="C11">
        <v>0</v>
      </c>
      <c r="D11">
        <v>10.23229765892029</v>
      </c>
      <c r="E11">
        <f>ROUND(SUM(services_v2_9!E11,services_v2_8!E11,services_v2_7!E11,services_v2_6!E11,services_v2_10!E11)/COUNT(services_v2_9!E11,services_v2_8!E11,services_v2_7!E11,services_v2_6!E11,services_v2_10!E11),0)</f>
        <v>0</v>
      </c>
      <c r="F11" t="str">
        <f>IF($E11=0, "NA", ROUND(SUM(services_v2_9!F11,services_v2_8!F11,services_v2_7!F11,services_v2_6!F11,services_v2_10!F11)/COUNT(services_v2_9!F11,services_v2_8!F11,services_v2_7!F11,services_v2_6!F11,services_v2_10!F11),0))</f>
        <v>NA</v>
      </c>
      <c r="G11" t="str">
        <f>IF($E11=0, "NA", ROUND(SUM(services_v2_9!G11,services_v2_8!G11,services_v2_7!G11,services_v2_6!G11,services_v2_10!G11)/COUNT(services_v2_9!G11,services_v2_8!G11,services_v2_7!G11,services_v2_6!G11,services_v2_10!G11),0))</f>
        <v>NA</v>
      </c>
      <c r="H11" t="str">
        <f>IF(AND(F11=1,G11=1),ROUND(SUM(services_v2_9!H11,services_v2_8!H11,services_v2_7!H11,services_v2_6!H11,services_v2_10!H11)/COUNT(services_v2_9!H11,services_v2_8!H11,services_v2_7!H11,services_v2_6!H11,services_v2_10!H11),0),"NA")</f>
        <v>NA</v>
      </c>
      <c r="I11" t="str">
        <f>IF($E11=0, "NA", ROUND(SUM(services_v2_9!I11,services_v2_8!I11,services_v2_7!I11,services_v2_6!I11,services_v2_10!I11)/COUNT(services_v2_9!I11,services_v2_8!I11,services_v2_7!I11,services_v2_6!I11,services_v2_10!I11),0))</f>
        <v>NA</v>
      </c>
      <c r="J11" t="str">
        <f>IF(F11=1,ROUND(SUM(services_v2_9!J11,services_v2_8!J11,services_v2_7!J11,services_v2_6!J11,services_v2_10!J11)/COUNT(services_v2_9!J11,services_v2_8!J11,services_v2_7!J11,services_v2_6!J11,services_v2_10!J11),0),"NA")</f>
        <v>NA</v>
      </c>
      <c r="K11" t="str">
        <f>IF($E11=0, "NA", ROUND(SUM(services_v2_9!K11,services_v2_8!K11,services_v2_7!K11,services_v2_6!K11,services_v2_10!K11)/COUNT(services_v2_9!K11,services_v2_8!K11,services_v2_7!K11,services_v2_6!K11,services_v2_10!K11),0))</f>
        <v>NA</v>
      </c>
      <c r="L11" t="str">
        <f>IF($E11=0, "NA", ROUND(SUM(services_v2_9!L11,services_v2_8!L11,services_v2_7!L11,services_v2_6!L11,services_v2_10!L11)/COUNT(services_v2_9!L11,services_v2_8!L11,services_v2_7!L11,services_v2_6!L11,services_v2_10!L11),0))</f>
        <v>NA</v>
      </c>
      <c r="M11" t="str">
        <f>IF($E11=0, "NA", ROUND(SUM(services_v2_9!M11,services_v2_8!M11,services_v2_7!M11,services_v2_6!M11,services_v2_10!M11)/COUNT(services_v2_9!M11,services_v2_8!M11,services_v2_7!M11,services_v2_6!M11,services_v2_10!M11),0))</f>
        <v>NA</v>
      </c>
      <c r="N11" t="str">
        <f>IF($E11=0, "NA", ROUND(SUM(services_v2_9!N11,services_v2_8!N11,services_v2_7!N11,services_v2_6!N11,services_v2_10!N11)/COUNT(services_v2_9!N11,services_v2_8!N11,services_v2_7!N11,services_v2_6!N11,services_v2_10!N11),0))</f>
        <v>NA</v>
      </c>
      <c r="O11" t="str">
        <f>IF($E11=0, "NA", ROUND(SUM(services_v2_9!O11,services_v2_8!O11,services_v2_7!O11,services_v2_6!O11,services_v2_10!O11)/COUNT(services_v2_9!O11,services_v2_8!O11,services_v2_7!O11,services_v2_6!O11,services_v2_10!O11),0))</f>
        <v>NA</v>
      </c>
    </row>
    <row r="12" spans="1:15" x14ac:dyDescent="0.25">
      <c r="A12" t="s">
        <v>16</v>
      </c>
      <c r="B12" t="s">
        <v>31</v>
      </c>
      <c r="C12">
        <v>0</v>
      </c>
      <c r="D12">
        <v>11.36864566802979</v>
      </c>
      <c r="E12">
        <f>ROUND(SUM(services_v2_9!E12,services_v2_8!E12,services_v2_7!E12,services_v2_6!E12,services_v2_10!E12)/COUNT(services_v2_9!E12,services_v2_8!E12,services_v2_7!E12,services_v2_6!E12,services_v2_10!E12),0)</f>
        <v>1</v>
      </c>
      <c r="F12">
        <f>IF($E12=0, "NA", ROUND(SUM(services_v2_9!F12,services_v2_8!F12,services_v2_7!F12,services_v2_6!F12,services_v2_10!F12)/COUNT(services_v2_9!F12,services_v2_8!F12,services_v2_7!F12,services_v2_6!F12,services_v2_10!F12),0))</f>
        <v>1</v>
      </c>
      <c r="G12">
        <f>IF($E12=0, "NA", ROUND(SUM(services_v2_9!G12,services_v2_8!G12,services_v2_7!G12,services_v2_6!G12,services_v2_10!G12)/COUNT(services_v2_9!G12,services_v2_8!G12,services_v2_7!G12,services_v2_6!G12,services_v2_10!G12),0))</f>
        <v>1</v>
      </c>
      <c r="H12">
        <f>IF(AND(F12=1,G12=1),ROUND(SUM(services_v2_9!H12,services_v2_8!H12,services_v2_7!H12,services_v2_6!H12,services_v2_10!H12)/COUNT(services_v2_9!H12,services_v2_8!H12,services_v2_7!H12,services_v2_6!H12,services_v2_10!H12),0),"NA")</f>
        <v>0</v>
      </c>
      <c r="I12">
        <f>IF($E12=0, "NA", ROUND(SUM(services_v2_9!I12,services_v2_8!I12,services_v2_7!I12,services_v2_6!I12,services_v2_10!I12)/COUNT(services_v2_9!I12,services_v2_8!I12,services_v2_7!I12,services_v2_6!I12,services_v2_10!I12),0))</f>
        <v>1</v>
      </c>
      <c r="J12">
        <f>IF(F12=1,ROUND(SUM(services_v2_9!J12,services_v2_8!J12,services_v2_7!J12,services_v2_6!J12,services_v2_10!J12)/COUNT(services_v2_9!J12,services_v2_8!J12,services_v2_7!J12,services_v2_6!J12,services_v2_10!J12),0),"NA")</f>
        <v>1</v>
      </c>
      <c r="K12">
        <f>IF($E12=0, "NA", ROUND(SUM(services_v2_9!K12,services_v2_8!K12,services_v2_7!K12,services_v2_6!K12,services_v2_10!K12)/COUNT(services_v2_9!K12,services_v2_8!K12,services_v2_7!K12,services_v2_6!K12,services_v2_10!K12),0))</f>
        <v>1</v>
      </c>
      <c r="L12">
        <f>IF($E12=0, "NA", ROUND(SUM(services_v2_9!L12,services_v2_8!L12,services_v2_7!L12,services_v2_6!L12,services_v2_10!L12)/COUNT(services_v2_9!L12,services_v2_8!L12,services_v2_7!L12,services_v2_6!L12,services_v2_10!L12),0))</f>
        <v>1</v>
      </c>
      <c r="M12">
        <f>IF($E12=0, "NA", ROUND(SUM(services_v2_9!M12,services_v2_8!M12,services_v2_7!M12,services_v2_6!M12,services_v2_10!M12)/COUNT(services_v2_9!M12,services_v2_8!M12,services_v2_7!M12,services_v2_6!M12,services_v2_10!M12),0))</f>
        <v>1</v>
      </c>
      <c r="N12">
        <f>IF($E12=0, "NA", ROUND(SUM(services_v2_9!N12,services_v2_8!N12,services_v2_7!N12,services_v2_6!N12,services_v2_10!N12)/COUNT(services_v2_9!N12,services_v2_8!N12,services_v2_7!N12,services_v2_6!N12,services_v2_10!N12),0))</f>
        <v>1</v>
      </c>
      <c r="O12">
        <f>IF($E12=0, "NA", ROUND(SUM(services_v2_9!O12,services_v2_8!O12,services_v2_7!O12,services_v2_6!O12,services_v2_10!O12)/COUNT(services_v2_9!O12,services_v2_8!O12,services_v2_7!O12,services_v2_6!O12,services_v2_10!O12),0))</f>
        <v>1</v>
      </c>
    </row>
    <row r="13" spans="1:15" x14ac:dyDescent="0.25">
      <c r="A13" t="s">
        <v>16</v>
      </c>
      <c r="B13" t="s">
        <v>33</v>
      </c>
      <c r="C13">
        <v>0</v>
      </c>
      <c r="D13">
        <v>9.8009011745452881</v>
      </c>
      <c r="E13">
        <f>ROUND(SUM(services_v2_9!E13,services_v2_8!E13,services_v2_7!E13,services_v2_6!E13,services_v2_10!E13)/COUNT(services_v2_9!E13,services_v2_8!E13,services_v2_7!E13,services_v2_6!E13,services_v2_10!E13),0)</f>
        <v>0</v>
      </c>
      <c r="F13" t="str">
        <f>IF($E13=0, "NA", ROUND(SUM(services_v2_9!F13,services_v2_8!F13,services_v2_7!F13,services_v2_6!F13,services_v2_10!F13)/COUNT(services_v2_9!F13,services_v2_8!F13,services_v2_7!F13,services_v2_6!F13,services_v2_10!F13),0))</f>
        <v>NA</v>
      </c>
      <c r="G13" t="str">
        <f>IF($E13=0, "NA", ROUND(SUM(services_v2_9!G13,services_v2_8!G13,services_v2_7!G13,services_v2_6!G13,services_v2_10!G13)/COUNT(services_v2_9!G13,services_v2_8!G13,services_v2_7!G13,services_v2_6!G13,services_v2_10!G13),0))</f>
        <v>NA</v>
      </c>
      <c r="H13" t="str">
        <f>IF(AND(F13=1,G13=1),ROUND(SUM(services_v2_9!H13,services_v2_8!H13,services_v2_7!H13,services_v2_6!H13,services_v2_10!H13)/COUNT(services_v2_9!H13,services_v2_8!H13,services_v2_7!H13,services_v2_6!H13,services_v2_10!H13),0),"NA")</f>
        <v>NA</v>
      </c>
      <c r="I13" t="str">
        <f>IF($E13=0, "NA", ROUND(SUM(services_v2_9!I13,services_v2_8!I13,services_v2_7!I13,services_v2_6!I13,services_v2_10!I13)/COUNT(services_v2_9!I13,services_v2_8!I13,services_v2_7!I13,services_v2_6!I13,services_v2_10!I13),0))</f>
        <v>NA</v>
      </c>
      <c r="J13" t="str">
        <f>IF(F13=1,ROUND(SUM(services_v2_9!J13,services_v2_8!J13,services_v2_7!J13,services_v2_6!J13,services_v2_10!J13)/COUNT(services_v2_9!J13,services_v2_8!J13,services_v2_7!J13,services_v2_6!J13,services_v2_10!J13),0),"NA")</f>
        <v>NA</v>
      </c>
      <c r="K13" t="str">
        <f>IF($E13=0, "NA", ROUND(SUM(services_v2_9!K13,services_v2_8!K13,services_v2_7!K13,services_v2_6!K13,services_v2_10!K13)/COUNT(services_v2_9!K13,services_v2_8!K13,services_v2_7!K13,services_v2_6!K13,services_v2_10!K13),0))</f>
        <v>NA</v>
      </c>
      <c r="L13" t="str">
        <f>IF($E13=0, "NA", ROUND(SUM(services_v2_9!L13,services_v2_8!L13,services_v2_7!L13,services_v2_6!L13,services_v2_10!L13)/COUNT(services_v2_9!L13,services_v2_8!L13,services_v2_7!L13,services_v2_6!L13,services_v2_10!L13),0))</f>
        <v>NA</v>
      </c>
      <c r="M13" t="str">
        <f>IF($E13=0, "NA", ROUND(SUM(services_v2_9!M13,services_v2_8!M13,services_v2_7!M13,services_v2_6!M13,services_v2_10!M13)/COUNT(services_v2_9!M13,services_v2_8!M13,services_v2_7!M13,services_v2_6!M13,services_v2_10!M13),0))</f>
        <v>NA</v>
      </c>
      <c r="N13" t="str">
        <f>IF($E13=0, "NA", ROUND(SUM(services_v2_9!N13,services_v2_8!N13,services_v2_7!N13,services_v2_6!N13,services_v2_10!N13)/COUNT(services_v2_9!N13,services_v2_8!N13,services_v2_7!N13,services_v2_6!N13,services_v2_10!N13),0))</f>
        <v>NA</v>
      </c>
      <c r="O13" t="str">
        <f>IF($E13=0, "NA", ROUND(SUM(services_v2_9!O13,services_v2_8!O13,services_v2_7!O13,services_v2_6!O13,services_v2_10!O13)/COUNT(services_v2_9!O13,services_v2_8!O13,services_v2_7!O13,services_v2_6!O13,services_v2_10!O13),0))</f>
        <v>NA</v>
      </c>
    </row>
    <row r="14" spans="1:15" x14ac:dyDescent="0.25">
      <c r="A14" t="s">
        <v>16</v>
      </c>
      <c r="B14" t="s">
        <v>35</v>
      </c>
      <c r="C14">
        <v>0</v>
      </c>
      <c r="D14">
        <v>2.772072553634644</v>
      </c>
      <c r="E14">
        <f>ROUND(SUM(services_v2_9!E14,services_v2_8!E14,services_v2_7!E14,services_v2_6!E14,services_v2_10!E14)/COUNT(services_v2_9!E14,services_v2_8!E14,services_v2_7!E14,services_v2_6!E14,services_v2_10!E14),0)</f>
        <v>1</v>
      </c>
      <c r="F14">
        <f>IF($E14=0, "NA", ROUND(SUM(services_v2_9!F14,services_v2_8!F14,services_v2_7!F14,services_v2_6!F14,services_v2_10!F14)/COUNT(services_v2_9!F14,services_v2_8!F14,services_v2_7!F14,services_v2_6!F14,services_v2_10!F14),0))</f>
        <v>1</v>
      </c>
      <c r="G14">
        <f>IF($E14=0, "NA", ROUND(SUM(services_v2_9!G14,services_v2_8!G14,services_v2_7!G14,services_v2_6!G14,services_v2_10!G14)/COUNT(services_v2_9!G14,services_v2_8!G14,services_v2_7!G14,services_v2_6!G14,services_v2_10!G14),0))</f>
        <v>1</v>
      </c>
      <c r="H14">
        <f>IF(AND(F14=1,G14=1),ROUND(SUM(services_v2_9!H14,services_v2_8!H14,services_v2_7!H14,services_v2_6!H14,services_v2_10!H14)/COUNT(services_v2_9!H14,services_v2_8!H14,services_v2_7!H14,services_v2_6!H14,services_v2_10!H14),0),"NA")</f>
        <v>1</v>
      </c>
      <c r="I14">
        <f>IF($E14=0, "NA", ROUND(SUM(services_v2_9!I14,services_v2_8!I14,services_v2_7!I14,services_v2_6!I14,services_v2_10!I14)/COUNT(services_v2_9!I14,services_v2_8!I14,services_v2_7!I14,services_v2_6!I14,services_v2_10!I14),0))</f>
        <v>1</v>
      </c>
      <c r="J14">
        <f>IF(F14=1,ROUND(SUM(services_v2_9!J14,services_v2_8!J14,services_v2_7!J14,services_v2_6!J14,services_v2_10!J14)/COUNT(services_v2_9!J14,services_v2_8!J14,services_v2_7!J14,services_v2_6!J14,services_v2_10!J14),0),"NA")</f>
        <v>1</v>
      </c>
      <c r="K14">
        <f>IF($E14=0, "NA", ROUND(SUM(services_v2_9!K14,services_v2_8!K14,services_v2_7!K14,services_v2_6!K14,services_v2_10!K14)/COUNT(services_v2_9!K14,services_v2_8!K14,services_v2_7!K14,services_v2_6!K14,services_v2_10!K14),0))</f>
        <v>1</v>
      </c>
      <c r="L14">
        <f>IF($E14=0, "NA", ROUND(SUM(services_v2_9!L14,services_v2_8!L14,services_v2_7!L14,services_v2_6!L14,services_v2_10!L14)/COUNT(services_v2_9!L14,services_v2_8!L14,services_v2_7!L14,services_v2_6!L14,services_v2_10!L14),0))</f>
        <v>1</v>
      </c>
      <c r="M14">
        <f>IF($E14=0, "NA", ROUND(SUM(services_v2_9!M14,services_v2_8!M14,services_v2_7!M14,services_v2_6!M14,services_v2_10!M14)/COUNT(services_v2_9!M14,services_v2_8!M14,services_v2_7!M14,services_v2_6!M14,services_v2_10!M14),0))</f>
        <v>1</v>
      </c>
      <c r="N14">
        <f>IF($E14=0, "NA", ROUND(SUM(services_v2_9!N14,services_v2_8!N14,services_v2_7!N14,services_v2_6!N14,services_v2_10!N14)/COUNT(services_v2_9!N14,services_v2_8!N14,services_v2_7!N14,services_v2_6!N14,services_v2_10!N14),0))</f>
        <v>1</v>
      </c>
      <c r="O14">
        <f>IF($E14=0, "NA", ROUND(SUM(services_v2_9!O14,services_v2_8!O14,services_v2_7!O14,services_v2_6!O14,services_v2_10!O14)/COUNT(services_v2_9!O14,services_v2_8!O14,services_v2_7!O14,services_v2_6!O14,services_v2_10!O14),0))</f>
        <v>1</v>
      </c>
    </row>
    <row r="15" spans="1:15" x14ac:dyDescent="0.25">
      <c r="A15" t="s">
        <v>16</v>
      </c>
      <c r="B15" t="s">
        <v>36</v>
      </c>
      <c r="C15">
        <v>0</v>
      </c>
      <c r="D15">
        <v>2.7717733383178711</v>
      </c>
      <c r="E15">
        <f>ROUND(SUM(services_v2_9!E15,services_v2_8!E15,services_v2_7!E15,services_v2_6!E15,services_v2_10!E15)/COUNT(services_v2_9!E15,services_v2_8!E15,services_v2_7!E15,services_v2_6!E15,services_v2_10!E15),0)</f>
        <v>1</v>
      </c>
      <c r="F15">
        <f>IF($E15=0, "NA", ROUND(SUM(services_v2_9!F15,services_v2_8!F15,services_v2_7!F15,services_v2_6!F15,services_v2_10!F15)/COUNT(services_v2_9!F15,services_v2_8!F15,services_v2_7!F15,services_v2_6!F15,services_v2_10!F15),0))</f>
        <v>1</v>
      </c>
      <c r="G15">
        <f>IF($E15=0, "NA", ROUND(SUM(services_v2_9!G15,services_v2_8!G15,services_v2_7!G15,services_v2_6!G15,services_v2_10!G15)/COUNT(services_v2_9!G15,services_v2_8!G15,services_v2_7!G15,services_v2_6!G15,services_v2_10!G15),0))</f>
        <v>1</v>
      </c>
      <c r="H15">
        <f>IF(AND(F15=1,G15=1),ROUND(SUM(services_v2_9!H15,services_v2_8!H15,services_v2_7!H15,services_v2_6!H15,services_v2_10!H15)/COUNT(services_v2_9!H15,services_v2_8!H15,services_v2_7!H15,services_v2_6!H15,services_v2_10!H15),0),"NA")</f>
        <v>1</v>
      </c>
      <c r="I15">
        <f>IF($E15=0, "NA", ROUND(SUM(services_v2_9!I15,services_v2_8!I15,services_v2_7!I15,services_v2_6!I15,services_v2_10!I15)/COUNT(services_v2_9!I15,services_v2_8!I15,services_v2_7!I15,services_v2_6!I15,services_v2_10!I15),0))</f>
        <v>1</v>
      </c>
      <c r="J15">
        <f>IF(F15=1,ROUND(SUM(services_v2_9!J15,services_v2_8!J15,services_v2_7!J15,services_v2_6!J15,services_v2_10!J15)/COUNT(services_v2_9!J15,services_v2_8!J15,services_v2_7!J15,services_v2_6!J15,services_v2_10!J15),0),"NA")</f>
        <v>1</v>
      </c>
      <c r="K15">
        <f>IF($E15=0, "NA", ROUND(SUM(services_v2_9!K15,services_v2_8!K15,services_v2_7!K15,services_v2_6!K15,services_v2_10!K15)/COUNT(services_v2_9!K15,services_v2_8!K15,services_v2_7!K15,services_v2_6!K15,services_v2_10!K15),0))</f>
        <v>1</v>
      </c>
      <c r="L15">
        <f>IF($E15=0, "NA", ROUND(SUM(services_v2_9!L15,services_v2_8!L15,services_v2_7!L15,services_v2_6!L15,services_v2_10!L15)/COUNT(services_v2_9!L15,services_v2_8!L15,services_v2_7!L15,services_v2_6!L15,services_v2_10!L15),0))</f>
        <v>1</v>
      </c>
      <c r="M15">
        <f>IF($E15=0, "NA", ROUND(SUM(services_v2_9!M15,services_v2_8!M15,services_v2_7!M15,services_v2_6!M15,services_v2_10!M15)/COUNT(services_v2_9!M15,services_v2_8!M15,services_v2_7!M15,services_v2_6!M15,services_v2_10!M15),0))</f>
        <v>1</v>
      </c>
      <c r="N15">
        <f>IF($E15=0, "NA", ROUND(SUM(services_v2_9!N15,services_v2_8!N15,services_v2_7!N15,services_v2_6!N15,services_v2_10!N15)/COUNT(services_v2_9!N15,services_v2_8!N15,services_v2_7!N15,services_v2_6!N15,services_v2_10!N15),0))</f>
        <v>1</v>
      </c>
      <c r="O15">
        <f>IF($E15=0, "NA", ROUND(SUM(services_v2_9!O15,services_v2_8!O15,services_v2_7!O15,services_v2_6!O15,services_v2_10!O15)/COUNT(services_v2_9!O15,services_v2_8!O15,services_v2_7!O15,services_v2_6!O15,services_v2_10!O15),0))</f>
        <v>1</v>
      </c>
    </row>
    <row r="16" spans="1:15" x14ac:dyDescent="0.25">
      <c r="A16" t="s">
        <v>16</v>
      </c>
      <c r="B16" t="s">
        <v>38</v>
      </c>
      <c r="C16">
        <v>0</v>
      </c>
      <c r="D16">
        <v>7.8065428733825684</v>
      </c>
      <c r="E16">
        <f>ROUND(SUM(services_v2_9!E16,services_v2_8!E16,services_v2_7!E16,services_v2_6!E16,services_v2_10!E16)/COUNT(services_v2_9!E16,services_v2_8!E16,services_v2_7!E16,services_v2_6!E16,services_v2_10!E16),0)</f>
        <v>1</v>
      </c>
      <c r="F16">
        <f>IF($E16=0, "NA", ROUND(SUM(services_v2_9!F16,services_v2_8!F16,services_v2_7!F16,services_v2_6!F16,services_v2_10!F16)/COUNT(services_v2_9!F16,services_v2_8!F16,services_v2_7!F16,services_v2_6!F16,services_v2_10!F16),0))</f>
        <v>1</v>
      </c>
      <c r="G16">
        <f>IF($E16=0, "NA", ROUND(SUM(services_v2_9!G16,services_v2_8!G16,services_v2_7!G16,services_v2_6!G16,services_v2_10!G16)/COUNT(services_v2_9!G16,services_v2_8!G16,services_v2_7!G16,services_v2_6!G16,services_v2_10!G16),0))</f>
        <v>0</v>
      </c>
      <c r="H16" t="str">
        <f>IF(AND(F16=1,G16=1),ROUND(SUM(services_v2_9!H16,services_v2_8!H16,services_v2_7!H16,services_v2_6!H16,services_v2_10!H16)/COUNT(services_v2_9!H16,services_v2_8!H16,services_v2_7!H16,services_v2_6!H16,services_v2_10!H16),0),"NA")</f>
        <v>NA</v>
      </c>
      <c r="I16">
        <f>IF($E16=0, "NA", ROUND(SUM(services_v2_9!I16,services_v2_8!I16,services_v2_7!I16,services_v2_6!I16,services_v2_10!I16)/COUNT(services_v2_9!I16,services_v2_8!I16,services_v2_7!I16,services_v2_6!I16,services_v2_10!I16),0))</f>
        <v>1</v>
      </c>
      <c r="J16">
        <f>IF(F16=1,ROUND(SUM(services_v2_9!J16,services_v2_8!J16,services_v2_7!J16,services_v2_6!J16,services_v2_10!J16)/COUNT(services_v2_9!J16,services_v2_8!J16,services_v2_7!J16,services_v2_6!J16,services_v2_10!J16),0),"NA")</f>
        <v>1</v>
      </c>
      <c r="K16">
        <f>IF($E16=0, "NA", ROUND(SUM(services_v2_9!K16,services_v2_8!K16,services_v2_7!K16,services_v2_6!K16,services_v2_10!K16)/COUNT(services_v2_9!K16,services_v2_8!K16,services_v2_7!K16,services_v2_6!K16,services_v2_10!K16),0))</f>
        <v>1</v>
      </c>
      <c r="L16">
        <f>IF($E16=0, "NA", ROUND(SUM(services_v2_9!L16,services_v2_8!L16,services_v2_7!L16,services_v2_6!L16,services_v2_10!L16)/COUNT(services_v2_9!L16,services_v2_8!L16,services_v2_7!L16,services_v2_6!L16,services_v2_10!L16),0))</f>
        <v>1</v>
      </c>
      <c r="M16">
        <f>IF($E16=0, "NA", ROUND(SUM(services_v2_9!M16,services_v2_8!M16,services_v2_7!M16,services_v2_6!M16,services_v2_10!M16)/COUNT(services_v2_9!M16,services_v2_8!M16,services_v2_7!M16,services_v2_6!M16,services_v2_10!M16),0))</f>
        <v>1</v>
      </c>
      <c r="N16">
        <f>IF($E16=0, "NA", ROUND(SUM(services_v2_9!N16,services_v2_8!N16,services_v2_7!N16,services_v2_6!N16,services_v2_10!N16)/COUNT(services_v2_9!N16,services_v2_8!N16,services_v2_7!N16,services_v2_6!N16,services_v2_10!N16),0))</f>
        <v>1</v>
      </c>
      <c r="O16">
        <f>IF($E16=0, "NA", ROUND(SUM(services_v2_9!O16,services_v2_8!O16,services_v2_7!O16,services_v2_6!O16,services_v2_10!O16)/COUNT(services_v2_9!O16,services_v2_8!O16,services_v2_7!O16,services_v2_6!O16,services_v2_10!O16),0))</f>
        <v>1</v>
      </c>
    </row>
    <row r="17" spans="1:15" x14ac:dyDescent="0.25">
      <c r="A17" t="s">
        <v>16</v>
      </c>
      <c r="B17" t="s">
        <v>40</v>
      </c>
      <c r="C17">
        <v>0</v>
      </c>
      <c r="D17">
        <v>4.9685878753662109</v>
      </c>
      <c r="E17">
        <f>ROUND(SUM(services_v2_9!E17,services_v2_8!E17,services_v2_7!E17,services_v2_6!E17,services_v2_10!E17)/COUNT(services_v2_9!E17,services_v2_8!E17,services_v2_7!E17,services_v2_6!E17,services_v2_10!E17),0)</f>
        <v>1</v>
      </c>
      <c r="F17">
        <f>IF($E17=0, "NA", ROUND(SUM(services_v2_9!F17,services_v2_8!F17,services_v2_7!F17,services_v2_6!F17,services_v2_10!F17)/COUNT(services_v2_9!F17,services_v2_8!F17,services_v2_7!F17,services_v2_6!F17,services_v2_10!F17),0))</f>
        <v>1</v>
      </c>
      <c r="G17">
        <f>IF($E17=0, "NA", ROUND(SUM(services_v2_9!G17,services_v2_8!G17,services_v2_7!G17,services_v2_6!G17,services_v2_10!G17)/COUNT(services_v2_9!G17,services_v2_8!G17,services_v2_7!G17,services_v2_6!G17,services_v2_10!G17),0))</f>
        <v>1</v>
      </c>
      <c r="H17">
        <f>IF(AND(F17=1,G17=1),ROUND(SUM(services_v2_9!H17,services_v2_8!H17,services_v2_7!H17,services_v2_6!H17,services_v2_10!H17)/COUNT(services_v2_9!H17,services_v2_8!H17,services_v2_7!H17,services_v2_6!H17,services_v2_10!H17),0),"NA")</f>
        <v>0</v>
      </c>
      <c r="I17">
        <f>IF($E17=0, "NA", ROUND(SUM(services_v2_9!I17,services_v2_8!I17,services_v2_7!I17,services_v2_6!I17,services_v2_10!I17)/COUNT(services_v2_9!I17,services_v2_8!I17,services_v2_7!I17,services_v2_6!I17,services_v2_10!I17),0))</f>
        <v>1</v>
      </c>
      <c r="J17">
        <f>IF(F17=1,ROUND(SUM(services_v2_9!J17,services_v2_8!J17,services_v2_7!J17,services_v2_6!J17,services_v2_10!J17)/COUNT(services_v2_9!J17,services_v2_8!J17,services_v2_7!J17,services_v2_6!J17,services_v2_10!J17),0),"NA")</f>
        <v>1</v>
      </c>
      <c r="K17">
        <f>IF($E17=0, "NA", ROUND(SUM(services_v2_9!K17,services_v2_8!K17,services_v2_7!K17,services_v2_6!K17,services_v2_10!K17)/COUNT(services_v2_9!K17,services_v2_8!K17,services_v2_7!K17,services_v2_6!K17,services_v2_10!K17),0))</f>
        <v>1</v>
      </c>
      <c r="L17">
        <f>IF($E17=0, "NA", ROUND(SUM(services_v2_9!L17,services_v2_8!L17,services_v2_7!L17,services_v2_6!L17,services_v2_10!L17)/COUNT(services_v2_9!L17,services_v2_8!L17,services_v2_7!L17,services_v2_6!L17,services_v2_10!L17),0))</f>
        <v>1</v>
      </c>
      <c r="M17">
        <f>IF($E17=0, "NA", ROUND(SUM(services_v2_9!M17,services_v2_8!M17,services_v2_7!M17,services_v2_6!M17,services_v2_10!M17)/COUNT(services_v2_9!M17,services_v2_8!M17,services_v2_7!M17,services_v2_6!M17,services_v2_10!M17),0))</f>
        <v>1</v>
      </c>
      <c r="N17">
        <f>IF($E17=0, "NA", ROUND(SUM(services_v2_9!N17,services_v2_8!N17,services_v2_7!N17,services_v2_6!N17,services_v2_10!N17)/COUNT(services_v2_9!N17,services_v2_8!N17,services_v2_7!N17,services_v2_6!N17,services_v2_10!N17),0))</f>
        <v>1</v>
      </c>
      <c r="O17">
        <f>IF($E17=0, "NA", ROUND(SUM(services_v2_9!O17,services_v2_8!O17,services_v2_7!O17,services_v2_6!O17,services_v2_10!O17)/COUNT(services_v2_9!O17,services_v2_8!O17,services_v2_7!O17,services_v2_6!O17,services_v2_10!O17),0))</f>
        <v>1</v>
      </c>
    </row>
    <row r="18" spans="1:15" x14ac:dyDescent="0.25">
      <c r="A18" t="s">
        <v>16</v>
      </c>
      <c r="B18" t="s">
        <v>42</v>
      </c>
      <c r="C18">
        <v>0</v>
      </c>
      <c r="D18">
        <v>9.519188404083252</v>
      </c>
      <c r="E18">
        <f>ROUND(SUM(services_v2_9!E18,services_v2_8!E18,services_v2_7!E18,services_v2_6!E18,services_v2_10!E18)/COUNT(services_v2_9!E18,services_v2_8!E18,services_v2_7!E18,services_v2_6!E18,services_v2_10!E18),0)</f>
        <v>1</v>
      </c>
      <c r="F18">
        <f>IF($E18=0, "NA", ROUND(SUM(services_v2_9!F18,services_v2_8!F18,services_v2_7!F18,services_v2_6!F18,services_v2_10!F18)/COUNT(services_v2_9!F18,services_v2_8!F18,services_v2_7!F18,services_v2_6!F18,services_v2_10!F18),0))</f>
        <v>1</v>
      </c>
      <c r="G18">
        <f>IF($E18=0, "NA", ROUND(SUM(services_v2_9!G18,services_v2_8!G18,services_v2_7!G18,services_v2_6!G18,services_v2_10!G18)/COUNT(services_v2_9!G18,services_v2_8!G18,services_v2_7!G18,services_v2_6!G18,services_v2_10!G18),0))</f>
        <v>1</v>
      </c>
      <c r="H18">
        <f>IF(AND(F18=1,G18=1),ROUND(SUM(services_v2_9!H18,services_v2_8!H18,services_v2_7!H18,services_v2_6!H18,services_v2_10!H18)/COUNT(services_v2_9!H18,services_v2_8!H18,services_v2_7!H18,services_v2_6!H18,services_v2_10!H18),0),"NA")</f>
        <v>1</v>
      </c>
      <c r="I18">
        <f>IF($E18=0, "NA", ROUND(SUM(services_v2_9!I18,services_v2_8!I18,services_v2_7!I18,services_v2_6!I18,services_v2_10!I18)/COUNT(services_v2_9!I18,services_v2_8!I18,services_v2_7!I18,services_v2_6!I18,services_v2_10!I18),0))</f>
        <v>1</v>
      </c>
      <c r="J18">
        <f>IF(F18=1,ROUND(SUM(services_v2_9!J18,services_v2_8!J18,services_v2_7!J18,services_v2_6!J18,services_v2_10!J18)/COUNT(services_v2_9!J18,services_v2_8!J18,services_v2_7!J18,services_v2_6!J18,services_v2_10!J18),0),"NA")</f>
        <v>1</v>
      </c>
      <c r="K18">
        <f>IF($E18=0, "NA", ROUND(SUM(services_v2_9!K18,services_v2_8!K18,services_v2_7!K18,services_v2_6!K18,services_v2_10!K18)/COUNT(services_v2_9!K18,services_v2_8!K18,services_v2_7!K18,services_v2_6!K18,services_v2_10!K18),0))</f>
        <v>1</v>
      </c>
      <c r="L18">
        <f>IF($E18=0, "NA", ROUND(SUM(services_v2_9!L18,services_v2_8!L18,services_v2_7!L18,services_v2_6!L18,services_v2_10!L18)/COUNT(services_v2_9!L18,services_v2_8!L18,services_v2_7!L18,services_v2_6!L18,services_v2_10!L18),0))</f>
        <v>1</v>
      </c>
      <c r="M18">
        <f>IF($E18=0, "NA", ROUND(SUM(services_v2_9!M18,services_v2_8!M18,services_v2_7!M18,services_v2_6!M18,services_v2_10!M18)/COUNT(services_v2_9!M18,services_v2_8!M18,services_v2_7!M18,services_v2_6!M18,services_v2_10!M18),0))</f>
        <v>1</v>
      </c>
      <c r="N18">
        <f>IF($E18=0, "NA", ROUND(SUM(services_v2_9!N18,services_v2_8!N18,services_v2_7!N18,services_v2_6!N18,services_v2_10!N18)/COUNT(services_v2_9!N18,services_v2_8!N18,services_v2_7!N18,services_v2_6!N18,services_v2_10!N18),0))</f>
        <v>1</v>
      </c>
      <c r="O18">
        <f>IF($E18=0, "NA", ROUND(SUM(services_v2_9!O18,services_v2_8!O18,services_v2_7!O18,services_v2_6!O18,services_v2_10!O18)/COUNT(services_v2_9!O18,services_v2_8!O18,services_v2_7!O18,services_v2_6!O18,services_v2_10!O18),0))</f>
        <v>1</v>
      </c>
    </row>
    <row r="19" spans="1:15" x14ac:dyDescent="0.25">
      <c r="A19" t="s">
        <v>16</v>
      </c>
      <c r="B19" t="s">
        <v>43</v>
      </c>
      <c r="C19">
        <v>0</v>
      </c>
      <c r="D19">
        <v>2.7862098217010498</v>
      </c>
      <c r="E19">
        <f>ROUND(SUM(services_v2_9!E19,services_v2_8!E19,services_v2_7!E19,services_v2_6!E19,services_v2_10!E19)/COUNT(services_v2_9!E19,services_v2_8!E19,services_v2_7!E19,services_v2_6!E19,services_v2_10!E19),0)</f>
        <v>1</v>
      </c>
      <c r="F19">
        <f>IF($E19=0, "NA", ROUND(SUM(services_v2_9!F19,services_v2_8!F19,services_v2_7!F19,services_v2_6!F19,services_v2_10!F19)/COUNT(services_v2_9!F19,services_v2_8!F19,services_v2_7!F19,services_v2_6!F19,services_v2_10!F19),0))</f>
        <v>1</v>
      </c>
      <c r="G19">
        <f>IF($E19=0, "NA", ROUND(SUM(services_v2_9!G19,services_v2_8!G19,services_v2_7!G19,services_v2_6!G19,services_v2_10!G19)/COUNT(services_v2_9!G19,services_v2_8!G19,services_v2_7!G19,services_v2_6!G19,services_v2_10!G19),0))</f>
        <v>1</v>
      </c>
      <c r="H19">
        <f>IF(AND(F19=1,G19=1),ROUND(SUM(services_v2_9!H19,services_v2_8!H19,services_v2_7!H19,services_v2_6!H19,services_v2_10!H19)/COUNT(services_v2_9!H19,services_v2_8!H19,services_v2_7!H19,services_v2_6!H19,services_v2_10!H19),0),"NA")</f>
        <v>1</v>
      </c>
      <c r="I19">
        <f>IF($E19=0, "NA", ROUND(SUM(services_v2_9!I19,services_v2_8!I19,services_v2_7!I19,services_v2_6!I19,services_v2_10!I19)/COUNT(services_v2_9!I19,services_v2_8!I19,services_v2_7!I19,services_v2_6!I19,services_v2_10!I19),0))</f>
        <v>1</v>
      </c>
      <c r="J19">
        <f>IF(F19=1,ROUND(SUM(services_v2_9!J19,services_v2_8!J19,services_v2_7!J19,services_v2_6!J19,services_v2_10!J19)/COUNT(services_v2_9!J19,services_v2_8!J19,services_v2_7!J19,services_v2_6!J19,services_v2_10!J19),0),"NA")</f>
        <v>1</v>
      </c>
      <c r="K19">
        <f>IF($E19=0, "NA", ROUND(SUM(services_v2_9!K19,services_v2_8!K19,services_v2_7!K19,services_v2_6!K19,services_v2_10!K19)/COUNT(services_v2_9!K19,services_v2_8!K19,services_v2_7!K19,services_v2_6!K19,services_v2_10!K19),0))</f>
        <v>1</v>
      </c>
      <c r="L19">
        <f>IF($E19=0, "NA", ROUND(SUM(services_v2_9!L19,services_v2_8!L19,services_v2_7!L19,services_v2_6!L19,services_v2_10!L19)/COUNT(services_v2_9!L19,services_v2_8!L19,services_v2_7!L19,services_v2_6!L19,services_v2_10!L19),0))</f>
        <v>1</v>
      </c>
      <c r="M19">
        <f>IF($E19=0, "NA", ROUND(SUM(services_v2_9!M19,services_v2_8!M19,services_v2_7!M19,services_v2_6!M19,services_v2_10!M19)/COUNT(services_v2_9!M19,services_v2_8!M19,services_v2_7!M19,services_v2_6!M19,services_v2_10!M19),0))</f>
        <v>1</v>
      </c>
      <c r="N19">
        <f>IF($E19=0, "NA", ROUND(SUM(services_v2_9!N19,services_v2_8!N19,services_v2_7!N19,services_v2_6!N19,services_v2_10!N19)/COUNT(services_v2_9!N19,services_v2_8!N19,services_v2_7!N19,services_v2_6!N19,services_v2_10!N19),0))</f>
        <v>1</v>
      </c>
      <c r="O19">
        <f>IF($E19=0, "NA", ROUND(SUM(services_v2_9!O19,services_v2_8!O19,services_v2_7!O19,services_v2_6!O19,services_v2_10!O19)/COUNT(services_v2_9!O19,services_v2_8!O19,services_v2_7!O19,services_v2_6!O19,services_v2_10!O19),0))</f>
        <v>1</v>
      </c>
    </row>
    <row r="20" spans="1:15" x14ac:dyDescent="0.25">
      <c r="A20" t="s">
        <v>16</v>
      </c>
      <c r="B20" t="s">
        <v>44</v>
      </c>
      <c r="C20">
        <v>0</v>
      </c>
      <c r="D20">
        <v>2.7639214992523189</v>
      </c>
      <c r="E20">
        <f>ROUND(SUM(services_v2_9!E20,services_v2_8!E20,services_v2_7!E20,services_v2_6!E20,services_v2_10!E20)/COUNT(services_v2_9!E20,services_v2_8!E20,services_v2_7!E20,services_v2_6!E20,services_v2_10!E20),0)</f>
        <v>1</v>
      </c>
      <c r="F20">
        <f>IF($E20=0, "NA", ROUND(SUM(services_v2_9!F20,services_v2_8!F20,services_v2_7!F20,services_v2_6!F20,services_v2_10!F20)/COUNT(services_v2_9!F20,services_v2_8!F20,services_v2_7!F20,services_v2_6!F20,services_v2_10!F20),0))</f>
        <v>1</v>
      </c>
      <c r="G20">
        <f>IF($E20=0, "NA", ROUND(SUM(services_v2_9!G20,services_v2_8!G20,services_v2_7!G20,services_v2_6!G20,services_v2_10!G20)/COUNT(services_v2_9!G20,services_v2_8!G20,services_v2_7!G20,services_v2_6!G20,services_v2_10!G20),0))</f>
        <v>0</v>
      </c>
      <c r="H20" t="str">
        <f>IF(AND(F20=1,G20=1),ROUND(SUM(services_v2_9!H20,services_v2_8!H20,services_v2_7!H20,services_v2_6!H20,services_v2_10!H20)/COUNT(services_v2_9!H20,services_v2_8!H20,services_v2_7!H20,services_v2_6!H20,services_v2_10!H20),0),"NA")</f>
        <v>NA</v>
      </c>
      <c r="I20">
        <f>IF($E20=0, "NA", ROUND(SUM(services_v2_9!I20,services_v2_8!I20,services_v2_7!I20,services_v2_6!I20,services_v2_10!I20)/COUNT(services_v2_9!I20,services_v2_8!I20,services_v2_7!I20,services_v2_6!I20,services_v2_10!I20),0))</f>
        <v>1</v>
      </c>
      <c r="J20">
        <f>IF(F20=1,ROUND(SUM(services_v2_9!J20,services_v2_8!J20,services_v2_7!J20,services_v2_6!J20,services_v2_10!J20)/COUNT(services_v2_9!J20,services_v2_8!J20,services_v2_7!J20,services_v2_6!J20,services_v2_10!J20),0),"NA")</f>
        <v>1</v>
      </c>
      <c r="K20">
        <f>IF($E20=0, "NA", ROUND(SUM(services_v2_9!K20,services_v2_8!K20,services_v2_7!K20,services_v2_6!K20,services_v2_10!K20)/COUNT(services_v2_9!K20,services_v2_8!K20,services_v2_7!K20,services_v2_6!K20,services_v2_10!K20),0))</f>
        <v>1</v>
      </c>
      <c r="L20">
        <f>IF($E20=0, "NA", ROUND(SUM(services_v2_9!L20,services_v2_8!L20,services_v2_7!L20,services_v2_6!L20,services_v2_10!L20)/COUNT(services_v2_9!L20,services_v2_8!L20,services_v2_7!L20,services_v2_6!L20,services_v2_10!L20),0))</f>
        <v>1</v>
      </c>
      <c r="M20">
        <f>IF($E20=0, "NA", ROUND(SUM(services_v2_9!M20,services_v2_8!M20,services_v2_7!M20,services_v2_6!M20,services_v2_10!M20)/COUNT(services_v2_9!M20,services_v2_8!M20,services_v2_7!M20,services_v2_6!M20,services_v2_10!M20),0))</f>
        <v>1</v>
      </c>
      <c r="N20">
        <f>IF($E20=0, "NA", ROUND(SUM(services_v2_9!N20,services_v2_8!N20,services_v2_7!N20,services_v2_6!N20,services_v2_10!N20)/COUNT(services_v2_9!N20,services_v2_8!N20,services_v2_7!N20,services_v2_6!N20,services_v2_10!N20),0))</f>
        <v>1</v>
      </c>
      <c r="O20">
        <f>IF($E20=0, "NA", ROUND(SUM(services_v2_9!O20,services_v2_8!O20,services_v2_7!O20,services_v2_6!O20,services_v2_10!O20)/COUNT(services_v2_9!O20,services_v2_8!O20,services_v2_7!O20,services_v2_6!O20,services_v2_10!O20),0))</f>
        <v>1</v>
      </c>
    </row>
    <row r="21" spans="1:15" x14ac:dyDescent="0.25">
      <c r="A21" t="s">
        <v>16</v>
      </c>
      <c r="B21" t="s">
        <v>46</v>
      </c>
      <c r="C21">
        <v>0</v>
      </c>
      <c r="D21">
        <v>11.722820520400999</v>
      </c>
      <c r="E21">
        <f>ROUND(SUM(services_v2_9!E21,services_v2_8!E21,services_v2_7!E21,services_v2_6!E21,services_v2_10!E21)/COUNT(services_v2_9!E21,services_v2_8!E21,services_v2_7!E21,services_v2_6!E21,services_v2_10!E21),0)</f>
        <v>1</v>
      </c>
      <c r="F21">
        <f>IF($E21=0, "NA", ROUND(SUM(services_v2_9!F21,services_v2_8!F21,services_v2_7!F21,services_v2_6!F21,services_v2_10!F21)/COUNT(services_v2_9!F21,services_v2_8!F21,services_v2_7!F21,services_v2_6!F21,services_v2_10!F21),0))</f>
        <v>1</v>
      </c>
      <c r="G21">
        <f>IF($E21=0, "NA", ROUND(SUM(services_v2_9!G21,services_v2_8!G21,services_v2_7!G21,services_v2_6!G21,services_v2_10!G21)/COUNT(services_v2_9!G21,services_v2_8!G21,services_v2_7!G21,services_v2_6!G21,services_v2_10!G21),0))</f>
        <v>1</v>
      </c>
      <c r="H21">
        <f>IF(AND(F21=1,G21=1),ROUND(SUM(services_v2_9!H21,services_v2_8!H21,services_v2_7!H21,services_v2_6!H21,services_v2_10!H21)/COUNT(services_v2_9!H21,services_v2_8!H21,services_v2_7!H21,services_v2_6!H21,services_v2_10!H21),0),"NA")</f>
        <v>1</v>
      </c>
      <c r="I21">
        <f>IF($E21=0, "NA", ROUND(SUM(services_v2_9!I21,services_v2_8!I21,services_v2_7!I21,services_v2_6!I21,services_v2_10!I21)/COUNT(services_v2_9!I21,services_v2_8!I21,services_v2_7!I21,services_v2_6!I21,services_v2_10!I21),0))</f>
        <v>1</v>
      </c>
      <c r="J21">
        <f>IF(F21=1,ROUND(SUM(services_v2_9!J21,services_v2_8!J21,services_v2_7!J21,services_v2_6!J21,services_v2_10!J21)/COUNT(services_v2_9!J21,services_v2_8!J21,services_v2_7!J21,services_v2_6!J21,services_v2_10!J21),0),"NA")</f>
        <v>1</v>
      </c>
      <c r="K21">
        <f>IF($E21=0, "NA", ROUND(SUM(services_v2_9!K21,services_v2_8!K21,services_v2_7!K21,services_v2_6!K21,services_v2_10!K21)/COUNT(services_v2_9!K21,services_v2_8!K21,services_v2_7!K21,services_v2_6!K21,services_v2_10!K21),0))</f>
        <v>1</v>
      </c>
      <c r="L21">
        <f>IF($E21=0, "NA", ROUND(SUM(services_v2_9!L21,services_v2_8!L21,services_v2_7!L21,services_v2_6!L21,services_v2_10!L21)/COUNT(services_v2_9!L21,services_v2_8!L21,services_v2_7!L21,services_v2_6!L21,services_v2_10!L21),0))</f>
        <v>0</v>
      </c>
      <c r="M21">
        <f>IF($E21=0, "NA", ROUND(SUM(services_v2_9!M21,services_v2_8!M21,services_v2_7!M21,services_v2_6!M21,services_v2_10!M21)/COUNT(services_v2_9!M21,services_v2_8!M21,services_v2_7!M21,services_v2_6!M21,services_v2_10!M21),0))</f>
        <v>1</v>
      </c>
      <c r="N21">
        <f>IF($E21=0, "NA", ROUND(SUM(services_v2_9!N21,services_v2_8!N21,services_v2_7!N21,services_v2_6!N21,services_v2_10!N21)/COUNT(services_v2_9!N21,services_v2_8!N21,services_v2_7!N21,services_v2_6!N21,services_v2_10!N21),0))</f>
        <v>1</v>
      </c>
      <c r="O21">
        <f>IF($E21=0, "NA", ROUND(SUM(services_v2_9!O21,services_v2_8!O21,services_v2_7!O21,services_v2_6!O21,services_v2_10!O21)/COUNT(services_v2_9!O21,services_v2_8!O21,services_v2_7!O21,services_v2_6!O21,services_v2_10!O21),0))</f>
        <v>1</v>
      </c>
    </row>
    <row r="22" spans="1:15" x14ac:dyDescent="0.25">
      <c r="A22" t="s">
        <v>16</v>
      </c>
      <c r="B22" t="s">
        <v>48</v>
      </c>
      <c r="C22">
        <v>0</v>
      </c>
      <c r="D22">
        <v>2.6637003421783452</v>
      </c>
      <c r="E22">
        <f>ROUND(SUM(services_v2_9!E22,services_v2_8!E22,services_v2_7!E22,services_v2_6!E22,services_v2_10!E22)/COUNT(services_v2_9!E22,services_v2_8!E22,services_v2_7!E22,services_v2_6!E22,services_v2_10!E22),0)</f>
        <v>1</v>
      </c>
      <c r="F22">
        <f>IF($E22=0, "NA", ROUND(SUM(services_v2_9!F22,services_v2_8!F22,services_v2_7!F22,services_v2_6!F22,services_v2_10!F22)/COUNT(services_v2_9!F22,services_v2_8!F22,services_v2_7!F22,services_v2_6!F22,services_v2_10!F22),0))</f>
        <v>1</v>
      </c>
      <c r="G22">
        <f>IF($E22=0, "NA", ROUND(SUM(services_v2_9!G22,services_v2_8!G22,services_v2_7!G22,services_v2_6!G22,services_v2_10!G22)/COUNT(services_v2_9!G22,services_v2_8!G22,services_v2_7!G22,services_v2_6!G22,services_v2_10!G22),0))</f>
        <v>1</v>
      </c>
      <c r="H22">
        <f>IF(AND(F22=1,G22=1),ROUND(SUM(services_v2_9!H22,services_v2_8!H22,services_v2_7!H22,services_v2_6!H22,services_v2_10!H22)/COUNT(services_v2_9!H22,services_v2_8!H22,services_v2_7!H22,services_v2_6!H22,services_v2_10!H22),0),"NA")</f>
        <v>1</v>
      </c>
      <c r="I22">
        <f>IF($E22=0, "NA", ROUND(SUM(services_v2_9!I22,services_v2_8!I22,services_v2_7!I22,services_v2_6!I22,services_v2_10!I22)/COUNT(services_v2_9!I22,services_v2_8!I22,services_v2_7!I22,services_v2_6!I22,services_v2_10!I22),0))</f>
        <v>1</v>
      </c>
      <c r="J22">
        <f>IF(F22=1,ROUND(SUM(services_v2_9!J22,services_v2_8!J22,services_v2_7!J22,services_v2_6!J22,services_v2_10!J22)/COUNT(services_v2_9!J22,services_v2_8!J22,services_v2_7!J22,services_v2_6!J22,services_v2_10!J22),0),"NA")</f>
        <v>1</v>
      </c>
      <c r="K22">
        <f>IF($E22=0, "NA", ROUND(SUM(services_v2_9!K22,services_v2_8!K22,services_v2_7!K22,services_v2_6!K22,services_v2_10!K22)/COUNT(services_v2_9!K22,services_v2_8!K22,services_v2_7!K22,services_v2_6!K22,services_v2_10!K22),0))</f>
        <v>1</v>
      </c>
      <c r="L22">
        <f>IF($E22=0, "NA", ROUND(SUM(services_v2_9!L22,services_v2_8!L22,services_v2_7!L22,services_v2_6!L22,services_v2_10!L22)/COUNT(services_v2_9!L22,services_v2_8!L22,services_v2_7!L22,services_v2_6!L22,services_v2_10!L22),0))</f>
        <v>1</v>
      </c>
      <c r="M22">
        <f>IF($E22=0, "NA", ROUND(SUM(services_v2_9!M22,services_v2_8!M22,services_v2_7!M22,services_v2_6!M22,services_v2_10!M22)/COUNT(services_v2_9!M22,services_v2_8!M22,services_v2_7!M22,services_v2_6!M22,services_v2_10!M22),0))</f>
        <v>1</v>
      </c>
      <c r="N22">
        <f>IF($E22=0, "NA", ROUND(SUM(services_v2_9!N22,services_v2_8!N22,services_v2_7!N22,services_v2_6!N22,services_v2_10!N22)/COUNT(services_v2_9!N22,services_v2_8!N22,services_v2_7!N22,services_v2_6!N22,services_v2_10!N22),0))</f>
        <v>1</v>
      </c>
      <c r="O22">
        <f>IF($E22=0, "NA", ROUND(SUM(services_v2_9!O22,services_v2_8!O22,services_v2_7!O22,services_v2_6!O22,services_v2_10!O22)/COUNT(services_v2_9!O22,services_v2_8!O22,services_v2_7!O22,services_v2_6!O22,services_v2_10!O22),0))</f>
        <v>1</v>
      </c>
    </row>
    <row r="23" spans="1:15" x14ac:dyDescent="0.25">
      <c r="A23" t="s">
        <v>16</v>
      </c>
      <c r="B23" t="s">
        <v>50</v>
      </c>
      <c r="C23">
        <v>0</v>
      </c>
      <c r="D23">
        <v>7.5977950096130371</v>
      </c>
      <c r="E23">
        <f>ROUND(SUM(services_v2_9!E23,services_v2_8!E23,services_v2_7!E23,services_v2_6!E23,services_v2_10!E23)/COUNT(services_v2_9!E23,services_v2_8!E23,services_v2_7!E23,services_v2_6!E23,services_v2_10!E23),0)</f>
        <v>1</v>
      </c>
      <c r="F23">
        <f>IF($E23=0, "NA", ROUND(SUM(services_v2_9!F23,services_v2_8!F23,services_v2_7!F23,services_v2_6!F23,services_v2_10!F23)/COUNT(services_v2_9!F23,services_v2_8!F23,services_v2_7!F23,services_v2_6!F23,services_v2_10!F23),0))</f>
        <v>1</v>
      </c>
      <c r="G23">
        <f>IF($E23=0, "NA", ROUND(SUM(services_v2_9!G23,services_v2_8!G23,services_v2_7!G23,services_v2_6!G23,services_v2_10!G23)/COUNT(services_v2_9!G23,services_v2_8!G23,services_v2_7!G23,services_v2_6!G23,services_v2_10!G23),0))</f>
        <v>1</v>
      </c>
      <c r="H23">
        <f>IF(AND(F23=1,G23=1),ROUND(SUM(services_v2_9!H23,services_v2_8!H23,services_v2_7!H23,services_v2_6!H23,services_v2_10!H23)/COUNT(services_v2_9!H23,services_v2_8!H23,services_v2_7!H23,services_v2_6!H23,services_v2_10!H23),0),"NA")</f>
        <v>1</v>
      </c>
      <c r="I23">
        <f>IF($E23=0, "NA", ROUND(SUM(services_v2_9!I23,services_v2_8!I23,services_v2_7!I23,services_v2_6!I23,services_v2_10!I23)/COUNT(services_v2_9!I23,services_v2_8!I23,services_v2_7!I23,services_v2_6!I23,services_v2_10!I23),0))</f>
        <v>1</v>
      </c>
      <c r="J23">
        <f>IF(F23=1,ROUND(SUM(services_v2_9!J23,services_v2_8!J23,services_v2_7!J23,services_v2_6!J23,services_v2_10!J23)/COUNT(services_v2_9!J23,services_v2_8!J23,services_v2_7!J23,services_v2_6!J23,services_v2_10!J23),0),"NA")</f>
        <v>1</v>
      </c>
      <c r="K23">
        <f>IF($E23=0, "NA", ROUND(SUM(services_v2_9!K23,services_v2_8!K23,services_v2_7!K23,services_v2_6!K23,services_v2_10!K23)/COUNT(services_v2_9!K23,services_v2_8!K23,services_v2_7!K23,services_v2_6!K23,services_v2_10!K23),0))</f>
        <v>1</v>
      </c>
      <c r="L23">
        <f>IF($E23=0, "NA", ROUND(SUM(services_v2_9!L23,services_v2_8!L23,services_v2_7!L23,services_v2_6!L23,services_v2_10!L23)/COUNT(services_v2_9!L23,services_v2_8!L23,services_v2_7!L23,services_v2_6!L23,services_v2_10!L23),0))</f>
        <v>1</v>
      </c>
      <c r="M23">
        <f>IF($E23=0, "NA", ROUND(SUM(services_v2_9!M23,services_v2_8!M23,services_v2_7!M23,services_v2_6!M23,services_v2_10!M23)/COUNT(services_v2_9!M23,services_v2_8!M23,services_v2_7!M23,services_v2_6!M23,services_v2_10!M23),0))</f>
        <v>1</v>
      </c>
      <c r="N23">
        <f>IF($E23=0, "NA", ROUND(SUM(services_v2_9!N23,services_v2_8!N23,services_v2_7!N23,services_v2_6!N23,services_v2_10!N23)/COUNT(services_v2_9!N23,services_v2_8!N23,services_v2_7!N23,services_v2_6!N23,services_v2_10!N23),0))</f>
        <v>1</v>
      </c>
      <c r="O23">
        <f>IF($E23=0, "NA", ROUND(SUM(services_v2_9!O23,services_v2_8!O23,services_v2_7!O23,services_v2_6!O23,services_v2_10!O23)/COUNT(services_v2_9!O23,services_v2_8!O23,services_v2_7!O23,services_v2_6!O23,services_v2_10!O23),0))</f>
        <v>1</v>
      </c>
    </row>
    <row r="24" spans="1:15" x14ac:dyDescent="0.25">
      <c r="A24" t="s">
        <v>16</v>
      </c>
      <c r="B24" t="s">
        <v>51</v>
      </c>
      <c r="C24">
        <v>0</v>
      </c>
      <c r="D24">
        <v>8.6290090084075928</v>
      </c>
      <c r="E24">
        <f>ROUND(SUM(services_v2_9!E24,services_v2_8!E24,services_v2_7!E24,services_v2_6!E24,services_v2_10!E24)/COUNT(services_v2_9!E24,services_v2_8!E24,services_v2_7!E24,services_v2_6!E24,services_v2_10!E24),0)</f>
        <v>1</v>
      </c>
      <c r="F24">
        <f>IF($E24=0, "NA", ROUND(SUM(services_v2_9!F24,services_v2_8!F24,services_v2_7!F24,services_v2_6!F24,services_v2_10!F24)/COUNT(services_v2_9!F24,services_v2_8!F24,services_v2_7!F24,services_v2_6!F24,services_v2_10!F24),0))</f>
        <v>1</v>
      </c>
      <c r="G24">
        <f>IF($E24=0, "NA", ROUND(SUM(services_v2_9!G24,services_v2_8!G24,services_v2_7!G24,services_v2_6!G24,services_v2_10!G24)/COUNT(services_v2_9!G24,services_v2_8!G24,services_v2_7!G24,services_v2_6!G24,services_v2_10!G24),0))</f>
        <v>1</v>
      </c>
      <c r="H24">
        <f>IF(AND(F24=1,G24=1),ROUND(SUM(services_v2_9!H24,services_v2_8!H24,services_v2_7!H24,services_v2_6!H24,services_v2_10!H24)/COUNT(services_v2_9!H24,services_v2_8!H24,services_v2_7!H24,services_v2_6!H24,services_v2_10!H24),0),"NA")</f>
        <v>1</v>
      </c>
      <c r="I24">
        <f>IF($E24=0, "NA", ROUND(SUM(services_v2_9!I24,services_v2_8!I24,services_v2_7!I24,services_v2_6!I24,services_v2_10!I24)/COUNT(services_v2_9!I24,services_v2_8!I24,services_v2_7!I24,services_v2_6!I24,services_v2_10!I24),0))</f>
        <v>1</v>
      </c>
      <c r="J24">
        <f>IF(F24=1,ROUND(SUM(services_v2_9!J24,services_v2_8!J24,services_v2_7!J24,services_v2_6!J24,services_v2_10!J24)/COUNT(services_v2_9!J24,services_v2_8!J24,services_v2_7!J24,services_v2_6!J24,services_v2_10!J24),0),"NA")</f>
        <v>1</v>
      </c>
      <c r="K24">
        <f>IF($E24=0, "NA", ROUND(SUM(services_v2_9!K24,services_v2_8!K24,services_v2_7!K24,services_v2_6!K24,services_v2_10!K24)/COUNT(services_v2_9!K24,services_v2_8!K24,services_v2_7!K24,services_v2_6!K24,services_v2_10!K24),0))</f>
        <v>1</v>
      </c>
      <c r="L24">
        <f>IF($E24=0, "NA", ROUND(SUM(services_v2_9!L24,services_v2_8!L24,services_v2_7!L24,services_v2_6!L24,services_v2_10!L24)/COUNT(services_v2_9!L24,services_v2_8!L24,services_v2_7!L24,services_v2_6!L24,services_v2_10!L24),0))</f>
        <v>1</v>
      </c>
      <c r="M24">
        <f>IF($E24=0, "NA", ROUND(SUM(services_v2_9!M24,services_v2_8!M24,services_v2_7!M24,services_v2_6!M24,services_v2_10!M24)/COUNT(services_v2_9!M24,services_v2_8!M24,services_v2_7!M24,services_v2_6!M24,services_v2_10!M24),0))</f>
        <v>1</v>
      </c>
      <c r="N24">
        <f>IF($E24=0, "NA", ROUND(SUM(services_v2_9!N24,services_v2_8!N24,services_v2_7!N24,services_v2_6!N24,services_v2_10!N24)/COUNT(services_v2_9!N24,services_v2_8!N24,services_v2_7!N24,services_v2_6!N24,services_v2_10!N24),0))</f>
        <v>1</v>
      </c>
      <c r="O24">
        <f>IF($E24=0, "NA", ROUND(SUM(services_v2_9!O24,services_v2_8!O24,services_v2_7!O24,services_v2_6!O24,services_v2_10!O24)/COUNT(services_v2_9!O24,services_v2_8!O24,services_v2_7!O24,services_v2_6!O24,services_v2_10!O24),0))</f>
        <v>1</v>
      </c>
    </row>
    <row r="25" spans="1:15" x14ac:dyDescent="0.25">
      <c r="A25" t="s">
        <v>16</v>
      </c>
      <c r="B25" t="s">
        <v>52</v>
      </c>
      <c r="C25">
        <v>0</v>
      </c>
      <c r="D25">
        <v>7.296607494354248</v>
      </c>
      <c r="E25">
        <f>ROUND(SUM(services_v2_9!E25,services_v2_8!E25,services_v2_7!E25,services_v2_6!E25,services_v2_10!E25)/COUNT(services_v2_9!E25,services_v2_8!E25,services_v2_7!E25,services_v2_6!E25,services_v2_10!E25),0)</f>
        <v>1</v>
      </c>
      <c r="F25">
        <f>IF($E25=0, "NA", ROUND(SUM(services_v2_9!F25,services_v2_8!F25,services_v2_7!F25,services_v2_6!F25,services_v2_10!F25)/COUNT(services_v2_9!F25,services_v2_8!F25,services_v2_7!F25,services_v2_6!F25,services_v2_10!F25),0))</f>
        <v>1</v>
      </c>
      <c r="G25">
        <f>IF($E25=0, "NA", ROUND(SUM(services_v2_9!G25,services_v2_8!G25,services_v2_7!G25,services_v2_6!G25,services_v2_10!G25)/COUNT(services_v2_9!G25,services_v2_8!G25,services_v2_7!G25,services_v2_6!G25,services_v2_10!G25),0))</f>
        <v>1</v>
      </c>
      <c r="H25">
        <f>IF(AND(F25=1,G25=1),ROUND(SUM(services_v2_9!H25,services_v2_8!H25,services_v2_7!H25,services_v2_6!H25,services_v2_10!H25)/COUNT(services_v2_9!H25,services_v2_8!H25,services_v2_7!H25,services_v2_6!H25,services_v2_10!H25),0),"NA")</f>
        <v>1</v>
      </c>
      <c r="I25">
        <f>IF($E25=0, "NA", ROUND(SUM(services_v2_9!I25,services_v2_8!I25,services_v2_7!I25,services_v2_6!I25,services_v2_10!I25)/COUNT(services_v2_9!I25,services_v2_8!I25,services_v2_7!I25,services_v2_6!I25,services_v2_10!I25),0))</f>
        <v>1</v>
      </c>
      <c r="J25">
        <f>IF(F25=1,ROUND(SUM(services_v2_9!J25,services_v2_8!J25,services_v2_7!J25,services_v2_6!J25,services_v2_10!J25)/COUNT(services_v2_9!J25,services_v2_8!J25,services_v2_7!J25,services_v2_6!J25,services_v2_10!J25),0),"NA")</f>
        <v>1</v>
      </c>
      <c r="K25">
        <f>IF($E25=0, "NA", ROUND(SUM(services_v2_9!K25,services_v2_8!K25,services_v2_7!K25,services_v2_6!K25,services_v2_10!K25)/COUNT(services_v2_9!K25,services_v2_8!K25,services_v2_7!K25,services_v2_6!K25,services_v2_10!K25),0))</f>
        <v>1</v>
      </c>
      <c r="L25">
        <f>IF($E25=0, "NA", ROUND(SUM(services_v2_9!L25,services_v2_8!L25,services_v2_7!L25,services_v2_6!L25,services_v2_10!L25)/COUNT(services_v2_9!L25,services_v2_8!L25,services_v2_7!L25,services_v2_6!L25,services_v2_10!L25),0))</f>
        <v>1</v>
      </c>
      <c r="M25">
        <f>IF($E25=0, "NA", ROUND(SUM(services_v2_9!M25,services_v2_8!M25,services_v2_7!M25,services_v2_6!M25,services_v2_10!M25)/COUNT(services_v2_9!M25,services_v2_8!M25,services_v2_7!M25,services_v2_6!M25,services_v2_10!M25),0))</f>
        <v>1</v>
      </c>
      <c r="N25">
        <f>IF($E25=0, "NA", ROUND(SUM(services_v2_9!N25,services_v2_8!N25,services_v2_7!N25,services_v2_6!N25,services_v2_10!N25)/COUNT(services_v2_9!N25,services_v2_8!N25,services_v2_7!N25,services_v2_6!N25,services_v2_10!N25),0))</f>
        <v>1</v>
      </c>
      <c r="O25">
        <f>IF($E25=0, "NA", ROUND(SUM(services_v2_9!O25,services_v2_8!O25,services_v2_7!O25,services_v2_6!O25,services_v2_10!O25)/COUNT(services_v2_9!O25,services_v2_8!O25,services_v2_7!O25,services_v2_6!O25,services_v2_10!O25),0))</f>
        <v>1</v>
      </c>
    </row>
    <row r="26" spans="1:15" x14ac:dyDescent="0.25">
      <c r="A26" t="s">
        <v>16</v>
      </c>
      <c r="B26" t="s">
        <v>53</v>
      </c>
      <c r="C26">
        <v>0</v>
      </c>
      <c r="D26">
        <v>7.6788125038146973</v>
      </c>
      <c r="E26">
        <f>ROUND(SUM(services_v2_9!E26,services_v2_8!E26,services_v2_7!E26,services_v2_6!E26,services_v2_10!E26)/COUNT(services_v2_9!E26,services_v2_8!E26,services_v2_7!E26,services_v2_6!E26,services_v2_10!E26),0)</f>
        <v>1</v>
      </c>
      <c r="F26">
        <f>IF($E26=0, "NA", ROUND(SUM(services_v2_9!F26,services_v2_8!F26,services_v2_7!F26,services_v2_6!F26,services_v2_10!F26)/COUNT(services_v2_9!F26,services_v2_8!F26,services_v2_7!F26,services_v2_6!F26,services_v2_10!F26),0))</f>
        <v>1</v>
      </c>
      <c r="G26">
        <f>IF($E26=0, "NA", ROUND(SUM(services_v2_9!G26,services_v2_8!G26,services_v2_7!G26,services_v2_6!G26,services_v2_10!G26)/COUNT(services_v2_9!G26,services_v2_8!G26,services_v2_7!G26,services_v2_6!G26,services_v2_10!G26),0))</f>
        <v>1</v>
      </c>
      <c r="H26">
        <f>IF(AND(F26=1,G26=1),ROUND(SUM(services_v2_9!H26,services_v2_8!H26,services_v2_7!H26,services_v2_6!H26,services_v2_10!H26)/COUNT(services_v2_9!H26,services_v2_8!H26,services_v2_7!H26,services_v2_6!H26,services_v2_10!H26),0),"NA")</f>
        <v>1</v>
      </c>
      <c r="I26">
        <f>IF($E26=0, "NA", ROUND(SUM(services_v2_9!I26,services_v2_8!I26,services_v2_7!I26,services_v2_6!I26,services_v2_10!I26)/COUNT(services_v2_9!I26,services_v2_8!I26,services_v2_7!I26,services_v2_6!I26,services_v2_10!I26),0))</f>
        <v>1</v>
      </c>
      <c r="J26">
        <f>IF(F26=1,ROUND(SUM(services_v2_9!J26,services_v2_8!J26,services_v2_7!J26,services_v2_6!J26,services_v2_10!J26)/COUNT(services_v2_9!J26,services_v2_8!J26,services_v2_7!J26,services_v2_6!J26,services_v2_10!J26),0),"NA")</f>
        <v>1</v>
      </c>
      <c r="K26">
        <f>IF($E26=0, "NA", ROUND(SUM(services_v2_9!K26,services_v2_8!K26,services_v2_7!K26,services_v2_6!K26,services_v2_10!K26)/COUNT(services_v2_9!K26,services_v2_8!K26,services_v2_7!K26,services_v2_6!K26,services_v2_10!K26),0))</f>
        <v>0</v>
      </c>
      <c r="L26">
        <f>IF($E26=0, "NA", ROUND(SUM(services_v2_9!L26,services_v2_8!L26,services_v2_7!L26,services_v2_6!L26,services_v2_10!L26)/COUNT(services_v2_9!L26,services_v2_8!L26,services_v2_7!L26,services_v2_6!L26,services_v2_10!L26),0))</f>
        <v>1</v>
      </c>
      <c r="M26">
        <f>IF($E26=0, "NA", ROUND(SUM(services_v2_9!M26,services_v2_8!M26,services_v2_7!M26,services_v2_6!M26,services_v2_10!M26)/COUNT(services_v2_9!M26,services_v2_8!M26,services_v2_7!M26,services_v2_6!M26,services_v2_10!M26),0))</f>
        <v>1</v>
      </c>
      <c r="N26">
        <f>IF($E26=0, "NA", ROUND(SUM(services_v2_9!N26,services_v2_8!N26,services_v2_7!N26,services_v2_6!N26,services_v2_10!N26)/COUNT(services_v2_9!N26,services_v2_8!N26,services_v2_7!N26,services_v2_6!N26,services_v2_10!N26),0))</f>
        <v>1</v>
      </c>
      <c r="O26">
        <f>IF($E26=0, "NA", ROUND(SUM(services_v2_9!O26,services_v2_8!O26,services_v2_7!O26,services_v2_6!O26,services_v2_10!O26)/COUNT(services_v2_9!O26,services_v2_8!O26,services_v2_7!O26,services_v2_6!O26,services_v2_10!O26),0))</f>
        <v>1</v>
      </c>
    </row>
    <row r="27" spans="1:15" x14ac:dyDescent="0.25">
      <c r="A27" t="s">
        <v>16</v>
      </c>
      <c r="B27" t="s">
        <v>55</v>
      </c>
      <c r="C27">
        <v>0</v>
      </c>
      <c r="D27">
        <v>4.1047816276550293</v>
      </c>
      <c r="E27">
        <f>ROUND(SUM(services_v2_9!E27,services_v2_8!E27,services_v2_7!E27,services_v2_6!E27,services_v2_10!E27)/COUNT(services_v2_9!E27,services_v2_8!E27,services_v2_7!E27,services_v2_6!E27,services_v2_10!E27),0)</f>
        <v>1</v>
      </c>
      <c r="F27">
        <f>IF($E27=0, "NA", ROUND(SUM(services_v2_9!F27,services_v2_8!F27,services_v2_7!F27,services_v2_6!F27,services_v2_10!F27)/COUNT(services_v2_9!F27,services_v2_8!F27,services_v2_7!F27,services_v2_6!F27,services_v2_10!F27),0))</f>
        <v>0</v>
      </c>
      <c r="G27">
        <f>IF($E27=0, "NA", ROUND(SUM(services_v2_9!G27,services_v2_8!G27,services_v2_7!G27,services_v2_6!G27,services_v2_10!G27)/COUNT(services_v2_9!G27,services_v2_8!G27,services_v2_7!G27,services_v2_6!G27,services_v2_10!G27),0))</f>
        <v>1</v>
      </c>
      <c r="H27" t="str">
        <f>IF(AND(F27=1,G27=1),ROUND(SUM(services_v2_9!H27,services_v2_8!H27,services_v2_7!H27,services_v2_6!H27,services_v2_10!H27)/COUNT(services_v2_9!H27,services_v2_8!H27,services_v2_7!H27,services_v2_6!H27,services_v2_10!H27),0),"NA")</f>
        <v>NA</v>
      </c>
      <c r="I27">
        <f>IF($E27=0, "NA", ROUND(SUM(services_v2_9!I27,services_v2_8!I27,services_v2_7!I27,services_v2_6!I27,services_v2_10!I27)/COUNT(services_v2_9!I27,services_v2_8!I27,services_v2_7!I27,services_v2_6!I27,services_v2_10!I27),0))</f>
        <v>1</v>
      </c>
      <c r="J27" t="str">
        <f>IF(F27=1,ROUND(SUM(services_v2_9!J27,services_v2_8!J27,services_v2_7!J27,services_v2_6!J27,services_v2_10!J27)/COUNT(services_v2_9!J27,services_v2_8!J27,services_v2_7!J27,services_v2_6!J27,services_v2_10!J27),0),"NA")</f>
        <v>NA</v>
      </c>
      <c r="K27">
        <f>IF($E27=0, "NA", ROUND(SUM(services_v2_9!K27,services_v2_8!K27,services_v2_7!K27,services_v2_6!K27,services_v2_10!K27)/COUNT(services_v2_9!K27,services_v2_8!K27,services_v2_7!K27,services_v2_6!K27,services_v2_10!K27),0))</f>
        <v>1</v>
      </c>
      <c r="L27">
        <f>IF($E27=0, "NA", ROUND(SUM(services_v2_9!L27,services_v2_8!L27,services_v2_7!L27,services_v2_6!L27,services_v2_10!L27)/COUNT(services_v2_9!L27,services_v2_8!L27,services_v2_7!L27,services_v2_6!L27,services_v2_10!L27),0))</f>
        <v>1</v>
      </c>
      <c r="M27">
        <f>IF($E27=0, "NA", ROUND(SUM(services_v2_9!M27,services_v2_8!M27,services_v2_7!M27,services_v2_6!M27,services_v2_10!M27)/COUNT(services_v2_9!M27,services_v2_8!M27,services_v2_7!M27,services_v2_6!M27,services_v2_10!M27),0))</f>
        <v>1</v>
      </c>
      <c r="N27">
        <f>IF($E27=0, "NA", ROUND(SUM(services_v2_9!N27,services_v2_8!N27,services_v2_7!N27,services_v2_6!N27,services_v2_10!N27)/COUNT(services_v2_9!N27,services_v2_8!N27,services_v2_7!N27,services_v2_6!N27,services_v2_10!N27),0))</f>
        <v>1</v>
      </c>
      <c r="O27">
        <f>IF($E27=0, "NA", ROUND(SUM(services_v2_9!O27,services_v2_8!O27,services_v2_7!O27,services_v2_6!O27,services_v2_10!O27)/COUNT(services_v2_9!O27,services_v2_8!O27,services_v2_7!O27,services_v2_6!O27,services_v2_10!O27),0))</f>
        <v>1</v>
      </c>
    </row>
    <row r="28" spans="1:15" x14ac:dyDescent="0.25">
      <c r="A28" t="s">
        <v>16</v>
      </c>
      <c r="B28" t="s">
        <v>57</v>
      </c>
      <c r="C28">
        <v>0</v>
      </c>
      <c r="D28">
        <v>9.2431211471557617</v>
      </c>
      <c r="E28">
        <f>ROUND(SUM(services_v2_9!E28,services_v2_8!E28,services_v2_7!E28,services_v2_6!E28,services_v2_10!E28)/COUNT(services_v2_9!E28,services_v2_8!E28,services_v2_7!E28,services_v2_6!E28,services_v2_10!E28),0)</f>
        <v>1</v>
      </c>
      <c r="F28">
        <f>IF($E28=0, "NA", ROUND(SUM(services_v2_9!F28,services_v2_8!F28,services_v2_7!F28,services_v2_6!F28,services_v2_10!F28)/COUNT(services_v2_9!F28,services_v2_8!F28,services_v2_7!F28,services_v2_6!F28,services_v2_10!F28),0))</f>
        <v>1</v>
      </c>
      <c r="G28">
        <f>IF($E28=0, "NA", ROUND(SUM(services_v2_9!G28,services_v2_8!G28,services_v2_7!G28,services_v2_6!G28,services_v2_10!G28)/COUNT(services_v2_9!G28,services_v2_8!G28,services_v2_7!G28,services_v2_6!G28,services_v2_10!G28),0))</f>
        <v>1</v>
      </c>
      <c r="H28">
        <f>IF(AND(F28=1,G28=1),ROUND(SUM(services_v2_9!H28,services_v2_8!H28,services_v2_7!H28,services_v2_6!H28,services_v2_10!H28)/COUNT(services_v2_9!H28,services_v2_8!H28,services_v2_7!H28,services_v2_6!H28,services_v2_10!H28),0),"NA")</f>
        <v>1</v>
      </c>
      <c r="I28">
        <f>IF($E28=0, "NA", ROUND(SUM(services_v2_9!I28,services_v2_8!I28,services_v2_7!I28,services_v2_6!I28,services_v2_10!I28)/COUNT(services_v2_9!I28,services_v2_8!I28,services_v2_7!I28,services_v2_6!I28,services_v2_10!I28),0))</f>
        <v>1</v>
      </c>
      <c r="J28">
        <f>IF(F28=1,ROUND(SUM(services_v2_9!J28,services_v2_8!J28,services_v2_7!J28,services_v2_6!J28,services_v2_10!J28)/COUNT(services_v2_9!J28,services_v2_8!J28,services_v2_7!J28,services_v2_6!J28,services_v2_10!J28),0),"NA")</f>
        <v>1</v>
      </c>
      <c r="K28">
        <f>IF($E28=0, "NA", ROUND(SUM(services_v2_9!K28,services_v2_8!K28,services_v2_7!K28,services_v2_6!K28,services_v2_10!K28)/COUNT(services_v2_9!K28,services_v2_8!K28,services_v2_7!K28,services_v2_6!K28,services_v2_10!K28),0))</f>
        <v>1</v>
      </c>
      <c r="L28">
        <f>IF($E28=0, "NA", ROUND(SUM(services_v2_9!L28,services_v2_8!L28,services_v2_7!L28,services_v2_6!L28,services_v2_10!L28)/COUNT(services_v2_9!L28,services_v2_8!L28,services_v2_7!L28,services_v2_6!L28,services_v2_10!L28),0))</f>
        <v>1</v>
      </c>
      <c r="M28">
        <f>IF($E28=0, "NA", ROUND(SUM(services_v2_9!M28,services_v2_8!M28,services_v2_7!M28,services_v2_6!M28,services_v2_10!M28)/COUNT(services_v2_9!M28,services_v2_8!M28,services_v2_7!M28,services_v2_6!M28,services_v2_10!M28),0))</f>
        <v>1</v>
      </c>
      <c r="N28">
        <f>IF($E28=0, "NA", ROUND(SUM(services_v2_9!N28,services_v2_8!N28,services_v2_7!N28,services_v2_6!N28,services_v2_10!N28)/COUNT(services_v2_9!N28,services_v2_8!N28,services_v2_7!N28,services_v2_6!N28,services_v2_10!N28),0))</f>
        <v>1</v>
      </c>
      <c r="O28">
        <f>IF($E28=0, "NA", ROUND(SUM(services_v2_9!O28,services_v2_8!O28,services_v2_7!O28,services_v2_6!O28,services_v2_10!O28)/COUNT(services_v2_9!O28,services_v2_8!O28,services_v2_7!O28,services_v2_6!O28,services_v2_10!O28),0))</f>
        <v>1</v>
      </c>
    </row>
    <row r="29" spans="1:15" x14ac:dyDescent="0.25">
      <c r="A29" t="s">
        <v>16</v>
      </c>
      <c r="B29" t="s">
        <v>59</v>
      </c>
      <c r="C29">
        <v>0</v>
      </c>
      <c r="D29">
        <v>9.9699113368988037</v>
      </c>
      <c r="E29">
        <f>ROUND(SUM(services_v2_9!E29,services_v2_8!E29,services_v2_7!E29,services_v2_6!E29,services_v2_10!E29)/COUNT(services_v2_9!E29,services_v2_8!E29,services_v2_7!E29,services_v2_6!E29,services_v2_10!E29),0)</f>
        <v>1</v>
      </c>
      <c r="F29">
        <f>IF($E29=0, "NA", ROUND(SUM(services_v2_9!F29,services_v2_8!F29,services_v2_7!F29,services_v2_6!F29,services_v2_10!F29)/COUNT(services_v2_9!F29,services_v2_8!F29,services_v2_7!F29,services_v2_6!F29,services_v2_10!F29),0))</f>
        <v>1</v>
      </c>
      <c r="G29">
        <f>IF($E29=0, "NA", ROUND(SUM(services_v2_9!G29,services_v2_8!G29,services_v2_7!G29,services_v2_6!G29,services_v2_10!G29)/COUNT(services_v2_9!G29,services_v2_8!G29,services_v2_7!G29,services_v2_6!G29,services_v2_10!G29),0))</f>
        <v>1</v>
      </c>
      <c r="H29">
        <f>IF(AND(F29=1,G29=1),ROUND(SUM(services_v2_9!H29,services_v2_8!H29,services_v2_7!H29,services_v2_6!H29,services_v2_10!H29)/COUNT(services_v2_9!H29,services_v2_8!H29,services_v2_7!H29,services_v2_6!H29,services_v2_10!H29),0),"NA")</f>
        <v>1</v>
      </c>
      <c r="I29">
        <f>IF($E29=0, "NA", ROUND(SUM(services_v2_9!I29,services_v2_8!I29,services_v2_7!I29,services_v2_6!I29,services_v2_10!I29)/COUNT(services_v2_9!I29,services_v2_8!I29,services_v2_7!I29,services_v2_6!I29,services_v2_10!I29),0))</f>
        <v>1</v>
      </c>
      <c r="J29">
        <f>IF(F29=1,ROUND(SUM(services_v2_9!J29,services_v2_8!J29,services_v2_7!J29,services_v2_6!J29,services_v2_10!J29)/COUNT(services_v2_9!J29,services_v2_8!J29,services_v2_7!J29,services_v2_6!J29,services_v2_10!J29),0),"NA")</f>
        <v>1</v>
      </c>
      <c r="K29">
        <f>IF($E29=0, "NA", ROUND(SUM(services_v2_9!K29,services_v2_8!K29,services_v2_7!K29,services_v2_6!K29,services_v2_10!K29)/COUNT(services_v2_9!K29,services_v2_8!K29,services_v2_7!K29,services_v2_6!K29,services_v2_10!K29),0))</f>
        <v>0</v>
      </c>
      <c r="L29">
        <f>IF($E29=0, "NA", ROUND(SUM(services_v2_9!L29,services_v2_8!L29,services_v2_7!L29,services_v2_6!L29,services_v2_10!L29)/COUNT(services_v2_9!L29,services_v2_8!L29,services_v2_7!L29,services_v2_6!L29,services_v2_10!L29),0))</f>
        <v>1</v>
      </c>
      <c r="M29">
        <f>IF($E29=0, "NA", ROUND(SUM(services_v2_9!M29,services_v2_8!M29,services_v2_7!M29,services_v2_6!M29,services_v2_10!M29)/COUNT(services_v2_9!M29,services_v2_8!M29,services_v2_7!M29,services_v2_6!M29,services_v2_10!M29),0))</f>
        <v>1</v>
      </c>
      <c r="N29">
        <f>IF($E29=0, "NA", ROUND(SUM(services_v2_9!N29,services_v2_8!N29,services_v2_7!N29,services_v2_6!N29,services_v2_10!N29)/COUNT(services_v2_9!N29,services_v2_8!N29,services_v2_7!N29,services_v2_6!N29,services_v2_10!N29),0))</f>
        <v>1</v>
      </c>
      <c r="O29">
        <f>IF($E29=0, "NA", ROUND(SUM(services_v2_9!O29,services_v2_8!O29,services_v2_7!O29,services_v2_6!O29,services_v2_10!O29)/COUNT(services_v2_9!O29,services_v2_8!O29,services_v2_7!O29,services_v2_6!O29,services_v2_10!O29),0))</f>
        <v>1</v>
      </c>
    </row>
    <row r="30" spans="1:15" x14ac:dyDescent="0.25">
      <c r="A30" t="s">
        <v>16</v>
      </c>
      <c r="B30" t="s">
        <v>61</v>
      </c>
      <c r="C30">
        <v>0</v>
      </c>
      <c r="D30">
        <v>11.09597563743591</v>
      </c>
      <c r="E30">
        <f>ROUND(SUM(services_v2_9!E30,services_v2_8!E30,services_v2_7!E30,services_v2_6!E30,services_v2_10!E30)/COUNT(services_v2_9!E30,services_v2_8!E30,services_v2_7!E30,services_v2_6!E30,services_v2_10!E30),0)</f>
        <v>0</v>
      </c>
      <c r="F30" t="str">
        <f>IF($E30=0, "NA", ROUND(SUM(services_v2_9!F30,services_v2_8!F30,services_v2_7!F30,services_v2_6!F30,services_v2_10!F30)/COUNT(services_v2_9!F30,services_v2_8!F30,services_v2_7!F30,services_v2_6!F30,services_v2_10!F30),0))</f>
        <v>NA</v>
      </c>
      <c r="G30" t="str">
        <f>IF($E30=0, "NA", ROUND(SUM(services_v2_9!G30,services_v2_8!G30,services_v2_7!G30,services_v2_6!G30,services_v2_10!G30)/COUNT(services_v2_9!G30,services_v2_8!G30,services_v2_7!G30,services_v2_6!G30,services_v2_10!G30),0))</f>
        <v>NA</v>
      </c>
      <c r="H30" t="str">
        <f>IF(AND(F30=1,G30=1),ROUND(SUM(services_v2_9!H30,services_v2_8!H30,services_v2_7!H30,services_v2_6!H30,services_v2_10!H30)/COUNT(services_v2_9!H30,services_v2_8!H30,services_v2_7!H30,services_v2_6!H30,services_v2_10!H30),0),"NA")</f>
        <v>NA</v>
      </c>
      <c r="I30" t="str">
        <f>IF($E30=0, "NA", ROUND(SUM(services_v2_9!I30,services_v2_8!I30,services_v2_7!I30,services_v2_6!I30,services_v2_10!I30)/COUNT(services_v2_9!I30,services_v2_8!I30,services_v2_7!I30,services_v2_6!I30,services_v2_10!I30),0))</f>
        <v>NA</v>
      </c>
      <c r="J30" t="str">
        <f>IF(F30=1,ROUND(SUM(services_v2_9!J30,services_v2_8!J30,services_v2_7!J30,services_v2_6!J30,services_v2_10!J30)/COUNT(services_v2_9!J30,services_v2_8!J30,services_v2_7!J30,services_v2_6!J30,services_v2_10!J30),0),"NA")</f>
        <v>NA</v>
      </c>
      <c r="K30" t="str">
        <f>IF($E30=0, "NA", ROUND(SUM(services_v2_9!K30,services_v2_8!K30,services_v2_7!K30,services_v2_6!K30,services_v2_10!K30)/COUNT(services_v2_9!K30,services_v2_8!K30,services_v2_7!K30,services_v2_6!K30,services_v2_10!K30),0))</f>
        <v>NA</v>
      </c>
      <c r="L30" t="str">
        <f>IF($E30=0, "NA", ROUND(SUM(services_v2_9!L30,services_v2_8!L30,services_v2_7!L30,services_v2_6!L30,services_v2_10!L30)/COUNT(services_v2_9!L30,services_v2_8!L30,services_v2_7!L30,services_v2_6!L30,services_v2_10!L30),0))</f>
        <v>NA</v>
      </c>
      <c r="M30" t="str">
        <f>IF($E30=0, "NA", ROUND(SUM(services_v2_9!M30,services_v2_8!M30,services_v2_7!M30,services_v2_6!M30,services_v2_10!M30)/COUNT(services_v2_9!M30,services_v2_8!M30,services_v2_7!M30,services_v2_6!M30,services_v2_10!M30),0))</f>
        <v>NA</v>
      </c>
      <c r="N30" t="str">
        <f>IF($E30=0, "NA", ROUND(SUM(services_v2_9!N30,services_v2_8!N30,services_v2_7!N30,services_v2_6!N30,services_v2_10!N30)/COUNT(services_v2_9!N30,services_v2_8!N30,services_v2_7!N30,services_v2_6!N30,services_v2_10!N30),0))</f>
        <v>NA</v>
      </c>
      <c r="O30" t="str">
        <f>IF($E30=0, "NA", ROUND(SUM(services_v2_9!O30,services_v2_8!O30,services_v2_7!O30,services_v2_6!O30,services_v2_10!O30)/COUNT(services_v2_9!O30,services_v2_8!O30,services_v2_7!O30,services_v2_6!O30,services_v2_10!O30),0))</f>
        <v>NA</v>
      </c>
    </row>
    <row r="31" spans="1:15" x14ac:dyDescent="0.25">
      <c r="A31" t="s">
        <v>16</v>
      </c>
      <c r="B31" t="s">
        <v>63</v>
      </c>
      <c r="C31">
        <v>0</v>
      </c>
      <c r="D31">
        <v>5.3404498100280762</v>
      </c>
      <c r="E31">
        <f>ROUND(SUM(services_v2_9!E31,services_v2_8!E31,services_v2_7!E31,services_v2_6!E31,services_v2_10!E31)/COUNT(services_v2_9!E31,services_v2_8!E31,services_v2_7!E31,services_v2_6!E31,services_v2_10!E31),0)</f>
        <v>1</v>
      </c>
      <c r="F31">
        <f>IF($E31=0, "NA", ROUND(SUM(services_v2_9!F31,services_v2_8!F31,services_v2_7!F31,services_v2_6!F31,services_v2_10!F31)/COUNT(services_v2_9!F31,services_v2_8!F31,services_v2_7!F31,services_v2_6!F31,services_v2_10!F31),0))</f>
        <v>0</v>
      </c>
      <c r="G31">
        <f>IF($E31=0, "NA", ROUND(SUM(services_v2_9!G31,services_v2_8!G31,services_v2_7!G31,services_v2_6!G31,services_v2_10!G31)/COUNT(services_v2_9!G31,services_v2_8!G31,services_v2_7!G31,services_v2_6!G31,services_v2_10!G31),0))</f>
        <v>1</v>
      </c>
      <c r="H31" t="str">
        <f>IF(AND(F31=1,G31=1),ROUND(SUM(services_v2_9!H31,services_v2_8!H31,services_v2_7!H31,services_v2_6!H31,services_v2_10!H31)/COUNT(services_v2_9!H31,services_v2_8!H31,services_v2_7!H31,services_v2_6!H31,services_v2_10!H31),0),"NA")</f>
        <v>NA</v>
      </c>
      <c r="I31">
        <f>IF($E31=0, "NA", ROUND(SUM(services_v2_9!I31,services_v2_8!I31,services_v2_7!I31,services_v2_6!I31,services_v2_10!I31)/COUNT(services_v2_9!I31,services_v2_8!I31,services_v2_7!I31,services_v2_6!I31,services_v2_10!I31),0))</f>
        <v>1</v>
      </c>
      <c r="J31" t="str">
        <f>IF(F31=1,ROUND(SUM(services_v2_9!J31,services_v2_8!J31,services_v2_7!J31,services_v2_6!J31,services_v2_10!J31)/COUNT(services_v2_9!J31,services_v2_8!J31,services_v2_7!J31,services_v2_6!J31,services_v2_10!J31),0),"NA")</f>
        <v>NA</v>
      </c>
      <c r="K31">
        <f>IF($E31=0, "NA", ROUND(SUM(services_v2_9!K31,services_v2_8!K31,services_v2_7!K31,services_v2_6!K31,services_v2_10!K31)/COUNT(services_v2_9!K31,services_v2_8!K31,services_v2_7!K31,services_v2_6!K31,services_v2_10!K31),0))</f>
        <v>1</v>
      </c>
      <c r="L31">
        <f>IF($E31=0, "NA", ROUND(SUM(services_v2_9!L31,services_v2_8!L31,services_v2_7!L31,services_v2_6!L31,services_v2_10!L31)/COUNT(services_v2_9!L31,services_v2_8!L31,services_v2_7!L31,services_v2_6!L31,services_v2_10!L31),0))</f>
        <v>1</v>
      </c>
      <c r="M31">
        <f>IF($E31=0, "NA", ROUND(SUM(services_v2_9!M31,services_v2_8!M31,services_v2_7!M31,services_v2_6!M31,services_v2_10!M31)/COUNT(services_v2_9!M31,services_v2_8!M31,services_v2_7!M31,services_v2_6!M31,services_v2_10!M31),0))</f>
        <v>1</v>
      </c>
      <c r="N31">
        <f>IF($E31=0, "NA", ROUND(SUM(services_v2_9!N31,services_v2_8!N31,services_v2_7!N31,services_v2_6!N31,services_v2_10!N31)/COUNT(services_v2_9!N31,services_v2_8!N31,services_v2_7!N31,services_v2_6!N31,services_v2_10!N31),0))</f>
        <v>1</v>
      </c>
      <c r="O31">
        <f>IF($E31=0, "NA", ROUND(SUM(services_v2_9!O31,services_v2_8!O31,services_v2_7!O31,services_v2_6!O31,services_v2_10!O31)/COUNT(services_v2_9!O31,services_v2_8!O31,services_v2_7!O31,services_v2_6!O31,services_v2_10!O31),0))</f>
        <v>1</v>
      </c>
    </row>
    <row r="32" spans="1:15" x14ac:dyDescent="0.25">
      <c r="A32" t="s">
        <v>16</v>
      </c>
      <c r="B32" t="s">
        <v>65</v>
      </c>
      <c r="C32">
        <v>0</v>
      </c>
      <c r="D32">
        <v>4.8256056308746338</v>
      </c>
      <c r="E32">
        <f>ROUND(SUM(services_v2_9!E32,services_v2_8!E32,services_v2_7!E32,services_v2_6!E32,services_v2_10!E32)/COUNT(services_v2_9!E32,services_v2_8!E32,services_v2_7!E32,services_v2_6!E32,services_v2_10!E32),0)</f>
        <v>1</v>
      </c>
      <c r="F32">
        <f>IF($E32=0, "NA", ROUND(SUM(services_v2_9!F32,services_v2_8!F32,services_v2_7!F32,services_v2_6!F32,services_v2_10!F32)/COUNT(services_v2_9!F32,services_v2_8!F32,services_v2_7!F32,services_v2_6!F32,services_v2_10!F32),0))</f>
        <v>0</v>
      </c>
      <c r="G32">
        <f>IF($E32=0, "NA", ROUND(SUM(services_v2_9!G32,services_v2_8!G32,services_v2_7!G32,services_v2_6!G32,services_v2_10!G32)/COUNT(services_v2_9!G32,services_v2_8!G32,services_v2_7!G32,services_v2_6!G32,services_v2_10!G32),0))</f>
        <v>1</v>
      </c>
      <c r="H32" t="str">
        <f>IF(AND(F32=1,G32=1),ROUND(SUM(services_v2_9!H32,services_v2_8!H32,services_v2_7!H32,services_v2_6!H32,services_v2_10!H32)/COUNT(services_v2_9!H32,services_v2_8!H32,services_v2_7!H32,services_v2_6!H32,services_v2_10!H32),0),"NA")</f>
        <v>NA</v>
      </c>
      <c r="I32">
        <f>IF($E32=0, "NA", ROUND(SUM(services_v2_9!I32,services_v2_8!I32,services_v2_7!I32,services_v2_6!I32,services_v2_10!I32)/COUNT(services_v2_9!I32,services_v2_8!I32,services_v2_7!I32,services_v2_6!I32,services_v2_10!I32),0))</f>
        <v>1</v>
      </c>
      <c r="J32" t="str">
        <f>IF(F32=1,ROUND(SUM(services_v2_9!J32,services_v2_8!J32,services_v2_7!J32,services_v2_6!J32,services_v2_10!J32)/COUNT(services_v2_9!J32,services_v2_8!J32,services_v2_7!J32,services_v2_6!J32,services_v2_10!J32),0),"NA")</f>
        <v>NA</v>
      </c>
      <c r="K32">
        <f>IF($E32=0, "NA", ROUND(SUM(services_v2_9!K32,services_v2_8!K32,services_v2_7!K32,services_v2_6!K32,services_v2_10!K32)/COUNT(services_v2_9!K32,services_v2_8!K32,services_v2_7!K32,services_v2_6!K32,services_v2_10!K32),0))</f>
        <v>1</v>
      </c>
      <c r="L32">
        <f>IF($E32=0, "NA", ROUND(SUM(services_v2_9!L32,services_v2_8!L32,services_v2_7!L32,services_v2_6!L32,services_v2_10!L32)/COUNT(services_v2_9!L32,services_v2_8!L32,services_v2_7!L32,services_v2_6!L32,services_v2_10!L32),0))</f>
        <v>1</v>
      </c>
      <c r="M32">
        <f>IF($E32=0, "NA", ROUND(SUM(services_v2_9!M32,services_v2_8!M32,services_v2_7!M32,services_v2_6!M32,services_v2_10!M32)/COUNT(services_v2_9!M32,services_v2_8!M32,services_v2_7!M32,services_v2_6!M32,services_v2_10!M32),0))</f>
        <v>1</v>
      </c>
      <c r="N32">
        <f>IF($E32=0, "NA", ROUND(SUM(services_v2_9!N32,services_v2_8!N32,services_v2_7!N32,services_v2_6!N32,services_v2_10!N32)/COUNT(services_v2_9!N32,services_v2_8!N32,services_v2_7!N32,services_v2_6!N32,services_v2_10!N32),0))</f>
        <v>1</v>
      </c>
      <c r="O32">
        <f>IF($E32=0, "NA", ROUND(SUM(services_v2_9!O32,services_v2_8!O32,services_v2_7!O32,services_v2_6!O32,services_v2_10!O32)/COUNT(services_v2_9!O32,services_v2_8!O32,services_v2_7!O32,services_v2_6!O32,services_v2_10!O32),0))</f>
        <v>1</v>
      </c>
    </row>
    <row r="33" spans="1:15" x14ac:dyDescent="0.25">
      <c r="A33" t="s">
        <v>16</v>
      </c>
      <c r="B33" t="s">
        <v>67</v>
      </c>
      <c r="C33">
        <v>0</v>
      </c>
      <c r="D33">
        <v>9.8622920513153076</v>
      </c>
      <c r="E33">
        <f>ROUND(SUM(services_v2_9!E33,services_v2_8!E33,services_v2_7!E33,services_v2_6!E33,services_v2_10!E33)/COUNT(services_v2_9!E33,services_v2_8!E33,services_v2_7!E33,services_v2_6!E33,services_v2_10!E33),0)</f>
        <v>1</v>
      </c>
      <c r="F33">
        <f>IF($E33=0, "NA", ROUND(SUM(services_v2_9!F33,services_v2_8!F33,services_v2_7!F33,services_v2_6!F33,services_v2_10!F33)/COUNT(services_v2_9!F33,services_v2_8!F33,services_v2_7!F33,services_v2_6!F33,services_v2_10!F33),0))</f>
        <v>1</v>
      </c>
      <c r="G33">
        <f>IF($E33=0, "NA", ROUND(SUM(services_v2_9!G33,services_v2_8!G33,services_v2_7!G33,services_v2_6!G33,services_v2_10!G33)/COUNT(services_v2_9!G33,services_v2_8!G33,services_v2_7!G33,services_v2_6!G33,services_v2_10!G33),0))</f>
        <v>1</v>
      </c>
      <c r="H33">
        <f>IF(AND(F33=1,G33=1),ROUND(SUM(services_v2_9!H33,services_v2_8!H33,services_v2_7!H33,services_v2_6!H33,services_v2_10!H33)/COUNT(services_v2_9!H33,services_v2_8!H33,services_v2_7!H33,services_v2_6!H33,services_v2_10!H33),0),"NA")</f>
        <v>1</v>
      </c>
      <c r="I33">
        <f>IF($E33=0, "NA", ROUND(SUM(services_v2_9!I33,services_v2_8!I33,services_v2_7!I33,services_v2_6!I33,services_v2_10!I33)/COUNT(services_v2_9!I33,services_v2_8!I33,services_v2_7!I33,services_v2_6!I33,services_v2_10!I33),0))</f>
        <v>1</v>
      </c>
      <c r="J33">
        <f>IF(F33=1,ROUND(SUM(services_v2_9!J33,services_v2_8!J33,services_v2_7!J33,services_v2_6!J33,services_v2_10!J33)/COUNT(services_v2_9!J33,services_v2_8!J33,services_v2_7!J33,services_v2_6!J33,services_v2_10!J33),0),"NA")</f>
        <v>1</v>
      </c>
      <c r="K33">
        <f>IF($E33=0, "NA", ROUND(SUM(services_v2_9!K33,services_v2_8!K33,services_v2_7!K33,services_v2_6!K33,services_v2_10!K33)/COUNT(services_v2_9!K33,services_v2_8!K33,services_v2_7!K33,services_v2_6!K33,services_v2_10!K33),0))</f>
        <v>1</v>
      </c>
      <c r="L33">
        <f>IF($E33=0, "NA", ROUND(SUM(services_v2_9!L33,services_v2_8!L33,services_v2_7!L33,services_v2_6!L33,services_v2_10!L33)/COUNT(services_v2_9!L33,services_v2_8!L33,services_v2_7!L33,services_v2_6!L33,services_v2_10!L33),0))</f>
        <v>1</v>
      </c>
      <c r="M33">
        <f>IF($E33=0, "NA", ROUND(SUM(services_v2_9!M33,services_v2_8!M33,services_v2_7!M33,services_v2_6!M33,services_v2_10!M33)/COUNT(services_v2_9!M33,services_v2_8!M33,services_v2_7!M33,services_v2_6!M33,services_v2_10!M33),0))</f>
        <v>1</v>
      </c>
      <c r="N33">
        <f>IF($E33=0, "NA", ROUND(SUM(services_v2_9!N33,services_v2_8!N33,services_v2_7!N33,services_v2_6!N33,services_v2_10!N33)/COUNT(services_v2_9!N33,services_v2_8!N33,services_v2_7!N33,services_v2_6!N33,services_v2_10!N33),0))</f>
        <v>1</v>
      </c>
      <c r="O33">
        <f>IF($E33=0, "NA", ROUND(SUM(services_v2_9!O33,services_v2_8!O33,services_v2_7!O33,services_v2_6!O33,services_v2_10!O33)/COUNT(services_v2_9!O33,services_v2_8!O33,services_v2_7!O33,services_v2_6!O33,services_v2_10!O33),0))</f>
        <v>1</v>
      </c>
    </row>
    <row r="34" spans="1:15" x14ac:dyDescent="0.25">
      <c r="A34" t="s">
        <v>16</v>
      </c>
      <c r="B34" t="s">
        <v>69</v>
      </c>
      <c r="C34">
        <v>0</v>
      </c>
      <c r="D34">
        <v>5.7878282070159912</v>
      </c>
      <c r="E34">
        <f>ROUND(SUM(services_v2_9!E34,services_v2_8!E34,services_v2_7!E34,services_v2_6!E34,services_v2_10!E34)/COUNT(services_v2_9!E34,services_v2_8!E34,services_v2_7!E34,services_v2_6!E34,services_v2_10!E34),0)</f>
        <v>0</v>
      </c>
      <c r="F34" t="str">
        <f>IF($E34=0, "NA", ROUND(SUM(services_v2_9!F34,services_v2_8!F34,services_v2_7!F34,services_v2_6!F34,services_v2_10!F34)/COUNT(services_v2_9!F34,services_v2_8!F34,services_v2_7!F34,services_v2_6!F34,services_v2_10!F34),0))</f>
        <v>NA</v>
      </c>
      <c r="G34" t="str">
        <f>IF($E34=0, "NA", ROUND(SUM(services_v2_9!G34,services_v2_8!G34,services_v2_7!G34,services_v2_6!G34,services_v2_10!G34)/COUNT(services_v2_9!G34,services_v2_8!G34,services_v2_7!G34,services_v2_6!G34,services_v2_10!G34),0))</f>
        <v>NA</v>
      </c>
      <c r="H34" t="str">
        <f>IF(AND(F34=1,G34=1),ROUND(SUM(services_v2_9!H34,services_v2_8!H34,services_v2_7!H34,services_v2_6!H34,services_v2_10!H34)/COUNT(services_v2_9!H34,services_v2_8!H34,services_v2_7!H34,services_v2_6!H34,services_v2_10!H34),0),"NA")</f>
        <v>NA</v>
      </c>
      <c r="I34" t="str">
        <f>IF($E34=0, "NA", ROUND(SUM(services_v2_9!I34,services_v2_8!I34,services_v2_7!I34,services_v2_6!I34,services_v2_10!I34)/COUNT(services_v2_9!I34,services_v2_8!I34,services_v2_7!I34,services_v2_6!I34,services_v2_10!I34),0))</f>
        <v>NA</v>
      </c>
      <c r="J34" t="str">
        <f>IF(F34=1,ROUND(SUM(services_v2_9!J34,services_v2_8!J34,services_v2_7!J34,services_v2_6!J34,services_v2_10!J34)/COUNT(services_v2_9!J34,services_v2_8!J34,services_v2_7!J34,services_v2_6!J34,services_v2_10!J34),0),"NA")</f>
        <v>NA</v>
      </c>
      <c r="K34" t="str">
        <f>IF($E34=0, "NA", ROUND(SUM(services_v2_9!K34,services_v2_8!K34,services_v2_7!K34,services_v2_6!K34,services_v2_10!K34)/COUNT(services_v2_9!K34,services_v2_8!K34,services_v2_7!K34,services_v2_6!K34,services_v2_10!K34),0))</f>
        <v>NA</v>
      </c>
      <c r="L34" t="str">
        <f>IF($E34=0, "NA", ROUND(SUM(services_v2_9!L34,services_v2_8!L34,services_v2_7!L34,services_v2_6!L34,services_v2_10!L34)/COUNT(services_v2_9!L34,services_v2_8!L34,services_v2_7!L34,services_v2_6!L34,services_v2_10!L34),0))</f>
        <v>NA</v>
      </c>
      <c r="M34" t="str">
        <f>IF($E34=0, "NA", ROUND(SUM(services_v2_9!M34,services_v2_8!M34,services_v2_7!M34,services_v2_6!M34,services_v2_10!M34)/COUNT(services_v2_9!M34,services_v2_8!M34,services_v2_7!M34,services_v2_6!M34,services_v2_10!M34),0))</f>
        <v>NA</v>
      </c>
      <c r="N34" t="str">
        <f>IF($E34=0, "NA", ROUND(SUM(services_v2_9!N34,services_v2_8!N34,services_v2_7!N34,services_v2_6!N34,services_v2_10!N34)/COUNT(services_v2_9!N34,services_v2_8!N34,services_v2_7!N34,services_v2_6!N34,services_v2_10!N34),0))</f>
        <v>NA</v>
      </c>
      <c r="O34" t="str">
        <f>IF($E34=0, "NA", ROUND(SUM(services_v2_9!O34,services_v2_8!O34,services_v2_7!O34,services_v2_6!O34,services_v2_10!O34)/COUNT(services_v2_9!O34,services_v2_8!O34,services_v2_7!O34,services_v2_6!O34,services_v2_10!O34),0))</f>
        <v>NA</v>
      </c>
    </row>
    <row r="35" spans="1:15" x14ac:dyDescent="0.25">
      <c r="A35" t="s">
        <v>16</v>
      </c>
      <c r="B35" t="s">
        <v>71</v>
      </c>
      <c r="C35">
        <v>0</v>
      </c>
      <c r="D35">
        <v>9.4229245185852051</v>
      </c>
      <c r="E35">
        <f>ROUND(SUM(services_v2_9!E35,services_v2_8!E35,services_v2_7!E35,services_v2_6!E35,services_v2_10!E35)/COUNT(services_v2_9!E35,services_v2_8!E35,services_v2_7!E35,services_v2_6!E35,services_v2_10!E35),0)</f>
        <v>1</v>
      </c>
      <c r="F35">
        <f>IF($E35=0, "NA", ROUND(SUM(services_v2_9!F35,services_v2_8!F35,services_v2_7!F35,services_v2_6!F35,services_v2_10!F35)/COUNT(services_v2_9!F35,services_v2_8!F35,services_v2_7!F35,services_v2_6!F35,services_v2_10!F35),0))</f>
        <v>1</v>
      </c>
      <c r="G35">
        <f>IF($E35=0, "NA", ROUND(SUM(services_v2_9!G35,services_v2_8!G35,services_v2_7!G35,services_v2_6!G35,services_v2_10!G35)/COUNT(services_v2_9!G35,services_v2_8!G35,services_v2_7!G35,services_v2_6!G35,services_v2_10!G35),0))</f>
        <v>1</v>
      </c>
      <c r="H35">
        <f>IF(AND(F35=1,G35=1),ROUND(SUM(services_v2_9!H35,services_v2_8!H35,services_v2_7!H35,services_v2_6!H35,services_v2_10!H35)/COUNT(services_v2_9!H35,services_v2_8!H35,services_v2_7!H35,services_v2_6!H35,services_v2_10!H35),0),"NA")</f>
        <v>1</v>
      </c>
      <c r="I35">
        <f>IF($E35=0, "NA", ROUND(SUM(services_v2_9!I35,services_v2_8!I35,services_v2_7!I35,services_v2_6!I35,services_v2_10!I35)/COUNT(services_v2_9!I35,services_v2_8!I35,services_v2_7!I35,services_v2_6!I35,services_v2_10!I35),0))</f>
        <v>1</v>
      </c>
      <c r="J35">
        <f>IF(F35=1,ROUND(SUM(services_v2_9!J35,services_v2_8!J35,services_v2_7!J35,services_v2_6!J35,services_v2_10!J35)/COUNT(services_v2_9!J35,services_v2_8!J35,services_v2_7!J35,services_v2_6!J35,services_v2_10!J35),0),"NA")</f>
        <v>1</v>
      </c>
      <c r="K35">
        <f>IF($E35=0, "NA", ROUND(SUM(services_v2_9!K35,services_v2_8!K35,services_v2_7!K35,services_v2_6!K35,services_v2_10!K35)/COUNT(services_v2_9!K35,services_v2_8!K35,services_v2_7!K35,services_v2_6!K35,services_v2_10!K35),0))</f>
        <v>1</v>
      </c>
      <c r="L35">
        <f>IF($E35=0, "NA", ROUND(SUM(services_v2_9!L35,services_v2_8!L35,services_v2_7!L35,services_v2_6!L35,services_v2_10!L35)/COUNT(services_v2_9!L35,services_v2_8!L35,services_v2_7!L35,services_v2_6!L35,services_v2_10!L35),0))</f>
        <v>1</v>
      </c>
      <c r="M35">
        <f>IF($E35=0, "NA", ROUND(SUM(services_v2_9!M35,services_v2_8!M35,services_v2_7!M35,services_v2_6!M35,services_v2_10!M35)/COUNT(services_v2_9!M35,services_v2_8!M35,services_v2_7!M35,services_v2_6!M35,services_v2_10!M35),0))</f>
        <v>1</v>
      </c>
      <c r="N35">
        <f>IF($E35=0, "NA", ROUND(SUM(services_v2_9!N35,services_v2_8!N35,services_v2_7!N35,services_v2_6!N35,services_v2_10!N35)/COUNT(services_v2_9!N35,services_v2_8!N35,services_v2_7!N35,services_v2_6!N35,services_v2_10!N35),0))</f>
        <v>1</v>
      </c>
      <c r="O35">
        <f>IF($E35=0, "NA", ROUND(SUM(services_v2_9!O35,services_v2_8!O35,services_v2_7!O35,services_v2_6!O35,services_v2_10!O35)/COUNT(services_v2_9!O35,services_v2_8!O35,services_v2_7!O35,services_v2_6!O35,services_v2_10!O35),0))</f>
        <v>1</v>
      </c>
    </row>
    <row r="36" spans="1:15" x14ac:dyDescent="0.25">
      <c r="A36" t="s">
        <v>16</v>
      </c>
      <c r="B36" t="s">
        <v>72</v>
      </c>
      <c r="C36">
        <v>0</v>
      </c>
      <c r="D36">
        <v>2.5533957481384282</v>
      </c>
      <c r="E36">
        <f>ROUND(SUM(services_v2_9!E36,services_v2_8!E36,services_v2_7!E36,services_v2_6!E36,services_v2_10!E36)/COUNT(services_v2_9!E36,services_v2_8!E36,services_v2_7!E36,services_v2_6!E36,services_v2_10!E36),0)</f>
        <v>1</v>
      </c>
      <c r="F36">
        <f>IF($E36=0, "NA", ROUND(SUM(services_v2_9!F36,services_v2_8!F36,services_v2_7!F36,services_v2_6!F36,services_v2_10!F36)/COUNT(services_v2_9!F36,services_v2_8!F36,services_v2_7!F36,services_v2_6!F36,services_v2_10!F36),0))</f>
        <v>1</v>
      </c>
      <c r="G36">
        <f>IF($E36=0, "NA", ROUND(SUM(services_v2_9!G36,services_v2_8!G36,services_v2_7!G36,services_v2_6!G36,services_v2_10!G36)/COUNT(services_v2_9!G36,services_v2_8!G36,services_v2_7!G36,services_v2_6!G36,services_v2_10!G36),0))</f>
        <v>1</v>
      </c>
      <c r="H36">
        <f>IF(AND(F36=1,G36=1),ROUND(SUM(services_v2_9!H36,services_v2_8!H36,services_v2_7!H36,services_v2_6!H36,services_v2_10!H36)/COUNT(services_v2_9!H36,services_v2_8!H36,services_v2_7!H36,services_v2_6!H36,services_v2_10!H36),0),"NA")</f>
        <v>1</v>
      </c>
      <c r="I36">
        <f>IF($E36=0, "NA", ROUND(SUM(services_v2_9!I36,services_v2_8!I36,services_v2_7!I36,services_v2_6!I36,services_v2_10!I36)/COUNT(services_v2_9!I36,services_v2_8!I36,services_v2_7!I36,services_v2_6!I36,services_v2_10!I36),0))</f>
        <v>1</v>
      </c>
      <c r="J36">
        <f>IF(F36=1,ROUND(SUM(services_v2_9!J36,services_v2_8!J36,services_v2_7!J36,services_v2_6!J36,services_v2_10!J36)/COUNT(services_v2_9!J36,services_v2_8!J36,services_v2_7!J36,services_v2_6!J36,services_v2_10!J36),0),"NA")</f>
        <v>1</v>
      </c>
      <c r="K36">
        <f>IF($E36=0, "NA", ROUND(SUM(services_v2_9!K36,services_v2_8!K36,services_v2_7!K36,services_v2_6!K36,services_v2_10!K36)/COUNT(services_v2_9!K36,services_v2_8!K36,services_v2_7!K36,services_v2_6!K36,services_v2_10!K36),0))</f>
        <v>1</v>
      </c>
      <c r="L36">
        <f>IF($E36=0, "NA", ROUND(SUM(services_v2_9!L36,services_v2_8!L36,services_v2_7!L36,services_v2_6!L36,services_v2_10!L36)/COUNT(services_v2_9!L36,services_v2_8!L36,services_v2_7!L36,services_v2_6!L36,services_v2_10!L36),0))</f>
        <v>1</v>
      </c>
      <c r="M36">
        <f>IF($E36=0, "NA", ROUND(SUM(services_v2_9!M36,services_v2_8!M36,services_v2_7!M36,services_v2_6!M36,services_v2_10!M36)/COUNT(services_v2_9!M36,services_v2_8!M36,services_v2_7!M36,services_v2_6!M36,services_v2_10!M36),0))</f>
        <v>1</v>
      </c>
      <c r="N36">
        <f>IF($E36=0, "NA", ROUND(SUM(services_v2_9!N36,services_v2_8!N36,services_v2_7!N36,services_v2_6!N36,services_v2_10!N36)/COUNT(services_v2_9!N36,services_v2_8!N36,services_v2_7!N36,services_v2_6!N36,services_v2_10!N36),0))</f>
        <v>1</v>
      </c>
      <c r="O36">
        <f>IF($E36=0, "NA", ROUND(SUM(services_v2_9!O36,services_v2_8!O36,services_v2_7!O36,services_v2_6!O36,services_v2_10!O36)/COUNT(services_v2_9!O36,services_v2_8!O36,services_v2_7!O36,services_v2_6!O36,services_v2_10!O36),0))</f>
        <v>1</v>
      </c>
    </row>
    <row r="37" spans="1:15" x14ac:dyDescent="0.25">
      <c r="A37" t="s">
        <v>16</v>
      </c>
      <c r="B37" t="s">
        <v>73</v>
      </c>
      <c r="C37">
        <v>0</v>
      </c>
      <c r="D37">
        <v>4.8272571563720703</v>
      </c>
      <c r="E37">
        <f>ROUND(SUM(services_v2_9!E37,services_v2_8!E37,services_v2_7!E37,services_v2_6!E37,services_v2_10!E37)/COUNT(services_v2_9!E37,services_v2_8!E37,services_v2_7!E37,services_v2_6!E37,services_v2_10!E37),0)</f>
        <v>1</v>
      </c>
      <c r="F37">
        <f>IF($E37=0, "NA", ROUND(SUM(services_v2_9!F37,services_v2_8!F37,services_v2_7!F37,services_v2_6!F37,services_v2_10!F37)/COUNT(services_v2_9!F37,services_v2_8!F37,services_v2_7!F37,services_v2_6!F37,services_v2_10!F37),0))</f>
        <v>0</v>
      </c>
      <c r="G37">
        <f>IF($E37=0, "NA", ROUND(SUM(services_v2_9!G37,services_v2_8!G37,services_v2_7!G37,services_v2_6!G37,services_v2_10!G37)/COUNT(services_v2_9!G37,services_v2_8!G37,services_v2_7!G37,services_v2_6!G37,services_v2_10!G37),0))</f>
        <v>1</v>
      </c>
      <c r="H37" t="str">
        <f>IF(AND(F37=1,G37=1),ROUND(SUM(services_v2_9!H37,services_v2_8!H37,services_v2_7!H37,services_v2_6!H37,services_v2_10!H37)/COUNT(services_v2_9!H37,services_v2_8!H37,services_v2_7!H37,services_v2_6!H37,services_v2_10!H37),0),"NA")</f>
        <v>NA</v>
      </c>
      <c r="I37">
        <f>IF($E37=0, "NA", ROUND(SUM(services_v2_9!I37,services_v2_8!I37,services_v2_7!I37,services_v2_6!I37,services_v2_10!I37)/COUNT(services_v2_9!I37,services_v2_8!I37,services_v2_7!I37,services_v2_6!I37,services_v2_10!I37),0))</f>
        <v>1</v>
      </c>
      <c r="J37" t="str">
        <f>IF(F37=1,ROUND(SUM(services_v2_9!J37,services_v2_8!J37,services_v2_7!J37,services_v2_6!J37,services_v2_10!J37)/COUNT(services_v2_9!J37,services_v2_8!J37,services_v2_7!J37,services_v2_6!J37,services_v2_10!J37),0),"NA")</f>
        <v>NA</v>
      </c>
      <c r="K37">
        <f>IF($E37=0, "NA", ROUND(SUM(services_v2_9!K37,services_v2_8!K37,services_v2_7!K37,services_v2_6!K37,services_v2_10!K37)/COUNT(services_v2_9!K37,services_v2_8!K37,services_v2_7!K37,services_v2_6!K37,services_v2_10!K37),0))</f>
        <v>1</v>
      </c>
      <c r="L37">
        <f>IF($E37=0, "NA", ROUND(SUM(services_v2_9!L37,services_v2_8!L37,services_v2_7!L37,services_v2_6!L37,services_v2_10!L37)/COUNT(services_v2_9!L37,services_v2_8!L37,services_v2_7!L37,services_v2_6!L37,services_v2_10!L37),0))</f>
        <v>1</v>
      </c>
      <c r="M37">
        <f>IF($E37=0, "NA", ROUND(SUM(services_v2_9!M37,services_v2_8!M37,services_v2_7!M37,services_v2_6!M37,services_v2_10!M37)/COUNT(services_v2_9!M37,services_v2_8!M37,services_v2_7!M37,services_v2_6!M37,services_v2_10!M37),0))</f>
        <v>1</v>
      </c>
      <c r="N37">
        <f>IF($E37=0, "NA", ROUND(SUM(services_v2_9!N37,services_v2_8!N37,services_v2_7!N37,services_v2_6!N37,services_v2_10!N37)/COUNT(services_v2_9!N37,services_v2_8!N37,services_v2_7!N37,services_v2_6!N37,services_v2_10!N37),0))</f>
        <v>1</v>
      </c>
      <c r="O37">
        <f>IF($E37=0, "NA", ROUND(SUM(services_v2_9!O37,services_v2_8!O37,services_v2_7!O37,services_v2_6!O37,services_v2_10!O37)/COUNT(services_v2_9!O37,services_v2_8!O37,services_v2_7!O37,services_v2_6!O37,services_v2_10!O37),0))</f>
        <v>1</v>
      </c>
    </row>
    <row r="38" spans="1:15" x14ac:dyDescent="0.25">
      <c r="A38" t="s">
        <v>16</v>
      </c>
      <c r="B38" t="s">
        <v>75</v>
      </c>
      <c r="C38">
        <v>0</v>
      </c>
      <c r="D38">
        <v>3.8220615386962891</v>
      </c>
      <c r="E38">
        <f>ROUND(SUM(services_v2_9!E38,services_v2_8!E38,services_v2_7!E38,services_v2_6!E38,services_v2_10!E38)/COUNT(services_v2_9!E38,services_v2_8!E38,services_v2_7!E38,services_v2_6!E38,services_v2_10!E38),0)</f>
        <v>1</v>
      </c>
      <c r="F38">
        <f>IF($E38=0, "NA", ROUND(SUM(services_v2_9!F38,services_v2_8!F38,services_v2_7!F38,services_v2_6!F38,services_v2_10!F38)/COUNT(services_v2_9!F38,services_v2_8!F38,services_v2_7!F38,services_v2_6!F38,services_v2_10!F38),0))</f>
        <v>0</v>
      </c>
      <c r="G38">
        <f>IF($E38=0, "NA", ROUND(SUM(services_v2_9!G38,services_v2_8!G38,services_v2_7!G38,services_v2_6!G38,services_v2_10!G38)/COUNT(services_v2_9!G38,services_v2_8!G38,services_v2_7!G38,services_v2_6!G38,services_v2_10!G38),0))</f>
        <v>1</v>
      </c>
      <c r="H38" t="str">
        <f>IF(AND(F38=1,G38=1),ROUND(SUM(services_v2_9!H38,services_v2_8!H38,services_v2_7!H38,services_v2_6!H38,services_v2_10!H38)/COUNT(services_v2_9!H38,services_v2_8!H38,services_v2_7!H38,services_v2_6!H38,services_v2_10!H38),0),"NA")</f>
        <v>NA</v>
      </c>
      <c r="I38">
        <f>IF($E38=0, "NA", ROUND(SUM(services_v2_9!I38,services_v2_8!I38,services_v2_7!I38,services_v2_6!I38,services_v2_10!I38)/COUNT(services_v2_9!I38,services_v2_8!I38,services_v2_7!I38,services_v2_6!I38,services_v2_10!I38),0))</f>
        <v>1</v>
      </c>
      <c r="J38" t="str">
        <f>IF(F38=1,ROUND(SUM(services_v2_9!J38,services_v2_8!J38,services_v2_7!J38,services_v2_6!J38,services_v2_10!J38)/COUNT(services_v2_9!J38,services_v2_8!J38,services_v2_7!J38,services_v2_6!J38,services_v2_10!J38),0),"NA")</f>
        <v>NA</v>
      </c>
      <c r="K38">
        <f>IF($E38=0, "NA", ROUND(SUM(services_v2_9!K38,services_v2_8!K38,services_v2_7!K38,services_v2_6!K38,services_v2_10!K38)/COUNT(services_v2_9!K38,services_v2_8!K38,services_v2_7!K38,services_v2_6!K38,services_v2_10!K38),0))</f>
        <v>1</v>
      </c>
      <c r="L38">
        <f>IF($E38=0, "NA", ROUND(SUM(services_v2_9!L38,services_v2_8!L38,services_v2_7!L38,services_v2_6!L38,services_v2_10!L38)/COUNT(services_v2_9!L38,services_v2_8!L38,services_v2_7!L38,services_v2_6!L38,services_v2_10!L38),0))</f>
        <v>1</v>
      </c>
      <c r="M38">
        <f>IF($E38=0, "NA", ROUND(SUM(services_v2_9!M38,services_v2_8!M38,services_v2_7!M38,services_v2_6!M38,services_v2_10!M38)/COUNT(services_v2_9!M38,services_v2_8!M38,services_v2_7!M38,services_v2_6!M38,services_v2_10!M38),0))</f>
        <v>1</v>
      </c>
      <c r="N38">
        <f>IF($E38=0, "NA", ROUND(SUM(services_v2_9!N38,services_v2_8!N38,services_v2_7!N38,services_v2_6!N38,services_v2_10!N38)/COUNT(services_v2_9!N38,services_v2_8!N38,services_v2_7!N38,services_v2_6!N38,services_v2_10!N38),0))</f>
        <v>1</v>
      </c>
      <c r="O38">
        <f>IF($E38=0, "NA", ROUND(SUM(services_v2_9!O38,services_v2_8!O38,services_v2_7!O38,services_v2_6!O38,services_v2_10!O38)/COUNT(services_v2_9!O38,services_v2_8!O38,services_v2_7!O38,services_v2_6!O38,services_v2_10!O38),0))</f>
        <v>1</v>
      </c>
    </row>
    <row r="39" spans="1:15" x14ac:dyDescent="0.25">
      <c r="A39" t="s">
        <v>16</v>
      </c>
      <c r="B39" t="s">
        <v>77</v>
      </c>
      <c r="C39">
        <v>0</v>
      </c>
      <c r="D39">
        <v>10.359656572341921</v>
      </c>
      <c r="E39">
        <f>ROUND(SUM(services_v2_9!E39,services_v2_8!E39,services_v2_7!E39,services_v2_6!E39,services_v2_10!E39)/COUNT(services_v2_9!E39,services_v2_8!E39,services_v2_7!E39,services_v2_6!E39,services_v2_10!E39),0)</f>
        <v>1</v>
      </c>
      <c r="F39">
        <f>IF($E39=0, "NA", ROUND(SUM(services_v2_9!F39,services_v2_8!F39,services_v2_7!F39,services_v2_6!F39,services_v2_10!F39)/COUNT(services_v2_9!F39,services_v2_8!F39,services_v2_7!F39,services_v2_6!F39,services_v2_10!F39),0))</f>
        <v>1</v>
      </c>
      <c r="G39">
        <f>IF($E39=0, "NA", ROUND(SUM(services_v2_9!G39,services_v2_8!G39,services_v2_7!G39,services_v2_6!G39,services_v2_10!G39)/COUNT(services_v2_9!G39,services_v2_8!G39,services_v2_7!G39,services_v2_6!G39,services_v2_10!G39),0))</f>
        <v>1</v>
      </c>
      <c r="H39">
        <f>IF(AND(F39=1,G39=1),ROUND(SUM(services_v2_9!H39,services_v2_8!H39,services_v2_7!H39,services_v2_6!H39,services_v2_10!H39)/COUNT(services_v2_9!H39,services_v2_8!H39,services_v2_7!H39,services_v2_6!H39,services_v2_10!H39),0),"NA")</f>
        <v>1</v>
      </c>
      <c r="I39">
        <f>IF($E39=0, "NA", ROUND(SUM(services_v2_9!I39,services_v2_8!I39,services_v2_7!I39,services_v2_6!I39,services_v2_10!I39)/COUNT(services_v2_9!I39,services_v2_8!I39,services_v2_7!I39,services_v2_6!I39,services_v2_10!I39),0))</f>
        <v>1</v>
      </c>
      <c r="J39">
        <f>IF(F39=1,ROUND(SUM(services_v2_9!J39,services_v2_8!J39,services_v2_7!J39,services_v2_6!J39,services_v2_10!J39)/COUNT(services_v2_9!J39,services_v2_8!J39,services_v2_7!J39,services_v2_6!J39,services_v2_10!J39),0),"NA")</f>
        <v>1</v>
      </c>
      <c r="K39">
        <f>IF($E39=0, "NA", ROUND(SUM(services_v2_9!K39,services_v2_8!K39,services_v2_7!K39,services_v2_6!K39,services_v2_10!K39)/COUNT(services_v2_9!K39,services_v2_8!K39,services_v2_7!K39,services_v2_6!K39,services_v2_10!K39),0))</f>
        <v>1</v>
      </c>
      <c r="L39">
        <f>IF($E39=0, "NA", ROUND(SUM(services_v2_9!L39,services_v2_8!L39,services_v2_7!L39,services_v2_6!L39,services_v2_10!L39)/COUNT(services_v2_9!L39,services_v2_8!L39,services_v2_7!L39,services_v2_6!L39,services_v2_10!L39),0))</f>
        <v>1</v>
      </c>
      <c r="M39">
        <f>IF($E39=0, "NA", ROUND(SUM(services_v2_9!M39,services_v2_8!M39,services_v2_7!M39,services_v2_6!M39,services_v2_10!M39)/COUNT(services_v2_9!M39,services_v2_8!M39,services_v2_7!M39,services_v2_6!M39,services_v2_10!M39),0))</f>
        <v>1</v>
      </c>
      <c r="N39">
        <f>IF($E39=0, "NA", ROUND(SUM(services_v2_9!N39,services_v2_8!N39,services_v2_7!N39,services_v2_6!N39,services_v2_10!N39)/COUNT(services_v2_9!N39,services_v2_8!N39,services_v2_7!N39,services_v2_6!N39,services_v2_10!N39),0))</f>
        <v>1</v>
      </c>
      <c r="O39">
        <f>IF($E39=0, "NA", ROUND(SUM(services_v2_9!O39,services_v2_8!O39,services_v2_7!O39,services_v2_6!O39,services_v2_10!O39)/COUNT(services_v2_9!O39,services_v2_8!O39,services_v2_7!O39,services_v2_6!O39,services_v2_10!O39),0))</f>
        <v>1</v>
      </c>
    </row>
    <row r="40" spans="1:15" x14ac:dyDescent="0.25">
      <c r="A40" t="s">
        <v>16</v>
      </c>
      <c r="B40" t="s">
        <v>78</v>
      </c>
      <c r="C40">
        <v>0</v>
      </c>
      <c r="D40">
        <v>9.5862164497375488</v>
      </c>
      <c r="E40">
        <f>ROUND(SUM(services_v2_9!E40,services_v2_8!E40,services_v2_7!E40,services_v2_6!E40,services_v2_10!E40)/COUNT(services_v2_9!E40,services_v2_8!E40,services_v2_7!E40,services_v2_6!E40,services_v2_10!E40),0)</f>
        <v>1</v>
      </c>
      <c r="F40">
        <f>IF($E40=0, "NA", ROUND(SUM(services_v2_9!F40,services_v2_8!F40,services_v2_7!F40,services_v2_6!F40,services_v2_10!F40)/COUNT(services_v2_9!F40,services_v2_8!F40,services_v2_7!F40,services_v2_6!F40,services_v2_10!F40),0))</f>
        <v>1</v>
      </c>
      <c r="G40">
        <f>IF($E40=0, "NA", ROUND(SUM(services_v2_9!G40,services_v2_8!G40,services_v2_7!G40,services_v2_6!G40,services_v2_10!G40)/COUNT(services_v2_9!G40,services_v2_8!G40,services_v2_7!G40,services_v2_6!G40,services_v2_10!G40),0))</f>
        <v>0</v>
      </c>
      <c r="H40" t="str">
        <f>IF(AND(F40=1,G40=1),ROUND(SUM(services_v2_9!H40,services_v2_8!H40,services_v2_7!H40,services_v2_6!H40,services_v2_10!H40)/COUNT(services_v2_9!H40,services_v2_8!H40,services_v2_7!H40,services_v2_6!H40,services_v2_10!H40),0),"NA")</f>
        <v>NA</v>
      </c>
      <c r="I40">
        <f>IF($E40=0, "NA", ROUND(SUM(services_v2_9!I40,services_v2_8!I40,services_v2_7!I40,services_v2_6!I40,services_v2_10!I40)/COUNT(services_v2_9!I40,services_v2_8!I40,services_v2_7!I40,services_v2_6!I40,services_v2_10!I40),0))</f>
        <v>1</v>
      </c>
      <c r="J40">
        <f>IF(F40=1,ROUND(SUM(services_v2_9!J40,services_v2_8!J40,services_v2_7!J40,services_v2_6!J40,services_v2_10!J40)/COUNT(services_v2_9!J40,services_v2_8!J40,services_v2_7!J40,services_v2_6!J40,services_v2_10!J40),0),"NA")</f>
        <v>1</v>
      </c>
      <c r="K40">
        <f>IF($E40=0, "NA", ROUND(SUM(services_v2_9!K40,services_v2_8!K40,services_v2_7!K40,services_v2_6!K40,services_v2_10!K40)/COUNT(services_v2_9!K40,services_v2_8!K40,services_v2_7!K40,services_v2_6!K40,services_v2_10!K40),0))</f>
        <v>1</v>
      </c>
      <c r="L40">
        <f>IF($E40=0, "NA", ROUND(SUM(services_v2_9!L40,services_v2_8!L40,services_v2_7!L40,services_v2_6!L40,services_v2_10!L40)/COUNT(services_v2_9!L40,services_v2_8!L40,services_v2_7!L40,services_v2_6!L40,services_v2_10!L40),0))</f>
        <v>1</v>
      </c>
      <c r="M40">
        <f>IF($E40=0, "NA", ROUND(SUM(services_v2_9!M40,services_v2_8!M40,services_v2_7!M40,services_v2_6!M40,services_v2_10!M40)/COUNT(services_v2_9!M40,services_v2_8!M40,services_v2_7!M40,services_v2_6!M40,services_v2_10!M40),0))</f>
        <v>1</v>
      </c>
      <c r="N40">
        <f>IF($E40=0, "NA", ROUND(SUM(services_v2_9!N40,services_v2_8!N40,services_v2_7!N40,services_v2_6!N40,services_v2_10!N40)/COUNT(services_v2_9!N40,services_v2_8!N40,services_v2_7!N40,services_v2_6!N40,services_v2_10!N40),0))</f>
        <v>1</v>
      </c>
      <c r="O40">
        <f>IF($E40=0, "NA", ROUND(SUM(services_v2_9!O40,services_v2_8!O40,services_v2_7!O40,services_v2_6!O40,services_v2_10!O40)/COUNT(services_v2_9!O40,services_v2_8!O40,services_v2_7!O40,services_v2_6!O40,services_v2_10!O40),0))</f>
        <v>1</v>
      </c>
    </row>
    <row r="41" spans="1:15" x14ac:dyDescent="0.25">
      <c r="A41" t="s">
        <v>16</v>
      </c>
      <c r="B41" t="s">
        <v>80</v>
      </c>
      <c r="C41">
        <v>0</v>
      </c>
      <c r="D41">
        <v>8.9972741603851318</v>
      </c>
      <c r="E41">
        <f>ROUND(SUM(services_v2_9!E41,services_v2_8!E41,services_v2_7!E41,services_v2_6!E41,services_v2_10!E41)/COUNT(services_v2_9!E41,services_v2_8!E41,services_v2_7!E41,services_v2_6!E41,services_v2_10!E41),0)</f>
        <v>0</v>
      </c>
      <c r="F41" t="str">
        <f>IF($E41=0, "NA", ROUND(SUM(services_v2_9!F41,services_v2_8!F41,services_v2_7!F41,services_v2_6!F41,services_v2_10!F41)/COUNT(services_v2_9!F41,services_v2_8!F41,services_v2_7!F41,services_v2_6!F41,services_v2_10!F41),0))</f>
        <v>NA</v>
      </c>
      <c r="G41" t="str">
        <f>IF($E41=0, "NA", ROUND(SUM(services_v2_9!G41,services_v2_8!G41,services_v2_7!G41,services_v2_6!G41,services_v2_10!G41)/COUNT(services_v2_9!G41,services_v2_8!G41,services_v2_7!G41,services_v2_6!G41,services_v2_10!G41),0))</f>
        <v>NA</v>
      </c>
      <c r="H41" t="str">
        <f>IF(AND(F41=1,G41=1),ROUND(SUM(services_v2_9!H41,services_v2_8!H41,services_v2_7!H41,services_v2_6!H41,services_v2_10!H41)/COUNT(services_v2_9!H41,services_v2_8!H41,services_v2_7!H41,services_v2_6!H41,services_v2_10!H41),0),"NA")</f>
        <v>NA</v>
      </c>
      <c r="I41" t="str">
        <f>IF($E41=0, "NA", ROUND(SUM(services_v2_9!I41,services_v2_8!I41,services_v2_7!I41,services_v2_6!I41,services_v2_10!I41)/COUNT(services_v2_9!I41,services_v2_8!I41,services_v2_7!I41,services_v2_6!I41,services_v2_10!I41),0))</f>
        <v>NA</v>
      </c>
      <c r="J41" t="str">
        <f>IF(F41=1,ROUND(SUM(services_v2_9!J41,services_v2_8!J41,services_v2_7!J41,services_v2_6!J41,services_v2_10!J41)/COUNT(services_v2_9!J41,services_v2_8!J41,services_v2_7!J41,services_v2_6!J41,services_v2_10!J41),0),"NA")</f>
        <v>NA</v>
      </c>
      <c r="K41" t="str">
        <f>IF($E41=0, "NA", ROUND(SUM(services_v2_9!K41,services_v2_8!K41,services_v2_7!K41,services_v2_6!K41,services_v2_10!K41)/COUNT(services_v2_9!K41,services_v2_8!K41,services_v2_7!K41,services_v2_6!K41,services_v2_10!K41),0))</f>
        <v>NA</v>
      </c>
      <c r="L41" t="str">
        <f>IF($E41=0, "NA", ROUND(SUM(services_v2_9!L41,services_v2_8!L41,services_v2_7!L41,services_v2_6!L41,services_v2_10!L41)/COUNT(services_v2_9!L41,services_v2_8!L41,services_v2_7!L41,services_v2_6!L41,services_v2_10!L41),0))</f>
        <v>NA</v>
      </c>
      <c r="M41" t="str">
        <f>IF($E41=0, "NA", ROUND(SUM(services_v2_9!M41,services_v2_8!M41,services_v2_7!M41,services_v2_6!M41,services_v2_10!M41)/COUNT(services_v2_9!M41,services_v2_8!M41,services_v2_7!M41,services_v2_6!M41,services_v2_10!M41),0))</f>
        <v>NA</v>
      </c>
      <c r="N41" t="str">
        <f>IF($E41=0, "NA", ROUND(SUM(services_v2_9!N41,services_v2_8!N41,services_v2_7!N41,services_v2_6!N41,services_v2_10!N41)/COUNT(services_v2_9!N41,services_v2_8!N41,services_v2_7!N41,services_v2_6!N41,services_v2_10!N41),0))</f>
        <v>NA</v>
      </c>
      <c r="O41" t="str">
        <f>IF($E41=0, "NA", ROUND(SUM(services_v2_9!O41,services_v2_8!O41,services_v2_7!O41,services_v2_6!O41,services_v2_10!O41)/COUNT(services_v2_9!O41,services_v2_8!O41,services_v2_7!O41,services_v2_6!O41,services_v2_10!O41),0))</f>
        <v>NA</v>
      </c>
    </row>
    <row r="42" spans="1:15" x14ac:dyDescent="0.25">
      <c r="A42" t="s">
        <v>16</v>
      </c>
      <c r="B42" t="s">
        <v>82</v>
      </c>
      <c r="C42">
        <v>0</v>
      </c>
      <c r="D42">
        <v>12.39122366905212</v>
      </c>
      <c r="E42">
        <f>ROUND(SUM(services_v2_9!E42,services_v2_8!E42,services_v2_7!E42,services_v2_6!E42,services_v2_10!E42)/COUNT(services_v2_9!E42,services_v2_8!E42,services_v2_7!E42,services_v2_6!E42,services_v2_10!E42),0)</f>
        <v>0</v>
      </c>
      <c r="F42" t="str">
        <f>IF($E42=0, "NA", ROUND(SUM(services_v2_9!F42,services_v2_8!F42,services_v2_7!F42,services_v2_6!F42,services_v2_10!F42)/COUNT(services_v2_9!F42,services_v2_8!F42,services_v2_7!F42,services_v2_6!F42,services_v2_10!F42),0))</f>
        <v>NA</v>
      </c>
      <c r="G42" t="str">
        <f>IF($E42=0, "NA", ROUND(SUM(services_v2_9!G42,services_v2_8!G42,services_v2_7!G42,services_v2_6!G42,services_v2_10!G42)/COUNT(services_v2_9!G42,services_v2_8!G42,services_v2_7!G42,services_v2_6!G42,services_v2_10!G42),0))</f>
        <v>NA</v>
      </c>
      <c r="H42" t="str">
        <f>IF(AND(F42=1,G42=1),ROUND(SUM(services_v2_9!H42,services_v2_8!H42,services_v2_7!H42,services_v2_6!H42,services_v2_10!H42)/COUNT(services_v2_9!H42,services_v2_8!H42,services_v2_7!H42,services_v2_6!H42,services_v2_10!H42),0),"NA")</f>
        <v>NA</v>
      </c>
      <c r="I42" t="str">
        <f>IF($E42=0, "NA", ROUND(SUM(services_v2_9!I42,services_v2_8!I42,services_v2_7!I42,services_v2_6!I42,services_v2_10!I42)/COUNT(services_v2_9!I42,services_v2_8!I42,services_v2_7!I42,services_v2_6!I42,services_v2_10!I42),0))</f>
        <v>NA</v>
      </c>
      <c r="J42" t="str">
        <f>IF(F42=1,ROUND(SUM(services_v2_9!J42,services_v2_8!J42,services_v2_7!J42,services_v2_6!J42,services_v2_10!J42)/COUNT(services_v2_9!J42,services_v2_8!J42,services_v2_7!J42,services_v2_6!J42,services_v2_10!J42),0),"NA")</f>
        <v>NA</v>
      </c>
      <c r="K42" t="str">
        <f>IF($E42=0, "NA", ROUND(SUM(services_v2_9!K42,services_v2_8!K42,services_v2_7!K42,services_v2_6!K42,services_v2_10!K42)/COUNT(services_v2_9!K42,services_v2_8!K42,services_v2_7!K42,services_v2_6!K42,services_v2_10!K42),0))</f>
        <v>NA</v>
      </c>
      <c r="L42" t="str">
        <f>IF($E42=0, "NA", ROUND(SUM(services_v2_9!L42,services_v2_8!L42,services_v2_7!L42,services_v2_6!L42,services_v2_10!L42)/COUNT(services_v2_9!L42,services_v2_8!L42,services_v2_7!L42,services_v2_6!L42,services_v2_10!L42),0))</f>
        <v>NA</v>
      </c>
      <c r="M42" t="str">
        <f>IF($E42=0, "NA", ROUND(SUM(services_v2_9!M42,services_v2_8!M42,services_v2_7!M42,services_v2_6!M42,services_v2_10!M42)/COUNT(services_v2_9!M42,services_v2_8!M42,services_v2_7!M42,services_v2_6!M42,services_v2_10!M42),0))</f>
        <v>NA</v>
      </c>
      <c r="N42" t="str">
        <f>IF($E42=0, "NA", ROUND(SUM(services_v2_9!N42,services_v2_8!N42,services_v2_7!N42,services_v2_6!N42,services_v2_10!N42)/COUNT(services_v2_9!N42,services_v2_8!N42,services_v2_7!N42,services_v2_6!N42,services_v2_10!N42),0))</f>
        <v>NA</v>
      </c>
      <c r="O42" t="str">
        <f>IF($E42=0, "NA", ROUND(SUM(services_v2_9!O42,services_v2_8!O42,services_v2_7!O42,services_v2_6!O42,services_v2_10!O42)/COUNT(services_v2_9!O42,services_v2_8!O42,services_v2_7!O42,services_v2_6!O42,services_v2_10!O42),0))</f>
        <v>NA</v>
      </c>
    </row>
    <row r="43" spans="1:15" x14ac:dyDescent="0.25">
      <c r="A43" t="s">
        <v>16</v>
      </c>
      <c r="B43" t="s">
        <v>84</v>
      </c>
      <c r="C43">
        <v>0</v>
      </c>
      <c r="D43">
        <v>9.4957168102264404</v>
      </c>
      <c r="E43">
        <f>ROUND(SUM(services_v2_9!E43,services_v2_8!E43,services_v2_7!E43,services_v2_6!E43,services_v2_10!E43)/COUNT(services_v2_9!E43,services_v2_8!E43,services_v2_7!E43,services_v2_6!E43,services_v2_10!E43),0)</f>
        <v>1</v>
      </c>
      <c r="F43">
        <f>IF($E43=0, "NA", ROUND(SUM(services_v2_9!F43,services_v2_8!F43,services_v2_7!F43,services_v2_6!F43,services_v2_10!F43)/COUNT(services_v2_9!F43,services_v2_8!F43,services_v2_7!F43,services_v2_6!F43,services_v2_10!F43),0))</f>
        <v>1</v>
      </c>
      <c r="G43">
        <f>IF($E43=0, "NA", ROUND(SUM(services_v2_9!G43,services_v2_8!G43,services_v2_7!G43,services_v2_6!G43,services_v2_10!G43)/COUNT(services_v2_9!G43,services_v2_8!G43,services_v2_7!G43,services_v2_6!G43,services_v2_10!G43),0))</f>
        <v>1</v>
      </c>
      <c r="H43">
        <f>IF(AND(F43=1,G43=1),ROUND(SUM(services_v2_9!H43,services_v2_8!H43,services_v2_7!H43,services_v2_6!H43,services_v2_10!H43)/COUNT(services_v2_9!H43,services_v2_8!H43,services_v2_7!H43,services_v2_6!H43,services_v2_10!H43),0),"NA")</f>
        <v>1</v>
      </c>
      <c r="I43">
        <f>IF($E43=0, "NA", ROUND(SUM(services_v2_9!I43,services_v2_8!I43,services_v2_7!I43,services_v2_6!I43,services_v2_10!I43)/COUNT(services_v2_9!I43,services_v2_8!I43,services_v2_7!I43,services_v2_6!I43,services_v2_10!I43),0))</f>
        <v>1</v>
      </c>
      <c r="J43">
        <f>IF(F43=1,ROUND(SUM(services_v2_9!J43,services_v2_8!J43,services_v2_7!J43,services_v2_6!J43,services_v2_10!J43)/COUNT(services_v2_9!J43,services_v2_8!J43,services_v2_7!J43,services_v2_6!J43,services_v2_10!J43),0),"NA")</f>
        <v>1</v>
      </c>
      <c r="K43">
        <f>IF($E43=0, "NA", ROUND(SUM(services_v2_9!K43,services_v2_8!K43,services_v2_7!K43,services_v2_6!K43,services_v2_10!K43)/COUNT(services_v2_9!K43,services_v2_8!K43,services_v2_7!K43,services_v2_6!K43,services_v2_10!K43),0))</f>
        <v>1</v>
      </c>
      <c r="L43">
        <f>IF($E43=0, "NA", ROUND(SUM(services_v2_9!L43,services_v2_8!L43,services_v2_7!L43,services_v2_6!L43,services_v2_10!L43)/COUNT(services_v2_9!L43,services_v2_8!L43,services_v2_7!L43,services_v2_6!L43,services_v2_10!L43),0))</f>
        <v>1</v>
      </c>
      <c r="M43">
        <f>IF($E43=0, "NA", ROUND(SUM(services_v2_9!M43,services_v2_8!M43,services_v2_7!M43,services_v2_6!M43,services_v2_10!M43)/COUNT(services_v2_9!M43,services_v2_8!M43,services_v2_7!M43,services_v2_6!M43,services_v2_10!M43),0))</f>
        <v>1</v>
      </c>
      <c r="N43">
        <f>IF($E43=0, "NA", ROUND(SUM(services_v2_9!N43,services_v2_8!N43,services_v2_7!N43,services_v2_6!N43,services_v2_10!N43)/COUNT(services_v2_9!N43,services_v2_8!N43,services_v2_7!N43,services_v2_6!N43,services_v2_10!N43),0))</f>
        <v>1</v>
      </c>
      <c r="O43">
        <f>IF($E43=0, "NA", ROUND(SUM(services_v2_9!O43,services_v2_8!O43,services_v2_7!O43,services_v2_6!O43,services_v2_10!O43)/COUNT(services_v2_9!O43,services_v2_8!O43,services_v2_7!O43,services_v2_6!O43,services_v2_10!O43),0))</f>
        <v>1</v>
      </c>
    </row>
    <row r="44" spans="1:15" x14ac:dyDescent="0.25">
      <c r="A44" t="s">
        <v>16</v>
      </c>
      <c r="B44" t="s">
        <v>85</v>
      </c>
      <c r="C44">
        <v>0</v>
      </c>
      <c r="D44">
        <v>5.0676248073577881</v>
      </c>
      <c r="E44">
        <f>ROUND(SUM(services_v2_9!E44,services_v2_8!E44,services_v2_7!E44,services_v2_6!E44,services_v2_10!E44)/COUNT(services_v2_9!E44,services_v2_8!E44,services_v2_7!E44,services_v2_6!E44,services_v2_10!E44),0)</f>
        <v>1</v>
      </c>
      <c r="F44">
        <f>IF($E44=0, "NA", ROUND(SUM(services_v2_9!F44,services_v2_8!F44,services_v2_7!F44,services_v2_6!F44,services_v2_10!F44)/COUNT(services_v2_9!F44,services_v2_8!F44,services_v2_7!F44,services_v2_6!F44,services_v2_10!F44),0))</f>
        <v>1</v>
      </c>
      <c r="G44">
        <f>IF($E44=0, "NA", ROUND(SUM(services_v2_9!G44,services_v2_8!G44,services_v2_7!G44,services_v2_6!G44,services_v2_10!G44)/COUNT(services_v2_9!G44,services_v2_8!G44,services_v2_7!G44,services_v2_6!G44,services_v2_10!G44),0))</f>
        <v>1</v>
      </c>
      <c r="H44">
        <f>IF(AND(F44=1,G44=1),ROUND(SUM(services_v2_9!H44,services_v2_8!H44,services_v2_7!H44,services_v2_6!H44,services_v2_10!H44)/COUNT(services_v2_9!H44,services_v2_8!H44,services_v2_7!H44,services_v2_6!H44,services_v2_10!H44),0),"NA")</f>
        <v>0</v>
      </c>
      <c r="I44">
        <f>IF($E44=0, "NA", ROUND(SUM(services_v2_9!I44,services_v2_8!I44,services_v2_7!I44,services_v2_6!I44,services_v2_10!I44)/COUNT(services_v2_9!I44,services_v2_8!I44,services_v2_7!I44,services_v2_6!I44,services_v2_10!I44),0))</f>
        <v>1</v>
      </c>
      <c r="J44">
        <f>IF(F44=1,ROUND(SUM(services_v2_9!J44,services_v2_8!J44,services_v2_7!J44,services_v2_6!J44,services_v2_10!J44)/COUNT(services_v2_9!J44,services_v2_8!J44,services_v2_7!J44,services_v2_6!J44,services_v2_10!J44),0),"NA")</f>
        <v>1</v>
      </c>
      <c r="K44">
        <f>IF($E44=0, "NA", ROUND(SUM(services_v2_9!K44,services_v2_8!K44,services_v2_7!K44,services_v2_6!K44,services_v2_10!K44)/COUNT(services_v2_9!K44,services_v2_8!K44,services_v2_7!K44,services_v2_6!K44,services_v2_10!K44),0))</f>
        <v>1</v>
      </c>
      <c r="L44">
        <f>IF($E44=0, "NA", ROUND(SUM(services_v2_9!L44,services_v2_8!L44,services_v2_7!L44,services_v2_6!L44,services_v2_10!L44)/COUNT(services_v2_9!L44,services_v2_8!L44,services_v2_7!L44,services_v2_6!L44,services_v2_10!L44),0))</f>
        <v>1</v>
      </c>
      <c r="M44">
        <f>IF($E44=0, "NA", ROUND(SUM(services_v2_9!M44,services_v2_8!M44,services_v2_7!M44,services_v2_6!M44,services_v2_10!M44)/COUNT(services_v2_9!M44,services_v2_8!M44,services_v2_7!M44,services_v2_6!M44,services_v2_10!M44),0))</f>
        <v>1</v>
      </c>
      <c r="N44">
        <f>IF($E44=0, "NA", ROUND(SUM(services_v2_9!N44,services_v2_8!N44,services_v2_7!N44,services_v2_6!N44,services_v2_10!N44)/COUNT(services_v2_9!N44,services_v2_8!N44,services_v2_7!N44,services_v2_6!N44,services_v2_10!N44),0))</f>
        <v>1</v>
      </c>
      <c r="O44">
        <f>IF($E44=0, "NA", ROUND(SUM(services_v2_9!O44,services_v2_8!O44,services_v2_7!O44,services_v2_6!O44,services_v2_10!O44)/COUNT(services_v2_9!O44,services_v2_8!O44,services_v2_7!O44,services_v2_6!O44,services_v2_10!O44),0))</f>
        <v>1</v>
      </c>
    </row>
    <row r="45" spans="1:15" x14ac:dyDescent="0.25">
      <c r="A45" t="s">
        <v>16</v>
      </c>
      <c r="B45" t="s">
        <v>87</v>
      </c>
      <c r="C45">
        <v>0</v>
      </c>
      <c r="D45">
        <v>6.3326661586761466</v>
      </c>
      <c r="E45">
        <f>ROUND(SUM(services_v2_9!E45,services_v2_8!E45,services_v2_7!E45,services_v2_6!E45,services_v2_10!E45)/COUNT(services_v2_9!E45,services_v2_8!E45,services_v2_7!E45,services_v2_6!E45,services_v2_10!E45),0)</f>
        <v>1</v>
      </c>
      <c r="F45">
        <f>IF($E45=0, "NA", ROUND(SUM(services_v2_9!F45,services_v2_8!F45,services_v2_7!F45,services_v2_6!F45,services_v2_10!F45)/COUNT(services_v2_9!F45,services_v2_8!F45,services_v2_7!F45,services_v2_6!F45,services_v2_10!F45),0))</f>
        <v>1</v>
      </c>
      <c r="G45">
        <f>IF($E45=0, "NA", ROUND(SUM(services_v2_9!G45,services_v2_8!G45,services_v2_7!G45,services_v2_6!G45,services_v2_10!G45)/COUNT(services_v2_9!G45,services_v2_8!G45,services_v2_7!G45,services_v2_6!G45,services_v2_10!G45),0))</f>
        <v>0</v>
      </c>
      <c r="H45" t="str">
        <f>IF(AND(F45=1,G45=1),ROUND(SUM(services_v2_9!H45,services_v2_8!H45,services_v2_7!H45,services_v2_6!H45,services_v2_10!H45)/COUNT(services_v2_9!H45,services_v2_8!H45,services_v2_7!H45,services_v2_6!H45,services_v2_10!H45),0),"NA")</f>
        <v>NA</v>
      </c>
      <c r="I45">
        <f>IF($E45=0, "NA", ROUND(SUM(services_v2_9!I45,services_v2_8!I45,services_v2_7!I45,services_v2_6!I45,services_v2_10!I45)/COUNT(services_v2_9!I45,services_v2_8!I45,services_v2_7!I45,services_v2_6!I45,services_v2_10!I45),0))</f>
        <v>1</v>
      </c>
      <c r="J45">
        <f>IF(F45=1,ROUND(SUM(services_v2_9!J45,services_v2_8!J45,services_v2_7!J45,services_v2_6!J45,services_v2_10!J45)/COUNT(services_v2_9!J45,services_v2_8!J45,services_v2_7!J45,services_v2_6!J45,services_v2_10!J45),0),"NA")</f>
        <v>0</v>
      </c>
      <c r="K45">
        <f>IF($E45=0, "NA", ROUND(SUM(services_v2_9!K45,services_v2_8!K45,services_v2_7!K45,services_v2_6!K45,services_v2_10!K45)/COUNT(services_v2_9!K45,services_v2_8!K45,services_v2_7!K45,services_v2_6!K45,services_v2_10!K45),0))</f>
        <v>1</v>
      </c>
      <c r="L45">
        <f>IF($E45=0, "NA", ROUND(SUM(services_v2_9!L45,services_v2_8!L45,services_v2_7!L45,services_v2_6!L45,services_v2_10!L45)/COUNT(services_v2_9!L45,services_v2_8!L45,services_v2_7!L45,services_v2_6!L45,services_v2_10!L45),0))</f>
        <v>1</v>
      </c>
      <c r="M45">
        <f>IF($E45=0, "NA", ROUND(SUM(services_v2_9!M45,services_v2_8!M45,services_v2_7!M45,services_v2_6!M45,services_v2_10!M45)/COUNT(services_v2_9!M45,services_v2_8!M45,services_v2_7!M45,services_v2_6!M45,services_v2_10!M45),0))</f>
        <v>1</v>
      </c>
      <c r="N45">
        <f>IF($E45=0, "NA", ROUND(SUM(services_v2_9!N45,services_v2_8!N45,services_v2_7!N45,services_v2_6!N45,services_v2_10!N45)/COUNT(services_v2_9!N45,services_v2_8!N45,services_v2_7!N45,services_v2_6!N45,services_v2_10!N45),0))</f>
        <v>1</v>
      </c>
      <c r="O45">
        <f>IF($E45=0, "NA", ROUND(SUM(services_v2_9!O45,services_v2_8!O45,services_v2_7!O45,services_v2_6!O45,services_v2_10!O45)/COUNT(services_v2_9!O45,services_v2_8!O45,services_v2_7!O45,services_v2_6!O45,services_v2_10!O45),0))</f>
        <v>1</v>
      </c>
    </row>
    <row r="46" spans="1:15" x14ac:dyDescent="0.25">
      <c r="A46" t="s">
        <v>16</v>
      </c>
      <c r="B46" t="s">
        <v>89</v>
      </c>
      <c r="C46">
        <v>0</v>
      </c>
      <c r="D46">
        <v>5.9560503959655762</v>
      </c>
      <c r="E46">
        <f>ROUND(SUM(services_v2_9!E46,services_v2_8!E46,services_v2_7!E46,services_v2_6!E46,services_v2_10!E46)/COUNT(services_v2_9!E46,services_v2_8!E46,services_v2_7!E46,services_v2_6!E46,services_v2_10!E46),0)</f>
        <v>1</v>
      </c>
      <c r="F46">
        <f>IF($E46=0, "NA", ROUND(SUM(services_v2_9!F46,services_v2_8!F46,services_v2_7!F46,services_v2_6!F46,services_v2_10!F46)/COUNT(services_v2_9!F46,services_v2_8!F46,services_v2_7!F46,services_v2_6!F46,services_v2_10!F46),0))</f>
        <v>1</v>
      </c>
      <c r="G46">
        <f>IF($E46=0, "NA", ROUND(SUM(services_v2_9!G46,services_v2_8!G46,services_v2_7!G46,services_v2_6!G46,services_v2_10!G46)/COUNT(services_v2_9!G46,services_v2_8!G46,services_v2_7!G46,services_v2_6!G46,services_v2_10!G46),0))</f>
        <v>1</v>
      </c>
      <c r="H46">
        <f>IF(AND(F46=1,G46=1),ROUND(SUM(services_v2_9!H46,services_v2_8!H46,services_v2_7!H46,services_v2_6!H46,services_v2_10!H46)/COUNT(services_v2_9!H46,services_v2_8!H46,services_v2_7!H46,services_v2_6!H46,services_v2_10!H46),0),"NA")</f>
        <v>1</v>
      </c>
      <c r="I46">
        <f>IF($E46=0, "NA", ROUND(SUM(services_v2_9!I46,services_v2_8!I46,services_v2_7!I46,services_v2_6!I46,services_v2_10!I46)/COUNT(services_v2_9!I46,services_v2_8!I46,services_v2_7!I46,services_v2_6!I46,services_v2_10!I46),0))</f>
        <v>1</v>
      </c>
      <c r="J46">
        <f>IF(F46=1,ROUND(SUM(services_v2_9!J46,services_v2_8!J46,services_v2_7!J46,services_v2_6!J46,services_v2_10!J46)/COUNT(services_v2_9!J46,services_v2_8!J46,services_v2_7!J46,services_v2_6!J46,services_v2_10!J46),0),"NA")</f>
        <v>0</v>
      </c>
      <c r="K46">
        <f>IF($E46=0, "NA", ROUND(SUM(services_v2_9!K46,services_v2_8!K46,services_v2_7!K46,services_v2_6!K46,services_v2_10!K46)/COUNT(services_v2_9!K46,services_v2_8!K46,services_v2_7!K46,services_v2_6!K46,services_v2_10!K46),0))</f>
        <v>1</v>
      </c>
      <c r="L46">
        <f>IF($E46=0, "NA", ROUND(SUM(services_v2_9!L46,services_v2_8!L46,services_v2_7!L46,services_v2_6!L46,services_v2_10!L46)/COUNT(services_v2_9!L46,services_v2_8!L46,services_v2_7!L46,services_v2_6!L46,services_v2_10!L46),0))</f>
        <v>1</v>
      </c>
      <c r="M46">
        <f>IF($E46=0, "NA", ROUND(SUM(services_v2_9!M46,services_v2_8!M46,services_v2_7!M46,services_v2_6!M46,services_v2_10!M46)/COUNT(services_v2_9!M46,services_v2_8!M46,services_v2_7!M46,services_v2_6!M46,services_v2_10!M46),0))</f>
        <v>1</v>
      </c>
      <c r="N46">
        <f>IF($E46=0, "NA", ROUND(SUM(services_v2_9!N46,services_v2_8!N46,services_v2_7!N46,services_v2_6!N46,services_v2_10!N46)/COUNT(services_v2_9!N46,services_v2_8!N46,services_v2_7!N46,services_v2_6!N46,services_v2_10!N46),0))</f>
        <v>1</v>
      </c>
      <c r="O46">
        <f>IF($E46=0, "NA", ROUND(SUM(services_v2_9!O46,services_v2_8!O46,services_v2_7!O46,services_v2_6!O46,services_v2_10!O46)/COUNT(services_v2_9!O46,services_v2_8!O46,services_v2_7!O46,services_v2_6!O46,services_v2_10!O46),0))</f>
        <v>1</v>
      </c>
    </row>
    <row r="47" spans="1:15" x14ac:dyDescent="0.25">
      <c r="A47" t="s">
        <v>16</v>
      </c>
      <c r="B47" t="s">
        <v>91</v>
      </c>
      <c r="C47">
        <v>0</v>
      </c>
      <c r="D47">
        <v>11.83691191673279</v>
      </c>
      <c r="E47">
        <f>ROUND(SUM(services_v2_9!E47,services_v2_8!E47,services_v2_7!E47,services_v2_6!E47,services_v2_10!E47)/COUNT(services_v2_9!E47,services_v2_8!E47,services_v2_7!E47,services_v2_6!E47,services_v2_10!E47),0)</f>
        <v>1</v>
      </c>
      <c r="F47">
        <f>IF($E47=0, "NA", ROUND(SUM(services_v2_9!F47,services_v2_8!F47,services_v2_7!F47,services_v2_6!F47,services_v2_10!F47)/COUNT(services_v2_9!F47,services_v2_8!F47,services_v2_7!F47,services_v2_6!F47,services_v2_10!F47),0))</f>
        <v>1</v>
      </c>
      <c r="G47">
        <f>IF($E47=0, "NA", ROUND(SUM(services_v2_9!G47,services_v2_8!G47,services_v2_7!G47,services_v2_6!G47,services_v2_10!G47)/COUNT(services_v2_9!G47,services_v2_8!G47,services_v2_7!G47,services_v2_6!G47,services_v2_10!G47),0))</f>
        <v>1</v>
      </c>
      <c r="H47">
        <f>IF(AND(F47=1,G47=1),ROUND(SUM(services_v2_9!H47,services_v2_8!H47,services_v2_7!H47,services_v2_6!H47,services_v2_10!H47)/COUNT(services_v2_9!H47,services_v2_8!H47,services_v2_7!H47,services_v2_6!H47,services_v2_10!H47),0),"NA")</f>
        <v>1</v>
      </c>
      <c r="I47">
        <f>IF($E47=0, "NA", ROUND(SUM(services_v2_9!I47,services_v2_8!I47,services_v2_7!I47,services_v2_6!I47,services_v2_10!I47)/COUNT(services_v2_9!I47,services_v2_8!I47,services_v2_7!I47,services_v2_6!I47,services_v2_10!I47),0))</f>
        <v>1</v>
      </c>
      <c r="J47">
        <f>IF(F47=1,ROUND(SUM(services_v2_9!J47,services_v2_8!J47,services_v2_7!J47,services_v2_6!J47,services_v2_10!J47)/COUNT(services_v2_9!J47,services_v2_8!J47,services_v2_7!J47,services_v2_6!J47,services_v2_10!J47),0),"NA")</f>
        <v>1</v>
      </c>
      <c r="K47">
        <f>IF($E47=0, "NA", ROUND(SUM(services_v2_9!K47,services_v2_8!K47,services_v2_7!K47,services_v2_6!K47,services_v2_10!K47)/COUNT(services_v2_9!K47,services_v2_8!K47,services_v2_7!K47,services_v2_6!K47,services_v2_10!K47),0))</f>
        <v>1</v>
      </c>
      <c r="L47">
        <f>IF($E47=0, "NA", ROUND(SUM(services_v2_9!L47,services_v2_8!L47,services_v2_7!L47,services_v2_6!L47,services_v2_10!L47)/COUNT(services_v2_9!L47,services_v2_8!L47,services_v2_7!L47,services_v2_6!L47,services_v2_10!L47),0))</f>
        <v>1</v>
      </c>
      <c r="M47">
        <f>IF($E47=0, "NA", ROUND(SUM(services_v2_9!M47,services_v2_8!M47,services_v2_7!M47,services_v2_6!M47,services_v2_10!M47)/COUNT(services_v2_9!M47,services_v2_8!M47,services_v2_7!M47,services_v2_6!M47,services_v2_10!M47),0))</f>
        <v>1</v>
      </c>
      <c r="N47">
        <f>IF($E47=0, "NA", ROUND(SUM(services_v2_9!N47,services_v2_8!N47,services_v2_7!N47,services_v2_6!N47,services_v2_10!N47)/COUNT(services_v2_9!N47,services_v2_8!N47,services_v2_7!N47,services_v2_6!N47,services_v2_10!N47),0))</f>
        <v>1</v>
      </c>
      <c r="O47">
        <f>IF($E47=0, "NA", ROUND(SUM(services_v2_9!O47,services_v2_8!O47,services_v2_7!O47,services_v2_6!O47,services_v2_10!O47)/COUNT(services_v2_9!O47,services_v2_8!O47,services_v2_7!O47,services_v2_6!O47,services_v2_10!O47),0))</f>
        <v>1</v>
      </c>
    </row>
    <row r="48" spans="1:15" x14ac:dyDescent="0.25">
      <c r="A48" t="s">
        <v>16</v>
      </c>
      <c r="B48" t="s">
        <v>92</v>
      </c>
      <c r="C48">
        <v>0</v>
      </c>
      <c r="D48">
        <v>11.40176129341125</v>
      </c>
      <c r="E48">
        <f>ROUND(SUM(services_v2_9!E48,services_v2_8!E48,services_v2_7!E48,services_v2_6!E48,services_v2_10!E48)/COUNT(services_v2_9!E48,services_v2_8!E48,services_v2_7!E48,services_v2_6!E48,services_v2_10!E48),0)</f>
        <v>1</v>
      </c>
      <c r="F48">
        <f>IF($E48=0, "NA", ROUND(SUM(services_v2_9!F48,services_v2_8!F48,services_v2_7!F48,services_v2_6!F48,services_v2_10!F48)/COUNT(services_v2_9!F48,services_v2_8!F48,services_v2_7!F48,services_v2_6!F48,services_v2_10!F48),0))</f>
        <v>1</v>
      </c>
      <c r="G48">
        <f>IF($E48=0, "NA", ROUND(SUM(services_v2_9!G48,services_v2_8!G48,services_v2_7!G48,services_v2_6!G48,services_v2_10!G48)/COUNT(services_v2_9!G48,services_v2_8!G48,services_v2_7!G48,services_v2_6!G48,services_v2_10!G48),0))</f>
        <v>1</v>
      </c>
      <c r="H48">
        <f>IF(AND(F48=1,G48=1),ROUND(SUM(services_v2_9!H48,services_v2_8!H48,services_v2_7!H48,services_v2_6!H48,services_v2_10!H48)/COUNT(services_v2_9!H48,services_v2_8!H48,services_v2_7!H48,services_v2_6!H48,services_v2_10!H48),0),"NA")</f>
        <v>1</v>
      </c>
      <c r="I48">
        <f>IF($E48=0, "NA", ROUND(SUM(services_v2_9!I48,services_v2_8!I48,services_v2_7!I48,services_v2_6!I48,services_v2_10!I48)/COUNT(services_v2_9!I48,services_v2_8!I48,services_v2_7!I48,services_v2_6!I48,services_v2_10!I48),0))</f>
        <v>1</v>
      </c>
      <c r="J48">
        <f>IF(F48=1,ROUND(SUM(services_v2_9!J48,services_v2_8!J48,services_v2_7!J48,services_v2_6!J48,services_v2_10!J48)/COUNT(services_v2_9!J48,services_v2_8!J48,services_v2_7!J48,services_v2_6!J48,services_v2_10!J48),0),"NA")</f>
        <v>0</v>
      </c>
      <c r="K48">
        <f>IF($E48=0, "NA", ROUND(SUM(services_v2_9!K48,services_v2_8!K48,services_v2_7!K48,services_v2_6!K48,services_v2_10!K48)/COUNT(services_v2_9!K48,services_v2_8!K48,services_v2_7!K48,services_v2_6!K48,services_v2_10!K48),0))</f>
        <v>1</v>
      </c>
      <c r="L48">
        <f>IF($E48=0, "NA", ROUND(SUM(services_v2_9!L48,services_v2_8!L48,services_v2_7!L48,services_v2_6!L48,services_v2_10!L48)/COUNT(services_v2_9!L48,services_v2_8!L48,services_v2_7!L48,services_v2_6!L48,services_v2_10!L48),0))</f>
        <v>1</v>
      </c>
      <c r="M48">
        <f>IF($E48=0, "NA", ROUND(SUM(services_v2_9!M48,services_v2_8!M48,services_v2_7!M48,services_v2_6!M48,services_v2_10!M48)/COUNT(services_v2_9!M48,services_v2_8!M48,services_v2_7!M48,services_v2_6!M48,services_v2_10!M48),0))</f>
        <v>1</v>
      </c>
      <c r="N48">
        <f>IF($E48=0, "NA", ROUND(SUM(services_v2_9!N48,services_v2_8!N48,services_v2_7!N48,services_v2_6!N48,services_v2_10!N48)/COUNT(services_v2_9!N48,services_v2_8!N48,services_v2_7!N48,services_v2_6!N48,services_v2_10!N48),0))</f>
        <v>1</v>
      </c>
      <c r="O48">
        <f>IF($E48=0, "NA", ROUND(SUM(services_v2_9!O48,services_v2_8!O48,services_v2_7!O48,services_v2_6!O48,services_v2_10!O48)/COUNT(services_v2_9!O48,services_v2_8!O48,services_v2_7!O48,services_v2_6!O48,services_v2_10!O48),0))</f>
        <v>1</v>
      </c>
    </row>
    <row r="49" spans="1:15" x14ac:dyDescent="0.25">
      <c r="A49" t="s">
        <v>16</v>
      </c>
      <c r="B49" t="s">
        <v>94</v>
      </c>
      <c r="C49">
        <v>0</v>
      </c>
      <c r="D49">
        <v>2.757574319839478</v>
      </c>
      <c r="E49">
        <f>ROUND(SUM(services_v2_9!E49,services_v2_8!E49,services_v2_7!E49,services_v2_6!E49,services_v2_10!E49)/COUNT(services_v2_9!E49,services_v2_8!E49,services_v2_7!E49,services_v2_6!E49,services_v2_10!E49),0)</f>
        <v>1</v>
      </c>
      <c r="F49">
        <f>IF($E49=0, "NA", ROUND(SUM(services_v2_9!F49,services_v2_8!F49,services_v2_7!F49,services_v2_6!F49,services_v2_10!F49)/COUNT(services_v2_9!F49,services_v2_8!F49,services_v2_7!F49,services_v2_6!F49,services_v2_10!F49),0))</f>
        <v>1</v>
      </c>
      <c r="G49">
        <f>IF($E49=0, "NA", ROUND(SUM(services_v2_9!G49,services_v2_8!G49,services_v2_7!G49,services_v2_6!G49,services_v2_10!G49)/COUNT(services_v2_9!G49,services_v2_8!G49,services_v2_7!G49,services_v2_6!G49,services_v2_10!G49),0))</f>
        <v>1</v>
      </c>
      <c r="H49">
        <f>IF(AND(F49=1,G49=1),ROUND(SUM(services_v2_9!H49,services_v2_8!H49,services_v2_7!H49,services_v2_6!H49,services_v2_10!H49)/COUNT(services_v2_9!H49,services_v2_8!H49,services_v2_7!H49,services_v2_6!H49,services_v2_10!H49),0),"NA")</f>
        <v>1</v>
      </c>
      <c r="I49">
        <f>IF($E49=0, "NA", ROUND(SUM(services_v2_9!I49,services_v2_8!I49,services_v2_7!I49,services_v2_6!I49,services_v2_10!I49)/COUNT(services_v2_9!I49,services_v2_8!I49,services_v2_7!I49,services_v2_6!I49,services_v2_10!I49),0))</f>
        <v>1</v>
      </c>
      <c r="J49">
        <f>IF(F49=1,ROUND(SUM(services_v2_9!J49,services_v2_8!J49,services_v2_7!J49,services_v2_6!J49,services_v2_10!J49)/COUNT(services_v2_9!J49,services_v2_8!J49,services_v2_7!J49,services_v2_6!J49,services_v2_10!J49),0),"NA")</f>
        <v>1</v>
      </c>
      <c r="K49">
        <f>IF($E49=0, "NA", ROUND(SUM(services_v2_9!K49,services_v2_8!K49,services_v2_7!K49,services_v2_6!K49,services_v2_10!K49)/COUNT(services_v2_9!K49,services_v2_8!K49,services_v2_7!K49,services_v2_6!K49,services_v2_10!K49),0))</f>
        <v>1</v>
      </c>
      <c r="L49">
        <f>IF($E49=0, "NA", ROUND(SUM(services_v2_9!L49,services_v2_8!L49,services_v2_7!L49,services_v2_6!L49,services_v2_10!L49)/COUNT(services_v2_9!L49,services_v2_8!L49,services_v2_7!L49,services_v2_6!L49,services_v2_10!L49),0))</f>
        <v>1</v>
      </c>
      <c r="M49">
        <f>IF($E49=0, "NA", ROUND(SUM(services_v2_9!M49,services_v2_8!M49,services_v2_7!M49,services_v2_6!M49,services_v2_10!M49)/COUNT(services_v2_9!M49,services_v2_8!M49,services_v2_7!M49,services_v2_6!M49,services_v2_10!M49),0))</f>
        <v>1</v>
      </c>
      <c r="N49">
        <f>IF($E49=0, "NA", ROUND(SUM(services_v2_9!N49,services_v2_8!N49,services_v2_7!N49,services_v2_6!N49,services_v2_10!N49)/COUNT(services_v2_9!N49,services_v2_8!N49,services_v2_7!N49,services_v2_6!N49,services_v2_10!N49),0))</f>
        <v>1</v>
      </c>
      <c r="O49">
        <f>IF($E49=0, "NA", ROUND(SUM(services_v2_9!O49,services_v2_8!O49,services_v2_7!O49,services_v2_6!O49,services_v2_10!O49)/COUNT(services_v2_9!O49,services_v2_8!O49,services_v2_7!O49,services_v2_6!O49,services_v2_10!O49),0))</f>
        <v>1</v>
      </c>
    </row>
    <row r="50" spans="1:15" x14ac:dyDescent="0.25">
      <c r="A50" t="s">
        <v>16</v>
      </c>
      <c r="B50" t="s">
        <v>95</v>
      </c>
      <c r="C50">
        <v>0</v>
      </c>
      <c r="D50">
        <v>9.3420848846435547</v>
      </c>
      <c r="E50">
        <f>ROUND(SUM(services_v2_9!E50,services_v2_8!E50,services_v2_7!E50,services_v2_6!E50,services_v2_10!E50)/COUNT(services_v2_9!E50,services_v2_8!E50,services_v2_7!E50,services_v2_6!E50,services_v2_10!E50),0)</f>
        <v>1</v>
      </c>
      <c r="F50">
        <f>IF($E50=0, "NA", ROUND(SUM(services_v2_9!F50,services_v2_8!F50,services_v2_7!F50,services_v2_6!F50,services_v2_10!F50)/COUNT(services_v2_9!F50,services_v2_8!F50,services_v2_7!F50,services_v2_6!F50,services_v2_10!F50),0))</f>
        <v>1</v>
      </c>
      <c r="G50">
        <f>IF($E50=0, "NA", ROUND(SUM(services_v2_9!G50,services_v2_8!G50,services_v2_7!G50,services_v2_6!G50,services_v2_10!G50)/COUNT(services_v2_9!G50,services_v2_8!G50,services_v2_7!G50,services_v2_6!G50,services_v2_10!G50),0))</f>
        <v>1</v>
      </c>
      <c r="H50">
        <f>IF(AND(F50=1,G50=1),ROUND(SUM(services_v2_9!H50,services_v2_8!H50,services_v2_7!H50,services_v2_6!H50,services_v2_10!H50)/COUNT(services_v2_9!H50,services_v2_8!H50,services_v2_7!H50,services_v2_6!H50,services_v2_10!H50),0),"NA")</f>
        <v>1</v>
      </c>
      <c r="I50">
        <f>IF($E50=0, "NA", ROUND(SUM(services_v2_9!I50,services_v2_8!I50,services_v2_7!I50,services_v2_6!I50,services_v2_10!I50)/COUNT(services_v2_9!I50,services_v2_8!I50,services_v2_7!I50,services_v2_6!I50,services_v2_10!I50),0))</f>
        <v>1</v>
      </c>
      <c r="J50">
        <f>IF(F50=1,ROUND(SUM(services_v2_9!J50,services_v2_8!J50,services_v2_7!J50,services_v2_6!J50,services_v2_10!J50)/COUNT(services_v2_9!J50,services_v2_8!J50,services_v2_7!J50,services_v2_6!J50,services_v2_10!J50),0),"NA")</f>
        <v>1</v>
      </c>
      <c r="K50">
        <f>IF($E50=0, "NA", ROUND(SUM(services_v2_9!K50,services_v2_8!K50,services_v2_7!K50,services_v2_6!K50,services_v2_10!K50)/COUNT(services_v2_9!K50,services_v2_8!K50,services_v2_7!K50,services_v2_6!K50,services_v2_10!K50),0))</f>
        <v>1</v>
      </c>
      <c r="L50">
        <f>IF($E50=0, "NA", ROUND(SUM(services_v2_9!L50,services_v2_8!L50,services_v2_7!L50,services_v2_6!L50,services_v2_10!L50)/COUNT(services_v2_9!L50,services_v2_8!L50,services_v2_7!L50,services_v2_6!L50,services_v2_10!L50),0))</f>
        <v>1</v>
      </c>
      <c r="M50">
        <f>IF($E50=0, "NA", ROUND(SUM(services_v2_9!M50,services_v2_8!M50,services_v2_7!M50,services_v2_6!M50,services_v2_10!M50)/COUNT(services_v2_9!M50,services_v2_8!M50,services_v2_7!M50,services_v2_6!M50,services_v2_10!M50),0))</f>
        <v>1</v>
      </c>
      <c r="N50">
        <f>IF($E50=0, "NA", ROUND(SUM(services_v2_9!N50,services_v2_8!N50,services_v2_7!N50,services_v2_6!N50,services_v2_10!N50)/COUNT(services_v2_9!N50,services_v2_8!N50,services_v2_7!N50,services_v2_6!N50,services_v2_10!N50),0))</f>
        <v>1</v>
      </c>
      <c r="O50">
        <f>IF($E50=0, "NA", ROUND(SUM(services_v2_9!O50,services_v2_8!O50,services_v2_7!O50,services_v2_6!O50,services_v2_10!O50)/COUNT(services_v2_9!O50,services_v2_8!O50,services_v2_7!O50,services_v2_6!O50,services_v2_10!O50),0))</f>
        <v>1</v>
      </c>
    </row>
    <row r="51" spans="1:15" x14ac:dyDescent="0.25">
      <c r="A51" t="s">
        <v>96</v>
      </c>
      <c r="B51" t="s">
        <v>17</v>
      </c>
      <c r="C51">
        <v>0</v>
      </c>
      <c r="D51">
        <v>2.5371024608612061</v>
      </c>
      <c r="E51">
        <f>ROUND(SUM(services_v2_9!E51,services_v2_8!E51,services_v2_7!E51,services_v2_6!E51,services_v2_10!E51)/COUNT(services_v2_9!E51,services_v2_8!E51,services_v2_7!E51,services_v2_6!E51,services_v2_10!E51),0)</f>
        <v>1</v>
      </c>
      <c r="F51">
        <f>IF($E51=0, "NA", ROUND(SUM(services_v2_9!F51,services_v2_8!F51,services_v2_7!F51,services_v2_6!F51,services_v2_10!F51)/COUNT(services_v2_9!F51,services_v2_8!F51,services_v2_7!F51,services_v2_6!F51,services_v2_10!F51),0))</f>
        <v>1</v>
      </c>
      <c r="G51">
        <f>IF($E51=0, "NA", ROUND(SUM(services_v2_9!G51,services_v2_8!G51,services_v2_7!G51,services_v2_6!G51,services_v2_10!G51)/COUNT(services_v2_9!G51,services_v2_8!G51,services_v2_7!G51,services_v2_6!G51,services_v2_10!G51),0))</f>
        <v>1</v>
      </c>
      <c r="H51">
        <f>IF(AND(F51=1,G51=1),ROUND(SUM(services_v2_9!H51,services_v2_8!H51,services_v2_7!H51,services_v2_6!H51,services_v2_10!H51)/COUNT(services_v2_9!H51,services_v2_8!H51,services_v2_7!H51,services_v2_6!H51,services_v2_10!H51),0),"NA")</f>
        <v>1</v>
      </c>
      <c r="I51">
        <f>IF($E51=0, "NA", ROUND(SUM(services_v2_9!I51,services_v2_8!I51,services_v2_7!I51,services_v2_6!I51,services_v2_10!I51)/COUNT(services_v2_9!I51,services_v2_8!I51,services_v2_7!I51,services_v2_6!I51,services_v2_10!I51),0))</f>
        <v>1</v>
      </c>
      <c r="J51">
        <f>IF(F51=1,ROUND(SUM(services_v2_9!J51,services_v2_8!J51,services_v2_7!J51,services_v2_6!J51,services_v2_10!J51)/COUNT(services_v2_9!J51,services_v2_8!J51,services_v2_7!J51,services_v2_6!J51,services_v2_10!J51),0),"NA")</f>
        <v>1</v>
      </c>
      <c r="K51">
        <f>IF($E51=0, "NA", ROUND(SUM(services_v2_9!K51,services_v2_8!K51,services_v2_7!K51,services_v2_6!K51,services_v2_10!K51)/COUNT(services_v2_9!K51,services_v2_8!K51,services_v2_7!K51,services_v2_6!K51,services_v2_10!K51),0))</f>
        <v>1</v>
      </c>
      <c r="L51">
        <f>IF($E51=0, "NA", ROUND(SUM(services_v2_9!L51,services_v2_8!L51,services_v2_7!L51,services_v2_6!L51,services_v2_10!L51)/COUNT(services_v2_9!L51,services_v2_8!L51,services_v2_7!L51,services_v2_6!L51,services_v2_10!L51),0))</f>
        <v>1</v>
      </c>
      <c r="M51">
        <f>IF($E51=0, "NA", ROUND(SUM(services_v2_9!M51,services_v2_8!M51,services_v2_7!M51,services_v2_6!M51,services_v2_10!M51)/COUNT(services_v2_9!M51,services_v2_8!M51,services_v2_7!M51,services_v2_6!M51,services_v2_10!M51),0))</f>
        <v>1</v>
      </c>
      <c r="N51">
        <f>IF($E51=0, "NA", ROUND(SUM(services_v2_9!N51,services_v2_8!N51,services_v2_7!N51,services_v2_6!N51,services_v2_10!N51)/COUNT(services_v2_9!N51,services_v2_8!N51,services_v2_7!N51,services_v2_6!N51,services_v2_10!N51),0))</f>
        <v>1</v>
      </c>
      <c r="O51">
        <f>IF($E51=0, "NA", ROUND(SUM(services_v2_9!O51,services_v2_8!O51,services_v2_7!O51,services_v2_6!O51,services_v2_10!O51)/COUNT(services_v2_9!O51,services_v2_8!O51,services_v2_7!O51,services_v2_6!O51,services_v2_10!O51),0))</f>
        <v>1</v>
      </c>
    </row>
    <row r="52" spans="1:15" x14ac:dyDescent="0.25">
      <c r="A52" t="s">
        <v>96</v>
      </c>
      <c r="B52" t="s">
        <v>18</v>
      </c>
      <c r="C52">
        <v>0</v>
      </c>
      <c r="D52">
        <v>9.2786040306091309</v>
      </c>
      <c r="E52">
        <f>ROUND(SUM(services_v2_9!E52,services_v2_8!E52,services_v2_7!E52,services_v2_6!E52,services_v2_10!E52)/COUNT(services_v2_9!E52,services_v2_8!E52,services_v2_7!E52,services_v2_6!E52,services_v2_10!E52),0)</f>
        <v>1</v>
      </c>
      <c r="F52">
        <f>IF($E52=0, "NA", ROUND(SUM(services_v2_9!F52,services_v2_8!F52,services_v2_7!F52,services_v2_6!F52,services_v2_10!F52)/COUNT(services_v2_9!F52,services_v2_8!F52,services_v2_7!F52,services_v2_6!F52,services_v2_10!F52),0))</f>
        <v>1</v>
      </c>
      <c r="G52">
        <f>IF($E52=0, "NA", ROUND(SUM(services_v2_9!G52,services_v2_8!G52,services_v2_7!G52,services_v2_6!G52,services_v2_10!G52)/COUNT(services_v2_9!G52,services_v2_8!G52,services_v2_7!G52,services_v2_6!G52,services_v2_10!G52),0))</f>
        <v>1</v>
      </c>
      <c r="H52">
        <f>IF(AND(F52=1,G52=1),ROUND(SUM(services_v2_9!H52,services_v2_8!H52,services_v2_7!H52,services_v2_6!H52,services_v2_10!H52)/COUNT(services_v2_9!H52,services_v2_8!H52,services_v2_7!H52,services_v2_6!H52,services_v2_10!H52),0),"NA")</f>
        <v>1</v>
      </c>
      <c r="I52">
        <f>IF($E52=0, "NA", ROUND(SUM(services_v2_9!I52,services_v2_8!I52,services_v2_7!I52,services_v2_6!I52,services_v2_10!I52)/COUNT(services_v2_9!I52,services_v2_8!I52,services_v2_7!I52,services_v2_6!I52,services_v2_10!I52),0))</f>
        <v>1</v>
      </c>
      <c r="J52">
        <f>IF(F52=1,ROUND(SUM(services_v2_9!J52,services_v2_8!J52,services_v2_7!J52,services_v2_6!J52,services_v2_10!J52)/COUNT(services_v2_9!J52,services_v2_8!J52,services_v2_7!J52,services_v2_6!J52,services_v2_10!J52),0),"NA")</f>
        <v>1</v>
      </c>
      <c r="K52">
        <f>IF($E52=0, "NA", ROUND(SUM(services_v2_9!K52,services_v2_8!K52,services_v2_7!K52,services_v2_6!K52,services_v2_10!K52)/COUNT(services_v2_9!K52,services_v2_8!K52,services_v2_7!K52,services_v2_6!K52,services_v2_10!K52),0))</f>
        <v>1</v>
      </c>
      <c r="L52">
        <f>IF($E52=0, "NA", ROUND(SUM(services_v2_9!L52,services_v2_8!L52,services_v2_7!L52,services_v2_6!L52,services_v2_10!L52)/COUNT(services_v2_9!L52,services_v2_8!L52,services_v2_7!L52,services_v2_6!L52,services_v2_10!L52),0))</f>
        <v>1</v>
      </c>
      <c r="M52">
        <f>IF($E52=0, "NA", ROUND(SUM(services_v2_9!M52,services_v2_8!M52,services_v2_7!M52,services_v2_6!M52,services_v2_10!M52)/COUNT(services_v2_9!M52,services_v2_8!M52,services_v2_7!M52,services_v2_6!M52,services_v2_10!M52),0))</f>
        <v>1</v>
      </c>
      <c r="N52">
        <f>IF($E52=0, "NA", ROUND(SUM(services_v2_9!N52,services_v2_8!N52,services_v2_7!N52,services_v2_6!N52,services_v2_10!N52)/COUNT(services_v2_9!N52,services_v2_8!N52,services_v2_7!N52,services_v2_6!N52,services_v2_10!N52),0))</f>
        <v>1</v>
      </c>
      <c r="O52">
        <f>IF($E52=0, "NA", ROUND(SUM(services_v2_9!O52,services_v2_8!O52,services_v2_7!O52,services_v2_6!O52,services_v2_10!O52)/COUNT(services_v2_9!O52,services_v2_8!O52,services_v2_7!O52,services_v2_6!O52,services_v2_10!O52),0))</f>
        <v>1</v>
      </c>
    </row>
    <row r="53" spans="1:15" x14ac:dyDescent="0.25">
      <c r="A53" t="s">
        <v>96</v>
      </c>
      <c r="B53" t="s">
        <v>19</v>
      </c>
      <c r="C53">
        <v>0</v>
      </c>
      <c r="D53">
        <v>11.714806318283079</v>
      </c>
      <c r="E53">
        <f>ROUND(SUM(services_v2_9!E53,services_v2_8!E53,services_v2_7!E53,services_v2_6!E53,services_v2_10!E53)/COUNT(services_v2_9!E53,services_v2_8!E53,services_v2_7!E53,services_v2_6!E53,services_v2_10!E53),0)</f>
        <v>1</v>
      </c>
      <c r="F53">
        <f>IF($E53=0, "NA", ROUND(SUM(services_v2_9!F53,services_v2_8!F53,services_v2_7!F53,services_v2_6!F53,services_v2_10!F53)/COUNT(services_v2_9!F53,services_v2_8!F53,services_v2_7!F53,services_v2_6!F53,services_v2_10!F53),0))</f>
        <v>1</v>
      </c>
      <c r="G53">
        <f>IF($E53=0, "NA", ROUND(SUM(services_v2_9!G53,services_v2_8!G53,services_v2_7!G53,services_v2_6!G53,services_v2_10!G53)/COUNT(services_v2_9!G53,services_v2_8!G53,services_v2_7!G53,services_v2_6!G53,services_v2_10!G53),0))</f>
        <v>1</v>
      </c>
      <c r="H53">
        <f>IF(AND(F53=1,G53=1),ROUND(SUM(services_v2_9!H53,services_v2_8!H53,services_v2_7!H53,services_v2_6!H53,services_v2_10!H53)/COUNT(services_v2_9!H53,services_v2_8!H53,services_v2_7!H53,services_v2_6!H53,services_v2_10!H53),0),"NA")</f>
        <v>0</v>
      </c>
      <c r="I53">
        <f>IF($E53=0, "NA", ROUND(SUM(services_v2_9!I53,services_v2_8!I53,services_v2_7!I53,services_v2_6!I53,services_v2_10!I53)/COUNT(services_v2_9!I53,services_v2_8!I53,services_v2_7!I53,services_v2_6!I53,services_v2_10!I53),0))</f>
        <v>1</v>
      </c>
      <c r="J53">
        <f>IF(F53=1,ROUND(SUM(services_v2_9!J53,services_v2_8!J53,services_v2_7!J53,services_v2_6!J53,services_v2_10!J53)/COUNT(services_v2_9!J53,services_v2_8!J53,services_v2_7!J53,services_v2_6!J53,services_v2_10!J53),0),"NA")</f>
        <v>1</v>
      </c>
      <c r="K53">
        <f>IF($E53=0, "NA", ROUND(SUM(services_v2_9!K53,services_v2_8!K53,services_v2_7!K53,services_v2_6!K53,services_v2_10!K53)/COUNT(services_v2_9!K53,services_v2_8!K53,services_v2_7!K53,services_v2_6!K53,services_v2_10!K53),0))</f>
        <v>1</v>
      </c>
      <c r="L53">
        <f>IF($E53=0, "NA", ROUND(SUM(services_v2_9!L53,services_v2_8!L53,services_v2_7!L53,services_v2_6!L53,services_v2_10!L53)/COUNT(services_v2_9!L53,services_v2_8!L53,services_v2_7!L53,services_v2_6!L53,services_v2_10!L53),0))</f>
        <v>1</v>
      </c>
      <c r="M53">
        <f>IF($E53=0, "NA", ROUND(SUM(services_v2_9!M53,services_v2_8!M53,services_v2_7!M53,services_v2_6!M53,services_v2_10!M53)/COUNT(services_v2_9!M53,services_v2_8!M53,services_v2_7!M53,services_v2_6!M53,services_v2_10!M53),0))</f>
        <v>1</v>
      </c>
      <c r="N53">
        <f>IF($E53=0, "NA", ROUND(SUM(services_v2_9!N53,services_v2_8!N53,services_v2_7!N53,services_v2_6!N53,services_v2_10!N53)/COUNT(services_v2_9!N53,services_v2_8!N53,services_v2_7!N53,services_v2_6!N53,services_v2_10!N53),0))</f>
        <v>1</v>
      </c>
      <c r="O53">
        <f>IF($E53=0, "NA", ROUND(SUM(services_v2_9!O53,services_v2_8!O53,services_v2_7!O53,services_v2_6!O53,services_v2_10!O53)/COUNT(services_v2_9!O53,services_v2_8!O53,services_v2_7!O53,services_v2_6!O53,services_v2_10!O53),0))</f>
        <v>1</v>
      </c>
    </row>
    <row r="54" spans="1:15" x14ac:dyDescent="0.25">
      <c r="A54" t="s">
        <v>96</v>
      </c>
      <c r="B54" t="s">
        <v>22</v>
      </c>
      <c r="C54">
        <v>0</v>
      </c>
      <c r="D54">
        <v>9.562678337097168</v>
      </c>
      <c r="E54">
        <f>ROUND(SUM(services_v2_9!E54,services_v2_8!E54,services_v2_7!E54,services_v2_6!E54,services_v2_10!E54)/COUNT(services_v2_9!E54,services_v2_8!E54,services_v2_7!E54,services_v2_6!E54,services_v2_10!E54),0)</f>
        <v>1</v>
      </c>
      <c r="F54">
        <f>IF($E54=0, "NA", ROUND(SUM(services_v2_9!F54,services_v2_8!F54,services_v2_7!F54,services_v2_6!F54,services_v2_10!F54)/COUNT(services_v2_9!F54,services_v2_8!F54,services_v2_7!F54,services_v2_6!F54,services_v2_10!F54),0))</f>
        <v>1</v>
      </c>
      <c r="G54">
        <f>IF($E54=0, "NA", ROUND(SUM(services_v2_9!G54,services_v2_8!G54,services_v2_7!G54,services_v2_6!G54,services_v2_10!G54)/COUNT(services_v2_9!G54,services_v2_8!G54,services_v2_7!G54,services_v2_6!G54,services_v2_10!G54),0))</f>
        <v>1</v>
      </c>
      <c r="H54">
        <f>IF(AND(F54=1,G54=1),ROUND(SUM(services_v2_9!H54,services_v2_8!H54,services_v2_7!H54,services_v2_6!H54,services_v2_10!H54)/COUNT(services_v2_9!H54,services_v2_8!H54,services_v2_7!H54,services_v2_6!H54,services_v2_10!H54),0),"NA")</f>
        <v>1</v>
      </c>
      <c r="I54">
        <f>IF($E54=0, "NA", ROUND(SUM(services_v2_9!I54,services_v2_8!I54,services_v2_7!I54,services_v2_6!I54,services_v2_10!I54)/COUNT(services_v2_9!I54,services_v2_8!I54,services_v2_7!I54,services_v2_6!I54,services_v2_10!I54),0))</f>
        <v>1</v>
      </c>
      <c r="J54">
        <f>IF(F54=1,ROUND(SUM(services_v2_9!J54,services_v2_8!J54,services_v2_7!J54,services_v2_6!J54,services_v2_10!J54)/COUNT(services_v2_9!J54,services_v2_8!J54,services_v2_7!J54,services_v2_6!J54,services_v2_10!J54),0),"NA")</f>
        <v>1</v>
      </c>
      <c r="K54">
        <f>IF($E54=0, "NA", ROUND(SUM(services_v2_9!K54,services_v2_8!K54,services_v2_7!K54,services_v2_6!K54,services_v2_10!K54)/COUNT(services_v2_9!K54,services_v2_8!K54,services_v2_7!K54,services_v2_6!K54,services_v2_10!K54),0))</f>
        <v>1</v>
      </c>
      <c r="L54">
        <f>IF($E54=0, "NA", ROUND(SUM(services_v2_9!L54,services_v2_8!L54,services_v2_7!L54,services_v2_6!L54,services_v2_10!L54)/COUNT(services_v2_9!L54,services_v2_8!L54,services_v2_7!L54,services_v2_6!L54,services_v2_10!L54),0))</f>
        <v>1</v>
      </c>
      <c r="M54">
        <f>IF($E54=0, "NA", ROUND(SUM(services_v2_9!M54,services_v2_8!M54,services_v2_7!M54,services_v2_6!M54,services_v2_10!M54)/COUNT(services_v2_9!M54,services_v2_8!M54,services_v2_7!M54,services_v2_6!M54,services_v2_10!M54),0))</f>
        <v>1</v>
      </c>
      <c r="N54">
        <f>IF($E54=0, "NA", ROUND(SUM(services_v2_9!N54,services_v2_8!N54,services_v2_7!N54,services_v2_6!N54,services_v2_10!N54)/COUNT(services_v2_9!N54,services_v2_8!N54,services_v2_7!N54,services_v2_6!N54,services_v2_10!N54),0))</f>
        <v>1</v>
      </c>
      <c r="O54">
        <f>IF($E54=0, "NA", ROUND(SUM(services_v2_9!O54,services_v2_8!O54,services_v2_7!O54,services_v2_6!O54,services_v2_10!O54)/COUNT(services_v2_9!O54,services_v2_8!O54,services_v2_7!O54,services_v2_6!O54,services_v2_10!O54),0))</f>
        <v>1</v>
      </c>
    </row>
    <row r="55" spans="1:15" x14ac:dyDescent="0.25">
      <c r="A55" t="s">
        <v>96</v>
      </c>
      <c r="B55" t="s">
        <v>24</v>
      </c>
      <c r="C55">
        <v>0</v>
      </c>
      <c r="D55">
        <v>2.777135848999023</v>
      </c>
      <c r="E55">
        <f>ROUND(SUM(services_v2_9!E55,services_v2_8!E55,services_v2_7!E55,services_v2_6!E55,services_v2_10!E55)/COUNT(services_v2_9!E55,services_v2_8!E55,services_v2_7!E55,services_v2_6!E55,services_v2_10!E55),0)</f>
        <v>1</v>
      </c>
      <c r="F55">
        <f>IF($E55=0, "NA", ROUND(SUM(services_v2_9!F55,services_v2_8!F55,services_v2_7!F55,services_v2_6!F55,services_v2_10!F55)/COUNT(services_v2_9!F55,services_v2_8!F55,services_v2_7!F55,services_v2_6!F55,services_v2_10!F55),0))</f>
        <v>1</v>
      </c>
      <c r="G55">
        <f>IF($E55=0, "NA", ROUND(SUM(services_v2_9!G55,services_v2_8!G55,services_v2_7!G55,services_v2_6!G55,services_v2_10!G55)/COUNT(services_v2_9!G55,services_v2_8!G55,services_v2_7!G55,services_v2_6!G55,services_v2_10!G55),0))</f>
        <v>1</v>
      </c>
      <c r="H55">
        <f>IF(AND(F55=1,G55=1),ROUND(SUM(services_v2_9!H55,services_v2_8!H55,services_v2_7!H55,services_v2_6!H55,services_v2_10!H55)/COUNT(services_v2_9!H55,services_v2_8!H55,services_v2_7!H55,services_v2_6!H55,services_v2_10!H55),0),"NA")</f>
        <v>1</v>
      </c>
      <c r="I55">
        <f>IF($E55=0, "NA", ROUND(SUM(services_v2_9!I55,services_v2_8!I55,services_v2_7!I55,services_v2_6!I55,services_v2_10!I55)/COUNT(services_v2_9!I55,services_v2_8!I55,services_v2_7!I55,services_v2_6!I55,services_v2_10!I55),0))</f>
        <v>1</v>
      </c>
      <c r="J55">
        <f>IF(F55=1,ROUND(SUM(services_v2_9!J55,services_v2_8!J55,services_v2_7!J55,services_v2_6!J55,services_v2_10!J55)/COUNT(services_v2_9!J55,services_v2_8!J55,services_v2_7!J55,services_v2_6!J55,services_v2_10!J55),0),"NA")</f>
        <v>1</v>
      </c>
      <c r="K55">
        <f>IF($E55=0, "NA", ROUND(SUM(services_v2_9!K55,services_v2_8!K55,services_v2_7!K55,services_v2_6!K55,services_v2_10!K55)/COUNT(services_v2_9!K55,services_v2_8!K55,services_v2_7!K55,services_v2_6!K55,services_v2_10!K55),0))</f>
        <v>1</v>
      </c>
      <c r="L55">
        <f>IF($E55=0, "NA", ROUND(SUM(services_v2_9!L55,services_v2_8!L55,services_v2_7!L55,services_v2_6!L55,services_v2_10!L55)/COUNT(services_v2_9!L55,services_v2_8!L55,services_v2_7!L55,services_v2_6!L55,services_v2_10!L55),0))</f>
        <v>1</v>
      </c>
      <c r="M55">
        <f>IF($E55=0, "NA", ROUND(SUM(services_v2_9!M55,services_v2_8!M55,services_v2_7!M55,services_v2_6!M55,services_v2_10!M55)/COUNT(services_v2_9!M55,services_v2_8!M55,services_v2_7!M55,services_v2_6!M55,services_v2_10!M55),0))</f>
        <v>1</v>
      </c>
      <c r="N55">
        <f>IF($E55=0, "NA", ROUND(SUM(services_v2_9!N55,services_v2_8!N55,services_v2_7!N55,services_v2_6!N55,services_v2_10!N55)/COUNT(services_v2_9!N55,services_v2_8!N55,services_v2_7!N55,services_v2_6!N55,services_v2_10!N55),0))</f>
        <v>1</v>
      </c>
      <c r="O55">
        <f>IF($E55=0, "NA", ROUND(SUM(services_v2_9!O55,services_v2_8!O55,services_v2_7!O55,services_v2_6!O55,services_v2_10!O55)/COUNT(services_v2_9!O55,services_v2_8!O55,services_v2_7!O55,services_v2_6!O55,services_v2_10!O55),0))</f>
        <v>1</v>
      </c>
    </row>
    <row r="56" spans="1:15" x14ac:dyDescent="0.25">
      <c r="A56" t="s">
        <v>96</v>
      </c>
      <c r="B56" t="s">
        <v>25</v>
      </c>
      <c r="C56">
        <v>0</v>
      </c>
      <c r="D56">
        <v>12.222668409347531</v>
      </c>
      <c r="E56">
        <f>ROUND(SUM(services_v2_9!E56,services_v2_8!E56,services_v2_7!E56,services_v2_6!E56,services_v2_10!E56)/COUNT(services_v2_9!E56,services_v2_8!E56,services_v2_7!E56,services_v2_6!E56,services_v2_10!E56),0)</f>
        <v>1</v>
      </c>
      <c r="F56">
        <f>IF($E56=0, "NA", ROUND(SUM(services_v2_9!F56,services_v2_8!F56,services_v2_7!F56,services_v2_6!F56,services_v2_10!F56)/COUNT(services_v2_9!F56,services_v2_8!F56,services_v2_7!F56,services_v2_6!F56,services_v2_10!F56),0))</f>
        <v>1</v>
      </c>
      <c r="G56">
        <f>IF($E56=0, "NA", ROUND(SUM(services_v2_9!G56,services_v2_8!G56,services_v2_7!G56,services_v2_6!G56,services_v2_10!G56)/COUNT(services_v2_9!G56,services_v2_8!G56,services_v2_7!G56,services_v2_6!G56,services_v2_10!G56),0))</f>
        <v>0</v>
      </c>
      <c r="H56" t="str">
        <f>IF(AND(F56=1,G56=1),ROUND(SUM(services_v2_9!H56,services_v2_8!H56,services_v2_7!H56,services_v2_6!H56,services_v2_10!H56)/COUNT(services_v2_9!H56,services_v2_8!H56,services_v2_7!H56,services_v2_6!H56,services_v2_10!H56),0),"NA")</f>
        <v>NA</v>
      </c>
      <c r="I56">
        <f>IF($E56=0, "NA", ROUND(SUM(services_v2_9!I56,services_v2_8!I56,services_v2_7!I56,services_v2_6!I56,services_v2_10!I56)/COUNT(services_v2_9!I56,services_v2_8!I56,services_v2_7!I56,services_v2_6!I56,services_v2_10!I56),0))</f>
        <v>1</v>
      </c>
      <c r="J56">
        <f>IF(F56=1,ROUND(SUM(services_v2_9!J56,services_v2_8!J56,services_v2_7!J56,services_v2_6!J56,services_v2_10!J56)/COUNT(services_v2_9!J56,services_v2_8!J56,services_v2_7!J56,services_v2_6!J56,services_v2_10!J56),0),"NA")</f>
        <v>1</v>
      </c>
      <c r="K56">
        <f>IF($E56=0, "NA", ROUND(SUM(services_v2_9!K56,services_v2_8!K56,services_v2_7!K56,services_v2_6!K56,services_v2_10!K56)/COUNT(services_v2_9!K56,services_v2_8!K56,services_v2_7!K56,services_v2_6!K56,services_v2_10!K56),0))</f>
        <v>1</v>
      </c>
      <c r="L56">
        <f>IF($E56=0, "NA", ROUND(SUM(services_v2_9!L56,services_v2_8!L56,services_v2_7!L56,services_v2_6!L56,services_v2_10!L56)/COUNT(services_v2_9!L56,services_v2_8!L56,services_v2_7!L56,services_v2_6!L56,services_v2_10!L56),0))</f>
        <v>1</v>
      </c>
      <c r="M56">
        <f>IF($E56=0, "NA", ROUND(SUM(services_v2_9!M56,services_v2_8!M56,services_v2_7!M56,services_v2_6!M56,services_v2_10!M56)/COUNT(services_v2_9!M56,services_v2_8!M56,services_v2_7!M56,services_v2_6!M56,services_v2_10!M56),0))</f>
        <v>1</v>
      </c>
      <c r="N56">
        <f>IF($E56=0, "NA", ROUND(SUM(services_v2_9!N56,services_v2_8!N56,services_v2_7!N56,services_v2_6!N56,services_v2_10!N56)/COUNT(services_v2_9!N56,services_v2_8!N56,services_v2_7!N56,services_v2_6!N56,services_v2_10!N56),0))</f>
        <v>1</v>
      </c>
      <c r="O56">
        <f>IF($E56=0, "NA", ROUND(SUM(services_v2_9!O56,services_v2_8!O56,services_v2_7!O56,services_v2_6!O56,services_v2_10!O56)/COUNT(services_v2_9!O56,services_v2_8!O56,services_v2_7!O56,services_v2_6!O56,services_v2_10!O56),0))</f>
        <v>1</v>
      </c>
    </row>
    <row r="57" spans="1:15" x14ac:dyDescent="0.25">
      <c r="A57" t="s">
        <v>96</v>
      </c>
      <c r="B57" t="s">
        <v>26</v>
      </c>
      <c r="C57">
        <v>0</v>
      </c>
      <c r="D57">
        <v>2.6772396564483638</v>
      </c>
      <c r="E57">
        <f>ROUND(SUM(services_v2_9!E57,services_v2_8!E57,services_v2_7!E57,services_v2_6!E57,services_v2_10!E57)/COUNT(services_v2_9!E57,services_v2_8!E57,services_v2_7!E57,services_v2_6!E57,services_v2_10!E57),0)</f>
        <v>1</v>
      </c>
      <c r="F57">
        <f>IF($E57=0, "NA", ROUND(SUM(services_v2_9!F57,services_v2_8!F57,services_v2_7!F57,services_v2_6!F57,services_v2_10!F57)/COUNT(services_v2_9!F57,services_v2_8!F57,services_v2_7!F57,services_v2_6!F57,services_v2_10!F57),0))</f>
        <v>1</v>
      </c>
      <c r="G57">
        <f>IF($E57=0, "NA", ROUND(SUM(services_v2_9!G57,services_v2_8!G57,services_v2_7!G57,services_v2_6!G57,services_v2_10!G57)/COUNT(services_v2_9!G57,services_v2_8!G57,services_v2_7!G57,services_v2_6!G57,services_v2_10!G57),0))</f>
        <v>1</v>
      </c>
      <c r="H57">
        <f>IF(AND(F57=1,G57=1),ROUND(SUM(services_v2_9!H57,services_v2_8!H57,services_v2_7!H57,services_v2_6!H57,services_v2_10!H57)/COUNT(services_v2_9!H57,services_v2_8!H57,services_v2_7!H57,services_v2_6!H57,services_v2_10!H57),0),"NA")</f>
        <v>1</v>
      </c>
      <c r="I57">
        <f>IF($E57=0, "NA", ROUND(SUM(services_v2_9!I57,services_v2_8!I57,services_v2_7!I57,services_v2_6!I57,services_v2_10!I57)/COUNT(services_v2_9!I57,services_v2_8!I57,services_v2_7!I57,services_v2_6!I57,services_v2_10!I57),0))</f>
        <v>1</v>
      </c>
      <c r="J57">
        <f>IF(F57=1,ROUND(SUM(services_v2_9!J57,services_v2_8!J57,services_v2_7!J57,services_v2_6!J57,services_v2_10!J57)/COUNT(services_v2_9!J57,services_v2_8!J57,services_v2_7!J57,services_v2_6!J57,services_v2_10!J57),0),"NA")</f>
        <v>1</v>
      </c>
      <c r="K57">
        <f>IF($E57=0, "NA", ROUND(SUM(services_v2_9!K57,services_v2_8!K57,services_v2_7!K57,services_v2_6!K57,services_v2_10!K57)/COUNT(services_v2_9!K57,services_v2_8!K57,services_v2_7!K57,services_v2_6!K57,services_v2_10!K57),0))</f>
        <v>1</v>
      </c>
      <c r="L57">
        <f>IF($E57=0, "NA", ROUND(SUM(services_v2_9!L57,services_v2_8!L57,services_v2_7!L57,services_v2_6!L57,services_v2_10!L57)/COUNT(services_v2_9!L57,services_v2_8!L57,services_v2_7!L57,services_v2_6!L57,services_v2_10!L57),0))</f>
        <v>1</v>
      </c>
      <c r="M57">
        <f>IF($E57=0, "NA", ROUND(SUM(services_v2_9!M57,services_v2_8!M57,services_v2_7!M57,services_v2_6!M57,services_v2_10!M57)/COUNT(services_v2_9!M57,services_v2_8!M57,services_v2_7!M57,services_v2_6!M57,services_v2_10!M57),0))</f>
        <v>1</v>
      </c>
      <c r="N57">
        <f>IF($E57=0, "NA", ROUND(SUM(services_v2_9!N57,services_v2_8!N57,services_v2_7!N57,services_v2_6!N57,services_v2_10!N57)/COUNT(services_v2_9!N57,services_v2_8!N57,services_v2_7!N57,services_v2_6!N57,services_v2_10!N57),0))</f>
        <v>1</v>
      </c>
      <c r="O57">
        <f>IF($E57=0, "NA", ROUND(SUM(services_v2_9!O57,services_v2_8!O57,services_v2_7!O57,services_v2_6!O57,services_v2_10!O57)/COUNT(services_v2_9!O57,services_v2_8!O57,services_v2_7!O57,services_v2_6!O57,services_v2_10!O57),0))</f>
        <v>1</v>
      </c>
    </row>
    <row r="58" spans="1:15" x14ac:dyDescent="0.25">
      <c r="A58" t="s">
        <v>96</v>
      </c>
      <c r="B58" t="s">
        <v>27</v>
      </c>
      <c r="C58">
        <v>0</v>
      </c>
      <c r="D58">
        <v>4.9606585502624512</v>
      </c>
      <c r="E58">
        <f>ROUND(SUM(services_v2_9!E58,services_v2_8!E58,services_v2_7!E58,services_v2_6!E58,services_v2_10!E58)/COUNT(services_v2_9!E58,services_v2_8!E58,services_v2_7!E58,services_v2_6!E58,services_v2_10!E58),0)</f>
        <v>1</v>
      </c>
      <c r="F58">
        <f>IF($E58=0, "NA", ROUND(SUM(services_v2_9!F58,services_v2_8!F58,services_v2_7!F58,services_v2_6!F58,services_v2_10!F58)/COUNT(services_v2_9!F58,services_v2_8!F58,services_v2_7!F58,services_v2_6!F58,services_v2_10!F58),0))</f>
        <v>1</v>
      </c>
      <c r="G58">
        <f>IF($E58=0, "NA", ROUND(SUM(services_v2_9!G58,services_v2_8!G58,services_v2_7!G58,services_v2_6!G58,services_v2_10!G58)/COUNT(services_v2_9!G58,services_v2_8!G58,services_v2_7!G58,services_v2_6!G58,services_v2_10!G58),0))</f>
        <v>1</v>
      </c>
      <c r="H58">
        <f>IF(AND(F58=1,G58=1),ROUND(SUM(services_v2_9!H58,services_v2_8!H58,services_v2_7!H58,services_v2_6!H58,services_v2_10!H58)/COUNT(services_v2_9!H58,services_v2_8!H58,services_v2_7!H58,services_v2_6!H58,services_v2_10!H58),0),"NA")</f>
        <v>1</v>
      </c>
      <c r="I58">
        <f>IF($E58=0, "NA", ROUND(SUM(services_v2_9!I58,services_v2_8!I58,services_v2_7!I58,services_v2_6!I58,services_v2_10!I58)/COUNT(services_v2_9!I58,services_v2_8!I58,services_v2_7!I58,services_v2_6!I58,services_v2_10!I58),0))</f>
        <v>1</v>
      </c>
      <c r="J58">
        <f>IF(F58=1,ROUND(SUM(services_v2_9!J58,services_v2_8!J58,services_v2_7!J58,services_v2_6!J58,services_v2_10!J58)/COUNT(services_v2_9!J58,services_v2_8!J58,services_v2_7!J58,services_v2_6!J58,services_v2_10!J58),0),"NA")</f>
        <v>0</v>
      </c>
      <c r="K58">
        <f>IF($E58=0, "NA", ROUND(SUM(services_v2_9!K58,services_v2_8!K58,services_v2_7!K58,services_v2_6!K58,services_v2_10!K58)/COUNT(services_v2_9!K58,services_v2_8!K58,services_v2_7!K58,services_v2_6!K58,services_v2_10!K58),0))</f>
        <v>1</v>
      </c>
      <c r="L58">
        <f>IF($E58=0, "NA", ROUND(SUM(services_v2_9!L58,services_v2_8!L58,services_v2_7!L58,services_v2_6!L58,services_v2_10!L58)/COUNT(services_v2_9!L58,services_v2_8!L58,services_v2_7!L58,services_v2_6!L58,services_v2_10!L58),0))</f>
        <v>1</v>
      </c>
      <c r="M58">
        <f>IF($E58=0, "NA", ROUND(SUM(services_v2_9!M58,services_v2_8!M58,services_v2_7!M58,services_v2_6!M58,services_v2_10!M58)/COUNT(services_v2_9!M58,services_v2_8!M58,services_v2_7!M58,services_v2_6!M58,services_v2_10!M58),0))</f>
        <v>1</v>
      </c>
      <c r="N58">
        <f>IF($E58=0, "NA", ROUND(SUM(services_v2_9!N58,services_v2_8!N58,services_v2_7!N58,services_v2_6!N58,services_v2_10!N58)/COUNT(services_v2_9!N58,services_v2_8!N58,services_v2_7!N58,services_v2_6!N58,services_v2_10!N58),0))</f>
        <v>1</v>
      </c>
      <c r="O58">
        <f>IF($E58=0, "NA", ROUND(SUM(services_v2_9!O58,services_v2_8!O58,services_v2_7!O58,services_v2_6!O58,services_v2_10!O58)/COUNT(services_v2_9!O58,services_v2_8!O58,services_v2_7!O58,services_v2_6!O58,services_v2_10!O58),0))</f>
        <v>1</v>
      </c>
    </row>
    <row r="59" spans="1:15" x14ac:dyDescent="0.25">
      <c r="A59" t="s">
        <v>96</v>
      </c>
      <c r="B59" t="s">
        <v>28</v>
      </c>
      <c r="C59">
        <v>0</v>
      </c>
      <c r="D59">
        <v>2.741660356521606</v>
      </c>
      <c r="E59">
        <f>ROUND(SUM(services_v2_9!E59,services_v2_8!E59,services_v2_7!E59,services_v2_6!E59,services_v2_10!E59)/COUNT(services_v2_9!E59,services_v2_8!E59,services_v2_7!E59,services_v2_6!E59,services_v2_10!E59),0)</f>
        <v>1</v>
      </c>
      <c r="F59">
        <f>IF($E59=0, "NA", ROUND(SUM(services_v2_9!F59,services_v2_8!F59,services_v2_7!F59,services_v2_6!F59,services_v2_10!F59)/COUNT(services_v2_9!F59,services_v2_8!F59,services_v2_7!F59,services_v2_6!F59,services_v2_10!F59),0))</f>
        <v>1</v>
      </c>
      <c r="G59">
        <f>IF($E59=0, "NA", ROUND(SUM(services_v2_9!G59,services_v2_8!G59,services_v2_7!G59,services_v2_6!G59,services_v2_10!G59)/COUNT(services_v2_9!G59,services_v2_8!G59,services_v2_7!G59,services_v2_6!G59,services_v2_10!G59),0))</f>
        <v>1</v>
      </c>
      <c r="H59">
        <f>IF(AND(F59=1,G59=1),ROUND(SUM(services_v2_9!H59,services_v2_8!H59,services_v2_7!H59,services_v2_6!H59,services_v2_10!H59)/COUNT(services_v2_9!H59,services_v2_8!H59,services_v2_7!H59,services_v2_6!H59,services_v2_10!H59),0),"NA")</f>
        <v>1</v>
      </c>
      <c r="I59">
        <f>IF($E59=0, "NA", ROUND(SUM(services_v2_9!I59,services_v2_8!I59,services_v2_7!I59,services_v2_6!I59,services_v2_10!I59)/COUNT(services_v2_9!I59,services_v2_8!I59,services_v2_7!I59,services_v2_6!I59,services_v2_10!I59),0))</f>
        <v>1</v>
      </c>
      <c r="J59">
        <f>IF(F59=1,ROUND(SUM(services_v2_9!J59,services_v2_8!J59,services_v2_7!J59,services_v2_6!J59,services_v2_10!J59)/COUNT(services_v2_9!J59,services_v2_8!J59,services_v2_7!J59,services_v2_6!J59,services_v2_10!J59),0),"NA")</f>
        <v>1</v>
      </c>
      <c r="K59">
        <f>IF($E59=0, "NA", ROUND(SUM(services_v2_9!K59,services_v2_8!K59,services_v2_7!K59,services_v2_6!K59,services_v2_10!K59)/COUNT(services_v2_9!K59,services_v2_8!K59,services_v2_7!K59,services_v2_6!K59,services_v2_10!K59),0))</f>
        <v>1</v>
      </c>
      <c r="L59">
        <f>IF($E59=0, "NA", ROUND(SUM(services_v2_9!L59,services_v2_8!L59,services_v2_7!L59,services_v2_6!L59,services_v2_10!L59)/COUNT(services_v2_9!L59,services_v2_8!L59,services_v2_7!L59,services_v2_6!L59,services_v2_10!L59),0))</f>
        <v>1</v>
      </c>
      <c r="M59">
        <f>IF($E59=0, "NA", ROUND(SUM(services_v2_9!M59,services_v2_8!M59,services_v2_7!M59,services_v2_6!M59,services_v2_10!M59)/COUNT(services_v2_9!M59,services_v2_8!M59,services_v2_7!M59,services_v2_6!M59,services_v2_10!M59),0))</f>
        <v>1</v>
      </c>
      <c r="N59">
        <f>IF($E59=0, "NA", ROUND(SUM(services_v2_9!N59,services_v2_8!N59,services_v2_7!N59,services_v2_6!N59,services_v2_10!N59)/COUNT(services_v2_9!N59,services_v2_8!N59,services_v2_7!N59,services_v2_6!N59,services_v2_10!N59),0))</f>
        <v>1</v>
      </c>
      <c r="O59">
        <f>IF($E59=0, "NA", ROUND(SUM(services_v2_9!O59,services_v2_8!O59,services_v2_7!O59,services_v2_6!O59,services_v2_10!O59)/COUNT(services_v2_9!O59,services_v2_8!O59,services_v2_7!O59,services_v2_6!O59,services_v2_10!O59),0))</f>
        <v>1</v>
      </c>
    </row>
    <row r="60" spans="1:15" x14ac:dyDescent="0.25">
      <c r="A60" t="s">
        <v>96</v>
      </c>
      <c r="B60" t="s">
        <v>29</v>
      </c>
      <c r="C60">
        <v>0</v>
      </c>
      <c r="D60">
        <v>2.736758947372437</v>
      </c>
      <c r="E60">
        <f>ROUND(SUM(services_v2_9!E60,services_v2_8!E60,services_v2_7!E60,services_v2_6!E60,services_v2_10!E60)/COUNT(services_v2_9!E60,services_v2_8!E60,services_v2_7!E60,services_v2_6!E60,services_v2_10!E60),0)</f>
        <v>1</v>
      </c>
      <c r="F60">
        <f>IF($E60=0, "NA", ROUND(SUM(services_v2_9!F60,services_v2_8!F60,services_v2_7!F60,services_v2_6!F60,services_v2_10!F60)/COUNT(services_v2_9!F60,services_v2_8!F60,services_v2_7!F60,services_v2_6!F60,services_v2_10!F60),0))</f>
        <v>1</v>
      </c>
      <c r="G60">
        <f>IF($E60=0, "NA", ROUND(SUM(services_v2_9!G60,services_v2_8!G60,services_v2_7!G60,services_v2_6!G60,services_v2_10!G60)/COUNT(services_v2_9!G60,services_v2_8!G60,services_v2_7!G60,services_v2_6!G60,services_v2_10!G60),0))</f>
        <v>1</v>
      </c>
      <c r="H60">
        <f>IF(AND(F60=1,G60=1),ROUND(SUM(services_v2_9!H60,services_v2_8!H60,services_v2_7!H60,services_v2_6!H60,services_v2_10!H60)/COUNT(services_v2_9!H60,services_v2_8!H60,services_v2_7!H60,services_v2_6!H60,services_v2_10!H60),0),"NA")</f>
        <v>1</v>
      </c>
      <c r="I60">
        <f>IF($E60=0, "NA", ROUND(SUM(services_v2_9!I60,services_v2_8!I60,services_v2_7!I60,services_v2_6!I60,services_v2_10!I60)/COUNT(services_v2_9!I60,services_v2_8!I60,services_v2_7!I60,services_v2_6!I60,services_v2_10!I60),0))</f>
        <v>1</v>
      </c>
      <c r="J60">
        <f>IF(F60=1,ROUND(SUM(services_v2_9!J60,services_v2_8!J60,services_v2_7!J60,services_v2_6!J60,services_v2_10!J60)/COUNT(services_v2_9!J60,services_v2_8!J60,services_v2_7!J60,services_v2_6!J60,services_v2_10!J60),0),"NA")</f>
        <v>1</v>
      </c>
      <c r="K60">
        <f>IF($E60=0, "NA", ROUND(SUM(services_v2_9!K60,services_v2_8!K60,services_v2_7!K60,services_v2_6!K60,services_v2_10!K60)/COUNT(services_v2_9!K60,services_v2_8!K60,services_v2_7!K60,services_v2_6!K60,services_v2_10!K60),0))</f>
        <v>1</v>
      </c>
      <c r="L60">
        <f>IF($E60=0, "NA", ROUND(SUM(services_v2_9!L60,services_v2_8!L60,services_v2_7!L60,services_v2_6!L60,services_v2_10!L60)/COUNT(services_v2_9!L60,services_v2_8!L60,services_v2_7!L60,services_v2_6!L60,services_v2_10!L60),0))</f>
        <v>1</v>
      </c>
      <c r="M60">
        <f>IF($E60=0, "NA", ROUND(SUM(services_v2_9!M60,services_v2_8!M60,services_v2_7!M60,services_v2_6!M60,services_v2_10!M60)/COUNT(services_v2_9!M60,services_v2_8!M60,services_v2_7!M60,services_v2_6!M60,services_v2_10!M60),0))</f>
        <v>1</v>
      </c>
      <c r="N60">
        <f>IF($E60=0, "NA", ROUND(SUM(services_v2_9!N60,services_v2_8!N60,services_v2_7!N60,services_v2_6!N60,services_v2_10!N60)/COUNT(services_v2_9!N60,services_v2_8!N60,services_v2_7!N60,services_v2_6!N60,services_v2_10!N60),0))</f>
        <v>1</v>
      </c>
      <c r="O60">
        <f>IF($E60=0, "NA", ROUND(SUM(services_v2_9!O60,services_v2_8!O60,services_v2_7!O60,services_v2_6!O60,services_v2_10!O60)/COUNT(services_v2_9!O60,services_v2_8!O60,services_v2_7!O60,services_v2_6!O60,services_v2_10!O60),0))</f>
        <v>1</v>
      </c>
    </row>
    <row r="61" spans="1:15" x14ac:dyDescent="0.25">
      <c r="A61" t="s">
        <v>96</v>
      </c>
      <c r="B61" t="s">
        <v>31</v>
      </c>
      <c r="C61">
        <v>0</v>
      </c>
      <c r="D61">
        <v>2.8179271221160889</v>
      </c>
      <c r="E61">
        <f>ROUND(SUM(services_v2_9!E61,services_v2_8!E61,services_v2_7!E61,services_v2_6!E61,services_v2_10!E61)/COUNT(services_v2_9!E61,services_v2_8!E61,services_v2_7!E61,services_v2_6!E61,services_v2_10!E61),0)</f>
        <v>1</v>
      </c>
      <c r="F61">
        <f>IF($E61=0, "NA", ROUND(SUM(services_v2_9!F61,services_v2_8!F61,services_v2_7!F61,services_v2_6!F61,services_v2_10!F61)/COUNT(services_v2_9!F61,services_v2_8!F61,services_v2_7!F61,services_v2_6!F61,services_v2_10!F61),0))</f>
        <v>1</v>
      </c>
      <c r="G61">
        <f>IF($E61=0, "NA", ROUND(SUM(services_v2_9!G61,services_v2_8!G61,services_v2_7!G61,services_v2_6!G61,services_v2_10!G61)/COUNT(services_v2_9!G61,services_v2_8!G61,services_v2_7!G61,services_v2_6!G61,services_v2_10!G61),0))</f>
        <v>1</v>
      </c>
      <c r="H61">
        <f>IF(AND(F61=1,G61=1),ROUND(SUM(services_v2_9!H61,services_v2_8!H61,services_v2_7!H61,services_v2_6!H61,services_v2_10!H61)/COUNT(services_v2_9!H61,services_v2_8!H61,services_v2_7!H61,services_v2_6!H61,services_v2_10!H61),0),"NA")</f>
        <v>1</v>
      </c>
      <c r="I61">
        <f>IF($E61=0, "NA", ROUND(SUM(services_v2_9!I61,services_v2_8!I61,services_v2_7!I61,services_v2_6!I61,services_v2_10!I61)/COUNT(services_v2_9!I61,services_v2_8!I61,services_v2_7!I61,services_v2_6!I61,services_v2_10!I61),0))</f>
        <v>1</v>
      </c>
      <c r="J61">
        <f>IF(F61=1,ROUND(SUM(services_v2_9!J61,services_v2_8!J61,services_v2_7!J61,services_v2_6!J61,services_v2_10!J61)/COUNT(services_v2_9!J61,services_v2_8!J61,services_v2_7!J61,services_v2_6!J61,services_v2_10!J61),0),"NA")</f>
        <v>1</v>
      </c>
      <c r="K61">
        <f>IF($E61=0, "NA", ROUND(SUM(services_v2_9!K61,services_v2_8!K61,services_v2_7!K61,services_v2_6!K61,services_v2_10!K61)/COUNT(services_v2_9!K61,services_v2_8!K61,services_v2_7!K61,services_v2_6!K61,services_v2_10!K61),0))</f>
        <v>1</v>
      </c>
      <c r="L61">
        <f>IF($E61=0, "NA", ROUND(SUM(services_v2_9!L61,services_v2_8!L61,services_v2_7!L61,services_v2_6!L61,services_v2_10!L61)/COUNT(services_v2_9!L61,services_v2_8!L61,services_v2_7!L61,services_v2_6!L61,services_v2_10!L61),0))</f>
        <v>1</v>
      </c>
      <c r="M61">
        <f>IF($E61=0, "NA", ROUND(SUM(services_v2_9!M61,services_v2_8!M61,services_v2_7!M61,services_v2_6!M61,services_v2_10!M61)/COUNT(services_v2_9!M61,services_v2_8!M61,services_v2_7!M61,services_v2_6!M61,services_v2_10!M61),0))</f>
        <v>1</v>
      </c>
      <c r="N61">
        <f>IF($E61=0, "NA", ROUND(SUM(services_v2_9!N61,services_v2_8!N61,services_v2_7!N61,services_v2_6!N61,services_v2_10!N61)/COUNT(services_v2_9!N61,services_v2_8!N61,services_v2_7!N61,services_v2_6!N61,services_v2_10!N61),0))</f>
        <v>1</v>
      </c>
      <c r="O61">
        <f>IF($E61=0, "NA", ROUND(SUM(services_v2_9!O61,services_v2_8!O61,services_v2_7!O61,services_v2_6!O61,services_v2_10!O61)/COUNT(services_v2_9!O61,services_v2_8!O61,services_v2_7!O61,services_v2_6!O61,services_v2_10!O61),0))</f>
        <v>1</v>
      </c>
    </row>
    <row r="62" spans="1:15" x14ac:dyDescent="0.25">
      <c r="A62" t="s">
        <v>96</v>
      </c>
      <c r="B62" t="s">
        <v>33</v>
      </c>
      <c r="C62">
        <v>0</v>
      </c>
      <c r="D62">
        <v>12.16376924514771</v>
      </c>
      <c r="E62">
        <f>ROUND(SUM(services_v2_9!E62,services_v2_8!E62,services_v2_7!E62,services_v2_6!E62,services_v2_10!E62)/COUNT(services_v2_9!E62,services_v2_8!E62,services_v2_7!E62,services_v2_6!E62,services_v2_10!E62),0)</f>
        <v>1</v>
      </c>
      <c r="F62">
        <f>IF($E62=0, "NA", ROUND(SUM(services_v2_9!F62,services_v2_8!F62,services_v2_7!F62,services_v2_6!F62,services_v2_10!F62)/COUNT(services_v2_9!F62,services_v2_8!F62,services_v2_7!F62,services_v2_6!F62,services_v2_10!F62),0))</f>
        <v>1</v>
      </c>
      <c r="G62">
        <f>IF($E62=0, "NA", ROUND(SUM(services_v2_9!G62,services_v2_8!G62,services_v2_7!G62,services_v2_6!G62,services_v2_10!G62)/COUNT(services_v2_9!G62,services_v2_8!G62,services_v2_7!G62,services_v2_6!G62,services_v2_10!G62),0))</f>
        <v>1</v>
      </c>
      <c r="H62">
        <f>IF(AND(F62=1,G62=1),ROUND(SUM(services_v2_9!H62,services_v2_8!H62,services_v2_7!H62,services_v2_6!H62,services_v2_10!H62)/COUNT(services_v2_9!H62,services_v2_8!H62,services_v2_7!H62,services_v2_6!H62,services_v2_10!H62),0),"NA")</f>
        <v>1</v>
      </c>
      <c r="I62">
        <f>IF($E62=0, "NA", ROUND(SUM(services_v2_9!I62,services_v2_8!I62,services_v2_7!I62,services_v2_6!I62,services_v2_10!I62)/COUNT(services_v2_9!I62,services_v2_8!I62,services_v2_7!I62,services_v2_6!I62,services_v2_10!I62),0))</f>
        <v>1</v>
      </c>
      <c r="J62">
        <f>IF(F62=1,ROUND(SUM(services_v2_9!J62,services_v2_8!J62,services_v2_7!J62,services_v2_6!J62,services_v2_10!J62)/COUNT(services_v2_9!J62,services_v2_8!J62,services_v2_7!J62,services_v2_6!J62,services_v2_10!J62),0),"NA")</f>
        <v>1</v>
      </c>
      <c r="K62">
        <f>IF($E62=0, "NA", ROUND(SUM(services_v2_9!K62,services_v2_8!K62,services_v2_7!K62,services_v2_6!K62,services_v2_10!K62)/COUNT(services_v2_9!K62,services_v2_8!K62,services_v2_7!K62,services_v2_6!K62,services_v2_10!K62),0))</f>
        <v>1</v>
      </c>
      <c r="L62">
        <f>IF($E62=0, "NA", ROUND(SUM(services_v2_9!L62,services_v2_8!L62,services_v2_7!L62,services_v2_6!L62,services_v2_10!L62)/COUNT(services_v2_9!L62,services_v2_8!L62,services_v2_7!L62,services_v2_6!L62,services_v2_10!L62),0))</f>
        <v>1</v>
      </c>
      <c r="M62">
        <f>IF($E62=0, "NA", ROUND(SUM(services_v2_9!M62,services_v2_8!M62,services_v2_7!M62,services_v2_6!M62,services_v2_10!M62)/COUNT(services_v2_9!M62,services_v2_8!M62,services_v2_7!M62,services_v2_6!M62,services_v2_10!M62),0))</f>
        <v>1</v>
      </c>
      <c r="N62">
        <f>IF($E62=0, "NA", ROUND(SUM(services_v2_9!N62,services_v2_8!N62,services_v2_7!N62,services_v2_6!N62,services_v2_10!N62)/COUNT(services_v2_9!N62,services_v2_8!N62,services_v2_7!N62,services_v2_6!N62,services_v2_10!N62),0))</f>
        <v>1</v>
      </c>
      <c r="O62">
        <f>IF($E62=0, "NA", ROUND(SUM(services_v2_9!O62,services_v2_8!O62,services_v2_7!O62,services_v2_6!O62,services_v2_10!O62)/COUNT(services_v2_9!O62,services_v2_8!O62,services_v2_7!O62,services_v2_6!O62,services_v2_10!O62),0))</f>
        <v>1</v>
      </c>
    </row>
    <row r="63" spans="1:15" x14ac:dyDescent="0.25">
      <c r="A63" t="s">
        <v>96</v>
      </c>
      <c r="B63" t="s">
        <v>35</v>
      </c>
      <c r="C63">
        <v>0</v>
      </c>
      <c r="D63">
        <v>2.7809562683105469</v>
      </c>
      <c r="E63">
        <f>ROUND(SUM(services_v2_9!E63,services_v2_8!E63,services_v2_7!E63,services_v2_6!E63,services_v2_10!E63)/COUNT(services_v2_9!E63,services_v2_8!E63,services_v2_7!E63,services_v2_6!E63,services_v2_10!E63),0)</f>
        <v>1</v>
      </c>
      <c r="F63">
        <f>IF($E63=0, "NA", ROUND(SUM(services_v2_9!F63,services_v2_8!F63,services_v2_7!F63,services_v2_6!F63,services_v2_10!F63)/COUNT(services_v2_9!F63,services_v2_8!F63,services_v2_7!F63,services_v2_6!F63,services_v2_10!F63),0))</f>
        <v>1</v>
      </c>
      <c r="G63">
        <f>IF($E63=0, "NA", ROUND(SUM(services_v2_9!G63,services_v2_8!G63,services_v2_7!G63,services_v2_6!G63,services_v2_10!G63)/COUNT(services_v2_9!G63,services_v2_8!G63,services_v2_7!G63,services_v2_6!G63,services_v2_10!G63),0))</f>
        <v>1</v>
      </c>
      <c r="H63">
        <f>IF(AND(F63=1,G63=1),ROUND(SUM(services_v2_9!H63,services_v2_8!H63,services_v2_7!H63,services_v2_6!H63,services_v2_10!H63)/COUNT(services_v2_9!H63,services_v2_8!H63,services_v2_7!H63,services_v2_6!H63,services_v2_10!H63),0),"NA")</f>
        <v>1</v>
      </c>
      <c r="I63">
        <f>IF($E63=0, "NA", ROUND(SUM(services_v2_9!I63,services_v2_8!I63,services_v2_7!I63,services_v2_6!I63,services_v2_10!I63)/COUNT(services_v2_9!I63,services_v2_8!I63,services_v2_7!I63,services_v2_6!I63,services_v2_10!I63),0))</f>
        <v>1</v>
      </c>
      <c r="J63">
        <f>IF(F63=1,ROUND(SUM(services_v2_9!J63,services_v2_8!J63,services_v2_7!J63,services_v2_6!J63,services_v2_10!J63)/COUNT(services_v2_9!J63,services_v2_8!J63,services_v2_7!J63,services_v2_6!J63,services_v2_10!J63),0),"NA")</f>
        <v>1</v>
      </c>
      <c r="K63">
        <f>IF($E63=0, "NA", ROUND(SUM(services_v2_9!K63,services_v2_8!K63,services_v2_7!K63,services_v2_6!K63,services_v2_10!K63)/COUNT(services_v2_9!K63,services_v2_8!K63,services_v2_7!K63,services_v2_6!K63,services_v2_10!K63),0))</f>
        <v>1</v>
      </c>
      <c r="L63">
        <f>IF($E63=0, "NA", ROUND(SUM(services_v2_9!L63,services_v2_8!L63,services_v2_7!L63,services_v2_6!L63,services_v2_10!L63)/COUNT(services_v2_9!L63,services_v2_8!L63,services_v2_7!L63,services_v2_6!L63,services_v2_10!L63),0))</f>
        <v>1</v>
      </c>
      <c r="M63">
        <f>IF($E63=0, "NA", ROUND(SUM(services_v2_9!M63,services_v2_8!M63,services_v2_7!M63,services_v2_6!M63,services_v2_10!M63)/COUNT(services_v2_9!M63,services_v2_8!M63,services_v2_7!M63,services_v2_6!M63,services_v2_10!M63),0))</f>
        <v>1</v>
      </c>
      <c r="N63">
        <f>IF($E63=0, "NA", ROUND(SUM(services_v2_9!N63,services_v2_8!N63,services_v2_7!N63,services_v2_6!N63,services_v2_10!N63)/COUNT(services_v2_9!N63,services_v2_8!N63,services_v2_7!N63,services_v2_6!N63,services_v2_10!N63),0))</f>
        <v>1</v>
      </c>
      <c r="O63">
        <f>IF($E63=0, "NA", ROUND(SUM(services_v2_9!O63,services_v2_8!O63,services_v2_7!O63,services_v2_6!O63,services_v2_10!O63)/COUNT(services_v2_9!O63,services_v2_8!O63,services_v2_7!O63,services_v2_6!O63,services_v2_10!O63),0))</f>
        <v>1</v>
      </c>
    </row>
    <row r="64" spans="1:15" x14ac:dyDescent="0.25">
      <c r="A64" t="s">
        <v>96</v>
      </c>
      <c r="B64" t="s">
        <v>36</v>
      </c>
      <c r="C64">
        <v>0</v>
      </c>
      <c r="D64">
        <v>9.735105037689209</v>
      </c>
      <c r="E64">
        <f>ROUND(SUM(services_v2_9!E64,services_v2_8!E64,services_v2_7!E64,services_v2_6!E64,services_v2_10!E64)/COUNT(services_v2_9!E64,services_v2_8!E64,services_v2_7!E64,services_v2_6!E64,services_v2_10!E64),0)</f>
        <v>1</v>
      </c>
      <c r="F64">
        <f>IF($E64=0, "NA", ROUND(SUM(services_v2_9!F64,services_v2_8!F64,services_v2_7!F64,services_v2_6!F64,services_v2_10!F64)/COUNT(services_v2_9!F64,services_v2_8!F64,services_v2_7!F64,services_v2_6!F64,services_v2_10!F64),0))</f>
        <v>1</v>
      </c>
      <c r="G64">
        <f>IF($E64=0, "NA", ROUND(SUM(services_v2_9!G64,services_v2_8!G64,services_v2_7!G64,services_v2_6!G64,services_v2_10!G64)/COUNT(services_v2_9!G64,services_v2_8!G64,services_v2_7!G64,services_v2_6!G64,services_v2_10!G64),0))</f>
        <v>1</v>
      </c>
      <c r="H64">
        <f>IF(AND(F64=1,G64=1),ROUND(SUM(services_v2_9!H64,services_v2_8!H64,services_v2_7!H64,services_v2_6!H64,services_v2_10!H64)/COUNT(services_v2_9!H64,services_v2_8!H64,services_v2_7!H64,services_v2_6!H64,services_v2_10!H64),0),"NA")</f>
        <v>1</v>
      </c>
      <c r="I64">
        <f>IF($E64=0, "NA", ROUND(SUM(services_v2_9!I64,services_v2_8!I64,services_v2_7!I64,services_v2_6!I64,services_v2_10!I64)/COUNT(services_v2_9!I64,services_v2_8!I64,services_v2_7!I64,services_v2_6!I64,services_v2_10!I64),0))</f>
        <v>1</v>
      </c>
      <c r="J64">
        <f>IF(F64=1,ROUND(SUM(services_v2_9!J64,services_v2_8!J64,services_v2_7!J64,services_v2_6!J64,services_v2_10!J64)/COUNT(services_v2_9!J64,services_v2_8!J64,services_v2_7!J64,services_v2_6!J64,services_v2_10!J64),0),"NA")</f>
        <v>1</v>
      </c>
      <c r="K64">
        <f>IF($E64=0, "NA", ROUND(SUM(services_v2_9!K64,services_v2_8!K64,services_v2_7!K64,services_v2_6!K64,services_v2_10!K64)/COUNT(services_v2_9!K64,services_v2_8!K64,services_v2_7!K64,services_v2_6!K64,services_v2_10!K64),0))</f>
        <v>1</v>
      </c>
      <c r="L64">
        <f>IF($E64=0, "NA", ROUND(SUM(services_v2_9!L64,services_v2_8!L64,services_v2_7!L64,services_v2_6!L64,services_v2_10!L64)/COUNT(services_v2_9!L64,services_v2_8!L64,services_v2_7!L64,services_v2_6!L64,services_v2_10!L64),0))</f>
        <v>1</v>
      </c>
      <c r="M64">
        <f>IF($E64=0, "NA", ROUND(SUM(services_v2_9!M64,services_v2_8!M64,services_v2_7!M64,services_v2_6!M64,services_v2_10!M64)/COUNT(services_v2_9!M64,services_v2_8!M64,services_v2_7!M64,services_v2_6!M64,services_v2_10!M64),0))</f>
        <v>1</v>
      </c>
      <c r="N64">
        <f>IF($E64=0, "NA", ROUND(SUM(services_v2_9!N64,services_v2_8!N64,services_v2_7!N64,services_v2_6!N64,services_v2_10!N64)/COUNT(services_v2_9!N64,services_v2_8!N64,services_v2_7!N64,services_v2_6!N64,services_v2_10!N64),0))</f>
        <v>1</v>
      </c>
      <c r="O64">
        <f>IF($E64=0, "NA", ROUND(SUM(services_v2_9!O64,services_v2_8!O64,services_v2_7!O64,services_v2_6!O64,services_v2_10!O64)/COUNT(services_v2_9!O64,services_v2_8!O64,services_v2_7!O64,services_v2_6!O64,services_v2_10!O64),0))</f>
        <v>1</v>
      </c>
    </row>
    <row r="65" spans="1:15" x14ac:dyDescent="0.25">
      <c r="A65" t="s">
        <v>96</v>
      </c>
      <c r="B65" t="s">
        <v>38</v>
      </c>
      <c r="C65">
        <v>0</v>
      </c>
      <c r="D65">
        <v>10.147685050964361</v>
      </c>
      <c r="E65">
        <f>ROUND(SUM(services_v2_9!E65,services_v2_8!E65,services_v2_7!E65,services_v2_6!E65,services_v2_10!E65)/COUNT(services_v2_9!E65,services_v2_8!E65,services_v2_7!E65,services_v2_6!E65,services_v2_10!E65),0)</f>
        <v>1</v>
      </c>
      <c r="F65">
        <f>IF($E65=0, "NA", ROUND(SUM(services_v2_9!F65,services_v2_8!F65,services_v2_7!F65,services_v2_6!F65,services_v2_10!F65)/COUNT(services_v2_9!F65,services_v2_8!F65,services_v2_7!F65,services_v2_6!F65,services_v2_10!F65),0))</f>
        <v>1</v>
      </c>
      <c r="G65">
        <f>IF($E65=0, "NA", ROUND(SUM(services_v2_9!G65,services_v2_8!G65,services_v2_7!G65,services_v2_6!G65,services_v2_10!G65)/COUNT(services_v2_9!G65,services_v2_8!G65,services_v2_7!G65,services_v2_6!G65,services_v2_10!G65),0))</f>
        <v>1</v>
      </c>
      <c r="H65">
        <f>IF(AND(F65=1,G65=1),ROUND(SUM(services_v2_9!H65,services_v2_8!H65,services_v2_7!H65,services_v2_6!H65,services_v2_10!H65)/COUNT(services_v2_9!H65,services_v2_8!H65,services_v2_7!H65,services_v2_6!H65,services_v2_10!H65),0),"NA")</f>
        <v>1</v>
      </c>
      <c r="I65">
        <f>IF($E65=0, "NA", ROUND(SUM(services_v2_9!I65,services_v2_8!I65,services_v2_7!I65,services_v2_6!I65,services_v2_10!I65)/COUNT(services_v2_9!I65,services_v2_8!I65,services_v2_7!I65,services_v2_6!I65,services_v2_10!I65),0))</f>
        <v>1</v>
      </c>
      <c r="J65">
        <f>IF(F65=1,ROUND(SUM(services_v2_9!J65,services_v2_8!J65,services_v2_7!J65,services_v2_6!J65,services_v2_10!J65)/COUNT(services_v2_9!J65,services_v2_8!J65,services_v2_7!J65,services_v2_6!J65,services_v2_10!J65),0),"NA")</f>
        <v>1</v>
      </c>
      <c r="K65">
        <f>IF($E65=0, "NA", ROUND(SUM(services_v2_9!K65,services_v2_8!K65,services_v2_7!K65,services_v2_6!K65,services_v2_10!K65)/COUNT(services_v2_9!K65,services_v2_8!K65,services_v2_7!K65,services_v2_6!K65,services_v2_10!K65),0))</f>
        <v>1</v>
      </c>
      <c r="L65">
        <f>IF($E65=0, "NA", ROUND(SUM(services_v2_9!L65,services_v2_8!L65,services_v2_7!L65,services_v2_6!L65,services_v2_10!L65)/COUNT(services_v2_9!L65,services_v2_8!L65,services_v2_7!L65,services_v2_6!L65,services_v2_10!L65),0))</f>
        <v>1</v>
      </c>
      <c r="M65">
        <f>IF($E65=0, "NA", ROUND(SUM(services_v2_9!M65,services_v2_8!M65,services_v2_7!M65,services_v2_6!M65,services_v2_10!M65)/COUNT(services_v2_9!M65,services_v2_8!M65,services_v2_7!M65,services_v2_6!M65,services_v2_10!M65),0))</f>
        <v>1</v>
      </c>
      <c r="N65">
        <f>IF($E65=0, "NA", ROUND(SUM(services_v2_9!N65,services_v2_8!N65,services_v2_7!N65,services_v2_6!N65,services_v2_10!N65)/COUNT(services_v2_9!N65,services_v2_8!N65,services_v2_7!N65,services_v2_6!N65,services_v2_10!N65),0))</f>
        <v>1</v>
      </c>
      <c r="O65">
        <f>IF($E65=0, "NA", ROUND(SUM(services_v2_9!O65,services_v2_8!O65,services_v2_7!O65,services_v2_6!O65,services_v2_10!O65)/COUNT(services_v2_9!O65,services_v2_8!O65,services_v2_7!O65,services_v2_6!O65,services_v2_10!O65),0))</f>
        <v>1</v>
      </c>
    </row>
    <row r="66" spans="1:15" x14ac:dyDescent="0.25">
      <c r="A66" t="s">
        <v>96</v>
      </c>
      <c r="B66" t="s">
        <v>40</v>
      </c>
      <c r="C66">
        <v>0</v>
      </c>
      <c r="D66">
        <v>11.17711329460144</v>
      </c>
      <c r="E66">
        <f>ROUND(SUM(services_v2_9!E66,services_v2_8!E66,services_v2_7!E66,services_v2_6!E66,services_v2_10!E66)/COUNT(services_v2_9!E66,services_v2_8!E66,services_v2_7!E66,services_v2_6!E66,services_v2_10!E66),0)</f>
        <v>1</v>
      </c>
      <c r="F66">
        <f>IF($E66=0, "NA", ROUND(SUM(services_v2_9!F66,services_v2_8!F66,services_v2_7!F66,services_v2_6!F66,services_v2_10!F66)/COUNT(services_v2_9!F66,services_v2_8!F66,services_v2_7!F66,services_v2_6!F66,services_v2_10!F66),0))</f>
        <v>0</v>
      </c>
      <c r="G66">
        <f>IF($E66=0, "NA", ROUND(SUM(services_v2_9!G66,services_v2_8!G66,services_v2_7!G66,services_v2_6!G66,services_v2_10!G66)/COUNT(services_v2_9!G66,services_v2_8!G66,services_v2_7!G66,services_v2_6!G66,services_v2_10!G66),0))</f>
        <v>1</v>
      </c>
      <c r="H66" t="str">
        <f>IF(AND(F66=1,G66=1),ROUND(SUM(services_v2_9!H66,services_v2_8!H66,services_v2_7!H66,services_v2_6!H66,services_v2_10!H66)/COUNT(services_v2_9!H66,services_v2_8!H66,services_v2_7!H66,services_v2_6!H66,services_v2_10!H66),0),"NA")</f>
        <v>NA</v>
      </c>
      <c r="I66">
        <f>IF($E66=0, "NA", ROUND(SUM(services_v2_9!I66,services_v2_8!I66,services_v2_7!I66,services_v2_6!I66,services_v2_10!I66)/COUNT(services_v2_9!I66,services_v2_8!I66,services_v2_7!I66,services_v2_6!I66,services_v2_10!I66),0))</f>
        <v>1</v>
      </c>
      <c r="J66" t="str">
        <f>IF(F66=1,ROUND(SUM(services_v2_9!J66,services_v2_8!J66,services_v2_7!J66,services_v2_6!J66,services_v2_10!J66)/COUNT(services_v2_9!J66,services_v2_8!J66,services_v2_7!J66,services_v2_6!J66,services_v2_10!J66),0),"NA")</f>
        <v>NA</v>
      </c>
      <c r="K66">
        <f>IF($E66=0, "NA", ROUND(SUM(services_v2_9!K66,services_v2_8!K66,services_v2_7!K66,services_v2_6!K66,services_v2_10!K66)/COUNT(services_v2_9!K66,services_v2_8!K66,services_v2_7!K66,services_v2_6!K66,services_v2_10!K66),0))</f>
        <v>1</v>
      </c>
      <c r="L66">
        <f>IF($E66=0, "NA", ROUND(SUM(services_v2_9!L66,services_v2_8!L66,services_v2_7!L66,services_v2_6!L66,services_v2_10!L66)/COUNT(services_v2_9!L66,services_v2_8!L66,services_v2_7!L66,services_v2_6!L66,services_v2_10!L66),0))</f>
        <v>1</v>
      </c>
      <c r="M66">
        <f>IF($E66=0, "NA", ROUND(SUM(services_v2_9!M66,services_v2_8!M66,services_v2_7!M66,services_v2_6!M66,services_v2_10!M66)/COUNT(services_v2_9!M66,services_v2_8!M66,services_v2_7!M66,services_v2_6!M66,services_v2_10!M66),0))</f>
        <v>1</v>
      </c>
      <c r="N66">
        <f>IF($E66=0, "NA", ROUND(SUM(services_v2_9!N66,services_v2_8!N66,services_v2_7!N66,services_v2_6!N66,services_v2_10!N66)/COUNT(services_v2_9!N66,services_v2_8!N66,services_v2_7!N66,services_v2_6!N66,services_v2_10!N66),0))</f>
        <v>1</v>
      </c>
      <c r="O66">
        <f>IF($E66=0, "NA", ROUND(SUM(services_v2_9!O66,services_v2_8!O66,services_v2_7!O66,services_v2_6!O66,services_v2_10!O66)/COUNT(services_v2_9!O66,services_v2_8!O66,services_v2_7!O66,services_v2_6!O66,services_v2_10!O66),0))</f>
        <v>1</v>
      </c>
    </row>
    <row r="67" spans="1:15" x14ac:dyDescent="0.25">
      <c r="A67" t="s">
        <v>96</v>
      </c>
      <c r="B67" t="s">
        <v>42</v>
      </c>
      <c r="C67">
        <v>0</v>
      </c>
      <c r="D67">
        <v>11.506978034973139</v>
      </c>
      <c r="E67">
        <f>ROUND(SUM(services_v2_9!E67,services_v2_8!E67,services_v2_7!E67,services_v2_6!E67,services_v2_10!E67)/COUNT(services_v2_9!E67,services_v2_8!E67,services_v2_7!E67,services_v2_6!E67,services_v2_10!E67),0)</f>
        <v>1</v>
      </c>
      <c r="F67">
        <f>IF($E67=0, "NA", ROUND(SUM(services_v2_9!F67,services_v2_8!F67,services_v2_7!F67,services_v2_6!F67,services_v2_10!F67)/COUNT(services_v2_9!F67,services_v2_8!F67,services_v2_7!F67,services_v2_6!F67,services_v2_10!F67),0))</f>
        <v>1</v>
      </c>
      <c r="G67">
        <f>IF($E67=0, "NA", ROUND(SUM(services_v2_9!G67,services_v2_8!G67,services_v2_7!G67,services_v2_6!G67,services_v2_10!G67)/COUNT(services_v2_9!G67,services_v2_8!G67,services_v2_7!G67,services_v2_6!G67,services_v2_10!G67),0))</f>
        <v>1</v>
      </c>
      <c r="H67">
        <f>IF(AND(F67=1,G67=1),ROUND(SUM(services_v2_9!H67,services_v2_8!H67,services_v2_7!H67,services_v2_6!H67,services_v2_10!H67)/COUNT(services_v2_9!H67,services_v2_8!H67,services_v2_7!H67,services_v2_6!H67,services_v2_10!H67),0),"NA")</f>
        <v>0</v>
      </c>
      <c r="I67">
        <f>IF($E67=0, "NA", ROUND(SUM(services_v2_9!I67,services_v2_8!I67,services_v2_7!I67,services_v2_6!I67,services_v2_10!I67)/COUNT(services_v2_9!I67,services_v2_8!I67,services_v2_7!I67,services_v2_6!I67,services_v2_10!I67),0))</f>
        <v>1</v>
      </c>
      <c r="J67">
        <f>IF(F67=1,ROUND(SUM(services_v2_9!J67,services_v2_8!J67,services_v2_7!J67,services_v2_6!J67,services_v2_10!J67)/COUNT(services_v2_9!J67,services_v2_8!J67,services_v2_7!J67,services_v2_6!J67,services_v2_10!J67),0),"NA")</f>
        <v>1</v>
      </c>
      <c r="K67">
        <f>IF($E67=0, "NA", ROUND(SUM(services_v2_9!K67,services_v2_8!K67,services_v2_7!K67,services_v2_6!K67,services_v2_10!K67)/COUNT(services_v2_9!K67,services_v2_8!K67,services_v2_7!K67,services_v2_6!K67,services_v2_10!K67),0))</f>
        <v>1</v>
      </c>
      <c r="L67">
        <f>IF($E67=0, "NA", ROUND(SUM(services_v2_9!L67,services_v2_8!L67,services_v2_7!L67,services_v2_6!L67,services_v2_10!L67)/COUNT(services_v2_9!L67,services_v2_8!L67,services_v2_7!L67,services_v2_6!L67,services_v2_10!L67),0))</f>
        <v>1</v>
      </c>
      <c r="M67">
        <f>IF($E67=0, "NA", ROUND(SUM(services_v2_9!M67,services_v2_8!M67,services_v2_7!M67,services_v2_6!M67,services_v2_10!M67)/COUNT(services_v2_9!M67,services_v2_8!M67,services_v2_7!M67,services_v2_6!M67,services_v2_10!M67),0))</f>
        <v>1</v>
      </c>
      <c r="N67">
        <f>IF($E67=0, "NA", ROUND(SUM(services_v2_9!N67,services_v2_8!N67,services_v2_7!N67,services_v2_6!N67,services_v2_10!N67)/COUNT(services_v2_9!N67,services_v2_8!N67,services_v2_7!N67,services_v2_6!N67,services_v2_10!N67),0))</f>
        <v>1</v>
      </c>
      <c r="O67">
        <f>IF($E67=0, "NA", ROUND(SUM(services_v2_9!O67,services_v2_8!O67,services_v2_7!O67,services_v2_6!O67,services_v2_10!O67)/COUNT(services_v2_9!O67,services_v2_8!O67,services_v2_7!O67,services_v2_6!O67,services_v2_10!O67),0))</f>
        <v>1</v>
      </c>
    </row>
    <row r="68" spans="1:15" x14ac:dyDescent="0.25">
      <c r="A68" t="s">
        <v>96</v>
      </c>
      <c r="B68" t="s">
        <v>43</v>
      </c>
      <c r="C68">
        <v>0</v>
      </c>
      <c r="D68">
        <v>12.10335636138916</v>
      </c>
      <c r="E68">
        <f>ROUND(SUM(services_v2_9!E68,services_v2_8!E68,services_v2_7!E68,services_v2_6!E68,services_v2_10!E68)/COUNT(services_v2_9!E68,services_v2_8!E68,services_v2_7!E68,services_v2_6!E68,services_v2_10!E68),0)</f>
        <v>1</v>
      </c>
      <c r="F68">
        <f>IF($E68=0, "NA", ROUND(SUM(services_v2_9!F68,services_v2_8!F68,services_v2_7!F68,services_v2_6!F68,services_v2_10!F68)/COUNT(services_v2_9!F68,services_v2_8!F68,services_v2_7!F68,services_v2_6!F68,services_v2_10!F68),0))</f>
        <v>1</v>
      </c>
      <c r="G68">
        <f>IF($E68=0, "NA", ROUND(SUM(services_v2_9!G68,services_v2_8!G68,services_v2_7!G68,services_v2_6!G68,services_v2_10!G68)/COUNT(services_v2_9!G68,services_v2_8!G68,services_v2_7!G68,services_v2_6!G68,services_v2_10!G68),0))</f>
        <v>1</v>
      </c>
      <c r="H68">
        <f>IF(AND(F68=1,G68=1),ROUND(SUM(services_v2_9!H68,services_v2_8!H68,services_v2_7!H68,services_v2_6!H68,services_v2_10!H68)/COUNT(services_v2_9!H68,services_v2_8!H68,services_v2_7!H68,services_v2_6!H68,services_v2_10!H68),0),"NA")</f>
        <v>1</v>
      </c>
      <c r="I68">
        <f>IF($E68=0, "NA", ROUND(SUM(services_v2_9!I68,services_v2_8!I68,services_v2_7!I68,services_v2_6!I68,services_v2_10!I68)/COUNT(services_v2_9!I68,services_v2_8!I68,services_v2_7!I68,services_v2_6!I68,services_v2_10!I68),0))</f>
        <v>1</v>
      </c>
      <c r="J68">
        <f>IF(F68=1,ROUND(SUM(services_v2_9!J68,services_v2_8!J68,services_v2_7!J68,services_v2_6!J68,services_v2_10!J68)/COUNT(services_v2_9!J68,services_v2_8!J68,services_v2_7!J68,services_v2_6!J68,services_v2_10!J68),0),"NA")</f>
        <v>1</v>
      </c>
      <c r="K68">
        <f>IF($E68=0, "NA", ROUND(SUM(services_v2_9!K68,services_v2_8!K68,services_v2_7!K68,services_v2_6!K68,services_v2_10!K68)/COUNT(services_v2_9!K68,services_v2_8!K68,services_v2_7!K68,services_v2_6!K68,services_v2_10!K68),0))</f>
        <v>0</v>
      </c>
      <c r="L68">
        <f>IF($E68=0, "NA", ROUND(SUM(services_v2_9!L68,services_v2_8!L68,services_v2_7!L68,services_v2_6!L68,services_v2_10!L68)/COUNT(services_v2_9!L68,services_v2_8!L68,services_v2_7!L68,services_v2_6!L68,services_v2_10!L68),0))</f>
        <v>1</v>
      </c>
      <c r="M68">
        <f>IF($E68=0, "NA", ROUND(SUM(services_v2_9!M68,services_v2_8!M68,services_v2_7!M68,services_v2_6!M68,services_v2_10!M68)/COUNT(services_v2_9!M68,services_v2_8!M68,services_v2_7!M68,services_v2_6!M68,services_v2_10!M68),0))</f>
        <v>1</v>
      </c>
      <c r="N68">
        <f>IF($E68=0, "NA", ROUND(SUM(services_v2_9!N68,services_v2_8!N68,services_v2_7!N68,services_v2_6!N68,services_v2_10!N68)/COUNT(services_v2_9!N68,services_v2_8!N68,services_v2_7!N68,services_v2_6!N68,services_v2_10!N68),0))</f>
        <v>1</v>
      </c>
      <c r="O68">
        <f>IF($E68=0, "NA", ROUND(SUM(services_v2_9!O68,services_v2_8!O68,services_v2_7!O68,services_v2_6!O68,services_v2_10!O68)/COUNT(services_v2_9!O68,services_v2_8!O68,services_v2_7!O68,services_v2_6!O68,services_v2_10!O68),0))</f>
        <v>1</v>
      </c>
    </row>
    <row r="69" spans="1:15" x14ac:dyDescent="0.25">
      <c r="A69" t="s">
        <v>96</v>
      </c>
      <c r="B69" t="s">
        <v>44</v>
      </c>
      <c r="C69">
        <v>0</v>
      </c>
      <c r="D69">
        <v>2.69297194480896</v>
      </c>
      <c r="E69">
        <f>ROUND(SUM(services_v2_9!E69,services_v2_8!E69,services_v2_7!E69,services_v2_6!E69,services_v2_10!E69)/COUNT(services_v2_9!E69,services_v2_8!E69,services_v2_7!E69,services_v2_6!E69,services_v2_10!E69),0)</f>
        <v>1</v>
      </c>
      <c r="F69">
        <f>IF($E69=0, "NA", ROUND(SUM(services_v2_9!F69,services_v2_8!F69,services_v2_7!F69,services_v2_6!F69,services_v2_10!F69)/COUNT(services_v2_9!F69,services_v2_8!F69,services_v2_7!F69,services_v2_6!F69,services_v2_10!F69),0))</f>
        <v>1</v>
      </c>
      <c r="G69">
        <f>IF($E69=0, "NA", ROUND(SUM(services_v2_9!G69,services_v2_8!G69,services_v2_7!G69,services_v2_6!G69,services_v2_10!G69)/COUNT(services_v2_9!G69,services_v2_8!G69,services_v2_7!G69,services_v2_6!G69,services_v2_10!G69),0))</f>
        <v>1</v>
      </c>
      <c r="H69">
        <f>IF(AND(F69=1,G69=1),ROUND(SUM(services_v2_9!H69,services_v2_8!H69,services_v2_7!H69,services_v2_6!H69,services_v2_10!H69)/COUNT(services_v2_9!H69,services_v2_8!H69,services_v2_7!H69,services_v2_6!H69,services_v2_10!H69),0),"NA")</f>
        <v>1</v>
      </c>
      <c r="I69">
        <f>IF($E69=0, "NA", ROUND(SUM(services_v2_9!I69,services_v2_8!I69,services_v2_7!I69,services_v2_6!I69,services_v2_10!I69)/COUNT(services_v2_9!I69,services_v2_8!I69,services_v2_7!I69,services_v2_6!I69,services_v2_10!I69),0))</f>
        <v>1</v>
      </c>
      <c r="J69">
        <f>IF(F69=1,ROUND(SUM(services_v2_9!J69,services_v2_8!J69,services_v2_7!J69,services_v2_6!J69,services_v2_10!J69)/COUNT(services_v2_9!J69,services_v2_8!J69,services_v2_7!J69,services_v2_6!J69,services_v2_10!J69),0),"NA")</f>
        <v>1</v>
      </c>
      <c r="K69">
        <f>IF($E69=0, "NA", ROUND(SUM(services_v2_9!K69,services_v2_8!K69,services_v2_7!K69,services_v2_6!K69,services_v2_10!K69)/COUNT(services_v2_9!K69,services_v2_8!K69,services_v2_7!K69,services_v2_6!K69,services_v2_10!K69),0))</f>
        <v>1</v>
      </c>
      <c r="L69">
        <f>IF($E69=0, "NA", ROUND(SUM(services_v2_9!L69,services_v2_8!L69,services_v2_7!L69,services_v2_6!L69,services_v2_10!L69)/COUNT(services_v2_9!L69,services_v2_8!L69,services_v2_7!L69,services_v2_6!L69,services_v2_10!L69),0))</f>
        <v>1</v>
      </c>
      <c r="M69">
        <f>IF($E69=0, "NA", ROUND(SUM(services_v2_9!M69,services_v2_8!M69,services_v2_7!M69,services_v2_6!M69,services_v2_10!M69)/COUNT(services_v2_9!M69,services_v2_8!M69,services_v2_7!M69,services_v2_6!M69,services_v2_10!M69),0))</f>
        <v>1</v>
      </c>
      <c r="N69">
        <f>IF($E69=0, "NA", ROUND(SUM(services_v2_9!N69,services_v2_8!N69,services_v2_7!N69,services_v2_6!N69,services_v2_10!N69)/COUNT(services_v2_9!N69,services_v2_8!N69,services_v2_7!N69,services_v2_6!N69,services_v2_10!N69),0))</f>
        <v>1</v>
      </c>
      <c r="O69">
        <f>IF($E69=0, "NA", ROUND(SUM(services_v2_9!O69,services_v2_8!O69,services_v2_7!O69,services_v2_6!O69,services_v2_10!O69)/COUNT(services_v2_9!O69,services_v2_8!O69,services_v2_7!O69,services_v2_6!O69,services_v2_10!O69),0))</f>
        <v>1</v>
      </c>
    </row>
    <row r="70" spans="1:15" x14ac:dyDescent="0.25">
      <c r="A70" t="s">
        <v>96</v>
      </c>
      <c r="B70" t="s">
        <v>46</v>
      </c>
      <c r="C70">
        <v>0</v>
      </c>
      <c r="D70">
        <v>9.7354235649108887</v>
      </c>
      <c r="E70">
        <f>ROUND(SUM(services_v2_9!E70,services_v2_8!E70,services_v2_7!E70,services_v2_6!E70,services_v2_10!E70)/COUNT(services_v2_9!E70,services_v2_8!E70,services_v2_7!E70,services_v2_6!E70,services_v2_10!E70),0)</f>
        <v>1</v>
      </c>
      <c r="F70">
        <f>IF($E70=0, "NA", ROUND(SUM(services_v2_9!F70,services_v2_8!F70,services_v2_7!F70,services_v2_6!F70,services_v2_10!F70)/COUNT(services_v2_9!F70,services_v2_8!F70,services_v2_7!F70,services_v2_6!F70,services_v2_10!F70),0))</f>
        <v>1</v>
      </c>
      <c r="G70">
        <f>IF($E70=0, "NA", ROUND(SUM(services_v2_9!G70,services_v2_8!G70,services_v2_7!G70,services_v2_6!G70,services_v2_10!G70)/COUNT(services_v2_9!G70,services_v2_8!G70,services_v2_7!G70,services_v2_6!G70,services_v2_10!G70),0))</f>
        <v>1</v>
      </c>
      <c r="H70">
        <f>IF(AND(F70=1,G70=1),ROUND(SUM(services_v2_9!H70,services_v2_8!H70,services_v2_7!H70,services_v2_6!H70,services_v2_10!H70)/COUNT(services_v2_9!H70,services_v2_8!H70,services_v2_7!H70,services_v2_6!H70,services_v2_10!H70),0),"NA")</f>
        <v>1</v>
      </c>
      <c r="I70">
        <f>IF($E70=0, "NA", ROUND(SUM(services_v2_9!I70,services_v2_8!I70,services_v2_7!I70,services_v2_6!I70,services_v2_10!I70)/COUNT(services_v2_9!I70,services_v2_8!I70,services_v2_7!I70,services_v2_6!I70,services_v2_10!I70),0))</f>
        <v>1</v>
      </c>
      <c r="J70">
        <f>IF(F70=1,ROUND(SUM(services_v2_9!J70,services_v2_8!J70,services_v2_7!J70,services_v2_6!J70,services_v2_10!J70)/COUNT(services_v2_9!J70,services_v2_8!J70,services_v2_7!J70,services_v2_6!J70,services_v2_10!J70),0),"NA")</f>
        <v>1</v>
      </c>
      <c r="K70">
        <f>IF($E70=0, "NA", ROUND(SUM(services_v2_9!K70,services_v2_8!K70,services_v2_7!K70,services_v2_6!K70,services_v2_10!K70)/COUNT(services_v2_9!K70,services_v2_8!K70,services_v2_7!K70,services_v2_6!K70,services_v2_10!K70),0))</f>
        <v>1</v>
      </c>
      <c r="L70">
        <f>IF($E70=0, "NA", ROUND(SUM(services_v2_9!L70,services_v2_8!L70,services_v2_7!L70,services_v2_6!L70,services_v2_10!L70)/COUNT(services_v2_9!L70,services_v2_8!L70,services_v2_7!L70,services_v2_6!L70,services_v2_10!L70),0))</f>
        <v>1</v>
      </c>
      <c r="M70">
        <f>IF($E70=0, "NA", ROUND(SUM(services_v2_9!M70,services_v2_8!M70,services_v2_7!M70,services_v2_6!M70,services_v2_10!M70)/COUNT(services_v2_9!M70,services_v2_8!M70,services_v2_7!M70,services_v2_6!M70,services_v2_10!M70),0))</f>
        <v>1</v>
      </c>
      <c r="N70">
        <f>IF($E70=0, "NA", ROUND(SUM(services_v2_9!N70,services_v2_8!N70,services_v2_7!N70,services_v2_6!N70,services_v2_10!N70)/COUNT(services_v2_9!N70,services_v2_8!N70,services_v2_7!N70,services_v2_6!N70,services_v2_10!N70),0))</f>
        <v>1</v>
      </c>
      <c r="O70">
        <f>IF($E70=0, "NA", ROUND(SUM(services_v2_9!O70,services_v2_8!O70,services_v2_7!O70,services_v2_6!O70,services_v2_10!O70)/COUNT(services_v2_9!O70,services_v2_8!O70,services_v2_7!O70,services_v2_6!O70,services_v2_10!O70),0))</f>
        <v>1</v>
      </c>
    </row>
    <row r="71" spans="1:15" x14ac:dyDescent="0.25">
      <c r="A71" t="s">
        <v>96</v>
      </c>
      <c r="B71" t="s">
        <v>48</v>
      </c>
      <c r="C71">
        <v>0</v>
      </c>
      <c r="D71">
        <v>12.401503801345831</v>
      </c>
      <c r="E71">
        <f>ROUND(SUM(services_v2_9!E71,services_v2_8!E71,services_v2_7!E71,services_v2_6!E71,services_v2_10!E71)/COUNT(services_v2_9!E71,services_v2_8!E71,services_v2_7!E71,services_v2_6!E71,services_v2_10!E71),0)</f>
        <v>0</v>
      </c>
      <c r="F71" t="str">
        <f>IF($E71=0, "NA", ROUND(SUM(services_v2_9!F71,services_v2_8!F71,services_v2_7!F71,services_v2_6!F71,services_v2_10!F71)/COUNT(services_v2_9!F71,services_v2_8!F71,services_v2_7!F71,services_v2_6!F71,services_v2_10!F71),0))</f>
        <v>NA</v>
      </c>
      <c r="G71" t="str">
        <f>IF($E71=0, "NA", ROUND(SUM(services_v2_9!G71,services_v2_8!G71,services_v2_7!G71,services_v2_6!G71,services_v2_10!G71)/COUNT(services_v2_9!G71,services_v2_8!G71,services_v2_7!G71,services_v2_6!G71,services_v2_10!G71),0))</f>
        <v>NA</v>
      </c>
      <c r="H71" t="str">
        <f>IF(AND(F71=1,G71=1),ROUND(SUM(services_v2_9!H71,services_v2_8!H71,services_v2_7!H71,services_v2_6!H71,services_v2_10!H71)/COUNT(services_v2_9!H71,services_v2_8!H71,services_v2_7!H71,services_v2_6!H71,services_v2_10!H71),0),"NA")</f>
        <v>NA</v>
      </c>
      <c r="I71" t="str">
        <f>IF($E71=0, "NA", ROUND(SUM(services_v2_9!I71,services_v2_8!I71,services_v2_7!I71,services_v2_6!I71,services_v2_10!I71)/COUNT(services_v2_9!I71,services_v2_8!I71,services_v2_7!I71,services_v2_6!I71,services_v2_10!I71),0))</f>
        <v>NA</v>
      </c>
      <c r="J71" t="str">
        <f>IF(F71=1,ROUND(SUM(services_v2_9!J71,services_v2_8!J71,services_v2_7!J71,services_v2_6!J71,services_v2_10!J71)/COUNT(services_v2_9!J71,services_v2_8!J71,services_v2_7!J71,services_v2_6!J71,services_v2_10!J71),0),"NA")</f>
        <v>NA</v>
      </c>
      <c r="K71" t="str">
        <f>IF($E71=0, "NA", ROUND(SUM(services_v2_9!K71,services_v2_8!K71,services_v2_7!K71,services_v2_6!K71,services_v2_10!K71)/COUNT(services_v2_9!K71,services_v2_8!K71,services_v2_7!K71,services_v2_6!K71,services_v2_10!K71),0))</f>
        <v>NA</v>
      </c>
      <c r="L71" t="str">
        <f>IF($E71=0, "NA", ROUND(SUM(services_v2_9!L71,services_v2_8!L71,services_v2_7!L71,services_v2_6!L71,services_v2_10!L71)/COUNT(services_v2_9!L71,services_v2_8!L71,services_v2_7!L71,services_v2_6!L71,services_v2_10!L71),0))</f>
        <v>NA</v>
      </c>
      <c r="M71" t="str">
        <f>IF($E71=0, "NA", ROUND(SUM(services_v2_9!M71,services_v2_8!M71,services_v2_7!M71,services_v2_6!M71,services_v2_10!M71)/COUNT(services_v2_9!M71,services_v2_8!M71,services_v2_7!M71,services_v2_6!M71,services_v2_10!M71),0))</f>
        <v>NA</v>
      </c>
      <c r="N71" t="str">
        <f>IF($E71=0, "NA", ROUND(SUM(services_v2_9!N71,services_v2_8!N71,services_v2_7!N71,services_v2_6!N71,services_v2_10!N71)/COUNT(services_v2_9!N71,services_v2_8!N71,services_v2_7!N71,services_v2_6!N71,services_v2_10!N71),0))</f>
        <v>NA</v>
      </c>
      <c r="O71" t="str">
        <f>IF($E71=0, "NA", ROUND(SUM(services_v2_9!O71,services_v2_8!O71,services_v2_7!O71,services_v2_6!O71,services_v2_10!O71)/COUNT(services_v2_9!O71,services_v2_8!O71,services_v2_7!O71,services_v2_6!O71,services_v2_10!O71),0))</f>
        <v>NA</v>
      </c>
    </row>
    <row r="72" spans="1:15" x14ac:dyDescent="0.25">
      <c r="A72" t="s">
        <v>96</v>
      </c>
      <c r="B72" t="s">
        <v>50</v>
      </c>
      <c r="C72">
        <v>0</v>
      </c>
      <c r="D72">
        <v>11.43465876579285</v>
      </c>
      <c r="E72">
        <f>ROUND(SUM(services_v2_9!E72,services_v2_8!E72,services_v2_7!E72,services_v2_6!E72,services_v2_10!E72)/COUNT(services_v2_9!E72,services_v2_8!E72,services_v2_7!E72,services_v2_6!E72,services_v2_10!E72),0)</f>
        <v>1</v>
      </c>
      <c r="F72">
        <f>IF($E72=0, "NA", ROUND(SUM(services_v2_9!F72,services_v2_8!F72,services_v2_7!F72,services_v2_6!F72,services_v2_10!F72)/COUNT(services_v2_9!F72,services_v2_8!F72,services_v2_7!F72,services_v2_6!F72,services_v2_10!F72),0))</f>
        <v>1</v>
      </c>
      <c r="G72">
        <f>IF($E72=0, "NA", ROUND(SUM(services_v2_9!G72,services_v2_8!G72,services_v2_7!G72,services_v2_6!G72,services_v2_10!G72)/COUNT(services_v2_9!G72,services_v2_8!G72,services_v2_7!G72,services_v2_6!G72,services_v2_10!G72),0))</f>
        <v>1</v>
      </c>
      <c r="H72">
        <f>IF(AND(F72=1,G72=1),ROUND(SUM(services_v2_9!H72,services_v2_8!H72,services_v2_7!H72,services_v2_6!H72,services_v2_10!H72)/COUNT(services_v2_9!H72,services_v2_8!H72,services_v2_7!H72,services_v2_6!H72,services_v2_10!H72),0),"NA")</f>
        <v>1</v>
      </c>
      <c r="I72">
        <f>IF($E72=0, "NA", ROUND(SUM(services_v2_9!I72,services_v2_8!I72,services_v2_7!I72,services_v2_6!I72,services_v2_10!I72)/COUNT(services_v2_9!I72,services_v2_8!I72,services_v2_7!I72,services_v2_6!I72,services_v2_10!I72),0))</f>
        <v>1</v>
      </c>
      <c r="J72">
        <f>IF(F72=1,ROUND(SUM(services_v2_9!J72,services_v2_8!J72,services_v2_7!J72,services_v2_6!J72,services_v2_10!J72)/COUNT(services_v2_9!J72,services_v2_8!J72,services_v2_7!J72,services_v2_6!J72,services_v2_10!J72),0),"NA")</f>
        <v>1</v>
      </c>
      <c r="K72">
        <f>IF($E72=0, "NA", ROUND(SUM(services_v2_9!K72,services_v2_8!K72,services_v2_7!K72,services_v2_6!K72,services_v2_10!K72)/COUNT(services_v2_9!K72,services_v2_8!K72,services_v2_7!K72,services_v2_6!K72,services_v2_10!K72),0))</f>
        <v>1</v>
      </c>
      <c r="L72">
        <f>IF($E72=0, "NA", ROUND(SUM(services_v2_9!L72,services_v2_8!L72,services_v2_7!L72,services_v2_6!L72,services_v2_10!L72)/COUNT(services_v2_9!L72,services_v2_8!L72,services_v2_7!L72,services_v2_6!L72,services_v2_10!L72),0))</f>
        <v>1</v>
      </c>
      <c r="M72">
        <f>IF($E72=0, "NA", ROUND(SUM(services_v2_9!M72,services_v2_8!M72,services_v2_7!M72,services_v2_6!M72,services_v2_10!M72)/COUNT(services_v2_9!M72,services_v2_8!M72,services_v2_7!M72,services_v2_6!M72,services_v2_10!M72),0))</f>
        <v>0</v>
      </c>
      <c r="N72">
        <f>IF($E72=0, "NA", ROUND(SUM(services_v2_9!N72,services_v2_8!N72,services_v2_7!N72,services_v2_6!N72,services_v2_10!N72)/COUNT(services_v2_9!N72,services_v2_8!N72,services_v2_7!N72,services_v2_6!N72,services_v2_10!N72),0))</f>
        <v>1</v>
      </c>
      <c r="O72">
        <f>IF($E72=0, "NA", ROUND(SUM(services_v2_9!O72,services_v2_8!O72,services_v2_7!O72,services_v2_6!O72,services_v2_10!O72)/COUNT(services_v2_9!O72,services_v2_8!O72,services_v2_7!O72,services_v2_6!O72,services_v2_10!O72),0))</f>
        <v>1</v>
      </c>
    </row>
    <row r="73" spans="1:15" x14ac:dyDescent="0.25">
      <c r="A73" t="s">
        <v>96</v>
      </c>
      <c r="B73" t="s">
        <v>51</v>
      </c>
      <c r="C73">
        <v>0</v>
      </c>
      <c r="D73">
        <v>13.35729289054871</v>
      </c>
      <c r="E73">
        <f>ROUND(SUM(services_v2_9!E73,services_v2_8!E73,services_v2_7!E73,services_v2_6!E73,services_v2_10!E73)/COUNT(services_v2_9!E73,services_v2_8!E73,services_v2_7!E73,services_v2_6!E73,services_v2_10!E73),0)</f>
        <v>1</v>
      </c>
      <c r="F73">
        <f>IF($E73=0, "NA", ROUND(SUM(services_v2_9!F73,services_v2_8!F73,services_v2_7!F73,services_v2_6!F73,services_v2_10!F73)/COUNT(services_v2_9!F73,services_v2_8!F73,services_v2_7!F73,services_v2_6!F73,services_v2_10!F73),0))</f>
        <v>1</v>
      </c>
      <c r="G73">
        <f>IF($E73=0, "NA", ROUND(SUM(services_v2_9!G73,services_v2_8!G73,services_v2_7!G73,services_v2_6!G73,services_v2_10!G73)/COUNT(services_v2_9!G73,services_v2_8!G73,services_v2_7!G73,services_v2_6!G73,services_v2_10!G73),0))</f>
        <v>1</v>
      </c>
      <c r="H73">
        <f>IF(AND(F73=1,G73=1),ROUND(SUM(services_v2_9!H73,services_v2_8!H73,services_v2_7!H73,services_v2_6!H73,services_v2_10!H73)/COUNT(services_v2_9!H73,services_v2_8!H73,services_v2_7!H73,services_v2_6!H73,services_v2_10!H73),0),"NA")</f>
        <v>1</v>
      </c>
      <c r="I73">
        <f>IF($E73=0, "NA", ROUND(SUM(services_v2_9!I73,services_v2_8!I73,services_v2_7!I73,services_v2_6!I73,services_v2_10!I73)/COUNT(services_v2_9!I73,services_v2_8!I73,services_v2_7!I73,services_v2_6!I73,services_v2_10!I73),0))</f>
        <v>1</v>
      </c>
      <c r="J73">
        <f>IF(F73=1,ROUND(SUM(services_v2_9!J73,services_v2_8!J73,services_v2_7!J73,services_v2_6!J73,services_v2_10!J73)/COUNT(services_v2_9!J73,services_v2_8!J73,services_v2_7!J73,services_v2_6!J73,services_v2_10!J73),0),"NA")</f>
        <v>1</v>
      </c>
      <c r="K73">
        <f>IF($E73=0, "NA", ROUND(SUM(services_v2_9!K73,services_v2_8!K73,services_v2_7!K73,services_v2_6!K73,services_v2_10!K73)/COUNT(services_v2_9!K73,services_v2_8!K73,services_v2_7!K73,services_v2_6!K73,services_v2_10!K73),0))</f>
        <v>0</v>
      </c>
      <c r="L73">
        <f>IF($E73=0, "NA", ROUND(SUM(services_v2_9!L73,services_v2_8!L73,services_v2_7!L73,services_v2_6!L73,services_v2_10!L73)/COUNT(services_v2_9!L73,services_v2_8!L73,services_v2_7!L73,services_v2_6!L73,services_v2_10!L73),0))</f>
        <v>1</v>
      </c>
      <c r="M73">
        <f>IF($E73=0, "NA", ROUND(SUM(services_v2_9!M73,services_v2_8!M73,services_v2_7!M73,services_v2_6!M73,services_v2_10!M73)/COUNT(services_v2_9!M73,services_v2_8!M73,services_v2_7!M73,services_v2_6!M73,services_v2_10!M73),0))</f>
        <v>1</v>
      </c>
      <c r="N73">
        <f>IF($E73=0, "NA", ROUND(SUM(services_v2_9!N73,services_v2_8!N73,services_v2_7!N73,services_v2_6!N73,services_v2_10!N73)/COUNT(services_v2_9!N73,services_v2_8!N73,services_v2_7!N73,services_v2_6!N73,services_v2_10!N73),0))</f>
        <v>1</v>
      </c>
      <c r="O73">
        <f>IF($E73=0, "NA", ROUND(SUM(services_v2_9!O73,services_v2_8!O73,services_v2_7!O73,services_v2_6!O73,services_v2_10!O73)/COUNT(services_v2_9!O73,services_v2_8!O73,services_v2_7!O73,services_v2_6!O73,services_v2_10!O73),0))</f>
        <v>1</v>
      </c>
    </row>
    <row r="74" spans="1:15" x14ac:dyDescent="0.25">
      <c r="A74" t="s">
        <v>96</v>
      </c>
      <c r="B74" t="s">
        <v>52</v>
      </c>
      <c r="C74">
        <v>0</v>
      </c>
      <c r="D74">
        <v>9.3260133266448975</v>
      </c>
      <c r="E74">
        <f>ROUND(SUM(services_v2_9!E74,services_v2_8!E74,services_v2_7!E74,services_v2_6!E74,services_v2_10!E74)/COUNT(services_v2_9!E74,services_v2_8!E74,services_v2_7!E74,services_v2_6!E74,services_v2_10!E74),0)</f>
        <v>1</v>
      </c>
      <c r="F74">
        <f>IF($E74=0, "NA", ROUND(SUM(services_v2_9!F74,services_v2_8!F74,services_v2_7!F74,services_v2_6!F74,services_v2_10!F74)/COUNT(services_v2_9!F74,services_v2_8!F74,services_v2_7!F74,services_v2_6!F74,services_v2_10!F74),0))</f>
        <v>1</v>
      </c>
      <c r="G74">
        <f>IF($E74=0, "NA", ROUND(SUM(services_v2_9!G74,services_v2_8!G74,services_v2_7!G74,services_v2_6!G74,services_v2_10!G74)/COUNT(services_v2_9!G74,services_v2_8!G74,services_v2_7!G74,services_v2_6!G74,services_v2_10!G74),0))</f>
        <v>1</v>
      </c>
      <c r="H74">
        <f>IF(AND(F74=1,G74=1),ROUND(SUM(services_v2_9!H74,services_v2_8!H74,services_v2_7!H74,services_v2_6!H74,services_v2_10!H74)/COUNT(services_v2_9!H74,services_v2_8!H74,services_v2_7!H74,services_v2_6!H74,services_v2_10!H74),0),"NA")</f>
        <v>1</v>
      </c>
      <c r="I74">
        <f>IF($E74=0, "NA", ROUND(SUM(services_v2_9!I74,services_v2_8!I74,services_v2_7!I74,services_v2_6!I74,services_v2_10!I74)/COUNT(services_v2_9!I74,services_v2_8!I74,services_v2_7!I74,services_v2_6!I74,services_v2_10!I74),0))</f>
        <v>1</v>
      </c>
      <c r="J74">
        <f>IF(F74=1,ROUND(SUM(services_v2_9!J74,services_v2_8!J74,services_v2_7!J74,services_v2_6!J74,services_v2_10!J74)/COUNT(services_v2_9!J74,services_v2_8!J74,services_v2_7!J74,services_v2_6!J74,services_v2_10!J74),0),"NA")</f>
        <v>1</v>
      </c>
      <c r="K74">
        <f>IF($E74=0, "NA", ROUND(SUM(services_v2_9!K74,services_v2_8!K74,services_v2_7!K74,services_v2_6!K74,services_v2_10!K74)/COUNT(services_v2_9!K74,services_v2_8!K74,services_v2_7!K74,services_v2_6!K74,services_v2_10!K74),0))</f>
        <v>1</v>
      </c>
      <c r="L74">
        <f>IF($E74=0, "NA", ROUND(SUM(services_v2_9!L74,services_v2_8!L74,services_v2_7!L74,services_v2_6!L74,services_v2_10!L74)/COUNT(services_v2_9!L74,services_v2_8!L74,services_v2_7!L74,services_v2_6!L74,services_v2_10!L74),0))</f>
        <v>1</v>
      </c>
      <c r="M74">
        <f>IF($E74=0, "NA", ROUND(SUM(services_v2_9!M74,services_v2_8!M74,services_v2_7!M74,services_v2_6!M74,services_v2_10!M74)/COUNT(services_v2_9!M74,services_v2_8!M74,services_v2_7!M74,services_v2_6!M74,services_v2_10!M74),0))</f>
        <v>1</v>
      </c>
      <c r="N74">
        <f>IF($E74=0, "NA", ROUND(SUM(services_v2_9!N74,services_v2_8!N74,services_v2_7!N74,services_v2_6!N74,services_v2_10!N74)/COUNT(services_v2_9!N74,services_v2_8!N74,services_v2_7!N74,services_v2_6!N74,services_v2_10!N74),0))</f>
        <v>1</v>
      </c>
      <c r="O74">
        <f>IF($E74=0, "NA", ROUND(SUM(services_v2_9!O74,services_v2_8!O74,services_v2_7!O74,services_v2_6!O74,services_v2_10!O74)/COUNT(services_v2_9!O74,services_v2_8!O74,services_v2_7!O74,services_v2_6!O74,services_v2_10!O74),0))</f>
        <v>1</v>
      </c>
    </row>
    <row r="75" spans="1:15" x14ac:dyDescent="0.25">
      <c r="A75" t="s">
        <v>96</v>
      </c>
      <c r="B75" t="s">
        <v>53</v>
      </c>
      <c r="C75">
        <v>0</v>
      </c>
      <c r="D75">
        <v>5.4639875888824463</v>
      </c>
      <c r="E75">
        <f>ROUND(SUM(services_v2_9!E75,services_v2_8!E75,services_v2_7!E75,services_v2_6!E75,services_v2_10!E75)/COUNT(services_v2_9!E75,services_v2_8!E75,services_v2_7!E75,services_v2_6!E75,services_v2_10!E75),0)</f>
        <v>1</v>
      </c>
      <c r="F75">
        <f>IF($E75=0, "NA", ROUND(SUM(services_v2_9!F75,services_v2_8!F75,services_v2_7!F75,services_v2_6!F75,services_v2_10!F75)/COUNT(services_v2_9!F75,services_v2_8!F75,services_v2_7!F75,services_v2_6!F75,services_v2_10!F75),0))</f>
        <v>1</v>
      </c>
      <c r="G75">
        <f>IF($E75=0, "NA", ROUND(SUM(services_v2_9!G75,services_v2_8!G75,services_v2_7!G75,services_v2_6!G75,services_v2_10!G75)/COUNT(services_v2_9!G75,services_v2_8!G75,services_v2_7!G75,services_v2_6!G75,services_v2_10!G75),0))</f>
        <v>0</v>
      </c>
      <c r="H75" t="str">
        <f>IF(AND(F75=1,G75=1),ROUND(SUM(services_v2_9!H75,services_v2_8!H75,services_v2_7!H75,services_v2_6!H75,services_v2_10!H75)/COUNT(services_v2_9!H75,services_v2_8!H75,services_v2_7!H75,services_v2_6!H75,services_v2_10!H75),0),"NA")</f>
        <v>NA</v>
      </c>
      <c r="I75">
        <f>IF($E75=0, "NA", ROUND(SUM(services_v2_9!I75,services_v2_8!I75,services_v2_7!I75,services_v2_6!I75,services_v2_10!I75)/COUNT(services_v2_9!I75,services_v2_8!I75,services_v2_7!I75,services_v2_6!I75,services_v2_10!I75),0))</f>
        <v>1</v>
      </c>
      <c r="J75">
        <f>IF(F75=1,ROUND(SUM(services_v2_9!J75,services_v2_8!J75,services_v2_7!J75,services_v2_6!J75,services_v2_10!J75)/COUNT(services_v2_9!J75,services_v2_8!J75,services_v2_7!J75,services_v2_6!J75,services_v2_10!J75),0),"NA")</f>
        <v>1</v>
      </c>
      <c r="K75">
        <f>IF($E75=0, "NA", ROUND(SUM(services_v2_9!K75,services_v2_8!K75,services_v2_7!K75,services_v2_6!K75,services_v2_10!K75)/COUNT(services_v2_9!K75,services_v2_8!K75,services_v2_7!K75,services_v2_6!K75,services_v2_10!K75),0))</f>
        <v>1</v>
      </c>
      <c r="L75">
        <f>IF($E75=0, "NA", ROUND(SUM(services_v2_9!L75,services_v2_8!L75,services_v2_7!L75,services_v2_6!L75,services_v2_10!L75)/COUNT(services_v2_9!L75,services_v2_8!L75,services_v2_7!L75,services_v2_6!L75,services_v2_10!L75),0))</f>
        <v>1</v>
      </c>
      <c r="M75">
        <f>IF($E75=0, "NA", ROUND(SUM(services_v2_9!M75,services_v2_8!M75,services_v2_7!M75,services_v2_6!M75,services_v2_10!M75)/COUNT(services_v2_9!M75,services_v2_8!M75,services_v2_7!M75,services_v2_6!M75,services_v2_10!M75),0))</f>
        <v>1</v>
      </c>
      <c r="N75">
        <f>IF($E75=0, "NA", ROUND(SUM(services_v2_9!N75,services_v2_8!N75,services_v2_7!N75,services_v2_6!N75,services_v2_10!N75)/COUNT(services_v2_9!N75,services_v2_8!N75,services_v2_7!N75,services_v2_6!N75,services_v2_10!N75),0))</f>
        <v>1</v>
      </c>
      <c r="O75">
        <f>IF($E75=0, "NA", ROUND(SUM(services_v2_9!O75,services_v2_8!O75,services_v2_7!O75,services_v2_6!O75,services_v2_10!O75)/COUNT(services_v2_9!O75,services_v2_8!O75,services_v2_7!O75,services_v2_6!O75,services_v2_10!O75),0))</f>
        <v>1</v>
      </c>
    </row>
    <row r="76" spans="1:15" x14ac:dyDescent="0.25">
      <c r="A76" t="s">
        <v>96</v>
      </c>
      <c r="B76" t="s">
        <v>55</v>
      </c>
      <c r="C76">
        <v>0</v>
      </c>
      <c r="D76">
        <v>3.7283716201782231</v>
      </c>
      <c r="E76">
        <f>ROUND(SUM(services_v2_9!E76,services_v2_8!E76,services_v2_7!E76,services_v2_6!E76,services_v2_10!E76)/COUNT(services_v2_9!E76,services_v2_8!E76,services_v2_7!E76,services_v2_6!E76,services_v2_10!E76),0)</f>
        <v>1</v>
      </c>
      <c r="F76">
        <f>IF($E76=0, "NA", ROUND(SUM(services_v2_9!F76,services_v2_8!F76,services_v2_7!F76,services_v2_6!F76,services_v2_10!F76)/COUNT(services_v2_9!F76,services_v2_8!F76,services_v2_7!F76,services_v2_6!F76,services_v2_10!F76),0))</f>
        <v>1</v>
      </c>
      <c r="G76">
        <f>IF($E76=0, "NA", ROUND(SUM(services_v2_9!G76,services_v2_8!G76,services_v2_7!G76,services_v2_6!G76,services_v2_10!G76)/COUNT(services_v2_9!G76,services_v2_8!G76,services_v2_7!G76,services_v2_6!G76,services_v2_10!G76),0))</f>
        <v>1</v>
      </c>
      <c r="H76">
        <f>IF(AND(F76=1,G76=1),ROUND(SUM(services_v2_9!H76,services_v2_8!H76,services_v2_7!H76,services_v2_6!H76,services_v2_10!H76)/COUNT(services_v2_9!H76,services_v2_8!H76,services_v2_7!H76,services_v2_6!H76,services_v2_10!H76),0),"NA")</f>
        <v>1</v>
      </c>
      <c r="I76">
        <f>IF($E76=0, "NA", ROUND(SUM(services_v2_9!I76,services_v2_8!I76,services_v2_7!I76,services_v2_6!I76,services_v2_10!I76)/COUNT(services_v2_9!I76,services_v2_8!I76,services_v2_7!I76,services_v2_6!I76,services_v2_10!I76),0))</f>
        <v>1</v>
      </c>
      <c r="J76">
        <f>IF(F76=1,ROUND(SUM(services_v2_9!J76,services_v2_8!J76,services_v2_7!J76,services_v2_6!J76,services_v2_10!J76)/COUNT(services_v2_9!J76,services_v2_8!J76,services_v2_7!J76,services_v2_6!J76,services_v2_10!J76),0),"NA")</f>
        <v>1</v>
      </c>
      <c r="K76">
        <f>IF($E76=0, "NA", ROUND(SUM(services_v2_9!K76,services_v2_8!K76,services_v2_7!K76,services_v2_6!K76,services_v2_10!K76)/COUNT(services_v2_9!K76,services_v2_8!K76,services_v2_7!K76,services_v2_6!K76,services_v2_10!K76),0))</f>
        <v>1</v>
      </c>
      <c r="L76">
        <f>IF($E76=0, "NA", ROUND(SUM(services_v2_9!L76,services_v2_8!L76,services_v2_7!L76,services_v2_6!L76,services_v2_10!L76)/COUNT(services_v2_9!L76,services_v2_8!L76,services_v2_7!L76,services_v2_6!L76,services_v2_10!L76),0))</f>
        <v>1</v>
      </c>
      <c r="M76">
        <f>IF($E76=0, "NA", ROUND(SUM(services_v2_9!M76,services_v2_8!M76,services_v2_7!M76,services_v2_6!M76,services_v2_10!M76)/COUNT(services_v2_9!M76,services_v2_8!M76,services_v2_7!M76,services_v2_6!M76,services_v2_10!M76),0))</f>
        <v>0</v>
      </c>
      <c r="N76">
        <f>IF($E76=0, "NA", ROUND(SUM(services_v2_9!N76,services_v2_8!N76,services_v2_7!N76,services_v2_6!N76,services_v2_10!N76)/COUNT(services_v2_9!N76,services_v2_8!N76,services_v2_7!N76,services_v2_6!N76,services_v2_10!N76),0))</f>
        <v>1</v>
      </c>
      <c r="O76">
        <f>IF($E76=0, "NA", ROUND(SUM(services_v2_9!O76,services_v2_8!O76,services_v2_7!O76,services_v2_6!O76,services_v2_10!O76)/COUNT(services_v2_9!O76,services_v2_8!O76,services_v2_7!O76,services_v2_6!O76,services_v2_10!O76),0))</f>
        <v>1</v>
      </c>
    </row>
    <row r="77" spans="1:15" x14ac:dyDescent="0.25">
      <c r="A77" t="s">
        <v>96</v>
      </c>
      <c r="B77" t="s">
        <v>57</v>
      </c>
      <c r="C77">
        <v>0</v>
      </c>
      <c r="D77">
        <v>4.8878109455108643</v>
      </c>
      <c r="E77">
        <f>ROUND(SUM(services_v2_9!E77,services_v2_8!E77,services_v2_7!E77,services_v2_6!E77,services_v2_10!E77)/COUNT(services_v2_9!E77,services_v2_8!E77,services_v2_7!E77,services_v2_6!E77,services_v2_10!E77),0)</f>
        <v>1</v>
      </c>
      <c r="F77">
        <f>IF($E77=0, "NA", ROUND(SUM(services_v2_9!F77,services_v2_8!F77,services_v2_7!F77,services_v2_6!F77,services_v2_10!F77)/COUNT(services_v2_9!F77,services_v2_8!F77,services_v2_7!F77,services_v2_6!F77,services_v2_10!F77),0))</f>
        <v>0</v>
      </c>
      <c r="G77">
        <f>IF($E77=0, "NA", ROUND(SUM(services_v2_9!G77,services_v2_8!G77,services_v2_7!G77,services_v2_6!G77,services_v2_10!G77)/COUNT(services_v2_9!G77,services_v2_8!G77,services_v2_7!G77,services_v2_6!G77,services_v2_10!G77),0))</f>
        <v>1</v>
      </c>
      <c r="H77" t="str">
        <f>IF(AND(F77=1,G77=1),ROUND(SUM(services_v2_9!H77,services_v2_8!H77,services_v2_7!H77,services_v2_6!H77,services_v2_10!H77)/COUNT(services_v2_9!H77,services_v2_8!H77,services_v2_7!H77,services_v2_6!H77,services_v2_10!H77),0),"NA")</f>
        <v>NA</v>
      </c>
      <c r="I77">
        <f>IF($E77=0, "NA", ROUND(SUM(services_v2_9!I77,services_v2_8!I77,services_v2_7!I77,services_v2_6!I77,services_v2_10!I77)/COUNT(services_v2_9!I77,services_v2_8!I77,services_v2_7!I77,services_v2_6!I77,services_v2_10!I77),0))</f>
        <v>1</v>
      </c>
      <c r="J77" t="str">
        <f>IF(F77=1,ROUND(SUM(services_v2_9!J77,services_v2_8!J77,services_v2_7!J77,services_v2_6!J77,services_v2_10!J77)/COUNT(services_v2_9!J77,services_v2_8!J77,services_v2_7!J77,services_v2_6!J77,services_v2_10!J77),0),"NA")</f>
        <v>NA</v>
      </c>
      <c r="K77">
        <f>IF($E77=0, "NA", ROUND(SUM(services_v2_9!K77,services_v2_8!K77,services_v2_7!K77,services_v2_6!K77,services_v2_10!K77)/COUNT(services_v2_9!K77,services_v2_8!K77,services_v2_7!K77,services_v2_6!K77,services_v2_10!K77),0))</f>
        <v>1</v>
      </c>
      <c r="L77">
        <f>IF($E77=0, "NA", ROUND(SUM(services_v2_9!L77,services_v2_8!L77,services_v2_7!L77,services_v2_6!L77,services_v2_10!L77)/COUNT(services_v2_9!L77,services_v2_8!L77,services_v2_7!L77,services_v2_6!L77,services_v2_10!L77),0))</f>
        <v>1</v>
      </c>
      <c r="M77">
        <f>IF($E77=0, "NA", ROUND(SUM(services_v2_9!M77,services_v2_8!M77,services_v2_7!M77,services_v2_6!M77,services_v2_10!M77)/COUNT(services_v2_9!M77,services_v2_8!M77,services_v2_7!M77,services_v2_6!M77,services_v2_10!M77),0))</f>
        <v>1</v>
      </c>
      <c r="N77">
        <f>IF($E77=0, "NA", ROUND(SUM(services_v2_9!N77,services_v2_8!N77,services_v2_7!N77,services_v2_6!N77,services_v2_10!N77)/COUNT(services_v2_9!N77,services_v2_8!N77,services_v2_7!N77,services_v2_6!N77,services_v2_10!N77),0))</f>
        <v>1</v>
      </c>
      <c r="O77">
        <f>IF($E77=0, "NA", ROUND(SUM(services_v2_9!O77,services_v2_8!O77,services_v2_7!O77,services_v2_6!O77,services_v2_10!O77)/COUNT(services_v2_9!O77,services_v2_8!O77,services_v2_7!O77,services_v2_6!O77,services_v2_10!O77),0))</f>
        <v>1</v>
      </c>
    </row>
    <row r="78" spans="1:15" x14ac:dyDescent="0.25">
      <c r="A78" t="s">
        <v>96</v>
      </c>
      <c r="B78" t="s">
        <v>59</v>
      </c>
      <c r="C78">
        <v>0</v>
      </c>
      <c r="D78">
        <v>4.0109331607818604</v>
      </c>
      <c r="E78">
        <f>ROUND(SUM(services_v2_9!E78,services_v2_8!E78,services_v2_7!E78,services_v2_6!E78,services_v2_10!E78)/COUNT(services_v2_9!E78,services_v2_8!E78,services_v2_7!E78,services_v2_6!E78,services_v2_10!E78),0)</f>
        <v>1</v>
      </c>
      <c r="F78">
        <f>IF($E78=0, "NA", ROUND(SUM(services_v2_9!F78,services_v2_8!F78,services_v2_7!F78,services_v2_6!F78,services_v2_10!F78)/COUNT(services_v2_9!F78,services_v2_8!F78,services_v2_7!F78,services_v2_6!F78,services_v2_10!F78),0))</f>
        <v>1</v>
      </c>
      <c r="G78">
        <f>IF($E78=0, "NA", ROUND(SUM(services_v2_9!G78,services_v2_8!G78,services_v2_7!G78,services_v2_6!G78,services_v2_10!G78)/COUNT(services_v2_9!G78,services_v2_8!G78,services_v2_7!G78,services_v2_6!G78,services_v2_10!G78),0))</f>
        <v>1</v>
      </c>
      <c r="H78">
        <f>IF(AND(F78=1,G78=1),ROUND(SUM(services_v2_9!H78,services_v2_8!H78,services_v2_7!H78,services_v2_6!H78,services_v2_10!H78)/COUNT(services_v2_9!H78,services_v2_8!H78,services_v2_7!H78,services_v2_6!H78,services_v2_10!H78),0),"NA")</f>
        <v>1</v>
      </c>
      <c r="I78">
        <f>IF($E78=0, "NA", ROUND(SUM(services_v2_9!I78,services_v2_8!I78,services_v2_7!I78,services_v2_6!I78,services_v2_10!I78)/COUNT(services_v2_9!I78,services_v2_8!I78,services_v2_7!I78,services_v2_6!I78,services_v2_10!I78),0))</f>
        <v>1</v>
      </c>
      <c r="J78">
        <f>IF(F78=1,ROUND(SUM(services_v2_9!J78,services_v2_8!J78,services_v2_7!J78,services_v2_6!J78,services_v2_10!J78)/COUNT(services_v2_9!J78,services_v2_8!J78,services_v2_7!J78,services_v2_6!J78,services_v2_10!J78),0),"NA")</f>
        <v>1</v>
      </c>
      <c r="K78">
        <f>IF($E78=0, "NA", ROUND(SUM(services_v2_9!K78,services_v2_8!K78,services_v2_7!K78,services_v2_6!K78,services_v2_10!K78)/COUNT(services_v2_9!K78,services_v2_8!K78,services_v2_7!K78,services_v2_6!K78,services_v2_10!K78),0))</f>
        <v>0</v>
      </c>
      <c r="L78">
        <f>IF($E78=0, "NA", ROUND(SUM(services_v2_9!L78,services_v2_8!L78,services_v2_7!L78,services_v2_6!L78,services_v2_10!L78)/COUNT(services_v2_9!L78,services_v2_8!L78,services_v2_7!L78,services_v2_6!L78,services_v2_10!L78),0))</f>
        <v>1</v>
      </c>
      <c r="M78">
        <f>IF($E78=0, "NA", ROUND(SUM(services_v2_9!M78,services_v2_8!M78,services_v2_7!M78,services_v2_6!M78,services_v2_10!M78)/COUNT(services_v2_9!M78,services_v2_8!M78,services_v2_7!M78,services_v2_6!M78,services_v2_10!M78),0))</f>
        <v>1</v>
      </c>
      <c r="N78">
        <f>IF($E78=0, "NA", ROUND(SUM(services_v2_9!N78,services_v2_8!N78,services_v2_7!N78,services_v2_6!N78,services_v2_10!N78)/COUNT(services_v2_9!N78,services_v2_8!N78,services_v2_7!N78,services_v2_6!N78,services_v2_10!N78),0))</f>
        <v>1</v>
      </c>
      <c r="O78">
        <f>IF($E78=0, "NA", ROUND(SUM(services_v2_9!O78,services_v2_8!O78,services_v2_7!O78,services_v2_6!O78,services_v2_10!O78)/COUNT(services_v2_9!O78,services_v2_8!O78,services_v2_7!O78,services_v2_6!O78,services_v2_10!O78),0))</f>
        <v>1</v>
      </c>
    </row>
    <row r="79" spans="1:15" x14ac:dyDescent="0.25">
      <c r="A79" t="s">
        <v>96</v>
      </c>
      <c r="B79" t="s">
        <v>61</v>
      </c>
      <c r="C79">
        <v>0</v>
      </c>
      <c r="D79">
        <v>2.8886208534240718</v>
      </c>
      <c r="E79">
        <f>ROUND(SUM(services_v2_9!E79,services_v2_8!E79,services_v2_7!E79,services_v2_6!E79,services_v2_10!E79)/COUNT(services_v2_9!E79,services_v2_8!E79,services_v2_7!E79,services_v2_6!E79,services_v2_10!E79),0)</f>
        <v>1</v>
      </c>
      <c r="F79">
        <f>IF($E79=0, "NA", ROUND(SUM(services_v2_9!F79,services_v2_8!F79,services_v2_7!F79,services_v2_6!F79,services_v2_10!F79)/COUNT(services_v2_9!F79,services_v2_8!F79,services_v2_7!F79,services_v2_6!F79,services_v2_10!F79),0))</f>
        <v>1</v>
      </c>
      <c r="G79">
        <f>IF($E79=0, "NA", ROUND(SUM(services_v2_9!G79,services_v2_8!G79,services_v2_7!G79,services_v2_6!G79,services_v2_10!G79)/COUNT(services_v2_9!G79,services_v2_8!G79,services_v2_7!G79,services_v2_6!G79,services_v2_10!G79),0))</f>
        <v>1</v>
      </c>
      <c r="H79">
        <f>IF(AND(F79=1,G79=1),ROUND(SUM(services_v2_9!H79,services_v2_8!H79,services_v2_7!H79,services_v2_6!H79,services_v2_10!H79)/COUNT(services_v2_9!H79,services_v2_8!H79,services_v2_7!H79,services_v2_6!H79,services_v2_10!H79),0),"NA")</f>
        <v>1</v>
      </c>
      <c r="I79">
        <f>IF($E79=0, "NA", ROUND(SUM(services_v2_9!I79,services_v2_8!I79,services_v2_7!I79,services_v2_6!I79,services_v2_10!I79)/COUNT(services_v2_9!I79,services_v2_8!I79,services_v2_7!I79,services_v2_6!I79,services_v2_10!I79),0))</f>
        <v>1</v>
      </c>
      <c r="J79">
        <f>IF(F79=1,ROUND(SUM(services_v2_9!J79,services_v2_8!J79,services_v2_7!J79,services_v2_6!J79,services_v2_10!J79)/COUNT(services_v2_9!J79,services_v2_8!J79,services_v2_7!J79,services_v2_6!J79,services_v2_10!J79),0),"NA")</f>
        <v>1</v>
      </c>
      <c r="K79">
        <f>IF($E79=0, "NA", ROUND(SUM(services_v2_9!K79,services_v2_8!K79,services_v2_7!K79,services_v2_6!K79,services_v2_10!K79)/COUNT(services_v2_9!K79,services_v2_8!K79,services_v2_7!K79,services_v2_6!K79,services_v2_10!K79),0))</f>
        <v>1</v>
      </c>
      <c r="L79">
        <f>IF($E79=0, "NA", ROUND(SUM(services_v2_9!L79,services_v2_8!L79,services_v2_7!L79,services_v2_6!L79,services_v2_10!L79)/COUNT(services_v2_9!L79,services_v2_8!L79,services_v2_7!L79,services_v2_6!L79,services_v2_10!L79),0))</f>
        <v>1</v>
      </c>
      <c r="M79">
        <f>IF($E79=0, "NA", ROUND(SUM(services_v2_9!M79,services_v2_8!M79,services_v2_7!M79,services_v2_6!M79,services_v2_10!M79)/COUNT(services_v2_9!M79,services_v2_8!M79,services_v2_7!M79,services_v2_6!M79,services_v2_10!M79),0))</f>
        <v>1</v>
      </c>
      <c r="N79">
        <f>IF($E79=0, "NA", ROUND(SUM(services_v2_9!N79,services_v2_8!N79,services_v2_7!N79,services_v2_6!N79,services_v2_10!N79)/COUNT(services_v2_9!N79,services_v2_8!N79,services_v2_7!N79,services_v2_6!N79,services_v2_10!N79),0))</f>
        <v>1</v>
      </c>
      <c r="O79">
        <f>IF($E79=0, "NA", ROUND(SUM(services_v2_9!O79,services_v2_8!O79,services_v2_7!O79,services_v2_6!O79,services_v2_10!O79)/COUNT(services_v2_9!O79,services_v2_8!O79,services_v2_7!O79,services_v2_6!O79,services_v2_10!O79),0))</f>
        <v>1</v>
      </c>
    </row>
    <row r="80" spans="1:15" x14ac:dyDescent="0.25">
      <c r="A80" t="s">
        <v>96</v>
      </c>
      <c r="B80" t="s">
        <v>63</v>
      </c>
      <c r="C80">
        <v>0</v>
      </c>
      <c r="D80">
        <v>11.474496364593509</v>
      </c>
      <c r="E80">
        <f>ROUND(SUM(services_v2_9!E80,services_v2_8!E80,services_v2_7!E80,services_v2_6!E80,services_v2_10!E80)/COUNT(services_v2_9!E80,services_v2_8!E80,services_v2_7!E80,services_v2_6!E80,services_v2_10!E80),0)</f>
        <v>1</v>
      </c>
      <c r="F80">
        <f>IF($E80=0, "NA", ROUND(SUM(services_v2_9!F80,services_v2_8!F80,services_v2_7!F80,services_v2_6!F80,services_v2_10!F80)/COUNT(services_v2_9!F80,services_v2_8!F80,services_v2_7!F80,services_v2_6!F80,services_v2_10!F80),0))</f>
        <v>1</v>
      </c>
      <c r="G80">
        <f>IF($E80=0, "NA", ROUND(SUM(services_v2_9!G80,services_v2_8!G80,services_v2_7!G80,services_v2_6!G80,services_v2_10!G80)/COUNT(services_v2_9!G80,services_v2_8!G80,services_v2_7!G80,services_v2_6!G80,services_v2_10!G80),0))</f>
        <v>0</v>
      </c>
      <c r="H80" t="str">
        <f>IF(AND(F80=1,G80=1),ROUND(SUM(services_v2_9!H80,services_v2_8!H80,services_v2_7!H80,services_v2_6!H80,services_v2_10!H80)/COUNT(services_v2_9!H80,services_v2_8!H80,services_v2_7!H80,services_v2_6!H80,services_v2_10!H80),0),"NA")</f>
        <v>NA</v>
      </c>
      <c r="I80">
        <f>IF($E80=0, "NA", ROUND(SUM(services_v2_9!I80,services_v2_8!I80,services_v2_7!I80,services_v2_6!I80,services_v2_10!I80)/COUNT(services_v2_9!I80,services_v2_8!I80,services_v2_7!I80,services_v2_6!I80,services_v2_10!I80),0))</f>
        <v>1</v>
      </c>
      <c r="J80">
        <f>IF(F80=1,ROUND(SUM(services_v2_9!J80,services_v2_8!J80,services_v2_7!J80,services_v2_6!J80,services_v2_10!J80)/COUNT(services_v2_9!J80,services_v2_8!J80,services_v2_7!J80,services_v2_6!J80,services_v2_10!J80),0),"NA")</f>
        <v>1</v>
      </c>
      <c r="K80">
        <f>IF($E80=0, "NA", ROUND(SUM(services_v2_9!K80,services_v2_8!K80,services_v2_7!K80,services_v2_6!K80,services_v2_10!K80)/COUNT(services_v2_9!K80,services_v2_8!K80,services_v2_7!K80,services_v2_6!K80,services_v2_10!K80),0))</f>
        <v>1</v>
      </c>
      <c r="L80">
        <f>IF($E80=0, "NA", ROUND(SUM(services_v2_9!L80,services_v2_8!L80,services_v2_7!L80,services_v2_6!L80,services_v2_10!L80)/COUNT(services_v2_9!L80,services_v2_8!L80,services_v2_7!L80,services_v2_6!L80,services_v2_10!L80),0))</f>
        <v>1</v>
      </c>
      <c r="M80">
        <f>IF($E80=0, "NA", ROUND(SUM(services_v2_9!M80,services_v2_8!M80,services_v2_7!M80,services_v2_6!M80,services_v2_10!M80)/COUNT(services_v2_9!M80,services_v2_8!M80,services_v2_7!M80,services_v2_6!M80,services_v2_10!M80),0))</f>
        <v>1</v>
      </c>
      <c r="N80">
        <f>IF($E80=0, "NA", ROUND(SUM(services_v2_9!N80,services_v2_8!N80,services_v2_7!N80,services_v2_6!N80,services_v2_10!N80)/COUNT(services_v2_9!N80,services_v2_8!N80,services_v2_7!N80,services_v2_6!N80,services_v2_10!N80),0))</f>
        <v>1</v>
      </c>
      <c r="O80">
        <f>IF($E80=0, "NA", ROUND(SUM(services_v2_9!O80,services_v2_8!O80,services_v2_7!O80,services_v2_6!O80,services_v2_10!O80)/COUNT(services_v2_9!O80,services_v2_8!O80,services_v2_7!O80,services_v2_6!O80,services_v2_10!O80),0))</f>
        <v>1</v>
      </c>
    </row>
    <row r="81" spans="1:15" x14ac:dyDescent="0.25">
      <c r="A81" t="s">
        <v>96</v>
      </c>
      <c r="B81" t="s">
        <v>65</v>
      </c>
      <c r="C81">
        <v>0</v>
      </c>
      <c r="D81">
        <v>2.7695634365081792</v>
      </c>
      <c r="E81">
        <f>ROUND(SUM(services_v2_9!E81,services_v2_8!E81,services_v2_7!E81,services_v2_6!E81,services_v2_10!E81)/COUNT(services_v2_9!E81,services_v2_8!E81,services_v2_7!E81,services_v2_6!E81,services_v2_10!E81),0)</f>
        <v>1</v>
      </c>
      <c r="F81">
        <f>IF($E81=0, "NA", ROUND(SUM(services_v2_9!F81,services_v2_8!F81,services_v2_7!F81,services_v2_6!F81,services_v2_10!F81)/COUNT(services_v2_9!F81,services_v2_8!F81,services_v2_7!F81,services_v2_6!F81,services_v2_10!F81),0))</f>
        <v>1</v>
      </c>
      <c r="G81">
        <f>IF($E81=0, "NA", ROUND(SUM(services_v2_9!G81,services_v2_8!G81,services_v2_7!G81,services_v2_6!G81,services_v2_10!G81)/COUNT(services_v2_9!G81,services_v2_8!G81,services_v2_7!G81,services_v2_6!G81,services_v2_10!G81),0))</f>
        <v>1</v>
      </c>
      <c r="H81">
        <f>IF(AND(F81=1,G81=1),ROUND(SUM(services_v2_9!H81,services_v2_8!H81,services_v2_7!H81,services_v2_6!H81,services_v2_10!H81)/COUNT(services_v2_9!H81,services_v2_8!H81,services_v2_7!H81,services_v2_6!H81,services_v2_10!H81),0),"NA")</f>
        <v>1</v>
      </c>
      <c r="I81">
        <f>IF($E81=0, "NA", ROUND(SUM(services_v2_9!I81,services_v2_8!I81,services_v2_7!I81,services_v2_6!I81,services_v2_10!I81)/COUNT(services_v2_9!I81,services_v2_8!I81,services_v2_7!I81,services_v2_6!I81,services_v2_10!I81),0))</f>
        <v>1</v>
      </c>
      <c r="J81">
        <f>IF(F81=1,ROUND(SUM(services_v2_9!J81,services_v2_8!J81,services_v2_7!J81,services_v2_6!J81,services_v2_10!J81)/COUNT(services_v2_9!J81,services_v2_8!J81,services_v2_7!J81,services_v2_6!J81,services_v2_10!J81),0),"NA")</f>
        <v>1</v>
      </c>
      <c r="K81">
        <f>IF($E81=0, "NA", ROUND(SUM(services_v2_9!K81,services_v2_8!K81,services_v2_7!K81,services_v2_6!K81,services_v2_10!K81)/COUNT(services_v2_9!K81,services_v2_8!K81,services_v2_7!K81,services_v2_6!K81,services_v2_10!K81),0))</f>
        <v>1</v>
      </c>
      <c r="L81">
        <f>IF($E81=0, "NA", ROUND(SUM(services_v2_9!L81,services_v2_8!L81,services_v2_7!L81,services_v2_6!L81,services_v2_10!L81)/COUNT(services_v2_9!L81,services_v2_8!L81,services_v2_7!L81,services_v2_6!L81,services_v2_10!L81),0))</f>
        <v>1</v>
      </c>
      <c r="M81">
        <f>IF($E81=0, "NA", ROUND(SUM(services_v2_9!M81,services_v2_8!M81,services_v2_7!M81,services_v2_6!M81,services_v2_10!M81)/COUNT(services_v2_9!M81,services_v2_8!M81,services_v2_7!M81,services_v2_6!M81,services_v2_10!M81),0))</f>
        <v>1</v>
      </c>
      <c r="N81">
        <f>IF($E81=0, "NA", ROUND(SUM(services_v2_9!N81,services_v2_8!N81,services_v2_7!N81,services_v2_6!N81,services_v2_10!N81)/COUNT(services_v2_9!N81,services_v2_8!N81,services_v2_7!N81,services_v2_6!N81,services_v2_10!N81),0))</f>
        <v>1</v>
      </c>
      <c r="O81">
        <f>IF($E81=0, "NA", ROUND(SUM(services_v2_9!O81,services_v2_8!O81,services_v2_7!O81,services_v2_6!O81,services_v2_10!O81)/COUNT(services_v2_9!O81,services_v2_8!O81,services_v2_7!O81,services_v2_6!O81,services_v2_10!O81),0))</f>
        <v>1</v>
      </c>
    </row>
    <row r="82" spans="1:15" x14ac:dyDescent="0.25">
      <c r="A82" t="s">
        <v>96</v>
      </c>
      <c r="B82" t="s">
        <v>67</v>
      </c>
      <c r="C82">
        <v>0</v>
      </c>
      <c r="D82">
        <v>6.2631196975708008</v>
      </c>
      <c r="E82">
        <f>ROUND(SUM(services_v2_9!E82,services_v2_8!E82,services_v2_7!E82,services_v2_6!E82,services_v2_10!E82)/COUNT(services_v2_9!E82,services_v2_8!E82,services_v2_7!E82,services_v2_6!E82,services_v2_10!E82),0)</f>
        <v>1</v>
      </c>
      <c r="F82">
        <f>IF($E82=0, "NA", ROUND(SUM(services_v2_9!F82,services_v2_8!F82,services_v2_7!F82,services_v2_6!F82,services_v2_10!F82)/COUNT(services_v2_9!F82,services_v2_8!F82,services_v2_7!F82,services_v2_6!F82,services_v2_10!F82),0))</f>
        <v>0</v>
      </c>
      <c r="G82">
        <f>IF($E82=0, "NA", ROUND(SUM(services_v2_9!G82,services_v2_8!G82,services_v2_7!G82,services_v2_6!G82,services_v2_10!G82)/COUNT(services_v2_9!G82,services_v2_8!G82,services_v2_7!G82,services_v2_6!G82,services_v2_10!G82),0))</f>
        <v>1</v>
      </c>
      <c r="H82" t="str">
        <f>IF(AND(F82=1,G82=1),ROUND(SUM(services_v2_9!H82,services_v2_8!H82,services_v2_7!H82,services_v2_6!H82,services_v2_10!H82)/COUNT(services_v2_9!H82,services_v2_8!H82,services_v2_7!H82,services_v2_6!H82,services_v2_10!H82),0),"NA")</f>
        <v>NA</v>
      </c>
      <c r="I82">
        <f>IF($E82=0, "NA", ROUND(SUM(services_v2_9!I82,services_v2_8!I82,services_v2_7!I82,services_v2_6!I82,services_v2_10!I82)/COUNT(services_v2_9!I82,services_v2_8!I82,services_v2_7!I82,services_v2_6!I82,services_v2_10!I82),0))</f>
        <v>1</v>
      </c>
      <c r="J82" t="str">
        <f>IF(F82=1,ROUND(SUM(services_v2_9!J82,services_v2_8!J82,services_v2_7!J82,services_v2_6!J82,services_v2_10!J82)/COUNT(services_v2_9!J82,services_v2_8!J82,services_v2_7!J82,services_v2_6!J82,services_v2_10!J82),0),"NA")</f>
        <v>NA</v>
      </c>
      <c r="K82">
        <f>IF($E82=0, "NA", ROUND(SUM(services_v2_9!K82,services_v2_8!K82,services_v2_7!K82,services_v2_6!K82,services_v2_10!K82)/COUNT(services_v2_9!K82,services_v2_8!K82,services_v2_7!K82,services_v2_6!K82,services_v2_10!K82),0))</f>
        <v>1</v>
      </c>
      <c r="L82">
        <f>IF($E82=0, "NA", ROUND(SUM(services_v2_9!L82,services_v2_8!L82,services_v2_7!L82,services_v2_6!L82,services_v2_10!L82)/COUNT(services_v2_9!L82,services_v2_8!L82,services_v2_7!L82,services_v2_6!L82,services_v2_10!L82),0))</f>
        <v>1</v>
      </c>
      <c r="M82">
        <f>IF($E82=0, "NA", ROUND(SUM(services_v2_9!M82,services_v2_8!M82,services_v2_7!M82,services_v2_6!M82,services_v2_10!M82)/COUNT(services_v2_9!M82,services_v2_8!M82,services_v2_7!M82,services_v2_6!M82,services_v2_10!M82),0))</f>
        <v>1</v>
      </c>
      <c r="N82">
        <f>IF($E82=0, "NA", ROUND(SUM(services_v2_9!N82,services_v2_8!N82,services_v2_7!N82,services_v2_6!N82,services_v2_10!N82)/COUNT(services_v2_9!N82,services_v2_8!N82,services_v2_7!N82,services_v2_6!N82,services_v2_10!N82),0))</f>
        <v>1</v>
      </c>
      <c r="O82">
        <f>IF($E82=0, "NA", ROUND(SUM(services_v2_9!O82,services_v2_8!O82,services_v2_7!O82,services_v2_6!O82,services_v2_10!O82)/COUNT(services_v2_9!O82,services_v2_8!O82,services_v2_7!O82,services_v2_6!O82,services_v2_10!O82),0))</f>
        <v>1</v>
      </c>
    </row>
    <row r="83" spans="1:15" x14ac:dyDescent="0.25">
      <c r="A83" t="s">
        <v>96</v>
      </c>
      <c r="B83" t="s">
        <v>69</v>
      </c>
      <c r="C83">
        <v>0</v>
      </c>
      <c r="D83">
        <v>2.8990156650543208</v>
      </c>
      <c r="E83">
        <f>ROUND(SUM(services_v2_9!E83,services_v2_8!E83,services_v2_7!E83,services_v2_6!E83,services_v2_10!E83)/COUNT(services_v2_9!E83,services_v2_8!E83,services_v2_7!E83,services_v2_6!E83,services_v2_10!E83),0)</f>
        <v>1</v>
      </c>
      <c r="F83">
        <f>IF($E83=0, "NA", ROUND(SUM(services_v2_9!F83,services_v2_8!F83,services_v2_7!F83,services_v2_6!F83,services_v2_10!F83)/COUNT(services_v2_9!F83,services_v2_8!F83,services_v2_7!F83,services_v2_6!F83,services_v2_10!F83),0))</f>
        <v>1</v>
      </c>
      <c r="G83">
        <f>IF($E83=0, "NA", ROUND(SUM(services_v2_9!G83,services_v2_8!G83,services_v2_7!G83,services_v2_6!G83,services_v2_10!G83)/COUNT(services_v2_9!G83,services_v2_8!G83,services_v2_7!G83,services_v2_6!G83,services_v2_10!G83),0))</f>
        <v>0</v>
      </c>
      <c r="H83" t="str">
        <f>IF(AND(F83=1,G83=1),ROUND(SUM(services_v2_9!H83,services_v2_8!H83,services_v2_7!H83,services_v2_6!H83,services_v2_10!H83)/COUNT(services_v2_9!H83,services_v2_8!H83,services_v2_7!H83,services_v2_6!H83,services_v2_10!H83),0),"NA")</f>
        <v>NA</v>
      </c>
      <c r="I83">
        <f>IF($E83=0, "NA", ROUND(SUM(services_v2_9!I83,services_v2_8!I83,services_v2_7!I83,services_v2_6!I83,services_v2_10!I83)/COUNT(services_v2_9!I83,services_v2_8!I83,services_v2_7!I83,services_v2_6!I83,services_v2_10!I83),0))</f>
        <v>1</v>
      </c>
      <c r="J83">
        <f>IF(F83=1,ROUND(SUM(services_v2_9!J83,services_v2_8!J83,services_v2_7!J83,services_v2_6!J83,services_v2_10!J83)/COUNT(services_v2_9!J83,services_v2_8!J83,services_v2_7!J83,services_v2_6!J83,services_v2_10!J83),0),"NA")</f>
        <v>1</v>
      </c>
      <c r="K83">
        <f>IF($E83=0, "NA", ROUND(SUM(services_v2_9!K83,services_v2_8!K83,services_v2_7!K83,services_v2_6!K83,services_v2_10!K83)/COUNT(services_v2_9!K83,services_v2_8!K83,services_v2_7!K83,services_v2_6!K83,services_v2_10!K83),0))</f>
        <v>1</v>
      </c>
      <c r="L83">
        <f>IF($E83=0, "NA", ROUND(SUM(services_v2_9!L83,services_v2_8!L83,services_v2_7!L83,services_v2_6!L83,services_v2_10!L83)/COUNT(services_v2_9!L83,services_v2_8!L83,services_v2_7!L83,services_v2_6!L83,services_v2_10!L83),0))</f>
        <v>1</v>
      </c>
      <c r="M83">
        <f>IF($E83=0, "NA", ROUND(SUM(services_v2_9!M83,services_v2_8!M83,services_v2_7!M83,services_v2_6!M83,services_v2_10!M83)/COUNT(services_v2_9!M83,services_v2_8!M83,services_v2_7!M83,services_v2_6!M83,services_v2_10!M83),0))</f>
        <v>1</v>
      </c>
      <c r="N83">
        <f>IF($E83=0, "NA", ROUND(SUM(services_v2_9!N83,services_v2_8!N83,services_v2_7!N83,services_v2_6!N83,services_v2_10!N83)/COUNT(services_v2_9!N83,services_v2_8!N83,services_v2_7!N83,services_v2_6!N83,services_v2_10!N83),0))</f>
        <v>1</v>
      </c>
      <c r="O83">
        <f>IF($E83=0, "NA", ROUND(SUM(services_v2_9!O83,services_v2_8!O83,services_v2_7!O83,services_v2_6!O83,services_v2_10!O83)/COUNT(services_v2_9!O83,services_v2_8!O83,services_v2_7!O83,services_v2_6!O83,services_v2_10!O83),0))</f>
        <v>1</v>
      </c>
    </row>
    <row r="84" spans="1:15" x14ac:dyDescent="0.25">
      <c r="A84" t="s">
        <v>96</v>
      </c>
      <c r="B84" t="s">
        <v>71</v>
      </c>
      <c r="C84">
        <v>0</v>
      </c>
      <c r="D84">
        <v>5.0041630268096924</v>
      </c>
      <c r="E84">
        <f>ROUND(SUM(services_v2_9!E84,services_v2_8!E84,services_v2_7!E84,services_v2_6!E84,services_v2_10!E84)/COUNT(services_v2_9!E84,services_v2_8!E84,services_v2_7!E84,services_v2_6!E84,services_v2_10!E84),0)</f>
        <v>1</v>
      </c>
      <c r="F84">
        <f>IF($E84=0, "NA", ROUND(SUM(services_v2_9!F84,services_v2_8!F84,services_v2_7!F84,services_v2_6!F84,services_v2_10!F84)/COUNT(services_v2_9!F84,services_v2_8!F84,services_v2_7!F84,services_v2_6!F84,services_v2_10!F84),0))</f>
        <v>1</v>
      </c>
      <c r="G84">
        <f>IF($E84=0, "NA", ROUND(SUM(services_v2_9!G84,services_v2_8!G84,services_v2_7!G84,services_v2_6!G84,services_v2_10!G84)/COUNT(services_v2_9!G84,services_v2_8!G84,services_v2_7!G84,services_v2_6!G84,services_v2_10!G84),0))</f>
        <v>1</v>
      </c>
      <c r="H84">
        <f>IF(AND(F84=1,G84=1),ROUND(SUM(services_v2_9!H84,services_v2_8!H84,services_v2_7!H84,services_v2_6!H84,services_v2_10!H84)/COUNT(services_v2_9!H84,services_v2_8!H84,services_v2_7!H84,services_v2_6!H84,services_v2_10!H84),0),"NA")</f>
        <v>0</v>
      </c>
      <c r="I84">
        <f>IF($E84=0, "NA", ROUND(SUM(services_v2_9!I84,services_v2_8!I84,services_v2_7!I84,services_v2_6!I84,services_v2_10!I84)/COUNT(services_v2_9!I84,services_v2_8!I84,services_v2_7!I84,services_v2_6!I84,services_v2_10!I84),0))</f>
        <v>1</v>
      </c>
      <c r="J84">
        <f>IF(F84=1,ROUND(SUM(services_v2_9!J84,services_v2_8!J84,services_v2_7!J84,services_v2_6!J84,services_v2_10!J84)/COUNT(services_v2_9!J84,services_v2_8!J84,services_v2_7!J84,services_v2_6!J84,services_v2_10!J84),0),"NA")</f>
        <v>1</v>
      </c>
      <c r="K84">
        <f>IF($E84=0, "NA", ROUND(SUM(services_v2_9!K84,services_v2_8!K84,services_v2_7!K84,services_v2_6!K84,services_v2_10!K84)/COUNT(services_v2_9!K84,services_v2_8!K84,services_v2_7!K84,services_v2_6!K84,services_v2_10!K84),0))</f>
        <v>1</v>
      </c>
      <c r="L84">
        <f>IF($E84=0, "NA", ROUND(SUM(services_v2_9!L84,services_v2_8!L84,services_v2_7!L84,services_v2_6!L84,services_v2_10!L84)/COUNT(services_v2_9!L84,services_v2_8!L84,services_v2_7!L84,services_v2_6!L84,services_v2_10!L84),0))</f>
        <v>1</v>
      </c>
      <c r="M84">
        <f>IF($E84=0, "NA", ROUND(SUM(services_v2_9!M84,services_v2_8!M84,services_v2_7!M84,services_v2_6!M84,services_v2_10!M84)/COUNT(services_v2_9!M84,services_v2_8!M84,services_v2_7!M84,services_v2_6!M84,services_v2_10!M84),0))</f>
        <v>1</v>
      </c>
      <c r="N84">
        <f>IF($E84=0, "NA", ROUND(SUM(services_v2_9!N84,services_v2_8!N84,services_v2_7!N84,services_v2_6!N84,services_v2_10!N84)/COUNT(services_v2_9!N84,services_v2_8!N84,services_v2_7!N84,services_v2_6!N84,services_v2_10!N84),0))</f>
        <v>1</v>
      </c>
      <c r="O84">
        <f>IF($E84=0, "NA", ROUND(SUM(services_v2_9!O84,services_v2_8!O84,services_v2_7!O84,services_v2_6!O84,services_v2_10!O84)/COUNT(services_v2_9!O84,services_v2_8!O84,services_v2_7!O84,services_v2_6!O84,services_v2_10!O84),0))</f>
        <v>1</v>
      </c>
    </row>
    <row r="85" spans="1:15" x14ac:dyDescent="0.25">
      <c r="A85" t="s">
        <v>96</v>
      </c>
      <c r="B85" t="s">
        <v>72</v>
      </c>
      <c r="C85">
        <v>0</v>
      </c>
      <c r="D85">
        <v>4.6194322109222412</v>
      </c>
      <c r="E85">
        <f>ROUND(SUM(services_v2_9!E85,services_v2_8!E85,services_v2_7!E85,services_v2_6!E85,services_v2_10!E85)/COUNT(services_v2_9!E85,services_v2_8!E85,services_v2_7!E85,services_v2_6!E85,services_v2_10!E85),0)</f>
        <v>1</v>
      </c>
      <c r="F85">
        <f>IF($E85=0, "NA", ROUND(SUM(services_v2_9!F85,services_v2_8!F85,services_v2_7!F85,services_v2_6!F85,services_v2_10!F85)/COUNT(services_v2_9!F85,services_v2_8!F85,services_v2_7!F85,services_v2_6!F85,services_v2_10!F85),0))</f>
        <v>1</v>
      </c>
      <c r="G85">
        <f>IF($E85=0, "NA", ROUND(SUM(services_v2_9!G85,services_v2_8!G85,services_v2_7!G85,services_v2_6!G85,services_v2_10!G85)/COUNT(services_v2_9!G85,services_v2_8!G85,services_v2_7!G85,services_v2_6!G85,services_v2_10!G85),0))</f>
        <v>1</v>
      </c>
      <c r="H85">
        <f>IF(AND(F85=1,G85=1),ROUND(SUM(services_v2_9!H85,services_v2_8!H85,services_v2_7!H85,services_v2_6!H85,services_v2_10!H85)/COUNT(services_v2_9!H85,services_v2_8!H85,services_v2_7!H85,services_v2_6!H85,services_v2_10!H85),0),"NA")</f>
        <v>1</v>
      </c>
      <c r="I85">
        <f>IF($E85=0, "NA", ROUND(SUM(services_v2_9!I85,services_v2_8!I85,services_v2_7!I85,services_v2_6!I85,services_v2_10!I85)/COUNT(services_v2_9!I85,services_v2_8!I85,services_v2_7!I85,services_v2_6!I85,services_v2_10!I85),0))</f>
        <v>1</v>
      </c>
      <c r="J85">
        <f>IF(F85=1,ROUND(SUM(services_v2_9!J85,services_v2_8!J85,services_v2_7!J85,services_v2_6!J85,services_v2_10!J85)/COUNT(services_v2_9!J85,services_v2_8!J85,services_v2_7!J85,services_v2_6!J85,services_v2_10!J85),0),"NA")</f>
        <v>1</v>
      </c>
      <c r="K85">
        <f>IF($E85=0, "NA", ROUND(SUM(services_v2_9!K85,services_v2_8!K85,services_v2_7!K85,services_v2_6!K85,services_v2_10!K85)/COUNT(services_v2_9!K85,services_v2_8!K85,services_v2_7!K85,services_v2_6!K85,services_v2_10!K85),0))</f>
        <v>1</v>
      </c>
      <c r="L85">
        <f>IF($E85=0, "NA", ROUND(SUM(services_v2_9!L85,services_v2_8!L85,services_v2_7!L85,services_v2_6!L85,services_v2_10!L85)/COUNT(services_v2_9!L85,services_v2_8!L85,services_v2_7!L85,services_v2_6!L85,services_v2_10!L85),0))</f>
        <v>1</v>
      </c>
      <c r="M85">
        <f>IF($E85=0, "NA", ROUND(SUM(services_v2_9!M85,services_v2_8!M85,services_v2_7!M85,services_v2_6!M85,services_v2_10!M85)/COUNT(services_v2_9!M85,services_v2_8!M85,services_v2_7!M85,services_v2_6!M85,services_v2_10!M85),0))</f>
        <v>1</v>
      </c>
      <c r="N85">
        <f>IF($E85=0, "NA", ROUND(SUM(services_v2_9!N85,services_v2_8!N85,services_v2_7!N85,services_v2_6!N85,services_v2_10!N85)/COUNT(services_v2_9!N85,services_v2_8!N85,services_v2_7!N85,services_v2_6!N85,services_v2_10!N85),0))</f>
        <v>1</v>
      </c>
      <c r="O85">
        <f>IF($E85=0, "NA", ROUND(SUM(services_v2_9!O85,services_v2_8!O85,services_v2_7!O85,services_v2_6!O85,services_v2_10!O85)/COUNT(services_v2_9!O85,services_v2_8!O85,services_v2_7!O85,services_v2_6!O85,services_v2_10!O85),0))</f>
        <v>1</v>
      </c>
    </row>
    <row r="86" spans="1:15" x14ac:dyDescent="0.25">
      <c r="A86" t="s">
        <v>96</v>
      </c>
      <c r="B86" t="s">
        <v>73</v>
      </c>
      <c r="C86">
        <v>0</v>
      </c>
      <c r="D86">
        <v>11.50827693939209</v>
      </c>
      <c r="E86">
        <f>ROUND(SUM(services_v2_9!E86,services_v2_8!E86,services_v2_7!E86,services_v2_6!E86,services_v2_10!E86)/COUNT(services_v2_9!E86,services_v2_8!E86,services_v2_7!E86,services_v2_6!E86,services_v2_10!E86),0)</f>
        <v>1</v>
      </c>
      <c r="F86">
        <f>IF($E86=0, "NA", ROUND(SUM(services_v2_9!F86,services_v2_8!F86,services_v2_7!F86,services_v2_6!F86,services_v2_10!F86)/COUNT(services_v2_9!F86,services_v2_8!F86,services_v2_7!F86,services_v2_6!F86,services_v2_10!F86),0))</f>
        <v>1</v>
      </c>
      <c r="G86">
        <f>IF($E86=0, "NA", ROUND(SUM(services_v2_9!G86,services_v2_8!G86,services_v2_7!G86,services_v2_6!G86,services_v2_10!G86)/COUNT(services_v2_9!G86,services_v2_8!G86,services_v2_7!G86,services_v2_6!G86,services_v2_10!G86),0))</f>
        <v>0</v>
      </c>
      <c r="H86" t="str">
        <f>IF(AND(F86=1,G86=1),ROUND(SUM(services_v2_9!H86,services_v2_8!H86,services_v2_7!H86,services_v2_6!H86,services_v2_10!H86)/COUNT(services_v2_9!H86,services_v2_8!H86,services_v2_7!H86,services_v2_6!H86,services_v2_10!H86),0),"NA")</f>
        <v>NA</v>
      </c>
      <c r="I86">
        <f>IF($E86=0, "NA", ROUND(SUM(services_v2_9!I86,services_v2_8!I86,services_v2_7!I86,services_v2_6!I86,services_v2_10!I86)/COUNT(services_v2_9!I86,services_v2_8!I86,services_v2_7!I86,services_v2_6!I86,services_v2_10!I86),0))</f>
        <v>1</v>
      </c>
      <c r="J86">
        <f>IF(F86=1,ROUND(SUM(services_v2_9!J86,services_v2_8!J86,services_v2_7!J86,services_v2_6!J86,services_v2_10!J86)/COUNT(services_v2_9!J86,services_v2_8!J86,services_v2_7!J86,services_v2_6!J86,services_v2_10!J86),0),"NA")</f>
        <v>1</v>
      </c>
      <c r="K86">
        <f>IF($E86=0, "NA", ROUND(SUM(services_v2_9!K86,services_v2_8!K86,services_v2_7!K86,services_v2_6!K86,services_v2_10!K86)/COUNT(services_v2_9!K86,services_v2_8!K86,services_v2_7!K86,services_v2_6!K86,services_v2_10!K86),0))</f>
        <v>1</v>
      </c>
      <c r="L86">
        <f>IF($E86=0, "NA", ROUND(SUM(services_v2_9!L86,services_v2_8!L86,services_v2_7!L86,services_v2_6!L86,services_v2_10!L86)/COUNT(services_v2_9!L86,services_v2_8!L86,services_v2_7!L86,services_v2_6!L86,services_v2_10!L86),0))</f>
        <v>1</v>
      </c>
      <c r="M86">
        <f>IF($E86=0, "NA", ROUND(SUM(services_v2_9!M86,services_v2_8!M86,services_v2_7!M86,services_v2_6!M86,services_v2_10!M86)/COUNT(services_v2_9!M86,services_v2_8!M86,services_v2_7!M86,services_v2_6!M86,services_v2_10!M86),0))</f>
        <v>1</v>
      </c>
      <c r="N86">
        <f>IF($E86=0, "NA", ROUND(SUM(services_v2_9!N86,services_v2_8!N86,services_v2_7!N86,services_v2_6!N86,services_v2_10!N86)/COUNT(services_v2_9!N86,services_v2_8!N86,services_v2_7!N86,services_v2_6!N86,services_v2_10!N86),0))</f>
        <v>1</v>
      </c>
      <c r="O86">
        <f>IF($E86=0, "NA", ROUND(SUM(services_v2_9!O86,services_v2_8!O86,services_v2_7!O86,services_v2_6!O86,services_v2_10!O86)/COUNT(services_v2_9!O86,services_v2_8!O86,services_v2_7!O86,services_v2_6!O86,services_v2_10!O86),0))</f>
        <v>1</v>
      </c>
    </row>
    <row r="87" spans="1:15" x14ac:dyDescent="0.25">
      <c r="A87" t="s">
        <v>96</v>
      </c>
      <c r="B87" t="s">
        <v>75</v>
      </c>
      <c r="C87">
        <v>0</v>
      </c>
      <c r="D87">
        <v>8.9380893707275391</v>
      </c>
      <c r="E87">
        <f>ROUND(SUM(services_v2_9!E87,services_v2_8!E87,services_v2_7!E87,services_v2_6!E87,services_v2_10!E87)/COUNT(services_v2_9!E87,services_v2_8!E87,services_v2_7!E87,services_v2_6!E87,services_v2_10!E87),0)</f>
        <v>1</v>
      </c>
      <c r="F87">
        <f>IF($E87=0, "NA", ROUND(SUM(services_v2_9!F87,services_v2_8!F87,services_v2_7!F87,services_v2_6!F87,services_v2_10!F87)/COUNT(services_v2_9!F87,services_v2_8!F87,services_v2_7!F87,services_v2_6!F87,services_v2_10!F87),0))</f>
        <v>1</v>
      </c>
      <c r="G87">
        <f>IF($E87=0, "NA", ROUND(SUM(services_v2_9!G87,services_v2_8!G87,services_v2_7!G87,services_v2_6!G87,services_v2_10!G87)/COUNT(services_v2_9!G87,services_v2_8!G87,services_v2_7!G87,services_v2_6!G87,services_v2_10!G87),0))</f>
        <v>1</v>
      </c>
      <c r="H87">
        <f>IF(AND(F87=1,G87=1),ROUND(SUM(services_v2_9!H87,services_v2_8!H87,services_v2_7!H87,services_v2_6!H87,services_v2_10!H87)/COUNT(services_v2_9!H87,services_v2_8!H87,services_v2_7!H87,services_v2_6!H87,services_v2_10!H87),0),"NA")</f>
        <v>1</v>
      </c>
      <c r="I87">
        <f>IF($E87=0, "NA", ROUND(SUM(services_v2_9!I87,services_v2_8!I87,services_v2_7!I87,services_v2_6!I87,services_v2_10!I87)/COUNT(services_v2_9!I87,services_v2_8!I87,services_v2_7!I87,services_v2_6!I87,services_v2_10!I87),0))</f>
        <v>1</v>
      </c>
      <c r="J87">
        <f>IF(F87=1,ROUND(SUM(services_v2_9!J87,services_v2_8!J87,services_v2_7!J87,services_v2_6!J87,services_v2_10!J87)/COUNT(services_v2_9!J87,services_v2_8!J87,services_v2_7!J87,services_v2_6!J87,services_v2_10!J87),0),"NA")</f>
        <v>1</v>
      </c>
      <c r="K87">
        <f>IF($E87=0, "NA", ROUND(SUM(services_v2_9!K87,services_v2_8!K87,services_v2_7!K87,services_v2_6!K87,services_v2_10!K87)/COUNT(services_v2_9!K87,services_v2_8!K87,services_v2_7!K87,services_v2_6!K87,services_v2_10!K87),0))</f>
        <v>1</v>
      </c>
      <c r="L87">
        <f>IF($E87=0, "NA", ROUND(SUM(services_v2_9!L87,services_v2_8!L87,services_v2_7!L87,services_v2_6!L87,services_v2_10!L87)/COUNT(services_v2_9!L87,services_v2_8!L87,services_v2_7!L87,services_v2_6!L87,services_v2_10!L87),0))</f>
        <v>1</v>
      </c>
      <c r="M87">
        <f>IF($E87=0, "NA", ROUND(SUM(services_v2_9!M87,services_v2_8!M87,services_v2_7!M87,services_v2_6!M87,services_v2_10!M87)/COUNT(services_v2_9!M87,services_v2_8!M87,services_v2_7!M87,services_v2_6!M87,services_v2_10!M87),0))</f>
        <v>1</v>
      </c>
      <c r="N87">
        <f>IF($E87=0, "NA", ROUND(SUM(services_v2_9!N87,services_v2_8!N87,services_v2_7!N87,services_v2_6!N87,services_v2_10!N87)/COUNT(services_v2_9!N87,services_v2_8!N87,services_v2_7!N87,services_v2_6!N87,services_v2_10!N87),0))</f>
        <v>1</v>
      </c>
      <c r="O87">
        <f>IF($E87=0, "NA", ROUND(SUM(services_v2_9!O87,services_v2_8!O87,services_v2_7!O87,services_v2_6!O87,services_v2_10!O87)/COUNT(services_v2_9!O87,services_v2_8!O87,services_v2_7!O87,services_v2_6!O87,services_v2_10!O87),0))</f>
        <v>1</v>
      </c>
    </row>
    <row r="88" spans="1:15" x14ac:dyDescent="0.25">
      <c r="A88" t="s">
        <v>96</v>
      </c>
      <c r="B88" t="s">
        <v>77</v>
      </c>
      <c r="C88">
        <v>0</v>
      </c>
      <c r="D88">
        <v>9.9697151184082031</v>
      </c>
      <c r="E88">
        <f>ROUND(SUM(services_v2_9!E88,services_v2_8!E88,services_v2_7!E88,services_v2_6!E88,services_v2_10!E88)/COUNT(services_v2_9!E88,services_v2_8!E88,services_v2_7!E88,services_v2_6!E88,services_v2_10!E88),0)</f>
        <v>1</v>
      </c>
      <c r="F88">
        <f>IF($E88=0, "NA", ROUND(SUM(services_v2_9!F88,services_v2_8!F88,services_v2_7!F88,services_v2_6!F88,services_v2_10!F88)/COUNT(services_v2_9!F88,services_v2_8!F88,services_v2_7!F88,services_v2_6!F88,services_v2_10!F88),0))</f>
        <v>1</v>
      </c>
      <c r="G88">
        <f>IF($E88=0, "NA", ROUND(SUM(services_v2_9!G88,services_v2_8!G88,services_v2_7!G88,services_v2_6!G88,services_v2_10!G88)/COUNT(services_v2_9!G88,services_v2_8!G88,services_v2_7!G88,services_v2_6!G88,services_v2_10!G88),0))</f>
        <v>1</v>
      </c>
      <c r="H88">
        <f>IF(AND(F88=1,G88=1),ROUND(SUM(services_v2_9!H88,services_v2_8!H88,services_v2_7!H88,services_v2_6!H88,services_v2_10!H88)/COUNT(services_v2_9!H88,services_v2_8!H88,services_v2_7!H88,services_v2_6!H88,services_v2_10!H88),0),"NA")</f>
        <v>1</v>
      </c>
      <c r="I88">
        <f>IF($E88=0, "NA", ROUND(SUM(services_v2_9!I88,services_v2_8!I88,services_v2_7!I88,services_v2_6!I88,services_v2_10!I88)/COUNT(services_v2_9!I88,services_v2_8!I88,services_v2_7!I88,services_v2_6!I88,services_v2_10!I88),0))</f>
        <v>1</v>
      </c>
      <c r="J88">
        <f>IF(F88=1,ROUND(SUM(services_v2_9!J88,services_v2_8!J88,services_v2_7!J88,services_v2_6!J88,services_v2_10!J88)/COUNT(services_v2_9!J88,services_v2_8!J88,services_v2_7!J88,services_v2_6!J88,services_v2_10!J88),0),"NA")</f>
        <v>1</v>
      </c>
      <c r="K88">
        <f>IF($E88=0, "NA", ROUND(SUM(services_v2_9!K88,services_v2_8!K88,services_v2_7!K88,services_v2_6!K88,services_v2_10!K88)/COUNT(services_v2_9!K88,services_v2_8!K88,services_v2_7!K88,services_v2_6!K88,services_v2_10!K88),0))</f>
        <v>1</v>
      </c>
      <c r="L88">
        <f>IF($E88=0, "NA", ROUND(SUM(services_v2_9!L88,services_v2_8!L88,services_v2_7!L88,services_v2_6!L88,services_v2_10!L88)/COUNT(services_v2_9!L88,services_v2_8!L88,services_v2_7!L88,services_v2_6!L88,services_v2_10!L88),0))</f>
        <v>1</v>
      </c>
      <c r="M88">
        <f>IF($E88=0, "NA", ROUND(SUM(services_v2_9!M88,services_v2_8!M88,services_v2_7!M88,services_v2_6!M88,services_v2_10!M88)/COUNT(services_v2_9!M88,services_v2_8!M88,services_v2_7!M88,services_v2_6!M88,services_v2_10!M88),0))</f>
        <v>1</v>
      </c>
      <c r="N88">
        <f>IF($E88=0, "NA", ROUND(SUM(services_v2_9!N88,services_v2_8!N88,services_v2_7!N88,services_v2_6!N88,services_v2_10!N88)/COUNT(services_v2_9!N88,services_v2_8!N88,services_v2_7!N88,services_v2_6!N88,services_v2_10!N88),0))</f>
        <v>1</v>
      </c>
      <c r="O88">
        <f>IF($E88=0, "NA", ROUND(SUM(services_v2_9!O88,services_v2_8!O88,services_v2_7!O88,services_v2_6!O88,services_v2_10!O88)/COUNT(services_v2_9!O88,services_v2_8!O88,services_v2_7!O88,services_v2_6!O88,services_v2_10!O88),0))</f>
        <v>1</v>
      </c>
    </row>
    <row r="89" spans="1:15" x14ac:dyDescent="0.25">
      <c r="A89" t="s">
        <v>96</v>
      </c>
      <c r="B89" t="s">
        <v>78</v>
      </c>
      <c r="C89">
        <v>0</v>
      </c>
      <c r="D89">
        <v>2.7609786987304692</v>
      </c>
      <c r="E89">
        <f>ROUND(SUM(services_v2_9!E89,services_v2_8!E89,services_v2_7!E89,services_v2_6!E89,services_v2_10!E89)/COUNT(services_v2_9!E89,services_v2_8!E89,services_v2_7!E89,services_v2_6!E89,services_v2_10!E89),0)</f>
        <v>1</v>
      </c>
      <c r="F89">
        <f>IF($E89=0, "NA", ROUND(SUM(services_v2_9!F89,services_v2_8!F89,services_v2_7!F89,services_v2_6!F89,services_v2_10!F89)/COUNT(services_v2_9!F89,services_v2_8!F89,services_v2_7!F89,services_v2_6!F89,services_v2_10!F89),0))</f>
        <v>1</v>
      </c>
      <c r="G89">
        <f>IF($E89=0, "NA", ROUND(SUM(services_v2_9!G89,services_v2_8!G89,services_v2_7!G89,services_v2_6!G89,services_v2_10!G89)/COUNT(services_v2_9!G89,services_v2_8!G89,services_v2_7!G89,services_v2_6!G89,services_v2_10!G89),0))</f>
        <v>1</v>
      </c>
      <c r="H89">
        <f>IF(AND(F89=1,G89=1),ROUND(SUM(services_v2_9!H89,services_v2_8!H89,services_v2_7!H89,services_v2_6!H89,services_v2_10!H89)/COUNT(services_v2_9!H89,services_v2_8!H89,services_v2_7!H89,services_v2_6!H89,services_v2_10!H89),0),"NA")</f>
        <v>1</v>
      </c>
      <c r="I89">
        <f>IF($E89=0, "NA", ROUND(SUM(services_v2_9!I89,services_v2_8!I89,services_v2_7!I89,services_v2_6!I89,services_v2_10!I89)/COUNT(services_v2_9!I89,services_v2_8!I89,services_v2_7!I89,services_v2_6!I89,services_v2_10!I89),0))</f>
        <v>1</v>
      </c>
      <c r="J89">
        <f>IF(F89=1,ROUND(SUM(services_v2_9!J89,services_v2_8!J89,services_v2_7!J89,services_v2_6!J89,services_v2_10!J89)/COUNT(services_v2_9!J89,services_v2_8!J89,services_v2_7!J89,services_v2_6!J89,services_v2_10!J89),0),"NA")</f>
        <v>1</v>
      </c>
      <c r="K89">
        <f>IF($E89=0, "NA", ROUND(SUM(services_v2_9!K89,services_v2_8!K89,services_v2_7!K89,services_v2_6!K89,services_v2_10!K89)/COUNT(services_v2_9!K89,services_v2_8!K89,services_v2_7!K89,services_v2_6!K89,services_v2_10!K89),0))</f>
        <v>1</v>
      </c>
      <c r="L89">
        <f>IF($E89=0, "NA", ROUND(SUM(services_v2_9!L89,services_v2_8!L89,services_v2_7!L89,services_v2_6!L89,services_v2_10!L89)/COUNT(services_v2_9!L89,services_v2_8!L89,services_v2_7!L89,services_v2_6!L89,services_v2_10!L89),0))</f>
        <v>1</v>
      </c>
      <c r="M89">
        <f>IF($E89=0, "NA", ROUND(SUM(services_v2_9!M89,services_v2_8!M89,services_v2_7!M89,services_v2_6!M89,services_v2_10!M89)/COUNT(services_v2_9!M89,services_v2_8!M89,services_v2_7!M89,services_v2_6!M89,services_v2_10!M89),0))</f>
        <v>1</v>
      </c>
      <c r="N89">
        <f>IF($E89=0, "NA", ROUND(SUM(services_v2_9!N89,services_v2_8!N89,services_v2_7!N89,services_v2_6!N89,services_v2_10!N89)/COUNT(services_v2_9!N89,services_v2_8!N89,services_v2_7!N89,services_v2_6!N89,services_v2_10!N89),0))</f>
        <v>1</v>
      </c>
      <c r="O89">
        <f>IF($E89=0, "NA", ROUND(SUM(services_v2_9!O89,services_v2_8!O89,services_v2_7!O89,services_v2_6!O89,services_v2_10!O89)/COUNT(services_v2_9!O89,services_v2_8!O89,services_v2_7!O89,services_v2_6!O89,services_v2_10!O89),0))</f>
        <v>1</v>
      </c>
    </row>
    <row r="90" spans="1:15" x14ac:dyDescent="0.25">
      <c r="A90" t="s">
        <v>96</v>
      </c>
      <c r="B90" t="s">
        <v>80</v>
      </c>
      <c r="C90">
        <v>0</v>
      </c>
      <c r="D90">
        <v>2.7677690982818599</v>
      </c>
      <c r="E90">
        <f>ROUND(SUM(services_v2_9!E90,services_v2_8!E90,services_v2_7!E90,services_v2_6!E90,services_v2_10!E90)/COUNT(services_v2_9!E90,services_v2_8!E90,services_v2_7!E90,services_v2_6!E90,services_v2_10!E90),0)</f>
        <v>1</v>
      </c>
      <c r="F90">
        <f>IF($E90=0, "NA", ROUND(SUM(services_v2_9!F90,services_v2_8!F90,services_v2_7!F90,services_v2_6!F90,services_v2_10!F90)/COUNT(services_v2_9!F90,services_v2_8!F90,services_v2_7!F90,services_v2_6!F90,services_v2_10!F90),0))</f>
        <v>1</v>
      </c>
      <c r="G90">
        <f>IF($E90=0, "NA", ROUND(SUM(services_v2_9!G90,services_v2_8!G90,services_v2_7!G90,services_v2_6!G90,services_v2_10!G90)/COUNT(services_v2_9!G90,services_v2_8!G90,services_v2_7!G90,services_v2_6!G90,services_v2_10!G90),0))</f>
        <v>1</v>
      </c>
      <c r="H90">
        <f>IF(AND(F90=1,G90=1),ROUND(SUM(services_v2_9!H90,services_v2_8!H90,services_v2_7!H90,services_v2_6!H90,services_v2_10!H90)/COUNT(services_v2_9!H90,services_v2_8!H90,services_v2_7!H90,services_v2_6!H90,services_v2_10!H90),0),"NA")</f>
        <v>1</v>
      </c>
      <c r="I90">
        <f>IF($E90=0, "NA", ROUND(SUM(services_v2_9!I90,services_v2_8!I90,services_v2_7!I90,services_v2_6!I90,services_v2_10!I90)/COUNT(services_v2_9!I90,services_v2_8!I90,services_v2_7!I90,services_v2_6!I90,services_v2_10!I90),0))</f>
        <v>1</v>
      </c>
      <c r="J90">
        <f>IF(F90=1,ROUND(SUM(services_v2_9!J90,services_v2_8!J90,services_v2_7!J90,services_v2_6!J90,services_v2_10!J90)/COUNT(services_v2_9!J90,services_v2_8!J90,services_v2_7!J90,services_v2_6!J90,services_v2_10!J90),0),"NA")</f>
        <v>1</v>
      </c>
      <c r="K90">
        <f>IF($E90=0, "NA", ROUND(SUM(services_v2_9!K90,services_v2_8!K90,services_v2_7!K90,services_v2_6!K90,services_v2_10!K90)/COUNT(services_v2_9!K90,services_v2_8!K90,services_v2_7!K90,services_v2_6!K90,services_v2_10!K90),0))</f>
        <v>1</v>
      </c>
      <c r="L90">
        <f>IF($E90=0, "NA", ROUND(SUM(services_v2_9!L90,services_v2_8!L90,services_v2_7!L90,services_v2_6!L90,services_v2_10!L90)/COUNT(services_v2_9!L90,services_v2_8!L90,services_v2_7!L90,services_v2_6!L90,services_v2_10!L90),0))</f>
        <v>1</v>
      </c>
      <c r="M90">
        <f>IF($E90=0, "NA", ROUND(SUM(services_v2_9!M90,services_v2_8!M90,services_v2_7!M90,services_v2_6!M90,services_v2_10!M90)/COUNT(services_v2_9!M90,services_v2_8!M90,services_v2_7!M90,services_v2_6!M90,services_v2_10!M90),0))</f>
        <v>1</v>
      </c>
      <c r="N90">
        <f>IF($E90=0, "NA", ROUND(SUM(services_v2_9!N90,services_v2_8!N90,services_v2_7!N90,services_v2_6!N90,services_v2_10!N90)/COUNT(services_v2_9!N90,services_v2_8!N90,services_v2_7!N90,services_v2_6!N90,services_v2_10!N90),0))</f>
        <v>1</v>
      </c>
      <c r="O90">
        <f>IF($E90=0, "NA", ROUND(SUM(services_v2_9!O90,services_v2_8!O90,services_v2_7!O90,services_v2_6!O90,services_v2_10!O90)/COUNT(services_v2_9!O90,services_v2_8!O90,services_v2_7!O90,services_v2_6!O90,services_v2_10!O90),0))</f>
        <v>1</v>
      </c>
    </row>
    <row r="91" spans="1:15" x14ac:dyDescent="0.25">
      <c r="A91" t="s">
        <v>96</v>
      </c>
      <c r="B91" t="s">
        <v>82</v>
      </c>
      <c r="C91">
        <v>0</v>
      </c>
      <c r="D91">
        <v>4.4421520233154297</v>
      </c>
      <c r="E91">
        <f>ROUND(SUM(services_v2_9!E91,services_v2_8!E91,services_v2_7!E91,services_v2_6!E91,services_v2_10!E91)/COUNT(services_v2_9!E91,services_v2_8!E91,services_v2_7!E91,services_v2_6!E91,services_v2_10!E91),0)</f>
        <v>1</v>
      </c>
      <c r="F91">
        <f>IF($E91=0, "NA", ROUND(SUM(services_v2_9!F91,services_v2_8!F91,services_v2_7!F91,services_v2_6!F91,services_v2_10!F91)/COUNT(services_v2_9!F91,services_v2_8!F91,services_v2_7!F91,services_v2_6!F91,services_v2_10!F91),0))</f>
        <v>1</v>
      </c>
      <c r="G91">
        <f>IF($E91=0, "NA", ROUND(SUM(services_v2_9!G91,services_v2_8!G91,services_v2_7!G91,services_v2_6!G91,services_v2_10!G91)/COUNT(services_v2_9!G91,services_v2_8!G91,services_v2_7!G91,services_v2_6!G91,services_v2_10!G91),0))</f>
        <v>1</v>
      </c>
      <c r="H91">
        <f>IF(AND(F91=1,G91=1),ROUND(SUM(services_v2_9!H91,services_v2_8!H91,services_v2_7!H91,services_v2_6!H91,services_v2_10!H91)/COUNT(services_v2_9!H91,services_v2_8!H91,services_v2_7!H91,services_v2_6!H91,services_v2_10!H91),0),"NA")</f>
        <v>0</v>
      </c>
      <c r="I91">
        <f>IF($E91=0, "NA", ROUND(SUM(services_v2_9!I91,services_v2_8!I91,services_v2_7!I91,services_v2_6!I91,services_v2_10!I91)/COUNT(services_v2_9!I91,services_v2_8!I91,services_v2_7!I91,services_v2_6!I91,services_v2_10!I91),0))</f>
        <v>1</v>
      </c>
      <c r="J91">
        <f>IF(F91=1,ROUND(SUM(services_v2_9!J91,services_v2_8!J91,services_v2_7!J91,services_v2_6!J91,services_v2_10!J91)/COUNT(services_v2_9!J91,services_v2_8!J91,services_v2_7!J91,services_v2_6!J91,services_v2_10!J91),0),"NA")</f>
        <v>1</v>
      </c>
      <c r="K91">
        <f>IF($E91=0, "NA", ROUND(SUM(services_v2_9!K91,services_v2_8!K91,services_v2_7!K91,services_v2_6!K91,services_v2_10!K91)/COUNT(services_v2_9!K91,services_v2_8!K91,services_v2_7!K91,services_v2_6!K91,services_v2_10!K91),0))</f>
        <v>1</v>
      </c>
      <c r="L91">
        <f>IF($E91=0, "NA", ROUND(SUM(services_v2_9!L91,services_v2_8!L91,services_v2_7!L91,services_v2_6!L91,services_v2_10!L91)/COUNT(services_v2_9!L91,services_v2_8!L91,services_v2_7!L91,services_v2_6!L91,services_v2_10!L91),0))</f>
        <v>1</v>
      </c>
      <c r="M91">
        <f>IF($E91=0, "NA", ROUND(SUM(services_v2_9!M91,services_v2_8!M91,services_v2_7!M91,services_v2_6!M91,services_v2_10!M91)/COUNT(services_v2_9!M91,services_v2_8!M91,services_v2_7!M91,services_v2_6!M91,services_v2_10!M91),0))</f>
        <v>1</v>
      </c>
      <c r="N91">
        <f>IF($E91=0, "NA", ROUND(SUM(services_v2_9!N91,services_v2_8!N91,services_v2_7!N91,services_v2_6!N91,services_v2_10!N91)/COUNT(services_v2_9!N91,services_v2_8!N91,services_v2_7!N91,services_v2_6!N91,services_v2_10!N91),0))</f>
        <v>1</v>
      </c>
      <c r="O91">
        <f>IF($E91=0, "NA", ROUND(SUM(services_v2_9!O91,services_v2_8!O91,services_v2_7!O91,services_v2_6!O91,services_v2_10!O91)/COUNT(services_v2_9!O91,services_v2_8!O91,services_v2_7!O91,services_v2_6!O91,services_v2_10!O91),0))</f>
        <v>1</v>
      </c>
    </row>
    <row r="92" spans="1:15" x14ac:dyDescent="0.25">
      <c r="A92" t="s">
        <v>96</v>
      </c>
      <c r="B92" t="s">
        <v>84</v>
      </c>
      <c r="C92">
        <v>0</v>
      </c>
      <c r="D92">
        <v>10.453574180603029</v>
      </c>
      <c r="E92">
        <f>ROUND(SUM(services_v2_9!E92,services_v2_8!E92,services_v2_7!E92,services_v2_6!E92,services_v2_10!E92)/COUNT(services_v2_9!E92,services_v2_8!E92,services_v2_7!E92,services_v2_6!E92,services_v2_10!E92),0)</f>
        <v>1</v>
      </c>
      <c r="F92">
        <f>IF($E92=0, "NA", ROUND(SUM(services_v2_9!F92,services_v2_8!F92,services_v2_7!F92,services_v2_6!F92,services_v2_10!F92)/COUNT(services_v2_9!F92,services_v2_8!F92,services_v2_7!F92,services_v2_6!F92,services_v2_10!F92),0))</f>
        <v>1</v>
      </c>
      <c r="G92">
        <f>IF($E92=0, "NA", ROUND(SUM(services_v2_9!G92,services_v2_8!G92,services_v2_7!G92,services_v2_6!G92,services_v2_10!G92)/COUNT(services_v2_9!G92,services_v2_8!G92,services_v2_7!G92,services_v2_6!G92,services_v2_10!G92),0))</f>
        <v>1</v>
      </c>
      <c r="H92">
        <f>IF(AND(F92=1,G92=1),ROUND(SUM(services_v2_9!H92,services_v2_8!H92,services_v2_7!H92,services_v2_6!H92,services_v2_10!H92)/COUNT(services_v2_9!H92,services_v2_8!H92,services_v2_7!H92,services_v2_6!H92,services_v2_10!H92),0),"NA")</f>
        <v>1</v>
      </c>
      <c r="I92">
        <f>IF($E92=0, "NA", ROUND(SUM(services_v2_9!I92,services_v2_8!I92,services_v2_7!I92,services_v2_6!I92,services_v2_10!I92)/COUNT(services_v2_9!I92,services_v2_8!I92,services_v2_7!I92,services_v2_6!I92,services_v2_10!I92),0))</f>
        <v>1</v>
      </c>
      <c r="J92">
        <f>IF(F92=1,ROUND(SUM(services_v2_9!J92,services_v2_8!J92,services_v2_7!J92,services_v2_6!J92,services_v2_10!J92)/COUNT(services_v2_9!J92,services_v2_8!J92,services_v2_7!J92,services_v2_6!J92,services_v2_10!J92),0),"NA")</f>
        <v>1</v>
      </c>
      <c r="K92">
        <f>IF($E92=0, "NA", ROUND(SUM(services_v2_9!K92,services_v2_8!K92,services_v2_7!K92,services_v2_6!K92,services_v2_10!K92)/COUNT(services_v2_9!K92,services_v2_8!K92,services_v2_7!K92,services_v2_6!K92,services_v2_10!K92),0))</f>
        <v>1</v>
      </c>
      <c r="L92">
        <f>IF($E92=0, "NA", ROUND(SUM(services_v2_9!L92,services_v2_8!L92,services_v2_7!L92,services_v2_6!L92,services_v2_10!L92)/COUNT(services_v2_9!L92,services_v2_8!L92,services_v2_7!L92,services_v2_6!L92,services_v2_10!L92),0))</f>
        <v>1</v>
      </c>
      <c r="M92">
        <f>IF($E92=0, "NA", ROUND(SUM(services_v2_9!M92,services_v2_8!M92,services_v2_7!M92,services_v2_6!M92,services_v2_10!M92)/COUNT(services_v2_9!M92,services_v2_8!M92,services_v2_7!M92,services_v2_6!M92,services_v2_10!M92),0))</f>
        <v>1</v>
      </c>
      <c r="N92">
        <f>IF($E92=0, "NA", ROUND(SUM(services_v2_9!N92,services_v2_8!N92,services_v2_7!N92,services_v2_6!N92,services_v2_10!N92)/COUNT(services_v2_9!N92,services_v2_8!N92,services_v2_7!N92,services_v2_6!N92,services_v2_10!N92),0))</f>
        <v>1</v>
      </c>
      <c r="O92">
        <f>IF($E92=0, "NA", ROUND(SUM(services_v2_9!O92,services_v2_8!O92,services_v2_7!O92,services_v2_6!O92,services_v2_10!O92)/COUNT(services_v2_9!O92,services_v2_8!O92,services_v2_7!O92,services_v2_6!O92,services_v2_10!O92),0))</f>
        <v>1</v>
      </c>
    </row>
    <row r="93" spans="1:15" x14ac:dyDescent="0.25">
      <c r="A93" t="s">
        <v>96</v>
      </c>
      <c r="B93" t="s">
        <v>85</v>
      </c>
      <c r="C93">
        <v>0</v>
      </c>
      <c r="D93">
        <v>5.2336447238922119</v>
      </c>
      <c r="E93">
        <f>ROUND(SUM(services_v2_9!E93,services_v2_8!E93,services_v2_7!E93,services_v2_6!E93,services_v2_10!E93)/COUNT(services_v2_9!E93,services_v2_8!E93,services_v2_7!E93,services_v2_6!E93,services_v2_10!E93),0)</f>
        <v>1</v>
      </c>
      <c r="F93">
        <f>IF($E93=0, "NA", ROUND(SUM(services_v2_9!F93,services_v2_8!F93,services_v2_7!F93,services_v2_6!F93,services_v2_10!F93)/COUNT(services_v2_9!F93,services_v2_8!F93,services_v2_7!F93,services_v2_6!F93,services_v2_10!F93),0))</f>
        <v>1</v>
      </c>
      <c r="G93">
        <f>IF($E93=0, "NA", ROUND(SUM(services_v2_9!G93,services_v2_8!G93,services_v2_7!G93,services_v2_6!G93,services_v2_10!G93)/COUNT(services_v2_9!G93,services_v2_8!G93,services_v2_7!G93,services_v2_6!G93,services_v2_10!G93),0))</f>
        <v>1</v>
      </c>
      <c r="H93">
        <f>IF(AND(F93=1,G93=1),ROUND(SUM(services_v2_9!H93,services_v2_8!H93,services_v2_7!H93,services_v2_6!H93,services_v2_10!H93)/COUNT(services_v2_9!H93,services_v2_8!H93,services_v2_7!H93,services_v2_6!H93,services_v2_10!H93),0),"NA")</f>
        <v>1</v>
      </c>
      <c r="I93">
        <f>IF($E93=0, "NA", ROUND(SUM(services_v2_9!I93,services_v2_8!I93,services_v2_7!I93,services_v2_6!I93,services_v2_10!I93)/COUNT(services_v2_9!I93,services_v2_8!I93,services_v2_7!I93,services_v2_6!I93,services_v2_10!I93),0))</f>
        <v>1</v>
      </c>
      <c r="J93">
        <f>IF(F93=1,ROUND(SUM(services_v2_9!J93,services_v2_8!J93,services_v2_7!J93,services_v2_6!J93,services_v2_10!J93)/COUNT(services_v2_9!J93,services_v2_8!J93,services_v2_7!J93,services_v2_6!J93,services_v2_10!J93),0),"NA")</f>
        <v>0</v>
      </c>
      <c r="K93">
        <f>IF($E93=0, "NA", ROUND(SUM(services_v2_9!K93,services_v2_8!K93,services_v2_7!K93,services_v2_6!K93,services_v2_10!K93)/COUNT(services_v2_9!K93,services_v2_8!K93,services_v2_7!K93,services_v2_6!K93,services_v2_10!K93),0))</f>
        <v>1</v>
      </c>
      <c r="L93">
        <f>IF($E93=0, "NA", ROUND(SUM(services_v2_9!L93,services_v2_8!L93,services_v2_7!L93,services_v2_6!L93,services_v2_10!L93)/COUNT(services_v2_9!L93,services_v2_8!L93,services_v2_7!L93,services_v2_6!L93,services_v2_10!L93),0))</f>
        <v>1</v>
      </c>
      <c r="M93">
        <f>IF($E93=0, "NA", ROUND(SUM(services_v2_9!M93,services_v2_8!M93,services_v2_7!M93,services_v2_6!M93,services_v2_10!M93)/COUNT(services_v2_9!M93,services_v2_8!M93,services_v2_7!M93,services_v2_6!M93,services_v2_10!M93),0))</f>
        <v>1</v>
      </c>
      <c r="N93">
        <f>IF($E93=0, "NA", ROUND(SUM(services_v2_9!N93,services_v2_8!N93,services_v2_7!N93,services_v2_6!N93,services_v2_10!N93)/COUNT(services_v2_9!N93,services_v2_8!N93,services_v2_7!N93,services_v2_6!N93,services_v2_10!N93),0))</f>
        <v>1</v>
      </c>
      <c r="O93">
        <f>IF($E93=0, "NA", ROUND(SUM(services_v2_9!O93,services_v2_8!O93,services_v2_7!O93,services_v2_6!O93,services_v2_10!O93)/COUNT(services_v2_9!O93,services_v2_8!O93,services_v2_7!O93,services_v2_6!O93,services_v2_10!O93),0))</f>
        <v>1</v>
      </c>
    </row>
    <row r="94" spans="1:15" x14ac:dyDescent="0.25">
      <c r="A94" t="s">
        <v>96</v>
      </c>
      <c r="B94" t="s">
        <v>87</v>
      </c>
      <c r="C94">
        <v>0</v>
      </c>
      <c r="D94">
        <v>4.8309082984924316</v>
      </c>
      <c r="E94">
        <f>ROUND(SUM(services_v2_9!E94,services_v2_8!E94,services_v2_7!E94,services_v2_6!E94,services_v2_10!E94)/COUNT(services_v2_9!E94,services_v2_8!E94,services_v2_7!E94,services_v2_6!E94,services_v2_10!E94),0)</f>
        <v>1</v>
      </c>
      <c r="F94">
        <f>IF($E94=0, "NA", ROUND(SUM(services_v2_9!F94,services_v2_8!F94,services_v2_7!F94,services_v2_6!F94,services_v2_10!F94)/COUNT(services_v2_9!F94,services_v2_8!F94,services_v2_7!F94,services_v2_6!F94,services_v2_10!F94),0))</f>
        <v>1</v>
      </c>
      <c r="G94">
        <f>IF($E94=0, "NA", ROUND(SUM(services_v2_9!G94,services_v2_8!G94,services_v2_7!G94,services_v2_6!G94,services_v2_10!G94)/COUNT(services_v2_9!G94,services_v2_8!G94,services_v2_7!G94,services_v2_6!G94,services_v2_10!G94),0))</f>
        <v>1</v>
      </c>
      <c r="H94">
        <f>IF(AND(F94=1,G94=1),ROUND(SUM(services_v2_9!H94,services_v2_8!H94,services_v2_7!H94,services_v2_6!H94,services_v2_10!H94)/COUNT(services_v2_9!H94,services_v2_8!H94,services_v2_7!H94,services_v2_6!H94,services_v2_10!H94),0),"NA")</f>
        <v>1</v>
      </c>
      <c r="I94">
        <f>IF($E94=0, "NA", ROUND(SUM(services_v2_9!I94,services_v2_8!I94,services_v2_7!I94,services_v2_6!I94,services_v2_10!I94)/COUNT(services_v2_9!I94,services_v2_8!I94,services_v2_7!I94,services_v2_6!I94,services_v2_10!I94),0))</f>
        <v>1</v>
      </c>
      <c r="J94">
        <f>IF(F94=1,ROUND(SUM(services_v2_9!J94,services_v2_8!J94,services_v2_7!J94,services_v2_6!J94,services_v2_10!J94)/COUNT(services_v2_9!J94,services_v2_8!J94,services_v2_7!J94,services_v2_6!J94,services_v2_10!J94),0),"NA")</f>
        <v>0</v>
      </c>
      <c r="K94">
        <f>IF($E94=0, "NA", ROUND(SUM(services_v2_9!K94,services_v2_8!K94,services_v2_7!K94,services_v2_6!K94,services_v2_10!K94)/COUNT(services_v2_9!K94,services_v2_8!K94,services_v2_7!K94,services_v2_6!K94,services_v2_10!K94),0))</f>
        <v>1</v>
      </c>
      <c r="L94">
        <f>IF($E94=0, "NA", ROUND(SUM(services_v2_9!L94,services_v2_8!L94,services_v2_7!L94,services_v2_6!L94,services_v2_10!L94)/COUNT(services_v2_9!L94,services_v2_8!L94,services_v2_7!L94,services_v2_6!L94,services_v2_10!L94),0))</f>
        <v>1</v>
      </c>
      <c r="M94">
        <f>IF($E94=0, "NA", ROUND(SUM(services_v2_9!M94,services_v2_8!M94,services_v2_7!M94,services_v2_6!M94,services_v2_10!M94)/COUNT(services_v2_9!M94,services_v2_8!M94,services_v2_7!M94,services_v2_6!M94,services_v2_10!M94),0))</f>
        <v>1</v>
      </c>
      <c r="N94">
        <f>IF($E94=0, "NA", ROUND(SUM(services_v2_9!N94,services_v2_8!N94,services_v2_7!N94,services_v2_6!N94,services_v2_10!N94)/COUNT(services_v2_9!N94,services_v2_8!N94,services_v2_7!N94,services_v2_6!N94,services_v2_10!N94),0))</f>
        <v>1</v>
      </c>
      <c r="O94">
        <f>IF($E94=0, "NA", ROUND(SUM(services_v2_9!O94,services_v2_8!O94,services_v2_7!O94,services_v2_6!O94,services_v2_10!O94)/COUNT(services_v2_9!O94,services_v2_8!O94,services_v2_7!O94,services_v2_6!O94,services_v2_10!O94),0))</f>
        <v>1</v>
      </c>
    </row>
    <row r="95" spans="1:15" x14ac:dyDescent="0.25">
      <c r="A95" t="s">
        <v>96</v>
      </c>
      <c r="B95" t="s">
        <v>89</v>
      </c>
      <c r="C95">
        <v>0</v>
      </c>
      <c r="D95">
        <v>4.6100349426269531</v>
      </c>
      <c r="E95">
        <f>ROUND(SUM(services_v2_9!E95,services_v2_8!E95,services_v2_7!E95,services_v2_6!E95,services_v2_10!E95)/COUNT(services_v2_9!E95,services_v2_8!E95,services_v2_7!E95,services_v2_6!E95,services_v2_10!E95),0)</f>
        <v>1</v>
      </c>
      <c r="F95">
        <f>IF($E95=0, "NA", ROUND(SUM(services_v2_9!F95,services_v2_8!F95,services_v2_7!F95,services_v2_6!F95,services_v2_10!F95)/COUNT(services_v2_9!F95,services_v2_8!F95,services_v2_7!F95,services_v2_6!F95,services_v2_10!F95),0))</f>
        <v>1</v>
      </c>
      <c r="G95">
        <f>IF($E95=0, "NA", ROUND(SUM(services_v2_9!G95,services_v2_8!G95,services_v2_7!G95,services_v2_6!G95,services_v2_10!G95)/COUNT(services_v2_9!G95,services_v2_8!G95,services_v2_7!G95,services_v2_6!G95,services_v2_10!G95),0))</f>
        <v>1</v>
      </c>
      <c r="H95">
        <f>IF(AND(F95=1,G95=1),ROUND(SUM(services_v2_9!H95,services_v2_8!H95,services_v2_7!H95,services_v2_6!H95,services_v2_10!H95)/COUNT(services_v2_9!H95,services_v2_8!H95,services_v2_7!H95,services_v2_6!H95,services_v2_10!H95),0),"NA")</f>
        <v>1</v>
      </c>
      <c r="I95">
        <f>IF($E95=0, "NA", ROUND(SUM(services_v2_9!I95,services_v2_8!I95,services_v2_7!I95,services_v2_6!I95,services_v2_10!I95)/COUNT(services_v2_9!I95,services_v2_8!I95,services_v2_7!I95,services_v2_6!I95,services_v2_10!I95),0))</f>
        <v>1</v>
      </c>
      <c r="J95">
        <f>IF(F95=1,ROUND(SUM(services_v2_9!J95,services_v2_8!J95,services_v2_7!J95,services_v2_6!J95,services_v2_10!J95)/COUNT(services_v2_9!J95,services_v2_8!J95,services_v2_7!J95,services_v2_6!J95,services_v2_10!J95),0),"NA")</f>
        <v>0</v>
      </c>
      <c r="K95">
        <f>IF($E95=0, "NA", ROUND(SUM(services_v2_9!K95,services_v2_8!K95,services_v2_7!K95,services_v2_6!K95,services_v2_10!K95)/COUNT(services_v2_9!K95,services_v2_8!K95,services_v2_7!K95,services_v2_6!K95,services_v2_10!K95),0))</f>
        <v>1</v>
      </c>
      <c r="L95">
        <f>IF($E95=0, "NA", ROUND(SUM(services_v2_9!L95,services_v2_8!L95,services_v2_7!L95,services_v2_6!L95,services_v2_10!L95)/COUNT(services_v2_9!L95,services_v2_8!L95,services_v2_7!L95,services_v2_6!L95,services_v2_10!L95),0))</f>
        <v>1</v>
      </c>
      <c r="M95">
        <f>IF($E95=0, "NA", ROUND(SUM(services_v2_9!M95,services_v2_8!M95,services_v2_7!M95,services_v2_6!M95,services_v2_10!M95)/COUNT(services_v2_9!M95,services_v2_8!M95,services_v2_7!M95,services_v2_6!M95,services_v2_10!M95),0))</f>
        <v>1</v>
      </c>
      <c r="N95">
        <f>IF($E95=0, "NA", ROUND(SUM(services_v2_9!N95,services_v2_8!N95,services_v2_7!N95,services_v2_6!N95,services_v2_10!N95)/COUNT(services_v2_9!N95,services_v2_8!N95,services_v2_7!N95,services_v2_6!N95,services_v2_10!N95),0))</f>
        <v>1</v>
      </c>
      <c r="O95">
        <f>IF($E95=0, "NA", ROUND(SUM(services_v2_9!O95,services_v2_8!O95,services_v2_7!O95,services_v2_6!O95,services_v2_10!O95)/COUNT(services_v2_9!O95,services_v2_8!O95,services_v2_7!O95,services_v2_6!O95,services_v2_10!O95),0))</f>
        <v>1</v>
      </c>
    </row>
    <row r="96" spans="1:15" x14ac:dyDescent="0.25">
      <c r="A96" t="s">
        <v>96</v>
      </c>
      <c r="B96" t="s">
        <v>91</v>
      </c>
      <c r="C96">
        <v>0</v>
      </c>
      <c r="D96">
        <v>7.2633054256439209</v>
      </c>
      <c r="E96">
        <f>ROUND(SUM(services_v2_9!E96,services_v2_8!E96,services_v2_7!E96,services_v2_6!E96,services_v2_10!E96)/COUNT(services_v2_9!E96,services_v2_8!E96,services_v2_7!E96,services_v2_6!E96,services_v2_10!E96),0)</f>
        <v>1</v>
      </c>
      <c r="F96">
        <f>IF($E96=0, "NA", ROUND(SUM(services_v2_9!F96,services_v2_8!F96,services_v2_7!F96,services_v2_6!F96,services_v2_10!F96)/COUNT(services_v2_9!F96,services_v2_8!F96,services_v2_7!F96,services_v2_6!F96,services_v2_10!F96),0))</f>
        <v>1</v>
      </c>
      <c r="G96">
        <f>IF($E96=0, "NA", ROUND(SUM(services_v2_9!G96,services_v2_8!G96,services_v2_7!G96,services_v2_6!G96,services_v2_10!G96)/COUNT(services_v2_9!G96,services_v2_8!G96,services_v2_7!G96,services_v2_6!G96,services_v2_10!G96),0))</f>
        <v>1</v>
      </c>
      <c r="H96">
        <f>IF(AND(F96=1,G96=1),ROUND(SUM(services_v2_9!H96,services_v2_8!H96,services_v2_7!H96,services_v2_6!H96,services_v2_10!H96)/COUNT(services_v2_9!H96,services_v2_8!H96,services_v2_7!H96,services_v2_6!H96,services_v2_10!H96),0),"NA")</f>
        <v>1</v>
      </c>
      <c r="I96">
        <f>IF($E96=0, "NA", ROUND(SUM(services_v2_9!I96,services_v2_8!I96,services_v2_7!I96,services_v2_6!I96,services_v2_10!I96)/COUNT(services_v2_9!I96,services_v2_8!I96,services_v2_7!I96,services_v2_6!I96,services_v2_10!I96),0))</f>
        <v>1</v>
      </c>
      <c r="J96">
        <f>IF(F96=1,ROUND(SUM(services_v2_9!J96,services_v2_8!J96,services_v2_7!J96,services_v2_6!J96,services_v2_10!J96)/COUNT(services_v2_9!J96,services_v2_8!J96,services_v2_7!J96,services_v2_6!J96,services_v2_10!J96),0),"NA")</f>
        <v>0</v>
      </c>
      <c r="K96">
        <f>IF($E96=0, "NA", ROUND(SUM(services_v2_9!K96,services_v2_8!K96,services_v2_7!K96,services_v2_6!K96,services_v2_10!K96)/COUNT(services_v2_9!K96,services_v2_8!K96,services_v2_7!K96,services_v2_6!K96,services_v2_10!K96),0))</f>
        <v>1</v>
      </c>
      <c r="L96">
        <f>IF($E96=0, "NA", ROUND(SUM(services_v2_9!L96,services_v2_8!L96,services_v2_7!L96,services_v2_6!L96,services_v2_10!L96)/COUNT(services_v2_9!L96,services_v2_8!L96,services_v2_7!L96,services_v2_6!L96,services_v2_10!L96),0))</f>
        <v>1</v>
      </c>
      <c r="M96">
        <f>IF($E96=0, "NA", ROUND(SUM(services_v2_9!M96,services_v2_8!M96,services_v2_7!M96,services_v2_6!M96,services_v2_10!M96)/COUNT(services_v2_9!M96,services_v2_8!M96,services_v2_7!M96,services_v2_6!M96,services_v2_10!M96),0))</f>
        <v>1</v>
      </c>
      <c r="N96">
        <f>IF($E96=0, "NA", ROUND(SUM(services_v2_9!N96,services_v2_8!N96,services_v2_7!N96,services_v2_6!N96,services_v2_10!N96)/COUNT(services_v2_9!N96,services_v2_8!N96,services_v2_7!N96,services_v2_6!N96,services_v2_10!N96),0))</f>
        <v>1</v>
      </c>
      <c r="O96">
        <f>IF($E96=0, "NA", ROUND(SUM(services_v2_9!O96,services_v2_8!O96,services_v2_7!O96,services_v2_6!O96,services_v2_10!O96)/COUNT(services_v2_9!O96,services_v2_8!O96,services_v2_7!O96,services_v2_6!O96,services_v2_10!O96),0))</f>
        <v>1</v>
      </c>
    </row>
    <row r="97" spans="1:15" x14ac:dyDescent="0.25">
      <c r="A97" t="s">
        <v>96</v>
      </c>
      <c r="B97" t="s">
        <v>92</v>
      </c>
      <c r="C97">
        <v>0</v>
      </c>
      <c r="D97">
        <v>4.745898962020874</v>
      </c>
      <c r="E97">
        <f>ROUND(SUM(services_v2_9!E97,services_v2_8!E97,services_v2_7!E97,services_v2_6!E97,services_v2_10!E97)/COUNT(services_v2_9!E97,services_v2_8!E97,services_v2_7!E97,services_v2_6!E97,services_v2_10!E97),0)</f>
        <v>1</v>
      </c>
      <c r="F97">
        <f>IF($E97=0, "NA", ROUND(SUM(services_v2_9!F97,services_v2_8!F97,services_v2_7!F97,services_v2_6!F97,services_v2_10!F97)/COUNT(services_v2_9!F97,services_v2_8!F97,services_v2_7!F97,services_v2_6!F97,services_v2_10!F97),0))</f>
        <v>1</v>
      </c>
      <c r="G97">
        <f>IF($E97=0, "NA", ROUND(SUM(services_v2_9!G97,services_v2_8!G97,services_v2_7!G97,services_v2_6!G97,services_v2_10!G97)/COUNT(services_v2_9!G97,services_v2_8!G97,services_v2_7!G97,services_v2_6!G97,services_v2_10!G97),0))</f>
        <v>1</v>
      </c>
      <c r="H97">
        <f>IF(AND(F97=1,G97=1),ROUND(SUM(services_v2_9!H97,services_v2_8!H97,services_v2_7!H97,services_v2_6!H97,services_v2_10!H97)/COUNT(services_v2_9!H97,services_v2_8!H97,services_v2_7!H97,services_v2_6!H97,services_v2_10!H97),0),"NA")</f>
        <v>0</v>
      </c>
      <c r="I97">
        <f>IF($E97=0, "NA", ROUND(SUM(services_v2_9!I97,services_v2_8!I97,services_v2_7!I97,services_v2_6!I97,services_v2_10!I97)/COUNT(services_v2_9!I97,services_v2_8!I97,services_v2_7!I97,services_v2_6!I97,services_v2_10!I97),0))</f>
        <v>1</v>
      </c>
      <c r="J97">
        <f>IF(F97=1,ROUND(SUM(services_v2_9!J97,services_v2_8!J97,services_v2_7!J97,services_v2_6!J97,services_v2_10!J97)/COUNT(services_v2_9!J97,services_v2_8!J97,services_v2_7!J97,services_v2_6!J97,services_v2_10!J97),0),"NA")</f>
        <v>1</v>
      </c>
      <c r="K97">
        <f>IF($E97=0, "NA", ROUND(SUM(services_v2_9!K97,services_v2_8!K97,services_v2_7!K97,services_v2_6!K97,services_v2_10!K97)/COUNT(services_v2_9!K97,services_v2_8!K97,services_v2_7!K97,services_v2_6!K97,services_v2_10!K97),0))</f>
        <v>1</v>
      </c>
      <c r="L97">
        <f>IF($E97=0, "NA", ROUND(SUM(services_v2_9!L97,services_v2_8!L97,services_v2_7!L97,services_v2_6!L97,services_v2_10!L97)/COUNT(services_v2_9!L97,services_v2_8!L97,services_v2_7!L97,services_v2_6!L97,services_v2_10!L97),0))</f>
        <v>1</v>
      </c>
      <c r="M97">
        <f>IF($E97=0, "NA", ROUND(SUM(services_v2_9!M97,services_v2_8!M97,services_v2_7!M97,services_v2_6!M97,services_v2_10!M97)/COUNT(services_v2_9!M97,services_v2_8!M97,services_v2_7!M97,services_v2_6!M97,services_v2_10!M97),0))</f>
        <v>1</v>
      </c>
      <c r="N97">
        <f>IF($E97=0, "NA", ROUND(SUM(services_v2_9!N97,services_v2_8!N97,services_v2_7!N97,services_v2_6!N97,services_v2_10!N97)/COUNT(services_v2_9!N97,services_v2_8!N97,services_v2_7!N97,services_v2_6!N97,services_v2_10!N97),0))</f>
        <v>1</v>
      </c>
      <c r="O97">
        <f>IF($E97=0, "NA", ROUND(SUM(services_v2_9!O97,services_v2_8!O97,services_v2_7!O97,services_v2_6!O97,services_v2_10!O97)/COUNT(services_v2_9!O97,services_v2_8!O97,services_v2_7!O97,services_v2_6!O97,services_v2_10!O97),0))</f>
        <v>1</v>
      </c>
    </row>
    <row r="98" spans="1:15" x14ac:dyDescent="0.25">
      <c r="A98" t="s">
        <v>96</v>
      </c>
      <c r="B98" t="s">
        <v>94</v>
      </c>
      <c r="C98">
        <v>0</v>
      </c>
      <c r="D98">
        <v>12.958503723144529</v>
      </c>
      <c r="E98">
        <f>ROUND(SUM(services_v2_9!E98,services_v2_8!E98,services_v2_7!E98,services_v2_6!E98,services_v2_10!E98)/COUNT(services_v2_9!E98,services_v2_8!E98,services_v2_7!E98,services_v2_6!E98,services_v2_10!E98),0)</f>
        <v>1</v>
      </c>
      <c r="F98">
        <f>IF($E98=0, "NA", ROUND(SUM(services_v2_9!F98,services_v2_8!F98,services_v2_7!F98,services_v2_6!F98,services_v2_10!F98)/COUNT(services_v2_9!F98,services_v2_8!F98,services_v2_7!F98,services_v2_6!F98,services_v2_10!F98),0))</f>
        <v>1</v>
      </c>
      <c r="G98">
        <f>IF($E98=0, "NA", ROUND(SUM(services_v2_9!G98,services_v2_8!G98,services_v2_7!G98,services_v2_6!G98,services_v2_10!G98)/COUNT(services_v2_9!G98,services_v2_8!G98,services_v2_7!G98,services_v2_6!G98,services_v2_10!G98),0))</f>
        <v>1</v>
      </c>
      <c r="H98">
        <f>IF(AND(F98=1,G98=1),ROUND(SUM(services_v2_9!H98,services_v2_8!H98,services_v2_7!H98,services_v2_6!H98,services_v2_10!H98)/COUNT(services_v2_9!H98,services_v2_8!H98,services_v2_7!H98,services_v2_6!H98,services_v2_10!H98),0),"NA")</f>
        <v>1</v>
      </c>
      <c r="I98">
        <f>IF($E98=0, "NA", ROUND(SUM(services_v2_9!I98,services_v2_8!I98,services_v2_7!I98,services_v2_6!I98,services_v2_10!I98)/COUNT(services_v2_9!I98,services_v2_8!I98,services_v2_7!I98,services_v2_6!I98,services_v2_10!I98),0))</f>
        <v>1</v>
      </c>
      <c r="J98">
        <f>IF(F98=1,ROUND(SUM(services_v2_9!J98,services_v2_8!J98,services_v2_7!J98,services_v2_6!J98,services_v2_10!J98)/COUNT(services_v2_9!J98,services_v2_8!J98,services_v2_7!J98,services_v2_6!J98,services_v2_10!J98),0),"NA")</f>
        <v>1</v>
      </c>
      <c r="K98">
        <f>IF($E98=0, "NA", ROUND(SUM(services_v2_9!K98,services_v2_8!K98,services_v2_7!K98,services_v2_6!K98,services_v2_10!K98)/COUNT(services_v2_9!K98,services_v2_8!K98,services_v2_7!K98,services_v2_6!K98,services_v2_10!K98),0))</f>
        <v>1</v>
      </c>
      <c r="L98">
        <f>IF($E98=0, "NA", ROUND(SUM(services_v2_9!L98,services_v2_8!L98,services_v2_7!L98,services_v2_6!L98,services_v2_10!L98)/COUNT(services_v2_9!L98,services_v2_8!L98,services_v2_7!L98,services_v2_6!L98,services_v2_10!L98),0))</f>
        <v>1</v>
      </c>
      <c r="M98">
        <f>IF($E98=0, "NA", ROUND(SUM(services_v2_9!M98,services_v2_8!M98,services_v2_7!M98,services_v2_6!M98,services_v2_10!M98)/COUNT(services_v2_9!M98,services_v2_8!M98,services_v2_7!M98,services_v2_6!M98,services_v2_10!M98),0))</f>
        <v>1</v>
      </c>
      <c r="N98">
        <f>IF($E98=0, "NA", ROUND(SUM(services_v2_9!N98,services_v2_8!N98,services_v2_7!N98,services_v2_6!N98,services_v2_10!N98)/COUNT(services_v2_9!N98,services_v2_8!N98,services_v2_7!N98,services_v2_6!N98,services_v2_10!N98),0))</f>
        <v>1</v>
      </c>
      <c r="O98">
        <f>IF($E98=0, "NA", ROUND(SUM(services_v2_9!O98,services_v2_8!O98,services_v2_7!O98,services_v2_6!O98,services_v2_10!O98)/COUNT(services_v2_9!O98,services_v2_8!O98,services_v2_7!O98,services_v2_6!O98,services_v2_10!O98),0))</f>
        <v>1</v>
      </c>
    </row>
    <row r="99" spans="1:15" x14ac:dyDescent="0.25">
      <c r="A99" t="s">
        <v>96</v>
      </c>
      <c r="B99" t="s">
        <v>95</v>
      </c>
      <c r="C99">
        <v>0</v>
      </c>
      <c r="D99">
        <v>2.8604400157928471</v>
      </c>
      <c r="E99">
        <f>ROUND(SUM(services_v2_9!E99,services_v2_8!E99,services_v2_7!E99,services_v2_6!E99,services_v2_10!E99)/COUNT(services_v2_9!E99,services_v2_8!E99,services_v2_7!E99,services_v2_6!E99,services_v2_10!E99),0)</f>
        <v>1</v>
      </c>
      <c r="F99">
        <f>IF($E99=0, "NA", ROUND(SUM(services_v2_9!F99,services_v2_8!F99,services_v2_7!F99,services_v2_6!F99,services_v2_10!F99)/COUNT(services_v2_9!F99,services_v2_8!F99,services_v2_7!F99,services_v2_6!F99,services_v2_10!F99),0))</f>
        <v>1</v>
      </c>
      <c r="G99">
        <f>IF($E99=0, "NA", ROUND(SUM(services_v2_9!G99,services_v2_8!G99,services_v2_7!G99,services_v2_6!G99,services_v2_10!G99)/COUNT(services_v2_9!G99,services_v2_8!G99,services_v2_7!G99,services_v2_6!G99,services_v2_10!G99),0))</f>
        <v>1</v>
      </c>
      <c r="H99">
        <f>IF(AND(F99=1,G99=1),ROUND(SUM(services_v2_9!H99,services_v2_8!H99,services_v2_7!H99,services_v2_6!H99,services_v2_10!H99)/COUNT(services_v2_9!H99,services_v2_8!H99,services_v2_7!H99,services_v2_6!H99,services_v2_10!H99),0),"NA")</f>
        <v>1</v>
      </c>
      <c r="I99">
        <f>IF($E99=0, "NA", ROUND(SUM(services_v2_9!I99,services_v2_8!I99,services_v2_7!I99,services_v2_6!I99,services_v2_10!I99)/COUNT(services_v2_9!I99,services_v2_8!I99,services_v2_7!I99,services_v2_6!I99,services_v2_10!I99),0))</f>
        <v>1</v>
      </c>
      <c r="J99">
        <f>IF(F99=1,ROUND(SUM(services_v2_9!J99,services_v2_8!J99,services_v2_7!J99,services_v2_6!J99,services_v2_10!J99)/COUNT(services_v2_9!J99,services_v2_8!J99,services_v2_7!J99,services_v2_6!J99,services_v2_10!J99),0),"NA")</f>
        <v>1</v>
      </c>
      <c r="K99">
        <f>IF($E99=0, "NA", ROUND(SUM(services_v2_9!K99,services_v2_8!K99,services_v2_7!K99,services_v2_6!K99,services_v2_10!K99)/COUNT(services_v2_9!K99,services_v2_8!K99,services_v2_7!K99,services_v2_6!K99,services_v2_10!K99),0))</f>
        <v>1</v>
      </c>
      <c r="L99">
        <f>IF($E99=0, "NA", ROUND(SUM(services_v2_9!L99,services_v2_8!L99,services_v2_7!L99,services_v2_6!L99,services_v2_10!L99)/COUNT(services_v2_9!L99,services_v2_8!L99,services_v2_7!L99,services_v2_6!L99,services_v2_10!L99),0))</f>
        <v>1</v>
      </c>
      <c r="M99">
        <f>IF($E99=0, "NA", ROUND(SUM(services_v2_9!M99,services_v2_8!M99,services_v2_7!M99,services_v2_6!M99,services_v2_10!M99)/COUNT(services_v2_9!M99,services_v2_8!M99,services_v2_7!M99,services_v2_6!M99,services_v2_10!M99),0))</f>
        <v>1</v>
      </c>
      <c r="N99">
        <f>IF($E99=0, "NA", ROUND(SUM(services_v2_9!N99,services_v2_8!N99,services_v2_7!N99,services_v2_6!N99,services_v2_10!N99)/COUNT(services_v2_9!N99,services_v2_8!N99,services_v2_7!N99,services_v2_6!N99,services_v2_10!N99),0))</f>
        <v>1</v>
      </c>
      <c r="O99">
        <f>IF($E99=0, "NA", ROUND(SUM(services_v2_9!O99,services_v2_8!O99,services_v2_7!O99,services_v2_6!O99,services_v2_10!O99)/COUNT(services_v2_9!O99,services_v2_8!O99,services_v2_7!O99,services_v2_6!O99,services_v2_10!O99),0))</f>
        <v>1</v>
      </c>
    </row>
    <row r="100" spans="1:15" x14ac:dyDescent="0.25">
      <c r="A100" t="s">
        <v>96</v>
      </c>
      <c r="B100" t="s">
        <v>121</v>
      </c>
      <c r="C100">
        <v>0</v>
      </c>
      <c r="D100">
        <v>2.6784837245941162</v>
      </c>
      <c r="E100">
        <f>ROUND(SUM(services_v2_9!E100,services_v2_8!E100,services_v2_7!E100,services_v2_6!E100,services_v2_10!E100)/COUNT(services_v2_9!E100,services_v2_8!E100,services_v2_7!E100,services_v2_6!E100,services_v2_10!E100),0)</f>
        <v>1</v>
      </c>
      <c r="F100">
        <f>IF($E100=0, "NA", ROUND(SUM(services_v2_9!F100,services_v2_8!F100,services_v2_7!F100,services_v2_6!F100,services_v2_10!F100)/COUNT(services_v2_9!F100,services_v2_8!F100,services_v2_7!F100,services_v2_6!F100,services_v2_10!F100),0))</f>
        <v>1</v>
      </c>
      <c r="G100">
        <f>IF($E100=0, "NA", ROUND(SUM(services_v2_9!G100,services_v2_8!G100,services_v2_7!G100,services_v2_6!G100,services_v2_10!G100)/COUNT(services_v2_9!G100,services_v2_8!G100,services_v2_7!G100,services_v2_6!G100,services_v2_10!G100),0))</f>
        <v>1</v>
      </c>
      <c r="H100">
        <f>IF(AND(F100=1,G100=1),ROUND(SUM(services_v2_9!H100,services_v2_8!H100,services_v2_7!H100,services_v2_6!H100,services_v2_10!H100)/COUNT(services_v2_9!H100,services_v2_8!H100,services_v2_7!H100,services_v2_6!H100,services_v2_10!H100),0),"NA")</f>
        <v>1</v>
      </c>
      <c r="I100">
        <f>IF($E100=0, "NA", ROUND(SUM(services_v2_9!I100,services_v2_8!I100,services_v2_7!I100,services_v2_6!I100,services_v2_10!I100)/COUNT(services_v2_9!I100,services_v2_8!I100,services_v2_7!I100,services_v2_6!I100,services_v2_10!I100),0))</f>
        <v>1</v>
      </c>
      <c r="J100">
        <f>IF(F100=1,ROUND(SUM(services_v2_9!J100,services_v2_8!J100,services_v2_7!J100,services_v2_6!J100,services_v2_10!J100)/COUNT(services_v2_9!J100,services_v2_8!J100,services_v2_7!J100,services_v2_6!J100,services_v2_10!J100),0),"NA")</f>
        <v>1</v>
      </c>
      <c r="K100">
        <f>IF($E100=0, "NA", ROUND(SUM(services_v2_9!K100,services_v2_8!K100,services_v2_7!K100,services_v2_6!K100,services_v2_10!K100)/COUNT(services_v2_9!K100,services_v2_8!K100,services_v2_7!K100,services_v2_6!K100,services_v2_10!K100),0))</f>
        <v>1</v>
      </c>
      <c r="L100">
        <f>IF($E100=0, "NA", ROUND(SUM(services_v2_9!L100,services_v2_8!L100,services_v2_7!L100,services_v2_6!L100,services_v2_10!L100)/COUNT(services_v2_9!L100,services_v2_8!L100,services_v2_7!L100,services_v2_6!L100,services_v2_10!L100),0))</f>
        <v>1</v>
      </c>
      <c r="M100">
        <f>IF($E100=0, "NA", ROUND(SUM(services_v2_9!M100,services_v2_8!M100,services_v2_7!M100,services_v2_6!M100,services_v2_10!M100)/COUNT(services_v2_9!M100,services_v2_8!M100,services_v2_7!M100,services_v2_6!M100,services_v2_10!M100),0))</f>
        <v>1</v>
      </c>
      <c r="N100">
        <f>IF($E100=0, "NA", ROUND(SUM(services_v2_9!N100,services_v2_8!N100,services_v2_7!N100,services_v2_6!N100,services_v2_10!N100)/COUNT(services_v2_9!N100,services_v2_8!N100,services_v2_7!N100,services_v2_6!N100,services_v2_10!N100),0))</f>
        <v>1</v>
      </c>
      <c r="O100">
        <f>IF($E100=0, "NA", ROUND(SUM(services_v2_9!O100,services_v2_8!O100,services_v2_7!O100,services_v2_6!O100,services_v2_10!O100)/COUNT(services_v2_9!O100,services_v2_8!O100,services_v2_7!O100,services_v2_6!O100,services_v2_10!O100),0))</f>
        <v>1</v>
      </c>
    </row>
    <row r="101" spans="1:15" x14ac:dyDescent="0.25">
      <c r="A101" t="s">
        <v>96</v>
      </c>
      <c r="B101" t="s">
        <v>122</v>
      </c>
      <c r="C101">
        <v>0</v>
      </c>
      <c r="D101">
        <v>7.097557544708252</v>
      </c>
      <c r="E101">
        <f>ROUND(SUM(services_v2_9!E101,services_v2_8!E101,services_v2_7!E101,services_v2_6!E101,services_v2_10!E101)/COUNT(services_v2_9!E101,services_v2_8!E101,services_v2_7!E101,services_v2_6!E101,services_v2_10!E101),0)</f>
        <v>1</v>
      </c>
      <c r="F101">
        <f>IF($E101=0, "NA", ROUND(SUM(services_v2_9!F101,services_v2_8!F101,services_v2_7!F101,services_v2_6!F101,services_v2_10!F101)/COUNT(services_v2_9!F101,services_v2_8!F101,services_v2_7!F101,services_v2_6!F101,services_v2_10!F101),0))</f>
        <v>1</v>
      </c>
      <c r="G101">
        <f>IF($E101=0, "NA", ROUND(SUM(services_v2_9!G101,services_v2_8!G101,services_v2_7!G101,services_v2_6!G101,services_v2_10!G101)/COUNT(services_v2_9!G101,services_v2_8!G101,services_v2_7!G101,services_v2_6!G101,services_v2_10!G101),0))</f>
        <v>0</v>
      </c>
      <c r="H101" t="str">
        <f>IF(AND(F101=1,G101=1),ROUND(SUM(services_v2_9!H101,services_v2_8!H101,services_v2_7!H101,services_v2_6!H101,services_v2_10!H101)/COUNT(services_v2_9!H101,services_v2_8!H101,services_v2_7!H101,services_v2_6!H101,services_v2_10!H101),0),"NA")</f>
        <v>NA</v>
      </c>
      <c r="I101">
        <f>IF($E101=0, "NA", ROUND(SUM(services_v2_9!I101,services_v2_8!I101,services_v2_7!I101,services_v2_6!I101,services_v2_10!I101)/COUNT(services_v2_9!I101,services_v2_8!I101,services_v2_7!I101,services_v2_6!I101,services_v2_10!I101),0))</f>
        <v>1</v>
      </c>
      <c r="J101">
        <f>IF(F101=1,ROUND(SUM(services_v2_9!J101,services_v2_8!J101,services_v2_7!J101,services_v2_6!J101,services_v2_10!J101)/COUNT(services_v2_9!J101,services_v2_8!J101,services_v2_7!J101,services_v2_6!J101,services_v2_10!J101),0),"NA")</f>
        <v>1</v>
      </c>
      <c r="K101">
        <f>IF($E101=0, "NA", ROUND(SUM(services_v2_9!K101,services_v2_8!K101,services_v2_7!K101,services_v2_6!K101,services_v2_10!K101)/COUNT(services_v2_9!K101,services_v2_8!K101,services_v2_7!K101,services_v2_6!K101,services_v2_10!K101),0))</f>
        <v>1</v>
      </c>
      <c r="L101">
        <f>IF($E101=0, "NA", ROUND(SUM(services_v2_9!L101,services_v2_8!L101,services_v2_7!L101,services_v2_6!L101,services_v2_10!L101)/COUNT(services_v2_9!L101,services_v2_8!L101,services_v2_7!L101,services_v2_6!L101,services_v2_10!L101),0))</f>
        <v>1</v>
      </c>
      <c r="M101">
        <f>IF($E101=0, "NA", ROUND(SUM(services_v2_9!M101,services_v2_8!M101,services_v2_7!M101,services_v2_6!M101,services_v2_10!M101)/COUNT(services_v2_9!M101,services_v2_8!M101,services_v2_7!M101,services_v2_6!M101,services_v2_10!M101),0))</f>
        <v>1</v>
      </c>
      <c r="N101">
        <f>IF($E101=0, "NA", ROUND(SUM(services_v2_9!N101,services_v2_8!N101,services_v2_7!N101,services_v2_6!N101,services_v2_10!N101)/COUNT(services_v2_9!N101,services_v2_8!N101,services_v2_7!N101,services_v2_6!N101,services_v2_10!N101),0))</f>
        <v>1</v>
      </c>
      <c r="O101">
        <f>IF($E101=0, "NA", ROUND(SUM(services_v2_9!O101,services_v2_8!O101,services_v2_7!O101,services_v2_6!O101,services_v2_10!O101)/COUNT(services_v2_9!O101,services_v2_8!O101,services_v2_7!O101,services_v2_6!O101,services_v2_10!O101),0))</f>
        <v>1</v>
      </c>
    </row>
    <row r="102" spans="1:15" x14ac:dyDescent="0.25">
      <c r="A102" t="s">
        <v>96</v>
      </c>
      <c r="B102" t="s">
        <v>124</v>
      </c>
      <c r="C102">
        <v>0</v>
      </c>
      <c r="D102">
        <v>5.2053887844085693</v>
      </c>
      <c r="E102">
        <f>ROUND(SUM(services_v2_9!E102,services_v2_8!E102,services_v2_7!E102,services_v2_6!E102,services_v2_10!E102)/COUNT(services_v2_9!E102,services_v2_8!E102,services_v2_7!E102,services_v2_6!E102,services_v2_10!E102),0)</f>
        <v>1</v>
      </c>
      <c r="F102">
        <f>IF($E102=0, "NA", ROUND(SUM(services_v2_9!F102,services_v2_8!F102,services_v2_7!F102,services_v2_6!F102,services_v2_10!F102)/COUNT(services_v2_9!F102,services_v2_8!F102,services_v2_7!F102,services_v2_6!F102,services_v2_10!F102),0))</f>
        <v>1</v>
      </c>
      <c r="G102">
        <f>IF($E102=0, "NA", ROUND(SUM(services_v2_9!G102,services_v2_8!G102,services_v2_7!G102,services_v2_6!G102,services_v2_10!G102)/COUNT(services_v2_9!G102,services_v2_8!G102,services_v2_7!G102,services_v2_6!G102,services_v2_10!G102),0))</f>
        <v>1</v>
      </c>
      <c r="H102">
        <f>IF(AND(F102=1,G102=1),ROUND(SUM(services_v2_9!H102,services_v2_8!H102,services_v2_7!H102,services_v2_6!H102,services_v2_10!H102)/COUNT(services_v2_9!H102,services_v2_8!H102,services_v2_7!H102,services_v2_6!H102,services_v2_10!H102),0),"NA")</f>
        <v>1</v>
      </c>
      <c r="I102">
        <f>IF($E102=0, "NA", ROUND(SUM(services_v2_9!I102,services_v2_8!I102,services_v2_7!I102,services_v2_6!I102,services_v2_10!I102)/COUNT(services_v2_9!I102,services_v2_8!I102,services_v2_7!I102,services_v2_6!I102,services_v2_10!I102),0))</f>
        <v>1</v>
      </c>
      <c r="J102">
        <f>IF(F102=1,ROUND(SUM(services_v2_9!J102,services_v2_8!J102,services_v2_7!J102,services_v2_6!J102,services_v2_10!J102)/COUNT(services_v2_9!J102,services_v2_8!J102,services_v2_7!J102,services_v2_6!J102,services_v2_10!J102),0),"NA")</f>
        <v>0</v>
      </c>
      <c r="K102">
        <f>IF($E102=0, "NA", ROUND(SUM(services_v2_9!K102,services_v2_8!K102,services_v2_7!K102,services_v2_6!K102,services_v2_10!K102)/COUNT(services_v2_9!K102,services_v2_8!K102,services_v2_7!K102,services_v2_6!K102,services_v2_10!K102),0))</f>
        <v>1</v>
      </c>
      <c r="L102">
        <f>IF($E102=0, "NA", ROUND(SUM(services_v2_9!L102,services_v2_8!L102,services_v2_7!L102,services_v2_6!L102,services_v2_10!L102)/COUNT(services_v2_9!L102,services_v2_8!L102,services_v2_7!L102,services_v2_6!L102,services_v2_10!L102),0))</f>
        <v>1</v>
      </c>
      <c r="M102">
        <f>IF($E102=0, "NA", ROUND(SUM(services_v2_9!M102,services_v2_8!M102,services_v2_7!M102,services_v2_6!M102,services_v2_10!M102)/COUNT(services_v2_9!M102,services_v2_8!M102,services_v2_7!M102,services_v2_6!M102,services_v2_10!M102),0))</f>
        <v>1</v>
      </c>
      <c r="N102">
        <f>IF($E102=0, "NA", ROUND(SUM(services_v2_9!N102,services_v2_8!N102,services_v2_7!N102,services_v2_6!N102,services_v2_10!N102)/COUNT(services_v2_9!N102,services_v2_8!N102,services_v2_7!N102,services_v2_6!N102,services_v2_10!N102),0))</f>
        <v>1</v>
      </c>
      <c r="O102">
        <f>IF($E102=0, "NA", ROUND(SUM(services_v2_9!O102,services_v2_8!O102,services_v2_7!O102,services_v2_6!O102,services_v2_10!O102)/COUNT(services_v2_9!O102,services_v2_8!O102,services_v2_7!O102,services_v2_6!O102,services_v2_10!O102),0))</f>
        <v>1</v>
      </c>
    </row>
    <row r="103" spans="1:15" x14ac:dyDescent="0.25">
      <c r="A103" t="s">
        <v>96</v>
      </c>
      <c r="B103" t="s">
        <v>126</v>
      </c>
      <c r="C103">
        <v>0</v>
      </c>
      <c r="D103">
        <v>9.4271748065948486</v>
      </c>
      <c r="E103">
        <f>ROUND(SUM(services_v2_9!E103,services_v2_8!E103,services_v2_7!E103,services_v2_6!E103,services_v2_10!E103)/COUNT(services_v2_9!E103,services_v2_8!E103,services_v2_7!E103,services_v2_6!E103,services_v2_10!E103),0)</f>
        <v>1</v>
      </c>
      <c r="F103">
        <f>IF($E103=0, "NA", ROUND(SUM(services_v2_9!F103,services_v2_8!F103,services_v2_7!F103,services_v2_6!F103,services_v2_10!F103)/COUNT(services_v2_9!F103,services_v2_8!F103,services_v2_7!F103,services_v2_6!F103,services_v2_10!F103),0))</f>
        <v>1</v>
      </c>
      <c r="G103">
        <f>IF($E103=0, "NA", ROUND(SUM(services_v2_9!G103,services_v2_8!G103,services_v2_7!G103,services_v2_6!G103,services_v2_10!G103)/COUNT(services_v2_9!G103,services_v2_8!G103,services_v2_7!G103,services_v2_6!G103,services_v2_10!G103),0))</f>
        <v>1</v>
      </c>
      <c r="H103">
        <f>IF(AND(F103=1,G103=1),ROUND(SUM(services_v2_9!H103,services_v2_8!H103,services_v2_7!H103,services_v2_6!H103,services_v2_10!H103)/COUNT(services_v2_9!H103,services_v2_8!H103,services_v2_7!H103,services_v2_6!H103,services_v2_10!H103),0),"NA")</f>
        <v>1</v>
      </c>
      <c r="I103">
        <f>IF($E103=0, "NA", ROUND(SUM(services_v2_9!I103,services_v2_8!I103,services_v2_7!I103,services_v2_6!I103,services_v2_10!I103)/COUNT(services_v2_9!I103,services_v2_8!I103,services_v2_7!I103,services_v2_6!I103,services_v2_10!I103),0))</f>
        <v>1</v>
      </c>
      <c r="J103">
        <f>IF(F103=1,ROUND(SUM(services_v2_9!J103,services_v2_8!J103,services_v2_7!J103,services_v2_6!J103,services_v2_10!J103)/COUNT(services_v2_9!J103,services_v2_8!J103,services_v2_7!J103,services_v2_6!J103,services_v2_10!J103),0),"NA")</f>
        <v>1</v>
      </c>
      <c r="K103">
        <f>IF($E103=0, "NA", ROUND(SUM(services_v2_9!K103,services_v2_8!K103,services_v2_7!K103,services_v2_6!K103,services_v2_10!K103)/COUNT(services_v2_9!K103,services_v2_8!K103,services_v2_7!K103,services_v2_6!K103,services_v2_10!K103),0))</f>
        <v>1</v>
      </c>
      <c r="L103">
        <f>IF($E103=0, "NA", ROUND(SUM(services_v2_9!L103,services_v2_8!L103,services_v2_7!L103,services_v2_6!L103,services_v2_10!L103)/COUNT(services_v2_9!L103,services_v2_8!L103,services_v2_7!L103,services_v2_6!L103,services_v2_10!L103),0))</f>
        <v>1</v>
      </c>
      <c r="M103">
        <f>IF($E103=0, "NA", ROUND(SUM(services_v2_9!M103,services_v2_8!M103,services_v2_7!M103,services_v2_6!M103,services_v2_10!M103)/COUNT(services_v2_9!M103,services_v2_8!M103,services_v2_7!M103,services_v2_6!M103,services_v2_10!M103),0))</f>
        <v>1</v>
      </c>
      <c r="N103">
        <f>IF($E103=0, "NA", ROUND(SUM(services_v2_9!N103,services_v2_8!N103,services_v2_7!N103,services_v2_6!N103,services_v2_10!N103)/COUNT(services_v2_9!N103,services_v2_8!N103,services_v2_7!N103,services_v2_6!N103,services_v2_10!N103),0))</f>
        <v>1</v>
      </c>
      <c r="O103">
        <f>IF($E103=0, "NA", ROUND(SUM(services_v2_9!O103,services_v2_8!O103,services_v2_7!O103,services_v2_6!O103,services_v2_10!O103)/COUNT(services_v2_9!O103,services_v2_8!O103,services_v2_7!O103,services_v2_6!O103,services_v2_10!O103),0))</f>
        <v>1</v>
      </c>
    </row>
    <row r="104" spans="1:15" x14ac:dyDescent="0.25">
      <c r="A104" t="s">
        <v>96</v>
      </c>
      <c r="B104" t="s">
        <v>127</v>
      </c>
      <c r="C104">
        <v>0</v>
      </c>
      <c r="D104">
        <v>11.544736862182621</v>
      </c>
      <c r="E104">
        <f>ROUND(SUM(services_v2_9!E104,services_v2_8!E104,services_v2_7!E104,services_v2_6!E104,services_v2_10!E104)/COUNT(services_v2_9!E104,services_v2_8!E104,services_v2_7!E104,services_v2_6!E104,services_v2_10!E104),0)</f>
        <v>1</v>
      </c>
      <c r="F104">
        <f>IF($E104=0, "NA", ROUND(SUM(services_v2_9!F104,services_v2_8!F104,services_v2_7!F104,services_v2_6!F104,services_v2_10!F104)/COUNT(services_v2_9!F104,services_v2_8!F104,services_v2_7!F104,services_v2_6!F104,services_v2_10!F104),0))</f>
        <v>1</v>
      </c>
      <c r="G104">
        <f>IF($E104=0, "NA", ROUND(SUM(services_v2_9!G104,services_v2_8!G104,services_v2_7!G104,services_v2_6!G104,services_v2_10!G104)/COUNT(services_v2_9!G104,services_v2_8!G104,services_v2_7!G104,services_v2_6!G104,services_v2_10!G104),0))</f>
        <v>1</v>
      </c>
      <c r="H104">
        <f>IF(AND(F104=1,G104=1),ROUND(SUM(services_v2_9!H104,services_v2_8!H104,services_v2_7!H104,services_v2_6!H104,services_v2_10!H104)/COUNT(services_v2_9!H104,services_v2_8!H104,services_v2_7!H104,services_v2_6!H104,services_v2_10!H104),0),"NA")</f>
        <v>0</v>
      </c>
      <c r="I104">
        <f>IF($E104=0, "NA", ROUND(SUM(services_v2_9!I104,services_v2_8!I104,services_v2_7!I104,services_v2_6!I104,services_v2_10!I104)/COUNT(services_v2_9!I104,services_v2_8!I104,services_v2_7!I104,services_v2_6!I104,services_v2_10!I104),0))</f>
        <v>1</v>
      </c>
      <c r="J104">
        <f>IF(F104=1,ROUND(SUM(services_v2_9!J104,services_v2_8!J104,services_v2_7!J104,services_v2_6!J104,services_v2_10!J104)/COUNT(services_v2_9!J104,services_v2_8!J104,services_v2_7!J104,services_v2_6!J104,services_v2_10!J104),0),"NA")</f>
        <v>0</v>
      </c>
      <c r="K104">
        <f>IF($E104=0, "NA", ROUND(SUM(services_v2_9!K104,services_v2_8!K104,services_v2_7!K104,services_v2_6!K104,services_v2_10!K104)/COUNT(services_v2_9!K104,services_v2_8!K104,services_v2_7!K104,services_v2_6!K104,services_v2_10!K104),0))</f>
        <v>1</v>
      </c>
      <c r="L104">
        <f>IF($E104=0, "NA", ROUND(SUM(services_v2_9!L104,services_v2_8!L104,services_v2_7!L104,services_v2_6!L104,services_v2_10!L104)/COUNT(services_v2_9!L104,services_v2_8!L104,services_v2_7!L104,services_v2_6!L104,services_v2_10!L104),0))</f>
        <v>1</v>
      </c>
      <c r="M104">
        <f>IF($E104=0, "NA", ROUND(SUM(services_v2_9!M104,services_v2_8!M104,services_v2_7!M104,services_v2_6!M104,services_v2_10!M104)/COUNT(services_v2_9!M104,services_v2_8!M104,services_v2_7!M104,services_v2_6!M104,services_v2_10!M104),0))</f>
        <v>1</v>
      </c>
      <c r="N104">
        <f>IF($E104=0, "NA", ROUND(SUM(services_v2_9!N104,services_v2_8!N104,services_v2_7!N104,services_v2_6!N104,services_v2_10!N104)/COUNT(services_v2_9!N104,services_v2_8!N104,services_v2_7!N104,services_v2_6!N104,services_v2_10!N104),0))</f>
        <v>1</v>
      </c>
      <c r="O104">
        <f>IF($E104=0, "NA", ROUND(SUM(services_v2_9!O104,services_v2_8!O104,services_v2_7!O104,services_v2_6!O104,services_v2_10!O104)/COUNT(services_v2_9!O104,services_v2_8!O104,services_v2_7!O104,services_v2_6!O104,services_v2_10!O104),0))</f>
        <v>1</v>
      </c>
    </row>
    <row r="105" spans="1:15" x14ac:dyDescent="0.25">
      <c r="A105" t="s">
        <v>96</v>
      </c>
      <c r="B105" t="s">
        <v>129</v>
      </c>
      <c r="C105">
        <v>0</v>
      </c>
      <c r="D105">
        <v>4.9121127128601074</v>
      </c>
      <c r="E105">
        <f>ROUND(SUM(services_v2_9!E105,services_v2_8!E105,services_v2_7!E105,services_v2_6!E105,services_v2_10!E105)/COUNT(services_v2_9!E105,services_v2_8!E105,services_v2_7!E105,services_v2_6!E105,services_v2_10!E105),0)</f>
        <v>1</v>
      </c>
      <c r="F105">
        <f>IF($E105=0, "NA", ROUND(SUM(services_v2_9!F105,services_v2_8!F105,services_v2_7!F105,services_v2_6!F105,services_v2_10!F105)/COUNT(services_v2_9!F105,services_v2_8!F105,services_v2_7!F105,services_v2_6!F105,services_v2_10!F105),0))</f>
        <v>1</v>
      </c>
      <c r="G105">
        <f>IF($E105=0, "NA", ROUND(SUM(services_v2_9!G105,services_v2_8!G105,services_v2_7!G105,services_v2_6!G105,services_v2_10!G105)/COUNT(services_v2_9!G105,services_v2_8!G105,services_v2_7!G105,services_v2_6!G105,services_v2_10!G105),0))</f>
        <v>1</v>
      </c>
      <c r="H105">
        <f>IF(AND(F105=1,G105=1),ROUND(SUM(services_v2_9!H105,services_v2_8!H105,services_v2_7!H105,services_v2_6!H105,services_v2_10!H105)/COUNT(services_v2_9!H105,services_v2_8!H105,services_v2_7!H105,services_v2_6!H105,services_v2_10!H105),0),"NA")</f>
        <v>0</v>
      </c>
      <c r="I105">
        <f>IF($E105=0, "NA", ROUND(SUM(services_v2_9!I105,services_v2_8!I105,services_v2_7!I105,services_v2_6!I105,services_v2_10!I105)/COUNT(services_v2_9!I105,services_v2_8!I105,services_v2_7!I105,services_v2_6!I105,services_v2_10!I105),0))</f>
        <v>1</v>
      </c>
      <c r="J105">
        <f>IF(F105=1,ROUND(SUM(services_v2_9!J105,services_v2_8!J105,services_v2_7!J105,services_v2_6!J105,services_v2_10!J105)/COUNT(services_v2_9!J105,services_v2_8!J105,services_v2_7!J105,services_v2_6!J105,services_v2_10!J105),0),"NA")</f>
        <v>1</v>
      </c>
      <c r="K105">
        <f>IF($E105=0, "NA", ROUND(SUM(services_v2_9!K105,services_v2_8!K105,services_v2_7!K105,services_v2_6!K105,services_v2_10!K105)/COUNT(services_v2_9!K105,services_v2_8!K105,services_v2_7!K105,services_v2_6!K105,services_v2_10!K105),0))</f>
        <v>1</v>
      </c>
      <c r="L105">
        <f>IF($E105=0, "NA", ROUND(SUM(services_v2_9!L105,services_v2_8!L105,services_v2_7!L105,services_v2_6!L105,services_v2_10!L105)/COUNT(services_v2_9!L105,services_v2_8!L105,services_v2_7!L105,services_v2_6!L105,services_v2_10!L105),0))</f>
        <v>1</v>
      </c>
      <c r="M105">
        <f>IF($E105=0, "NA", ROUND(SUM(services_v2_9!M105,services_v2_8!M105,services_v2_7!M105,services_v2_6!M105,services_v2_10!M105)/COUNT(services_v2_9!M105,services_v2_8!M105,services_v2_7!M105,services_v2_6!M105,services_v2_10!M105),0))</f>
        <v>1</v>
      </c>
      <c r="N105">
        <f>IF($E105=0, "NA", ROUND(SUM(services_v2_9!N105,services_v2_8!N105,services_v2_7!N105,services_v2_6!N105,services_v2_10!N105)/COUNT(services_v2_9!N105,services_v2_8!N105,services_v2_7!N105,services_v2_6!N105,services_v2_10!N105),0))</f>
        <v>1</v>
      </c>
      <c r="O105">
        <f>IF($E105=0, "NA", ROUND(SUM(services_v2_9!O105,services_v2_8!O105,services_v2_7!O105,services_v2_6!O105,services_v2_10!O105)/COUNT(services_v2_9!O105,services_v2_8!O105,services_v2_7!O105,services_v2_6!O105,services_v2_10!O105),0))</f>
        <v>1</v>
      </c>
    </row>
    <row r="106" spans="1:15" x14ac:dyDescent="0.25">
      <c r="A106" t="s">
        <v>96</v>
      </c>
      <c r="B106" t="s">
        <v>131</v>
      </c>
      <c r="C106">
        <v>0</v>
      </c>
      <c r="D106">
        <v>12.230711698532099</v>
      </c>
      <c r="E106">
        <f>ROUND(SUM(services_v2_9!E106,services_v2_8!E106,services_v2_7!E106,services_v2_6!E106,services_v2_10!E106)/COUNT(services_v2_9!E106,services_v2_8!E106,services_v2_7!E106,services_v2_6!E106,services_v2_10!E106),0)</f>
        <v>0</v>
      </c>
      <c r="F106" t="str">
        <f>IF($E106=0, "NA", ROUND(SUM(services_v2_9!F106,services_v2_8!F106,services_v2_7!F106,services_v2_6!F106,services_v2_10!F106)/COUNT(services_v2_9!F106,services_v2_8!F106,services_v2_7!F106,services_v2_6!F106,services_v2_10!F106),0))</f>
        <v>NA</v>
      </c>
      <c r="G106" t="str">
        <f>IF($E106=0, "NA", ROUND(SUM(services_v2_9!G106,services_v2_8!G106,services_v2_7!G106,services_v2_6!G106,services_v2_10!G106)/COUNT(services_v2_9!G106,services_v2_8!G106,services_v2_7!G106,services_v2_6!G106,services_v2_10!G106),0))</f>
        <v>NA</v>
      </c>
      <c r="H106" t="str">
        <f>IF(AND(F106=1,G106=1),ROUND(SUM(services_v2_9!H106,services_v2_8!H106,services_v2_7!H106,services_v2_6!H106,services_v2_10!H106)/COUNT(services_v2_9!H106,services_v2_8!H106,services_v2_7!H106,services_v2_6!H106,services_v2_10!H106),0),"NA")</f>
        <v>NA</v>
      </c>
      <c r="I106" t="str">
        <f>IF($E106=0, "NA", ROUND(SUM(services_v2_9!I106,services_v2_8!I106,services_v2_7!I106,services_v2_6!I106,services_v2_10!I106)/COUNT(services_v2_9!I106,services_v2_8!I106,services_v2_7!I106,services_v2_6!I106,services_v2_10!I106),0))</f>
        <v>NA</v>
      </c>
      <c r="J106" t="str">
        <f>IF(F106=1,ROUND(SUM(services_v2_9!J106,services_v2_8!J106,services_v2_7!J106,services_v2_6!J106,services_v2_10!J106)/COUNT(services_v2_9!J106,services_v2_8!J106,services_v2_7!J106,services_v2_6!J106,services_v2_10!J106),0),"NA")</f>
        <v>NA</v>
      </c>
      <c r="K106" t="str">
        <f>IF($E106=0, "NA", ROUND(SUM(services_v2_9!K106,services_v2_8!K106,services_v2_7!K106,services_v2_6!K106,services_v2_10!K106)/COUNT(services_v2_9!K106,services_v2_8!K106,services_v2_7!K106,services_v2_6!K106,services_v2_10!K106),0))</f>
        <v>NA</v>
      </c>
      <c r="L106" t="str">
        <f>IF($E106=0, "NA", ROUND(SUM(services_v2_9!L106,services_v2_8!L106,services_v2_7!L106,services_v2_6!L106,services_v2_10!L106)/COUNT(services_v2_9!L106,services_v2_8!L106,services_v2_7!L106,services_v2_6!L106,services_v2_10!L106),0))</f>
        <v>NA</v>
      </c>
      <c r="M106" t="str">
        <f>IF($E106=0, "NA", ROUND(SUM(services_v2_9!M106,services_v2_8!M106,services_v2_7!M106,services_v2_6!M106,services_v2_10!M106)/COUNT(services_v2_9!M106,services_v2_8!M106,services_v2_7!M106,services_v2_6!M106,services_v2_10!M106),0))</f>
        <v>NA</v>
      </c>
      <c r="N106" t="str">
        <f>IF($E106=0, "NA", ROUND(SUM(services_v2_9!N106,services_v2_8!N106,services_v2_7!N106,services_v2_6!N106,services_v2_10!N106)/COUNT(services_v2_9!N106,services_v2_8!N106,services_v2_7!N106,services_v2_6!N106,services_v2_10!N106),0))</f>
        <v>NA</v>
      </c>
      <c r="O106" t="str">
        <f>IF($E106=0, "NA", ROUND(SUM(services_v2_9!O106,services_v2_8!O106,services_v2_7!O106,services_v2_6!O106,services_v2_10!O106)/COUNT(services_v2_9!O106,services_v2_8!O106,services_v2_7!O106,services_v2_6!O106,services_v2_10!O106),0))</f>
        <v>NA</v>
      </c>
    </row>
    <row r="107" spans="1:15" x14ac:dyDescent="0.25">
      <c r="A107" t="s">
        <v>96</v>
      </c>
      <c r="B107" t="s">
        <v>133</v>
      </c>
      <c r="C107">
        <v>0</v>
      </c>
      <c r="D107">
        <v>12.01216769218445</v>
      </c>
      <c r="E107">
        <f>ROUND(SUM(services_v2_9!E107,services_v2_8!E107,services_v2_7!E107,services_v2_6!E107,services_v2_10!E107)/COUNT(services_v2_9!E107,services_v2_8!E107,services_v2_7!E107,services_v2_6!E107,services_v2_10!E107),0)</f>
        <v>1</v>
      </c>
      <c r="F107">
        <f>IF($E107=0, "NA", ROUND(SUM(services_v2_9!F107,services_v2_8!F107,services_v2_7!F107,services_v2_6!F107,services_v2_10!F107)/COUNT(services_v2_9!F107,services_v2_8!F107,services_v2_7!F107,services_v2_6!F107,services_v2_10!F107),0))</f>
        <v>1</v>
      </c>
      <c r="G107">
        <f>IF($E107=0, "NA", ROUND(SUM(services_v2_9!G107,services_v2_8!G107,services_v2_7!G107,services_v2_6!G107,services_v2_10!G107)/COUNT(services_v2_9!G107,services_v2_8!G107,services_v2_7!G107,services_v2_6!G107,services_v2_10!G107),0))</f>
        <v>1</v>
      </c>
      <c r="H107">
        <f>IF(AND(F107=1,G107=1),ROUND(SUM(services_v2_9!H107,services_v2_8!H107,services_v2_7!H107,services_v2_6!H107,services_v2_10!H107)/COUNT(services_v2_9!H107,services_v2_8!H107,services_v2_7!H107,services_v2_6!H107,services_v2_10!H107),0),"NA")</f>
        <v>1</v>
      </c>
      <c r="I107">
        <f>IF($E107=0, "NA", ROUND(SUM(services_v2_9!I107,services_v2_8!I107,services_v2_7!I107,services_v2_6!I107,services_v2_10!I107)/COUNT(services_v2_9!I107,services_v2_8!I107,services_v2_7!I107,services_v2_6!I107,services_v2_10!I107),0))</f>
        <v>1</v>
      </c>
      <c r="J107">
        <f>IF(F107=1,ROUND(SUM(services_v2_9!J107,services_v2_8!J107,services_v2_7!J107,services_v2_6!J107,services_v2_10!J107)/COUNT(services_v2_9!J107,services_v2_8!J107,services_v2_7!J107,services_v2_6!J107,services_v2_10!J107),0),"NA")</f>
        <v>1</v>
      </c>
      <c r="K107">
        <f>IF($E107=0, "NA", ROUND(SUM(services_v2_9!K107,services_v2_8!K107,services_v2_7!K107,services_v2_6!K107,services_v2_10!K107)/COUNT(services_v2_9!K107,services_v2_8!K107,services_v2_7!K107,services_v2_6!K107,services_v2_10!K107),0))</f>
        <v>0</v>
      </c>
      <c r="L107">
        <f>IF($E107=0, "NA", ROUND(SUM(services_v2_9!L107,services_v2_8!L107,services_v2_7!L107,services_v2_6!L107,services_v2_10!L107)/COUNT(services_v2_9!L107,services_v2_8!L107,services_v2_7!L107,services_v2_6!L107,services_v2_10!L107),0))</f>
        <v>1</v>
      </c>
      <c r="M107">
        <f>IF($E107=0, "NA", ROUND(SUM(services_v2_9!M107,services_v2_8!M107,services_v2_7!M107,services_v2_6!M107,services_v2_10!M107)/COUNT(services_v2_9!M107,services_v2_8!M107,services_v2_7!M107,services_v2_6!M107,services_v2_10!M107),0))</f>
        <v>1</v>
      </c>
      <c r="N107">
        <f>IF($E107=0, "NA", ROUND(SUM(services_v2_9!N107,services_v2_8!N107,services_v2_7!N107,services_v2_6!N107,services_v2_10!N107)/COUNT(services_v2_9!N107,services_v2_8!N107,services_v2_7!N107,services_v2_6!N107,services_v2_10!N107),0))</f>
        <v>1</v>
      </c>
      <c r="O107">
        <f>IF($E107=0, "NA", ROUND(SUM(services_v2_9!O107,services_v2_8!O107,services_v2_7!O107,services_v2_6!O107,services_v2_10!O107)/COUNT(services_v2_9!O107,services_v2_8!O107,services_v2_7!O107,services_v2_6!O107,services_v2_10!O107),0))</f>
        <v>1</v>
      </c>
    </row>
    <row r="108" spans="1:15" x14ac:dyDescent="0.25">
      <c r="A108" t="s">
        <v>96</v>
      </c>
      <c r="B108" t="s">
        <v>135</v>
      </c>
      <c r="C108">
        <v>0</v>
      </c>
      <c r="D108">
        <v>10.1299421787262</v>
      </c>
      <c r="E108">
        <f>ROUND(SUM(services_v2_9!E108,services_v2_8!E108,services_v2_7!E108,services_v2_6!E108,services_v2_10!E108)/COUNT(services_v2_9!E108,services_v2_8!E108,services_v2_7!E108,services_v2_6!E108,services_v2_10!E108),0)</f>
        <v>1</v>
      </c>
      <c r="F108">
        <f>IF($E108=0, "NA", ROUND(SUM(services_v2_9!F108,services_v2_8!F108,services_v2_7!F108,services_v2_6!F108,services_v2_10!F108)/COUNT(services_v2_9!F108,services_v2_8!F108,services_v2_7!F108,services_v2_6!F108,services_v2_10!F108),0))</f>
        <v>1</v>
      </c>
      <c r="G108">
        <f>IF($E108=0, "NA", ROUND(SUM(services_v2_9!G108,services_v2_8!G108,services_v2_7!G108,services_v2_6!G108,services_v2_10!G108)/COUNT(services_v2_9!G108,services_v2_8!G108,services_v2_7!G108,services_v2_6!G108,services_v2_10!G108),0))</f>
        <v>1</v>
      </c>
      <c r="H108">
        <f>IF(AND(F108=1,G108=1),ROUND(SUM(services_v2_9!H108,services_v2_8!H108,services_v2_7!H108,services_v2_6!H108,services_v2_10!H108)/COUNT(services_v2_9!H108,services_v2_8!H108,services_v2_7!H108,services_v2_6!H108,services_v2_10!H108),0),"NA")</f>
        <v>1</v>
      </c>
      <c r="I108">
        <f>IF($E108=0, "NA", ROUND(SUM(services_v2_9!I108,services_v2_8!I108,services_v2_7!I108,services_v2_6!I108,services_v2_10!I108)/COUNT(services_v2_9!I108,services_v2_8!I108,services_v2_7!I108,services_v2_6!I108,services_v2_10!I108),0))</f>
        <v>1</v>
      </c>
      <c r="J108">
        <f>IF(F108=1,ROUND(SUM(services_v2_9!J108,services_v2_8!J108,services_v2_7!J108,services_v2_6!J108,services_v2_10!J108)/COUNT(services_v2_9!J108,services_v2_8!J108,services_v2_7!J108,services_v2_6!J108,services_v2_10!J108),0),"NA")</f>
        <v>1</v>
      </c>
      <c r="K108">
        <f>IF($E108=0, "NA", ROUND(SUM(services_v2_9!K108,services_v2_8!K108,services_v2_7!K108,services_v2_6!K108,services_v2_10!K108)/COUNT(services_v2_9!K108,services_v2_8!K108,services_v2_7!K108,services_v2_6!K108,services_v2_10!K108),0))</f>
        <v>1</v>
      </c>
      <c r="L108">
        <f>IF($E108=0, "NA", ROUND(SUM(services_v2_9!L108,services_v2_8!L108,services_v2_7!L108,services_v2_6!L108,services_v2_10!L108)/COUNT(services_v2_9!L108,services_v2_8!L108,services_v2_7!L108,services_v2_6!L108,services_v2_10!L108),0))</f>
        <v>1</v>
      </c>
      <c r="M108">
        <f>IF($E108=0, "NA", ROUND(SUM(services_v2_9!M108,services_v2_8!M108,services_v2_7!M108,services_v2_6!M108,services_v2_10!M108)/COUNT(services_v2_9!M108,services_v2_8!M108,services_v2_7!M108,services_v2_6!M108,services_v2_10!M108),0))</f>
        <v>1</v>
      </c>
      <c r="N108">
        <f>IF($E108=0, "NA", ROUND(SUM(services_v2_9!N108,services_v2_8!N108,services_v2_7!N108,services_v2_6!N108,services_v2_10!N108)/COUNT(services_v2_9!N108,services_v2_8!N108,services_v2_7!N108,services_v2_6!N108,services_v2_10!N108),0))</f>
        <v>1</v>
      </c>
      <c r="O108">
        <f>IF($E108=0, "NA", ROUND(SUM(services_v2_9!O108,services_v2_8!O108,services_v2_7!O108,services_v2_6!O108,services_v2_10!O108)/COUNT(services_v2_9!O108,services_v2_8!O108,services_v2_7!O108,services_v2_6!O108,services_v2_10!O108),0))</f>
        <v>1</v>
      </c>
    </row>
    <row r="109" spans="1:15" x14ac:dyDescent="0.25">
      <c r="A109" t="s">
        <v>96</v>
      </c>
      <c r="B109" t="s">
        <v>136</v>
      </c>
      <c r="C109">
        <v>0</v>
      </c>
      <c r="D109">
        <v>2.7056787014007568</v>
      </c>
      <c r="E109">
        <f>ROUND(SUM(services_v2_9!E109,services_v2_8!E109,services_v2_7!E109,services_v2_6!E109,services_v2_10!E109)/COUNT(services_v2_9!E109,services_v2_8!E109,services_v2_7!E109,services_v2_6!E109,services_v2_10!E109),0)</f>
        <v>1</v>
      </c>
      <c r="F109">
        <f>IF($E109=0, "NA", ROUND(SUM(services_v2_9!F109,services_v2_8!F109,services_v2_7!F109,services_v2_6!F109,services_v2_10!F109)/COUNT(services_v2_9!F109,services_v2_8!F109,services_v2_7!F109,services_v2_6!F109,services_v2_10!F109),0))</f>
        <v>1</v>
      </c>
      <c r="G109">
        <f>IF($E109=0, "NA", ROUND(SUM(services_v2_9!G109,services_v2_8!G109,services_v2_7!G109,services_v2_6!G109,services_v2_10!G109)/COUNT(services_v2_9!G109,services_v2_8!G109,services_v2_7!G109,services_v2_6!G109,services_v2_10!G109),0))</f>
        <v>1</v>
      </c>
      <c r="H109">
        <f>IF(AND(F109=1,G109=1),ROUND(SUM(services_v2_9!H109,services_v2_8!H109,services_v2_7!H109,services_v2_6!H109,services_v2_10!H109)/COUNT(services_v2_9!H109,services_v2_8!H109,services_v2_7!H109,services_v2_6!H109,services_v2_10!H109),0),"NA")</f>
        <v>1</v>
      </c>
      <c r="I109">
        <f>IF($E109=0, "NA", ROUND(SUM(services_v2_9!I109,services_v2_8!I109,services_v2_7!I109,services_v2_6!I109,services_v2_10!I109)/COUNT(services_v2_9!I109,services_v2_8!I109,services_v2_7!I109,services_v2_6!I109,services_v2_10!I109),0))</f>
        <v>1</v>
      </c>
      <c r="J109">
        <f>IF(F109=1,ROUND(SUM(services_v2_9!J109,services_v2_8!J109,services_v2_7!J109,services_v2_6!J109,services_v2_10!J109)/COUNT(services_v2_9!J109,services_v2_8!J109,services_v2_7!J109,services_v2_6!J109,services_v2_10!J109),0),"NA")</f>
        <v>1</v>
      </c>
      <c r="K109">
        <f>IF($E109=0, "NA", ROUND(SUM(services_v2_9!K109,services_v2_8!K109,services_v2_7!K109,services_v2_6!K109,services_v2_10!K109)/COUNT(services_v2_9!K109,services_v2_8!K109,services_v2_7!K109,services_v2_6!K109,services_v2_10!K109),0))</f>
        <v>1</v>
      </c>
      <c r="L109">
        <f>IF($E109=0, "NA", ROUND(SUM(services_v2_9!L109,services_v2_8!L109,services_v2_7!L109,services_v2_6!L109,services_v2_10!L109)/COUNT(services_v2_9!L109,services_v2_8!L109,services_v2_7!L109,services_v2_6!L109,services_v2_10!L109),0))</f>
        <v>1</v>
      </c>
      <c r="M109">
        <f>IF($E109=0, "NA", ROUND(SUM(services_v2_9!M109,services_v2_8!M109,services_v2_7!M109,services_v2_6!M109,services_v2_10!M109)/COUNT(services_v2_9!M109,services_v2_8!M109,services_v2_7!M109,services_v2_6!M109,services_v2_10!M109),0))</f>
        <v>1</v>
      </c>
      <c r="N109">
        <f>IF($E109=0, "NA", ROUND(SUM(services_v2_9!N109,services_v2_8!N109,services_v2_7!N109,services_v2_6!N109,services_v2_10!N109)/COUNT(services_v2_9!N109,services_v2_8!N109,services_v2_7!N109,services_v2_6!N109,services_v2_10!N109),0))</f>
        <v>1</v>
      </c>
      <c r="O109">
        <f>IF($E109=0, "NA", ROUND(SUM(services_v2_9!O109,services_v2_8!O109,services_v2_7!O109,services_v2_6!O109,services_v2_10!O109)/COUNT(services_v2_9!O109,services_v2_8!O109,services_v2_7!O109,services_v2_6!O109,services_v2_10!O109),0))</f>
        <v>1</v>
      </c>
    </row>
    <row r="110" spans="1:15" x14ac:dyDescent="0.25">
      <c r="A110" t="s">
        <v>96</v>
      </c>
      <c r="B110" t="s">
        <v>137</v>
      </c>
      <c r="C110">
        <v>0</v>
      </c>
      <c r="D110">
        <v>8.593111515045166</v>
      </c>
      <c r="E110">
        <f>ROUND(SUM(services_v2_9!E110,services_v2_8!E110,services_v2_7!E110,services_v2_6!E110,services_v2_10!E110)/COUNT(services_v2_9!E110,services_v2_8!E110,services_v2_7!E110,services_v2_6!E110,services_v2_10!E110),0)</f>
        <v>1</v>
      </c>
      <c r="F110">
        <f>IF($E110=0, "NA", ROUND(SUM(services_v2_9!F110,services_v2_8!F110,services_v2_7!F110,services_v2_6!F110,services_v2_10!F110)/COUNT(services_v2_9!F110,services_v2_8!F110,services_v2_7!F110,services_v2_6!F110,services_v2_10!F110),0))</f>
        <v>1</v>
      </c>
      <c r="G110">
        <f>IF($E110=0, "NA", ROUND(SUM(services_v2_9!G110,services_v2_8!G110,services_v2_7!G110,services_v2_6!G110,services_v2_10!G110)/COUNT(services_v2_9!G110,services_v2_8!G110,services_v2_7!G110,services_v2_6!G110,services_v2_10!G110),0))</f>
        <v>1</v>
      </c>
      <c r="H110">
        <f>IF(AND(F110=1,G110=1),ROUND(SUM(services_v2_9!H110,services_v2_8!H110,services_v2_7!H110,services_v2_6!H110,services_v2_10!H110)/COUNT(services_v2_9!H110,services_v2_8!H110,services_v2_7!H110,services_v2_6!H110,services_v2_10!H110),0),"NA")</f>
        <v>1</v>
      </c>
      <c r="I110">
        <f>IF($E110=0, "NA", ROUND(SUM(services_v2_9!I110,services_v2_8!I110,services_v2_7!I110,services_v2_6!I110,services_v2_10!I110)/COUNT(services_v2_9!I110,services_v2_8!I110,services_v2_7!I110,services_v2_6!I110,services_v2_10!I110),0))</f>
        <v>1</v>
      </c>
      <c r="J110">
        <f>IF(F110=1,ROUND(SUM(services_v2_9!J110,services_v2_8!J110,services_v2_7!J110,services_v2_6!J110,services_v2_10!J110)/COUNT(services_v2_9!J110,services_v2_8!J110,services_v2_7!J110,services_v2_6!J110,services_v2_10!J110),0),"NA")</f>
        <v>1</v>
      </c>
      <c r="K110">
        <f>IF($E110=0, "NA", ROUND(SUM(services_v2_9!K110,services_v2_8!K110,services_v2_7!K110,services_v2_6!K110,services_v2_10!K110)/COUNT(services_v2_9!K110,services_v2_8!K110,services_v2_7!K110,services_v2_6!K110,services_v2_10!K110),0))</f>
        <v>1</v>
      </c>
      <c r="L110">
        <f>IF($E110=0, "NA", ROUND(SUM(services_v2_9!L110,services_v2_8!L110,services_v2_7!L110,services_v2_6!L110,services_v2_10!L110)/COUNT(services_v2_9!L110,services_v2_8!L110,services_v2_7!L110,services_v2_6!L110,services_v2_10!L110),0))</f>
        <v>1</v>
      </c>
      <c r="M110">
        <f>IF($E110=0, "NA", ROUND(SUM(services_v2_9!M110,services_v2_8!M110,services_v2_7!M110,services_v2_6!M110,services_v2_10!M110)/COUNT(services_v2_9!M110,services_v2_8!M110,services_v2_7!M110,services_v2_6!M110,services_v2_10!M110),0))</f>
        <v>1</v>
      </c>
      <c r="N110">
        <f>IF($E110=0, "NA", ROUND(SUM(services_v2_9!N110,services_v2_8!N110,services_v2_7!N110,services_v2_6!N110,services_v2_10!N110)/COUNT(services_v2_9!N110,services_v2_8!N110,services_v2_7!N110,services_v2_6!N110,services_v2_10!N110),0))</f>
        <v>1</v>
      </c>
      <c r="O110">
        <f>IF($E110=0, "NA", ROUND(SUM(services_v2_9!O110,services_v2_8!O110,services_v2_7!O110,services_v2_6!O110,services_v2_10!O110)/COUNT(services_v2_9!O110,services_v2_8!O110,services_v2_7!O110,services_v2_6!O110,services_v2_10!O110),0))</f>
        <v>1</v>
      </c>
    </row>
    <row r="111" spans="1:15" x14ac:dyDescent="0.25">
      <c r="A111" t="s">
        <v>96</v>
      </c>
      <c r="B111" t="s">
        <v>138</v>
      </c>
      <c r="C111">
        <v>0</v>
      </c>
      <c r="D111">
        <v>4.2350561618804932</v>
      </c>
      <c r="E111">
        <f>ROUND(SUM(services_v2_9!E111,services_v2_8!E111,services_v2_7!E111,services_v2_6!E111,services_v2_10!E111)/COUNT(services_v2_9!E111,services_v2_8!E111,services_v2_7!E111,services_v2_6!E111,services_v2_10!E111),0)</f>
        <v>1</v>
      </c>
      <c r="F111">
        <f>IF($E111=0, "NA", ROUND(SUM(services_v2_9!F111,services_v2_8!F111,services_v2_7!F111,services_v2_6!F111,services_v2_10!F111)/COUNT(services_v2_9!F111,services_v2_8!F111,services_v2_7!F111,services_v2_6!F111,services_v2_10!F111),0))</f>
        <v>1</v>
      </c>
      <c r="G111">
        <f>IF($E111=0, "NA", ROUND(SUM(services_v2_9!G111,services_v2_8!G111,services_v2_7!G111,services_v2_6!G111,services_v2_10!G111)/COUNT(services_v2_9!G111,services_v2_8!G111,services_v2_7!G111,services_v2_6!G111,services_v2_10!G111),0))</f>
        <v>1</v>
      </c>
      <c r="H111">
        <f>IF(AND(F111=1,G111=1),ROUND(SUM(services_v2_9!H111,services_v2_8!H111,services_v2_7!H111,services_v2_6!H111,services_v2_10!H111)/COUNT(services_v2_9!H111,services_v2_8!H111,services_v2_7!H111,services_v2_6!H111,services_v2_10!H111),0),"NA")</f>
        <v>1</v>
      </c>
      <c r="I111">
        <f>IF($E111=0, "NA", ROUND(SUM(services_v2_9!I111,services_v2_8!I111,services_v2_7!I111,services_v2_6!I111,services_v2_10!I111)/COUNT(services_v2_9!I111,services_v2_8!I111,services_v2_7!I111,services_v2_6!I111,services_v2_10!I111),0))</f>
        <v>1</v>
      </c>
      <c r="J111">
        <f>IF(F111=1,ROUND(SUM(services_v2_9!J111,services_v2_8!J111,services_v2_7!J111,services_v2_6!J111,services_v2_10!J111)/COUNT(services_v2_9!J111,services_v2_8!J111,services_v2_7!J111,services_v2_6!J111,services_v2_10!J111),0),"NA")</f>
        <v>0</v>
      </c>
      <c r="K111">
        <f>IF($E111=0, "NA", ROUND(SUM(services_v2_9!K111,services_v2_8!K111,services_v2_7!K111,services_v2_6!K111,services_v2_10!K111)/COUNT(services_v2_9!K111,services_v2_8!K111,services_v2_7!K111,services_v2_6!K111,services_v2_10!K111),0))</f>
        <v>1</v>
      </c>
      <c r="L111">
        <f>IF($E111=0, "NA", ROUND(SUM(services_v2_9!L111,services_v2_8!L111,services_v2_7!L111,services_v2_6!L111,services_v2_10!L111)/COUNT(services_v2_9!L111,services_v2_8!L111,services_v2_7!L111,services_v2_6!L111,services_v2_10!L111),0))</f>
        <v>1</v>
      </c>
      <c r="M111">
        <f>IF($E111=0, "NA", ROUND(SUM(services_v2_9!M111,services_v2_8!M111,services_v2_7!M111,services_v2_6!M111,services_v2_10!M111)/COUNT(services_v2_9!M111,services_v2_8!M111,services_v2_7!M111,services_v2_6!M111,services_v2_10!M111),0))</f>
        <v>1</v>
      </c>
      <c r="N111">
        <f>IF($E111=0, "NA", ROUND(SUM(services_v2_9!N111,services_v2_8!N111,services_v2_7!N111,services_v2_6!N111,services_v2_10!N111)/COUNT(services_v2_9!N111,services_v2_8!N111,services_v2_7!N111,services_v2_6!N111,services_v2_10!N111),0))</f>
        <v>1</v>
      </c>
      <c r="O111">
        <f>IF($E111=0, "NA", ROUND(SUM(services_v2_9!O111,services_v2_8!O111,services_v2_7!O111,services_v2_6!O111,services_v2_10!O111)/COUNT(services_v2_9!O111,services_v2_8!O111,services_v2_7!O111,services_v2_6!O111,services_v2_10!O111),0))</f>
        <v>1</v>
      </c>
    </row>
    <row r="112" spans="1:15" x14ac:dyDescent="0.25">
      <c r="A112" t="s">
        <v>96</v>
      </c>
      <c r="B112" t="s">
        <v>140</v>
      </c>
      <c r="C112">
        <v>0</v>
      </c>
      <c r="D112">
        <v>2.760358333587646</v>
      </c>
      <c r="E112">
        <f>ROUND(SUM(services_v2_9!E112,services_v2_8!E112,services_v2_7!E112,services_v2_6!E112,services_v2_10!E112)/COUNT(services_v2_9!E112,services_v2_8!E112,services_v2_7!E112,services_v2_6!E112,services_v2_10!E112),0)</f>
        <v>1</v>
      </c>
      <c r="F112">
        <f>IF($E112=0, "NA", ROUND(SUM(services_v2_9!F112,services_v2_8!F112,services_v2_7!F112,services_v2_6!F112,services_v2_10!F112)/COUNT(services_v2_9!F112,services_v2_8!F112,services_v2_7!F112,services_v2_6!F112,services_v2_10!F112),0))</f>
        <v>1</v>
      </c>
      <c r="G112">
        <f>IF($E112=0, "NA", ROUND(SUM(services_v2_9!G112,services_v2_8!G112,services_v2_7!G112,services_v2_6!G112,services_v2_10!G112)/COUNT(services_v2_9!G112,services_v2_8!G112,services_v2_7!G112,services_v2_6!G112,services_v2_10!G112),0))</f>
        <v>1</v>
      </c>
      <c r="H112">
        <f>IF(AND(F112=1,G112=1),ROUND(SUM(services_v2_9!H112,services_v2_8!H112,services_v2_7!H112,services_v2_6!H112,services_v2_10!H112)/COUNT(services_v2_9!H112,services_v2_8!H112,services_v2_7!H112,services_v2_6!H112,services_v2_10!H112),0),"NA")</f>
        <v>1</v>
      </c>
      <c r="I112">
        <f>IF($E112=0, "NA", ROUND(SUM(services_v2_9!I112,services_v2_8!I112,services_v2_7!I112,services_v2_6!I112,services_v2_10!I112)/COUNT(services_v2_9!I112,services_v2_8!I112,services_v2_7!I112,services_v2_6!I112,services_v2_10!I112),0))</f>
        <v>1</v>
      </c>
      <c r="J112">
        <f>IF(F112=1,ROUND(SUM(services_v2_9!J112,services_v2_8!J112,services_v2_7!J112,services_v2_6!J112,services_v2_10!J112)/COUNT(services_v2_9!J112,services_v2_8!J112,services_v2_7!J112,services_v2_6!J112,services_v2_10!J112),0),"NA")</f>
        <v>1</v>
      </c>
      <c r="K112">
        <f>IF($E112=0, "NA", ROUND(SUM(services_v2_9!K112,services_v2_8!K112,services_v2_7!K112,services_v2_6!K112,services_v2_10!K112)/COUNT(services_v2_9!K112,services_v2_8!K112,services_v2_7!K112,services_v2_6!K112,services_v2_10!K112),0))</f>
        <v>1</v>
      </c>
      <c r="L112">
        <f>IF($E112=0, "NA", ROUND(SUM(services_v2_9!L112,services_v2_8!L112,services_v2_7!L112,services_v2_6!L112,services_v2_10!L112)/COUNT(services_v2_9!L112,services_v2_8!L112,services_v2_7!L112,services_v2_6!L112,services_v2_10!L112),0))</f>
        <v>1</v>
      </c>
      <c r="M112">
        <f>IF($E112=0, "NA", ROUND(SUM(services_v2_9!M112,services_v2_8!M112,services_v2_7!M112,services_v2_6!M112,services_v2_10!M112)/COUNT(services_v2_9!M112,services_v2_8!M112,services_v2_7!M112,services_v2_6!M112,services_v2_10!M112),0))</f>
        <v>1</v>
      </c>
      <c r="N112">
        <f>IF($E112=0, "NA", ROUND(SUM(services_v2_9!N112,services_v2_8!N112,services_v2_7!N112,services_v2_6!N112,services_v2_10!N112)/COUNT(services_v2_9!N112,services_v2_8!N112,services_v2_7!N112,services_v2_6!N112,services_v2_10!N112),0))</f>
        <v>1</v>
      </c>
      <c r="O112">
        <f>IF($E112=0, "NA", ROUND(SUM(services_v2_9!O112,services_v2_8!O112,services_v2_7!O112,services_v2_6!O112,services_v2_10!O112)/COUNT(services_v2_9!O112,services_v2_8!O112,services_v2_7!O112,services_v2_6!O112,services_v2_10!O112),0))</f>
        <v>1</v>
      </c>
    </row>
    <row r="113" spans="1:15" x14ac:dyDescent="0.25">
      <c r="A113" t="s">
        <v>96</v>
      </c>
      <c r="B113" t="s">
        <v>141</v>
      </c>
      <c r="C113">
        <v>0</v>
      </c>
      <c r="D113">
        <v>4.9360141754150391</v>
      </c>
      <c r="E113">
        <f>ROUND(SUM(services_v2_9!E113,services_v2_8!E113,services_v2_7!E113,services_v2_6!E113,services_v2_10!E113)/COUNT(services_v2_9!E113,services_v2_8!E113,services_v2_7!E113,services_v2_6!E113,services_v2_10!E113),0)</f>
        <v>1</v>
      </c>
      <c r="F113">
        <f>IF($E113=0, "NA", ROUND(SUM(services_v2_9!F113,services_v2_8!F113,services_v2_7!F113,services_v2_6!F113,services_v2_10!F113)/COUNT(services_v2_9!F113,services_v2_8!F113,services_v2_7!F113,services_v2_6!F113,services_v2_10!F113),0))</f>
        <v>1</v>
      </c>
      <c r="G113">
        <f>IF($E113=0, "NA", ROUND(SUM(services_v2_9!G113,services_v2_8!G113,services_v2_7!G113,services_v2_6!G113,services_v2_10!G113)/COUNT(services_v2_9!G113,services_v2_8!G113,services_v2_7!G113,services_v2_6!G113,services_v2_10!G113),0))</f>
        <v>1</v>
      </c>
      <c r="H113">
        <f>IF(AND(F113=1,G113=1),ROUND(SUM(services_v2_9!H113,services_v2_8!H113,services_v2_7!H113,services_v2_6!H113,services_v2_10!H113)/COUNT(services_v2_9!H113,services_v2_8!H113,services_v2_7!H113,services_v2_6!H113,services_v2_10!H113),0),"NA")</f>
        <v>1</v>
      </c>
      <c r="I113">
        <f>IF($E113=0, "NA", ROUND(SUM(services_v2_9!I113,services_v2_8!I113,services_v2_7!I113,services_v2_6!I113,services_v2_10!I113)/COUNT(services_v2_9!I113,services_v2_8!I113,services_v2_7!I113,services_v2_6!I113,services_v2_10!I113),0))</f>
        <v>1</v>
      </c>
      <c r="J113">
        <f>IF(F113=1,ROUND(SUM(services_v2_9!J113,services_v2_8!J113,services_v2_7!J113,services_v2_6!J113,services_v2_10!J113)/COUNT(services_v2_9!J113,services_v2_8!J113,services_v2_7!J113,services_v2_6!J113,services_v2_10!J113),0),"NA")</f>
        <v>0</v>
      </c>
      <c r="K113">
        <f>IF($E113=0, "NA", ROUND(SUM(services_v2_9!K113,services_v2_8!K113,services_v2_7!K113,services_v2_6!K113,services_v2_10!K113)/COUNT(services_v2_9!K113,services_v2_8!K113,services_v2_7!K113,services_v2_6!K113,services_v2_10!K113),0))</f>
        <v>1</v>
      </c>
      <c r="L113">
        <f>IF($E113=0, "NA", ROUND(SUM(services_v2_9!L113,services_v2_8!L113,services_v2_7!L113,services_v2_6!L113,services_v2_10!L113)/COUNT(services_v2_9!L113,services_v2_8!L113,services_v2_7!L113,services_v2_6!L113,services_v2_10!L113),0))</f>
        <v>1</v>
      </c>
      <c r="M113">
        <f>IF($E113=0, "NA", ROUND(SUM(services_v2_9!M113,services_v2_8!M113,services_v2_7!M113,services_v2_6!M113,services_v2_10!M113)/COUNT(services_v2_9!M113,services_v2_8!M113,services_v2_7!M113,services_v2_6!M113,services_v2_10!M113),0))</f>
        <v>1</v>
      </c>
      <c r="N113">
        <f>IF($E113=0, "NA", ROUND(SUM(services_v2_9!N113,services_v2_8!N113,services_v2_7!N113,services_v2_6!N113,services_v2_10!N113)/COUNT(services_v2_9!N113,services_v2_8!N113,services_v2_7!N113,services_v2_6!N113,services_v2_10!N113),0))</f>
        <v>1</v>
      </c>
      <c r="O113">
        <f>IF($E113=0, "NA", ROUND(SUM(services_v2_9!O113,services_v2_8!O113,services_v2_7!O113,services_v2_6!O113,services_v2_10!O113)/COUNT(services_v2_9!O113,services_v2_8!O113,services_v2_7!O113,services_v2_6!O113,services_v2_10!O113),0))</f>
        <v>1</v>
      </c>
    </row>
    <row r="114" spans="1:15" x14ac:dyDescent="0.25">
      <c r="A114" t="s">
        <v>143</v>
      </c>
      <c r="B114" t="s">
        <v>17</v>
      </c>
      <c r="C114">
        <v>0</v>
      </c>
      <c r="D114">
        <v>2.6857321262359619</v>
      </c>
      <c r="E114">
        <f>ROUND(SUM(services_v2_9!E114,services_v2_8!E114,services_v2_7!E114,services_v2_6!E114,services_v2_10!E114)/COUNT(services_v2_9!E114,services_v2_8!E114,services_v2_7!E114,services_v2_6!E114,services_v2_10!E114),0)</f>
        <v>1</v>
      </c>
      <c r="F114">
        <f>IF($E114=0, "NA", ROUND(SUM(services_v2_9!F114,services_v2_8!F114,services_v2_7!F114,services_v2_6!F114,services_v2_10!F114)/COUNT(services_v2_9!F114,services_v2_8!F114,services_v2_7!F114,services_v2_6!F114,services_v2_10!F114),0))</f>
        <v>1</v>
      </c>
      <c r="G114">
        <f>IF($E114=0, "NA", ROUND(SUM(services_v2_9!G114,services_v2_8!G114,services_v2_7!G114,services_v2_6!G114,services_v2_10!G114)/COUNT(services_v2_9!G114,services_v2_8!G114,services_v2_7!G114,services_v2_6!G114,services_v2_10!G114),0))</f>
        <v>1</v>
      </c>
      <c r="H114">
        <f>IF(AND(F114=1,G114=1),ROUND(SUM(services_v2_9!H114,services_v2_8!H114,services_v2_7!H114,services_v2_6!H114,services_v2_10!H114)/COUNT(services_v2_9!H114,services_v2_8!H114,services_v2_7!H114,services_v2_6!H114,services_v2_10!H114),0),"NA")</f>
        <v>1</v>
      </c>
      <c r="I114">
        <f>IF($E114=0, "NA", ROUND(SUM(services_v2_9!I114,services_v2_8!I114,services_v2_7!I114,services_v2_6!I114,services_v2_10!I114)/COUNT(services_v2_9!I114,services_v2_8!I114,services_v2_7!I114,services_v2_6!I114,services_v2_10!I114),0))</f>
        <v>1</v>
      </c>
      <c r="J114">
        <f>IF(F114=1,ROUND(SUM(services_v2_9!J114,services_v2_8!J114,services_v2_7!J114,services_v2_6!J114,services_v2_10!J114)/COUNT(services_v2_9!J114,services_v2_8!J114,services_v2_7!J114,services_v2_6!J114,services_v2_10!J114),0),"NA")</f>
        <v>1</v>
      </c>
      <c r="K114">
        <f>IF($E114=0, "NA", ROUND(SUM(services_v2_9!K114,services_v2_8!K114,services_v2_7!K114,services_v2_6!K114,services_v2_10!K114)/COUNT(services_v2_9!K114,services_v2_8!K114,services_v2_7!K114,services_v2_6!K114,services_v2_10!K114),0))</f>
        <v>1</v>
      </c>
      <c r="L114">
        <f>IF($E114=0, "NA", ROUND(SUM(services_v2_9!L114,services_v2_8!L114,services_v2_7!L114,services_v2_6!L114,services_v2_10!L114)/COUNT(services_v2_9!L114,services_v2_8!L114,services_v2_7!L114,services_v2_6!L114,services_v2_10!L114),0))</f>
        <v>1</v>
      </c>
      <c r="M114">
        <f>IF($E114=0, "NA", ROUND(SUM(services_v2_9!M114,services_v2_8!M114,services_v2_7!M114,services_v2_6!M114,services_v2_10!M114)/COUNT(services_v2_9!M114,services_v2_8!M114,services_v2_7!M114,services_v2_6!M114,services_v2_10!M114),0))</f>
        <v>1</v>
      </c>
      <c r="N114">
        <f>IF($E114=0, "NA", ROUND(SUM(services_v2_9!N114,services_v2_8!N114,services_v2_7!N114,services_v2_6!N114,services_v2_10!N114)/COUNT(services_v2_9!N114,services_v2_8!N114,services_v2_7!N114,services_v2_6!N114,services_v2_10!N114),0))</f>
        <v>1</v>
      </c>
      <c r="O114">
        <f>IF($E114=0, "NA", ROUND(SUM(services_v2_9!O114,services_v2_8!O114,services_v2_7!O114,services_v2_6!O114,services_v2_10!O114)/COUNT(services_v2_9!O114,services_v2_8!O114,services_v2_7!O114,services_v2_6!O114,services_v2_10!O114),0))</f>
        <v>1</v>
      </c>
    </row>
    <row r="115" spans="1:15" x14ac:dyDescent="0.25">
      <c r="A115" t="s">
        <v>143</v>
      </c>
      <c r="B115" t="s">
        <v>18</v>
      </c>
      <c r="C115">
        <v>0</v>
      </c>
      <c r="D115">
        <v>2.703189373016357</v>
      </c>
      <c r="E115">
        <f>ROUND(SUM(services_v2_9!E115,services_v2_8!E115,services_v2_7!E115,services_v2_6!E115,services_v2_10!E115)/COUNT(services_v2_9!E115,services_v2_8!E115,services_v2_7!E115,services_v2_6!E115,services_v2_10!E115),0)</f>
        <v>1</v>
      </c>
      <c r="F115">
        <f>IF($E115=0, "NA", ROUND(SUM(services_v2_9!F115,services_v2_8!F115,services_v2_7!F115,services_v2_6!F115,services_v2_10!F115)/COUNT(services_v2_9!F115,services_v2_8!F115,services_v2_7!F115,services_v2_6!F115,services_v2_10!F115),0))</f>
        <v>1</v>
      </c>
      <c r="G115">
        <f>IF($E115=0, "NA", ROUND(SUM(services_v2_9!G115,services_v2_8!G115,services_v2_7!G115,services_v2_6!G115,services_v2_10!G115)/COUNT(services_v2_9!G115,services_v2_8!G115,services_v2_7!G115,services_v2_6!G115,services_v2_10!G115),0))</f>
        <v>1</v>
      </c>
      <c r="H115">
        <f>IF(AND(F115=1,G115=1),ROUND(SUM(services_v2_9!H115,services_v2_8!H115,services_v2_7!H115,services_v2_6!H115,services_v2_10!H115)/COUNT(services_v2_9!H115,services_v2_8!H115,services_v2_7!H115,services_v2_6!H115,services_v2_10!H115),0),"NA")</f>
        <v>1</v>
      </c>
      <c r="I115">
        <f>IF($E115=0, "NA", ROUND(SUM(services_v2_9!I115,services_v2_8!I115,services_v2_7!I115,services_v2_6!I115,services_v2_10!I115)/COUNT(services_v2_9!I115,services_v2_8!I115,services_v2_7!I115,services_v2_6!I115,services_v2_10!I115),0))</f>
        <v>1</v>
      </c>
      <c r="J115">
        <f>IF(F115=1,ROUND(SUM(services_v2_9!J115,services_v2_8!J115,services_v2_7!J115,services_v2_6!J115,services_v2_10!J115)/COUNT(services_v2_9!J115,services_v2_8!J115,services_v2_7!J115,services_v2_6!J115,services_v2_10!J115),0),"NA")</f>
        <v>1</v>
      </c>
      <c r="K115">
        <f>IF($E115=0, "NA", ROUND(SUM(services_v2_9!K115,services_v2_8!K115,services_v2_7!K115,services_v2_6!K115,services_v2_10!K115)/COUNT(services_v2_9!K115,services_v2_8!K115,services_v2_7!K115,services_v2_6!K115,services_v2_10!K115),0))</f>
        <v>1</v>
      </c>
      <c r="L115">
        <f>IF($E115=0, "NA", ROUND(SUM(services_v2_9!L115,services_v2_8!L115,services_v2_7!L115,services_v2_6!L115,services_v2_10!L115)/COUNT(services_v2_9!L115,services_v2_8!L115,services_v2_7!L115,services_v2_6!L115,services_v2_10!L115),0))</f>
        <v>1</v>
      </c>
      <c r="M115">
        <f>IF($E115=0, "NA", ROUND(SUM(services_v2_9!M115,services_v2_8!M115,services_v2_7!M115,services_v2_6!M115,services_v2_10!M115)/COUNT(services_v2_9!M115,services_v2_8!M115,services_v2_7!M115,services_v2_6!M115,services_v2_10!M115),0))</f>
        <v>1</v>
      </c>
      <c r="N115">
        <f>IF($E115=0, "NA", ROUND(SUM(services_v2_9!N115,services_v2_8!N115,services_v2_7!N115,services_v2_6!N115,services_v2_10!N115)/COUNT(services_v2_9!N115,services_v2_8!N115,services_v2_7!N115,services_v2_6!N115,services_v2_10!N115),0))</f>
        <v>1</v>
      </c>
      <c r="O115">
        <f>IF($E115=0, "NA", ROUND(SUM(services_v2_9!O115,services_v2_8!O115,services_v2_7!O115,services_v2_6!O115,services_v2_10!O115)/COUNT(services_v2_9!O115,services_v2_8!O115,services_v2_7!O115,services_v2_6!O115,services_v2_10!O115),0))</f>
        <v>1</v>
      </c>
    </row>
    <row r="116" spans="1:15" x14ac:dyDescent="0.25">
      <c r="A116" t="s">
        <v>143</v>
      </c>
      <c r="B116" t="s">
        <v>19</v>
      </c>
      <c r="C116">
        <v>0</v>
      </c>
      <c r="D116">
        <v>2.6963882446289058</v>
      </c>
      <c r="E116">
        <f>ROUND(SUM(services_v2_9!E116,services_v2_8!E116,services_v2_7!E116,services_v2_6!E116,services_v2_10!E116)/COUNT(services_v2_9!E116,services_v2_8!E116,services_v2_7!E116,services_v2_6!E116,services_v2_10!E116),0)</f>
        <v>1</v>
      </c>
      <c r="F116">
        <f>IF($E116=0, "NA", ROUND(SUM(services_v2_9!F116,services_v2_8!F116,services_v2_7!F116,services_v2_6!F116,services_v2_10!F116)/COUNT(services_v2_9!F116,services_v2_8!F116,services_v2_7!F116,services_v2_6!F116,services_v2_10!F116),0))</f>
        <v>1</v>
      </c>
      <c r="G116">
        <f>IF($E116=0, "NA", ROUND(SUM(services_v2_9!G116,services_v2_8!G116,services_v2_7!G116,services_v2_6!G116,services_v2_10!G116)/COUNT(services_v2_9!G116,services_v2_8!G116,services_v2_7!G116,services_v2_6!G116,services_v2_10!G116),0))</f>
        <v>1</v>
      </c>
      <c r="H116">
        <f>IF(AND(F116=1,G116=1),ROUND(SUM(services_v2_9!H116,services_v2_8!H116,services_v2_7!H116,services_v2_6!H116,services_v2_10!H116)/COUNT(services_v2_9!H116,services_v2_8!H116,services_v2_7!H116,services_v2_6!H116,services_v2_10!H116),0),"NA")</f>
        <v>1</v>
      </c>
      <c r="I116">
        <f>IF($E116=0, "NA", ROUND(SUM(services_v2_9!I116,services_v2_8!I116,services_v2_7!I116,services_v2_6!I116,services_v2_10!I116)/COUNT(services_v2_9!I116,services_v2_8!I116,services_v2_7!I116,services_v2_6!I116,services_v2_10!I116),0))</f>
        <v>1</v>
      </c>
      <c r="J116">
        <f>IF(F116=1,ROUND(SUM(services_v2_9!J116,services_v2_8!J116,services_v2_7!J116,services_v2_6!J116,services_v2_10!J116)/COUNT(services_v2_9!J116,services_v2_8!J116,services_v2_7!J116,services_v2_6!J116,services_v2_10!J116),0),"NA")</f>
        <v>1</v>
      </c>
      <c r="K116">
        <f>IF($E116=0, "NA", ROUND(SUM(services_v2_9!K116,services_v2_8!K116,services_v2_7!K116,services_v2_6!K116,services_v2_10!K116)/COUNT(services_v2_9!K116,services_v2_8!K116,services_v2_7!K116,services_v2_6!K116,services_v2_10!K116),0))</f>
        <v>1</v>
      </c>
      <c r="L116">
        <f>IF($E116=0, "NA", ROUND(SUM(services_v2_9!L116,services_v2_8!L116,services_v2_7!L116,services_v2_6!L116,services_v2_10!L116)/COUNT(services_v2_9!L116,services_v2_8!L116,services_v2_7!L116,services_v2_6!L116,services_v2_10!L116),0))</f>
        <v>1</v>
      </c>
      <c r="M116">
        <f>IF($E116=0, "NA", ROUND(SUM(services_v2_9!M116,services_v2_8!M116,services_v2_7!M116,services_v2_6!M116,services_v2_10!M116)/COUNT(services_v2_9!M116,services_v2_8!M116,services_v2_7!M116,services_v2_6!M116,services_v2_10!M116),0))</f>
        <v>1</v>
      </c>
      <c r="N116">
        <f>IF($E116=0, "NA", ROUND(SUM(services_v2_9!N116,services_v2_8!N116,services_v2_7!N116,services_v2_6!N116,services_v2_10!N116)/COUNT(services_v2_9!N116,services_v2_8!N116,services_v2_7!N116,services_v2_6!N116,services_v2_10!N116),0))</f>
        <v>1</v>
      </c>
      <c r="O116">
        <f>IF($E116=0, "NA", ROUND(SUM(services_v2_9!O116,services_v2_8!O116,services_v2_7!O116,services_v2_6!O116,services_v2_10!O116)/COUNT(services_v2_9!O116,services_v2_8!O116,services_v2_7!O116,services_v2_6!O116,services_v2_10!O116),0))</f>
        <v>1</v>
      </c>
    </row>
    <row r="117" spans="1:15" x14ac:dyDescent="0.25">
      <c r="A117" t="s">
        <v>143</v>
      </c>
      <c r="B117" t="s">
        <v>22</v>
      </c>
      <c r="C117">
        <v>0</v>
      </c>
      <c r="D117">
        <v>5.004697322845459</v>
      </c>
      <c r="E117">
        <f>ROUND(SUM(services_v2_9!E117,services_v2_8!E117,services_v2_7!E117,services_v2_6!E117,services_v2_10!E117)/COUNT(services_v2_9!E117,services_v2_8!E117,services_v2_7!E117,services_v2_6!E117,services_v2_10!E117),0)</f>
        <v>1</v>
      </c>
      <c r="F117">
        <f>IF($E117=0, "NA", ROUND(SUM(services_v2_9!F117,services_v2_8!F117,services_v2_7!F117,services_v2_6!F117,services_v2_10!F117)/COUNT(services_v2_9!F117,services_v2_8!F117,services_v2_7!F117,services_v2_6!F117,services_v2_10!F117),0))</f>
        <v>1</v>
      </c>
      <c r="G117">
        <f>IF($E117=0, "NA", ROUND(SUM(services_v2_9!G117,services_v2_8!G117,services_v2_7!G117,services_v2_6!G117,services_v2_10!G117)/COUNT(services_v2_9!G117,services_v2_8!G117,services_v2_7!G117,services_v2_6!G117,services_v2_10!G117),0))</f>
        <v>1</v>
      </c>
      <c r="H117">
        <f>IF(AND(F117=1,G117=1),ROUND(SUM(services_v2_9!H117,services_v2_8!H117,services_v2_7!H117,services_v2_6!H117,services_v2_10!H117)/COUNT(services_v2_9!H117,services_v2_8!H117,services_v2_7!H117,services_v2_6!H117,services_v2_10!H117),0),"NA")</f>
        <v>1</v>
      </c>
      <c r="I117">
        <f>IF($E117=0, "NA", ROUND(SUM(services_v2_9!I117,services_v2_8!I117,services_v2_7!I117,services_v2_6!I117,services_v2_10!I117)/COUNT(services_v2_9!I117,services_v2_8!I117,services_v2_7!I117,services_v2_6!I117,services_v2_10!I117),0))</f>
        <v>1</v>
      </c>
      <c r="J117">
        <f>IF(F117=1,ROUND(SUM(services_v2_9!J117,services_v2_8!J117,services_v2_7!J117,services_v2_6!J117,services_v2_10!J117)/COUNT(services_v2_9!J117,services_v2_8!J117,services_v2_7!J117,services_v2_6!J117,services_v2_10!J117),0),"NA")</f>
        <v>0</v>
      </c>
      <c r="K117">
        <f>IF($E117=0, "NA", ROUND(SUM(services_v2_9!K117,services_v2_8!K117,services_v2_7!K117,services_v2_6!K117,services_v2_10!K117)/COUNT(services_v2_9!K117,services_v2_8!K117,services_v2_7!K117,services_v2_6!K117,services_v2_10!K117),0))</f>
        <v>1</v>
      </c>
      <c r="L117">
        <f>IF($E117=0, "NA", ROUND(SUM(services_v2_9!L117,services_v2_8!L117,services_v2_7!L117,services_v2_6!L117,services_v2_10!L117)/COUNT(services_v2_9!L117,services_v2_8!L117,services_v2_7!L117,services_v2_6!L117,services_v2_10!L117),0))</f>
        <v>1</v>
      </c>
      <c r="M117">
        <f>IF($E117=0, "NA", ROUND(SUM(services_v2_9!M117,services_v2_8!M117,services_v2_7!M117,services_v2_6!M117,services_v2_10!M117)/COUNT(services_v2_9!M117,services_v2_8!M117,services_v2_7!M117,services_v2_6!M117,services_v2_10!M117),0))</f>
        <v>1</v>
      </c>
      <c r="N117">
        <f>IF($E117=0, "NA", ROUND(SUM(services_v2_9!N117,services_v2_8!N117,services_v2_7!N117,services_v2_6!N117,services_v2_10!N117)/COUNT(services_v2_9!N117,services_v2_8!N117,services_v2_7!N117,services_v2_6!N117,services_v2_10!N117),0))</f>
        <v>1</v>
      </c>
      <c r="O117">
        <f>IF($E117=0, "NA", ROUND(SUM(services_v2_9!O117,services_v2_8!O117,services_v2_7!O117,services_v2_6!O117,services_v2_10!O117)/COUNT(services_v2_9!O117,services_v2_8!O117,services_v2_7!O117,services_v2_6!O117,services_v2_10!O117),0))</f>
        <v>1</v>
      </c>
    </row>
    <row r="118" spans="1:15" x14ac:dyDescent="0.25">
      <c r="A118" t="s">
        <v>143</v>
      </c>
      <c r="B118" t="s">
        <v>24</v>
      </c>
      <c r="C118">
        <v>0</v>
      </c>
      <c r="D118">
        <v>4.1250572204589844</v>
      </c>
      <c r="E118">
        <f>ROUND(SUM(services_v2_9!E118,services_v2_8!E118,services_v2_7!E118,services_v2_6!E118,services_v2_10!E118)/COUNT(services_v2_9!E118,services_v2_8!E118,services_v2_7!E118,services_v2_6!E118,services_v2_10!E118),0)</f>
        <v>1</v>
      </c>
      <c r="F118">
        <f>IF($E118=0, "NA", ROUND(SUM(services_v2_9!F118,services_v2_8!F118,services_v2_7!F118,services_v2_6!F118,services_v2_10!F118)/COUNT(services_v2_9!F118,services_v2_8!F118,services_v2_7!F118,services_v2_6!F118,services_v2_10!F118),0))</f>
        <v>1</v>
      </c>
      <c r="G118">
        <f>IF($E118=0, "NA", ROUND(SUM(services_v2_9!G118,services_v2_8!G118,services_v2_7!G118,services_v2_6!G118,services_v2_10!G118)/COUNT(services_v2_9!G118,services_v2_8!G118,services_v2_7!G118,services_v2_6!G118,services_v2_10!G118),0))</f>
        <v>1</v>
      </c>
      <c r="H118">
        <f>IF(AND(F118=1,G118=1),ROUND(SUM(services_v2_9!H118,services_v2_8!H118,services_v2_7!H118,services_v2_6!H118,services_v2_10!H118)/COUNT(services_v2_9!H118,services_v2_8!H118,services_v2_7!H118,services_v2_6!H118,services_v2_10!H118),0),"NA")</f>
        <v>1</v>
      </c>
      <c r="I118">
        <f>IF($E118=0, "NA", ROUND(SUM(services_v2_9!I118,services_v2_8!I118,services_v2_7!I118,services_v2_6!I118,services_v2_10!I118)/COUNT(services_v2_9!I118,services_v2_8!I118,services_v2_7!I118,services_v2_6!I118,services_v2_10!I118),0))</f>
        <v>1</v>
      </c>
      <c r="J118">
        <f>IF(F118=1,ROUND(SUM(services_v2_9!J118,services_v2_8!J118,services_v2_7!J118,services_v2_6!J118,services_v2_10!J118)/COUNT(services_v2_9!J118,services_v2_8!J118,services_v2_7!J118,services_v2_6!J118,services_v2_10!J118),0),"NA")</f>
        <v>1</v>
      </c>
      <c r="K118">
        <f>IF($E118=0, "NA", ROUND(SUM(services_v2_9!K118,services_v2_8!K118,services_v2_7!K118,services_v2_6!K118,services_v2_10!K118)/COUNT(services_v2_9!K118,services_v2_8!K118,services_v2_7!K118,services_v2_6!K118,services_v2_10!K118),0))</f>
        <v>1</v>
      </c>
      <c r="L118">
        <f>IF($E118=0, "NA", ROUND(SUM(services_v2_9!L118,services_v2_8!L118,services_v2_7!L118,services_v2_6!L118,services_v2_10!L118)/COUNT(services_v2_9!L118,services_v2_8!L118,services_v2_7!L118,services_v2_6!L118,services_v2_10!L118),0))</f>
        <v>0</v>
      </c>
      <c r="M118">
        <f>IF($E118=0, "NA", ROUND(SUM(services_v2_9!M118,services_v2_8!M118,services_v2_7!M118,services_v2_6!M118,services_v2_10!M118)/COUNT(services_v2_9!M118,services_v2_8!M118,services_v2_7!M118,services_v2_6!M118,services_v2_10!M118),0))</f>
        <v>1</v>
      </c>
      <c r="N118">
        <f>IF($E118=0, "NA", ROUND(SUM(services_v2_9!N118,services_v2_8!N118,services_v2_7!N118,services_v2_6!N118,services_v2_10!N118)/COUNT(services_v2_9!N118,services_v2_8!N118,services_v2_7!N118,services_v2_6!N118,services_v2_10!N118),0))</f>
        <v>0</v>
      </c>
      <c r="O118">
        <f>IF($E118=0, "NA", ROUND(SUM(services_v2_9!O118,services_v2_8!O118,services_v2_7!O118,services_v2_6!O118,services_v2_10!O118)/COUNT(services_v2_9!O118,services_v2_8!O118,services_v2_7!O118,services_v2_6!O118,services_v2_10!O118),0))</f>
        <v>1</v>
      </c>
    </row>
    <row r="119" spans="1:15" x14ac:dyDescent="0.25">
      <c r="A119" t="s">
        <v>143</v>
      </c>
      <c r="B119" t="s">
        <v>25</v>
      </c>
      <c r="C119">
        <v>0</v>
      </c>
      <c r="D119">
        <v>7.1907732486724854</v>
      </c>
      <c r="E119">
        <f>ROUND(SUM(services_v2_9!E119,services_v2_8!E119,services_v2_7!E119,services_v2_6!E119,services_v2_10!E119)/COUNT(services_v2_9!E119,services_v2_8!E119,services_v2_7!E119,services_v2_6!E119,services_v2_10!E119),0)</f>
        <v>0</v>
      </c>
      <c r="F119" t="str">
        <f>IF($E119=0, "NA", ROUND(SUM(services_v2_9!F119,services_v2_8!F119,services_v2_7!F119,services_v2_6!F119,services_v2_10!F119)/COUNT(services_v2_9!F119,services_v2_8!F119,services_v2_7!F119,services_v2_6!F119,services_v2_10!F119),0))</f>
        <v>NA</v>
      </c>
      <c r="G119" t="str">
        <f>IF($E119=0, "NA", ROUND(SUM(services_v2_9!G119,services_v2_8!G119,services_v2_7!G119,services_v2_6!G119,services_v2_10!G119)/COUNT(services_v2_9!G119,services_v2_8!G119,services_v2_7!G119,services_v2_6!G119,services_v2_10!G119),0))</f>
        <v>NA</v>
      </c>
      <c r="H119" t="str">
        <f>IF(AND(F119=1,G119=1),ROUND(SUM(services_v2_9!H119,services_v2_8!H119,services_v2_7!H119,services_v2_6!H119,services_v2_10!H119)/COUNT(services_v2_9!H119,services_v2_8!H119,services_v2_7!H119,services_v2_6!H119,services_v2_10!H119),0),"NA")</f>
        <v>NA</v>
      </c>
      <c r="I119" t="str">
        <f>IF($E119=0, "NA", ROUND(SUM(services_v2_9!I119,services_v2_8!I119,services_v2_7!I119,services_v2_6!I119,services_v2_10!I119)/COUNT(services_v2_9!I119,services_v2_8!I119,services_v2_7!I119,services_v2_6!I119,services_v2_10!I119),0))</f>
        <v>NA</v>
      </c>
      <c r="J119" t="str">
        <f>IF(F119=1,ROUND(SUM(services_v2_9!J119,services_v2_8!J119,services_v2_7!J119,services_v2_6!J119,services_v2_10!J119)/COUNT(services_v2_9!J119,services_v2_8!J119,services_v2_7!J119,services_v2_6!J119,services_v2_10!J119),0),"NA")</f>
        <v>NA</v>
      </c>
      <c r="K119" t="str">
        <f>IF($E119=0, "NA", ROUND(SUM(services_v2_9!K119,services_v2_8!K119,services_v2_7!K119,services_v2_6!K119,services_v2_10!K119)/COUNT(services_v2_9!K119,services_v2_8!K119,services_v2_7!K119,services_v2_6!K119,services_v2_10!K119),0))</f>
        <v>NA</v>
      </c>
      <c r="L119" t="str">
        <f>IF($E119=0, "NA", ROUND(SUM(services_v2_9!L119,services_v2_8!L119,services_v2_7!L119,services_v2_6!L119,services_v2_10!L119)/COUNT(services_v2_9!L119,services_v2_8!L119,services_v2_7!L119,services_v2_6!L119,services_v2_10!L119),0))</f>
        <v>NA</v>
      </c>
      <c r="M119" t="str">
        <f>IF($E119=0, "NA", ROUND(SUM(services_v2_9!M119,services_v2_8!M119,services_v2_7!M119,services_v2_6!M119,services_v2_10!M119)/COUNT(services_v2_9!M119,services_v2_8!M119,services_v2_7!M119,services_v2_6!M119,services_v2_10!M119),0))</f>
        <v>NA</v>
      </c>
      <c r="N119" t="str">
        <f>IF($E119=0, "NA", ROUND(SUM(services_v2_9!N119,services_v2_8!N119,services_v2_7!N119,services_v2_6!N119,services_v2_10!N119)/COUNT(services_v2_9!N119,services_v2_8!N119,services_v2_7!N119,services_v2_6!N119,services_v2_10!N119),0))</f>
        <v>NA</v>
      </c>
      <c r="O119" t="str">
        <f>IF($E119=0, "NA", ROUND(SUM(services_v2_9!O119,services_v2_8!O119,services_v2_7!O119,services_v2_6!O119,services_v2_10!O119)/COUNT(services_v2_9!O119,services_v2_8!O119,services_v2_7!O119,services_v2_6!O119,services_v2_10!O119),0))</f>
        <v>NA</v>
      </c>
    </row>
    <row r="120" spans="1:15" x14ac:dyDescent="0.25">
      <c r="A120" t="s">
        <v>143</v>
      </c>
      <c r="B120" t="s">
        <v>26</v>
      </c>
      <c r="C120">
        <v>0</v>
      </c>
      <c r="D120">
        <v>11.5038161277771</v>
      </c>
      <c r="E120">
        <f>ROUND(SUM(services_v2_9!E120,services_v2_8!E120,services_v2_7!E120,services_v2_6!E120,services_v2_10!E120)/COUNT(services_v2_9!E120,services_v2_8!E120,services_v2_7!E120,services_v2_6!E120,services_v2_10!E120),0)</f>
        <v>1</v>
      </c>
      <c r="F120">
        <f>IF($E120=0, "NA", ROUND(SUM(services_v2_9!F120,services_v2_8!F120,services_v2_7!F120,services_v2_6!F120,services_v2_10!F120)/COUNT(services_v2_9!F120,services_v2_8!F120,services_v2_7!F120,services_v2_6!F120,services_v2_10!F120),0))</f>
        <v>1</v>
      </c>
      <c r="G120">
        <f>IF($E120=0, "NA", ROUND(SUM(services_v2_9!G120,services_v2_8!G120,services_v2_7!G120,services_v2_6!G120,services_v2_10!G120)/COUNT(services_v2_9!G120,services_v2_8!G120,services_v2_7!G120,services_v2_6!G120,services_v2_10!G120),0))</f>
        <v>0</v>
      </c>
      <c r="H120" t="str">
        <f>IF(AND(F120=1,G120=1),ROUND(SUM(services_v2_9!H120,services_v2_8!H120,services_v2_7!H120,services_v2_6!H120,services_v2_10!H120)/COUNT(services_v2_9!H120,services_v2_8!H120,services_v2_7!H120,services_v2_6!H120,services_v2_10!H120),0),"NA")</f>
        <v>NA</v>
      </c>
      <c r="I120">
        <f>IF($E120=0, "NA", ROUND(SUM(services_v2_9!I120,services_v2_8!I120,services_v2_7!I120,services_v2_6!I120,services_v2_10!I120)/COUNT(services_v2_9!I120,services_v2_8!I120,services_v2_7!I120,services_v2_6!I120,services_v2_10!I120),0))</f>
        <v>1</v>
      </c>
      <c r="J120">
        <f>IF(F120=1,ROUND(SUM(services_v2_9!J120,services_v2_8!J120,services_v2_7!J120,services_v2_6!J120,services_v2_10!J120)/COUNT(services_v2_9!J120,services_v2_8!J120,services_v2_7!J120,services_v2_6!J120,services_v2_10!J120),0),"NA")</f>
        <v>1</v>
      </c>
      <c r="K120">
        <f>IF($E120=0, "NA", ROUND(SUM(services_v2_9!K120,services_v2_8!K120,services_v2_7!K120,services_v2_6!K120,services_v2_10!K120)/COUNT(services_v2_9!K120,services_v2_8!K120,services_v2_7!K120,services_v2_6!K120,services_v2_10!K120),0))</f>
        <v>1</v>
      </c>
      <c r="L120">
        <f>IF($E120=0, "NA", ROUND(SUM(services_v2_9!L120,services_v2_8!L120,services_v2_7!L120,services_v2_6!L120,services_v2_10!L120)/COUNT(services_v2_9!L120,services_v2_8!L120,services_v2_7!L120,services_v2_6!L120,services_v2_10!L120),0))</f>
        <v>1</v>
      </c>
      <c r="M120">
        <f>IF($E120=0, "NA", ROUND(SUM(services_v2_9!M120,services_v2_8!M120,services_v2_7!M120,services_v2_6!M120,services_v2_10!M120)/COUNT(services_v2_9!M120,services_v2_8!M120,services_v2_7!M120,services_v2_6!M120,services_v2_10!M120),0))</f>
        <v>1</v>
      </c>
      <c r="N120">
        <f>IF($E120=0, "NA", ROUND(SUM(services_v2_9!N120,services_v2_8!N120,services_v2_7!N120,services_v2_6!N120,services_v2_10!N120)/COUNT(services_v2_9!N120,services_v2_8!N120,services_v2_7!N120,services_v2_6!N120,services_v2_10!N120),0))</f>
        <v>1</v>
      </c>
      <c r="O120">
        <f>IF($E120=0, "NA", ROUND(SUM(services_v2_9!O120,services_v2_8!O120,services_v2_7!O120,services_v2_6!O120,services_v2_10!O120)/COUNT(services_v2_9!O120,services_v2_8!O120,services_v2_7!O120,services_v2_6!O120,services_v2_10!O120),0))</f>
        <v>1</v>
      </c>
    </row>
    <row r="121" spans="1:15" x14ac:dyDescent="0.25">
      <c r="A121" t="s">
        <v>143</v>
      </c>
      <c r="B121" t="s">
        <v>27</v>
      </c>
      <c r="C121">
        <v>0</v>
      </c>
      <c r="D121">
        <v>9.6489393711090088</v>
      </c>
      <c r="E121">
        <f>ROUND(SUM(services_v2_9!E121,services_v2_8!E121,services_v2_7!E121,services_v2_6!E121,services_v2_10!E121)/COUNT(services_v2_9!E121,services_v2_8!E121,services_v2_7!E121,services_v2_6!E121,services_v2_10!E121),0)</f>
        <v>1</v>
      </c>
      <c r="F121">
        <f>IF($E121=0, "NA", ROUND(SUM(services_v2_9!F121,services_v2_8!F121,services_v2_7!F121,services_v2_6!F121,services_v2_10!F121)/COUNT(services_v2_9!F121,services_v2_8!F121,services_v2_7!F121,services_v2_6!F121,services_v2_10!F121),0))</f>
        <v>1</v>
      </c>
      <c r="G121">
        <f>IF($E121=0, "NA", ROUND(SUM(services_v2_9!G121,services_v2_8!G121,services_v2_7!G121,services_v2_6!G121,services_v2_10!G121)/COUNT(services_v2_9!G121,services_v2_8!G121,services_v2_7!G121,services_v2_6!G121,services_v2_10!G121),0))</f>
        <v>1</v>
      </c>
      <c r="H121">
        <f>IF(AND(F121=1,G121=1),ROUND(SUM(services_v2_9!H121,services_v2_8!H121,services_v2_7!H121,services_v2_6!H121,services_v2_10!H121)/COUNT(services_v2_9!H121,services_v2_8!H121,services_v2_7!H121,services_v2_6!H121,services_v2_10!H121),0),"NA")</f>
        <v>1</v>
      </c>
      <c r="I121">
        <f>IF($E121=0, "NA", ROUND(SUM(services_v2_9!I121,services_v2_8!I121,services_v2_7!I121,services_v2_6!I121,services_v2_10!I121)/COUNT(services_v2_9!I121,services_v2_8!I121,services_v2_7!I121,services_v2_6!I121,services_v2_10!I121),0))</f>
        <v>1</v>
      </c>
      <c r="J121">
        <f>IF(F121=1,ROUND(SUM(services_v2_9!J121,services_v2_8!J121,services_v2_7!J121,services_v2_6!J121,services_v2_10!J121)/COUNT(services_v2_9!J121,services_v2_8!J121,services_v2_7!J121,services_v2_6!J121,services_v2_10!J121),0),"NA")</f>
        <v>1</v>
      </c>
      <c r="K121">
        <f>IF($E121=0, "NA", ROUND(SUM(services_v2_9!K121,services_v2_8!K121,services_v2_7!K121,services_v2_6!K121,services_v2_10!K121)/COUNT(services_v2_9!K121,services_v2_8!K121,services_v2_7!K121,services_v2_6!K121,services_v2_10!K121),0))</f>
        <v>1</v>
      </c>
      <c r="L121">
        <f>IF($E121=0, "NA", ROUND(SUM(services_v2_9!L121,services_v2_8!L121,services_v2_7!L121,services_v2_6!L121,services_v2_10!L121)/COUNT(services_v2_9!L121,services_v2_8!L121,services_v2_7!L121,services_v2_6!L121,services_v2_10!L121),0))</f>
        <v>1</v>
      </c>
      <c r="M121">
        <f>IF($E121=0, "NA", ROUND(SUM(services_v2_9!M121,services_v2_8!M121,services_v2_7!M121,services_v2_6!M121,services_v2_10!M121)/COUNT(services_v2_9!M121,services_v2_8!M121,services_v2_7!M121,services_v2_6!M121,services_v2_10!M121),0))</f>
        <v>1</v>
      </c>
      <c r="N121">
        <f>IF($E121=0, "NA", ROUND(SUM(services_v2_9!N121,services_v2_8!N121,services_v2_7!N121,services_v2_6!N121,services_v2_10!N121)/COUNT(services_v2_9!N121,services_v2_8!N121,services_v2_7!N121,services_v2_6!N121,services_v2_10!N121),0))</f>
        <v>1</v>
      </c>
      <c r="O121">
        <f>IF($E121=0, "NA", ROUND(SUM(services_v2_9!O121,services_v2_8!O121,services_v2_7!O121,services_v2_6!O121,services_v2_10!O121)/COUNT(services_v2_9!O121,services_v2_8!O121,services_v2_7!O121,services_v2_6!O121,services_v2_10!O121),0))</f>
        <v>1</v>
      </c>
    </row>
    <row r="122" spans="1:15" x14ac:dyDescent="0.25">
      <c r="A122" t="s">
        <v>143</v>
      </c>
      <c r="B122" t="s">
        <v>28</v>
      </c>
      <c r="C122">
        <v>0</v>
      </c>
      <c r="D122">
        <v>2.6989073753356929</v>
      </c>
      <c r="E122">
        <f>ROUND(SUM(services_v2_9!E122,services_v2_8!E122,services_v2_7!E122,services_v2_6!E122,services_v2_10!E122)/COUNT(services_v2_9!E122,services_v2_8!E122,services_v2_7!E122,services_v2_6!E122,services_v2_10!E122),0)</f>
        <v>1</v>
      </c>
      <c r="F122">
        <f>IF($E122=0, "NA", ROUND(SUM(services_v2_9!F122,services_v2_8!F122,services_v2_7!F122,services_v2_6!F122,services_v2_10!F122)/COUNT(services_v2_9!F122,services_v2_8!F122,services_v2_7!F122,services_v2_6!F122,services_v2_10!F122),0))</f>
        <v>1</v>
      </c>
      <c r="G122">
        <f>IF($E122=0, "NA", ROUND(SUM(services_v2_9!G122,services_v2_8!G122,services_v2_7!G122,services_v2_6!G122,services_v2_10!G122)/COUNT(services_v2_9!G122,services_v2_8!G122,services_v2_7!G122,services_v2_6!G122,services_v2_10!G122),0))</f>
        <v>1</v>
      </c>
      <c r="H122">
        <f>IF(AND(F122=1,G122=1),ROUND(SUM(services_v2_9!H122,services_v2_8!H122,services_v2_7!H122,services_v2_6!H122,services_v2_10!H122)/COUNT(services_v2_9!H122,services_v2_8!H122,services_v2_7!H122,services_v2_6!H122,services_v2_10!H122),0),"NA")</f>
        <v>1</v>
      </c>
      <c r="I122">
        <f>IF($E122=0, "NA", ROUND(SUM(services_v2_9!I122,services_v2_8!I122,services_v2_7!I122,services_v2_6!I122,services_v2_10!I122)/COUNT(services_v2_9!I122,services_v2_8!I122,services_v2_7!I122,services_v2_6!I122,services_v2_10!I122),0))</f>
        <v>1</v>
      </c>
      <c r="J122">
        <f>IF(F122=1,ROUND(SUM(services_v2_9!J122,services_v2_8!J122,services_v2_7!J122,services_v2_6!J122,services_v2_10!J122)/COUNT(services_v2_9!J122,services_v2_8!J122,services_v2_7!J122,services_v2_6!J122,services_v2_10!J122),0),"NA")</f>
        <v>1</v>
      </c>
      <c r="K122">
        <f>IF($E122=0, "NA", ROUND(SUM(services_v2_9!K122,services_v2_8!K122,services_v2_7!K122,services_v2_6!K122,services_v2_10!K122)/COUNT(services_v2_9!K122,services_v2_8!K122,services_v2_7!K122,services_v2_6!K122,services_v2_10!K122),0))</f>
        <v>1</v>
      </c>
      <c r="L122">
        <f>IF($E122=0, "NA", ROUND(SUM(services_v2_9!L122,services_v2_8!L122,services_v2_7!L122,services_v2_6!L122,services_v2_10!L122)/COUNT(services_v2_9!L122,services_v2_8!L122,services_v2_7!L122,services_v2_6!L122,services_v2_10!L122),0))</f>
        <v>1</v>
      </c>
      <c r="M122">
        <f>IF($E122=0, "NA", ROUND(SUM(services_v2_9!M122,services_v2_8!M122,services_v2_7!M122,services_v2_6!M122,services_v2_10!M122)/COUNT(services_v2_9!M122,services_v2_8!M122,services_v2_7!M122,services_v2_6!M122,services_v2_10!M122),0))</f>
        <v>1</v>
      </c>
      <c r="N122">
        <f>IF($E122=0, "NA", ROUND(SUM(services_v2_9!N122,services_v2_8!N122,services_v2_7!N122,services_v2_6!N122,services_v2_10!N122)/COUNT(services_v2_9!N122,services_v2_8!N122,services_v2_7!N122,services_v2_6!N122,services_v2_10!N122),0))</f>
        <v>1</v>
      </c>
      <c r="O122">
        <f>IF($E122=0, "NA", ROUND(SUM(services_v2_9!O122,services_v2_8!O122,services_v2_7!O122,services_v2_6!O122,services_v2_10!O122)/COUNT(services_v2_9!O122,services_v2_8!O122,services_v2_7!O122,services_v2_6!O122,services_v2_10!O122),0))</f>
        <v>1</v>
      </c>
    </row>
    <row r="123" spans="1:15" x14ac:dyDescent="0.25">
      <c r="A123" t="s">
        <v>143</v>
      </c>
      <c r="B123" t="s">
        <v>29</v>
      </c>
      <c r="C123">
        <v>0</v>
      </c>
      <c r="D123">
        <v>4.7328681945800781</v>
      </c>
      <c r="E123">
        <f>ROUND(SUM(services_v2_9!E123,services_v2_8!E123,services_v2_7!E123,services_v2_6!E123,services_v2_10!E123)/COUNT(services_v2_9!E123,services_v2_8!E123,services_v2_7!E123,services_v2_6!E123,services_v2_10!E123),0)</f>
        <v>1</v>
      </c>
      <c r="F123">
        <f>IF($E123=0, "NA", ROUND(SUM(services_v2_9!F123,services_v2_8!F123,services_v2_7!F123,services_v2_6!F123,services_v2_10!F123)/COUNT(services_v2_9!F123,services_v2_8!F123,services_v2_7!F123,services_v2_6!F123,services_v2_10!F123),0))</f>
        <v>1</v>
      </c>
      <c r="G123">
        <f>IF($E123=0, "NA", ROUND(SUM(services_v2_9!G123,services_v2_8!G123,services_v2_7!G123,services_v2_6!G123,services_v2_10!G123)/COUNT(services_v2_9!G123,services_v2_8!G123,services_v2_7!G123,services_v2_6!G123,services_v2_10!G123),0))</f>
        <v>1</v>
      </c>
      <c r="H123">
        <f>IF(AND(F123=1,G123=1),ROUND(SUM(services_v2_9!H123,services_v2_8!H123,services_v2_7!H123,services_v2_6!H123,services_v2_10!H123)/COUNT(services_v2_9!H123,services_v2_8!H123,services_v2_7!H123,services_v2_6!H123,services_v2_10!H123),0),"NA")</f>
        <v>1</v>
      </c>
      <c r="I123">
        <f>IF($E123=0, "NA", ROUND(SUM(services_v2_9!I123,services_v2_8!I123,services_v2_7!I123,services_v2_6!I123,services_v2_10!I123)/COUNT(services_v2_9!I123,services_v2_8!I123,services_v2_7!I123,services_v2_6!I123,services_v2_10!I123),0))</f>
        <v>1</v>
      </c>
      <c r="J123">
        <f>IF(F123=1,ROUND(SUM(services_v2_9!J123,services_v2_8!J123,services_v2_7!J123,services_v2_6!J123,services_v2_10!J123)/COUNT(services_v2_9!J123,services_v2_8!J123,services_v2_7!J123,services_v2_6!J123,services_v2_10!J123),0),"NA")</f>
        <v>0</v>
      </c>
      <c r="K123">
        <f>IF($E123=0, "NA", ROUND(SUM(services_v2_9!K123,services_v2_8!K123,services_v2_7!K123,services_v2_6!K123,services_v2_10!K123)/COUNT(services_v2_9!K123,services_v2_8!K123,services_v2_7!K123,services_v2_6!K123,services_v2_10!K123),0))</f>
        <v>0</v>
      </c>
      <c r="L123">
        <f>IF($E123=0, "NA", ROUND(SUM(services_v2_9!L123,services_v2_8!L123,services_v2_7!L123,services_v2_6!L123,services_v2_10!L123)/COUNT(services_v2_9!L123,services_v2_8!L123,services_v2_7!L123,services_v2_6!L123,services_v2_10!L123),0))</f>
        <v>1</v>
      </c>
      <c r="M123">
        <f>IF($E123=0, "NA", ROUND(SUM(services_v2_9!M123,services_v2_8!M123,services_v2_7!M123,services_v2_6!M123,services_v2_10!M123)/COUNT(services_v2_9!M123,services_v2_8!M123,services_v2_7!M123,services_v2_6!M123,services_v2_10!M123),0))</f>
        <v>1</v>
      </c>
      <c r="N123">
        <f>IF($E123=0, "NA", ROUND(SUM(services_v2_9!N123,services_v2_8!N123,services_v2_7!N123,services_v2_6!N123,services_v2_10!N123)/COUNT(services_v2_9!N123,services_v2_8!N123,services_v2_7!N123,services_v2_6!N123,services_v2_10!N123),0))</f>
        <v>1</v>
      </c>
      <c r="O123">
        <f>IF($E123=0, "NA", ROUND(SUM(services_v2_9!O123,services_v2_8!O123,services_v2_7!O123,services_v2_6!O123,services_v2_10!O123)/COUNT(services_v2_9!O123,services_v2_8!O123,services_v2_7!O123,services_v2_6!O123,services_v2_10!O123),0))</f>
        <v>1</v>
      </c>
    </row>
    <row r="124" spans="1:15" x14ac:dyDescent="0.25">
      <c r="A124" t="s">
        <v>143</v>
      </c>
      <c r="B124" t="s">
        <v>31</v>
      </c>
      <c r="C124">
        <v>0</v>
      </c>
      <c r="D124">
        <v>9.6129715442657471</v>
      </c>
      <c r="E124">
        <f>ROUND(SUM(services_v2_9!E124,services_v2_8!E124,services_v2_7!E124,services_v2_6!E124,services_v2_10!E124)/COUNT(services_v2_9!E124,services_v2_8!E124,services_v2_7!E124,services_v2_6!E124,services_v2_10!E124),0)</f>
        <v>0</v>
      </c>
      <c r="F124" t="str">
        <f>IF($E124=0, "NA", ROUND(SUM(services_v2_9!F124,services_v2_8!F124,services_v2_7!F124,services_v2_6!F124,services_v2_10!F124)/COUNT(services_v2_9!F124,services_v2_8!F124,services_v2_7!F124,services_v2_6!F124,services_v2_10!F124),0))</f>
        <v>NA</v>
      </c>
      <c r="G124" t="str">
        <f>IF($E124=0, "NA", ROUND(SUM(services_v2_9!G124,services_v2_8!G124,services_v2_7!G124,services_v2_6!G124,services_v2_10!G124)/COUNT(services_v2_9!G124,services_v2_8!G124,services_v2_7!G124,services_v2_6!G124,services_v2_10!G124),0))</f>
        <v>NA</v>
      </c>
      <c r="H124" t="str">
        <f>IF(AND(F124=1,G124=1),ROUND(SUM(services_v2_9!H124,services_v2_8!H124,services_v2_7!H124,services_v2_6!H124,services_v2_10!H124)/COUNT(services_v2_9!H124,services_v2_8!H124,services_v2_7!H124,services_v2_6!H124,services_v2_10!H124),0),"NA")</f>
        <v>NA</v>
      </c>
      <c r="I124" t="str">
        <f>IF($E124=0, "NA", ROUND(SUM(services_v2_9!I124,services_v2_8!I124,services_v2_7!I124,services_v2_6!I124,services_v2_10!I124)/COUNT(services_v2_9!I124,services_v2_8!I124,services_v2_7!I124,services_v2_6!I124,services_v2_10!I124),0))</f>
        <v>NA</v>
      </c>
      <c r="J124" t="str">
        <f>IF(F124=1,ROUND(SUM(services_v2_9!J124,services_v2_8!J124,services_v2_7!J124,services_v2_6!J124,services_v2_10!J124)/COUNT(services_v2_9!J124,services_v2_8!J124,services_v2_7!J124,services_v2_6!J124,services_v2_10!J124),0),"NA")</f>
        <v>NA</v>
      </c>
      <c r="K124" t="str">
        <f>IF($E124=0, "NA", ROUND(SUM(services_v2_9!K124,services_v2_8!K124,services_v2_7!K124,services_v2_6!K124,services_v2_10!K124)/COUNT(services_v2_9!K124,services_v2_8!K124,services_v2_7!K124,services_v2_6!K124,services_v2_10!K124),0))</f>
        <v>NA</v>
      </c>
      <c r="L124" t="str">
        <f>IF($E124=0, "NA", ROUND(SUM(services_v2_9!L124,services_v2_8!L124,services_v2_7!L124,services_v2_6!L124,services_v2_10!L124)/COUNT(services_v2_9!L124,services_v2_8!L124,services_v2_7!L124,services_v2_6!L124,services_v2_10!L124),0))</f>
        <v>NA</v>
      </c>
      <c r="M124" t="str">
        <f>IF($E124=0, "NA", ROUND(SUM(services_v2_9!M124,services_v2_8!M124,services_v2_7!M124,services_v2_6!M124,services_v2_10!M124)/COUNT(services_v2_9!M124,services_v2_8!M124,services_v2_7!M124,services_v2_6!M124,services_v2_10!M124),0))</f>
        <v>NA</v>
      </c>
      <c r="N124" t="str">
        <f>IF($E124=0, "NA", ROUND(SUM(services_v2_9!N124,services_v2_8!N124,services_v2_7!N124,services_v2_6!N124,services_v2_10!N124)/COUNT(services_v2_9!N124,services_v2_8!N124,services_v2_7!N124,services_v2_6!N124,services_v2_10!N124),0))</f>
        <v>NA</v>
      </c>
      <c r="O124" t="str">
        <f>IF($E124=0, "NA", ROUND(SUM(services_v2_9!O124,services_v2_8!O124,services_v2_7!O124,services_v2_6!O124,services_v2_10!O124)/COUNT(services_v2_9!O124,services_v2_8!O124,services_v2_7!O124,services_v2_6!O124,services_v2_10!O124),0))</f>
        <v>NA</v>
      </c>
    </row>
    <row r="125" spans="1:15" x14ac:dyDescent="0.25">
      <c r="A125" t="s">
        <v>143</v>
      </c>
      <c r="B125" t="s">
        <v>33</v>
      </c>
      <c r="C125">
        <v>0</v>
      </c>
      <c r="D125">
        <v>10.680442333221441</v>
      </c>
      <c r="E125">
        <f>ROUND(SUM(services_v2_9!E125,services_v2_8!E125,services_v2_7!E125,services_v2_6!E125,services_v2_10!E125)/COUNT(services_v2_9!E125,services_v2_8!E125,services_v2_7!E125,services_v2_6!E125,services_v2_10!E125),0)</f>
        <v>1</v>
      </c>
      <c r="F125">
        <f>IF($E125=0, "NA", ROUND(SUM(services_v2_9!F125,services_v2_8!F125,services_v2_7!F125,services_v2_6!F125,services_v2_10!F125)/COUNT(services_v2_9!F125,services_v2_8!F125,services_v2_7!F125,services_v2_6!F125,services_v2_10!F125),0))</f>
        <v>1</v>
      </c>
      <c r="G125">
        <f>IF($E125=0, "NA", ROUND(SUM(services_v2_9!G125,services_v2_8!G125,services_v2_7!G125,services_v2_6!G125,services_v2_10!G125)/COUNT(services_v2_9!G125,services_v2_8!G125,services_v2_7!G125,services_v2_6!G125,services_v2_10!G125),0))</f>
        <v>0</v>
      </c>
      <c r="H125" t="str">
        <f>IF(AND(F125=1,G125=1),ROUND(SUM(services_v2_9!H125,services_v2_8!H125,services_v2_7!H125,services_v2_6!H125,services_v2_10!H125)/COUNT(services_v2_9!H125,services_v2_8!H125,services_v2_7!H125,services_v2_6!H125,services_v2_10!H125),0),"NA")</f>
        <v>NA</v>
      </c>
      <c r="I125">
        <f>IF($E125=0, "NA", ROUND(SUM(services_v2_9!I125,services_v2_8!I125,services_v2_7!I125,services_v2_6!I125,services_v2_10!I125)/COUNT(services_v2_9!I125,services_v2_8!I125,services_v2_7!I125,services_v2_6!I125,services_v2_10!I125),0))</f>
        <v>1</v>
      </c>
      <c r="J125">
        <f>IF(F125=1,ROUND(SUM(services_v2_9!J125,services_v2_8!J125,services_v2_7!J125,services_v2_6!J125,services_v2_10!J125)/COUNT(services_v2_9!J125,services_v2_8!J125,services_v2_7!J125,services_v2_6!J125,services_v2_10!J125),0),"NA")</f>
        <v>1</v>
      </c>
      <c r="K125">
        <f>IF($E125=0, "NA", ROUND(SUM(services_v2_9!K125,services_v2_8!K125,services_v2_7!K125,services_v2_6!K125,services_v2_10!K125)/COUNT(services_v2_9!K125,services_v2_8!K125,services_v2_7!K125,services_v2_6!K125,services_v2_10!K125),0))</f>
        <v>1</v>
      </c>
      <c r="L125">
        <f>IF($E125=0, "NA", ROUND(SUM(services_v2_9!L125,services_v2_8!L125,services_v2_7!L125,services_v2_6!L125,services_v2_10!L125)/COUNT(services_v2_9!L125,services_v2_8!L125,services_v2_7!L125,services_v2_6!L125,services_v2_10!L125),0))</f>
        <v>1</v>
      </c>
      <c r="M125">
        <f>IF($E125=0, "NA", ROUND(SUM(services_v2_9!M125,services_v2_8!M125,services_v2_7!M125,services_v2_6!M125,services_v2_10!M125)/COUNT(services_v2_9!M125,services_v2_8!M125,services_v2_7!M125,services_v2_6!M125,services_v2_10!M125),0))</f>
        <v>1</v>
      </c>
      <c r="N125">
        <f>IF($E125=0, "NA", ROUND(SUM(services_v2_9!N125,services_v2_8!N125,services_v2_7!N125,services_v2_6!N125,services_v2_10!N125)/COUNT(services_v2_9!N125,services_v2_8!N125,services_v2_7!N125,services_v2_6!N125,services_v2_10!N125),0))</f>
        <v>1</v>
      </c>
      <c r="O125">
        <f>IF($E125=0, "NA", ROUND(SUM(services_v2_9!O125,services_v2_8!O125,services_v2_7!O125,services_v2_6!O125,services_v2_10!O125)/COUNT(services_v2_9!O125,services_v2_8!O125,services_v2_7!O125,services_v2_6!O125,services_v2_10!O125),0))</f>
        <v>1</v>
      </c>
    </row>
    <row r="126" spans="1:15" x14ac:dyDescent="0.25">
      <c r="A126" t="s">
        <v>143</v>
      </c>
      <c r="B126" t="s">
        <v>35</v>
      </c>
      <c r="C126">
        <v>0</v>
      </c>
      <c r="D126">
        <v>9.3632433414459229</v>
      </c>
      <c r="E126">
        <f>ROUND(SUM(services_v2_9!E126,services_v2_8!E126,services_v2_7!E126,services_v2_6!E126,services_v2_10!E126)/COUNT(services_v2_9!E126,services_v2_8!E126,services_v2_7!E126,services_v2_6!E126,services_v2_10!E126),0)</f>
        <v>1</v>
      </c>
      <c r="F126">
        <f>IF($E126=0, "NA", ROUND(SUM(services_v2_9!F126,services_v2_8!F126,services_v2_7!F126,services_v2_6!F126,services_v2_10!F126)/COUNT(services_v2_9!F126,services_v2_8!F126,services_v2_7!F126,services_v2_6!F126,services_v2_10!F126),0))</f>
        <v>1</v>
      </c>
      <c r="G126">
        <f>IF($E126=0, "NA", ROUND(SUM(services_v2_9!G126,services_v2_8!G126,services_v2_7!G126,services_v2_6!G126,services_v2_10!G126)/COUNT(services_v2_9!G126,services_v2_8!G126,services_v2_7!G126,services_v2_6!G126,services_v2_10!G126),0))</f>
        <v>1</v>
      </c>
      <c r="H126">
        <f>IF(AND(F126=1,G126=1),ROUND(SUM(services_v2_9!H126,services_v2_8!H126,services_v2_7!H126,services_v2_6!H126,services_v2_10!H126)/COUNT(services_v2_9!H126,services_v2_8!H126,services_v2_7!H126,services_v2_6!H126,services_v2_10!H126),0),"NA")</f>
        <v>1</v>
      </c>
      <c r="I126">
        <f>IF($E126=0, "NA", ROUND(SUM(services_v2_9!I126,services_v2_8!I126,services_v2_7!I126,services_v2_6!I126,services_v2_10!I126)/COUNT(services_v2_9!I126,services_v2_8!I126,services_v2_7!I126,services_v2_6!I126,services_v2_10!I126),0))</f>
        <v>1</v>
      </c>
      <c r="J126">
        <f>IF(F126=1,ROUND(SUM(services_v2_9!J126,services_v2_8!J126,services_v2_7!J126,services_v2_6!J126,services_v2_10!J126)/COUNT(services_v2_9!J126,services_v2_8!J126,services_v2_7!J126,services_v2_6!J126,services_v2_10!J126),0),"NA")</f>
        <v>1</v>
      </c>
      <c r="K126">
        <f>IF($E126=0, "NA", ROUND(SUM(services_v2_9!K126,services_v2_8!K126,services_v2_7!K126,services_v2_6!K126,services_v2_10!K126)/COUNT(services_v2_9!K126,services_v2_8!K126,services_v2_7!K126,services_v2_6!K126,services_v2_10!K126),0))</f>
        <v>1</v>
      </c>
      <c r="L126">
        <f>IF($E126=0, "NA", ROUND(SUM(services_v2_9!L126,services_v2_8!L126,services_v2_7!L126,services_v2_6!L126,services_v2_10!L126)/COUNT(services_v2_9!L126,services_v2_8!L126,services_v2_7!L126,services_v2_6!L126,services_v2_10!L126),0))</f>
        <v>1</v>
      </c>
      <c r="M126">
        <f>IF($E126=0, "NA", ROUND(SUM(services_v2_9!M126,services_v2_8!M126,services_v2_7!M126,services_v2_6!M126,services_v2_10!M126)/COUNT(services_v2_9!M126,services_v2_8!M126,services_v2_7!M126,services_v2_6!M126,services_v2_10!M126),0))</f>
        <v>1</v>
      </c>
      <c r="N126">
        <f>IF($E126=0, "NA", ROUND(SUM(services_v2_9!N126,services_v2_8!N126,services_v2_7!N126,services_v2_6!N126,services_v2_10!N126)/COUNT(services_v2_9!N126,services_v2_8!N126,services_v2_7!N126,services_v2_6!N126,services_v2_10!N126),0))</f>
        <v>1</v>
      </c>
      <c r="O126">
        <f>IF($E126=0, "NA", ROUND(SUM(services_v2_9!O126,services_v2_8!O126,services_v2_7!O126,services_v2_6!O126,services_v2_10!O126)/COUNT(services_v2_9!O126,services_v2_8!O126,services_v2_7!O126,services_v2_6!O126,services_v2_10!O126),0))</f>
        <v>1</v>
      </c>
    </row>
    <row r="127" spans="1:15" x14ac:dyDescent="0.25">
      <c r="A127" t="s">
        <v>143</v>
      </c>
      <c r="B127" t="s">
        <v>36</v>
      </c>
      <c r="C127">
        <v>0</v>
      </c>
      <c r="D127">
        <v>2.6665399074554439</v>
      </c>
      <c r="E127">
        <f>ROUND(SUM(services_v2_9!E127,services_v2_8!E127,services_v2_7!E127,services_v2_6!E127,services_v2_10!E127)/COUNT(services_v2_9!E127,services_v2_8!E127,services_v2_7!E127,services_v2_6!E127,services_v2_10!E127),0)</f>
        <v>1</v>
      </c>
      <c r="F127">
        <f>IF($E127=0, "NA", ROUND(SUM(services_v2_9!F127,services_v2_8!F127,services_v2_7!F127,services_v2_6!F127,services_v2_10!F127)/COUNT(services_v2_9!F127,services_v2_8!F127,services_v2_7!F127,services_v2_6!F127,services_v2_10!F127),0))</f>
        <v>1</v>
      </c>
      <c r="G127">
        <f>IF($E127=0, "NA", ROUND(SUM(services_v2_9!G127,services_v2_8!G127,services_v2_7!G127,services_v2_6!G127,services_v2_10!G127)/COUNT(services_v2_9!G127,services_v2_8!G127,services_v2_7!G127,services_v2_6!G127,services_v2_10!G127),0))</f>
        <v>1</v>
      </c>
      <c r="H127">
        <f>IF(AND(F127=1,G127=1),ROUND(SUM(services_v2_9!H127,services_v2_8!H127,services_v2_7!H127,services_v2_6!H127,services_v2_10!H127)/COUNT(services_v2_9!H127,services_v2_8!H127,services_v2_7!H127,services_v2_6!H127,services_v2_10!H127),0),"NA")</f>
        <v>1</v>
      </c>
      <c r="I127">
        <f>IF($E127=0, "NA", ROUND(SUM(services_v2_9!I127,services_v2_8!I127,services_v2_7!I127,services_v2_6!I127,services_v2_10!I127)/COUNT(services_v2_9!I127,services_v2_8!I127,services_v2_7!I127,services_v2_6!I127,services_v2_10!I127),0))</f>
        <v>1</v>
      </c>
      <c r="J127">
        <f>IF(F127=1,ROUND(SUM(services_v2_9!J127,services_v2_8!J127,services_v2_7!J127,services_v2_6!J127,services_v2_10!J127)/COUNT(services_v2_9!J127,services_v2_8!J127,services_v2_7!J127,services_v2_6!J127,services_v2_10!J127),0),"NA")</f>
        <v>1</v>
      </c>
      <c r="K127">
        <f>IF($E127=0, "NA", ROUND(SUM(services_v2_9!K127,services_v2_8!K127,services_v2_7!K127,services_v2_6!K127,services_v2_10!K127)/COUNT(services_v2_9!K127,services_v2_8!K127,services_v2_7!K127,services_v2_6!K127,services_v2_10!K127),0))</f>
        <v>1</v>
      </c>
      <c r="L127">
        <f>IF($E127=0, "NA", ROUND(SUM(services_v2_9!L127,services_v2_8!L127,services_v2_7!L127,services_v2_6!L127,services_v2_10!L127)/COUNT(services_v2_9!L127,services_v2_8!L127,services_v2_7!L127,services_v2_6!L127,services_v2_10!L127),0))</f>
        <v>1</v>
      </c>
      <c r="M127">
        <f>IF($E127=0, "NA", ROUND(SUM(services_v2_9!M127,services_v2_8!M127,services_v2_7!M127,services_v2_6!M127,services_v2_10!M127)/COUNT(services_v2_9!M127,services_v2_8!M127,services_v2_7!M127,services_v2_6!M127,services_v2_10!M127),0))</f>
        <v>1</v>
      </c>
      <c r="N127">
        <f>IF($E127=0, "NA", ROUND(SUM(services_v2_9!N127,services_v2_8!N127,services_v2_7!N127,services_v2_6!N127,services_v2_10!N127)/COUNT(services_v2_9!N127,services_v2_8!N127,services_v2_7!N127,services_v2_6!N127,services_v2_10!N127),0))</f>
        <v>1</v>
      </c>
      <c r="O127">
        <f>IF($E127=0, "NA", ROUND(SUM(services_v2_9!O127,services_v2_8!O127,services_v2_7!O127,services_v2_6!O127,services_v2_10!O127)/COUNT(services_v2_9!O127,services_v2_8!O127,services_v2_7!O127,services_v2_6!O127,services_v2_10!O127),0))</f>
        <v>1</v>
      </c>
    </row>
    <row r="128" spans="1:15" x14ac:dyDescent="0.25">
      <c r="A128" t="s">
        <v>143</v>
      </c>
      <c r="B128" t="s">
        <v>38</v>
      </c>
      <c r="C128">
        <v>0</v>
      </c>
      <c r="D128">
        <v>8.9340827465057373</v>
      </c>
      <c r="E128">
        <f>ROUND(SUM(services_v2_9!E128,services_v2_8!E128,services_v2_7!E128,services_v2_6!E128,services_v2_10!E128)/COUNT(services_v2_9!E128,services_v2_8!E128,services_v2_7!E128,services_v2_6!E128,services_v2_10!E128),0)</f>
        <v>1</v>
      </c>
      <c r="F128">
        <f>IF($E128=0, "NA", ROUND(SUM(services_v2_9!F128,services_v2_8!F128,services_v2_7!F128,services_v2_6!F128,services_v2_10!F128)/COUNT(services_v2_9!F128,services_v2_8!F128,services_v2_7!F128,services_v2_6!F128,services_v2_10!F128),0))</f>
        <v>1</v>
      </c>
      <c r="G128">
        <f>IF($E128=0, "NA", ROUND(SUM(services_v2_9!G128,services_v2_8!G128,services_v2_7!G128,services_v2_6!G128,services_v2_10!G128)/COUNT(services_v2_9!G128,services_v2_8!G128,services_v2_7!G128,services_v2_6!G128,services_v2_10!G128),0))</f>
        <v>1</v>
      </c>
      <c r="H128">
        <f>IF(AND(F128=1,G128=1),ROUND(SUM(services_v2_9!H128,services_v2_8!H128,services_v2_7!H128,services_v2_6!H128,services_v2_10!H128)/COUNT(services_v2_9!H128,services_v2_8!H128,services_v2_7!H128,services_v2_6!H128,services_v2_10!H128),0),"NA")</f>
        <v>1</v>
      </c>
      <c r="I128">
        <f>IF($E128=0, "NA", ROUND(SUM(services_v2_9!I128,services_v2_8!I128,services_v2_7!I128,services_v2_6!I128,services_v2_10!I128)/COUNT(services_v2_9!I128,services_v2_8!I128,services_v2_7!I128,services_v2_6!I128,services_v2_10!I128),0))</f>
        <v>1</v>
      </c>
      <c r="J128">
        <f>IF(F128=1,ROUND(SUM(services_v2_9!J128,services_v2_8!J128,services_v2_7!J128,services_v2_6!J128,services_v2_10!J128)/COUNT(services_v2_9!J128,services_v2_8!J128,services_v2_7!J128,services_v2_6!J128,services_v2_10!J128),0),"NA")</f>
        <v>1</v>
      </c>
      <c r="K128">
        <f>IF($E128=0, "NA", ROUND(SUM(services_v2_9!K128,services_v2_8!K128,services_v2_7!K128,services_v2_6!K128,services_v2_10!K128)/COUNT(services_v2_9!K128,services_v2_8!K128,services_v2_7!K128,services_v2_6!K128,services_v2_10!K128),0))</f>
        <v>1</v>
      </c>
      <c r="L128">
        <f>IF($E128=0, "NA", ROUND(SUM(services_v2_9!L128,services_v2_8!L128,services_v2_7!L128,services_v2_6!L128,services_v2_10!L128)/COUNT(services_v2_9!L128,services_v2_8!L128,services_v2_7!L128,services_v2_6!L128,services_v2_10!L128),0))</f>
        <v>1</v>
      </c>
      <c r="M128">
        <f>IF($E128=0, "NA", ROUND(SUM(services_v2_9!M128,services_v2_8!M128,services_v2_7!M128,services_v2_6!M128,services_v2_10!M128)/COUNT(services_v2_9!M128,services_v2_8!M128,services_v2_7!M128,services_v2_6!M128,services_v2_10!M128),0))</f>
        <v>1</v>
      </c>
      <c r="N128">
        <f>IF($E128=0, "NA", ROUND(SUM(services_v2_9!N128,services_v2_8!N128,services_v2_7!N128,services_v2_6!N128,services_v2_10!N128)/COUNT(services_v2_9!N128,services_v2_8!N128,services_v2_7!N128,services_v2_6!N128,services_v2_10!N128),0))</f>
        <v>1</v>
      </c>
      <c r="O128">
        <f>IF($E128=0, "NA", ROUND(SUM(services_v2_9!O128,services_v2_8!O128,services_v2_7!O128,services_v2_6!O128,services_v2_10!O128)/COUNT(services_v2_9!O128,services_v2_8!O128,services_v2_7!O128,services_v2_6!O128,services_v2_10!O128),0))</f>
        <v>1</v>
      </c>
    </row>
    <row r="129" spans="1:15" x14ac:dyDescent="0.25">
      <c r="A129" t="s">
        <v>143</v>
      </c>
      <c r="B129" t="s">
        <v>40</v>
      </c>
      <c r="C129">
        <v>0</v>
      </c>
      <c r="D129">
        <v>7.6750478744506836</v>
      </c>
      <c r="E129">
        <f>ROUND(SUM(services_v2_9!E129,services_v2_8!E129,services_v2_7!E129,services_v2_6!E129,services_v2_10!E129)/COUNT(services_v2_9!E129,services_v2_8!E129,services_v2_7!E129,services_v2_6!E129,services_v2_10!E129),0)</f>
        <v>1</v>
      </c>
      <c r="F129">
        <f>IF($E129=0, "NA", ROUND(SUM(services_v2_9!F129,services_v2_8!F129,services_v2_7!F129,services_v2_6!F129,services_v2_10!F129)/COUNT(services_v2_9!F129,services_v2_8!F129,services_v2_7!F129,services_v2_6!F129,services_v2_10!F129),0))</f>
        <v>1</v>
      </c>
      <c r="G129">
        <f>IF($E129=0, "NA", ROUND(SUM(services_v2_9!G129,services_v2_8!G129,services_v2_7!G129,services_v2_6!G129,services_v2_10!G129)/COUNT(services_v2_9!G129,services_v2_8!G129,services_v2_7!G129,services_v2_6!G129,services_v2_10!G129),0))</f>
        <v>1</v>
      </c>
      <c r="H129">
        <f>IF(AND(F129=1,G129=1),ROUND(SUM(services_v2_9!H129,services_v2_8!H129,services_v2_7!H129,services_v2_6!H129,services_v2_10!H129)/COUNT(services_v2_9!H129,services_v2_8!H129,services_v2_7!H129,services_v2_6!H129,services_v2_10!H129),0),"NA")</f>
        <v>1</v>
      </c>
      <c r="I129">
        <f>IF($E129=0, "NA", ROUND(SUM(services_v2_9!I129,services_v2_8!I129,services_v2_7!I129,services_v2_6!I129,services_v2_10!I129)/COUNT(services_v2_9!I129,services_v2_8!I129,services_v2_7!I129,services_v2_6!I129,services_v2_10!I129),0))</f>
        <v>1</v>
      </c>
      <c r="J129">
        <f>IF(F129=1,ROUND(SUM(services_v2_9!J129,services_v2_8!J129,services_v2_7!J129,services_v2_6!J129,services_v2_10!J129)/COUNT(services_v2_9!J129,services_v2_8!J129,services_v2_7!J129,services_v2_6!J129,services_v2_10!J129),0),"NA")</f>
        <v>1</v>
      </c>
      <c r="K129">
        <f>IF($E129=0, "NA", ROUND(SUM(services_v2_9!K129,services_v2_8!K129,services_v2_7!K129,services_v2_6!K129,services_v2_10!K129)/COUNT(services_v2_9!K129,services_v2_8!K129,services_v2_7!K129,services_v2_6!K129,services_v2_10!K129),0))</f>
        <v>1</v>
      </c>
      <c r="L129">
        <f>IF($E129=0, "NA", ROUND(SUM(services_v2_9!L129,services_v2_8!L129,services_v2_7!L129,services_v2_6!L129,services_v2_10!L129)/COUNT(services_v2_9!L129,services_v2_8!L129,services_v2_7!L129,services_v2_6!L129,services_v2_10!L129),0))</f>
        <v>1</v>
      </c>
      <c r="M129">
        <f>IF($E129=0, "NA", ROUND(SUM(services_v2_9!M129,services_v2_8!M129,services_v2_7!M129,services_v2_6!M129,services_v2_10!M129)/COUNT(services_v2_9!M129,services_v2_8!M129,services_v2_7!M129,services_v2_6!M129,services_v2_10!M129),0))</f>
        <v>1</v>
      </c>
      <c r="N129">
        <f>IF($E129=0, "NA", ROUND(SUM(services_v2_9!N129,services_v2_8!N129,services_v2_7!N129,services_v2_6!N129,services_v2_10!N129)/COUNT(services_v2_9!N129,services_v2_8!N129,services_v2_7!N129,services_v2_6!N129,services_v2_10!N129),0))</f>
        <v>1</v>
      </c>
      <c r="O129">
        <f>IF($E129=0, "NA", ROUND(SUM(services_v2_9!O129,services_v2_8!O129,services_v2_7!O129,services_v2_6!O129,services_v2_10!O129)/COUNT(services_v2_9!O129,services_v2_8!O129,services_v2_7!O129,services_v2_6!O129,services_v2_10!O129),0))</f>
        <v>1</v>
      </c>
    </row>
    <row r="130" spans="1:15" x14ac:dyDescent="0.25">
      <c r="A130" t="s">
        <v>143</v>
      </c>
      <c r="B130" t="s">
        <v>42</v>
      </c>
      <c r="C130">
        <v>0</v>
      </c>
      <c r="D130">
        <v>2.5568752288818359</v>
      </c>
      <c r="E130">
        <f>ROUND(SUM(services_v2_9!E130,services_v2_8!E130,services_v2_7!E130,services_v2_6!E130,services_v2_10!E130)/COUNT(services_v2_9!E130,services_v2_8!E130,services_v2_7!E130,services_v2_6!E130,services_v2_10!E130),0)</f>
        <v>1</v>
      </c>
      <c r="F130">
        <f>IF($E130=0, "NA", ROUND(SUM(services_v2_9!F130,services_v2_8!F130,services_v2_7!F130,services_v2_6!F130,services_v2_10!F130)/COUNT(services_v2_9!F130,services_v2_8!F130,services_v2_7!F130,services_v2_6!F130,services_v2_10!F130),0))</f>
        <v>1</v>
      </c>
      <c r="G130">
        <f>IF($E130=0, "NA", ROUND(SUM(services_v2_9!G130,services_v2_8!G130,services_v2_7!G130,services_v2_6!G130,services_v2_10!G130)/COUNT(services_v2_9!G130,services_v2_8!G130,services_v2_7!G130,services_v2_6!G130,services_v2_10!G130),0))</f>
        <v>1</v>
      </c>
      <c r="H130">
        <f>IF(AND(F130=1,G130=1),ROUND(SUM(services_v2_9!H130,services_v2_8!H130,services_v2_7!H130,services_v2_6!H130,services_v2_10!H130)/COUNT(services_v2_9!H130,services_v2_8!H130,services_v2_7!H130,services_v2_6!H130,services_v2_10!H130),0),"NA")</f>
        <v>1</v>
      </c>
      <c r="I130">
        <f>IF($E130=0, "NA", ROUND(SUM(services_v2_9!I130,services_v2_8!I130,services_v2_7!I130,services_v2_6!I130,services_v2_10!I130)/COUNT(services_v2_9!I130,services_v2_8!I130,services_v2_7!I130,services_v2_6!I130,services_v2_10!I130),0))</f>
        <v>1</v>
      </c>
      <c r="J130">
        <f>IF(F130=1,ROUND(SUM(services_v2_9!J130,services_v2_8!J130,services_v2_7!J130,services_v2_6!J130,services_v2_10!J130)/COUNT(services_v2_9!J130,services_v2_8!J130,services_v2_7!J130,services_v2_6!J130,services_v2_10!J130),0),"NA")</f>
        <v>1</v>
      </c>
      <c r="K130">
        <f>IF($E130=0, "NA", ROUND(SUM(services_v2_9!K130,services_v2_8!K130,services_v2_7!K130,services_v2_6!K130,services_v2_10!K130)/COUNT(services_v2_9!K130,services_v2_8!K130,services_v2_7!K130,services_v2_6!K130,services_v2_10!K130),0))</f>
        <v>1</v>
      </c>
      <c r="L130">
        <f>IF($E130=0, "NA", ROUND(SUM(services_v2_9!L130,services_v2_8!L130,services_v2_7!L130,services_v2_6!L130,services_v2_10!L130)/COUNT(services_v2_9!L130,services_v2_8!L130,services_v2_7!L130,services_v2_6!L130,services_v2_10!L130),0))</f>
        <v>1</v>
      </c>
      <c r="M130">
        <f>IF($E130=0, "NA", ROUND(SUM(services_v2_9!M130,services_v2_8!M130,services_v2_7!M130,services_v2_6!M130,services_v2_10!M130)/COUNT(services_v2_9!M130,services_v2_8!M130,services_v2_7!M130,services_v2_6!M130,services_v2_10!M130),0))</f>
        <v>1</v>
      </c>
      <c r="N130">
        <f>IF($E130=0, "NA", ROUND(SUM(services_v2_9!N130,services_v2_8!N130,services_v2_7!N130,services_v2_6!N130,services_v2_10!N130)/COUNT(services_v2_9!N130,services_v2_8!N130,services_v2_7!N130,services_v2_6!N130,services_v2_10!N130),0))</f>
        <v>1</v>
      </c>
      <c r="O130">
        <f>IF($E130=0, "NA", ROUND(SUM(services_v2_9!O130,services_v2_8!O130,services_v2_7!O130,services_v2_6!O130,services_v2_10!O130)/COUNT(services_v2_9!O130,services_v2_8!O130,services_v2_7!O130,services_v2_6!O130,services_v2_10!O130),0))</f>
        <v>1</v>
      </c>
    </row>
    <row r="131" spans="1:15" x14ac:dyDescent="0.25">
      <c r="A131" t="s">
        <v>143</v>
      </c>
      <c r="B131" t="s">
        <v>43</v>
      </c>
      <c r="C131">
        <v>0</v>
      </c>
      <c r="D131">
        <v>2.6757385730743408</v>
      </c>
      <c r="E131">
        <f>ROUND(SUM(services_v2_9!E131,services_v2_8!E131,services_v2_7!E131,services_v2_6!E131,services_v2_10!E131)/COUNT(services_v2_9!E131,services_v2_8!E131,services_v2_7!E131,services_v2_6!E131,services_v2_10!E131),0)</f>
        <v>1</v>
      </c>
      <c r="F131">
        <f>IF($E131=0, "NA", ROUND(SUM(services_v2_9!F131,services_v2_8!F131,services_v2_7!F131,services_v2_6!F131,services_v2_10!F131)/COUNT(services_v2_9!F131,services_v2_8!F131,services_v2_7!F131,services_v2_6!F131,services_v2_10!F131),0))</f>
        <v>1</v>
      </c>
      <c r="G131">
        <f>IF($E131=0, "NA", ROUND(SUM(services_v2_9!G131,services_v2_8!G131,services_v2_7!G131,services_v2_6!G131,services_v2_10!G131)/COUNT(services_v2_9!G131,services_v2_8!G131,services_v2_7!G131,services_v2_6!G131,services_v2_10!G131),0))</f>
        <v>1</v>
      </c>
      <c r="H131">
        <f>IF(AND(F131=1,G131=1),ROUND(SUM(services_v2_9!H131,services_v2_8!H131,services_v2_7!H131,services_v2_6!H131,services_v2_10!H131)/COUNT(services_v2_9!H131,services_v2_8!H131,services_v2_7!H131,services_v2_6!H131,services_v2_10!H131),0),"NA")</f>
        <v>1</v>
      </c>
      <c r="I131">
        <f>IF($E131=0, "NA", ROUND(SUM(services_v2_9!I131,services_v2_8!I131,services_v2_7!I131,services_v2_6!I131,services_v2_10!I131)/COUNT(services_v2_9!I131,services_v2_8!I131,services_v2_7!I131,services_v2_6!I131,services_v2_10!I131),0))</f>
        <v>1</v>
      </c>
      <c r="J131">
        <f>IF(F131=1,ROUND(SUM(services_v2_9!J131,services_v2_8!J131,services_v2_7!J131,services_v2_6!J131,services_v2_10!J131)/COUNT(services_v2_9!J131,services_v2_8!J131,services_v2_7!J131,services_v2_6!J131,services_v2_10!J131),0),"NA")</f>
        <v>1</v>
      </c>
      <c r="K131">
        <f>IF($E131=0, "NA", ROUND(SUM(services_v2_9!K131,services_v2_8!K131,services_v2_7!K131,services_v2_6!K131,services_v2_10!K131)/COUNT(services_v2_9!K131,services_v2_8!K131,services_v2_7!K131,services_v2_6!K131,services_v2_10!K131),0))</f>
        <v>1</v>
      </c>
      <c r="L131">
        <f>IF($E131=0, "NA", ROUND(SUM(services_v2_9!L131,services_v2_8!L131,services_v2_7!L131,services_v2_6!L131,services_v2_10!L131)/COUNT(services_v2_9!L131,services_v2_8!L131,services_v2_7!L131,services_v2_6!L131,services_v2_10!L131),0))</f>
        <v>1</v>
      </c>
      <c r="M131">
        <f>IF($E131=0, "NA", ROUND(SUM(services_v2_9!M131,services_v2_8!M131,services_v2_7!M131,services_v2_6!M131,services_v2_10!M131)/COUNT(services_v2_9!M131,services_v2_8!M131,services_v2_7!M131,services_v2_6!M131,services_v2_10!M131),0))</f>
        <v>1</v>
      </c>
      <c r="N131">
        <f>IF($E131=0, "NA", ROUND(SUM(services_v2_9!N131,services_v2_8!N131,services_v2_7!N131,services_v2_6!N131,services_v2_10!N131)/COUNT(services_v2_9!N131,services_v2_8!N131,services_v2_7!N131,services_v2_6!N131,services_v2_10!N131),0))</f>
        <v>1</v>
      </c>
      <c r="O131">
        <f>IF($E131=0, "NA", ROUND(SUM(services_v2_9!O131,services_v2_8!O131,services_v2_7!O131,services_v2_6!O131,services_v2_10!O131)/COUNT(services_v2_9!O131,services_v2_8!O131,services_v2_7!O131,services_v2_6!O131,services_v2_10!O131),0))</f>
        <v>1</v>
      </c>
    </row>
    <row r="132" spans="1:15" x14ac:dyDescent="0.25">
      <c r="A132" t="s">
        <v>143</v>
      </c>
      <c r="B132" t="s">
        <v>44</v>
      </c>
      <c r="C132">
        <v>0</v>
      </c>
      <c r="D132">
        <v>12.40927696228027</v>
      </c>
      <c r="E132">
        <f>ROUND(SUM(services_v2_9!E132,services_v2_8!E132,services_v2_7!E132,services_v2_6!E132,services_v2_10!E132)/COUNT(services_v2_9!E132,services_v2_8!E132,services_v2_7!E132,services_v2_6!E132,services_v2_10!E132),0)</f>
        <v>1</v>
      </c>
      <c r="F132">
        <f>IF($E132=0, "NA", ROUND(SUM(services_v2_9!F132,services_v2_8!F132,services_v2_7!F132,services_v2_6!F132,services_v2_10!F132)/COUNT(services_v2_9!F132,services_v2_8!F132,services_v2_7!F132,services_v2_6!F132,services_v2_10!F132),0))</f>
        <v>1</v>
      </c>
      <c r="G132">
        <f>IF($E132=0, "NA", ROUND(SUM(services_v2_9!G132,services_v2_8!G132,services_v2_7!G132,services_v2_6!G132,services_v2_10!G132)/COUNT(services_v2_9!G132,services_v2_8!G132,services_v2_7!G132,services_v2_6!G132,services_v2_10!G132),0))</f>
        <v>0</v>
      </c>
      <c r="H132" t="str">
        <f>IF(AND(F132=1,G132=1),ROUND(SUM(services_v2_9!H132,services_v2_8!H132,services_v2_7!H132,services_v2_6!H132,services_v2_10!H132)/COUNT(services_v2_9!H132,services_v2_8!H132,services_v2_7!H132,services_v2_6!H132,services_v2_10!H132),0),"NA")</f>
        <v>NA</v>
      </c>
      <c r="I132">
        <f>IF($E132=0, "NA", ROUND(SUM(services_v2_9!I132,services_v2_8!I132,services_v2_7!I132,services_v2_6!I132,services_v2_10!I132)/COUNT(services_v2_9!I132,services_v2_8!I132,services_v2_7!I132,services_v2_6!I132,services_v2_10!I132),0))</f>
        <v>1</v>
      </c>
      <c r="J132">
        <f>IF(F132=1,ROUND(SUM(services_v2_9!J132,services_v2_8!J132,services_v2_7!J132,services_v2_6!J132,services_v2_10!J132)/COUNT(services_v2_9!J132,services_v2_8!J132,services_v2_7!J132,services_v2_6!J132,services_v2_10!J132),0),"NA")</f>
        <v>1</v>
      </c>
      <c r="K132">
        <f>IF($E132=0, "NA", ROUND(SUM(services_v2_9!K132,services_v2_8!K132,services_v2_7!K132,services_v2_6!K132,services_v2_10!K132)/COUNT(services_v2_9!K132,services_v2_8!K132,services_v2_7!K132,services_v2_6!K132,services_v2_10!K132),0))</f>
        <v>1</v>
      </c>
      <c r="L132">
        <f>IF($E132=0, "NA", ROUND(SUM(services_v2_9!L132,services_v2_8!L132,services_v2_7!L132,services_v2_6!L132,services_v2_10!L132)/COUNT(services_v2_9!L132,services_v2_8!L132,services_v2_7!L132,services_v2_6!L132,services_v2_10!L132),0))</f>
        <v>1</v>
      </c>
      <c r="M132">
        <f>IF($E132=0, "NA", ROUND(SUM(services_v2_9!M132,services_v2_8!M132,services_v2_7!M132,services_v2_6!M132,services_v2_10!M132)/COUNT(services_v2_9!M132,services_v2_8!M132,services_v2_7!M132,services_v2_6!M132,services_v2_10!M132),0))</f>
        <v>0</v>
      </c>
      <c r="N132">
        <f>IF($E132=0, "NA", ROUND(SUM(services_v2_9!N132,services_v2_8!N132,services_v2_7!N132,services_v2_6!N132,services_v2_10!N132)/COUNT(services_v2_9!N132,services_v2_8!N132,services_v2_7!N132,services_v2_6!N132,services_v2_10!N132),0))</f>
        <v>1</v>
      </c>
      <c r="O132">
        <f>IF($E132=0, "NA", ROUND(SUM(services_v2_9!O132,services_v2_8!O132,services_v2_7!O132,services_v2_6!O132,services_v2_10!O132)/COUNT(services_v2_9!O132,services_v2_8!O132,services_v2_7!O132,services_v2_6!O132,services_v2_10!O132),0))</f>
        <v>1</v>
      </c>
    </row>
    <row r="133" spans="1:15" x14ac:dyDescent="0.25">
      <c r="A133" t="s">
        <v>143</v>
      </c>
      <c r="B133" t="s">
        <v>46</v>
      </c>
      <c r="C133">
        <v>0</v>
      </c>
      <c r="D133">
        <v>12.64328837394714</v>
      </c>
      <c r="E133">
        <f>ROUND(SUM(services_v2_9!E133,services_v2_8!E133,services_v2_7!E133,services_v2_6!E133,services_v2_10!E133)/COUNT(services_v2_9!E133,services_v2_8!E133,services_v2_7!E133,services_v2_6!E133,services_v2_10!E133),0)</f>
        <v>1</v>
      </c>
      <c r="F133">
        <f>IF($E133=0, "NA", ROUND(SUM(services_v2_9!F133,services_v2_8!F133,services_v2_7!F133,services_v2_6!F133,services_v2_10!F133)/COUNT(services_v2_9!F133,services_v2_8!F133,services_v2_7!F133,services_v2_6!F133,services_v2_10!F133),0))</f>
        <v>1</v>
      </c>
      <c r="G133">
        <f>IF($E133=0, "NA", ROUND(SUM(services_v2_9!G133,services_v2_8!G133,services_v2_7!G133,services_v2_6!G133,services_v2_10!G133)/COUNT(services_v2_9!G133,services_v2_8!G133,services_v2_7!G133,services_v2_6!G133,services_v2_10!G133),0))</f>
        <v>1</v>
      </c>
      <c r="H133">
        <f>IF(AND(F133=1,G133=1),ROUND(SUM(services_v2_9!H133,services_v2_8!H133,services_v2_7!H133,services_v2_6!H133,services_v2_10!H133)/COUNT(services_v2_9!H133,services_v2_8!H133,services_v2_7!H133,services_v2_6!H133,services_v2_10!H133),0),"NA")</f>
        <v>1</v>
      </c>
      <c r="I133">
        <f>IF($E133=0, "NA", ROUND(SUM(services_v2_9!I133,services_v2_8!I133,services_v2_7!I133,services_v2_6!I133,services_v2_10!I133)/COUNT(services_v2_9!I133,services_v2_8!I133,services_v2_7!I133,services_v2_6!I133,services_v2_10!I133),0))</f>
        <v>1</v>
      </c>
      <c r="J133">
        <f>IF(F133=1,ROUND(SUM(services_v2_9!J133,services_v2_8!J133,services_v2_7!J133,services_v2_6!J133,services_v2_10!J133)/COUNT(services_v2_9!J133,services_v2_8!J133,services_v2_7!J133,services_v2_6!J133,services_v2_10!J133),0),"NA")</f>
        <v>1</v>
      </c>
      <c r="K133">
        <f>IF($E133=0, "NA", ROUND(SUM(services_v2_9!K133,services_v2_8!K133,services_v2_7!K133,services_v2_6!K133,services_v2_10!K133)/COUNT(services_v2_9!K133,services_v2_8!K133,services_v2_7!K133,services_v2_6!K133,services_v2_10!K133),0))</f>
        <v>0</v>
      </c>
      <c r="L133">
        <f>IF($E133=0, "NA", ROUND(SUM(services_v2_9!L133,services_v2_8!L133,services_v2_7!L133,services_v2_6!L133,services_v2_10!L133)/COUNT(services_v2_9!L133,services_v2_8!L133,services_v2_7!L133,services_v2_6!L133,services_v2_10!L133),0))</f>
        <v>1</v>
      </c>
      <c r="M133">
        <f>IF($E133=0, "NA", ROUND(SUM(services_v2_9!M133,services_v2_8!M133,services_v2_7!M133,services_v2_6!M133,services_v2_10!M133)/COUNT(services_v2_9!M133,services_v2_8!M133,services_v2_7!M133,services_v2_6!M133,services_v2_10!M133),0))</f>
        <v>0</v>
      </c>
      <c r="N133">
        <f>IF($E133=0, "NA", ROUND(SUM(services_v2_9!N133,services_v2_8!N133,services_v2_7!N133,services_v2_6!N133,services_v2_10!N133)/COUNT(services_v2_9!N133,services_v2_8!N133,services_v2_7!N133,services_v2_6!N133,services_v2_10!N133),0))</f>
        <v>1</v>
      </c>
      <c r="O133">
        <f>IF($E133=0, "NA", ROUND(SUM(services_v2_9!O133,services_v2_8!O133,services_v2_7!O133,services_v2_6!O133,services_v2_10!O133)/COUNT(services_v2_9!O133,services_v2_8!O133,services_v2_7!O133,services_v2_6!O133,services_v2_10!O133),0))</f>
        <v>1</v>
      </c>
    </row>
    <row r="134" spans="1:15" x14ac:dyDescent="0.25">
      <c r="A134" t="s">
        <v>143</v>
      </c>
      <c r="B134" t="s">
        <v>48</v>
      </c>
      <c r="C134">
        <v>0</v>
      </c>
      <c r="D134">
        <v>2.754470586776733</v>
      </c>
      <c r="E134">
        <f>ROUND(SUM(services_v2_9!E134,services_v2_8!E134,services_v2_7!E134,services_v2_6!E134,services_v2_10!E134)/COUNT(services_v2_9!E134,services_v2_8!E134,services_v2_7!E134,services_v2_6!E134,services_v2_10!E134),0)</f>
        <v>1</v>
      </c>
      <c r="F134">
        <f>IF($E134=0, "NA", ROUND(SUM(services_v2_9!F134,services_v2_8!F134,services_v2_7!F134,services_v2_6!F134,services_v2_10!F134)/COUNT(services_v2_9!F134,services_v2_8!F134,services_v2_7!F134,services_v2_6!F134,services_v2_10!F134),0))</f>
        <v>1</v>
      </c>
      <c r="G134">
        <f>IF($E134=0, "NA", ROUND(SUM(services_v2_9!G134,services_v2_8!G134,services_v2_7!G134,services_v2_6!G134,services_v2_10!G134)/COUNT(services_v2_9!G134,services_v2_8!G134,services_v2_7!G134,services_v2_6!G134,services_v2_10!G134),0))</f>
        <v>1</v>
      </c>
      <c r="H134">
        <f>IF(AND(F134=1,G134=1),ROUND(SUM(services_v2_9!H134,services_v2_8!H134,services_v2_7!H134,services_v2_6!H134,services_v2_10!H134)/COUNT(services_v2_9!H134,services_v2_8!H134,services_v2_7!H134,services_v2_6!H134,services_v2_10!H134),0),"NA")</f>
        <v>1</v>
      </c>
      <c r="I134">
        <f>IF($E134=0, "NA", ROUND(SUM(services_v2_9!I134,services_v2_8!I134,services_v2_7!I134,services_v2_6!I134,services_v2_10!I134)/COUNT(services_v2_9!I134,services_v2_8!I134,services_v2_7!I134,services_v2_6!I134,services_v2_10!I134),0))</f>
        <v>1</v>
      </c>
      <c r="J134">
        <f>IF(F134=1,ROUND(SUM(services_v2_9!J134,services_v2_8!J134,services_v2_7!J134,services_v2_6!J134,services_v2_10!J134)/COUNT(services_v2_9!J134,services_v2_8!J134,services_v2_7!J134,services_v2_6!J134,services_v2_10!J134),0),"NA")</f>
        <v>1</v>
      </c>
      <c r="K134">
        <f>IF($E134=0, "NA", ROUND(SUM(services_v2_9!K134,services_v2_8!K134,services_v2_7!K134,services_v2_6!K134,services_v2_10!K134)/COUNT(services_v2_9!K134,services_v2_8!K134,services_v2_7!K134,services_v2_6!K134,services_v2_10!K134),0))</f>
        <v>1</v>
      </c>
      <c r="L134">
        <f>IF($E134=0, "NA", ROUND(SUM(services_v2_9!L134,services_v2_8!L134,services_v2_7!L134,services_v2_6!L134,services_v2_10!L134)/COUNT(services_v2_9!L134,services_v2_8!L134,services_v2_7!L134,services_v2_6!L134,services_v2_10!L134),0))</f>
        <v>1</v>
      </c>
      <c r="M134">
        <f>IF($E134=0, "NA", ROUND(SUM(services_v2_9!M134,services_v2_8!M134,services_v2_7!M134,services_v2_6!M134,services_v2_10!M134)/COUNT(services_v2_9!M134,services_v2_8!M134,services_v2_7!M134,services_v2_6!M134,services_v2_10!M134),0))</f>
        <v>1</v>
      </c>
      <c r="N134">
        <f>IF($E134=0, "NA", ROUND(SUM(services_v2_9!N134,services_v2_8!N134,services_v2_7!N134,services_v2_6!N134,services_v2_10!N134)/COUNT(services_v2_9!N134,services_v2_8!N134,services_v2_7!N134,services_v2_6!N134,services_v2_10!N134),0))</f>
        <v>1</v>
      </c>
      <c r="O134">
        <f>IF($E134=0, "NA", ROUND(SUM(services_v2_9!O134,services_v2_8!O134,services_v2_7!O134,services_v2_6!O134,services_v2_10!O134)/COUNT(services_v2_9!O134,services_v2_8!O134,services_v2_7!O134,services_v2_6!O134,services_v2_10!O134),0))</f>
        <v>1</v>
      </c>
    </row>
    <row r="135" spans="1:15" x14ac:dyDescent="0.25">
      <c r="A135" t="s">
        <v>143</v>
      </c>
      <c r="B135" t="s">
        <v>50</v>
      </c>
      <c r="C135">
        <v>0</v>
      </c>
      <c r="D135">
        <v>8.8331828117370605</v>
      </c>
      <c r="E135">
        <f>ROUND(SUM(services_v2_9!E135,services_v2_8!E135,services_v2_7!E135,services_v2_6!E135,services_v2_10!E135)/COUNT(services_v2_9!E135,services_v2_8!E135,services_v2_7!E135,services_v2_6!E135,services_v2_10!E135),0)</f>
        <v>0</v>
      </c>
      <c r="F135" t="str">
        <f>IF($E135=0, "NA", ROUND(SUM(services_v2_9!F135,services_v2_8!F135,services_v2_7!F135,services_v2_6!F135,services_v2_10!F135)/COUNT(services_v2_9!F135,services_v2_8!F135,services_v2_7!F135,services_v2_6!F135,services_v2_10!F135),0))</f>
        <v>NA</v>
      </c>
      <c r="G135" t="str">
        <f>IF($E135=0, "NA", ROUND(SUM(services_v2_9!G135,services_v2_8!G135,services_v2_7!G135,services_v2_6!G135,services_v2_10!G135)/COUNT(services_v2_9!G135,services_v2_8!G135,services_v2_7!G135,services_v2_6!G135,services_v2_10!G135),0))</f>
        <v>NA</v>
      </c>
      <c r="H135" t="str">
        <f>IF(AND(F135=1,G135=1),ROUND(SUM(services_v2_9!H135,services_v2_8!H135,services_v2_7!H135,services_v2_6!H135,services_v2_10!H135)/COUNT(services_v2_9!H135,services_v2_8!H135,services_v2_7!H135,services_v2_6!H135,services_v2_10!H135),0),"NA")</f>
        <v>NA</v>
      </c>
      <c r="I135" t="str">
        <f>IF($E135=0, "NA", ROUND(SUM(services_v2_9!I135,services_v2_8!I135,services_v2_7!I135,services_v2_6!I135,services_v2_10!I135)/COUNT(services_v2_9!I135,services_v2_8!I135,services_v2_7!I135,services_v2_6!I135,services_v2_10!I135),0))</f>
        <v>NA</v>
      </c>
      <c r="J135" t="str">
        <f>IF(F135=1,ROUND(SUM(services_v2_9!J135,services_v2_8!J135,services_v2_7!J135,services_v2_6!J135,services_v2_10!J135)/COUNT(services_v2_9!J135,services_v2_8!J135,services_v2_7!J135,services_v2_6!J135,services_v2_10!J135),0),"NA")</f>
        <v>NA</v>
      </c>
      <c r="K135" t="str">
        <f>IF($E135=0, "NA", ROUND(SUM(services_v2_9!K135,services_v2_8!K135,services_v2_7!K135,services_v2_6!K135,services_v2_10!K135)/COUNT(services_v2_9!K135,services_v2_8!K135,services_v2_7!K135,services_v2_6!K135,services_v2_10!K135),0))</f>
        <v>NA</v>
      </c>
      <c r="L135" t="str">
        <f>IF($E135=0, "NA", ROUND(SUM(services_v2_9!L135,services_v2_8!L135,services_v2_7!L135,services_v2_6!L135,services_v2_10!L135)/COUNT(services_v2_9!L135,services_v2_8!L135,services_v2_7!L135,services_v2_6!L135,services_v2_10!L135),0))</f>
        <v>NA</v>
      </c>
      <c r="M135" t="str">
        <f>IF($E135=0, "NA", ROUND(SUM(services_v2_9!M135,services_v2_8!M135,services_v2_7!M135,services_v2_6!M135,services_v2_10!M135)/COUNT(services_v2_9!M135,services_v2_8!M135,services_v2_7!M135,services_v2_6!M135,services_v2_10!M135),0))</f>
        <v>NA</v>
      </c>
      <c r="N135" t="str">
        <f>IF($E135=0, "NA", ROUND(SUM(services_v2_9!N135,services_v2_8!N135,services_v2_7!N135,services_v2_6!N135,services_v2_10!N135)/COUNT(services_v2_9!N135,services_v2_8!N135,services_v2_7!N135,services_v2_6!N135,services_v2_10!N135),0))</f>
        <v>NA</v>
      </c>
      <c r="O135" t="str">
        <f>IF($E135=0, "NA", ROUND(SUM(services_v2_9!O135,services_v2_8!O135,services_v2_7!O135,services_v2_6!O135,services_v2_10!O135)/COUNT(services_v2_9!O135,services_v2_8!O135,services_v2_7!O135,services_v2_6!O135,services_v2_10!O135),0))</f>
        <v>NA</v>
      </c>
    </row>
    <row r="136" spans="1:15" x14ac:dyDescent="0.25">
      <c r="A136" t="s">
        <v>143</v>
      </c>
      <c r="B136" t="s">
        <v>51</v>
      </c>
      <c r="C136">
        <v>0</v>
      </c>
      <c r="D136">
        <v>9.2691812515258789</v>
      </c>
      <c r="E136">
        <f>ROUND(SUM(services_v2_9!E136,services_v2_8!E136,services_v2_7!E136,services_v2_6!E136,services_v2_10!E136)/COUNT(services_v2_9!E136,services_v2_8!E136,services_v2_7!E136,services_v2_6!E136,services_v2_10!E136),0)</f>
        <v>1</v>
      </c>
      <c r="F136">
        <f>IF($E136=0, "NA", ROUND(SUM(services_v2_9!F136,services_v2_8!F136,services_v2_7!F136,services_v2_6!F136,services_v2_10!F136)/COUNT(services_v2_9!F136,services_v2_8!F136,services_v2_7!F136,services_v2_6!F136,services_v2_10!F136),0))</f>
        <v>1</v>
      </c>
      <c r="G136">
        <f>IF($E136=0, "NA", ROUND(SUM(services_v2_9!G136,services_v2_8!G136,services_v2_7!G136,services_v2_6!G136,services_v2_10!G136)/COUNT(services_v2_9!G136,services_v2_8!G136,services_v2_7!G136,services_v2_6!G136,services_v2_10!G136),0))</f>
        <v>1</v>
      </c>
      <c r="H136">
        <f>IF(AND(F136=1,G136=1),ROUND(SUM(services_v2_9!H136,services_v2_8!H136,services_v2_7!H136,services_v2_6!H136,services_v2_10!H136)/COUNT(services_v2_9!H136,services_v2_8!H136,services_v2_7!H136,services_v2_6!H136,services_v2_10!H136),0),"NA")</f>
        <v>1</v>
      </c>
      <c r="I136">
        <f>IF($E136=0, "NA", ROUND(SUM(services_v2_9!I136,services_v2_8!I136,services_v2_7!I136,services_v2_6!I136,services_v2_10!I136)/COUNT(services_v2_9!I136,services_v2_8!I136,services_v2_7!I136,services_v2_6!I136,services_v2_10!I136),0))</f>
        <v>1</v>
      </c>
      <c r="J136">
        <f>IF(F136=1,ROUND(SUM(services_v2_9!J136,services_v2_8!J136,services_v2_7!J136,services_v2_6!J136,services_v2_10!J136)/COUNT(services_v2_9!J136,services_v2_8!J136,services_v2_7!J136,services_v2_6!J136,services_v2_10!J136),0),"NA")</f>
        <v>1</v>
      </c>
      <c r="K136">
        <f>IF($E136=0, "NA", ROUND(SUM(services_v2_9!K136,services_v2_8!K136,services_v2_7!K136,services_v2_6!K136,services_v2_10!K136)/COUNT(services_v2_9!K136,services_v2_8!K136,services_v2_7!K136,services_v2_6!K136,services_v2_10!K136),0))</f>
        <v>1</v>
      </c>
      <c r="L136">
        <f>IF($E136=0, "NA", ROUND(SUM(services_v2_9!L136,services_v2_8!L136,services_v2_7!L136,services_v2_6!L136,services_v2_10!L136)/COUNT(services_v2_9!L136,services_v2_8!L136,services_v2_7!L136,services_v2_6!L136,services_v2_10!L136),0))</f>
        <v>1</v>
      </c>
      <c r="M136">
        <f>IF($E136=0, "NA", ROUND(SUM(services_v2_9!M136,services_v2_8!M136,services_v2_7!M136,services_v2_6!M136,services_v2_10!M136)/COUNT(services_v2_9!M136,services_v2_8!M136,services_v2_7!M136,services_v2_6!M136,services_v2_10!M136),0))</f>
        <v>1</v>
      </c>
      <c r="N136">
        <f>IF($E136=0, "NA", ROUND(SUM(services_v2_9!N136,services_v2_8!N136,services_v2_7!N136,services_v2_6!N136,services_v2_10!N136)/COUNT(services_v2_9!N136,services_v2_8!N136,services_v2_7!N136,services_v2_6!N136,services_v2_10!N136),0))</f>
        <v>1</v>
      </c>
      <c r="O136">
        <f>IF($E136=0, "NA", ROUND(SUM(services_v2_9!O136,services_v2_8!O136,services_v2_7!O136,services_v2_6!O136,services_v2_10!O136)/COUNT(services_v2_9!O136,services_v2_8!O136,services_v2_7!O136,services_v2_6!O136,services_v2_10!O136),0))</f>
        <v>1</v>
      </c>
    </row>
    <row r="137" spans="1:15" x14ac:dyDescent="0.25">
      <c r="A137" t="s">
        <v>143</v>
      </c>
      <c r="B137" t="s">
        <v>52</v>
      </c>
      <c r="C137">
        <v>0</v>
      </c>
      <c r="D137">
        <v>5.0913951396942139</v>
      </c>
      <c r="E137">
        <f>ROUND(SUM(services_v2_9!E137,services_v2_8!E137,services_v2_7!E137,services_v2_6!E137,services_v2_10!E137)/COUNT(services_v2_9!E137,services_v2_8!E137,services_v2_7!E137,services_v2_6!E137,services_v2_10!E137),0)</f>
        <v>1</v>
      </c>
      <c r="F137">
        <f>IF($E137=0, "NA", ROUND(SUM(services_v2_9!F137,services_v2_8!F137,services_v2_7!F137,services_v2_6!F137,services_v2_10!F137)/COUNT(services_v2_9!F137,services_v2_8!F137,services_v2_7!F137,services_v2_6!F137,services_v2_10!F137),0))</f>
        <v>0</v>
      </c>
      <c r="G137">
        <f>IF($E137=0, "NA", ROUND(SUM(services_v2_9!G137,services_v2_8!G137,services_v2_7!G137,services_v2_6!G137,services_v2_10!G137)/COUNT(services_v2_9!G137,services_v2_8!G137,services_v2_7!G137,services_v2_6!G137,services_v2_10!G137),0))</f>
        <v>1</v>
      </c>
      <c r="H137" t="str">
        <f>IF(AND(F137=1,G137=1),ROUND(SUM(services_v2_9!H137,services_v2_8!H137,services_v2_7!H137,services_v2_6!H137,services_v2_10!H137)/COUNT(services_v2_9!H137,services_v2_8!H137,services_v2_7!H137,services_v2_6!H137,services_v2_10!H137),0),"NA")</f>
        <v>NA</v>
      </c>
      <c r="I137">
        <f>IF($E137=0, "NA", ROUND(SUM(services_v2_9!I137,services_v2_8!I137,services_v2_7!I137,services_v2_6!I137,services_v2_10!I137)/COUNT(services_v2_9!I137,services_v2_8!I137,services_v2_7!I137,services_v2_6!I137,services_v2_10!I137),0))</f>
        <v>1</v>
      </c>
      <c r="J137" t="str">
        <f>IF(F137=1,ROUND(SUM(services_v2_9!J137,services_v2_8!J137,services_v2_7!J137,services_v2_6!J137,services_v2_10!J137)/COUNT(services_v2_9!J137,services_v2_8!J137,services_v2_7!J137,services_v2_6!J137,services_v2_10!J137),0),"NA")</f>
        <v>NA</v>
      </c>
      <c r="K137">
        <f>IF($E137=0, "NA", ROUND(SUM(services_v2_9!K137,services_v2_8!K137,services_v2_7!K137,services_v2_6!K137,services_v2_10!K137)/COUNT(services_v2_9!K137,services_v2_8!K137,services_v2_7!K137,services_v2_6!K137,services_v2_10!K137),0))</f>
        <v>1</v>
      </c>
      <c r="L137">
        <f>IF($E137=0, "NA", ROUND(SUM(services_v2_9!L137,services_v2_8!L137,services_v2_7!L137,services_v2_6!L137,services_v2_10!L137)/COUNT(services_v2_9!L137,services_v2_8!L137,services_v2_7!L137,services_v2_6!L137,services_v2_10!L137),0))</f>
        <v>1</v>
      </c>
      <c r="M137">
        <f>IF($E137=0, "NA", ROUND(SUM(services_v2_9!M137,services_v2_8!M137,services_v2_7!M137,services_v2_6!M137,services_v2_10!M137)/COUNT(services_v2_9!M137,services_v2_8!M137,services_v2_7!M137,services_v2_6!M137,services_v2_10!M137),0))</f>
        <v>1</v>
      </c>
      <c r="N137">
        <f>IF($E137=0, "NA", ROUND(SUM(services_v2_9!N137,services_v2_8!N137,services_v2_7!N137,services_v2_6!N137,services_v2_10!N137)/COUNT(services_v2_9!N137,services_v2_8!N137,services_v2_7!N137,services_v2_6!N137,services_v2_10!N137),0))</f>
        <v>1</v>
      </c>
      <c r="O137">
        <f>IF($E137=0, "NA", ROUND(SUM(services_v2_9!O137,services_v2_8!O137,services_v2_7!O137,services_v2_6!O137,services_v2_10!O137)/COUNT(services_v2_9!O137,services_v2_8!O137,services_v2_7!O137,services_v2_6!O137,services_v2_10!O137),0))</f>
        <v>1</v>
      </c>
    </row>
    <row r="138" spans="1:15" x14ac:dyDescent="0.25">
      <c r="A138" t="s">
        <v>143</v>
      </c>
      <c r="B138" t="s">
        <v>53</v>
      </c>
      <c r="C138">
        <v>0</v>
      </c>
      <c r="D138">
        <v>5.6606476306915283</v>
      </c>
      <c r="E138">
        <f>ROUND(SUM(services_v2_9!E138,services_v2_8!E138,services_v2_7!E138,services_v2_6!E138,services_v2_10!E138)/COUNT(services_v2_9!E138,services_v2_8!E138,services_v2_7!E138,services_v2_6!E138,services_v2_10!E138),0)</f>
        <v>1</v>
      </c>
      <c r="F138">
        <f>IF($E138=0, "NA", ROUND(SUM(services_v2_9!F138,services_v2_8!F138,services_v2_7!F138,services_v2_6!F138,services_v2_10!F138)/COUNT(services_v2_9!F138,services_v2_8!F138,services_v2_7!F138,services_v2_6!F138,services_v2_10!F138),0))</f>
        <v>0</v>
      </c>
      <c r="G138">
        <f>IF($E138=0, "NA", ROUND(SUM(services_v2_9!G138,services_v2_8!G138,services_v2_7!G138,services_v2_6!G138,services_v2_10!G138)/COUNT(services_v2_9!G138,services_v2_8!G138,services_v2_7!G138,services_v2_6!G138,services_v2_10!G138),0))</f>
        <v>1</v>
      </c>
      <c r="H138" t="str">
        <f>IF(AND(F138=1,G138=1),ROUND(SUM(services_v2_9!H138,services_v2_8!H138,services_v2_7!H138,services_v2_6!H138,services_v2_10!H138)/COUNT(services_v2_9!H138,services_v2_8!H138,services_v2_7!H138,services_v2_6!H138,services_v2_10!H138),0),"NA")</f>
        <v>NA</v>
      </c>
      <c r="I138">
        <f>IF($E138=0, "NA", ROUND(SUM(services_v2_9!I138,services_v2_8!I138,services_v2_7!I138,services_v2_6!I138,services_v2_10!I138)/COUNT(services_v2_9!I138,services_v2_8!I138,services_v2_7!I138,services_v2_6!I138,services_v2_10!I138),0))</f>
        <v>1</v>
      </c>
      <c r="J138" t="str">
        <f>IF(F138=1,ROUND(SUM(services_v2_9!J138,services_v2_8!J138,services_v2_7!J138,services_v2_6!J138,services_v2_10!J138)/COUNT(services_v2_9!J138,services_v2_8!J138,services_v2_7!J138,services_v2_6!J138,services_v2_10!J138),0),"NA")</f>
        <v>NA</v>
      </c>
      <c r="K138">
        <f>IF($E138=0, "NA", ROUND(SUM(services_v2_9!K138,services_v2_8!K138,services_v2_7!K138,services_v2_6!K138,services_v2_10!K138)/COUNT(services_v2_9!K138,services_v2_8!K138,services_v2_7!K138,services_v2_6!K138,services_v2_10!K138),0))</f>
        <v>1</v>
      </c>
      <c r="L138">
        <f>IF($E138=0, "NA", ROUND(SUM(services_v2_9!L138,services_v2_8!L138,services_v2_7!L138,services_v2_6!L138,services_v2_10!L138)/COUNT(services_v2_9!L138,services_v2_8!L138,services_v2_7!L138,services_v2_6!L138,services_v2_10!L138),0))</f>
        <v>1</v>
      </c>
      <c r="M138">
        <f>IF($E138=0, "NA", ROUND(SUM(services_v2_9!M138,services_v2_8!M138,services_v2_7!M138,services_v2_6!M138,services_v2_10!M138)/COUNT(services_v2_9!M138,services_v2_8!M138,services_v2_7!M138,services_v2_6!M138,services_v2_10!M138),0))</f>
        <v>1</v>
      </c>
      <c r="N138">
        <f>IF($E138=0, "NA", ROUND(SUM(services_v2_9!N138,services_v2_8!N138,services_v2_7!N138,services_v2_6!N138,services_v2_10!N138)/COUNT(services_v2_9!N138,services_v2_8!N138,services_v2_7!N138,services_v2_6!N138,services_v2_10!N138),0))</f>
        <v>1</v>
      </c>
      <c r="O138">
        <f>IF($E138=0, "NA", ROUND(SUM(services_v2_9!O138,services_v2_8!O138,services_v2_7!O138,services_v2_6!O138,services_v2_10!O138)/COUNT(services_v2_9!O138,services_v2_8!O138,services_v2_7!O138,services_v2_6!O138,services_v2_10!O138),0))</f>
        <v>1</v>
      </c>
    </row>
    <row r="139" spans="1:15" x14ac:dyDescent="0.25">
      <c r="A139" t="s">
        <v>143</v>
      </c>
      <c r="B139" t="s">
        <v>55</v>
      </c>
      <c r="C139">
        <v>0</v>
      </c>
      <c r="D139">
        <v>10.18534827232361</v>
      </c>
      <c r="E139">
        <f>ROUND(SUM(services_v2_9!E139,services_v2_8!E139,services_v2_7!E139,services_v2_6!E139,services_v2_10!E139)/COUNT(services_v2_9!E139,services_v2_8!E139,services_v2_7!E139,services_v2_6!E139,services_v2_10!E139),0)</f>
        <v>1</v>
      </c>
      <c r="F139">
        <f>IF($E139=0, "NA", ROUND(SUM(services_v2_9!F139,services_v2_8!F139,services_v2_7!F139,services_v2_6!F139,services_v2_10!F139)/COUNT(services_v2_9!F139,services_v2_8!F139,services_v2_7!F139,services_v2_6!F139,services_v2_10!F139),0))</f>
        <v>0</v>
      </c>
      <c r="G139">
        <f>IF($E139=0, "NA", ROUND(SUM(services_v2_9!G139,services_v2_8!G139,services_v2_7!G139,services_v2_6!G139,services_v2_10!G139)/COUNT(services_v2_9!G139,services_v2_8!G139,services_v2_7!G139,services_v2_6!G139,services_v2_10!G139),0))</f>
        <v>1</v>
      </c>
      <c r="H139" t="str">
        <f>IF(AND(F139=1,G139=1),ROUND(SUM(services_v2_9!H139,services_v2_8!H139,services_v2_7!H139,services_v2_6!H139,services_v2_10!H139)/COUNT(services_v2_9!H139,services_v2_8!H139,services_v2_7!H139,services_v2_6!H139,services_v2_10!H139),0),"NA")</f>
        <v>NA</v>
      </c>
      <c r="I139">
        <f>IF($E139=0, "NA", ROUND(SUM(services_v2_9!I139,services_v2_8!I139,services_v2_7!I139,services_v2_6!I139,services_v2_10!I139)/COUNT(services_v2_9!I139,services_v2_8!I139,services_v2_7!I139,services_v2_6!I139,services_v2_10!I139),0))</f>
        <v>1</v>
      </c>
      <c r="J139" t="str">
        <f>IF(F139=1,ROUND(SUM(services_v2_9!J139,services_v2_8!J139,services_v2_7!J139,services_v2_6!J139,services_v2_10!J139)/COUNT(services_v2_9!J139,services_v2_8!J139,services_v2_7!J139,services_v2_6!J139,services_v2_10!J139),0),"NA")</f>
        <v>NA</v>
      </c>
      <c r="K139">
        <f>IF($E139=0, "NA", ROUND(SUM(services_v2_9!K139,services_v2_8!K139,services_v2_7!K139,services_v2_6!K139,services_v2_10!K139)/COUNT(services_v2_9!K139,services_v2_8!K139,services_v2_7!K139,services_v2_6!K139,services_v2_10!K139),0))</f>
        <v>1</v>
      </c>
      <c r="L139">
        <f>IF($E139=0, "NA", ROUND(SUM(services_v2_9!L139,services_v2_8!L139,services_v2_7!L139,services_v2_6!L139,services_v2_10!L139)/COUNT(services_v2_9!L139,services_v2_8!L139,services_v2_7!L139,services_v2_6!L139,services_v2_10!L139),0))</f>
        <v>1</v>
      </c>
      <c r="M139">
        <f>IF($E139=0, "NA", ROUND(SUM(services_v2_9!M139,services_v2_8!M139,services_v2_7!M139,services_v2_6!M139,services_v2_10!M139)/COUNT(services_v2_9!M139,services_v2_8!M139,services_v2_7!M139,services_v2_6!M139,services_v2_10!M139),0))</f>
        <v>1</v>
      </c>
      <c r="N139">
        <f>IF($E139=0, "NA", ROUND(SUM(services_v2_9!N139,services_v2_8!N139,services_v2_7!N139,services_v2_6!N139,services_v2_10!N139)/COUNT(services_v2_9!N139,services_v2_8!N139,services_v2_7!N139,services_v2_6!N139,services_v2_10!N139),0))</f>
        <v>1</v>
      </c>
      <c r="O139">
        <f>IF($E139=0, "NA", ROUND(SUM(services_v2_9!O139,services_v2_8!O139,services_v2_7!O139,services_v2_6!O139,services_v2_10!O139)/COUNT(services_v2_9!O139,services_v2_8!O139,services_v2_7!O139,services_v2_6!O139,services_v2_10!O139),0))</f>
        <v>1</v>
      </c>
    </row>
    <row r="140" spans="1:15" x14ac:dyDescent="0.25">
      <c r="A140" t="s">
        <v>143</v>
      </c>
      <c r="B140" t="s">
        <v>57</v>
      </c>
      <c r="C140">
        <v>0</v>
      </c>
      <c r="D140">
        <v>9.8631229400634766</v>
      </c>
      <c r="E140">
        <f>ROUND(SUM(services_v2_9!E140,services_v2_8!E140,services_v2_7!E140,services_v2_6!E140,services_v2_10!E140)/COUNT(services_v2_9!E140,services_v2_8!E140,services_v2_7!E140,services_v2_6!E140,services_v2_10!E140),0)</f>
        <v>1</v>
      </c>
      <c r="F140">
        <f>IF($E140=0, "NA", ROUND(SUM(services_v2_9!F140,services_v2_8!F140,services_v2_7!F140,services_v2_6!F140,services_v2_10!F140)/COUNT(services_v2_9!F140,services_v2_8!F140,services_v2_7!F140,services_v2_6!F140,services_v2_10!F140),0))</f>
        <v>1</v>
      </c>
      <c r="G140">
        <f>IF($E140=0, "NA", ROUND(SUM(services_v2_9!G140,services_v2_8!G140,services_v2_7!G140,services_v2_6!G140,services_v2_10!G140)/COUNT(services_v2_9!G140,services_v2_8!G140,services_v2_7!G140,services_v2_6!G140,services_v2_10!G140),0))</f>
        <v>1</v>
      </c>
      <c r="H140">
        <f>IF(AND(F140=1,G140=1),ROUND(SUM(services_v2_9!H140,services_v2_8!H140,services_v2_7!H140,services_v2_6!H140,services_v2_10!H140)/COUNT(services_v2_9!H140,services_v2_8!H140,services_v2_7!H140,services_v2_6!H140,services_v2_10!H140),0),"NA")</f>
        <v>1</v>
      </c>
      <c r="I140">
        <f>IF($E140=0, "NA", ROUND(SUM(services_v2_9!I140,services_v2_8!I140,services_v2_7!I140,services_v2_6!I140,services_v2_10!I140)/COUNT(services_v2_9!I140,services_v2_8!I140,services_v2_7!I140,services_v2_6!I140,services_v2_10!I140),0))</f>
        <v>1</v>
      </c>
      <c r="J140">
        <f>IF(F140=1,ROUND(SUM(services_v2_9!J140,services_v2_8!J140,services_v2_7!J140,services_v2_6!J140,services_v2_10!J140)/COUNT(services_v2_9!J140,services_v2_8!J140,services_v2_7!J140,services_v2_6!J140,services_v2_10!J140),0),"NA")</f>
        <v>1</v>
      </c>
      <c r="K140">
        <f>IF($E140=0, "NA", ROUND(SUM(services_v2_9!K140,services_v2_8!K140,services_v2_7!K140,services_v2_6!K140,services_v2_10!K140)/COUNT(services_v2_9!K140,services_v2_8!K140,services_v2_7!K140,services_v2_6!K140,services_v2_10!K140),0))</f>
        <v>1</v>
      </c>
      <c r="L140">
        <f>IF($E140=0, "NA", ROUND(SUM(services_v2_9!L140,services_v2_8!L140,services_v2_7!L140,services_v2_6!L140,services_v2_10!L140)/COUNT(services_v2_9!L140,services_v2_8!L140,services_v2_7!L140,services_v2_6!L140,services_v2_10!L140),0))</f>
        <v>1</v>
      </c>
      <c r="M140">
        <f>IF($E140=0, "NA", ROUND(SUM(services_v2_9!M140,services_v2_8!M140,services_v2_7!M140,services_v2_6!M140,services_v2_10!M140)/COUNT(services_v2_9!M140,services_v2_8!M140,services_v2_7!M140,services_v2_6!M140,services_v2_10!M140),0))</f>
        <v>1</v>
      </c>
      <c r="N140">
        <f>IF($E140=0, "NA", ROUND(SUM(services_v2_9!N140,services_v2_8!N140,services_v2_7!N140,services_v2_6!N140,services_v2_10!N140)/COUNT(services_v2_9!N140,services_v2_8!N140,services_v2_7!N140,services_v2_6!N140,services_v2_10!N140),0))</f>
        <v>1</v>
      </c>
      <c r="O140">
        <f>IF($E140=0, "NA", ROUND(SUM(services_v2_9!O140,services_v2_8!O140,services_v2_7!O140,services_v2_6!O140,services_v2_10!O140)/COUNT(services_v2_9!O140,services_v2_8!O140,services_v2_7!O140,services_v2_6!O140,services_v2_10!O140),0))</f>
        <v>1</v>
      </c>
    </row>
    <row r="141" spans="1:15" x14ac:dyDescent="0.25">
      <c r="A141" t="s">
        <v>143</v>
      </c>
      <c r="B141" t="s">
        <v>59</v>
      </c>
      <c r="C141">
        <v>0</v>
      </c>
      <c r="D141">
        <v>9.8282699584960938</v>
      </c>
      <c r="E141">
        <f>ROUND(SUM(services_v2_9!E141,services_v2_8!E141,services_v2_7!E141,services_v2_6!E141,services_v2_10!E141)/COUNT(services_v2_9!E141,services_v2_8!E141,services_v2_7!E141,services_v2_6!E141,services_v2_10!E141),0)</f>
        <v>1</v>
      </c>
      <c r="F141">
        <f>IF($E141=0, "NA", ROUND(SUM(services_v2_9!F141,services_v2_8!F141,services_v2_7!F141,services_v2_6!F141,services_v2_10!F141)/COUNT(services_v2_9!F141,services_v2_8!F141,services_v2_7!F141,services_v2_6!F141,services_v2_10!F141),0))</f>
        <v>1</v>
      </c>
      <c r="G141">
        <f>IF($E141=0, "NA", ROUND(SUM(services_v2_9!G141,services_v2_8!G141,services_v2_7!G141,services_v2_6!G141,services_v2_10!G141)/COUNT(services_v2_9!G141,services_v2_8!G141,services_v2_7!G141,services_v2_6!G141,services_v2_10!G141),0))</f>
        <v>1</v>
      </c>
      <c r="H141">
        <f>IF(AND(F141=1,G141=1),ROUND(SUM(services_v2_9!H141,services_v2_8!H141,services_v2_7!H141,services_v2_6!H141,services_v2_10!H141)/COUNT(services_v2_9!H141,services_v2_8!H141,services_v2_7!H141,services_v2_6!H141,services_v2_10!H141),0),"NA")</f>
        <v>1</v>
      </c>
      <c r="I141">
        <f>IF($E141=0, "NA", ROUND(SUM(services_v2_9!I141,services_v2_8!I141,services_v2_7!I141,services_v2_6!I141,services_v2_10!I141)/COUNT(services_v2_9!I141,services_v2_8!I141,services_v2_7!I141,services_v2_6!I141,services_v2_10!I141),0))</f>
        <v>1</v>
      </c>
      <c r="J141">
        <f>IF(F141=1,ROUND(SUM(services_v2_9!J141,services_v2_8!J141,services_v2_7!J141,services_v2_6!J141,services_v2_10!J141)/COUNT(services_v2_9!J141,services_v2_8!J141,services_v2_7!J141,services_v2_6!J141,services_v2_10!J141),0),"NA")</f>
        <v>1</v>
      </c>
      <c r="K141">
        <f>IF($E141=0, "NA", ROUND(SUM(services_v2_9!K141,services_v2_8!K141,services_v2_7!K141,services_v2_6!K141,services_v2_10!K141)/COUNT(services_v2_9!K141,services_v2_8!K141,services_v2_7!K141,services_v2_6!K141,services_v2_10!K141),0))</f>
        <v>1</v>
      </c>
      <c r="L141">
        <f>IF($E141=0, "NA", ROUND(SUM(services_v2_9!L141,services_v2_8!L141,services_v2_7!L141,services_v2_6!L141,services_v2_10!L141)/COUNT(services_v2_9!L141,services_v2_8!L141,services_v2_7!L141,services_v2_6!L141,services_v2_10!L141),0))</f>
        <v>1</v>
      </c>
      <c r="M141">
        <f>IF($E141=0, "NA", ROUND(SUM(services_v2_9!M141,services_v2_8!M141,services_v2_7!M141,services_v2_6!M141,services_v2_10!M141)/COUNT(services_v2_9!M141,services_v2_8!M141,services_v2_7!M141,services_v2_6!M141,services_v2_10!M141),0))</f>
        <v>1</v>
      </c>
      <c r="N141">
        <f>IF($E141=0, "NA", ROUND(SUM(services_v2_9!N141,services_v2_8!N141,services_v2_7!N141,services_v2_6!N141,services_v2_10!N141)/COUNT(services_v2_9!N141,services_v2_8!N141,services_v2_7!N141,services_v2_6!N141,services_v2_10!N141),0))</f>
        <v>1</v>
      </c>
      <c r="O141">
        <f>IF($E141=0, "NA", ROUND(SUM(services_v2_9!O141,services_v2_8!O141,services_v2_7!O141,services_v2_6!O141,services_v2_10!O141)/COUNT(services_v2_9!O141,services_v2_8!O141,services_v2_7!O141,services_v2_6!O141,services_v2_10!O141),0))</f>
        <v>1</v>
      </c>
    </row>
    <row r="142" spans="1:15" x14ac:dyDescent="0.25">
      <c r="A142" t="s">
        <v>143</v>
      </c>
      <c r="B142" t="s">
        <v>61</v>
      </c>
      <c r="C142">
        <v>0</v>
      </c>
      <c r="D142">
        <v>9.3496112823486328</v>
      </c>
      <c r="E142">
        <f>ROUND(SUM(services_v2_9!E142,services_v2_8!E142,services_v2_7!E142,services_v2_6!E142,services_v2_10!E142)/COUNT(services_v2_9!E142,services_v2_8!E142,services_v2_7!E142,services_v2_6!E142,services_v2_10!E142),0)</f>
        <v>1</v>
      </c>
      <c r="F142">
        <f>IF($E142=0, "NA", ROUND(SUM(services_v2_9!F142,services_v2_8!F142,services_v2_7!F142,services_v2_6!F142,services_v2_10!F142)/COUNT(services_v2_9!F142,services_v2_8!F142,services_v2_7!F142,services_v2_6!F142,services_v2_10!F142),0))</f>
        <v>1</v>
      </c>
      <c r="G142">
        <f>IF($E142=0, "NA", ROUND(SUM(services_v2_9!G142,services_v2_8!G142,services_v2_7!G142,services_v2_6!G142,services_v2_10!G142)/COUNT(services_v2_9!G142,services_v2_8!G142,services_v2_7!G142,services_v2_6!G142,services_v2_10!G142),0))</f>
        <v>1</v>
      </c>
      <c r="H142">
        <f>IF(AND(F142=1,G142=1),ROUND(SUM(services_v2_9!H142,services_v2_8!H142,services_v2_7!H142,services_v2_6!H142,services_v2_10!H142)/COUNT(services_v2_9!H142,services_v2_8!H142,services_v2_7!H142,services_v2_6!H142,services_v2_10!H142),0),"NA")</f>
        <v>1</v>
      </c>
      <c r="I142">
        <f>IF($E142=0, "NA", ROUND(SUM(services_v2_9!I142,services_v2_8!I142,services_v2_7!I142,services_v2_6!I142,services_v2_10!I142)/COUNT(services_v2_9!I142,services_v2_8!I142,services_v2_7!I142,services_v2_6!I142,services_v2_10!I142),0))</f>
        <v>1</v>
      </c>
      <c r="J142">
        <f>IF(F142=1,ROUND(SUM(services_v2_9!J142,services_v2_8!J142,services_v2_7!J142,services_v2_6!J142,services_v2_10!J142)/COUNT(services_v2_9!J142,services_v2_8!J142,services_v2_7!J142,services_v2_6!J142,services_v2_10!J142),0),"NA")</f>
        <v>1</v>
      </c>
      <c r="K142">
        <f>IF($E142=0, "NA", ROUND(SUM(services_v2_9!K142,services_v2_8!K142,services_v2_7!K142,services_v2_6!K142,services_v2_10!K142)/COUNT(services_v2_9!K142,services_v2_8!K142,services_v2_7!K142,services_v2_6!K142,services_v2_10!K142),0))</f>
        <v>1</v>
      </c>
      <c r="L142">
        <f>IF($E142=0, "NA", ROUND(SUM(services_v2_9!L142,services_v2_8!L142,services_v2_7!L142,services_v2_6!L142,services_v2_10!L142)/COUNT(services_v2_9!L142,services_v2_8!L142,services_v2_7!L142,services_v2_6!L142,services_v2_10!L142),0))</f>
        <v>1</v>
      </c>
      <c r="M142">
        <f>IF($E142=0, "NA", ROUND(SUM(services_v2_9!M142,services_v2_8!M142,services_v2_7!M142,services_v2_6!M142,services_v2_10!M142)/COUNT(services_v2_9!M142,services_v2_8!M142,services_v2_7!M142,services_v2_6!M142,services_v2_10!M142),0))</f>
        <v>1</v>
      </c>
      <c r="N142">
        <f>IF($E142=0, "NA", ROUND(SUM(services_v2_9!N142,services_v2_8!N142,services_v2_7!N142,services_v2_6!N142,services_v2_10!N142)/COUNT(services_v2_9!N142,services_v2_8!N142,services_v2_7!N142,services_v2_6!N142,services_v2_10!N142),0))</f>
        <v>1</v>
      </c>
      <c r="O142">
        <f>IF($E142=0, "NA", ROUND(SUM(services_v2_9!O142,services_v2_8!O142,services_v2_7!O142,services_v2_6!O142,services_v2_10!O142)/COUNT(services_v2_9!O142,services_v2_8!O142,services_v2_7!O142,services_v2_6!O142,services_v2_10!O142),0))</f>
        <v>1</v>
      </c>
    </row>
    <row r="143" spans="1:15" x14ac:dyDescent="0.25">
      <c r="A143" t="s">
        <v>143</v>
      </c>
      <c r="B143" t="s">
        <v>63</v>
      </c>
      <c r="C143">
        <v>0</v>
      </c>
      <c r="D143">
        <v>2.660775899887085</v>
      </c>
      <c r="E143">
        <f>ROUND(SUM(services_v2_9!E143,services_v2_8!E143,services_v2_7!E143,services_v2_6!E143,services_v2_10!E143)/COUNT(services_v2_9!E143,services_v2_8!E143,services_v2_7!E143,services_v2_6!E143,services_v2_10!E143),0)</f>
        <v>1</v>
      </c>
      <c r="F143">
        <f>IF($E143=0, "NA", ROUND(SUM(services_v2_9!F143,services_v2_8!F143,services_v2_7!F143,services_v2_6!F143,services_v2_10!F143)/COUNT(services_v2_9!F143,services_v2_8!F143,services_v2_7!F143,services_v2_6!F143,services_v2_10!F143),0))</f>
        <v>1</v>
      </c>
      <c r="G143">
        <f>IF($E143=0, "NA", ROUND(SUM(services_v2_9!G143,services_v2_8!G143,services_v2_7!G143,services_v2_6!G143,services_v2_10!G143)/COUNT(services_v2_9!G143,services_v2_8!G143,services_v2_7!G143,services_v2_6!G143,services_v2_10!G143),0))</f>
        <v>1</v>
      </c>
      <c r="H143">
        <f>IF(AND(F143=1,G143=1),ROUND(SUM(services_v2_9!H143,services_v2_8!H143,services_v2_7!H143,services_v2_6!H143,services_v2_10!H143)/COUNT(services_v2_9!H143,services_v2_8!H143,services_v2_7!H143,services_v2_6!H143,services_v2_10!H143),0),"NA")</f>
        <v>1</v>
      </c>
      <c r="I143">
        <f>IF($E143=0, "NA", ROUND(SUM(services_v2_9!I143,services_v2_8!I143,services_v2_7!I143,services_v2_6!I143,services_v2_10!I143)/COUNT(services_v2_9!I143,services_v2_8!I143,services_v2_7!I143,services_v2_6!I143,services_v2_10!I143),0))</f>
        <v>1</v>
      </c>
      <c r="J143">
        <f>IF(F143=1,ROUND(SUM(services_v2_9!J143,services_v2_8!J143,services_v2_7!J143,services_v2_6!J143,services_v2_10!J143)/COUNT(services_v2_9!J143,services_v2_8!J143,services_v2_7!J143,services_v2_6!J143,services_v2_10!J143),0),"NA")</f>
        <v>1</v>
      </c>
      <c r="K143">
        <f>IF($E143=0, "NA", ROUND(SUM(services_v2_9!K143,services_v2_8!K143,services_v2_7!K143,services_v2_6!K143,services_v2_10!K143)/COUNT(services_v2_9!K143,services_v2_8!K143,services_v2_7!K143,services_v2_6!K143,services_v2_10!K143),0))</f>
        <v>1</v>
      </c>
      <c r="L143">
        <f>IF($E143=0, "NA", ROUND(SUM(services_v2_9!L143,services_v2_8!L143,services_v2_7!L143,services_v2_6!L143,services_v2_10!L143)/COUNT(services_v2_9!L143,services_v2_8!L143,services_v2_7!L143,services_v2_6!L143,services_v2_10!L143),0))</f>
        <v>1</v>
      </c>
      <c r="M143">
        <f>IF($E143=0, "NA", ROUND(SUM(services_v2_9!M143,services_v2_8!M143,services_v2_7!M143,services_v2_6!M143,services_v2_10!M143)/COUNT(services_v2_9!M143,services_v2_8!M143,services_v2_7!M143,services_v2_6!M143,services_v2_10!M143),0))</f>
        <v>1</v>
      </c>
      <c r="N143">
        <f>IF($E143=0, "NA", ROUND(SUM(services_v2_9!N143,services_v2_8!N143,services_v2_7!N143,services_v2_6!N143,services_v2_10!N143)/COUNT(services_v2_9!N143,services_v2_8!N143,services_v2_7!N143,services_v2_6!N143,services_v2_10!N143),0))</f>
        <v>1</v>
      </c>
      <c r="O143">
        <f>IF($E143=0, "NA", ROUND(SUM(services_v2_9!O143,services_v2_8!O143,services_v2_7!O143,services_v2_6!O143,services_v2_10!O143)/COUNT(services_v2_9!O143,services_v2_8!O143,services_v2_7!O143,services_v2_6!O143,services_v2_10!O143),0))</f>
        <v>1</v>
      </c>
    </row>
    <row r="144" spans="1:15" x14ac:dyDescent="0.25">
      <c r="A144" t="s">
        <v>143</v>
      </c>
      <c r="B144" t="s">
        <v>65</v>
      </c>
      <c r="C144">
        <v>0</v>
      </c>
      <c r="D144">
        <v>8.5020864009857178</v>
      </c>
      <c r="E144">
        <f>ROUND(SUM(services_v2_9!E144,services_v2_8!E144,services_v2_7!E144,services_v2_6!E144,services_v2_10!E144)/COUNT(services_v2_9!E144,services_v2_8!E144,services_v2_7!E144,services_v2_6!E144,services_v2_10!E144),0)</f>
        <v>1</v>
      </c>
      <c r="F144">
        <f>IF($E144=0, "NA", ROUND(SUM(services_v2_9!F144,services_v2_8!F144,services_v2_7!F144,services_v2_6!F144,services_v2_10!F144)/COUNT(services_v2_9!F144,services_v2_8!F144,services_v2_7!F144,services_v2_6!F144,services_v2_10!F144),0))</f>
        <v>1</v>
      </c>
      <c r="G144">
        <f>IF($E144=0, "NA", ROUND(SUM(services_v2_9!G144,services_v2_8!G144,services_v2_7!G144,services_v2_6!G144,services_v2_10!G144)/COUNT(services_v2_9!G144,services_v2_8!G144,services_v2_7!G144,services_v2_6!G144,services_v2_10!G144),0))</f>
        <v>1</v>
      </c>
      <c r="H144">
        <f>IF(AND(F144=1,G144=1),ROUND(SUM(services_v2_9!H144,services_v2_8!H144,services_v2_7!H144,services_v2_6!H144,services_v2_10!H144)/COUNT(services_v2_9!H144,services_v2_8!H144,services_v2_7!H144,services_v2_6!H144,services_v2_10!H144),0),"NA")</f>
        <v>1</v>
      </c>
      <c r="I144">
        <f>IF($E144=0, "NA", ROUND(SUM(services_v2_9!I144,services_v2_8!I144,services_v2_7!I144,services_v2_6!I144,services_v2_10!I144)/COUNT(services_v2_9!I144,services_v2_8!I144,services_v2_7!I144,services_v2_6!I144,services_v2_10!I144),0))</f>
        <v>1</v>
      </c>
      <c r="J144">
        <f>IF(F144=1,ROUND(SUM(services_v2_9!J144,services_v2_8!J144,services_v2_7!J144,services_v2_6!J144,services_v2_10!J144)/COUNT(services_v2_9!J144,services_v2_8!J144,services_v2_7!J144,services_v2_6!J144,services_v2_10!J144),0),"NA")</f>
        <v>1</v>
      </c>
      <c r="K144">
        <f>IF($E144=0, "NA", ROUND(SUM(services_v2_9!K144,services_v2_8!K144,services_v2_7!K144,services_v2_6!K144,services_v2_10!K144)/COUNT(services_v2_9!K144,services_v2_8!K144,services_v2_7!K144,services_v2_6!K144,services_v2_10!K144),0))</f>
        <v>1</v>
      </c>
      <c r="L144">
        <f>IF($E144=0, "NA", ROUND(SUM(services_v2_9!L144,services_v2_8!L144,services_v2_7!L144,services_v2_6!L144,services_v2_10!L144)/COUNT(services_v2_9!L144,services_v2_8!L144,services_v2_7!L144,services_v2_6!L144,services_v2_10!L144),0))</f>
        <v>1</v>
      </c>
      <c r="M144">
        <f>IF($E144=0, "NA", ROUND(SUM(services_v2_9!M144,services_v2_8!M144,services_v2_7!M144,services_v2_6!M144,services_v2_10!M144)/COUNT(services_v2_9!M144,services_v2_8!M144,services_v2_7!M144,services_v2_6!M144,services_v2_10!M144),0))</f>
        <v>1</v>
      </c>
      <c r="N144">
        <f>IF($E144=0, "NA", ROUND(SUM(services_v2_9!N144,services_v2_8!N144,services_v2_7!N144,services_v2_6!N144,services_v2_10!N144)/COUNT(services_v2_9!N144,services_v2_8!N144,services_v2_7!N144,services_v2_6!N144,services_v2_10!N144),0))</f>
        <v>1</v>
      </c>
      <c r="O144">
        <f>IF($E144=0, "NA", ROUND(SUM(services_v2_9!O144,services_v2_8!O144,services_v2_7!O144,services_v2_6!O144,services_v2_10!O144)/COUNT(services_v2_9!O144,services_v2_8!O144,services_v2_7!O144,services_v2_6!O144,services_v2_10!O144),0))</f>
        <v>1</v>
      </c>
    </row>
    <row r="145" spans="1:15" x14ac:dyDescent="0.25">
      <c r="A145" t="s">
        <v>143</v>
      </c>
      <c r="B145" t="s">
        <v>67</v>
      </c>
      <c r="C145">
        <v>0</v>
      </c>
      <c r="D145">
        <v>14.04013252258301</v>
      </c>
      <c r="E145">
        <f>ROUND(SUM(services_v2_9!E145,services_v2_8!E145,services_v2_7!E145,services_v2_6!E145,services_v2_10!E145)/COUNT(services_v2_9!E145,services_v2_8!E145,services_v2_7!E145,services_v2_6!E145,services_v2_10!E145),0)</f>
        <v>0</v>
      </c>
      <c r="F145" t="str">
        <f>IF($E145=0, "NA", ROUND(SUM(services_v2_9!F145,services_v2_8!F145,services_v2_7!F145,services_v2_6!F145,services_v2_10!F145)/COUNT(services_v2_9!F145,services_v2_8!F145,services_v2_7!F145,services_v2_6!F145,services_v2_10!F145),0))</f>
        <v>NA</v>
      </c>
      <c r="G145" t="str">
        <f>IF($E145=0, "NA", ROUND(SUM(services_v2_9!G145,services_v2_8!G145,services_v2_7!G145,services_v2_6!G145,services_v2_10!G145)/COUNT(services_v2_9!G145,services_v2_8!G145,services_v2_7!G145,services_v2_6!G145,services_v2_10!G145),0))</f>
        <v>NA</v>
      </c>
      <c r="H145" t="str">
        <f>IF(AND(F145=1,G145=1),ROUND(SUM(services_v2_9!H145,services_v2_8!H145,services_v2_7!H145,services_v2_6!H145,services_v2_10!H145)/COUNT(services_v2_9!H145,services_v2_8!H145,services_v2_7!H145,services_v2_6!H145,services_v2_10!H145),0),"NA")</f>
        <v>NA</v>
      </c>
      <c r="I145" t="str">
        <f>IF($E145=0, "NA", ROUND(SUM(services_v2_9!I145,services_v2_8!I145,services_v2_7!I145,services_v2_6!I145,services_v2_10!I145)/COUNT(services_v2_9!I145,services_v2_8!I145,services_v2_7!I145,services_v2_6!I145,services_v2_10!I145),0))</f>
        <v>NA</v>
      </c>
      <c r="J145" t="str">
        <f>IF(F145=1,ROUND(SUM(services_v2_9!J145,services_v2_8!J145,services_v2_7!J145,services_v2_6!J145,services_v2_10!J145)/COUNT(services_v2_9!J145,services_v2_8!J145,services_v2_7!J145,services_v2_6!J145,services_v2_10!J145),0),"NA")</f>
        <v>NA</v>
      </c>
      <c r="K145" t="str">
        <f>IF($E145=0, "NA", ROUND(SUM(services_v2_9!K145,services_v2_8!K145,services_v2_7!K145,services_v2_6!K145,services_v2_10!K145)/COUNT(services_v2_9!K145,services_v2_8!K145,services_v2_7!K145,services_v2_6!K145,services_v2_10!K145),0))</f>
        <v>NA</v>
      </c>
      <c r="L145" t="str">
        <f>IF($E145=0, "NA", ROUND(SUM(services_v2_9!L145,services_v2_8!L145,services_v2_7!L145,services_v2_6!L145,services_v2_10!L145)/COUNT(services_v2_9!L145,services_v2_8!L145,services_v2_7!L145,services_v2_6!L145,services_v2_10!L145),0))</f>
        <v>NA</v>
      </c>
      <c r="M145" t="str">
        <f>IF($E145=0, "NA", ROUND(SUM(services_v2_9!M145,services_v2_8!M145,services_v2_7!M145,services_v2_6!M145,services_v2_10!M145)/COUNT(services_v2_9!M145,services_v2_8!M145,services_v2_7!M145,services_v2_6!M145,services_v2_10!M145),0))</f>
        <v>NA</v>
      </c>
      <c r="N145" t="str">
        <f>IF($E145=0, "NA", ROUND(SUM(services_v2_9!N145,services_v2_8!N145,services_v2_7!N145,services_v2_6!N145,services_v2_10!N145)/COUNT(services_v2_9!N145,services_v2_8!N145,services_v2_7!N145,services_v2_6!N145,services_v2_10!N145),0))</f>
        <v>NA</v>
      </c>
      <c r="O145" t="str">
        <f>IF($E145=0, "NA", ROUND(SUM(services_v2_9!O145,services_v2_8!O145,services_v2_7!O145,services_v2_6!O145,services_v2_10!O145)/COUNT(services_v2_9!O145,services_v2_8!O145,services_v2_7!O145,services_v2_6!O145,services_v2_10!O145),0))</f>
        <v>NA</v>
      </c>
    </row>
    <row r="146" spans="1:15" x14ac:dyDescent="0.25">
      <c r="A146" t="s">
        <v>143</v>
      </c>
      <c r="B146" t="s">
        <v>69</v>
      </c>
      <c r="C146">
        <v>0</v>
      </c>
      <c r="D146">
        <v>7.1417441368103027</v>
      </c>
      <c r="E146">
        <f>ROUND(SUM(services_v2_9!E146,services_v2_8!E146,services_v2_7!E146,services_v2_6!E146,services_v2_10!E146)/COUNT(services_v2_9!E146,services_v2_8!E146,services_v2_7!E146,services_v2_6!E146,services_v2_10!E146),0)</f>
        <v>1</v>
      </c>
      <c r="F146">
        <f>IF($E146=0, "NA", ROUND(SUM(services_v2_9!F146,services_v2_8!F146,services_v2_7!F146,services_v2_6!F146,services_v2_10!F146)/COUNT(services_v2_9!F146,services_v2_8!F146,services_v2_7!F146,services_v2_6!F146,services_v2_10!F146),0))</f>
        <v>1</v>
      </c>
      <c r="G146">
        <f>IF($E146=0, "NA", ROUND(SUM(services_v2_9!G146,services_v2_8!G146,services_v2_7!G146,services_v2_6!G146,services_v2_10!G146)/COUNT(services_v2_9!G146,services_v2_8!G146,services_v2_7!G146,services_v2_6!G146,services_v2_10!G146),0))</f>
        <v>1</v>
      </c>
      <c r="H146">
        <f>IF(AND(F146=1,G146=1),ROUND(SUM(services_v2_9!H146,services_v2_8!H146,services_v2_7!H146,services_v2_6!H146,services_v2_10!H146)/COUNT(services_v2_9!H146,services_v2_8!H146,services_v2_7!H146,services_v2_6!H146,services_v2_10!H146),0),"NA")</f>
        <v>1</v>
      </c>
      <c r="I146">
        <f>IF($E146=0, "NA", ROUND(SUM(services_v2_9!I146,services_v2_8!I146,services_v2_7!I146,services_v2_6!I146,services_v2_10!I146)/COUNT(services_v2_9!I146,services_v2_8!I146,services_v2_7!I146,services_v2_6!I146,services_v2_10!I146),0))</f>
        <v>1</v>
      </c>
      <c r="J146">
        <f>IF(F146=1,ROUND(SUM(services_v2_9!J146,services_v2_8!J146,services_v2_7!J146,services_v2_6!J146,services_v2_10!J146)/COUNT(services_v2_9!J146,services_v2_8!J146,services_v2_7!J146,services_v2_6!J146,services_v2_10!J146),0),"NA")</f>
        <v>1</v>
      </c>
      <c r="K146">
        <f>IF($E146=0, "NA", ROUND(SUM(services_v2_9!K146,services_v2_8!K146,services_v2_7!K146,services_v2_6!K146,services_v2_10!K146)/COUNT(services_v2_9!K146,services_v2_8!K146,services_v2_7!K146,services_v2_6!K146,services_v2_10!K146),0))</f>
        <v>0</v>
      </c>
      <c r="L146">
        <f>IF($E146=0, "NA", ROUND(SUM(services_v2_9!L146,services_v2_8!L146,services_v2_7!L146,services_v2_6!L146,services_v2_10!L146)/COUNT(services_v2_9!L146,services_v2_8!L146,services_v2_7!L146,services_v2_6!L146,services_v2_10!L146),0))</f>
        <v>1</v>
      </c>
      <c r="M146">
        <f>IF($E146=0, "NA", ROUND(SUM(services_v2_9!M146,services_v2_8!M146,services_v2_7!M146,services_v2_6!M146,services_v2_10!M146)/COUNT(services_v2_9!M146,services_v2_8!M146,services_v2_7!M146,services_v2_6!M146,services_v2_10!M146),0))</f>
        <v>1</v>
      </c>
      <c r="N146">
        <f>IF($E146=0, "NA", ROUND(SUM(services_v2_9!N146,services_v2_8!N146,services_v2_7!N146,services_v2_6!N146,services_v2_10!N146)/COUNT(services_v2_9!N146,services_v2_8!N146,services_v2_7!N146,services_v2_6!N146,services_v2_10!N146),0))</f>
        <v>1</v>
      </c>
      <c r="O146">
        <f>IF($E146=0, "NA", ROUND(SUM(services_v2_9!O146,services_v2_8!O146,services_v2_7!O146,services_v2_6!O146,services_v2_10!O146)/COUNT(services_v2_9!O146,services_v2_8!O146,services_v2_7!O146,services_v2_6!O146,services_v2_10!O146),0))</f>
        <v>1</v>
      </c>
    </row>
    <row r="147" spans="1:15" x14ac:dyDescent="0.25">
      <c r="A147" t="s">
        <v>143</v>
      </c>
      <c r="B147" t="s">
        <v>71</v>
      </c>
      <c r="C147">
        <v>0</v>
      </c>
      <c r="D147">
        <v>4.8132174015045166</v>
      </c>
      <c r="E147">
        <f>ROUND(SUM(services_v2_9!E147,services_v2_8!E147,services_v2_7!E147,services_v2_6!E147,services_v2_10!E147)/COUNT(services_v2_9!E147,services_v2_8!E147,services_v2_7!E147,services_v2_6!E147,services_v2_10!E147),0)</f>
        <v>1</v>
      </c>
      <c r="F147">
        <f>IF($E147=0, "NA", ROUND(SUM(services_v2_9!F147,services_v2_8!F147,services_v2_7!F147,services_v2_6!F147,services_v2_10!F147)/COUNT(services_v2_9!F147,services_v2_8!F147,services_v2_7!F147,services_v2_6!F147,services_v2_10!F147),0))</f>
        <v>1</v>
      </c>
      <c r="G147">
        <f>IF($E147=0, "NA", ROUND(SUM(services_v2_9!G147,services_v2_8!G147,services_v2_7!G147,services_v2_6!G147,services_v2_10!G147)/COUNT(services_v2_9!G147,services_v2_8!G147,services_v2_7!G147,services_v2_6!G147,services_v2_10!G147),0))</f>
        <v>1</v>
      </c>
      <c r="H147">
        <f>IF(AND(F147=1,G147=1),ROUND(SUM(services_v2_9!H147,services_v2_8!H147,services_v2_7!H147,services_v2_6!H147,services_v2_10!H147)/COUNT(services_v2_9!H147,services_v2_8!H147,services_v2_7!H147,services_v2_6!H147,services_v2_10!H147),0),"NA")</f>
        <v>1</v>
      </c>
      <c r="I147">
        <f>IF($E147=0, "NA", ROUND(SUM(services_v2_9!I147,services_v2_8!I147,services_v2_7!I147,services_v2_6!I147,services_v2_10!I147)/COUNT(services_v2_9!I147,services_v2_8!I147,services_v2_7!I147,services_v2_6!I147,services_v2_10!I147),0))</f>
        <v>1</v>
      </c>
      <c r="J147">
        <f>IF(F147=1,ROUND(SUM(services_v2_9!J147,services_v2_8!J147,services_v2_7!J147,services_v2_6!J147,services_v2_10!J147)/COUNT(services_v2_9!J147,services_v2_8!J147,services_v2_7!J147,services_v2_6!J147,services_v2_10!J147),0),"NA")</f>
        <v>1</v>
      </c>
      <c r="K147">
        <f>IF($E147=0, "NA", ROUND(SUM(services_v2_9!K147,services_v2_8!K147,services_v2_7!K147,services_v2_6!K147,services_v2_10!K147)/COUNT(services_v2_9!K147,services_v2_8!K147,services_v2_7!K147,services_v2_6!K147,services_v2_10!K147),0))</f>
        <v>0</v>
      </c>
      <c r="L147">
        <f>IF($E147=0, "NA", ROUND(SUM(services_v2_9!L147,services_v2_8!L147,services_v2_7!L147,services_v2_6!L147,services_v2_10!L147)/COUNT(services_v2_9!L147,services_v2_8!L147,services_v2_7!L147,services_v2_6!L147,services_v2_10!L147),0))</f>
        <v>1</v>
      </c>
      <c r="M147">
        <f>IF($E147=0, "NA", ROUND(SUM(services_v2_9!M147,services_v2_8!M147,services_v2_7!M147,services_v2_6!M147,services_v2_10!M147)/COUNT(services_v2_9!M147,services_v2_8!M147,services_v2_7!M147,services_v2_6!M147,services_v2_10!M147),0))</f>
        <v>1</v>
      </c>
      <c r="N147">
        <f>IF($E147=0, "NA", ROUND(SUM(services_v2_9!N147,services_v2_8!N147,services_v2_7!N147,services_v2_6!N147,services_v2_10!N147)/COUNT(services_v2_9!N147,services_v2_8!N147,services_v2_7!N147,services_v2_6!N147,services_v2_10!N147),0))</f>
        <v>1</v>
      </c>
      <c r="O147">
        <f>IF($E147=0, "NA", ROUND(SUM(services_v2_9!O147,services_v2_8!O147,services_v2_7!O147,services_v2_6!O147,services_v2_10!O147)/COUNT(services_v2_9!O147,services_v2_8!O147,services_v2_7!O147,services_v2_6!O147,services_v2_10!O147),0))</f>
        <v>1</v>
      </c>
    </row>
    <row r="148" spans="1:15" x14ac:dyDescent="0.25">
      <c r="A148" t="s">
        <v>143</v>
      </c>
      <c r="B148" t="s">
        <v>72</v>
      </c>
      <c r="C148">
        <v>0</v>
      </c>
      <c r="D148">
        <v>2.741381168365479</v>
      </c>
      <c r="E148">
        <f>ROUND(SUM(services_v2_9!E148,services_v2_8!E148,services_v2_7!E148,services_v2_6!E148,services_v2_10!E148)/COUNT(services_v2_9!E148,services_v2_8!E148,services_v2_7!E148,services_v2_6!E148,services_v2_10!E148),0)</f>
        <v>1</v>
      </c>
      <c r="F148">
        <f>IF($E148=0, "NA", ROUND(SUM(services_v2_9!F148,services_v2_8!F148,services_v2_7!F148,services_v2_6!F148,services_v2_10!F148)/COUNT(services_v2_9!F148,services_v2_8!F148,services_v2_7!F148,services_v2_6!F148,services_v2_10!F148),0))</f>
        <v>1</v>
      </c>
      <c r="G148">
        <f>IF($E148=0, "NA", ROUND(SUM(services_v2_9!G148,services_v2_8!G148,services_v2_7!G148,services_v2_6!G148,services_v2_10!G148)/COUNT(services_v2_9!G148,services_v2_8!G148,services_v2_7!G148,services_v2_6!G148,services_v2_10!G148),0))</f>
        <v>1</v>
      </c>
      <c r="H148">
        <f>IF(AND(F148=1,G148=1),ROUND(SUM(services_v2_9!H148,services_v2_8!H148,services_v2_7!H148,services_v2_6!H148,services_v2_10!H148)/COUNT(services_v2_9!H148,services_v2_8!H148,services_v2_7!H148,services_v2_6!H148,services_v2_10!H148),0),"NA")</f>
        <v>1</v>
      </c>
      <c r="I148">
        <f>IF($E148=0, "NA", ROUND(SUM(services_v2_9!I148,services_v2_8!I148,services_v2_7!I148,services_v2_6!I148,services_v2_10!I148)/COUNT(services_v2_9!I148,services_v2_8!I148,services_v2_7!I148,services_v2_6!I148,services_v2_10!I148),0))</f>
        <v>1</v>
      </c>
      <c r="J148">
        <f>IF(F148=1,ROUND(SUM(services_v2_9!J148,services_v2_8!J148,services_v2_7!J148,services_v2_6!J148,services_v2_10!J148)/COUNT(services_v2_9!J148,services_v2_8!J148,services_v2_7!J148,services_v2_6!J148,services_v2_10!J148),0),"NA")</f>
        <v>1</v>
      </c>
      <c r="K148">
        <f>IF($E148=0, "NA", ROUND(SUM(services_v2_9!K148,services_v2_8!K148,services_v2_7!K148,services_v2_6!K148,services_v2_10!K148)/COUNT(services_v2_9!K148,services_v2_8!K148,services_v2_7!K148,services_v2_6!K148,services_v2_10!K148),0))</f>
        <v>1</v>
      </c>
      <c r="L148">
        <f>IF($E148=0, "NA", ROUND(SUM(services_v2_9!L148,services_v2_8!L148,services_v2_7!L148,services_v2_6!L148,services_v2_10!L148)/COUNT(services_v2_9!L148,services_v2_8!L148,services_v2_7!L148,services_v2_6!L148,services_v2_10!L148),0))</f>
        <v>1</v>
      </c>
      <c r="M148">
        <f>IF($E148=0, "NA", ROUND(SUM(services_v2_9!M148,services_v2_8!M148,services_v2_7!M148,services_v2_6!M148,services_v2_10!M148)/COUNT(services_v2_9!M148,services_v2_8!M148,services_v2_7!M148,services_v2_6!M148,services_v2_10!M148),0))</f>
        <v>1</v>
      </c>
      <c r="N148">
        <f>IF($E148=0, "NA", ROUND(SUM(services_v2_9!N148,services_v2_8!N148,services_v2_7!N148,services_v2_6!N148,services_v2_10!N148)/COUNT(services_v2_9!N148,services_v2_8!N148,services_v2_7!N148,services_v2_6!N148,services_v2_10!N148),0))</f>
        <v>1</v>
      </c>
      <c r="O148">
        <f>IF($E148=0, "NA", ROUND(SUM(services_v2_9!O148,services_v2_8!O148,services_v2_7!O148,services_v2_6!O148,services_v2_10!O148)/COUNT(services_v2_9!O148,services_v2_8!O148,services_v2_7!O148,services_v2_6!O148,services_v2_10!O148),0))</f>
        <v>1</v>
      </c>
    </row>
    <row r="149" spans="1:15" x14ac:dyDescent="0.25">
      <c r="A149" t="s">
        <v>143</v>
      </c>
      <c r="B149" t="s">
        <v>73</v>
      </c>
      <c r="C149">
        <v>0</v>
      </c>
      <c r="D149">
        <v>8.2144186496734619</v>
      </c>
      <c r="E149">
        <f>ROUND(SUM(services_v2_9!E149,services_v2_8!E149,services_v2_7!E149,services_v2_6!E149,services_v2_10!E149)/COUNT(services_v2_9!E149,services_v2_8!E149,services_v2_7!E149,services_v2_6!E149,services_v2_10!E149),0)</f>
        <v>1</v>
      </c>
      <c r="F149">
        <f>IF($E149=0, "NA", ROUND(SUM(services_v2_9!F149,services_v2_8!F149,services_v2_7!F149,services_v2_6!F149,services_v2_10!F149)/COUNT(services_v2_9!F149,services_v2_8!F149,services_v2_7!F149,services_v2_6!F149,services_v2_10!F149),0))</f>
        <v>1</v>
      </c>
      <c r="G149">
        <f>IF($E149=0, "NA", ROUND(SUM(services_v2_9!G149,services_v2_8!G149,services_v2_7!G149,services_v2_6!G149,services_v2_10!G149)/COUNT(services_v2_9!G149,services_v2_8!G149,services_v2_7!G149,services_v2_6!G149,services_v2_10!G149),0))</f>
        <v>1</v>
      </c>
      <c r="H149">
        <f>IF(AND(F149=1,G149=1),ROUND(SUM(services_v2_9!H149,services_v2_8!H149,services_v2_7!H149,services_v2_6!H149,services_v2_10!H149)/COUNT(services_v2_9!H149,services_v2_8!H149,services_v2_7!H149,services_v2_6!H149,services_v2_10!H149),0),"NA")</f>
        <v>1</v>
      </c>
      <c r="I149">
        <f>IF($E149=0, "NA", ROUND(SUM(services_v2_9!I149,services_v2_8!I149,services_v2_7!I149,services_v2_6!I149,services_v2_10!I149)/COUNT(services_v2_9!I149,services_v2_8!I149,services_v2_7!I149,services_v2_6!I149,services_v2_10!I149),0))</f>
        <v>1</v>
      </c>
      <c r="J149">
        <f>IF(F149=1,ROUND(SUM(services_v2_9!J149,services_v2_8!J149,services_v2_7!J149,services_v2_6!J149,services_v2_10!J149)/COUNT(services_v2_9!J149,services_v2_8!J149,services_v2_7!J149,services_v2_6!J149,services_v2_10!J149),0),"NA")</f>
        <v>1</v>
      </c>
      <c r="K149">
        <f>IF($E149=0, "NA", ROUND(SUM(services_v2_9!K149,services_v2_8!K149,services_v2_7!K149,services_v2_6!K149,services_v2_10!K149)/COUNT(services_v2_9!K149,services_v2_8!K149,services_v2_7!K149,services_v2_6!K149,services_v2_10!K149),0))</f>
        <v>1</v>
      </c>
      <c r="L149">
        <f>IF($E149=0, "NA", ROUND(SUM(services_v2_9!L149,services_v2_8!L149,services_v2_7!L149,services_v2_6!L149,services_v2_10!L149)/COUNT(services_v2_9!L149,services_v2_8!L149,services_v2_7!L149,services_v2_6!L149,services_v2_10!L149),0))</f>
        <v>1</v>
      </c>
      <c r="M149">
        <f>IF($E149=0, "NA", ROUND(SUM(services_v2_9!M149,services_v2_8!M149,services_v2_7!M149,services_v2_6!M149,services_v2_10!M149)/COUNT(services_v2_9!M149,services_v2_8!M149,services_v2_7!M149,services_v2_6!M149,services_v2_10!M149),0))</f>
        <v>1</v>
      </c>
      <c r="N149">
        <f>IF($E149=0, "NA", ROUND(SUM(services_v2_9!N149,services_v2_8!N149,services_v2_7!N149,services_v2_6!N149,services_v2_10!N149)/COUNT(services_v2_9!N149,services_v2_8!N149,services_v2_7!N149,services_v2_6!N149,services_v2_10!N149),0))</f>
        <v>1</v>
      </c>
      <c r="O149">
        <f>IF($E149=0, "NA", ROUND(SUM(services_v2_9!O149,services_v2_8!O149,services_v2_7!O149,services_v2_6!O149,services_v2_10!O149)/COUNT(services_v2_9!O149,services_v2_8!O149,services_v2_7!O149,services_v2_6!O149,services_v2_10!O149),0))</f>
        <v>1</v>
      </c>
    </row>
    <row r="150" spans="1:15" x14ac:dyDescent="0.25">
      <c r="A150" t="s">
        <v>143</v>
      </c>
      <c r="B150" t="s">
        <v>75</v>
      </c>
      <c r="C150">
        <v>0</v>
      </c>
      <c r="D150">
        <v>8.7483377456665039</v>
      </c>
      <c r="E150">
        <f>ROUND(SUM(services_v2_9!E150,services_v2_8!E150,services_v2_7!E150,services_v2_6!E150,services_v2_10!E150)/COUNT(services_v2_9!E150,services_v2_8!E150,services_v2_7!E150,services_v2_6!E150,services_v2_10!E150),0)</f>
        <v>0</v>
      </c>
      <c r="F150" t="str">
        <f>IF($E150=0, "NA", ROUND(SUM(services_v2_9!F150,services_v2_8!F150,services_v2_7!F150,services_v2_6!F150,services_v2_10!F150)/COUNT(services_v2_9!F150,services_v2_8!F150,services_v2_7!F150,services_v2_6!F150,services_v2_10!F150),0))</f>
        <v>NA</v>
      </c>
      <c r="G150" t="str">
        <f>IF($E150=0, "NA", ROUND(SUM(services_v2_9!G150,services_v2_8!G150,services_v2_7!G150,services_v2_6!G150,services_v2_10!G150)/COUNT(services_v2_9!G150,services_v2_8!G150,services_v2_7!G150,services_v2_6!G150,services_v2_10!G150),0))</f>
        <v>NA</v>
      </c>
      <c r="H150" t="str">
        <f>IF(AND(F150=1,G150=1),ROUND(SUM(services_v2_9!H150,services_v2_8!H150,services_v2_7!H150,services_v2_6!H150,services_v2_10!H150)/COUNT(services_v2_9!H150,services_v2_8!H150,services_v2_7!H150,services_v2_6!H150,services_v2_10!H150),0),"NA")</f>
        <v>NA</v>
      </c>
      <c r="I150" t="str">
        <f>IF($E150=0, "NA", ROUND(SUM(services_v2_9!I150,services_v2_8!I150,services_v2_7!I150,services_v2_6!I150,services_v2_10!I150)/COUNT(services_v2_9!I150,services_v2_8!I150,services_v2_7!I150,services_v2_6!I150,services_v2_10!I150),0))</f>
        <v>NA</v>
      </c>
      <c r="J150" t="str">
        <f>IF(F150=1,ROUND(SUM(services_v2_9!J150,services_v2_8!J150,services_v2_7!J150,services_v2_6!J150,services_v2_10!J150)/COUNT(services_v2_9!J150,services_v2_8!J150,services_v2_7!J150,services_v2_6!J150,services_v2_10!J150),0),"NA")</f>
        <v>NA</v>
      </c>
      <c r="K150" t="str">
        <f>IF($E150=0, "NA", ROUND(SUM(services_v2_9!K150,services_v2_8!K150,services_v2_7!K150,services_v2_6!K150,services_v2_10!K150)/COUNT(services_v2_9!K150,services_v2_8!K150,services_v2_7!K150,services_v2_6!K150,services_v2_10!K150),0))</f>
        <v>NA</v>
      </c>
      <c r="L150" t="str">
        <f>IF($E150=0, "NA", ROUND(SUM(services_v2_9!L150,services_v2_8!L150,services_v2_7!L150,services_v2_6!L150,services_v2_10!L150)/COUNT(services_v2_9!L150,services_v2_8!L150,services_v2_7!L150,services_v2_6!L150,services_v2_10!L150),0))</f>
        <v>NA</v>
      </c>
      <c r="M150" t="str">
        <f>IF($E150=0, "NA", ROUND(SUM(services_v2_9!M150,services_v2_8!M150,services_v2_7!M150,services_v2_6!M150,services_v2_10!M150)/COUNT(services_v2_9!M150,services_v2_8!M150,services_v2_7!M150,services_v2_6!M150,services_v2_10!M150),0))</f>
        <v>NA</v>
      </c>
      <c r="N150" t="str">
        <f>IF($E150=0, "NA", ROUND(SUM(services_v2_9!N150,services_v2_8!N150,services_v2_7!N150,services_v2_6!N150,services_v2_10!N150)/COUNT(services_v2_9!N150,services_v2_8!N150,services_v2_7!N150,services_v2_6!N150,services_v2_10!N150),0))</f>
        <v>NA</v>
      </c>
      <c r="O150" t="str">
        <f>IF($E150=0, "NA", ROUND(SUM(services_v2_9!O150,services_v2_8!O150,services_v2_7!O150,services_v2_6!O150,services_v2_10!O150)/COUNT(services_v2_9!O150,services_v2_8!O150,services_v2_7!O150,services_v2_6!O150,services_v2_10!O150),0))</f>
        <v>NA</v>
      </c>
    </row>
    <row r="151" spans="1:15" x14ac:dyDescent="0.25">
      <c r="A151" t="s">
        <v>143</v>
      </c>
      <c r="B151" t="s">
        <v>77</v>
      </c>
      <c r="C151">
        <v>0</v>
      </c>
      <c r="D151">
        <v>10.561549186706539</v>
      </c>
      <c r="E151">
        <f>ROUND(SUM(services_v2_9!E151,services_v2_8!E151,services_v2_7!E151,services_v2_6!E151,services_v2_10!E151)/COUNT(services_v2_9!E151,services_v2_8!E151,services_v2_7!E151,services_v2_6!E151,services_v2_10!E151),0)</f>
        <v>1</v>
      </c>
      <c r="F151">
        <f>IF($E151=0, "NA", ROUND(SUM(services_v2_9!F151,services_v2_8!F151,services_v2_7!F151,services_v2_6!F151,services_v2_10!F151)/COUNT(services_v2_9!F151,services_v2_8!F151,services_v2_7!F151,services_v2_6!F151,services_v2_10!F151),0))</f>
        <v>1</v>
      </c>
      <c r="G151">
        <f>IF($E151=0, "NA", ROUND(SUM(services_v2_9!G151,services_v2_8!G151,services_v2_7!G151,services_v2_6!G151,services_v2_10!G151)/COUNT(services_v2_9!G151,services_v2_8!G151,services_v2_7!G151,services_v2_6!G151,services_v2_10!G151),0))</f>
        <v>1</v>
      </c>
      <c r="H151">
        <f>IF(AND(F151=1,G151=1),ROUND(SUM(services_v2_9!H151,services_v2_8!H151,services_v2_7!H151,services_v2_6!H151,services_v2_10!H151)/COUNT(services_v2_9!H151,services_v2_8!H151,services_v2_7!H151,services_v2_6!H151,services_v2_10!H151),0),"NA")</f>
        <v>1</v>
      </c>
      <c r="I151">
        <f>IF($E151=0, "NA", ROUND(SUM(services_v2_9!I151,services_v2_8!I151,services_v2_7!I151,services_v2_6!I151,services_v2_10!I151)/COUNT(services_v2_9!I151,services_v2_8!I151,services_v2_7!I151,services_v2_6!I151,services_v2_10!I151),0))</f>
        <v>1</v>
      </c>
      <c r="J151">
        <f>IF(F151=1,ROUND(SUM(services_v2_9!J151,services_v2_8!J151,services_v2_7!J151,services_v2_6!J151,services_v2_10!J151)/COUNT(services_v2_9!J151,services_v2_8!J151,services_v2_7!J151,services_v2_6!J151,services_v2_10!J151),0),"NA")</f>
        <v>1</v>
      </c>
      <c r="K151">
        <f>IF($E151=0, "NA", ROUND(SUM(services_v2_9!K151,services_v2_8!K151,services_v2_7!K151,services_v2_6!K151,services_v2_10!K151)/COUNT(services_v2_9!K151,services_v2_8!K151,services_v2_7!K151,services_v2_6!K151,services_v2_10!K151),0))</f>
        <v>1</v>
      </c>
      <c r="L151">
        <f>IF($E151=0, "NA", ROUND(SUM(services_v2_9!L151,services_v2_8!L151,services_v2_7!L151,services_v2_6!L151,services_v2_10!L151)/COUNT(services_v2_9!L151,services_v2_8!L151,services_v2_7!L151,services_v2_6!L151,services_v2_10!L151),0))</f>
        <v>1</v>
      </c>
      <c r="M151">
        <f>IF($E151=0, "NA", ROUND(SUM(services_v2_9!M151,services_v2_8!M151,services_v2_7!M151,services_v2_6!M151,services_v2_10!M151)/COUNT(services_v2_9!M151,services_v2_8!M151,services_v2_7!M151,services_v2_6!M151,services_v2_10!M151),0))</f>
        <v>1</v>
      </c>
      <c r="N151">
        <f>IF($E151=0, "NA", ROUND(SUM(services_v2_9!N151,services_v2_8!N151,services_v2_7!N151,services_v2_6!N151,services_v2_10!N151)/COUNT(services_v2_9!N151,services_v2_8!N151,services_v2_7!N151,services_v2_6!N151,services_v2_10!N151),0))</f>
        <v>1</v>
      </c>
      <c r="O151">
        <f>IF($E151=0, "NA", ROUND(SUM(services_v2_9!O151,services_v2_8!O151,services_v2_7!O151,services_v2_6!O151,services_v2_10!O151)/COUNT(services_v2_9!O151,services_v2_8!O151,services_v2_7!O151,services_v2_6!O151,services_v2_10!O151),0))</f>
        <v>1</v>
      </c>
    </row>
    <row r="152" spans="1:15" x14ac:dyDescent="0.25">
      <c r="A152" t="s">
        <v>143</v>
      </c>
      <c r="B152" t="s">
        <v>78</v>
      </c>
      <c r="C152">
        <v>0</v>
      </c>
      <c r="D152">
        <v>2.7274191379547119</v>
      </c>
      <c r="E152">
        <f>ROUND(SUM(services_v2_9!E152,services_v2_8!E152,services_v2_7!E152,services_v2_6!E152,services_v2_10!E152)/COUNT(services_v2_9!E152,services_v2_8!E152,services_v2_7!E152,services_v2_6!E152,services_v2_10!E152),0)</f>
        <v>0</v>
      </c>
      <c r="F152" t="str">
        <f>IF($E152=0, "NA", ROUND(SUM(services_v2_9!F152,services_v2_8!F152,services_v2_7!F152,services_v2_6!F152,services_v2_10!F152)/COUNT(services_v2_9!F152,services_v2_8!F152,services_v2_7!F152,services_v2_6!F152,services_v2_10!F152),0))</f>
        <v>NA</v>
      </c>
      <c r="G152" t="str">
        <f>IF($E152=0, "NA", ROUND(SUM(services_v2_9!G152,services_v2_8!G152,services_v2_7!G152,services_v2_6!G152,services_v2_10!G152)/COUNT(services_v2_9!G152,services_v2_8!G152,services_v2_7!G152,services_v2_6!G152,services_v2_10!G152),0))</f>
        <v>NA</v>
      </c>
      <c r="H152" t="str">
        <f>IF(AND(F152=1,G152=1),ROUND(SUM(services_v2_9!H152,services_v2_8!H152,services_v2_7!H152,services_v2_6!H152,services_v2_10!H152)/COUNT(services_v2_9!H152,services_v2_8!H152,services_v2_7!H152,services_v2_6!H152,services_v2_10!H152),0),"NA")</f>
        <v>NA</v>
      </c>
      <c r="I152" t="str">
        <f>IF($E152=0, "NA", ROUND(SUM(services_v2_9!I152,services_v2_8!I152,services_v2_7!I152,services_v2_6!I152,services_v2_10!I152)/COUNT(services_v2_9!I152,services_v2_8!I152,services_v2_7!I152,services_v2_6!I152,services_v2_10!I152),0))</f>
        <v>NA</v>
      </c>
      <c r="J152" t="str">
        <f>IF(F152=1,ROUND(SUM(services_v2_9!J152,services_v2_8!J152,services_v2_7!J152,services_v2_6!J152,services_v2_10!J152)/COUNT(services_v2_9!J152,services_v2_8!J152,services_v2_7!J152,services_v2_6!J152,services_v2_10!J152),0),"NA")</f>
        <v>NA</v>
      </c>
      <c r="K152" t="str">
        <f>IF($E152=0, "NA", ROUND(SUM(services_v2_9!K152,services_v2_8!K152,services_v2_7!K152,services_v2_6!K152,services_v2_10!K152)/COUNT(services_v2_9!K152,services_v2_8!K152,services_v2_7!K152,services_v2_6!K152,services_v2_10!K152),0))</f>
        <v>NA</v>
      </c>
      <c r="L152" t="str">
        <f>IF($E152=0, "NA", ROUND(SUM(services_v2_9!L152,services_v2_8!L152,services_v2_7!L152,services_v2_6!L152,services_v2_10!L152)/COUNT(services_v2_9!L152,services_v2_8!L152,services_v2_7!L152,services_v2_6!L152,services_v2_10!L152),0))</f>
        <v>NA</v>
      </c>
      <c r="M152" t="str">
        <f>IF($E152=0, "NA", ROUND(SUM(services_v2_9!M152,services_v2_8!M152,services_v2_7!M152,services_v2_6!M152,services_v2_10!M152)/COUNT(services_v2_9!M152,services_v2_8!M152,services_v2_7!M152,services_v2_6!M152,services_v2_10!M152),0))</f>
        <v>NA</v>
      </c>
      <c r="N152" t="str">
        <f>IF($E152=0, "NA", ROUND(SUM(services_v2_9!N152,services_v2_8!N152,services_v2_7!N152,services_v2_6!N152,services_v2_10!N152)/COUNT(services_v2_9!N152,services_v2_8!N152,services_v2_7!N152,services_v2_6!N152,services_v2_10!N152),0))</f>
        <v>NA</v>
      </c>
      <c r="O152" t="str">
        <f>IF($E152=0, "NA", ROUND(SUM(services_v2_9!O152,services_v2_8!O152,services_v2_7!O152,services_v2_6!O152,services_v2_10!O152)/COUNT(services_v2_9!O152,services_v2_8!O152,services_v2_7!O152,services_v2_6!O152,services_v2_10!O152),0))</f>
        <v>NA</v>
      </c>
    </row>
    <row r="153" spans="1:15" x14ac:dyDescent="0.25">
      <c r="A153" t="s">
        <v>143</v>
      </c>
      <c r="B153" t="s">
        <v>80</v>
      </c>
      <c r="C153">
        <v>0</v>
      </c>
      <c r="D153">
        <v>4.9585297107696533</v>
      </c>
      <c r="E153">
        <f>ROUND(SUM(services_v2_9!E153,services_v2_8!E153,services_v2_7!E153,services_v2_6!E153,services_v2_10!E153)/COUNT(services_v2_9!E153,services_v2_8!E153,services_v2_7!E153,services_v2_6!E153,services_v2_10!E153),0)</f>
        <v>1</v>
      </c>
      <c r="F153">
        <f>IF($E153=0, "NA", ROUND(SUM(services_v2_9!F153,services_v2_8!F153,services_v2_7!F153,services_v2_6!F153,services_v2_10!F153)/COUNT(services_v2_9!F153,services_v2_8!F153,services_v2_7!F153,services_v2_6!F153,services_v2_10!F153),0))</f>
        <v>1</v>
      </c>
      <c r="G153">
        <f>IF($E153=0, "NA", ROUND(SUM(services_v2_9!G153,services_v2_8!G153,services_v2_7!G153,services_v2_6!G153,services_v2_10!G153)/COUNT(services_v2_9!G153,services_v2_8!G153,services_v2_7!G153,services_v2_6!G153,services_v2_10!G153),0))</f>
        <v>1</v>
      </c>
      <c r="H153">
        <f>IF(AND(F153=1,G153=1),ROUND(SUM(services_v2_9!H153,services_v2_8!H153,services_v2_7!H153,services_v2_6!H153,services_v2_10!H153)/COUNT(services_v2_9!H153,services_v2_8!H153,services_v2_7!H153,services_v2_6!H153,services_v2_10!H153),0),"NA")</f>
        <v>0</v>
      </c>
      <c r="I153">
        <f>IF($E153=0, "NA", ROUND(SUM(services_v2_9!I153,services_v2_8!I153,services_v2_7!I153,services_v2_6!I153,services_v2_10!I153)/COUNT(services_v2_9!I153,services_v2_8!I153,services_v2_7!I153,services_v2_6!I153,services_v2_10!I153),0))</f>
        <v>1</v>
      </c>
      <c r="J153">
        <f>IF(F153=1,ROUND(SUM(services_v2_9!J153,services_v2_8!J153,services_v2_7!J153,services_v2_6!J153,services_v2_10!J153)/COUNT(services_v2_9!J153,services_v2_8!J153,services_v2_7!J153,services_v2_6!J153,services_v2_10!J153),0),"NA")</f>
        <v>1</v>
      </c>
      <c r="K153">
        <f>IF($E153=0, "NA", ROUND(SUM(services_v2_9!K153,services_v2_8!K153,services_v2_7!K153,services_v2_6!K153,services_v2_10!K153)/COUNT(services_v2_9!K153,services_v2_8!K153,services_v2_7!K153,services_v2_6!K153,services_v2_10!K153),0))</f>
        <v>1</v>
      </c>
      <c r="L153">
        <f>IF($E153=0, "NA", ROUND(SUM(services_v2_9!L153,services_v2_8!L153,services_v2_7!L153,services_v2_6!L153,services_v2_10!L153)/COUNT(services_v2_9!L153,services_v2_8!L153,services_v2_7!L153,services_v2_6!L153,services_v2_10!L153),0))</f>
        <v>1</v>
      </c>
      <c r="M153">
        <f>IF($E153=0, "NA", ROUND(SUM(services_v2_9!M153,services_v2_8!M153,services_v2_7!M153,services_v2_6!M153,services_v2_10!M153)/COUNT(services_v2_9!M153,services_v2_8!M153,services_v2_7!M153,services_v2_6!M153,services_v2_10!M153),0))</f>
        <v>1</v>
      </c>
      <c r="N153">
        <f>IF($E153=0, "NA", ROUND(SUM(services_v2_9!N153,services_v2_8!N153,services_v2_7!N153,services_v2_6!N153,services_v2_10!N153)/COUNT(services_v2_9!N153,services_v2_8!N153,services_v2_7!N153,services_v2_6!N153,services_v2_10!N153),0))</f>
        <v>1</v>
      </c>
      <c r="O153">
        <f>IF($E153=0, "NA", ROUND(SUM(services_v2_9!O153,services_v2_8!O153,services_v2_7!O153,services_v2_6!O153,services_v2_10!O153)/COUNT(services_v2_9!O153,services_v2_8!O153,services_v2_7!O153,services_v2_6!O153,services_v2_10!O153),0))</f>
        <v>1</v>
      </c>
    </row>
    <row r="154" spans="1:15" x14ac:dyDescent="0.25">
      <c r="A154" t="s">
        <v>143</v>
      </c>
      <c r="B154" t="s">
        <v>82</v>
      </c>
      <c r="C154">
        <v>0</v>
      </c>
      <c r="D154">
        <v>2.784847736358643</v>
      </c>
      <c r="E154">
        <f>ROUND(SUM(services_v2_9!E154,services_v2_8!E154,services_v2_7!E154,services_v2_6!E154,services_v2_10!E154)/COUNT(services_v2_9!E154,services_v2_8!E154,services_v2_7!E154,services_v2_6!E154,services_v2_10!E154),0)</f>
        <v>1</v>
      </c>
      <c r="F154">
        <f>IF($E154=0, "NA", ROUND(SUM(services_v2_9!F154,services_v2_8!F154,services_v2_7!F154,services_v2_6!F154,services_v2_10!F154)/COUNT(services_v2_9!F154,services_v2_8!F154,services_v2_7!F154,services_v2_6!F154,services_v2_10!F154),0))</f>
        <v>1</v>
      </c>
      <c r="G154">
        <f>IF($E154=0, "NA", ROUND(SUM(services_v2_9!G154,services_v2_8!G154,services_v2_7!G154,services_v2_6!G154,services_v2_10!G154)/COUNT(services_v2_9!G154,services_v2_8!G154,services_v2_7!G154,services_v2_6!G154,services_v2_10!G154),0))</f>
        <v>1</v>
      </c>
      <c r="H154">
        <f>IF(AND(F154=1,G154=1),ROUND(SUM(services_v2_9!H154,services_v2_8!H154,services_v2_7!H154,services_v2_6!H154,services_v2_10!H154)/COUNT(services_v2_9!H154,services_v2_8!H154,services_v2_7!H154,services_v2_6!H154,services_v2_10!H154),0),"NA")</f>
        <v>1</v>
      </c>
      <c r="I154">
        <f>IF($E154=0, "NA", ROUND(SUM(services_v2_9!I154,services_v2_8!I154,services_v2_7!I154,services_v2_6!I154,services_v2_10!I154)/COUNT(services_v2_9!I154,services_v2_8!I154,services_v2_7!I154,services_v2_6!I154,services_v2_10!I154),0))</f>
        <v>1</v>
      </c>
      <c r="J154">
        <f>IF(F154=1,ROUND(SUM(services_v2_9!J154,services_v2_8!J154,services_v2_7!J154,services_v2_6!J154,services_v2_10!J154)/COUNT(services_v2_9!J154,services_v2_8!J154,services_v2_7!J154,services_v2_6!J154,services_v2_10!J154),0),"NA")</f>
        <v>1</v>
      </c>
      <c r="K154">
        <f>IF($E154=0, "NA", ROUND(SUM(services_v2_9!K154,services_v2_8!K154,services_v2_7!K154,services_v2_6!K154,services_v2_10!K154)/COUNT(services_v2_9!K154,services_v2_8!K154,services_v2_7!K154,services_v2_6!K154,services_v2_10!K154),0))</f>
        <v>1</v>
      </c>
      <c r="L154">
        <f>IF($E154=0, "NA", ROUND(SUM(services_v2_9!L154,services_v2_8!L154,services_v2_7!L154,services_v2_6!L154,services_v2_10!L154)/COUNT(services_v2_9!L154,services_v2_8!L154,services_v2_7!L154,services_v2_6!L154,services_v2_10!L154),0))</f>
        <v>1</v>
      </c>
      <c r="M154">
        <f>IF($E154=0, "NA", ROUND(SUM(services_v2_9!M154,services_v2_8!M154,services_v2_7!M154,services_v2_6!M154,services_v2_10!M154)/COUNT(services_v2_9!M154,services_v2_8!M154,services_v2_7!M154,services_v2_6!M154,services_v2_10!M154),0))</f>
        <v>1</v>
      </c>
      <c r="N154">
        <f>IF($E154=0, "NA", ROUND(SUM(services_v2_9!N154,services_v2_8!N154,services_v2_7!N154,services_v2_6!N154,services_v2_10!N154)/COUNT(services_v2_9!N154,services_v2_8!N154,services_v2_7!N154,services_v2_6!N154,services_v2_10!N154),0))</f>
        <v>1</v>
      </c>
      <c r="O154">
        <f>IF($E154=0, "NA", ROUND(SUM(services_v2_9!O154,services_v2_8!O154,services_v2_7!O154,services_v2_6!O154,services_v2_10!O154)/COUNT(services_v2_9!O154,services_v2_8!O154,services_v2_7!O154,services_v2_6!O154,services_v2_10!O154),0))</f>
        <v>1</v>
      </c>
    </row>
    <row r="155" spans="1:15" x14ac:dyDescent="0.25">
      <c r="A155" t="s">
        <v>143</v>
      </c>
      <c r="B155" t="s">
        <v>84</v>
      </c>
      <c r="C155">
        <v>0</v>
      </c>
      <c r="D155">
        <v>9.5322554111480713</v>
      </c>
      <c r="E155">
        <f>ROUND(SUM(services_v2_9!E155,services_v2_8!E155,services_v2_7!E155,services_v2_6!E155,services_v2_10!E155)/COUNT(services_v2_9!E155,services_v2_8!E155,services_v2_7!E155,services_v2_6!E155,services_v2_10!E155),0)</f>
        <v>1</v>
      </c>
      <c r="F155">
        <f>IF($E155=0, "NA", ROUND(SUM(services_v2_9!F155,services_v2_8!F155,services_v2_7!F155,services_v2_6!F155,services_v2_10!F155)/COUNT(services_v2_9!F155,services_v2_8!F155,services_v2_7!F155,services_v2_6!F155,services_v2_10!F155),0))</f>
        <v>1</v>
      </c>
      <c r="G155">
        <f>IF($E155=0, "NA", ROUND(SUM(services_v2_9!G155,services_v2_8!G155,services_v2_7!G155,services_v2_6!G155,services_v2_10!G155)/COUNT(services_v2_9!G155,services_v2_8!G155,services_v2_7!G155,services_v2_6!G155,services_v2_10!G155),0))</f>
        <v>1</v>
      </c>
      <c r="H155">
        <f>IF(AND(F155=1,G155=1),ROUND(SUM(services_v2_9!H155,services_v2_8!H155,services_v2_7!H155,services_v2_6!H155,services_v2_10!H155)/COUNT(services_v2_9!H155,services_v2_8!H155,services_v2_7!H155,services_v2_6!H155,services_v2_10!H155),0),"NA")</f>
        <v>1</v>
      </c>
      <c r="I155">
        <f>IF($E155=0, "NA", ROUND(SUM(services_v2_9!I155,services_v2_8!I155,services_v2_7!I155,services_v2_6!I155,services_v2_10!I155)/COUNT(services_v2_9!I155,services_v2_8!I155,services_v2_7!I155,services_v2_6!I155,services_v2_10!I155),0))</f>
        <v>1</v>
      </c>
      <c r="J155">
        <f>IF(F155=1,ROUND(SUM(services_v2_9!J155,services_v2_8!J155,services_v2_7!J155,services_v2_6!J155,services_v2_10!J155)/COUNT(services_v2_9!J155,services_v2_8!J155,services_v2_7!J155,services_v2_6!J155,services_v2_10!J155),0),"NA")</f>
        <v>1</v>
      </c>
      <c r="K155">
        <f>IF($E155=0, "NA", ROUND(SUM(services_v2_9!K155,services_v2_8!K155,services_v2_7!K155,services_v2_6!K155,services_v2_10!K155)/COUNT(services_v2_9!K155,services_v2_8!K155,services_v2_7!K155,services_v2_6!K155,services_v2_10!K155),0))</f>
        <v>1</v>
      </c>
      <c r="L155">
        <f>IF($E155=0, "NA", ROUND(SUM(services_v2_9!L155,services_v2_8!L155,services_v2_7!L155,services_v2_6!L155,services_v2_10!L155)/COUNT(services_v2_9!L155,services_v2_8!L155,services_v2_7!L155,services_v2_6!L155,services_v2_10!L155),0))</f>
        <v>1</v>
      </c>
      <c r="M155">
        <f>IF($E155=0, "NA", ROUND(SUM(services_v2_9!M155,services_v2_8!M155,services_v2_7!M155,services_v2_6!M155,services_v2_10!M155)/COUNT(services_v2_9!M155,services_v2_8!M155,services_v2_7!M155,services_v2_6!M155,services_v2_10!M155),0))</f>
        <v>1</v>
      </c>
      <c r="N155">
        <f>IF($E155=0, "NA", ROUND(SUM(services_v2_9!N155,services_v2_8!N155,services_v2_7!N155,services_v2_6!N155,services_v2_10!N155)/COUNT(services_v2_9!N155,services_v2_8!N155,services_v2_7!N155,services_v2_6!N155,services_v2_10!N155),0))</f>
        <v>1</v>
      </c>
      <c r="O155">
        <f>IF($E155=0, "NA", ROUND(SUM(services_v2_9!O155,services_v2_8!O155,services_v2_7!O155,services_v2_6!O155,services_v2_10!O155)/COUNT(services_v2_9!O155,services_v2_8!O155,services_v2_7!O155,services_v2_6!O155,services_v2_10!O155),0))</f>
        <v>1</v>
      </c>
    </row>
    <row r="156" spans="1:15" x14ac:dyDescent="0.25">
      <c r="A156" t="s">
        <v>143</v>
      </c>
      <c r="B156" t="s">
        <v>85</v>
      </c>
      <c r="C156">
        <v>0</v>
      </c>
      <c r="D156">
        <v>14.654482841491699</v>
      </c>
      <c r="E156">
        <f>ROUND(SUM(services_v2_9!E156,services_v2_8!E156,services_v2_7!E156,services_v2_6!E156,services_v2_10!E156)/COUNT(services_v2_9!E156,services_v2_8!E156,services_v2_7!E156,services_v2_6!E156,services_v2_10!E156),0)</f>
        <v>1</v>
      </c>
      <c r="F156">
        <f>IF($E156=0, "NA", ROUND(SUM(services_v2_9!F156,services_v2_8!F156,services_v2_7!F156,services_v2_6!F156,services_v2_10!F156)/COUNT(services_v2_9!F156,services_v2_8!F156,services_v2_7!F156,services_v2_6!F156,services_v2_10!F156),0))</f>
        <v>1</v>
      </c>
      <c r="G156">
        <f>IF($E156=0, "NA", ROUND(SUM(services_v2_9!G156,services_v2_8!G156,services_v2_7!G156,services_v2_6!G156,services_v2_10!G156)/COUNT(services_v2_9!G156,services_v2_8!G156,services_v2_7!G156,services_v2_6!G156,services_v2_10!G156),0))</f>
        <v>1</v>
      </c>
      <c r="H156">
        <f>IF(AND(F156=1,G156=1),ROUND(SUM(services_v2_9!H156,services_v2_8!H156,services_v2_7!H156,services_v2_6!H156,services_v2_10!H156)/COUNT(services_v2_9!H156,services_v2_8!H156,services_v2_7!H156,services_v2_6!H156,services_v2_10!H156),0),"NA")</f>
        <v>1</v>
      </c>
      <c r="I156">
        <f>IF($E156=0, "NA", ROUND(SUM(services_v2_9!I156,services_v2_8!I156,services_v2_7!I156,services_v2_6!I156,services_v2_10!I156)/COUNT(services_v2_9!I156,services_v2_8!I156,services_v2_7!I156,services_v2_6!I156,services_v2_10!I156),0))</f>
        <v>1</v>
      </c>
      <c r="J156">
        <f>IF(F156=1,ROUND(SUM(services_v2_9!J156,services_v2_8!J156,services_v2_7!J156,services_v2_6!J156,services_v2_10!J156)/COUNT(services_v2_9!J156,services_v2_8!J156,services_v2_7!J156,services_v2_6!J156,services_v2_10!J156),0),"NA")</f>
        <v>0</v>
      </c>
      <c r="K156">
        <f>IF($E156=0, "NA", ROUND(SUM(services_v2_9!K156,services_v2_8!K156,services_v2_7!K156,services_v2_6!K156,services_v2_10!K156)/COUNT(services_v2_9!K156,services_v2_8!K156,services_v2_7!K156,services_v2_6!K156,services_v2_10!K156),0))</f>
        <v>1</v>
      </c>
      <c r="L156">
        <f>IF($E156=0, "NA", ROUND(SUM(services_v2_9!L156,services_v2_8!L156,services_v2_7!L156,services_v2_6!L156,services_v2_10!L156)/COUNT(services_v2_9!L156,services_v2_8!L156,services_v2_7!L156,services_v2_6!L156,services_v2_10!L156),0))</f>
        <v>1</v>
      </c>
      <c r="M156">
        <f>IF($E156=0, "NA", ROUND(SUM(services_v2_9!M156,services_v2_8!M156,services_v2_7!M156,services_v2_6!M156,services_v2_10!M156)/COUNT(services_v2_9!M156,services_v2_8!M156,services_v2_7!M156,services_v2_6!M156,services_v2_10!M156),0))</f>
        <v>1</v>
      </c>
      <c r="N156">
        <f>IF($E156=0, "NA", ROUND(SUM(services_v2_9!N156,services_v2_8!N156,services_v2_7!N156,services_v2_6!N156,services_v2_10!N156)/COUNT(services_v2_9!N156,services_v2_8!N156,services_v2_7!N156,services_v2_6!N156,services_v2_10!N156),0))</f>
        <v>1</v>
      </c>
      <c r="O156">
        <f>IF($E156=0, "NA", ROUND(SUM(services_v2_9!O156,services_v2_8!O156,services_v2_7!O156,services_v2_6!O156,services_v2_10!O156)/COUNT(services_v2_9!O156,services_v2_8!O156,services_v2_7!O156,services_v2_6!O156,services_v2_10!O156),0))</f>
        <v>1</v>
      </c>
    </row>
    <row r="157" spans="1:15" x14ac:dyDescent="0.25">
      <c r="A157" t="s">
        <v>143</v>
      </c>
      <c r="B157" t="s">
        <v>87</v>
      </c>
      <c r="C157">
        <v>0</v>
      </c>
      <c r="D157">
        <v>6.2888913154602051</v>
      </c>
      <c r="E157">
        <f>ROUND(SUM(services_v2_9!E157,services_v2_8!E157,services_v2_7!E157,services_v2_6!E157,services_v2_10!E157)/COUNT(services_v2_9!E157,services_v2_8!E157,services_v2_7!E157,services_v2_6!E157,services_v2_10!E157),0)</f>
        <v>1</v>
      </c>
      <c r="F157">
        <f>IF($E157=0, "NA", ROUND(SUM(services_v2_9!F157,services_v2_8!F157,services_v2_7!F157,services_v2_6!F157,services_v2_10!F157)/COUNT(services_v2_9!F157,services_v2_8!F157,services_v2_7!F157,services_v2_6!F157,services_v2_10!F157),0))</f>
        <v>1</v>
      </c>
      <c r="G157">
        <f>IF($E157=0, "NA", ROUND(SUM(services_v2_9!G157,services_v2_8!G157,services_v2_7!G157,services_v2_6!G157,services_v2_10!G157)/COUNT(services_v2_9!G157,services_v2_8!G157,services_v2_7!G157,services_v2_6!G157,services_v2_10!G157),0))</f>
        <v>0</v>
      </c>
      <c r="H157" t="str">
        <f>IF(AND(F157=1,G157=1),ROUND(SUM(services_v2_9!H157,services_v2_8!H157,services_v2_7!H157,services_v2_6!H157,services_v2_10!H157)/COUNT(services_v2_9!H157,services_v2_8!H157,services_v2_7!H157,services_v2_6!H157,services_v2_10!H157),0),"NA")</f>
        <v>NA</v>
      </c>
      <c r="I157">
        <f>IF($E157=0, "NA", ROUND(SUM(services_v2_9!I157,services_v2_8!I157,services_v2_7!I157,services_v2_6!I157,services_v2_10!I157)/COUNT(services_v2_9!I157,services_v2_8!I157,services_v2_7!I157,services_v2_6!I157,services_v2_10!I157),0))</f>
        <v>1</v>
      </c>
      <c r="J157">
        <f>IF(F157=1,ROUND(SUM(services_v2_9!J157,services_v2_8!J157,services_v2_7!J157,services_v2_6!J157,services_v2_10!J157)/COUNT(services_v2_9!J157,services_v2_8!J157,services_v2_7!J157,services_v2_6!J157,services_v2_10!J157),0),"NA")</f>
        <v>1</v>
      </c>
      <c r="K157">
        <f>IF($E157=0, "NA", ROUND(SUM(services_v2_9!K157,services_v2_8!K157,services_v2_7!K157,services_v2_6!K157,services_v2_10!K157)/COUNT(services_v2_9!K157,services_v2_8!K157,services_v2_7!K157,services_v2_6!K157,services_v2_10!K157),0))</f>
        <v>1</v>
      </c>
      <c r="L157">
        <f>IF($E157=0, "NA", ROUND(SUM(services_v2_9!L157,services_v2_8!L157,services_v2_7!L157,services_v2_6!L157,services_v2_10!L157)/COUNT(services_v2_9!L157,services_v2_8!L157,services_v2_7!L157,services_v2_6!L157,services_v2_10!L157),0))</f>
        <v>1</v>
      </c>
      <c r="M157">
        <f>IF($E157=0, "NA", ROUND(SUM(services_v2_9!M157,services_v2_8!M157,services_v2_7!M157,services_v2_6!M157,services_v2_10!M157)/COUNT(services_v2_9!M157,services_v2_8!M157,services_v2_7!M157,services_v2_6!M157,services_v2_10!M157),0))</f>
        <v>1</v>
      </c>
      <c r="N157">
        <f>IF($E157=0, "NA", ROUND(SUM(services_v2_9!N157,services_v2_8!N157,services_v2_7!N157,services_v2_6!N157,services_v2_10!N157)/COUNT(services_v2_9!N157,services_v2_8!N157,services_v2_7!N157,services_v2_6!N157,services_v2_10!N157),0))</f>
        <v>1</v>
      </c>
      <c r="O157">
        <f>IF($E157=0, "NA", ROUND(SUM(services_v2_9!O157,services_v2_8!O157,services_v2_7!O157,services_v2_6!O157,services_v2_10!O157)/COUNT(services_v2_9!O157,services_v2_8!O157,services_v2_7!O157,services_v2_6!O157,services_v2_10!O157),0))</f>
        <v>1</v>
      </c>
    </row>
    <row r="158" spans="1:15" x14ac:dyDescent="0.25">
      <c r="A158" t="s">
        <v>143</v>
      </c>
      <c r="B158" t="s">
        <v>89</v>
      </c>
      <c r="C158">
        <v>0</v>
      </c>
      <c r="D158">
        <v>7.0162858963012704</v>
      </c>
      <c r="E158">
        <f>ROUND(SUM(services_v2_9!E158,services_v2_8!E158,services_v2_7!E158,services_v2_6!E158,services_v2_10!E158)/COUNT(services_v2_9!E158,services_v2_8!E158,services_v2_7!E158,services_v2_6!E158,services_v2_10!E158),0)</f>
        <v>1</v>
      </c>
      <c r="F158">
        <f>IF($E158=0, "NA", ROUND(SUM(services_v2_9!F158,services_v2_8!F158,services_v2_7!F158,services_v2_6!F158,services_v2_10!F158)/COUNT(services_v2_9!F158,services_v2_8!F158,services_v2_7!F158,services_v2_6!F158,services_v2_10!F158),0))</f>
        <v>1</v>
      </c>
      <c r="G158">
        <f>IF($E158=0, "NA", ROUND(SUM(services_v2_9!G158,services_v2_8!G158,services_v2_7!G158,services_v2_6!G158,services_v2_10!G158)/COUNT(services_v2_9!G158,services_v2_8!G158,services_v2_7!G158,services_v2_6!G158,services_v2_10!G158),0))</f>
        <v>1</v>
      </c>
      <c r="H158">
        <f>IF(AND(F158=1,G158=1),ROUND(SUM(services_v2_9!H158,services_v2_8!H158,services_v2_7!H158,services_v2_6!H158,services_v2_10!H158)/COUNT(services_v2_9!H158,services_v2_8!H158,services_v2_7!H158,services_v2_6!H158,services_v2_10!H158),0),"NA")</f>
        <v>1</v>
      </c>
      <c r="I158">
        <f>IF($E158=0, "NA", ROUND(SUM(services_v2_9!I158,services_v2_8!I158,services_v2_7!I158,services_v2_6!I158,services_v2_10!I158)/COUNT(services_v2_9!I158,services_v2_8!I158,services_v2_7!I158,services_v2_6!I158,services_v2_10!I158),0))</f>
        <v>1</v>
      </c>
      <c r="J158">
        <f>IF(F158=1,ROUND(SUM(services_v2_9!J158,services_v2_8!J158,services_v2_7!J158,services_v2_6!J158,services_v2_10!J158)/COUNT(services_v2_9!J158,services_v2_8!J158,services_v2_7!J158,services_v2_6!J158,services_v2_10!J158),0),"NA")</f>
        <v>0</v>
      </c>
      <c r="K158">
        <f>IF($E158=0, "NA", ROUND(SUM(services_v2_9!K158,services_v2_8!K158,services_v2_7!K158,services_v2_6!K158,services_v2_10!K158)/COUNT(services_v2_9!K158,services_v2_8!K158,services_v2_7!K158,services_v2_6!K158,services_v2_10!K158),0))</f>
        <v>1</v>
      </c>
      <c r="L158">
        <f>IF($E158=0, "NA", ROUND(SUM(services_v2_9!L158,services_v2_8!L158,services_v2_7!L158,services_v2_6!L158,services_v2_10!L158)/COUNT(services_v2_9!L158,services_v2_8!L158,services_v2_7!L158,services_v2_6!L158,services_v2_10!L158),0))</f>
        <v>1</v>
      </c>
      <c r="M158">
        <f>IF($E158=0, "NA", ROUND(SUM(services_v2_9!M158,services_v2_8!M158,services_v2_7!M158,services_v2_6!M158,services_v2_10!M158)/COUNT(services_v2_9!M158,services_v2_8!M158,services_v2_7!M158,services_v2_6!M158,services_v2_10!M158),0))</f>
        <v>1</v>
      </c>
      <c r="N158">
        <f>IF($E158=0, "NA", ROUND(SUM(services_v2_9!N158,services_v2_8!N158,services_v2_7!N158,services_v2_6!N158,services_v2_10!N158)/COUNT(services_v2_9!N158,services_v2_8!N158,services_v2_7!N158,services_v2_6!N158,services_v2_10!N158),0))</f>
        <v>1</v>
      </c>
      <c r="O158">
        <f>IF($E158=0, "NA", ROUND(SUM(services_v2_9!O158,services_v2_8!O158,services_v2_7!O158,services_v2_6!O158,services_v2_10!O158)/COUNT(services_v2_9!O158,services_v2_8!O158,services_v2_7!O158,services_v2_6!O158,services_v2_10!O158),0))</f>
        <v>1</v>
      </c>
    </row>
    <row r="159" spans="1:15" x14ac:dyDescent="0.25">
      <c r="A159" t="s">
        <v>143</v>
      </c>
      <c r="B159" t="s">
        <v>91</v>
      </c>
      <c r="C159">
        <v>0</v>
      </c>
      <c r="D159">
        <v>7.0414574146270752</v>
      </c>
      <c r="E159">
        <f>ROUND(SUM(services_v2_9!E159,services_v2_8!E159,services_v2_7!E159,services_v2_6!E159,services_v2_10!E159)/COUNT(services_v2_9!E159,services_v2_8!E159,services_v2_7!E159,services_v2_6!E159,services_v2_10!E159),0)</f>
        <v>1</v>
      </c>
      <c r="F159">
        <f>IF($E159=0, "NA", ROUND(SUM(services_v2_9!F159,services_v2_8!F159,services_v2_7!F159,services_v2_6!F159,services_v2_10!F159)/COUNT(services_v2_9!F159,services_v2_8!F159,services_v2_7!F159,services_v2_6!F159,services_v2_10!F159),0))</f>
        <v>1</v>
      </c>
      <c r="G159">
        <f>IF($E159=0, "NA", ROUND(SUM(services_v2_9!G159,services_v2_8!G159,services_v2_7!G159,services_v2_6!G159,services_v2_10!G159)/COUNT(services_v2_9!G159,services_v2_8!G159,services_v2_7!G159,services_v2_6!G159,services_v2_10!G159),0))</f>
        <v>1</v>
      </c>
      <c r="H159">
        <f>IF(AND(F159=1,G159=1),ROUND(SUM(services_v2_9!H159,services_v2_8!H159,services_v2_7!H159,services_v2_6!H159,services_v2_10!H159)/COUNT(services_v2_9!H159,services_v2_8!H159,services_v2_7!H159,services_v2_6!H159,services_v2_10!H159),0),"NA")</f>
        <v>1</v>
      </c>
      <c r="I159">
        <f>IF($E159=0, "NA", ROUND(SUM(services_v2_9!I159,services_v2_8!I159,services_v2_7!I159,services_v2_6!I159,services_v2_10!I159)/COUNT(services_v2_9!I159,services_v2_8!I159,services_v2_7!I159,services_v2_6!I159,services_v2_10!I159),0))</f>
        <v>1</v>
      </c>
      <c r="J159">
        <f>IF(F159=1,ROUND(SUM(services_v2_9!J159,services_v2_8!J159,services_v2_7!J159,services_v2_6!J159,services_v2_10!J159)/COUNT(services_v2_9!J159,services_v2_8!J159,services_v2_7!J159,services_v2_6!J159,services_v2_10!J159),0),"NA")</f>
        <v>0</v>
      </c>
      <c r="K159">
        <f>IF($E159=0, "NA", ROUND(SUM(services_v2_9!K159,services_v2_8!K159,services_v2_7!K159,services_v2_6!K159,services_v2_10!K159)/COUNT(services_v2_9!K159,services_v2_8!K159,services_v2_7!K159,services_v2_6!K159,services_v2_10!K159),0))</f>
        <v>1</v>
      </c>
      <c r="L159">
        <f>IF($E159=0, "NA", ROUND(SUM(services_v2_9!L159,services_v2_8!L159,services_v2_7!L159,services_v2_6!L159,services_v2_10!L159)/COUNT(services_v2_9!L159,services_v2_8!L159,services_v2_7!L159,services_v2_6!L159,services_v2_10!L159),0))</f>
        <v>1</v>
      </c>
      <c r="M159">
        <f>IF($E159=0, "NA", ROUND(SUM(services_v2_9!M159,services_v2_8!M159,services_v2_7!M159,services_v2_6!M159,services_v2_10!M159)/COUNT(services_v2_9!M159,services_v2_8!M159,services_v2_7!M159,services_v2_6!M159,services_v2_10!M159),0))</f>
        <v>1</v>
      </c>
      <c r="N159">
        <f>IF($E159=0, "NA", ROUND(SUM(services_v2_9!N159,services_v2_8!N159,services_v2_7!N159,services_v2_6!N159,services_v2_10!N159)/COUNT(services_v2_9!N159,services_v2_8!N159,services_v2_7!N159,services_v2_6!N159,services_v2_10!N159),0))</f>
        <v>1</v>
      </c>
      <c r="O159">
        <f>IF($E159=0, "NA", ROUND(SUM(services_v2_9!O159,services_v2_8!O159,services_v2_7!O159,services_v2_6!O159,services_v2_10!O159)/COUNT(services_v2_9!O159,services_v2_8!O159,services_v2_7!O159,services_v2_6!O159,services_v2_10!O159),0))</f>
        <v>1</v>
      </c>
    </row>
    <row r="160" spans="1:15" x14ac:dyDescent="0.25">
      <c r="A160" t="s">
        <v>143</v>
      </c>
      <c r="B160" t="s">
        <v>92</v>
      </c>
      <c r="C160">
        <v>0</v>
      </c>
      <c r="D160">
        <v>4.8180716037750244</v>
      </c>
      <c r="E160">
        <f>ROUND(SUM(services_v2_9!E160,services_v2_8!E160,services_v2_7!E160,services_v2_6!E160,services_v2_10!E160)/COUNT(services_v2_9!E160,services_v2_8!E160,services_v2_7!E160,services_v2_6!E160,services_v2_10!E160),0)</f>
        <v>1</v>
      </c>
      <c r="F160">
        <f>IF($E160=0, "NA", ROUND(SUM(services_v2_9!F160,services_v2_8!F160,services_v2_7!F160,services_v2_6!F160,services_v2_10!F160)/COUNT(services_v2_9!F160,services_v2_8!F160,services_v2_7!F160,services_v2_6!F160,services_v2_10!F160),0))</f>
        <v>1</v>
      </c>
      <c r="G160">
        <f>IF($E160=0, "NA", ROUND(SUM(services_v2_9!G160,services_v2_8!G160,services_v2_7!G160,services_v2_6!G160,services_v2_10!G160)/COUNT(services_v2_9!G160,services_v2_8!G160,services_v2_7!G160,services_v2_6!G160,services_v2_10!G160),0))</f>
        <v>1</v>
      </c>
      <c r="H160">
        <f>IF(AND(F160=1,G160=1),ROUND(SUM(services_v2_9!H160,services_v2_8!H160,services_v2_7!H160,services_v2_6!H160,services_v2_10!H160)/COUNT(services_v2_9!H160,services_v2_8!H160,services_v2_7!H160,services_v2_6!H160,services_v2_10!H160),0),"NA")</f>
        <v>1</v>
      </c>
      <c r="I160">
        <f>IF($E160=0, "NA", ROUND(SUM(services_v2_9!I160,services_v2_8!I160,services_v2_7!I160,services_v2_6!I160,services_v2_10!I160)/COUNT(services_v2_9!I160,services_v2_8!I160,services_v2_7!I160,services_v2_6!I160,services_v2_10!I160),0))</f>
        <v>1</v>
      </c>
      <c r="J160">
        <f>IF(F160=1,ROUND(SUM(services_v2_9!J160,services_v2_8!J160,services_v2_7!J160,services_v2_6!J160,services_v2_10!J160)/COUNT(services_v2_9!J160,services_v2_8!J160,services_v2_7!J160,services_v2_6!J160,services_v2_10!J160),0),"NA")</f>
        <v>0</v>
      </c>
      <c r="K160">
        <f>IF($E160=0, "NA", ROUND(SUM(services_v2_9!K160,services_v2_8!K160,services_v2_7!K160,services_v2_6!K160,services_v2_10!K160)/COUNT(services_v2_9!K160,services_v2_8!K160,services_v2_7!K160,services_v2_6!K160,services_v2_10!K160),0))</f>
        <v>1</v>
      </c>
      <c r="L160">
        <f>IF($E160=0, "NA", ROUND(SUM(services_v2_9!L160,services_v2_8!L160,services_v2_7!L160,services_v2_6!L160,services_v2_10!L160)/COUNT(services_v2_9!L160,services_v2_8!L160,services_v2_7!L160,services_v2_6!L160,services_v2_10!L160),0))</f>
        <v>1</v>
      </c>
      <c r="M160">
        <f>IF($E160=0, "NA", ROUND(SUM(services_v2_9!M160,services_v2_8!M160,services_v2_7!M160,services_v2_6!M160,services_v2_10!M160)/COUNT(services_v2_9!M160,services_v2_8!M160,services_v2_7!M160,services_v2_6!M160,services_v2_10!M160),0))</f>
        <v>1</v>
      </c>
      <c r="N160">
        <f>IF($E160=0, "NA", ROUND(SUM(services_v2_9!N160,services_v2_8!N160,services_v2_7!N160,services_v2_6!N160,services_v2_10!N160)/COUNT(services_v2_9!N160,services_v2_8!N160,services_v2_7!N160,services_v2_6!N160,services_v2_10!N160),0))</f>
        <v>1</v>
      </c>
      <c r="O160">
        <f>IF($E160=0, "NA", ROUND(SUM(services_v2_9!O160,services_v2_8!O160,services_v2_7!O160,services_v2_6!O160,services_v2_10!O160)/COUNT(services_v2_9!O160,services_v2_8!O160,services_v2_7!O160,services_v2_6!O160,services_v2_10!O160),0))</f>
        <v>1</v>
      </c>
    </row>
    <row r="161" spans="1:15" x14ac:dyDescent="0.25">
      <c r="A161" t="s">
        <v>143</v>
      </c>
      <c r="B161" t="s">
        <v>94</v>
      </c>
      <c r="C161">
        <v>0</v>
      </c>
      <c r="D161">
        <v>9.5557036399841309</v>
      </c>
      <c r="E161">
        <f>ROUND(SUM(services_v2_9!E161,services_v2_8!E161,services_v2_7!E161,services_v2_6!E161,services_v2_10!E161)/COUNT(services_v2_9!E161,services_v2_8!E161,services_v2_7!E161,services_v2_6!E161,services_v2_10!E161),0)</f>
        <v>1</v>
      </c>
      <c r="F161">
        <f>IF($E161=0, "NA", ROUND(SUM(services_v2_9!F161,services_v2_8!F161,services_v2_7!F161,services_v2_6!F161,services_v2_10!F161)/COUNT(services_v2_9!F161,services_v2_8!F161,services_v2_7!F161,services_v2_6!F161,services_v2_10!F161),0))</f>
        <v>1</v>
      </c>
      <c r="G161">
        <f>IF($E161=0, "NA", ROUND(SUM(services_v2_9!G161,services_v2_8!G161,services_v2_7!G161,services_v2_6!G161,services_v2_10!G161)/COUNT(services_v2_9!G161,services_v2_8!G161,services_v2_7!G161,services_v2_6!G161,services_v2_10!G161),0))</f>
        <v>1</v>
      </c>
      <c r="H161">
        <f>IF(AND(F161=1,G161=1),ROUND(SUM(services_v2_9!H161,services_v2_8!H161,services_v2_7!H161,services_v2_6!H161,services_v2_10!H161)/COUNT(services_v2_9!H161,services_v2_8!H161,services_v2_7!H161,services_v2_6!H161,services_v2_10!H161),0),"NA")</f>
        <v>1</v>
      </c>
      <c r="I161">
        <f>IF($E161=0, "NA", ROUND(SUM(services_v2_9!I161,services_v2_8!I161,services_v2_7!I161,services_v2_6!I161,services_v2_10!I161)/COUNT(services_v2_9!I161,services_v2_8!I161,services_v2_7!I161,services_v2_6!I161,services_v2_10!I161),0))</f>
        <v>1</v>
      </c>
      <c r="J161">
        <f>IF(F161=1,ROUND(SUM(services_v2_9!J161,services_v2_8!J161,services_v2_7!J161,services_v2_6!J161,services_v2_10!J161)/COUNT(services_v2_9!J161,services_v2_8!J161,services_v2_7!J161,services_v2_6!J161,services_v2_10!J161),0),"NA")</f>
        <v>1</v>
      </c>
      <c r="K161">
        <f>IF($E161=0, "NA", ROUND(SUM(services_v2_9!K161,services_v2_8!K161,services_v2_7!K161,services_v2_6!K161,services_v2_10!K161)/COUNT(services_v2_9!K161,services_v2_8!K161,services_v2_7!K161,services_v2_6!K161,services_v2_10!K161),0))</f>
        <v>1</v>
      </c>
      <c r="L161">
        <f>IF($E161=0, "NA", ROUND(SUM(services_v2_9!L161,services_v2_8!L161,services_v2_7!L161,services_v2_6!L161,services_v2_10!L161)/COUNT(services_v2_9!L161,services_v2_8!L161,services_v2_7!L161,services_v2_6!L161,services_v2_10!L161),0))</f>
        <v>1</v>
      </c>
      <c r="M161">
        <f>IF($E161=0, "NA", ROUND(SUM(services_v2_9!M161,services_v2_8!M161,services_v2_7!M161,services_v2_6!M161,services_v2_10!M161)/COUNT(services_v2_9!M161,services_v2_8!M161,services_v2_7!M161,services_v2_6!M161,services_v2_10!M161),0))</f>
        <v>1</v>
      </c>
      <c r="N161">
        <f>IF($E161=0, "NA", ROUND(SUM(services_v2_9!N161,services_v2_8!N161,services_v2_7!N161,services_v2_6!N161,services_v2_10!N161)/COUNT(services_v2_9!N161,services_v2_8!N161,services_v2_7!N161,services_v2_6!N161,services_v2_10!N161),0))</f>
        <v>1</v>
      </c>
      <c r="O161">
        <f>IF($E161=0, "NA", ROUND(SUM(services_v2_9!O161,services_v2_8!O161,services_v2_7!O161,services_v2_6!O161,services_v2_10!O161)/COUNT(services_v2_9!O161,services_v2_8!O161,services_v2_7!O161,services_v2_6!O161,services_v2_10!O161),0))</f>
        <v>1</v>
      </c>
    </row>
    <row r="162" spans="1:15" x14ac:dyDescent="0.25">
      <c r="A162" t="s">
        <v>143</v>
      </c>
      <c r="B162" t="s">
        <v>95</v>
      </c>
      <c r="C162">
        <v>0</v>
      </c>
      <c r="D162">
        <v>5.4296269416809082</v>
      </c>
      <c r="E162">
        <f>ROUND(SUM(services_v2_9!E162,services_v2_8!E162,services_v2_7!E162,services_v2_6!E162,services_v2_10!E162)/COUNT(services_v2_9!E162,services_v2_8!E162,services_v2_7!E162,services_v2_6!E162,services_v2_10!E162),0)</f>
        <v>1</v>
      </c>
      <c r="F162">
        <f>IF($E162=0, "NA", ROUND(SUM(services_v2_9!F162,services_v2_8!F162,services_v2_7!F162,services_v2_6!F162,services_v2_10!F162)/COUNT(services_v2_9!F162,services_v2_8!F162,services_v2_7!F162,services_v2_6!F162,services_v2_10!F162),0))</f>
        <v>1</v>
      </c>
      <c r="G162">
        <f>IF($E162=0, "NA", ROUND(SUM(services_v2_9!G162,services_v2_8!G162,services_v2_7!G162,services_v2_6!G162,services_v2_10!G162)/COUNT(services_v2_9!G162,services_v2_8!G162,services_v2_7!G162,services_v2_6!G162,services_v2_10!G162),0))</f>
        <v>1</v>
      </c>
      <c r="H162">
        <f>IF(AND(F162=1,G162=1),ROUND(SUM(services_v2_9!H162,services_v2_8!H162,services_v2_7!H162,services_v2_6!H162,services_v2_10!H162)/COUNT(services_v2_9!H162,services_v2_8!H162,services_v2_7!H162,services_v2_6!H162,services_v2_10!H162),0),"NA")</f>
        <v>1</v>
      </c>
      <c r="I162">
        <f>IF($E162=0, "NA", ROUND(SUM(services_v2_9!I162,services_v2_8!I162,services_v2_7!I162,services_v2_6!I162,services_v2_10!I162)/COUNT(services_v2_9!I162,services_v2_8!I162,services_v2_7!I162,services_v2_6!I162,services_v2_10!I162),0))</f>
        <v>1</v>
      </c>
      <c r="J162">
        <f>IF(F162=1,ROUND(SUM(services_v2_9!J162,services_v2_8!J162,services_v2_7!J162,services_v2_6!J162,services_v2_10!J162)/COUNT(services_v2_9!J162,services_v2_8!J162,services_v2_7!J162,services_v2_6!J162,services_v2_10!J162),0),"NA")</f>
        <v>0</v>
      </c>
      <c r="K162">
        <f>IF($E162=0, "NA", ROUND(SUM(services_v2_9!K162,services_v2_8!K162,services_v2_7!K162,services_v2_6!K162,services_v2_10!K162)/COUNT(services_v2_9!K162,services_v2_8!K162,services_v2_7!K162,services_v2_6!K162,services_v2_10!K162),0))</f>
        <v>1</v>
      </c>
      <c r="L162">
        <f>IF($E162=0, "NA", ROUND(SUM(services_v2_9!L162,services_v2_8!L162,services_v2_7!L162,services_v2_6!L162,services_v2_10!L162)/COUNT(services_v2_9!L162,services_v2_8!L162,services_v2_7!L162,services_v2_6!L162,services_v2_10!L162),0))</f>
        <v>1</v>
      </c>
      <c r="M162">
        <f>IF($E162=0, "NA", ROUND(SUM(services_v2_9!M162,services_v2_8!M162,services_v2_7!M162,services_v2_6!M162,services_v2_10!M162)/COUNT(services_v2_9!M162,services_v2_8!M162,services_v2_7!M162,services_v2_6!M162,services_v2_10!M162),0))</f>
        <v>1</v>
      </c>
      <c r="N162">
        <f>IF($E162=0, "NA", ROUND(SUM(services_v2_9!N162,services_v2_8!N162,services_v2_7!N162,services_v2_6!N162,services_v2_10!N162)/COUNT(services_v2_9!N162,services_v2_8!N162,services_v2_7!N162,services_v2_6!N162,services_v2_10!N162),0))</f>
        <v>1</v>
      </c>
      <c r="O162">
        <f>IF($E162=0, "NA", ROUND(SUM(services_v2_9!O162,services_v2_8!O162,services_v2_7!O162,services_v2_6!O162,services_v2_10!O162)/COUNT(services_v2_9!O162,services_v2_8!O162,services_v2_7!O162,services_v2_6!O162,services_v2_10!O162),0))</f>
        <v>1</v>
      </c>
    </row>
    <row r="163" spans="1:15" x14ac:dyDescent="0.25">
      <c r="A163" t="s">
        <v>143</v>
      </c>
      <c r="B163" t="s">
        <v>121</v>
      </c>
      <c r="C163">
        <v>0</v>
      </c>
      <c r="D163">
        <v>6.8651077747344971</v>
      </c>
      <c r="E163">
        <f>ROUND(SUM(services_v2_9!E163,services_v2_8!E163,services_v2_7!E163,services_v2_6!E163,services_v2_10!E163)/COUNT(services_v2_9!E163,services_v2_8!E163,services_v2_7!E163,services_v2_6!E163,services_v2_10!E163),0)</f>
        <v>1</v>
      </c>
      <c r="F163">
        <f>IF($E163=0, "NA", ROUND(SUM(services_v2_9!F163,services_v2_8!F163,services_v2_7!F163,services_v2_6!F163,services_v2_10!F163)/COUNT(services_v2_9!F163,services_v2_8!F163,services_v2_7!F163,services_v2_6!F163,services_v2_10!F163),0))</f>
        <v>1</v>
      </c>
      <c r="G163">
        <f>IF($E163=0, "NA", ROUND(SUM(services_v2_9!G163,services_v2_8!G163,services_v2_7!G163,services_v2_6!G163,services_v2_10!G163)/COUNT(services_v2_9!G163,services_v2_8!G163,services_v2_7!G163,services_v2_6!G163,services_v2_10!G163),0))</f>
        <v>1</v>
      </c>
      <c r="H163">
        <f>IF(AND(F163=1,G163=1),ROUND(SUM(services_v2_9!H163,services_v2_8!H163,services_v2_7!H163,services_v2_6!H163,services_v2_10!H163)/COUNT(services_v2_9!H163,services_v2_8!H163,services_v2_7!H163,services_v2_6!H163,services_v2_10!H163),0),"NA")</f>
        <v>1</v>
      </c>
      <c r="I163">
        <f>IF($E163=0, "NA", ROUND(SUM(services_v2_9!I163,services_v2_8!I163,services_v2_7!I163,services_v2_6!I163,services_v2_10!I163)/COUNT(services_v2_9!I163,services_v2_8!I163,services_v2_7!I163,services_v2_6!I163,services_v2_10!I163),0))</f>
        <v>1</v>
      </c>
      <c r="J163">
        <f>IF(F163=1,ROUND(SUM(services_v2_9!J163,services_v2_8!J163,services_v2_7!J163,services_v2_6!J163,services_v2_10!J163)/COUNT(services_v2_9!J163,services_v2_8!J163,services_v2_7!J163,services_v2_6!J163,services_v2_10!J163),0),"NA")</f>
        <v>0</v>
      </c>
      <c r="K163">
        <f>IF($E163=0, "NA", ROUND(SUM(services_v2_9!K163,services_v2_8!K163,services_v2_7!K163,services_v2_6!K163,services_v2_10!K163)/COUNT(services_v2_9!K163,services_v2_8!K163,services_v2_7!K163,services_v2_6!K163,services_v2_10!K163),0))</f>
        <v>1</v>
      </c>
      <c r="L163">
        <f>IF($E163=0, "NA", ROUND(SUM(services_v2_9!L163,services_v2_8!L163,services_v2_7!L163,services_v2_6!L163,services_v2_10!L163)/COUNT(services_v2_9!L163,services_v2_8!L163,services_v2_7!L163,services_v2_6!L163,services_v2_10!L163),0))</f>
        <v>1</v>
      </c>
      <c r="M163">
        <f>IF($E163=0, "NA", ROUND(SUM(services_v2_9!M163,services_v2_8!M163,services_v2_7!M163,services_v2_6!M163,services_v2_10!M163)/COUNT(services_v2_9!M163,services_v2_8!M163,services_v2_7!M163,services_v2_6!M163,services_v2_10!M163),0))</f>
        <v>1</v>
      </c>
      <c r="N163">
        <f>IF($E163=0, "NA", ROUND(SUM(services_v2_9!N163,services_v2_8!N163,services_v2_7!N163,services_v2_6!N163,services_v2_10!N163)/COUNT(services_v2_9!N163,services_v2_8!N163,services_v2_7!N163,services_v2_6!N163,services_v2_10!N163),0))</f>
        <v>1</v>
      </c>
      <c r="O163">
        <f>IF($E163=0, "NA", ROUND(SUM(services_v2_9!O163,services_v2_8!O163,services_v2_7!O163,services_v2_6!O163,services_v2_10!O163)/COUNT(services_v2_9!O163,services_v2_8!O163,services_v2_7!O163,services_v2_6!O163,services_v2_10!O163),0))</f>
        <v>1</v>
      </c>
    </row>
    <row r="164" spans="1:15" x14ac:dyDescent="0.25">
      <c r="A164" t="s">
        <v>143</v>
      </c>
      <c r="B164" t="s">
        <v>122</v>
      </c>
      <c r="C164">
        <v>0</v>
      </c>
      <c r="D164">
        <v>2.7058365345001221</v>
      </c>
      <c r="E164">
        <f>ROUND(SUM(services_v2_9!E164,services_v2_8!E164,services_v2_7!E164,services_v2_6!E164,services_v2_10!E164)/COUNT(services_v2_9!E164,services_v2_8!E164,services_v2_7!E164,services_v2_6!E164,services_v2_10!E164),0)</f>
        <v>1</v>
      </c>
      <c r="F164">
        <f>IF($E164=0, "NA", ROUND(SUM(services_v2_9!F164,services_v2_8!F164,services_v2_7!F164,services_v2_6!F164,services_v2_10!F164)/COUNT(services_v2_9!F164,services_v2_8!F164,services_v2_7!F164,services_v2_6!F164,services_v2_10!F164),0))</f>
        <v>1</v>
      </c>
      <c r="G164">
        <f>IF($E164=0, "NA", ROUND(SUM(services_v2_9!G164,services_v2_8!G164,services_v2_7!G164,services_v2_6!G164,services_v2_10!G164)/COUNT(services_v2_9!G164,services_v2_8!G164,services_v2_7!G164,services_v2_6!G164,services_v2_10!G164),0))</f>
        <v>1</v>
      </c>
      <c r="H164">
        <f>IF(AND(F164=1,G164=1),ROUND(SUM(services_v2_9!H164,services_v2_8!H164,services_v2_7!H164,services_v2_6!H164,services_v2_10!H164)/COUNT(services_v2_9!H164,services_v2_8!H164,services_v2_7!H164,services_v2_6!H164,services_v2_10!H164),0),"NA")</f>
        <v>1</v>
      </c>
      <c r="I164">
        <f>IF($E164=0, "NA", ROUND(SUM(services_v2_9!I164,services_v2_8!I164,services_v2_7!I164,services_v2_6!I164,services_v2_10!I164)/COUNT(services_v2_9!I164,services_v2_8!I164,services_v2_7!I164,services_v2_6!I164,services_v2_10!I164),0))</f>
        <v>1</v>
      </c>
      <c r="J164">
        <f>IF(F164=1,ROUND(SUM(services_v2_9!J164,services_v2_8!J164,services_v2_7!J164,services_v2_6!J164,services_v2_10!J164)/COUNT(services_v2_9!J164,services_v2_8!J164,services_v2_7!J164,services_v2_6!J164,services_v2_10!J164),0),"NA")</f>
        <v>1</v>
      </c>
      <c r="K164">
        <f>IF($E164=0, "NA", ROUND(SUM(services_v2_9!K164,services_v2_8!K164,services_v2_7!K164,services_v2_6!K164,services_v2_10!K164)/COUNT(services_v2_9!K164,services_v2_8!K164,services_v2_7!K164,services_v2_6!K164,services_v2_10!K164),0))</f>
        <v>1</v>
      </c>
      <c r="L164">
        <f>IF($E164=0, "NA", ROUND(SUM(services_v2_9!L164,services_v2_8!L164,services_v2_7!L164,services_v2_6!L164,services_v2_10!L164)/COUNT(services_v2_9!L164,services_v2_8!L164,services_v2_7!L164,services_v2_6!L164,services_v2_10!L164),0))</f>
        <v>1</v>
      </c>
      <c r="M164">
        <f>IF($E164=0, "NA", ROUND(SUM(services_v2_9!M164,services_v2_8!M164,services_v2_7!M164,services_v2_6!M164,services_v2_10!M164)/COUNT(services_v2_9!M164,services_v2_8!M164,services_v2_7!M164,services_v2_6!M164,services_v2_10!M164),0))</f>
        <v>1</v>
      </c>
      <c r="N164">
        <f>IF($E164=0, "NA", ROUND(SUM(services_v2_9!N164,services_v2_8!N164,services_v2_7!N164,services_v2_6!N164,services_v2_10!N164)/COUNT(services_v2_9!N164,services_v2_8!N164,services_v2_7!N164,services_v2_6!N164,services_v2_10!N164),0))</f>
        <v>1</v>
      </c>
      <c r="O164">
        <f>IF($E164=0, "NA", ROUND(SUM(services_v2_9!O164,services_v2_8!O164,services_v2_7!O164,services_v2_6!O164,services_v2_10!O164)/COUNT(services_v2_9!O164,services_v2_8!O164,services_v2_7!O164,services_v2_6!O164,services_v2_10!O164),0))</f>
        <v>1</v>
      </c>
    </row>
    <row r="165" spans="1:15" x14ac:dyDescent="0.25">
      <c r="A165" t="s">
        <v>143</v>
      </c>
      <c r="B165" t="s">
        <v>124</v>
      </c>
      <c r="C165">
        <v>0</v>
      </c>
      <c r="D165">
        <v>6.6308937072753906</v>
      </c>
      <c r="E165">
        <f>ROUND(SUM(services_v2_9!E165,services_v2_8!E165,services_v2_7!E165,services_v2_6!E165,services_v2_10!E165)/COUNT(services_v2_9!E165,services_v2_8!E165,services_v2_7!E165,services_v2_6!E165,services_v2_10!E165),0)</f>
        <v>1</v>
      </c>
      <c r="F165">
        <f>IF($E165=0, "NA", ROUND(SUM(services_v2_9!F165,services_v2_8!F165,services_v2_7!F165,services_v2_6!F165,services_v2_10!F165)/COUNT(services_v2_9!F165,services_v2_8!F165,services_v2_7!F165,services_v2_6!F165,services_v2_10!F165),0))</f>
        <v>0</v>
      </c>
      <c r="G165">
        <f>IF($E165=0, "NA", ROUND(SUM(services_v2_9!G165,services_v2_8!G165,services_v2_7!G165,services_v2_6!G165,services_v2_10!G165)/COUNT(services_v2_9!G165,services_v2_8!G165,services_v2_7!G165,services_v2_6!G165,services_v2_10!G165),0))</f>
        <v>1</v>
      </c>
      <c r="H165" t="str">
        <f>IF(AND(F165=1,G165=1),ROUND(SUM(services_v2_9!H165,services_v2_8!H165,services_v2_7!H165,services_v2_6!H165,services_v2_10!H165)/COUNT(services_v2_9!H165,services_v2_8!H165,services_v2_7!H165,services_v2_6!H165,services_v2_10!H165),0),"NA")</f>
        <v>NA</v>
      </c>
      <c r="I165">
        <f>IF($E165=0, "NA", ROUND(SUM(services_v2_9!I165,services_v2_8!I165,services_v2_7!I165,services_v2_6!I165,services_v2_10!I165)/COUNT(services_v2_9!I165,services_v2_8!I165,services_v2_7!I165,services_v2_6!I165,services_v2_10!I165),0))</f>
        <v>1</v>
      </c>
      <c r="J165" t="str">
        <f>IF(F165=1,ROUND(SUM(services_v2_9!J165,services_v2_8!J165,services_v2_7!J165,services_v2_6!J165,services_v2_10!J165)/COUNT(services_v2_9!J165,services_v2_8!J165,services_v2_7!J165,services_v2_6!J165,services_v2_10!J165),0),"NA")</f>
        <v>NA</v>
      </c>
      <c r="K165">
        <f>IF($E165=0, "NA", ROUND(SUM(services_v2_9!K165,services_v2_8!K165,services_v2_7!K165,services_v2_6!K165,services_v2_10!K165)/COUNT(services_v2_9!K165,services_v2_8!K165,services_v2_7!K165,services_v2_6!K165,services_v2_10!K165),0))</f>
        <v>0</v>
      </c>
      <c r="L165">
        <f>IF($E165=0, "NA", ROUND(SUM(services_v2_9!L165,services_v2_8!L165,services_v2_7!L165,services_v2_6!L165,services_v2_10!L165)/COUNT(services_v2_9!L165,services_v2_8!L165,services_v2_7!L165,services_v2_6!L165,services_v2_10!L165),0))</f>
        <v>1</v>
      </c>
      <c r="M165">
        <f>IF($E165=0, "NA", ROUND(SUM(services_v2_9!M165,services_v2_8!M165,services_v2_7!M165,services_v2_6!M165,services_v2_10!M165)/COUNT(services_v2_9!M165,services_v2_8!M165,services_v2_7!M165,services_v2_6!M165,services_v2_10!M165),0))</f>
        <v>1</v>
      </c>
      <c r="N165">
        <f>IF($E165=0, "NA", ROUND(SUM(services_v2_9!N165,services_v2_8!N165,services_v2_7!N165,services_v2_6!N165,services_v2_10!N165)/COUNT(services_v2_9!N165,services_v2_8!N165,services_v2_7!N165,services_v2_6!N165,services_v2_10!N165),0))</f>
        <v>1</v>
      </c>
      <c r="O165">
        <f>IF($E165=0, "NA", ROUND(SUM(services_v2_9!O165,services_v2_8!O165,services_v2_7!O165,services_v2_6!O165,services_v2_10!O165)/COUNT(services_v2_9!O165,services_v2_8!O165,services_v2_7!O165,services_v2_6!O165,services_v2_10!O165),0))</f>
        <v>1</v>
      </c>
    </row>
    <row r="166" spans="1:15" x14ac:dyDescent="0.25">
      <c r="A166" t="s">
        <v>143</v>
      </c>
      <c r="B166" t="s">
        <v>126</v>
      </c>
      <c r="C166">
        <v>0</v>
      </c>
      <c r="D166">
        <v>2.772489070892334</v>
      </c>
      <c r="E166">
        <f>ROUND(SUM(services_v2_9!E166,services_v2_8!E166,services_v2_7!E166,services_v2_6!E166,services_v2_10!E166)/COUNT(services_v2_9!E166,services_v2_8!E166,services_v2_7!E166,services_v2_6!E166,services_v2_10!E166),0)</f>
        <v>1</v>
      </c>
      <c r="F166">
        <f>IF($E166=0, "NA", ROUND(SUM(services_v2_9!F166,services_v2_8!F166,services_v2_7!F166,services_v2_6!F166,services_v2_10!F166)/COUNT(services_v2_9!F166,services_v2_8!F166,services_v2_7!F166,services_v2_6!F166,services_v2_10!F166),0))</f>
        <v>1</v>
      </c>
      <c r="G166">
        <f>IF($E166=0, "NA", ROUND(SUM(services_v2_9!G166,services_v2_8!G166,services_v2_7!G166,services_v2_6!G166,services_v2_10!G166)/COUNT(services_v2_9!G166,services_v2_8!G166,services_v2_7!G166,services_v2_6!G166,services_v2_10!G166),0))</f>
        <v>1</v>
      </c>
      <c r="H166">
        <f>IF(AND(F166=1,G166=1),ROUND(SUM(services_v2_9!H166,services_v2_8!H166,services_v2_7!H166,services_v2_6!H166,services_v2_10!H166)/COUNT(services_v2_9!H166,services_v2_8!H166,services_v2_7!H166,services_v2_6!H166,services_v2_10!H166),0),"NA")</f>
        <v>1</v>
      </c>
      <c r="I166">
        <f>IF($E166=0, "NA", ROUND(SUM(services_v2_9!I166,services_v2_8!I166,services_v2_7!I166,services_v2_6!I166,services_v2_10!I166)/COUNT(services_v2_9!I166,services_v2_8!I166,services_v2_7!I166,services_v2_6!I166,services_v2_10!I166),0))</f>
        <v>1</v>
      </c>
      <c r="J166">
        <f>IF(F166=1,ROUND(SUM(services_v2_9!J166,services_v2_8!J166,services_v2_7!J166,services_v2_6!J166,services_v2_10!J166)/COUNT(services_v2_9!J166,services_v2_8!J166,services_v2_7!J166,services_v2_6!J166,services_v2_10!J166),0),"NA")</f>
        <v>1</v>
      </c>
      <c r="K166">
        <f>IF($E166=0, "NA", ROUND(SUM(services_v2_9!K166,services_v2_8!K166,services_v2_7!K166,services_v2_6!K166,services_v2_10!K166)/COUNT(services_v2_9!K166,services_v2_8!K166,services_v2_7!K166,services_v2_6!K166,services_v2_10!K166),0))</f>
        <v>1</v>
      </c>
      <c r="L166">
        <f>IF($E166=0, "NA", ROUND(SUM(services_v2_9!L166,services_v2_8!L166,services_v2_7!L166,services_v2_6!L166,services_v2_10!L166)/COUNT(services_v2_9!L166,services_v2_8!L166,services_v2_7!L166,services_v2_6!L166,services_v2_10!L166),0))</f>
        <v>1</v>
      </c>
      <c r="M166">
        <f>IF($E166=0, "NA", ROUND(SUM(services_v2_9!M166,services_v2_8!M166,services_v2_7!M166,services_v2_6!M166,services_v2_10!M166)/COUNT(services_v2_9!M166,services_v2_8!M166,services_v2_7!M166,services_v2_6!M166,services_v2_10!M166),0))</f>
        <v>1</v>
      </c>
      <c r="N166">
        <f>IF($E166=0, "NA", ROUND(SUM(services_v2_9!N166,services_v2_8!N166,services_v2_7!N166,services_v2_6!N166,services_v2_10!N166)/COUNT(services_v2_9!N166,services_v2_8!N166,services_v2_7!N166,services_v2_6!N166,services_v2_10!N166),0))</f>
        <v>1</v>
      </c>
      <c r="O166">
        <f>IF($E166=0, "NA", ROUND(SUM(services_v2_9!O166,services_v2_8!O166,services_v2_7!O166,services_v2_6!O166,services_v2_10!O166)/COUNT(services_v2_9!O166,services_v2_8!O166,services_v2_7!O166,services_v2_6!O166,services_v2_10!O166),0))</f>
        <v>1</v>
      </c>
    </row>
    <row r="167" spans="1:15" x14ac:dyDescent="0.25">
      <c r="A167" t="s">
        <v>143</v>
      </c>
      <c r="B167" t="s">
        <v>127</v>
      </c>
      <c r="C167">
        <v>0</v>
      </c>
      <c r="D167">
        <v>6.4933559894561768</v>
      </c>
      <c r="E167">
        <f>ROUND(SUM(services_v2_9!E167,services_v2_8!E167,services_v2_7!E167,services_v2_6!E167,services_v2_10!E167)/COUNT(services_v2_9!E167,services_v2_8!E167,services_v2_7!E167,services_v2_6!E167,services_v2_10!E167),0)</f>
        <v>1</v>
      </c>
      <c r="F167">
        <f>IF($E167=0, "NA", ROUND(SUM(services_v2_9!F167,services_v2_8!F167,services_v2_7!F167,services_v2_6!F167,services_v2_10!F167)/COUNT(services_v2_9!F167,services_v2_8!F167,services_v2_7!F167,services_v2_6!F167,services_v2_10!F167),0))</f>
        <v>1</v>
      </c>
      <c r="G167">
        <f>IF($E167=0, "NA", ROUND(SUM(services_v2_9!G167,services_v2_8!G167,services_v2_7!G167,services_v2_6!G167,services_v2_10!G167)/COUNT(services_v2_9!G167,services_v2_8!G167,services_v2_7!G167,services_v2_6!G167,services_v2_10!G167),0))</f>
        <v>1</v>
      </c>
      <c r="H167">
        <f>IF(AND(F167=1,G167=1),ROUND(SUM(services_v2_9!H167,services_v2_8!H167,services_v2_7!H167,services_v2_6!H167,services_v2_10!H167)/COUNT(services_v2_9!H167,services_v2_8!H167,services_v2_7!H167,services_v2_6!H167,services_v2_10!H167),0),"NA")</f>
        <v>1</v>
      </c>
      <c r="I167">
        <f>IF($E167=0, "NA", ROUND(SUM(services_v2_9!I167,services_v2_8!I167,services_v2_7!I167,services_v2_6!I167,services_v2_10!I167)/COUNT(services_v2_9!I167,services_v2_8!I167,services_v2_7!I167,services_v2_6!I167,services_v2_10!I167),0))</f>
        <v>1</v>
      </c>
      <c r="J167">
        <f>IF(F167=1,ROUND(SUM(services_v2_9!J167,services_v2_8!J167,services_v2_7!J167,services_v2_6!J167,services_v2_10!J167)/COUNT(services_v2_9!J167,services_v2_8!J167,services_v2_7!J167,services_v2_6!J167,services_v2_10!J167),0),"NA")</f>
        <v>0</v>
      </c>
      <c r="K167">
        <f>IF($E167=0, "NA", ROUND(SUM(services_v2_9!K167,services_v2_8!K167,services_v2_7!K167,services_v2_6!K167,services_v2_10!K167)/COUNT(services_v2_9!K167,services_v2_8!K167,services_v2_7!K167,services_v2_6!K167,services_v2_10!K167),0))</f>
        <v>1</v>
      </c>
      <c r="L167">
        <f>IF($E167=0, "NA", ROUND(SUM(services_v2_9!L167,services_v2_8!L167,services_v2_7!L167,services_v2_6!L167,services_v2_10!L167)/COUNT(services_v2_9!L167,services_v2_8!L167,services_v2_7!L167,services_v2_6!L167,services_v2_10!L167),0))</f>
        <v>1</v>
      </c>
      <c r="M167">
        <f>IF($E167=0, "NA", ROUND(SUM(services_v2_9!M167,services_v2_8!M167,services_v2_7!M167,services_v2_6!M167,services_v2_10!M167)/COUNT(services_v2_9!M167,services_v2_8!M167,services_v2_7!M167,services_v2_6!M167,services_v2_10!M167),0))</f>
        <v>1</v>
      </c>
      <c r="N167">
        <f>IF($E167=0, "NA", ROUND(SUM(services_v2_9!N167,services_v2_8!N167,services_v2_7!N167,services_v2_6!N167,services_v2_10!N167)/COUNT(services_v2_9!N167,services_v2_8!N167,services_v2_7!N167,services_v2_6!N167,services_v2_10!N167),0))</f>
        <v>1</v>
      </c>
      <c r="O167">
        <f>IF($E167=0, "NA", ROUND(SUM(services_v2_9!O167,services_v2_8!O167,services_v2_7!O167,services_v2_6!O167,services_v2_10!O167)/COUNT(services_v2_9!O167,services_v2_8!O167,services_v2_7!O167,services_v2_6!O167,services_v2_10!O167),0))</f>
        <v>1</v>
      </c>
    </row>
    <row r="168" spans="1:15" x14ac:dyDescent="0.25">
      <c r="A168" t="s">
        <v>143</v>
      </c>
      <c r="B168" t="s">
        <v>129</v>
      </c>
      <c r="C168">
        <v>0</v>
      </c>
      <c r="D168">
        <v>4.9922904968261719</v>
      </c>
      <c r="E168">
        <f>ROUND(SUM(services_v2_9!E168,services_v2_8!E168,services_v2_7!E168,services_v2_6!E168,services_v2_10!E168)/COUNT(services_v2_9!E168,services_v2_8!E168,services_v2_7!E168,services_v2_6!E168,services_v2_10!E168),0)</f>
        <v>1</v>
      </c>
      <c r="F168">
        <f>IF($E168=0, "NA", ROUND(SUM(services_v2_9!F168,services_v2_8!F168,services_v2_7!F168,services_v2_6!F168,services_v2_10!F168)/COUNT(services_v2_9!F168,services_v2_8!F168,services_v2_7!F168,services_v2_6!F168,services_v2_10!F168),0))</f>
        <v>1</v>
      </c>
      <c r="G168">
        <f>IF($E168=0, "NA", ROUND(SUM(services_v2_9!G168,services_v2_8!G168,services_v2_7!G168,services_v2_6!G168,services_v2_10!G168)/COUNT(services_v2_9!G168,services_v2_8!G168,services_v2_7!G168,services_v2_6!G168,services_v2_10!G168),0))</f>
        <v>1</v>
      </c>
      <c r="H168">
        <f>IF(AND(F168=1,G168=1),ROUND(SUM(services_v2_9!H168,services_v2_8!H168,services_v2_7!H168,services_v2_6!H168,services_v2_10!H168)/COUNT(services_v2_9!H168,services_v2_8!H168,services_v2_7!H168,services_v2_6!H168,services_v2_10!H168),0),"NA")</f>
        <v>1</v>
      </c>
      <c r="I168">
        <f>IF($E168=0, "NA", ROUND(SUM(services_v2_9!I168,services_v2_8!I168,services_v2_7!I168,services_v2_6!I168,services_v2_10!I168)/COUNT(services_v2_9!I168,services_v2_8!I168,services_v2_7!I168,services_v2_6!I168,services_v2_10!I168),0))</f>
        <v>1</v>
      </c>
      <c r="J168">
        <f>IF(F168=1,ROUND(SUM(services_v2_9!J168,services_v2_8!J168,services_v2_7!J168,services_v2_6!J168,services_v2_10!J168)/COUNT(services_v2_9!J168,services_v2_8!J168,services_v2_7!J168,services_v2_6!J168,services_v2_10!J168),0),"NA")</f>
        <v>0</v>
      </c>
      <c r="K168">
        <f>IF($E168=0, "NA", ROUND(SUM(services_v2_9!K168,services_v2_8!K168,services_v2_7!K168,services_v2_6!K168,services_v2_10!K168)/COUNT(services_v2_9!K168,services_v2_8!K168,services_v2_7!K168,services_v2_6!K168,services_v2_10!K168),0))</f>
        <v>1</v>
      </c>
      <c r="L168">
        <f>IF($E168=0, "NA", ROUND(SUM(services_v2_9!L168,services_v2_8!L168,services_v2_7!L168,services_v2_6!L168,services_v2_10!L168)/COUNT(services_v2_9!L168,services_v2_8!L168,services_v2_7!L168,services_v2_6!L168,services_v2_10!L168),0))</f>
        <v>1</v>
      </c>
      <c r="M168">
        <f>IF($E168=0, "NA", ROUND(SUM(services_v2_9!M168,services_v2_8!M168,services_v2_7!M168,services_v2_6!M168,services_v2_10!M168)/COUNT(services_v2_9!M168,services_v2_8!M168,services_v2_7!M168,services_v2_6!M168,services_v2_10!M168),0))</f>
        <v>1</v>
      </c>
      <c r="N168">
        <f>IF($E168=0, "NA", ROUND(SUM(services_v2_9!N168,services_v2_8!N168,services_v2_7!N168,services_v2_6!N168,services_v2_10!N168)/COUNT(services_v2_9!N168,services_v2_8!N168,services_v2_7!N168,services_v2_6!N168,services_v2_10!N168),0))</f>
        <v>1</v>
      </c>
      <c r="O168">
        <f>IF($E168=0, "NA", ROUND(SUM(services_v2_9!O168,services_v2_8!O168,services_v2_7!O168,services_v2_6!O168,services_v2_10!O168)/COUNT(services_v2_9!O168,services_v2_8!O168,services_v2_7!O168,services_v2_6!O168,services_v2_10!O168),0))</f>
        <v>1</v>
      </c>
    </row>
    <row r="169" spans="1:15" x14ac:dyDescent="0.25">
      <c r="A169" t="s">
        <v>143</v>
      </c>
      <c r="B169" t="s">
        <v>131</v>
      </c>
      <c r="C169">
        <v>0</v>
      </c>
      <c r="D169">
        <v>14.27706241607666</v>
      </c>
      <c r="E169">
        <f>ROUND(SUM(services_v2_9!E169,services_v2_8!E169,services_v2_7!E169,services_v2_6!E169,services_v2_10!E169)/COUNT(services_v2_9!E169,services_v2_8!E169,services_v2_7!E169,services_v2_6!E169,services_v2_10!E169),0)</f>
        <v>0</v>
      </c>
      <c r="F169" t="str">
        <f>IF($E169=0, "NA", ROUND(SUM(services_v2_9!F169,services_v2_8!F169,services_v2_7!F169,services_v2_6!F169,services_v2_10!F169)/COUNT(services_v2_9!F169,services_v2_8!F169,services_v2_7!F169,services_v2_6!F169,services_v2_10!F169),0))</f>
        <v>NA</v>
      </c>
      <c r="G169" t="str">
        <f>IF($E169=0, "NA", ROUND(SUM(services_v2_9!G169,services_v2_8!G169,services_v2_7!G169,services_v2_6!G169,services_v2_10!G169)/COUNT(services_v2_9!G169,services_v2_8!G169,services_v2_7!G169,services_v2_6!G169,services_v2_10!G169),0))</f>
        <v>NA</v>
      </c>
      <c r="H169" t="str">
        <f>IF(AND(F169=1,G169=1),ROUND(SUM(services_v2_9!H169,services_v2_8!H169,services_v2_7!H169,services_v2_6!H169,services_v2_10!H169)/COUNT(services_v2_9!H169,services_v2_8!H169,services_v2_7!H169,services_v2_6!H169,services_v2_10!H169),0),"NA")</f>
        <v>NA</v>
      </c>
      <c r="I169" t="str">
        <f>IF($E169=0, "NA", ROUND(SUM(services_v2_9!I169,services_v2_8!I169,services_v2_7!I169,services_v2_6!I169,services_v2_10!I169)/COUNT(services_v2_9!I169,services_v2_8!I169,services_v2_7!I169,services_v2_6!I169,services_v2_10!I169),0))</f>
        <v>NA</v>
      </c>
      <c r="J169" t="str">
        <f>IF(F169=1,ROUND(SUM(services_v2_9!J169,services_v2_8!J169,services_v2_7!J169,services_v2_6!J169,services_v2_10!J169)/COUNT(services_v2_9!J169,services_v2_8!J169,services_v2_7!J169,services_v2_6!J169,services_v2_10!J169),0),"NA")</f>
        <v>NA</v>
      </c>
      <c r="K169" t="str">
        <f>IF($E169=0, "NA", ROUND(SUM(services_v2_9!K169,services_v2_8!K169,services_v2_7!K169,services_v2_6!K169,services_v2_10!K169)/COUNT(services_v2_9!K169,services_v2_8!K169,services_v2_7!K169,services_v2_6!K169,services_v2_10!K169),0))</f>
        <v>NA</v>
      </c>
      <c r="L169" t="str">
        <f>IF($E169=0, "NA", ROUND(SUM(services_v2_9!L169,services_v2_8!L169,services_v2_7!L169,services_v2_6!L169,services_v2_10!L169)/COUNT(services_v2_9!L169,services_v2_8!L169,services_v2_7!L169,services_v2_6!L169,services_v2_10!L169),0))</f>
        <v>NA</v>
      </c>
      <c r="M169" t="str">
        <f>IF($E169=0, "NA", ROUND(SUM(services_v2_9!M169,services_v2_8!M169,services_v2_7!M169,services_v2_6!M169,services_v2_10!M169)/COUNT(services_v2_9!M169,services_v2_8!M169,services_v2_7!M169,services_v2_6!M169,services_v2_10!M169),0))</f>
        <v>NA</v>
      </c>
      <c r="N169" t="str">
        <f>IF($E169=0, "NA", ROUND(SUM(services_v2_9!N169,services_v2_8!N169,services_v2_7!N169,services_v2_6!N169,services_v2_10!N169)/COUNT(services_v2_9!N169,services_v2_8!N169,services_v2_7!N169,services_v2_6!N169,services_v2_10!N169),0))</f>
        <v>NA</v>
      </c>
      <c r="O169" t="str">
        <f>IF($E169=0, "NA", ROUND(SUM(services_v2_9!O169,services_v2_8!O169,services_v2_7!O169,services_v2_6!O169,services_v2_10!O169)/COUNT(services_v2_9!O169,services_v2_8!O169,services_v2_7!O169,services_v2_6!O169,services_v2_10!O169),0))</f>
        <v>NA</v>
      </c>
    </row>
    <row r="170" spans="1:15" x14ac:dyDescent="0.25">
      <c r="A170" t="s">
        <v>143</v>
      </c>
      <c r="B170" t="s">
        <v>133</v>
      </c>
      <c r="C170">
        <v>0</v>
      </c>
      <c r="D170">
        <v>11.90906500816345</v>
      </c>
      <c r="E170">
        <f>ROUND(SUM(services_v2_9!E170,services_v2_8!E170,services_v2_7!E170,services_v2_6!E170,services_v2_10!E170)/COUNT(services_v2_9!E170,services_v2_8!E170,services_v2_7!E170,services_v2_6!E170,services_v2_10!E170),0)</f>
        <v>1</v>
      </c>
      <c r="F170">
        <f>IF($E170=0, "NA", ROUND(SUM(services_v2_9!F170,services_v2_8!F170,services_v2_7!F170,services_v2_6!F170,services_v2_10!F170)/COUNT(services_v2_9!F170,services_v2_8!F170,services_v2_7!F170,services_v2_6!F170,services_v2_10!F170),0))</f>
        <v>1</v>
      </c>
      <c r="G170">
        <f>IF($E170=0, "NA", ROUND(SUM(services_v2_9!G170,services_v2_8!G170,services_v2_7!G170,services_v2_6!G170,services_v2_10!G170)/COUNT(services_v2_9!G170,services_v2_8!G170,services_v2_7!G170,services_v2_6!G170,services_v2_10!G170),0))</f>
        <v>1</v>
      </c>
      <c r="H170">
        <f>IF(AND(F170=1,G170=1),ROUND(SUM(services_v2_9!H170,services_v2_8!H170,services_v2_7!H170,services_v2_6!H170,services_v2_10!H170)/COUNT(services_v2_9!H170,services_v2_8!H170,services_v2_7!H170,services_v2_6!H170,services_v2_10!H170),0),"NA")</f>
        <v>0</v>
      </c>
      <c r="I170">
        <f>IF($E170=0, "NA", ROUND(SUM(services_v2_9!I170,services_v2_8!I170,services_v2_7!I170,services_v2_6!I170,services_v2_10!I170)/COUNT(services_v2_9!I170,services_v2_8!I170,services_v2_7!I170,services_v2_6!I170,services_v2_10!I170),0))</f>
        <v>1</v>
      </c>
      <c r="J170">
        <f>IF(F170=1,ROUND(SUM(services_v2_9!J170,services_v2_8!J170,services_v2_7!J170,services_v2_6!J170,services_v2_10!J170)/COUNT(services_v2_9!J170,services_v2_8!J170,services_v2_7!J170,services_v2_6!J170,services_v2_10!J170),0),"NA")</f>
        <v>1</v>
      </c>
      <c r="K170">
        <f>IF($E170=0, "NA", ROUND(SUM(services_v2_9!K170,services_v2_8!K170,services_v2_7!K170,services_v2_6!K170,services_v2_10!K170)/COUNT(services_v2_9!K170,services_v2_8!K170,services_v2_7!K170,services_v2_6!K170,services_v2_10!K170),0))</f>
        <v>1</v>
      </c>
      <c r="L170">
        <f>IF($E170=0, "NA", ROUND(SUM(services_v2_9!L170,services_v2_8!L170,services_v2_7!L170,services_v2_6!L170,services_v2_10!L170)/COUNT(services_v2_9!L170,services_v2_8!L170,services_v2_7!L170,services_v2_6!L170,services_v2_10!L170),0))</f>
        <v>1</v>
      </c>
      <c r="M170">
        <f>IF($E170=0, "NA", ROUND(SUM(services_v2_9!M170,services_v2_8!M170,services_v2_7!M170,services_v2_6!M170,services_v2_10!M170)/COUNT(services_v2_9!M170,services_v2_8!M170,services_v2_7!M170,services_v2_6!M170,services_v2_10!M170),0))</f>
        <v>1</v>
      </c>
      <c r="N170">
        <f>IF($E170=0, "NA", ROUND(SUM(services_v2_9!N170,services_v2_8!N170,services_v2_7!N170,services_v2_6!N170,services_v2_10!N170)/COUNT(services_v2_9!N170,services_v2_8!N170,services_v2_7!N170,services_v2_6!N170,services_v2_10!N170),0))</f>
        <v>1</v>
      </c>
      <c r="O170">
        <f>IF($E170=0, "NA", ROUND(SUM(services_v2_9!O170,services_v2_8!O170,services_v2_7!O170,services_v2_6!O170,services_v2_10!O170)/COUNT(services_v2_9!O170,services_v2_8!O170,services_v2_7!O170,services_v2_6!O170,services_v2_10!O170),0))</f>
        <v>1</v>
      </c>
    </row>
    <row r="171" spans="1:15" x14ac:dyDescent="0.25">
      <c r="A171" t="s">
        <v>143</v>
      </c>
      <c r="B171" t="s">
        <v>135</v>
      </c>
      <c r="C171">
        <v>0</v>
      </c>
      <c r="D171">
        <v>2.749355792999268</v>
      </c>
      <c r="E171">
        <f>ROUND(SUM(services_v2_9!E171,services_v2_8!E171,services_v2_7!E171,services_v2_6!E171,services_v2_10!E171)/COUNT(services_v2_9!E171,services_v2_8!E171,services_v2_7!E171,services_v2_6!E171,services_v2_10!E171),0)</f>
        <v>1</v>
      </c>
      <c r="F171">
        <f>IF($E171=0, "NA", ROUND(SUM(services_v2_9!F171,services_v2_8!F171,services_v2_7!F171,services_v2_6!F171,services_v2_10!F171)/COUNT(services_v2_9!F171,services_v2_8!F171,services_v2_7!F171,services_v2_6!F171,services_v2_10!F171),0))</f>
        <v>1</v>
      </c>
      <c r="G171">
        <f>IF($E171=0, "NA", ROUND(SUM(services_v2_9!G171,services_v2_8!G171,services_v2_7!G171,services_v2_6!G171,services_v2_10!G171)/COUNT(services_v2_9!G171,services_v2_8!G171,services_v2_7!G171,services_v2_6!G171,services_v2_10!G171),0))</f>
        <v>1</v>
      </c>
      <c r="H171">
        <f>IF(AND(F171=1,G171=1),ROUND(SUM(services_v2_9!H171,services_v2_8!H171,services_v2_7!H171,services_v2_6!H171,services_v2_10!H171)/COUNT(services_v2_9!H171,services_v2_8!H171,services_v2_7!H171,services_v2_6!H171,services_v2_10!H171),0),"NA")</f>
        <v>1</v>
      </c>
      <c r="I171">
        <f>IF($E171=0, "NA", ROUND(SUM(services_v2_9!I171,services_v2_8!I171,services_v2_7!I171,services_v2_6!I171,services_v2_10!I171)/COUNT(services_v2_9!I171,services_v2_8!I171,services_v2_7!I171,services_v2_6!I171,services_v2_10!I171),0))</f>
        <v>1</v>
      </c>
      <c r="J171">
        <f>IF(F171=1,ROUND(SUM(services_v2_9!J171,services_v2_8!J171,services_v2_7!J171,services_v2_6!J171,services_v2_10!J171)/COUNT(services_v2_9!J171,services_v2_8!J171,services_v2_7!J171,services_v2_6!J171,services_v2_10!J171),0),"NA")</f>
        <v>1</v>
      </c>
      <c r="K171">
        <f>IF($E171=0, "NA", ROUND(SUM(services_v2_9!K171,services_v2_8!K171,services_v2_7!K171,services_v2_6!K171,services_v2_10!K171)/COUNT(services_v2_9!K171,services_v2_8!K171,services_v2_7!K171,services_v2_6!K171,services_v2_10!K171),0))</f>
        <v>1</v>
      </c>
      <c r="L171">
        <f>IF($E171=0, "NA", ROUND(SUM(services_v2_9!L171,services_v2_8!L171,services_v2_7!L171,services_v2_6!L171,services_v2_10!L171)/COUNT(services_v2_9!L171,services_v2_8!L171,services_v2_7!L171,services_v2_6!L171,services_v2_10!L171),0))</f>
        <v>1</v>
      </c>
      <c r="M171">
        <f>IF($E171=0, "NA", ROUND(SUM(services_v2_9!M171,services_v2_8!M171,services_v2_7!M171,services_v2_6!M171,services_v2_10!M171)/COUNT(services_v2_9!M171,services_v2_8!M171,services_v2_7!M171,services_v2_6!M171,services_v2_10!M171),0))</f>
        <v>1</v>
      </c>
      <c r="N171">
        <f>IF($E171=0, "NA", ROUND(SUM(services_v2_9!N171,services_v2_8!N171,services_v2_7!N171,services_v2_6!N171,services_v2_10!N171)/COUNT(services_v2_9!N171,services_v2_8!N171,services_v2_7!N171,services_v2_6!N171,services_v2_10!N171),0))</f>
        <v>1</v>
      </c>
      <c r="O171">
        <f>IF($E171=0, "NA", ROUND(SUM(services_v2_9!O171,services_v2_8!O171,services_v2_7!O171,services_v2_6!O171,services_v2_10!O171)/COUNT(services_v2_9!O171,services_v2_8!O171,services_v2_7!O171,services_v2_6!O171,services_v2_10!O171),0))</f>
        <v>1</v>
      </c>
    </row>
    <row r="172" spans="1:15" x14ac:dyDescent="0.25">
      <c r="A172" t="s">
        <v>143</v>
      </c>
      <c r="B172" t="s">
        <v>136</v>
      </c>
      <c r="C172">
        <v>0</v>
      </c>
      <c r="D172">
        <v>9.5095114707946777</v>
      </c>
      <c r="E172">
        <f>ROUND(SUM(services_v2_9!E172,services_v2_8!E172,services_v2_7!E172,services_v2_6!E172,services_v2_10!E172)/COUNT(services_v2_9!E172,services_v2_8!E172,services_v2_7!E172,services_v2_6!E172,services_v2_10!E172),0)</f>
        <v>0</v>
      </c>
      <c r="F172" t="str">
        <f>IF($E172=0, "NA", ROUND(SUM(services_v2_9!F172,services_v2_8!F172,services_v2_7!F172,services_v2_6!F172,services_v2_10!F172)/COUNT(services_v2_9!F172,services_v2_8!F172,services_v2_7!F172,services_v2_6!F172,services_v2_10!F172),0))</f>
        <v>NA</v>
      </c>
      <c r="G172" t="str">
        <f>IF($E172=0, "NA", ROUND(SUM(services_v2_9!G172,services_v2_8!G172,services_v2_7!G172,services_v2_6!G172,services_v2_10!G172)/COUNT(services_v2_9!G172,services_v2_8!G172,services_v2_7!G172,services_v2_6!G172,services_v2_10!G172),0))</f>
        <v>NA</v>
      </c>
      <c r="H172" t="str">
        <f>IF(AND(F172=1,G172=1),ROUND(SUM(services_v2_9!H172,services_v2_8!H172,services_v2_7!H172,services_v2_6!H172,services_v2_10!H172)/COUNT(services_v2_9!H172,services_v2_8!H172,services_v2_7!H172,services_v2_6!H172,services_v2_10!H172),0),"NA")</f>
        <v>NA</v>
      </c>
      <c r="I172" t="str">
        <f>IF($E172=0, "NA", ROUND(SUM(services_v2_9!I172,services_v2_8!I172,services_v2_7!I172,services_v2_6!I172,services_v2_10!I172)/COUNT(services_v2_9!I172,services_v2_8!I172,services_v2_7!I172,services_v2_6!I172,services_v2_10!I172),0))</f>
        <v>NA</v>
      </c>
      <c r="J172" t="str">
        <f>IF(F172=1,ROUND(SUM(services_v2_9!J172,services_v2_8!J172,services_v2_7!J172,services_v2_6!J172,services_v2_10!J172)/COUNT(services_v2_9!J172,services_v2_8!J172,services_v2_7!J172,services_v2_6!J172,services_v2_10!J172),0),"NA")</f>
        <v>NA</v>
      </c>
      <c r="K172" t="str">
        <f>IF($E172=0, "NA", ROUND(SUM(services_v2_9!K172,services_v2_8!K172,services_v2_7!K172,services_v2_6!K172,services_v2_10!K172)/COUNT(services_v2_9!K172,services_v2_8!K172,services_v2_7!K172,services_v2_6!K172,services_v2_10!K172),0))</f>
        <v>NA</v>
      </c>
      <c r="L172" t="str">
        <f>IF($E172=0, "NA", ROUND(SUM(services_v2_9!L172,services_v2_8!L172,services_v2_7!L172,services_v2_6!L172,services_v2_10!L172)/COUNT(services_v2_9!L172,services_v2_8!L172,services_v2_7!L172,services_v2_6!L172,services_v2_10!L172),0))</f>
        <v>NA</v>
      </c>
      <c r="M172" t="str">
        <f>IF($E172=0, "NA", ROUND(SUM(services_v2_9!M172,services_v2_8!M172,services_v2_7!M172,services_v2_6!M172,services_v2_10!M172)/COUNT(services_v2_9!M172,services_v2_8!M172,services_v2_7!M172,services_v2_6!M172,services_v2_10!M172),0))</f>
        <v>NA</v>
      </c>
      <c r="N172" t="str">
        <f>IF($E172=0, "NA", ROUND(SUM(services_v2_9!N172,services_v2_8!N172,services_v2_7!N172,services_v2_6!N172,services_v2_10!N172)/COUNT(services_v2_9!N172,services_v2_8!N172,services_v2_7!N172,services_v2_6!N172,services_v2_10!N172),0))</f>
        <v>NA</v>
      </c>
      <c r="O172" t="str">
        <f>IF($E172=0, "NA", ROUND(SUM(services_v2_9!O172,services_v2_8!O172,services_v2_7!O172,services_v2_6!O172,services_v2_10!O172)/COUNT(services_v2_9!O172,services_v2_8!O172,services_v2_7!O172,services_v2_6!O172,services_v2_10!O172),0))</f>
        <v>NA</v>
      </c>
    </row>
    <row r="173" spans="1:15" x14ac:dyDescent="0.25">
      <c r="A173" t="s">
        <v>143</v>
      </c>
      <c r="B173" t="s">
        <v>137</v>
      </c>
      <c r="C173">
        <v>0</v>
      </c>
      <c r="D173">
        <v>2.7054681777954102</v>
      </c>
      <c r="E173">
        <f>ROUND(SUM(services_v2_9!E173,services_v2_8!E173,services_v2_7!E173,services_v2_6!E173,services_v2_10!E173)/COUNT(services_v2_9!E173,services_v2_8!E173,services_v2_7!E173,services_v2_6!E173,services_v2_10!E173),0)</f>
        <v>1</v>
      </c>
      <c r="F173">
        <f>IF($E173=0, "NA", ROUND(SUM(services_v2_9!F173,services_v2_8!F173,services_v2_7!F173,services_v2_6!F173,services_v2_10!F173)/COUNT(services_v2_9!F173,services_v2_8!F173,services_v2_7!F173,services_v2_6!F173,services_v2_10!F173),0))</f>
        <v>1</v>
      </c>
      <c r="G173">
        <f>IF($E173=0, "NA", ROUND(SUM(services_v2_9!G173,services_v2_8!G173,services_v2_7!G173,services_v2_6!G173,services_v2_10!G173)/COUNT(services_v2_9!G173,services_v2_8!G173,services_v2_7!G173,services_v2_6!G173,services_v2_10!G173),0))</f>
        <v>1</v>
      </c>
      <c r="H173">
        <f>IF(AND(F173=1,G173=1),ROUND(SUM(services_v2_9!H173,services_v2_8!H173,services_v2_7!H173,services_v2_6!H173,services_v2_10!H173)/COUNT(services_v2_9!H173,services_v2_8!H173,services_v2_7!H173,services_v2_6!H173,services_v2_10!H173),0),"NA")</f>
        <v>1</v>
      </c>
      <c r="I173">
        <f>IF($E173=0, "NA", ROUND(SUM(services_v2_9!I173,services_v2_8!I173,services_v2_7!I173,services_v2_6!I173,services_v2_10!I173)/COUNT(services_v2_9!I173,services_v2_8!I173,services_v2_7!I173,services_v2_6!I173,services_v2_10!I173),0))</f>
        <v>1</v>
      </c>
      <c r="J173">
        <f>IF(F173=1,ROUND(SUM(services_v2_9!J173,services_v2_8!J173,services_v2_7!J173,services_v2_6!J173,services_v2_10!J173)/COUNT(services_v2_9!J173,services_v2_8!J173,services_v2_7!J173,services_v2_6!J173,services_v2_10!J173),0),"NA")</f>
        <v>1</v>
      </c>
      <c r="K173">
        <f>IF($E173=0, "NA", ROUND(SUM(services_v2_9!K173,services_v2_8!K173,services_v2_7!K173,services_v2_6!K173,services_v2_10!K173)/COUNT(services_v2_9!K173,services_v2_8!K173,services_v2_7!K173,services_v2_6!K173,services_v2_10!K173),0))</f>
        <v>1</v>
      </c>
      <c r="L173">
        <f>IF($E173=0, "NA", ROUND(SUM(services_v2_9!L173,services_v2_8!L173,services_v2_7!L173,services_v2_6!L173,services_v2_10!L173)/COUNT(services_v2_9!L173,services_v2_8!L173,services_v2_7!L173,services_v2_6!L173,services_v2_10!L173),0))</f>
        <v>1</v>
      </c>
      <c r="M173">
        <f>IF($E173=0, "NA", ROUND(SUM(services_v2_9!M173,services_v2_8!M173,services_v2_7!M173,services_v2_6!M173,services_v2_10!M173)/COUNT(services_v2_9!M173,services_v2_8!M173,services_v2_7!M173,services_v2_6!M173,services_v2_10!M173),0))</f>
        <v>1</v>
      </c>
      <c r="N173">
        <f>IF($E173=0, "NA", ROUND(SUM(services_v2_9!N173,services_v2_8!N173,services_v2_7!N173,services_v2_6!N173,services_v2_10!N173)/COUNT(services_v2_9!N173,services_v2_8!N173,services_v2_7!N173,services_v2_6!N173,services_v2_10!N173),0))</f>
        <v>1</v>
      </c>
      <c r="O173">
        <f>IF($E173=0, "NA", ROUND(SUM(services_v2_9!O173,services_v2_8!O173,services_v2_7!O173,services_v2_6!O173,services_v2_10!O173)/COUNT(services_v2_9!O173,services_v2_8!O173,services_v2_7!O173,services_v2_6!O173,services_v2_10!O173),0))</f>
        <v>1</v>
      </c>
    </row>
    <row r="174" spans="1:15" x14ac:dyDescent="0.25">
      <c r="A174" t="s">
        <v>143</v>
      </c>
      <c r="B174" t="s">
        <v>138</v>
      </c>
      <c r="C174">
        <v>0</v>
      </c>
      <c r="D174">
        <v>6.6668059825897217</v>
      </c>
      <c r="E174">
        <f>ROUND(SUM(services_v2_9!E174,services_v2_8!E174,services_v2_7!E174,services_v2_6!E174,services_v2_10!E174)/COUNT(services_v2_9!E174,services_v2_8!E174,services_v2_7!E174,services_v2_6!E174,services_v2_10!E174),0)</f>
        <v>1</v>
      </c>
      <c r="F174">
        <f>IF($E174=0, "NA", ROUND(SUM(services_v2_9!F174,services_v2_8!F174,services_v2_7!F174,services_v2_6!F174,services_v2_10!F174)/COUNT(services_v2_9!F174,services_v2_8!F174,services_v2_7!F174,services_v2_6!F174,services_v2_10!F174),0))</f>
        <v>1</v>
      </c>
      <c r="G174">
        <f>IF($E174=0, "NA", ROUND(SUM(services_v2_9!G174,services_v2_8!G174,services_v2_7!G174,services_v2_6!G174,services_v2_10!G174)/COUNT(services_v2_9!G174,services_v2_8!G174,services_v2_7!G174,services_v2_6!G174,services_v2_10!G174),0))</f>
        <v>1</v>
      </c>
      <c r="H174">
        <f>IF(AND(F174=1,G174=1),ROUND(SUM(services_v2_9!H174,services_v2_8!H174,services_v2_7!H174,services_v2_6!H174,services_v2_10!H174)/COUNT(services_v2_9!H174,services_v2_8!H174,services_v2_7!H174,services_v2_6!H174,services_v2_10!H174),0),"NA")</f>
        <v>1</v>
      </c>
      <c r="I174">
        <f>IF($E174=0, "NA", ROUND(SUM(services_v2_9!I174,services_v2_8!I174,services_v2_7!I174,services_v2_6!I174,services_v2_10!I174)/COUNT(services_v2_9!I174,services_v2_8!I174,services_v2_7!I174,services_v2_6!I174,services_v2_10!I174),0))</f>
        <v>1</v>
      </c>
      <c r="J174">
        <f>IF(F174=1,ROUND(SUM(services_v2_9!J174,services_v2_8!J174,services_v2_7!J174,services_v2_6!J174,services_v2_10!J174)/COUNT(services_v2_9!J174,services_v2_8!J174,services_v2_7!J174,services_v2_6!J174,services_v2_10!J174),0),"NA")</f>
        <v>1</v>
      </c>
      <c r="K174">
        <f>IF($E174=0, "NA", ROUND(SUM(services_v2_9!K174,services_v2_8!K174,services_v2_7!K174,services_v2_6!K174,services_v2_10!K174)/COUNT(services_v2_9!K174,services_v2_8!K174,services_v2_7!K174,services_v2_6!K174,services_v2_10!K174),0))</f>
        <v>1</v>
      </c>
      <c r="L174">
        <f>IF($E174=0, "NA", ROUND(SUM(services_v2_9!L174,services_v2_8!L174,services_v2_7!L174,services_v2_6!L174,services_v2_10!L174)/COUNT(services_v2_9!L174,services_v2_8!L174,services_v2_7!L174,services_v2_6!L174,services_v2_10!L174),0))</f>
        <v>1</v>
      </c>
      <c r="M174">
        <f>IF($E174=0, "NA", ROUND(SUM(services_v2_9!M174,services_v2_8!M174,services_v2_7!M174,services_v2_6!M174,services_v2_10!M174)/COUNT(services_v2_9!M174,services_v2_8!M174,services_v2_7!M174,services_v2_6!M174,services_v2_10!M174),0))</f>
        <v>1</v>
      </c>
      <c r="N174">
        <f>IF($E174=0, "NA", ROUND(SUM(services_v2_9!N174,services_v2_8!N174,services_v2_7!N174,services_v2_6!N174,services_v2_10!N174)/COUNT(services_v2_9!N174,services_v2_8!N174,services_v2_7!N174,services_v2_6!N174,services_v2_10!N174),0))</f>
        <v>1</v>
      </c>
      <c r="O174">
        <f>IF($E174=0, "NA", ROUND(SUM(services_v2_9!O174,services_v2_8!O174,services_v2_7!O174,services_v2_6!O174,services_v2_10!O174)/COUNT(services_v2_9!O174,services_v2_8!O174,services_v2_7!O174,services_v2_6!O174,services_v2_10!O174),0))</f>
        <v>1</v>
      </c>
    </row>
    <row r="175" spans="1:15" x14ac:dyDescent="0.25">
      <c r="A175" t="s">
        <v>143</v>
      </c>
      <c r="B175" t="s">
        <v>140</v>
      </c>
      <c r="C175">
        <v>0</v>
      </c>
      <c r="D175">
        <v>12.5262451171875</v>
      </c>
      <c r="E175">
        <f>ROUND(SUM(services_v2_9!E175,services_v2_8!E175,services_v2_7!E175,services_v2_6!E175,services_v2_10!E175)/COUNT(services_v2_9!E175,services_v2_8!E175,services_v2_7!E175,services_v2_6!E175,services_v2_10!E175),0)</f>
        <v>1</v>
      </c>
      <c r="F175">
        <f>IF($E175=0, "NA", ROUND(SUM(services_v2_9!F175,services_v2_8!F175,services_v2_7!F175,services_v2_6!F175,services_v2_10!F175)/COUNT(services_v2_9!F175,services_v2_8!F175,services_v2_7!F175,services_v2_6!F175,services_v2_10!F175),0))</f>
        <v>1</v>
      </c>
      <c r="G175">
        <f>IF($E175=0, "NA", ROUND(SUM(services_v2_9!G175,services_v2_8!G175,services_v2_7!G175,services_v2_6!G175,services_v2_10!G175)/COUNT(services_v2_9!G175,services_v2_8!G175,services_v2_7!G175,services_v2_6!G175,services_v2_10!G175),0))</f>
        <v>1</v>
      </c>
      <c r="H175">
        <f>IF(AND(F175=1,G175=1),ROUND(SUM(services_v2_9!H175,services_v2_8!H175,services_v2_7!H175,services_v2_6!H175,services_v2_10!H175)/COUNT(services_v2_9!H175,services_v2_8!H175,services_v2_7!H175,services_v2_6!H175,services_v2_10!H175),0),"NA")</f>
        <v>1</v>
      </c>
      <c r="I175">
        <f>IF($E175=0, "NA", ROUND(SUM(services_v2_9!I175,services_v2_8!I175,services_v2_7!I175,services_v2_6!I175,services_v2_10!I175)/COUNT(services_v2_9!I175,services_v2_8!I175,services_v2_7!I175,services_v2_6!I175,services_v2_10!I175),0))</f>
        <v>1</v>
      </c>
      <c r="J175">
        <f>IF(F175=1,ROUND(SUM(services_v2_9!J175,services_v2_8!J175,services_v2_7!J175,services_v2_6!J175,services_v2_10!J175)/COUNT(services_v2_9!J175,services_v2_8!J175,services_v2_7!J175,services_v2_6!J175,services_v2_10!J175),0),"NA")</f>
        <v>0</v>
      </c>
      <c r="K175">
        <f>IF($E175=0, "NA", ROUND(SUM(services_v2_9!K175,services_v2_8!K175,services_v2_7!K175,services_v2_6!K175,services_v2_10!K175)/COUNT(services_v2_9!K175,services_v2_8!K175,services_v2_7!K175,services_v2_6!K175,services_v2_10!K175),0))</f>
        <v>1</v>
      </c>
      <c r="L175">
        <f>IF($E175=0, "NA", ROUND(SUM(services_v2_9!L175,services_v2_8!L175,services_v2_7!L175,services_v2_6!L175,services_v2_10!L175)/COUNT(services_v2_9!L175,services_v2_8!L175,services_v2_7!L175,services_v2_6!L175,services_v2_10!L175),0))</f>
        <v>1</v>
      </c>
      <c r="M175">
        <f>IF($E175=0, "NA", ROUND(SUM(services_v2_9!M175,services_v2_8!M175,services_v2_7!M175,services_v2_6!M175,services_v2_10!M175)/COUNT(services_v2_9!M175,services_v2_8!M175,services_v2_7!M175,services_v2_6!M175,services_v2_10!M175),0))</f>
        <v>1</v>
      </c>
      <c r="N175">
        <f>IF($E175=0, "NA", ROUND(SUM(services_v2_9!N175,services_v2_8!N175,services_v2_7!N175,services_v2_6!N175,services_v2_10!N175)/COUNT(services_v2_9!N175,services_v2_8!N175,services_v2_7!N175,services_v2_6!N175,services_v2_10!N175),0))</f>
        <v>1</v>
      </c>
      <c r="O175">
        <f>IF($E175=0, "NA", ROUND(SUM(services_v2_9!O175,services_v2_8!O175,services_v2_7!O175,services_v2_6!O175,services_v2_10!O175)/COUNT(services_v2_9!O175,services_v2_8!O175,services_v2_7!O175,services_v2_6!O175,services_v2_10!O175),0))</f>
        <v>1</v>
      </c>
    </row>
    <row r="176" spans="1:15" x14ac:dyDescent="0.25">
      <c r="A176" t="s">
        <v>143</v>
      </c>
      <c r="B176" t="s">
        <v>141</v>
      </c>
      <c r="C176">
        <v>0</v>
      </c>
      <c r="D176">
        <v>4.8154482841491699</v>
      </c>
      <c r="E176">
        <f>ROUND(SUM(services_v2_9!E176,services_v2_8!E176,services_v2_7!E176,services_v2_6!E176,services_v2_10!E176)/COUNT(services_v2_9!E176,services_v2_8!E176,services_v2_7!E176,services_v2_6!E176,services_v2_10!E176),0)</f>
        <v>1</v>
      </c>
      <c r="F176">
        <f>IF($E176=0, "NA", ROUND(SUM(services_v2_9!F176,services_v2_8!F176,services_v2_7!F176,services_v2_6!F176,services_v2_10!F176)/COUNT(services_v2_9!F176,services_v2_8!F176,services_v2_7!F176,services_v2_6!F176,services_v2_10!F176),0))</f>
        <v>1</v>
      </c>
      <c r="G176">
        <f>IF($E176=0, "NA", ROUND(SUM(services_v2_9!G176,services_v2_8!G176,services_v2_7!G176,services_v2_6!G176,services_v2_10!G176)/COUNT(services_v2_9!G176,services_v2_8!G176,services_v2_7!G176,services_v2_6!G176,services_v2_10!G176),0))</f>
        <v>1</v>
      </c>
      <c r="H176">
        <f>IF(AND(F176=1,G176=1),ROUND(SUM(services_v2_9!H176,services_v2_8!H176,services_v2_7!H176,services_v2_6!H176,services_v2_10!H176)/COUNT(services_v2_9!H176,services_v2_8!H176,services_v2_7!H176,services_v2_6!H176,services_v2_10!H176),0),"NA")</f>
        <v>1</v>
      </c>
      <c r="I176">
        <f>IF($E176=0, "NA", ROUND(SUM(services_v2_9!I176,services_v2_8!I176,services_v2_7!I176,services_v2_6!I176,services_v2_10!I176)/COUNT(services_v2_9!I176,services_v2_8!I176,services_v2_7!I176,services_v2_6!I176,services_v2_10!I176),0))</f>
        <v>1</v>
      </c>
      <c r="J176">
        <f>IF(F176=1,ROUND(SUM(services_v2_9!J176,services_v2_8!J176,services_v2_7!J176,services_v2_6!J176,services_v2_10!J176)/COUNT(services_v2_9!J176,services_v2_8!J176,services_v2_7!J176,services_v2_6!J176,services_v2_10!J176),0),"NA")</f>
        <v>0</v>
      </c>
      <c r="K176">
        <f>IF($E176=0, "NA", ROUND(SUM(services_v2_9!K176,services_v2_8!K176,services_v2_7!K176,services_v2_6!K176,services_v2_10!K176)/COUNT(services_v2_9!K176,services_v2_8!K176,services_v2_7!K176,services_v2_6!K176,services_v2_10!K176),0))</f>
        <v>1</v>
      </c>
      <c r="L176">
        <f>IF($E176=0, "NA", ROUND(SUM(services_v2_9!L176,services_v2_8!L176,services_v2_7!L176,services_v2_6!L176,services_v2_10!L176)/COUNT(services_v2_9!L176,services_v2_8!L176,services_v2_7!L176,services_v2_6!L176,services_v2_10!L176),0))</f>
        <v>1</v>
      </c>
      <c r="M176">
        <f>IF($E176=0, "NA", ROUND(SUM(services_v2_9!M176,services_v2_8!M176,services_v2_7!M176,services_v2_6!M176,services_v2_10!M176)/COUNT(services_v2_9!M176,services_v2_8!M176,services_v2_7!M176,services_v2_6!M176,services_v2_10!M176),0))</f>
        <v>1</v>
      </c>
      <c r="N176">
        <f>IF($E176=0, "NA", ROUND(SUM(services_v2_9!N176,services_v2_8!N176,services_v2_7!N176,services_v2_6!N176,services_v2_10!N176)/COUNT(services_v2_9!N176,services_v2_8!N176,services_v2_7!N176,services_v2_6!N176,services_v2_10!N176),0))</f>
        <v>1</v>
      </c>
      <c r="O176">
        <f>IF($E176=0, "NA", ROUND(SUM(services_v2_9!O176,services_v2_8!O176,services_v2_7!O176,services_v2_6!O176,services_v2_10!O176)/COUNT(services_v2_9!O176,services_v2_8!O176,services_v2_7!O176,services_v2_6!O176,services_v2_10!O176),0))</f>
        <v>1</v>
      </c>
    </row>
    <row r="177" spans="1:15" x14ac:dyDescent="0.25">
      <c r="A177" t="s">
        <v>143</v>
      </c>
      <c r="B177" t="s">
        <v>180</v>
      </c>
      <c r="C177">
        <v>0</v>
      </c>
      <c r="D177">
        <v>11.404387235641479</v>
      </c>
      <c r="E177">
        <f>ROUND(SUM(services_v2_9!E177,services_v2_8!E177,services_v2_7!E177,services_v2_6!E177,services_v2_10!E177)/COUNT(services_v2_9!E177,services_v2_8!E177,services_v2_7!E177,services_v2_6!E177,services_v2_10!E177),0)</f>
        <v>1</v>
      </c>
      <c r="F177">
        <f>IF($E177=0, "NA", ROUND(SUM(services_v2_9!F177,services_v2_8!F177,services_v2_7!F177,services_v2_6!F177,services_v2_10!F177)/COUNT(services_v2_9!F177,services_v2_8!F177,services_v2_7!F177,services_v2_6!F177,services_v2_10!F177),0))</f>
        <v>1</v>
      </c>
      <c r="G177">
        <f>IF($E177=0, "NA", ROUND(SUM(services_v2_9!G177,services_v2_8!G177,services_v2_7!G177,services_v2_6!G177,services_v2_10!G177)/COUNT(services_v2_9!G177,services_v2_8!G177,services_v2_7!G177,services_v2_6!G177,services_v2_10!G177),0))</f>
        <v>1</v>
      </c>
      <c r="H177">
        <f>IF(AND(F177=1,G177=1),ROUND(SUM(services_v2_9!H177,services_v2_8!H177,services_v2_7!H177,services_v2_6!H177,services_v2_10!H177)/COUNT(services_v2_9!H177,services_v2_8!H177,services_v2_7!H177,services_v2_6!H177,services_v2_10!H177),0),"NA")</f>
        <v>1</v>
      </c>
      <c r="I177">
        <f>IF($E177=0, "NA", ROUND(SUM(services_v2_9!I177,services_v2_8!I177,services_v2_7!I177,services_v2_6!I177,services_v2_10!I177)/COUNT(services_v2_9!I177,services_v2_8!I177,services_v2_7!I177,services_v2_6!I177,services_v2_10!I177),0))</f>
        <v>1</v>
      </c>
      <c r="J177">
        <f>IF(F177=1,ROUND(SUM(services_v2_9!J177,services_v2_8!J177,services_v2_7!J177,services_v2_6!J177,services_v2_10!J177)/COUNT(services_v2_9!J177,services_v2_8!J177,services_v2_7!J177,services_v2_6!J177,services_v2_10!J177),0),"NA")</f>
        <v>0</v>
      </c>
      <c r="K177">
        <f>IF($E177=0, "NA", ROUND(SUM(services_v2_9!K177,services_v2_8!K177,services_v2_7!K177,services_v2_6!K177,services_v2_10!K177)/COUNT(services_v2_9!K177,services_v2_8!K177,services_v2_7!K177,services_v2_6!K177,services_v2_10!K177),0))</f>
        <v>1</v>
      </c>
      <c r="L177">
        <f>IF($E177=0, "NA", ROUND(SUM(services_v2_9!L177,services_v2_8!L177,services_v2_7!L177,services_v2_6!L177,services_v2_10!L177)/COUNT(services_v2_9!L177,services_v2_8!L177,services_v2_7!L177,services_v2_6!L177,services_v2_10!L177),0))</f>
        <v>1</v>
      </c>
      <c r="M177">
        <f>IF($E177=0, "NA", ROUND(SUM(services_v2_9!M177,services_v2_8!M177,services_v2_7!M177,services_v2_6!M177,services_v2_10!M177)/COUNT(services_v2_9!M177,services_v2_8!M177,services_v2_7!M177,services_v2_6!M177,services_v2_10!M177),0))</f>
        <v>1</v>
      </c>
      <c r="N177">
        <f>IF($E177=0, "NA", ROUND(SUM(services_v2_9!N177,services_v2_8!N177,services_v2_7!N177,services_v2_6!N177,services_v2_10!N177)/COUNT(services_v2_9!N177,services_v2_8!N177,services_v2_7!N177,services_v2_6!N177,services_v2_10!N177),0))</f>
        <v>1</v>
      </c>
      <c r="O177">
        <f>IF($E177=0, "NA", ROUND(SUM(services_v2_9!O177,services_v2_8!O177,services_v2_7!O177,services_v2_6!O177,services_v2_10!O177)/COUNT(services_v2_9!O177,services_v2_8!O177,services_v2_7!O177,services_v2_6!O177,services_v2_10!O177),0))</f>
        <v>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services_v2_10</vt:lpstr>
      <vt:lpstr>services_v2_6</vt:lpstr>
      <vt:lpstr>services_v2_7</vt:lpstr>
      <vt:lpstr>services_v2_8</vt:lpstr>
      <vt:lpstr>services_v2_9</vt:lpstr>
      <vt:lpstr>Compiled Votes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2025-07-22T02:39:18Z</dcterms:created>
  <dcterms:modified xsi:type="dcterms:W3CDTF">2025-07-22T06:01:38Z</dcterms:modified>
</cp:coreProperties>
</file>