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Claude4\All\recreation\"/>
    </mc:Choice>
  </mc:AlternateContent>
  <xr:revisionPtr revIDLastSave="0" documentId="13_ncr:1_{66914FD4-2028-4A23-A3EF-E0B84C929B02}" xr6:coauthVersionLast="47" xr6:coauthVersionMax="47" xr10:uidLastSave="{00000000-0000-0000-0000-000000000000}"/>
  <bookViews>
    <workbookView xWindow="-108" yWindow="-108" windowWidth="23256" windowHeight="12456" firstSheet="3" activeTab="5" xr2:uid="{00000000-000D-0000-FFFF-FFFF00000000}"/>
  </bookViews>
  <sheets>
    <sheet name="recreation_v2_common_1" sheetId="1" r:id="rId1"/>
    <sheet name="recreation_v2_common_2" sheetId="2" r:id="rId2"/>
    <sheet name="recreation_v2_common_3" sheetId="3" r:id="rId3"/>
    <sheet name="recreation_v2_common_4" sheetId="4" r:id="rId4"/>
    <sheet name="recreation_v2_common_5" sheetId="5" r:id="rId5"/>
    <sheet name="Compiled V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6" l="1"/>
  <c r="G13" i="6"/>
  <c r="D3" i="6"/>
  <c r="J3" i="6" s="1"/>
  <c r="L3" i="6"/>
  <c r="M3" i="6"/>
  <c r="N3" i="6"/>
  <c r="J4" i="6"/>
  <c r="K4" i="6"/>
  <c r="L4" i="6"/>
  <c r="M4" i="6"/>
  <c r="N4" i="6"/>
  <c r="J5" i="6"/>
  <c r="K5" i="6"/>
  <c r="L5" i="6"/>
  <c r="M5" i="6"/>
  <c r="N5" i="6"/>
  <c r="J6" i="6"/>
  <c r="K6" i="6"/>
  <c r="L6" i="6"/>
  <c r="M6" i="6"/>
  <c r="N6" i="6"/>
  <c r="J7" i="6"/>
  <c r="K7" i="6"/>
  <c r="L7" i="6"/>
  <c r="M7" i="6"/>
  <c r="N7" i="6"/>
  <c r="J8" i="6"/>
  <c r="K8" i="6"/>
  <c r="L8" i="6"/>
  <c r="M8" i="6"/>
  <c r="N8" i="6"/>
  <c r="J9" i="6"/>
  <c r="K9" i="6"/>
  <c r="L9" i="6"/>
  <c r="M9" i="6"/>
  <c r="N9" i="6"/>
  <c r="J10" i="6"/>
  <c r="K10" i="6"/>
  <c r="L10" i="6"/>
  <c r="M10" i="6"/>
  <c r="N10" i="6"/>
  <c r="J11" i="6"/>
  <c r="K11" i="6"/>
  <c r="L11" i="6"/>
  <c r="M11" i="6"/>
  <c r="N11" i="6"/>
  <c r="J12" i="6"/>
  <c r="K12" i="6"/>
  <c r="L12" i="6"/>
  <c r="M12" i="6"/>
  <c r="N12" i="6"/>
  <c r="J13" i="6"/>
  <c r="K13" i="6"/>
  <c r="L13" i="6"/>
  <c r="M13" i="6"/>
  <c r="N13" i="6"/>
  <c r="J14" i="6"/>
  <c r="K14" i="6"/>
  <c r="L14" i="6"/>
  <c r="M14" i="6"/>
  <c r="N14" i="6"/>
  <c r="J15" i="6"/>
  <c r="K15" i="6"/>
  <c r="L15" i="6"/>
  <c r="M15" i="6"/>
  <c r="N15" i="6"/>
  <c r="J16" i="6"/>
  <c r="K16" i="6"/>
  <c r="L16" i="6"/>
  <c r="M16" i="6"/>
  <c r="N16" i="6"/>
  <c r="J17" i="6"/>
  <c r="K17" i="6"/>
  <c r="L17" i="6"/>
  <c r="M17" i="6"/>
  <c r="N17" i="6"/>
  <c r="J18" i="6"/>
  <c r="K18" i="6"/>
  <c r="L18" i="6"/>
  <c r="M18" i="6"/>
  <c r="N18" i="6"/>
  <c r="J19" i="6"/>
  <c r="K19" i="6"/>
  <c r="L19" i="6"/>
  <c r="M19" i="6"/>
  <c r="N19" i="6"/>
  <c r="J20" i="6"/>
  <c r="K20" i="6"/>
  <c r="L20" i="6"/>
  <c r="M20" i="6"/>
  <c r="N20" i="6"/>
  <c r="J21" i="6"/>
  <c r="K21" i="6"/>
  <c r="L21" i="6"/>
  <c r="M21" i="6"/>
  <c r="N21" i="6"/>
  <c r="J22" i="6"/>
  <c r="K22" i="6"/>
  <c r="L22" i="6"/>
  <c r="M22" i="6"/>
  <c r="N22" i="6"/>
  <c r="J23" i="6"/>
  <c r="K23" i="6"/>
  <c r="L23" i="6"/>
  <c r="M23" i="6"/>
  <c r="N23" i="6"/>
  <c r="J24" i="6"/>
  <c r="K24" i="6"/>
  <c r="L24" i="6"/>
  <c r="M24" i="6"/>
  <c r="N24" i="6"/>
  <c r="J25" i="6"/>
  <c r="K25" i="6"/>
  <c r="L25" i="6"/>
  <c r="M25" i="6"/>
  <c r="N25" i="6"/>
  <c r="J26" i="6"/>
  <c r="K26" i="6"/>
  <c r="L26" i="6"/>
  <c r="M26" i="6"/>
  <c r="N26" i="6"/>
  <c r="J27" i="6"/>
  <c r="K27" i="6"/>
  <c r="L27" i="6"/>
  <c r="M27" i="6"/>
  <c r="N27" i="6"/>
  <c r="J28" i="6"/>
  <c r="K28" i="6"/>
  <c r="L28" i="6"/>
  <c r="M28" i="6"/>
  <c r="N28" i="6"/>
  <c r="J29" i="6"/>
  <c r="K29" i="6"/>
  <c r="L29" i="6"/>
  <c r="M29" i="6"/>
  <c r="N29" i="6"/>
  <c r="J30" i="6"/>
  <c r="K30" i="6"/>
  <c r="L30" i="6"/>
  <c r="M30" i="6"/>
  <c r="N30" i="6"/>
  <c r="J31" i="6"/>
  <c r="K31" i="6"/>
  <c r="L31" i="6"/>
  <c r="M31" i="6"/>
  <c r="N31" i="6"/>
  <c r="J32" i="6"/>
  <c r="K32" i="6"/>
  <c r="L32" i="6"/>
  <c r="M32" i="6"/>
  <c r="N32" i="6"/>
  <c r="J33" i="6"/>
  <c r="K33" i="6"/>
  <c r="L33" i="6"/>
  <c r="M33" i="6"/>
  <c r="N33" i="6"/>
  <c r="J34" i="6"/>
  <c r="K34" i="6"/>
  <c r="L34" i="6"/>
  <c r="M34" i="6"/>
  <c r="N34" i="6"/>
  <c r="J35" i="6"/>
  <c r="K35" i="6"/>
  <c r="L35" i="6"/>
  <c r="M35" i="6"/>
  <c r="N35" i="6"/>
  <c r="J36" i="6"/>
  <c r="K36" i="6"/>
  <c r="L36" i="6"/>
  <c r="M36" i="6"/>
  <c r="N36" i="6"/>
  <c r="J37" i="6"/>
  <c r="K37" i="6"/>
  <c r="L37" i="6"/>
  <c r="M37" i="6"/>
  <c r="N37" i="6"/>
  <c r="J38" i="6"/>
  <c r="K38" i="6"/>
  <c r="L38" i="6"/>
  <c r="M38" i="6"/>
  <c r="N38" i="6"/>
  <c r="J39" i="6"/>
  <c r="K39" i="6"/>
  <c r="L39" i="6"/>
  <c r="M39" i="6"/>
  <c r="N39" i="6"/>
  <c r="J40" i="6"/>
  <c r="K40" i="6"/>
  <c r="L40" i="6"/>
  <c r="M40" i="6"/>
  <c r="N40" i="6"/>
  <c r="J41" i="6"/>
  <c r="K41" i="6"/>
  <c r="L41" i="6"/>
  <c r="M41" i="6"/>
  <c r="N41" i="6"/>
  <c r="J42" i="6"/>
  <c r="K42" i="6"/>
  <c r="L42" i="6"/>
  <c r="M42" i="6"/>
  <c r="N42" i="6"/>
  <c r="J43" i="6"/>
  <c r="K43" i="6"/>
  <c r="L43" i="6"/>
  <c r="M43" i="6"/>
  <c r="N43" i="6"/>
  <c r="J44" i="6"/>
  <c r="K44" i="6"/>
  <c r="L44" i="6"/>
  <c r="M44" i="6"/>
  <c r="N44" i="6"/>
  <c r="J45" i="6"/>
  <c r="K45" i="6"/>
  <c r="L45" i="6"/>
  <c r="M45" i="6"/>
  <c r="N45" i="6"/>
  <c r="J46" i="6"/>
  <c r="K46" i="6"/>
  <c r="L46" i="6"/>
  <c r="M46" i="6"/>
  <c r="N46" i="6"/>
  <c r="J47" i="6"/>
  <c r="K47" i="6"/>
  <c r="L47" i="6"/>
  <c r="M47" i="6"/>
  <c r="N47" i="6"/>
  <c r="J48" i="6"/>
  <c r="K48" i="6"/>
  <c r="L48" i="6"/>
  <c r="M48" i="6"/>
  <c r="N48" i="6"/>
  <c r="J49" i="6"/>
  <c r="K49" i="6"/>
  <c r="L49" i="6"/>
  <c r="M49" i="6"/>
  <c r="N49" i="6"/>
  <c r="J50" i="6"/>
  <c r="K50" i="6"/>
  <c r="L50" i="6"/>
  <c r="M50" i="6"/>
  <c r="N50" i="6"/>
  <c r="J51" i="6"/>
  <c r="K51" i="6"/>
  <c r="L51" i="6"/>
  <c r="M51" i="6"/>
  <c r="N51" i="6"/>
  <c r="J52" i="6"/>
  <c r="K52" i="6"/>
  <c r="L52" i="6"/>
  <c r="M52" i="6"/>
  <c r="N52" i="6"/>
  <c r="J53" i="6"/>
  <c r="K53" i="6"/>
  <c r="L53" i="6"/>
  <c r="M53" i="6"/>
  <c r="N53" i="6"/>
  <c r="J54" i="6"/>
  <c r="K54" i="6"/>
  <c r="L54" i="6"/>
  <c r="M54" i="6"/>
  <c r="N54" i="6"/>
  <c r="J55" i="6"/>
  <c r="K55" i="6"/>
  <c r="L55" i="6"/>
  <c r="M55" i="6"/>
  <c r="N55" i="6"/>
  <c r="J56" i="6"/>
  <c r="K56" i="6"/>
  <c r="L56" i="6"/>
  <c r="M56" i="6"/>
  <c r="N56" i="6"/>
  <c r="J57" i="6"/>
  <c r="K57" i="6"/>
  <c r="L57" i="6"/>
  <c r="M57" i="6"/>
  <c r="N57" i="6"/>
  <c r="J58" i="6"/>
  <c r="K58" i="6"/>
  <c r="L58" i="6"/>
  <c r="M58" i="6"/>
  <c r="N58" i="6"/>
  <c r="J59" i="6"/>
  <c r="K59" i="6"/>
  <c r="L59" i="6"/>
  <c r="M59" i="6"/>
  <c r="N59" i="6"/>
  <c r="J60" i="6"/>
  <c r="K60" i="6"/>
  <c r="L60" i="6"/>
  <c r="M60" i="6"/>
  <c r="N60" i="6"/>
  <c r="J61" i="6"/>
  <c r="K61" i="6"/>
  <c r="L61" i="6"/>
  <c r="M61" i="6"/>
  <c r="N61" i="6"/>
  <c r="J62" i="6"/>
  <c r="K62" i="6"/>
  <c r="L62" i="6"/>
  <c r="M62" i="6"/>
  <c r="N62" i="6"/>
  <c r="J63" i="6"/>
  <c r="K63" i="6"/>
  <c r="L63" i="6"/>
  <c r="M63" i="6"/>
  <c r="N63" i="6"/>
  <c r="J64" i="6"/>
  <c r="K64" i="6"/>
  <c r="L64" i="6"/>
  <c r="M64" i="6"/>
  <c r="N64" i="6"/>
  <c r="J65" i="6"/>
  <c r="K65" i="6"/>
  <c r="L65" i="6"/>
  <c r="M65" i="6"/>
  <c r="N65" i="6"/>
  <c r="J66" i="6"/>
  <c r="K66" i="6"/>
  <c r="L66" i="6"/>
  <c r="M66" i="6"/>
  <c r="N66" i="6"/>
  <c r="J67" i="6"/>
  <c r="K67" i="6"/>
  <c r="L67" i="6"/>
  <c r="M67" i="6"/>
  <c r="N67" i="6"/>
  <c r="J68" i="6"/>
  <c r="K68" i="6"/>
  <c r="L68" i="6"/>
  <c r="M68" i="6"/>
  <c r="N68" i="6"/>
  <c r="J69" i="6"/>
  <c r="K69" i="6"/>
  <c r="L69" i="6"/>
  <c r="M69" i="6"/>
  <c r="N69" i="6"/>
  <c r="J70" i="6"/>
  <c r="K70" i="6"/>
  <c r="L70" i="6"/>
  <c r="M70" i="6"/>
  <c r="N70" i="6"/>
  <c r="J71" i="6"/>
  <c r="K71" i="6"/>
  <c r="L71" i="6"/>
  <c r="M71" i="6"/>
  <c r="N71" i="6"/>
  <c r="J72" i="6"/>
  <c r="K72" i="6"/>
  <c r="L72" i="6"/>
  <c r="M72" i="6"/>
  <c r="N72" i="6"/>
  <c r="J73" i="6"/>
  <c r="K73" i="6"/>
  <c r="L73" i="6"/>
  <c r="M73" i="6"/>
  <c r="N73" i="6"/>
  <c r="J74" i="6"/>
  <c r="K74" i="6"/>
  <c r="L74" i="6"/>
  <c r="M74" i="6"/>
  <c r="N74" i="6"/>
  <c r="J75" i="6"/>
  <c r="K75" i="6"/>
  <c r="L75" i="6"/>
  <c r="M75" i="6"/>
  <c r="N75" i="6"/>
  <c r="J76" i="6"/>
  <c r="K76" i="6"/>
  <c r="L76" i="6"/>
  <c r="M76" i="6"/>
  <c r="N76" i="6"/>
  <c r="J77" i="6"/>
  <c r="K77" i="6"/>
  <c r="L77" i="6"/>
  <c r="M77" i="6"/>
  <c r="N77" i="6"/>
  <c r="J78" i="6"/>
  <c r="K78" i="6"/>
  <c r="L78" i="6"/>
  <c r="M78" i="6"/>
  <c r="N78" i="6"/>
  <c r="J79" i="6"/>
  <c r="K79" i="6"/>
  <c r="L79" i="6"/>
  <c r="M79" i="6"/>
  <c r="N79" i="6"/>
  <c r="J80" i="6"/>
  <c r="K80" i="6"/>
  <c r="L80" i="6"/>
  <c r="M80" i="6"/>
  <c r="N80" i="6"/>
  <c r="J81" i="6"/>
  <c r="K81" i="6"/>
  <c r="L81" i="6"/>
  <c r="M81" i="6"/>
  <c r="N81" i="6"/>
  <c r="J82" i="6"/>
  <c r="K82" i="6"/>
  <c r="L82" i="6"/>
  <c r="M82" i="6"/>
  <c r="N82" i="6"/>
  <c r="J83" i="6"/>
  <c r="K83" i="6"/>
  <c r="L83" i="6"/>
  <c r="M83" i="6"/>
  <c r="N83" i="6"/>
  <c r="J84" i="6"/>
  <c r="K84" i="6"/>
  <c r="L84" i="6"/>
  <c r="M84" i="6"/>
  <c r="N84" i="6"/>
  <c r="J85" i="6"/>
  <c r="K85" i="6"/>
  <c r="L85" i="6"/>
  <c r="M85" i="6"/>
  <c r="N85" i="6"/>
  <c r="J86" i="6"/>
  <c r="K86" i="6"/>
  <c r="L86" i="6"/>
  <c r="M86" i="6"/>
  <c r="N86" i="6"/>
  <c r="J87" i="6"/>
  <c r="K87" i="6"/>
  <c r="L87" i="6"/>
  <c r="M87" i="6"/>
  <c r="N87" i="6"/>
  <c r="J88" i="6"/>
  <c r="K88" i="6"/>
  <c r="L88" i="6"/>
  <c r="M88" i="6"/>
  <c r="N88" i="6"/>
  <c r="J89" i="6"/>
  <c r="K89" i="6"/>
  <c r="L89" i="6"/>
  <c r="M89" i="6"/>
  <c r="N89" i="6"/>
  <c r="J90" i="6"/>
  <c r="K90" i="6"/>
  <c r="L90" i="6"/>
  <c r="M90" i="6"/>
  <c r="N90" i="6"/>
  <c r="J91" i="6"/>
  <c r="K91" i="6"/>
  <c r="L91" i="6"/>
  <c r="M91" i="6"/>
  <c r="N91" i="6"/>
  <c r="J92" i="6"/>
  <c r="K92" i="6"/>
  <c r="L92" i="6"/>
  <c r="M92" i="6"/>
  <c r="N92" i="6"/>
  <c r="J93" i="6"/>
  <c r="K93" i="6"/>
  <c r="L93" i="6"/>
  <c r="M93" i="6"/>
  <c r="N93" i="6"/>
  <c r="J94" i="6"/>
  <c r="K94" i="6"/>
  <c r="L94" i="6"/>
  <c r="M94" i="6"/>
  <c r="N94" i="6"/>
  <c r="J95" i="6"/>
  <c r="K95" i="6"/>
  <c r="L95" i="6"/>
  <c r="M95" i="6"/>
  <c r="N95" i="6"/>
  <c r="J96" i="6"/>
  <c r="K96" i="6"/>
  <c r="L96" i="6"/>
  <c r="M96" i="6"/>
  <c r="N96" i="6"/>
  <c r="J97" i="6"/>
  <c r="K97" i="6"/>
  <c r="L97" i="6"/>
  <c r="M97" i="6"/>
  <c r="N97" i="6"/>
  <c r="J98" i="6"/>
  <c r="K98" i="6"/>
  <c r="L98" i="6"/>
  <c r="M98" i="6"/>
  <c r="N98" i="6"/>
  <c r="J99" i="6"/>
  <c r="K99" i="6"/>
  <c r="L99" i="6"/>
  <c r="M99" i="6"/>
  <c r="N99" i="6"/>
  <c r="J100" i="6"/>
  <c r="K100" i="6"/>
  <c r="L100" i="6"/>
  <c r="M100" i="6"/>
  <c r="N100" i="6"/>
  <c r="J101" i="6"/>
  <c r="K101" i="6"/>
  <c r="L101" i="6"/>
  <c r="M101" i="6"/>
  <c r="N101" i="6"/>
  <c r="N2" i="6"/>
  <c r="M2" i="6"/>
  <c r="L2" i="6"/>
  <c r="K2" i="6"/>
  <c r="J2"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2" i="6"/>
  <c r="G4" i="6"/>
  <c r="G5" i="6"/>
  <c r="G6" i="6"/>
  <c r="G7" i="6"/>
  <c r="G8" i="6"/>
  <c r="G9" i="6"/>
  <c r="G10" i="6"/>
  <c r="G11"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2"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2" i="6"/>
  <c r="E3" i="6"/>
  <c r="I3" i="6" s="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2" i="6"/>
  <c r="D96"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7" i="6"/>
  <c r="D98" i="6"/>
  <c r="D99" i="6"/>
  <c r="D100" i="6"/>
  <c r="D101" i="6"/>
  <c r="D2" i="6"/>
  <c r="F3" i="6" l="1"/>
  <c r="G3" i="6" s="1"/>
  <c r="K3" i="6"/>
</calcChain>
</file>

<file path=xl/sharedStrings.xml><?xml version="1.0" encoding="utf-8"?>
<sst xmlns="http://schemas.openxmlformats.org/spreadsheetml/2006/main" count="1477" uniqueCount="365">
  <si>
    <t>Question</t>
  </si>
  <si>
    <t>status</t>
  </si>
  <si>
    <t>response_time</t>
  </si>
  <si>
    <t>answerability</t>
  </si>
  <si>
    <t>primary_kc_alignment</t>
  </si>
  <si>
    <t>secondary_kc_alignment</t>
  </si>
  <si>
    <t>synergy</t>
  </si>
  <si>
    <t>topic_alignment</t>
  </si>
  <si>
    <t>grade_alignment</t>
  </si>
  <si>
    <t>real_world_feasibility</t>
  </si>
  <si>
    <t>clarity</t>
  </si>
  <si>
    <t>conciseness_and_relevance</t>
  </si>
  <si>
    <t>language_quality</t>
  </si>
  <si>
    <t>content_appropriateness</t>
  </si>
  <si>
    <t>explanation</t>
  </si>
  <si>
    <t>Question 1</t>
  </si>
  <si>
    <t>Question 2</t>
  </si>
  <si>
    <t>'NA</t>
  </si>
  <si>
    <t>Answerability: The problem contains contradictory instructions - Alvin cannot both divide time equally among 6 songs and spend 2/3 of total time on one song, creating logical conflict. Synergy: Parts (a) and (b) are disconnected due to this contradiction - equal division result from (a) cannot be used with the 2/3 allocation in (b). Real_world_feasibility: The scenario is unrealistic as it describes contradictory time allocation methods that no student would actually follow. Clarity: The contradictory instructions about time division create ambiguity about what Alvin actually does with his practice time.</t>
  </si>
  <si>
    <t>Question 3</t>
  </si>
  <si>
    <t>Question 4</t>
  </si>
  <si>
    <t>Question 5</t>
  </si>
  <si>
    <t>Question 6</t>
  </si>
  <si>
    <t>Question 7</t>
  </si>
  <si>
    <t>Question 8</t>
  </si>
  <si>
    <t>Question 9</t>
  </si>
  <si>
    <t>Synergy: The two parts (a) and (b) are independent questions that do not require using results from part (a) to solve part (b). They can be solved separately without connection. Grade_alignment: Finding percentiles/quartiles is typically introduced at upper secondary or pre-university level, which may be too advanced for Secondary O-level 2 students who would typically focus on basic measures like mean, median, mode.</t>
  </si>
  <si>
    <t>Question 10</t>
  </si>
  <si>
    <t>Question 11</t>
  </si>
  <si>
    <t>Primary KC alignment fails because the intended primary knowledge component is subtracting mixed numbers, but part (a) only requires addition of mixed numbers (4 2/3 + 1 5/6), and part (b) involves simple subtraction (8 1/2 - 6 1/2 = 2) rather than complex mixed number subtraction that should be the main focus.</t>
  </si>
  <si>
    <t>Question 12</t>
  </si>
  <si>
    <t>Grade Alignment: The problem involves matrix operations which are typically introduced at A-level or pre-university level mathematics, not at O-level Secondary 3/4. O-level students at Secondary 3/4 grade typically work with basic algebra, geometry, and statistics, but matrix operations are beyond the standard O-level curriculum.</t>
  </si>
  <si>
    <t>Question 13</t>
  </si>
  <si>
    <t>Question 14</t>
  </si>
  <si>
    <t>Question 15</t>
  </si>
  <si>
    <t>Primary KC alignment fails because the problem requires 3.275 * 20 which is general decimal multiplication, not multiplication by multiples of 10, 100, or 1000 as specified in the intended primary knowledge component.</t>
  </si>
  <si>
    <t>Question 16</t>
  </si>
  <si>
    <t>Question 17</t>
  </si>
  <si>
    <t>Question 18</t>
  </si>
  <si>
    <t>Secondary KC alignment: Part (b) requires finding 2/5 of 12 and subtracting from total (12 - 4.8), but does not specifically require subtracting fractions in fractional form as intended.</t>
  </si>
  <si>
    <t>Question 19</t>
  </si>
  <si>
    <t>Question 20</t>
  </si>
  <si>
    <t>Question 21</t>
  </si>
  <si>
    <t>Question 22</t>
  </si>
  <si>
    <t>Grade Alignment: This problem is too simple for Secondary O-level 1 students. Finding 25% of 80 and multiplying by 15 are basic operations typically mastered in primary grades. Secondary O-level 1 students would need more complex percentage problems involving compound changes, algebraic manipulation, or multi-step reasoning beyond basic arithmetic.</t>
  </si>
  <si>
    <t>Question 23</t>
  </si>
  <si>
    <t>The two questions are independent of each other. Part (a) result (1.42) is not used in part (b), and part (b) can be solved without solving part (a) first. True synergy requires questions to build upon each other sequentially.</t>
  </si>
  <si>
    <t>Question 24</t>
  </si>
  <si>
    <t>Question 25</t>
  </si>
  <si>
    <t>Primary KC alignment: The problem requires solving algebraic equations with variables (4x, 5x) and cross-multiplication, which goes beyond Primary 6 level ratio work of finding missing terms in simple equivalent ratios. Synergy: The addition component (adding 6 girls) is trivial and doesn't work in tandem with ratio concepts - it's just a setup step, not requiring meaningful integration of both knowledge components. Grade alignment: This problem requires algebraic thinking, variable manipulation, and cross-multiplication which are typically Secondary 1-2 concepts, not Primary 6 level mathematics.</t>
  </si>
  <si>
    <t>Question 26</t>
  </si>
  <si>
    <t>Question 27</t>
  </si>
  <si>
    <t>The problem lacks synergy between primary and secondary knowledge components. Parts (a) and (b) are independent calculations that do not build upon each other. Part (c) simply asks for addition of the results rather than requiring integrated use of both fraction multiplication and addition skills.</t>
  </si>
  <si>
    <t>Question 28</t>
  </si>
  <si>
    <t>The two parts of the problem work independently rather than in tandem. Part (a) requires addition of 1234 + 956 + 1087 = 3277, while part (b) requires comparing 1234, 956, and 1087 to find 1234 is highest and 956 is lowest. The result from part (a) is not used in part (b), so the knowledge components are not used together to solve the problem.</t>
  </si>
  <si>
    <t>Question 29</t>
  </si>
  <si>
    <t>Answerability: Conflicting information - 5/6 + 1/4 = 13/12 hours not 1 hour as stated. Synergy: Questions are independent rather than connected where one result feeds into the next question.</t>
  </si>
  <si>
    <t>Question 30</t>
  </si>
  <si>
    <t>Synergy: The division result 246/3=82 boxes is not used in the subtraction step 246-18=228. The two knowledge components work independently rather than in tandem.</t>
  </si>
  <si>
    <t>Question 31</t>
  </si>
  <si>
    <t>Question 32</t>
  </si>
  <si>
    <t>Secondary KC alignment: The problem does not prominently feature multiplying whole numbers as a key skill - only basic multiplication like 4*18=72 is needed. Synergy: The secondary KC (multiplication of whole numbers) is not meaningfully integrated with the primary KC (inverse proportion) to add substantial complexity to the problem.</t>
  </si>
  <si>
    <t>Question 33</t>
  </si>
  <si>
    <t>Question 34</t>
  </si>
  <si>
    <t>Question 35</t>
  </si>
  <si>
    <t>Grade alignment issue: The problem requires understanding of arithmetic sequences and algebraic expressions with variables (finding nth term formula), which is typically taught in Secondary 2-3 level in Singapore math curriculum. This may be too advanced for Secondary O-level 1 students who are just beginning to learn basic algebraic concepts.</t>
  </si>
  <si>
    <t>Question 36</t>
  </si>
  <si>
    <t>Question 37</t>
  </si>
  <si>
    <t>The problem contains conflicting information. From ratio 2.5:1.5 with total 2 hours, free throws = 1.25 hours and dribbling = 0.75 hours, giving difference of 0.5 hours. But problem states difference is 0.8 hours. These constraints are incompatible, making the problem unsolvable.</t>
  </si>
  <si>
    <t>Question 38</t>
  </si>
  <si>
    <t>The two questions are independent of each other. Part (b) can be solved without using the result from part (a), as it only requires adding the painting time on the last day (2 1/2 hours) with the sketching time (3/4 hour). True synergy would require part (b) to use the total painting time calculated in part (a).</t>
  </si>
  <si>
    <t>Question 39</t>
  </si>
  <si>
    <t>Grade alignment: The problem involves matrices operations (scalar multiplication and matrix addition) which are typically introduced at Secondary O-level 1/2 or earlier, making it too basic for Secondary O-level 3/4 students who would be expected to handle more advanced matrix concepts like matrix multiplication, determinants, or inverse matrices.</t>
  </si>
  <si>
    <t>Question 40</t>
  </si>
  <si>
    <t>Topic alignment: The problem mixes basketball points (sports) with buying movie tickets using dollars, creating confusion between two different contexts within recreation. Real-world feasibility: Basketball points are game scores that cannot be used as currency to purchase movie tickets - points are not exchangeable for money in reality. Clarity: The problem uses both points and dollars with the same numerical values (120 points total, $20 for ticket) which creates ambiguity about whether points equal dollars or if these are separate currencies.</t>
  </si>
  <si>
    <t>Question 41</t>
  </si>
  <si>
    <t>Question 42</t>
  </si>
  <si>
    <t>Question 43</t>
  </si>
  <si>
    <t>Question 44</t>
  </si>
  <si>
    <t>Question 45</t>
  </si>
  <si>
    <t>Question 46</t>
  </si>
  <si>
    <t>Primary KC alignment: The problem requires multiplying 0.125 x 100, which is multiplying a decimal by 100, but this is general decimal multiplication rather than specifically targeting multiplication by multiples of 10/100/1000. The intended primary KC focuses on multiplying by 10, 100, 1000 and their multiples as a specific skill, but here 100 is just a regular multiplicand in a word problem context.</t>
  </si>
  <si>
    <t>Question 47</t>
  </si>
  <si>
    <t>Real-world feasibility issue: 3/5 + 2/5 = 5/5 = 100% of weekend spent only on sports, leaving no time for sleeping, eating, or other essential daily activities.</t>
  </si>
  <si>
    <t>Question 48</t>
  </si>
  <si>
    <t>Synergy: The two parts (a) and (b) can be solved independently. Part (a) uses percentage increase calculation (40 to 56 students), while part (b) uses division (56 students divided into 7 groups). The result from part (a) is not needed to solve part (b), and vice versa. The questions are not connected in a way that requires using the result of one question as input for the other.</t>
  </si>
  <si>
    <t>Question 49</t>
  </si>
  <si>
    <t>Question 50</t>
  </si>
  <si>
    <t>Question 51</t>
  </si>
  <si>
    <t>Question 52</t>
  </si>
  <si>
    <t>Question 53</t>
  </si>
  <si>
    <t>Secondary KC alignment: The answer 5/6 - 1/4 = 7/12 is already in simplest form since gcd(7,12) = 1, so no simplification is needed. Synergy: Since simplification is not required to solve the problem, the primary and secondary knowledge components do not work together in tandem.</t>
  </si>
  <si>
    <t>Question 54</t>
  </si>
  <si>
    <t>ANSWERABILITY: The problem states friends listen to playlist 2 full rounds each day but never specifies how many friends there are, making it impossible to calculate total plays. The connection between friends listening and the 2^n formula is unclear. SYNERGY: Part (a) only requires calculating 2^3=8, using positive indices but not laws of indices. Part (b) asks to write 3*2^n as single term using indices, but this cannot be simplified further using standard laws of indices since 3 and 2^n have different bases. The two parts do not work in tandem. REAL_WORLD_FEASIBILITY: The scenario describes friends playing music but then ignores this context entirely, jumping to an abstract mathematical constraint that each song must be played exactly 2^n times per week regardless of actual listening behavior. CLARITY: The relationship between the stated listening pattern (friends listening 2 rounds daily) and the mathematical constraint (songs played 2^n times weekly) is never explained, creating confusion about how these connect. CONCISENESS_AND_RELEVANCE: Information about friends and their daily listening (2 rounds each day) is irrelevant since the actual constraint is the abstract 2^n formula. The real-world context serves no purpose in solving the mathematical problem.</t>
  </si>
  <si>
    <t>Question 55</t>
  </si>
  <si>
    <t>Answerability: The problem contains conflicting information - Sarah scored 8.75 + 9.60 = 18.35 points but the problem states she had 17.00 points total, creating a mathematical contradiction. Real-world feasibility: The contradictory scoring information makes this scenario unrealistic and impossible. Clarity: The conflicting information about total points (18.35 vs 17.00) creates ambiguity about which value to use. Conciseness and relevance: The statement 'she had 17.00 points in total' provides conflicting information that contradicts the given individual scores, making part of the information irrelevant or incorrect.</t>
  </si>
  <si>
    <t>Question 56</t>
  </si>
  <si>
    <t>Question 57</t>
  </si>
  <si>
    <t>Question 58</t>
  </si>
  <si>
    <t>Question 59</t>
  </si>
  <si>
    <t>Grade alignment: The problem requires operations with fractions 7/12 and 1/4, finding common denominators (LCD of 12), and simplifying fractions. These concepts are typically introduced in Primary 4-5 in Singapore math curriculum, not Primary 3. Primary 3 students typically work with simpler fractions like halves, quarters, and thirds.</t>
  </si>
  <si>
    <t>Question 60</t>
  </si>
  <si>
    <t>Grade Alignment: This problem is too simple for Secondary O-level 1 students. Calculating 25% increase (40 * 1.25 = 50) and basic division (50 / 5 = 10) are elementary-level skills typically mastered by Primary 5-6 students. Secondary O-level 1 percentage problems should involve more complex scenarios like compound percentages, multiple step percentage changes, or integration with algebraic concepts.</t>
  </si>
  <si>
    <t>Question 61</t>
  </si>
  <si>
    <t>Answerability: Part (b) asks for total fraction of combined recreation time spent dancing, but individual recreation times are not given - only fractions of each person's time are known, making it impossible to determine combined fraction without knowing relative amounts of their total recreation times. Secondary KC Alignment: Problem does not require adding fractions as intended - part (a) involves ratio of fractions 3/5 to 2/3, part (b) cannot be solved due to missing information, no fraction addition needed in solution process. Synergy: Since secondary KC (adding fractions) is not actually required for solving the problem, primary and secondary KCs do not work in tandem as intended. Grade Alignment: Ratios involving fractions and the algebraic manipulation required are typically introduced in Primary 6 or Secondary levels, but Secondary O-level 1 seems too advanced for this fundamental concept which should be mastered earlier.</t>
  </si>
  <si>
    <t>Question 62</t>
  </si>
  <si>
    <t>Question 63</t>
  </si>
  <si>
    <t>Real-world feasibility fails because bowling scores are always whole numbers from 0 to 300, never decimals like 78.35 or 56.45 points.</t>
  </si>
  <si>
    <t>Question 64</t>
  </si>
  <si>
    <t>Synergy: The two parts (a) and (b) are independent questions that can be solved separately. Part (a) uses multiplication of decimals by 10, and part (b) uses comparison and ordering of decimals, but the result from part (a) is not needed to solve part (b). The questions are not connected such that early question results are used as known information for later questions.</t>
  </si>
  <si>
    <t>Question 65</t>
  </si>
  <si>
    <t>Answerability: The problem contains conflicting information - V = 2^n gives V2 = 4 decibels, but V4 = V2/2 = 2 decibels cannot be expressed as 2^n where n is a positive integer for the 4th song position. Real-world feasibility: Volume rule V = 2^n creates unrealistic exponential growth - by song 10, volume would be 1024 decibels, far exceeding safe listening levels and dance class norms. Clarity: The phrase 'After 3 energetic songs' is ambiguous and adds confusion about song counting. Conciseness: The phrase 'After 3 energetic songs' provides irrelevant information that does not contribute to solving the mathematical problem.</t>
  </si>
  <si>
    <t>Question 66</t>
  </si>
  <si>
    <t>Secondary KC alignment: Problem does not require conversion between measurement units - both 0.75 L and 4.5 L are already in same unit (litres). Synergy: Since secondary KC is not needed, primary and secondary KCs are not used together to solve the problem.</t>
  </si>
  <si>
    <t>Question 67</t>
  </si>
  <si>
    <t>Question 68</t>
  </si>
  <si>
    <t>Question 69</t>
  </si>
  <si>
    <t>Question 70</t>
  </si>
  <si>
    <t>Question 71</t>
  </si>
  <si>
    <t>Secondary KC Alignment: The problem asks to express answer as mixed number in simplest form, but 7/4 * 5 = 35/4 = 8 3/4 is already in simplest form since gcd(3,4) = 1. No actual simplification of fractions is required. Synergy: Since no actual fraction simplification occurs in solving this problem, the primary and secondary knowledge components are not used in tandem - only multiplication of fraction by whole number is needed.</t>
  </si>
  <si>
    <t>Question 72</t>
  </si>
  <si>
    <t>Question 73</t>
  </si>
  <si>
    <t>Grade Alignment: The problem requires adding fractions with different denominators (3/4 + 1/6) and subtracting fractions (1 - 11/12), which typically involves finding common denominators. In Singapore math curriculum, Primary 3 students usually work with simpler fractions and same denominators. Operations with different denominators like 4 and 6 requiring finding LCD of 12 are typically introduced in Primary 4 or higher grades.</t>
  </si>
  <si>
    <t>Question 74</t>
  </si>
  <si>
    <t>Question 75</t>
  </si>
  <si>
    <t>Question 76</t>
  </si>
  <si>
    <t>Grade Alignment: This problem involves ratios with fractions (3/4 : 5/6) which requires finding LCM of denominators (4 and 6 = 12), multiplying fractions by appropriate values (3/4 * 12 = 9, 5/6 * 12 = 10), and simplifying ratios. These concepts are typically taught in Primary 6 or Secondary levels, but the specific handling of fractional ratios and their conversion to simplest whole number form is more appropriate for higher secondary levels rather than Secondary O-level 1.</t>
  </si>
  <si>
    <t>Question 77</t>
  </si>
  <si>
    <t>Grade Alignment: This problem is too simple for Secondary O-level 1 students. Working with basic decimal ratios like 3.5:5.6 and converting to whole numbers is typically mastered in primary grades 5-6. O-level students should handle more complex ratios with algebraic expressions, variables, or advanced applications. Conciseness and Relevance: Information about Chloe using 2.1 litres blue paint and 3.5 litres red paint is completely unnecessary since the questions only ask about Benjamin's paint usage. This irrelevant data violates the conciseness requirement.</t>
  </si>
  <si>
    <t>Question 78</t>
  </si>
  <si>
    <t>Real-world feasibility: The exercise times are unrealistic - 3.2x10^2 = 320 minutes = 5.3 hours per day, 2.7x10^2 = 270 minutes = 4.5 hours per day, etc. Students typically do not exercise 4-7 hours daily, making this scenario implausible.</t>
  </si>
  <si>
    <t>Question 79</t>
  </si>
  <si>
    <t>The two parts do not demonstrate true synergy. Part (b) asks for 2448 - 253 = 2195 children remaining, but does not require using the answer from part (a) which is 2448 / 6 = 408 rows. For proper synergy, part (b) should build upon the result from part (a).</t>
  </si>
  <si>
    <t>Question 80</t>
  </si>
  <si>
    <t>Secondary KC alignment: Part (a) requires adding fractions (2/5 + 1/4), not subtracting fractions as specified. Synergy: The two parts are independent - part (b) does not use the result from part (a), so the knowledge components are not used in tandem.</t>
  </si>
  <si>
    <t>Question 81</t>
  </si>
  <si>
    <t>Question 82</t>
  </si>
  <si>
    <t>Real-world feasibility: Swimming tournaments do not typically use exponential formulas like S = 3^a * 3^(-b) to calculate scores. This mathematical scoring system with powers of 3 and negative exponents for penalties does not mirror realistic scoring methods used in actual swimming competitions, which usually involve time-based rankings or simple point systems.</t>
  </si>
  <si>
    <t>Question 83</t>
  </si>
  <si>
    <t>Grade alignment: This problem is too simple for Secondary O-level 1 students. The equation x/2 + 3 = 11 involves only basic algebraic manipulation that would typically be mastered in primary or early secondary grades. O-level 1 students would be expected to handle more complex fractional equations with multiple terms, cross-multiplication, or equations requiring more sophisticated algebraic techniques.</t>
  </si>
  <si>
    <t>Question 84</t>
  </si>
  <si>
    <t>Grade Alignment: This problem involves basic percentage calculation (15/20 * 100 = 75%) and simple percentage to decimal conversion (75% = 0.75), which are concepts typically taught at Primary 5-6 level, not Secondary O-level 1. For Secondary O-level 1, percentage problems should involve more complex scenarios such as percentage increase/decrease, compound percentages, or multi-step percentage calculations.</t>
  </si>
  <si>
    <t>Question 85</t>
  </si>
  <si>
    <t>Grade alignment: This problem is not suitable for Secondary O-level 3/4 as it requires basic probability concepts that are typically taught at Primary 5/6 or Secondary 1/2 level. The operations involve simple addition of probabilities and complement calculations which are too elementary for O-level 3/4 students who should be dealing with more advanced probability topics like conditional probability, combinations, or probability distributions.</t>
  </si>
  <si>
    <t>Question 86</t>
  </si>
  <si>
    <t>Question 87</t>
  </si>
  <si>
    <t>Question 88</t>
  </si>
  <si>
    <t>Question 89</t>
  </si>
  <si>
    <t>Part (a) refers to practicing for 4 days in a week but part (b) specifically asks about Monday to Thursday vs Saturday, creating inconsistency about which 4 days are being referenced. This ambiguity affects both answerability and clarity.</t>
  </si>
  <si>
    <t>Question 90</t>
  </si>
  <si>
    <t>Question 91</t>
  </si>
  <si>
    <t>Question 92</t>
  </si>
  <si>
    <t>Question 93</t>
  </si>
  <si>
    <t>Question 94</t>
  </si>
  <si>
    <t>The two questions (a) and (b) are independent of each other and can be solved separately. Question (a) requires finding the ratio 48:72 which simplifies to 2:3, while question (b) requires calculating (48+72)/6 = 20. Neither question uses the result from the other question, so the Primary and Secondary Knowledge Components are not used in tandem as required for synergy.</t>
  </si>
  <si>
    <t>Question 95</t>
  </si>
  <si>
    <t>Part b is mathematically impossible. 9/24 simplifies to 3/8, so there is no equivalent fraction of 9/24 that has denominator 8. This makes the problem unanswerable and breaks the synergy between parts a and b. The secondary knowledge component cannot be properly assessed due to this mathematical error.</t>
  </si>
  <si>
    <t>Question 96</t>
  </si>
  <si>
    <t>Grade alignment fails because the mathematical complexity (basic ratio 5:3 and simple division 48/6=8) is too elementary for Secondary O-level 2 students. This level of problem would be more appropriate for Primary 5-6 students.</t>
  </si>
  <si>
    <t>Question 97</t>
  </si>
  <si>
    <t>Synergy: The two questions are independent - the first asks for ratio in simplest form (24:36:60 = 2:3:5), the second asks about multiplication (24 * 2 = 48). The result from question 1 is not needed for question 2, so they do not work in tandem. Real-world feasibility: The scenario where each sticker is given to 2 people simultaneously is unrealistic - typically one sticker goes to one person. Clarity: The phrase 'each sticker is given to 2 people' is ambiguous and confusing - it's unclear how one physical sticker can be given to 2 different people at the same time.</t>
  </si>
  <si>
    <t>Question 98</t>
  </si>
  <si>
    <t>Grade Alignment: This problem involves matrix multiplication which is typically introduced at A-level mathematics, not O-level 3/4. The intended grade is too low for matrices operations. Real-World Plausibility: The scoring system described is unrealistic - multiplying match wins by different factors for different tournaments and then doubling all points does not reflect how actual table tennis scoring or tournament point systems work in reality.</t>
  </si>
  <si>
    <t>Question 99</t>
  </si>
  <si>
    <t>Synergy: The two parts (a) and (b) are independent questions that can be solved separately. Part (a) uses rate/unit conversion (1500 / 25 = 60 laps) and part (b) uses decimal conversion (1500 / 1000 = 1.5 km). The result from part (a) is not needed to solve part (b), so the Primary and Secondary Knowledge Components are not used in tandem as required.</t>
  </si>
  <si>
    <t>Question 100</t>
  </si>
  <si>
    <t>Answerability: The phrase 'students participated only in both' is contradictory and creates ambiguity. Synergy: The subtraction component feels disconnected from the main ratio-finding task rather than being used in tandem. Conciseness: The information about students participating 'only in both' appears irrelevant to solving the problem. Clarity: The contradictory phrase creates confusion about whether we are dealing with overlapping participation or separate counts.</t>
  </si>
  <si>
    <t>Answerability: The problem contains conflicting information. The setup states Alvin divides his time equally among as many songs as possible, but then part (b) asks about spending 2/3 of practice time on the first song only, which contradicts equal division. Synergy: The two questions are not properly connected. Question (a) uses division of fractions 3/4 ÷ 1/8 = 6 songs, but question (b) uses multiplication 3/4 × 2/3 = 1/2 hour independently without using the result from part (a). Real-world feasibility: It is unrealistic for someone to first divide practice time equally among multiple songs and then decide to spend 2/3 of total time on just one song. Clarity: The problem statement is ambiguous about whether the 2/3 refers to the time allocated per song from equal division or 2/3 of the total 3/4 hour.</t>
  </si>
  <si>
    <t>Synergy: The median and percentile calculations use the same dataset but do not build upon each other - part (a) result is not needed for part (b). Grade Alignment: Percentiles and quartiles are typically taught at higher secondary levels, not Secondary O-level 2 where basic statistics like mean and median are more appropriate.</t>
  </si>
  <si>
    <t>Primary KC Alignment: The primary knowledge component is subtraction of mixed numbers, but part (a) only requires addition of mixed numbers (4 2/3 + 1 5/6), making addition the main focus rather than subtraction. Synergy: The two knowledge components are not used in tandem. Part (a) uses only addition of mixed numbers, while part (b) uses only subtraction of mixed numbers. The operations are sequential rather than integrated within the same problem-solving process.</t>
  </si>
  <si>
    <t>Grade Alignment: The problem involves matrix operations which are typically taught at Secondary O-level 4/5 or A-level, not Secondary O-level 3/4. Matrix subtraction and addition are advanced topics that exceed the mathematical knowledge expected for O-level 3/4 students in Singapore math syllabus.</t>
  </si>
  <si>
    <t>Secondary KC Alignment: The problem only requires division (70/250) and multiplication by 100 to convert to percentage. The intended secondary KC of whole number multiplication is not needed for solving this problem. Synergy: Since the secondary KC of whole number multiplication is not required, there is no synergy between the primary and secondary knowledge components in solving this problem.</t>
  </si>
  <si>
    <t>Primary KC misalignment: The problem requires 3.275 x 20 which is general decimal multiplication, not specifically multiplying by multiples of 10, 100, or 1000 as intended. The calculation 3.275 x 20 does not align with the intended primary knowledge component.</t>
  </si>
  <si>
    <t>Secondary KC: Part b uses multiplication 2/5 * 12 and subtraction 12 - 4.8, not fraction subtraction. Topic: Making bookmarks is craft activity, not recreation like sports/games/music. Real-world: Result 7.2 bookmarks is unrealistic - cannot have fractional bookmarks.</t>
  </si>
  <si>
    <t>Grade Alignment: The problem involves basic percentage calculation (25% of 80) and simple multiplication (20 x 15), which are typically primary school level concepts. For Secondary O-level 1 students, the mathematical complexity should be significantly higher, involving more sophisticated percentage applications or multi-step problem solving.</t>
  </si>
  <si>
    <t>Synergy: The two parts (a) and (b) can be solved independently. Part (a) uses 7.85 - 6.43 = 1.42, while part (b) orders all three values 6.43 &lt; 7.802 &lt; 7.85. The answer from part (a) is not needed to solve part (b), so the questions are not connected in tandem.</t>
  </si>
  <si>
    <t>Real-world plausibility fails because playing 5/2 = 2.5 games of badminton is unrealistic. While incomplete games exist, expressing this as exactly 5/2 games does not mirror how people typically count games in reality.</t>
  </si>
  <si>
    <t>The two parts of the problem work independently rather than in tandem. Part (a) involves addition while part (b) involves comparison, but the result from part (a) is not needed to solve part (b), and the comparison result is not used in the addition. The questions are not connected such that early results serve as input for later questions.</t>
  </si>
  <si>
    <t>Answerability: Conflicting information - 5/6 + 1/4 = 13/12 = 1 1/12 hours, not 1 hour as stated. Synergy: Questions (a) and (b) are independent and do not require results from one to solve the other.</t>
  </si>
  <si>
    <t>Answerability: The problem has unclear logic - if each box holds 3 balls and balls are packed equally into boxes, the relationship between 246 balls and the boxes is ambiguous. Synergy: The division and subtraction operations are not properly connected due to the unclear packing arrangement. Clarity: The packing process is ambiguously described, making it unclear whether 246/3 gives number of boxes or balls per box.</t>
  </si>
  <si>
    <t>Secondary KC alignment fails because the problem primarily requires division (72/6, 72/8) rather than multiplication of whole numbers. Synergy fails because the two knowledge components do not work effectively together - inverse proportion is the dominant concept while multiplication is not prominently featured. Grade alignment fails because inverse proportion is typically taught at Primary 6 level in Singapore, making it too basic for Secondary O-level 2 students.</t>
  </si>
  <si>
    <t>Grade Alignment: This problem is too advanced for Secondary O-level 1 students. Finding algebraic expressions for nth terms of arithmetic sequences and using algebraic notation with variables like n is typically covered in higher secondary grades (O-level 2-3). Primary 1 students work with basic arithmetic operations and simple number patterns, not algebraic expressions.</t>
  </si>
  <si>
    <t>Answerability: The given information creates conflicting constraints. From ratio 2.5:1.5 and total time 2 hours, the difference should be 0.5 hours, but problem states 0.8 hours difference. Secondary KC alignment: While 0.8 is a decimal, the actual solving process uses fraction arithmetic (5/3, 8/3) rather than decimal subtraction operations. The secondary knowledge component of decimal subtraction is not meaningfully engaged. Synergy: The ratio constraint and decimal difference constraint conflict rather than work together. The decimal information (0.8) cannot be properly integrated with the ratio-based solution. Grade alignment: This problem requires simultaneous equation solving and algebraic manipulation that exceeds typical Secondary O-level 1 capabilities, being more appropriate for higher secondary levels.</t>
  </si>
  <si>
    <t>Grade alignment: This problem involves matrices operations (scalar multiplication and matrix addition) which are typically taught at higher secondary levels or pre-university mathematics, not at Primary grade levels. The intended grade appears to be Secondary O-level 3/4 but matrices are generally introduced in more advanced mathematics courses beyond primary education.</t>
  </si>
  <si>
    <t>Topic alignment: The problem mixes basketball (sports/recreation) with buying movie tickets using points, but points earned in basketball games are not typically used as currency to buy movie tickets. Real-world feasibility: Basketball games award points for scoring, but these points cannot be used to purchase movie tickets in reality - points are just game scores, not currency. Clarity: The problem states they earned points in basketball but then uses dollar sign before 20 when referring to movie ticket cost, creating confusion about whether Siti is spending points or dollars.</t>
  </si>
  <si>
    <t>Primary KC alignment: The problem requires 0.125 x 100 which is basic decimal multiplication, not specifically targeting multiplication by multiples of 10/100/1000 as a distinct mathematical concept or skill.</t>
  </si>
  <si>
    <t>Synergy: The two parts (a) and (b) can be solved independently. Part (a) uses percentage increase calculation (40 to 56 students), while part (b) uses division (56 divided by 7). The result from part (a) is not needed to solve part (b), and the questions are not connected in a way that requires using the answer from one part to solve the other part.</t>
  </si>
  <si>
    <t>Grade Alignment: Matrix operations including matrix multiplication and subtraction are typically taught at A-level or university introductory mathematics, not at O-level 3/4. O-level mathematics focuses on arithmetic, algebra, geometry, trigonometry, and basic statistics. Matrix operations exceed the expected knowledge components for this grade level.</t>
  </si>
  <si>
    <t>Secondary KC alignment: 5/6 - 1/4 = 10/12 - 3/12 = 7/12, which is already in simplest form since gcd(7,12) = 1, so no simplification is needed. Synergy: Since simplification is not required, the primary and secondary knowledge components do not work together to solve the problem.</t>
  </si>
  <si>
    <t>Answerability: Problem has conflicting/illogical information - friends listening to 2 rounds daily has no clear connection to songs playing 2^n times weekly. Real-world feasibility: The mathematical constraint 2^n for song plays is artificially imposed and unrealistic. Clarity: The relationship between daily listening habits and weekly totals is confusing and unclear. Conciseness: Information about friends and daily rounds is irrelevant since the problem directly gives 2^n plays per week.</t>
  </si>
  <si>
    <t>Answerability: Mathematical contradiction exists - 8.75 + 9.60 = 18.35 but problem states total is 17.00. Real-world feasibility: The contradictory totals make scenario implausible. Clarity: Conflicting information creates ambiguity about correct total. Conciseness and relevance: Contradictory data makes some information irrelevant or incorrect.</t>
  </si>
  <si>
    <t>Answerability: The problem provides redundant information. The ratio 5:3 and difference of 18 matches already determines the total as 72, making the conditional statement about total = 72 unnecessary and potentially confusing. Conciseness and Relevance: The problem contains redundant constraints - the total of 72 matches is determinable from the ratio and difference, making one piece of information unnecessary.</t>
  </si>
  <si>
    <t>Grade Alignment: The problem requires multiplying fractions (1/4 * 7/12), working with denominators up to 48, and finding common denominators for subtraction. These concepts are typically taught in Primary 4-5, making this problem too advanced for Primary 3 students.</t>
  </si>
  <si>
    <t>Grade Alignment: This problem involves basic percentage increase (25%) and simple division, which are concepts typically mastered in Primary 5-6. The mathematical complexity is too elementary for Secondary O-level 1 students who should be working with more advanced algebraic concepts, complex percentages, or multi-step problems requiring higher-order thinking skills.</t>
  </si>
  <si>
    <t>Answerability: Part (b) asks for total fraction of combined recreation time spent dancing, but without knowing the actual amounts of recreation time each person has, this cannot be calculated. We only know fractions of individual times, not how to combine them meaningfully. Secondary KC Alignment: Part (b) appears to require adding fractions (3/5 + 2/3), but this addition is mathematically meaningless since we're adding fractions of different wholes (Evelyn's time vs Mark's time). The problem doesn't establish a valid context for fraction addition. Synergy: The two parts are independent - part (a) only uses ratios, part (b) only involves fractions. No synergy between primary and secondary knowledge components. Grade Alignment: Secondary O-level 1 students typically work with more advanced concepts. This problem involves basic fraction operations more suitable for primary grades 5-6.</t>
  </si>
  <si>
    <t>Real-world feasibility fails because bowling scores are whole numbers in the standard 10-pin system, typically ranging from 0-300, not decimal values like 78.35 or 56.45.</t>
  </si>
  <si>
    <t>The two parts of the problem work independently. Part (a) calculates 1.250 * 10 = 12.5 minutes, while part (b) orders the given performance times. The answer from part (a) is not used to solve part (b), so the primary and secondary knowledge components are not used in tandem as required for synergy.</t>
  </si>
  <si>
    <t>The problem contains conflicting information. Given V = 2^n, V2 = 2^2 = 4 and V4 should equal 2^4 = 16. However, the problem states V4 should be half of V2, which would be 4/2 = 2. This creates a logical contradiction where V4 cannot simultaneously equal 16 and 2.</t>
  </si>
  <si>
    <t>Secondary KC alignment fails because the problem does not involve converting measurements from larger to smaller units - all values remain in litres. Synergy fails because the intended secondary knowledge component is not present in the problem, so the two knowledge components cannot work in tandem.</t>
  </si>
  <si>
    <t>Primary KC alignment: Problem requires 15 x 1.25 where 15 is a 2-digit number, but intended primary KC specifies multiplication by 1-digit whole number only. Grade alignment: Same issue - exceeds intended grade level by requiring 2-digit x decimal multiplication.</t>
  </si>
  <si>
    <t>secondary_kc_alignment: The problem requires converting an improper fraction to a mixed number (7/4 * 5 = 35/4 = 8 3/4), but does not require expressing a fraction in its simplest form as the fraction 35/4 is already in simplest form since gcd(35,4) = 1. synergy: Since the secondary knowledge component of simplifying fractions is not actually needed to solve this problem, the primary and secondary knowledge components do not work in tandem as required.</t>
  </si>
  <si>
    <t>Grade Alignment: Adding fractions 3/4 + 1/6 requires finding LCD of 12 and converting to 9/12 + 2/12 = 11/12, then subtracting 11/12 from 1 to get 1/12. This level of fraction operations with different denominators is typically taught in Primary 4-5, not Primary 3.</t>
  </si>
  <si>
    <t>Grade Alignment: This problem involves ratios with fractions (3/4 : 5/6) which requires finding LCM of denominators (4 and 6 = 12), multiplying fractions by appropriate values (3/4 * 12 = 9, 5/6 * 12 = 10), and simplifying ratios. These concepts are typically covered at Primary 6 level in Singapore math syllabus, not Secondary O-level 1. The problem is too elementary for the intended grade level.</t>
  </si>
  <si>
    <t>Grade alignment: This problem is too basic for Secondary O-level 1 students. Working with simple decimal ratios like 3.5:5.6 and converting to whole numbers (7:11) requires only elementary arithmetic skills that would be mastered in primary school, not secondary level mathematics. Conciseness and relevance: Chloe's paint usage data (2.1 litres blue, 3.5 litres red) is provided but never used in either part (a) or part (b) of the problem, making this information irrelevant and the problem less concise.</t>
  </si>
  <si>
    <t>The exercise times are unrealistic: 260-400 minutes per day equals 4.3-6.7 hours of daily exercise, which is not plausible for typical students.</t>
  </si>
  <si>
    <t>Secondary KC alignment: Part (a) requires adding fractions (2/5 + 1/4), not subtracting fractions as specified. Synergy: Part (b) does not use the result from part (a) - the questions are independent rather than connected as required.</t>
  </si>
  <si>
    <t>Real-world feasibility: The scoring formula S = 3^a × 3^(-b) is unrealistic for swimming tournaments. Real swimming competitions use time-based scoring or point systems based on placement, not exponential mathematical formulas with negative exponents for penalties.</t>
  </si>
  <si>
    <t>Grade Alignment: This problem is too simple for Secondary O-level 1 students. The equation x/2 + 3 = 11 involves only basic algebraic manipulation that would typically be mastered in primary or early secondary grades. O-level 1 students would expect more complex fractional equations or multi-step problems that challenge their level of mathematical maturity.</t>
  </si>
  <si>
    <t>Grade alignment: The problem difficulty (15/20 * 100% = 75%, then 75% = 0.75) is too basic for Secondary O-level 1 students. This level of percentage calculation and decimal conversion is typically taught at Primary 5-6 level in Singapore math curriculum.</t>
  </si>
  <si>
    <t>Grade alignment: The problem involves basic probability concepts like addition of probabilities and complementary events which are typically covered in Primary 5-6 or Secondary 1-2 levels. For Secondary O-level 3/4 students, this problem would be too elementary as they should be working with more advanced probability concepts like conditional probability, permutations, combinations, or probability distributions.</t>
  </si>
  <si>
    <t>The problem contains conflicting information. The introduction states Sarah practiced for 4 days in a week, but part (b) mentions both Monday to Thursday (4 days) and Saturday, implying 5 days of practice total. This creates logical inconsistency about her practice schedule.</t>
  </si>
  <si>
    <t>The primary and secondary knowledge components are not used in tandem. Part (a) converts metres to kilometres but this result is not needed for part (b). The payment calculation uses the original 1,250 metres measurement directly, making the two parts independent rather than connected.</t>
  </si>
  <si>
    <t>synergy: The two questions (a) and (b) are independent of each other. Question (a) asks for ratio of boys to girls using 48:72, while question (b) asks for participants per group using (48+72)/6. The result from question (a) is not needed to solve question (b), so the primary and secondary knowledge components are not used in tandem as required.</t>
  </si>
  <si>
    <t>Grade Alignment: This problem is too elementary for Secondary O-level 2 students. The ratio calculation (5:3 ratio with 48 volleyball participants gives 80 basketball participants) and division (48 ÷ 6 = 8 teams) involve only basic arithmetic operations that are typically mastered in primary grades. Secondary O-level 2 students would expect more complex mathematical concepts and multi-step problem solving.</t>
  </si>
  <si>
    <t>The two questions are independent - the ratio answer 2:3:5 from question 1 is not used in question 2. Question 2 uses the original number 24 directly for multiplication 24 * 2 = 48, not requiring the ratio result.</t>
  </si>
  <si>
    <t>Grade Alignment: The problem involves matrix multiplication concepts that are typically covered at A-level or higher mathematics, not O-level 3/4. O-level students typically learn basic arithmetic, algebra, geometry, and statistics but not advanced matrix operations. Real-World Feasibility: The scoring system described is unrealistic - coaches do not typically award points by multiplying match wins with diagonal matrices. In real sports, points are usually awarded per match or tournament, not through mathematical matrix operations.</t>
  </si>
  <si>
    <t>Synergy: Part (b) does not use the result from part (a). Both questions independently use the original 1500m value, so the Primary and Secondary Knowledge Components are not used in tandem as required.</t>
  </si>
  <si>
    <t>Answerability: The phrase 'students participated only in both' is contradictory and creates logical confusion. Additionally, 56-38=18 not 20, creating conflicting information. Clarity: The phrase 'only in both' is ambiguous and confusing. Secondary_kc_alignment: The problem does not meaningfully require subtraction of whole numbers to solve - ratio can be found directly as 38:56. Synergy: Primary and secondary knowledge components are not used in tandem - subtraction is not needed for the solution. Language_quality: The phrase 'participated only in both' is grammatically problematic and mathematically nonsensical.</t>
  </si>
  <si>
    <t>Answerability: The problem contains conflicting information. It states Alvin divides time equally among songs, but then spends 2/3 of practice time on first song only, which contradicts equal division. Synergy: Part (a) uses division (3/4 ÷ 1/8 = 6 songs) but part (b) uses multiplication (3/4 × 2/3 = 1/2 hour) independently. The answer from part (a) is not needed for part (b), so questions are not connected. Real-world feasibility: It is unrealistic to spend 2/3 of total practice time on just one song when planning to practice 6 different songs equally. Clarity: The problem setup is ambiguous - unclear whether equal division applies before or after the 2/3 allocation to first song.</t>
  </si>
  <si>
    <t>Primary KC alignment fails because the multiplications required (135 x 7 and 248 x 6) are only 3-digit by 1-digit, which does not fully utilize the intended primary knowledge component that specifies up to 4 digits by 1 digit OR up to 3 digits by 2 digits.</t>
  </si>
  <si>
    <t>The primary and secondary knowledge components operate independently on the same dataset rather than being used in tandem. The median calculation in part (a) does not inform or connect to the percentile calculations in part (b), lacking the required synergy where results from earlier questions should be used as known information for later questions.</t>
  </si>
  <si>
    <t>Grade Alignment: The problem involves matrix operations which are typically taught at upper secondary or pre-university level, not at Primary level. The Singapore Primary syllabus (Grades 1-6) does not include matrices as a topic. This problem would be more suitable for Secondary 3-4 or Junior College level students.</t>
  </si>
  <si>
    <t>Secondary KC alignment: The problem does not require multiplying whole numbers as a separate mathematical concept - the solution uses division (70/250) and percentage conversion, not whole number multiplication. Synergy: Since the secondary KC is not present, there is no synergy between primary and secondary knowledge components.</t>
  </si>
  <si>
    <t>Primary KC alignment: The problem requires 3.275 * 20, but the intended primary KC is specifically about multiplying decimals by 10, 100, 1000 and their multiples. While 20 is technically a multiple of 10, this multiplication does not demonstrate the key concept of decimal place movement that characterizes multiplying by powers of 10 and their multiples.</t>
  </si>
  <si>
    <t>Part (a) asks how many more km Jayden had left than Sarah, but Sarah actually had more remaining distance (1 1/6 km vs 1 1/3 km). This creates ambiguity about whether the answer should be negative or if the question intends the absolute difference.</t>
  </si>
  <si>
    <t>Secondary KC alignment: Part (b) requires fraction multiplication (2/5 * 12) rather than fraction subtraction as intended. Synergy: The secondary KC (fraction subtraction) is not actually needed to solve the problem since part (b) uses multiplication and whole number subtraction instead. Topic alignment: Making bookmarks does not belong to recreation activities like sports, games, exercises, music, movies, dancing, painting, fishing - it is more of a craft/hobby activity. Real-world feasibility: Giving away 2/5 of 12 bookmarks results in 4.8 bookmarks, meaning giving away a fractional bookmark which is unrealistic.</t>
  </si>
  <si>
    <t>Grade Alignment: This problem is too basic for Secondary O-level 1 students. Finding 25% of 80 (which equals 20) and multiplying 20 x 15 (which equals 300) are concepts typically mastered in primary grades 4-6. Secondary O-level 1 students would be expected to handle more complex percentage problems involving compound percentages, percentage profit/loss, or multi-step percentage calculations.</t>
  </si>
  <si>
    <t>Synergy: The two parts of the problem use different knowledge components but do not build upon each other. Part (b) does not use the result from part (a) as input, so they work independently rather than in tandem.</t>
  </si>
  <si>
    <t>Synergy: Primary and secondary knowledge components are used separately in different parts rather than in tandem. Real-world feasibility: Each badminton game lasting 7/3 hours (about 2.33 hours) is unrealistic as typical badminton games last 30-60 minutes.</t>
  </si>
  <si>
    <t>The two knowledge components work independently rather than in tandem. Part (a) uses addition while part (b) uses comparison, but the total from part (a) is not needed to solve part (b). The questions are not connected such that earlier results inform later questions.</t>
  </si>
  <si>
    <t>ANSWERABILITY: The problem contains conflicting information. It states Elaine spent 5/6 + 1/4 = 13/12 = 1 1/12 hours total, but also claims she spent exactly 1 hour total. These contradict each other (13/12 ≠ 12/12). CLARITY: The contradiction between calculated total time (13/12 hours) and stated total time (1 hour) creates ambiguity about which information is correct. CONCISENESS AND RELEVANCE: The statement about spending a total of 1 hour is irrelevant and contradictory information that confuses rather than helps solve the problem.</t>
  </si>
  <si>
    <t>Synergy: The division (246/3=82) and subtraction (246-18=228) operations work independently rather than in tandem. The result of division is not used in the subtraction step. Grade Alignment: 3-digit by 1-digit division (246/3) is typically taught in Primary 4, not Primary 3. Primary 3 students usually work with simpler division problems.</t>
  </si>
  <si>
    <t>Secondary KC alignment fails because while basic multiplication occurs in the solution (72/6=12, 72/8=9), the problem does not prominently feature multiplying whole numbers as a significant knowledge component that adds complexity to the problem solving process.</t>
  </si>
  <si>
    <t>Answerability: The given conditions are contradictory. From ratio 2.5:1.5 with total 2 hours, free throws = 1.25 hours and dribbling = 0.75 hours, giving difference of 0.5 hours, but problem states difference is 0.8 hours. Synergy: Due to conflicting information, the primary and secondary knowledge components cannot work together to solve the problem properly.</t>
  </si>
  <si>
    <t>Grade Alignment: This problem involves matrices operations (scalar multiplication and matrix addition) which are typically taught at Secondary 4/5 or Junior College level in Singapore, not at Primary level. The intended grade appears to be Primary 3/4 based on the format, but matrices are far beyond Primary school mathematics curriculum.</t>
  </si>
  <si>
    <t>Topic alignment: The problem mentions basketball points but then Siti buys a movie ticket with points, which is inconsistent - points are typically not currency for purchasing movie tickets. Real-world feasibility: Basketball game points cannot be used as currency to buy movie tickets in reality. Points are scoring units in games, not monetary units. Clarity: The problem is ambiguous about whether points can be used as money, creating confusion about the nature of these points.</t>
  </si>
  <si>
    <t>Primary KC alignment: The problem requires multiplying 0.125 x 100, which is multiplication of a decimal by 100, but this is basic decimal multiplication, not specifically targeting multiplication by multiples of 10/100/1000 as the intended primary KC focuses on. The calculation 0.125 x 100 = 12.5 does not demonstrate the pattern-based learning of multiplying by 10, 100, 1000 and their multiples.</t>
  </si>
  <si>
    <t>Real-world feasibility: The scenario results in Jia Wei spending 3/5 + 2/5 = 5/5 = 100% of his weekend on sports activities, leaving no time for sleeping, eating, or other essential activities, which is unrealistic.</t>
  </si>
  <si>
    <t>Synergy: The two questions (a) and (b) are independent of each other. Question (a) asks for percentage increase from 40 to 56 students, while question (b) asks for division of 56 students into 7 groups. The result from question (a) is not needed to solve question (b), so the primary and secondary knowledge components are not used in tandem as required.</t>
  </si>
  <si>
    <t>Answerability: Missing number of friends, conflicting information between realistic scenario and arbitrary formula 2^n, illogical relationship between playlist context and exponential formula. Synergy: Parts do not build meaningfully - part a is basic calculation 2^3=8, part b is separate index manipulation 3*2^n without connection. Grade_alignment: Too advanced for O-level 3/4, requires sophisticated exponential modeling beyond typical curriculum. Real_world_feasibility: Unrealistic that song plays follow exact exponential pattern 2^n independent of actual listening behavior. Clarity: Confusing relationship between realistic scenario and mathematical formula creates ambiguity. Conciseness_and_relevance: Playlist setup with friends/rounds/days is irrelevant decoration not used in actual problem solving.</t>
  </si>
  <si>
    <t>Answerability: Mathematical contradiction exists - 8.75 + 9.60 = 18.35 but problem states total is 17.00. Secondary KC Alignment: Decimal addition not required since total 17.00 is given directly. Synergy: Primary and secondary KCs not used together due to given total eliminating need for addition. Conciseness: Information 8.75 and 9.60 not necessary since total 17.00 is provided, creating redundancy and contradiction.</t>
  </si>
  <si>
    <t>Synergy: The ratio can be solved using only the difference information (18), making subtraction verification rather than integral to solution. The knowledge components do not work in tandem. Conciseness: Problem provides both difference (18) and total (72), but only one is needed to solve, creating redundant information.</t>
  </si>
  <si>
    <t>Primary KC Alignment: The problem requires multiplication of fractions (7/12 * 1/4) before subtraction, but multiplication of fractions is not typically taught until Primary 4-5, making it harder than the intended subtraction component. Grade Alignment: This problem requires multiplication of fractions and finding common denominators for fractions like 7/12 and 7/48, which are concepts beyond Primary 3 level where students typically work with simpler fractions and basic operations.</t>
  </si>
  <si>
    <t>Grade Alignment: The problem involves basic 25% calculation (40 * 1.25 = 50) and simple division (50 / 5 = 10) which are too elementary for Secondary O-level 1 students. This level of mathematics is typically mastered in Primary 5-6, making it inappropriate for the intended grade level.</t>
  </si>
  <si>
    <t>Answerability: Part (b) cannot be answered as it asks for total fraction of combined recreation time spent dancing, but we only know individual fractions of each person's time, not their actual time amounts or ratio of their total recreation times. Secondary_kc_alignment: Part (b) appears to require adding fractions but is unanswerable as stated - no legitimate fraction addition is needed since we cannot determine a meaningful sum without knowing relative amounts of total recreation time. Synergy: The two parts are not properly connected - part (a) finds ratio k but this result is not used in part (b), and part (b) cannot be solved with given information. Grade_alignment: This problem involves ratios with fractions and complex multi-step reasoning more suitable for higher secondary levels, not O-level 1 students who are just beginning secondary mathematics.</t>
  </si>
  <si>
    <t>The two parts of the problem work independently - part (a) uses decimal multiplication and part (b) uses decimal ordering, but the result from part (a) is not needed to solve part (b). The primary and secondary knowledge components are not used in tandem.</t>
  </si>
  <si>
    <t>Answerability: Problem contains conflicting information - V4 cannot equal both 2^4=16 (from given rule) and V2/2=2 (from instructor requirement) simultaneously. Real-world feasibility: Exponential volume growth V=2^n is unrealistic - audio equipment does not typically increase volume exponentially by song number, and such rapid increases would be impractical in fitness classes.</t>
  </si>
  <si>
    <t>Secondary KC alignment: The problem does not require converting measurements from larger to smaller units - both 0.75 litres and 4.5 litres are already in the same unit (litres). No unit conversion is needed. Synergy: Since the Secondary Knowledge Component is not needed for solving this problem, there is no synergy between Primary and Secondary Knowledge Components.</t>
  </si>
  <si>
    <t>secondary_kc_alignment: The problem requires multiplying 7/4 × 5 = 35/4, which when converted to mixed number form gives 8 3/4. Since 35/4 is already in simplest form (gcd of 35 and 4 is 1), no actual simplification is needed. The secondary knowledge component of expressing a fraction in its simplest form is not required for solving this problem. synergy: Since the secondary knowledge component is not actually needed, the primary and secondary components do not work in tandem to solve the problem.</t>
  </si>
  <si>
    <t>Grade Alignment: The problem requires addition and subtraction of fractions with different denominators (3/4 + 1/6 and finding common denominators), which is typically taught in Primary 4-5, not Primary 3. Primary 3 students typically work with simpler fractions with same denominators or basic unit fractions.</t>
  </si>
  <si>
    <t>Grade Alignment: This problem involves ratios with fractions (3/4 : 5/6) which requires finding LCM of denominators (4 and 6 = 12), converting to equivalent fractions (9/12 : 10/12), then simplifying to whole numbers (9:10). This level of fraction manipulation and ratio simplification is typically taught at Primary 6 level in Singapore math curriculum, not Secondary O-level 1 which covers more advanced topics like algebraic ratios and complex proportional reasoning.</t>
  </si>
  <si>
    <t>Grade Alignment: The problem is too simple for Secondary O-level 1 students. Basic decimal ratios and simplification are Primary 5-6 level topics. O-level students should handle more complex ratio applications. Conciseness and Relevance: Chloe's paint amounts (2.1L blue, 3.5L red) are provided but not used in any questions, making this information irrelevant.</t>
  </si>
  <si>
    <t>Real-world feasibility: The exercise times are unrealistic. 3.2 x 10^2 = 320 minutes = 5.3 hours, 2.7 x 10^2 = 270 minutes = 4.5 hours, 4.0 x 10^2 = 400 minutes = 6.7 hours, 3.5 x 10^2 = 350 minutes = 5.8 hours, 2.6 x 10^2 = 260 minutes = 4.3 hours. Students exercising 4-7 hours per day is not realistic for typical daily exercise routines.</t>
  </si>
  <si>
    <t>Secondary KC alignment: Problem requires adding fractions (2/5 + 1/4) not subtracting fractions. Synergy: Part (b) can be solved independently without using result from part (a) - questions are not connected.</t>
  </si>
  <si>
    <t>Real-world feasibility: The scoring formula S = 3^a × 3^(-b) is unrealistic for swimming tournaments. Real swimming competitions typically use time-based scoring (fastest time wins) or point systems with linear deductions for penalties, not exponential mathematical formulas involving powers of 3. This scoring system does not mirror how swimming tournaments actually operate in reality.</t>
  </si>
  <si>
    <t>Grade alignment: This problem is too simple for Secondary O-level 1 students. The equation x/2 + 3 = 11 is a basic linear equation that would typically be taught in Primary 6 or Secondary 1 foundation level, not O-level 1 which expects more complex algebraic manipulation and multi-step problem solving.</t>
  </si>
  <si>
    <t>Grade alignment fails - basic percentage calculation 15/20 and simple percentage to decimal conversion are Primary 5-6 level concepts, too elementary for Secondary O-level 1 students who should handle complex percentage applications</t>
  </si>
  <si>
    <t>Grade alignment issue: This problem involves basic probability concepts including addition of probabilities and complement of events, which are typically taught at lower secondary levels (Secondary 1-2) rather than O-level 3/4. For O-level 3/4 students, probability problems would typically involve more advanced concepts like conditional probability, permutations/combinations, or probability distributions. The mathematical sophistication required here is below the expected level for Secondary O-level 3/4 students.</t>
  </si>
  <si>
    <t>Clarity: Part (b) contains ambiguous wording. The phrase 'How many more hours did she practise in total from Monday to Thursday than on Saturday' is confusing because it mentions Monday to Thursday (4 days) but the problem setup only establishes that she practised for 4 days in a week without specifying which days. The question should clearly ask for the difference between her total practice time over the 4 days versus Saturday's practice time.</t>
  </si>
  <si>
    <t>Synergy: The two parts (a) and (b) operate independently. Part (a) converts 1250m to 1.25km, part (b) calculates cost as 1250/100 * 1.20 = 15 dollars. The result from part (a) is not used in part (b), so the knowledge components do not work in tandem as required.</t>
  </si>
  <si>
    <t>Grade Alignment: The problem involves basic ratio (5:3) and simple division (48/6) concepts typically taught in Primary 5-6. For Secondary O-level 2 students, this mathematical content is too elementary and below the expected difficulty level.</t>
  </si>
  <si>
    <t>Synergy: The two questions are independent - the ratio calculation (24:36:60 = 2:3:5) does not connect to the multiplication question (24 * 2 = 48). The second question uses the original number 24, not the ratio result. Real-world feasibility: The scenario where each sticker is given to 2 people simultaneously is unrealistic and confusing - typically one sticker goes to one person. Clarity: The phrase 'each sticker is given to 2 people' creates ambiguity about how physical stickers can be shared between multiple recipients.</t>
  </si>
  <si>
    <t>Grade Alignment: The problem involves matrix multiplication concepts that are typically introduced at A-level or higher secondary mathematics, not O-level 3/4. Matrix operations are generally beyond the scope of O-level curriculum. Real-World Feasibility: The scoring system described is unrealistic - multiplying wins by different factors for different tournaments and then applying scalar multiplication does not reflect how sports scoring typically works in reality. Real sports academies would award points per match or have fixed point systems, not multiply wins by arbitrary factors.</t>
  </si>
  <si>
    <t>Answerability: The problem contains conflicting information. It states 56 students sang and 38 students danced, but then says there are 20 more students who sang than danced. However, 56 - 38 = 18, not 20. The phrase 'participated only in both' is also contradictory since one cannot participate 'only' in 'both' activities. Real-world feasibility: The scenario is unrealistic because students cannot participate 'only in both' activities - this is logically impossible. Clarity: The phrase 'participated only in both' creates ambiguity and confusion about what is being asked.</t>
  </si>
  <si>
    <t>Answerability: The problem contains conflicting information - part (a) states time is divided equally among songs, but part (b) has 2/3 of total time spent on first song only, which contradicts equal division. Synergy: The two parts contradict each other logically, preventing proper connection between questions. Real-world feasibility: The contradiction makes the scenario unrealistic - cannot both divide time equally and spend 2/3 on one song.</t>
  </si>
  <si>
    <t>Synergy: The two parts (a) and (b) are independent questions that do not require using results from part (a) to solve part (b). There is no connection between finding the median and finding quartiles in this problem structure. Grade_alignment: Finding percentiles and quartiles is typically introduced at Primary 6 level in Singapore math syllabus, making this problem too elementary for Secondary O-level 2 students who should be working with more advanced statistical concepts like standard deviation, probability distributions, or hypothesis testing.</t>
  </si>
  <si>
    <t>Primary KC alignment fails because part (a) only requires addition of mixed numbers, not subtraction which is the intended primary KC. Synergy fails because the primary KC (subtraction) and secondary KC (addition) are not used in tandem - part (a) uses only addition, part (b) uses only subtraction, with no meaningful connection requiring both operations together to solve either question.</t>
  </si>
  <si>
    <t>Grade Alignment: The problem involves matrix operations which are typically taught at A-level or higher secondary mathematics, not at O-level 3/4. Matrix addition and subtraction are advanced topics that exceed the typical O-level mathematics curriculum which focuses more on basic algebra, geometry, and elementary functions.</t>
  </si>
  <si>
    <t>Secondary KC alignment: Problem requires 70/250*100 = 28%, involving division and multiplication by 100 for percentage conversion, not multiplication of whole numbers as intended secondary KC. Synergy: Without proper secondary KC integration, no meaningful synergy between intended knowledge components exists.</t>
  </si>
  <si>
    <t>Primary KC alignment fails because the problem requires calculating 3.275 * 20 = 65.5, which is standard decimal multiplication, not multiplication by 10, 100, 1000 or their multiples as specified in the intended Primary Knowledge Component.</t>
  </si>
  <si>
    <t>Secondary KC alignment: Part b requires 2/5 * 12 = 4.8 then 12 - 4.8 = 7.2, which involves subtracting decimals or whole numbers, not subtracting fractions as intended. Topic alignment: Making bookmarks is crafting/hobby activity, not recreation like sports, games, exercises, music, movies, dancing, painting, fishing.</t>
  </si>
  <si>
    <t>Grade Alignment: The problem involves basic 25% calculation and simple multiplication (20 * 15), which are Primary 5-6 level concepts, too elementary for Secondary O-level 1 students who should handle more complex percentage problems and multi-step calculations.</t>
  </si>
  <si>
    <t>synergy: The two parts (a) and (b) are independent questions that do not require using the result from part (a) to solve part (b). Part (a) involves decimal subtraction (7.85 - 6.43) while part (b) involves ordering all three given scores. The questions can be solved separately without connection, failing to demonstrate synergy between the primary and secondary knowledge components.</t>
  </si>
  <si>
    <t>The scenario of playing 5/2 games (2.5 games) is unrealistic - it is unclear how one plays half a badminton game in practice, making the scenario implausible for real-world situations.</t>
  </si>
  <si>
    <t>Grade alignment issue: The problem uses 4-digit numbers (1234, 956, 1087) which are typically introduced in Primary 4, not Primary 3. Primary 3 students in Singapore math curriculum typically work with whole numbers up to 1000.</t>
  </si>
  <si>
    <t>Answerability: The problem contains conflicting information. It states Elaine spent 5/6 + 1/4 = 13/12 = 1 1/12 hours total, but also claims she spent exactly 1 hour total. This mathematical contradiction makes the problem logically inconsistent. Real-world feasibility: The contradictory time information makes this scenario implausible as actual times cannot simultaneously equal 1 1/12 hours and 1 hour. Clarity: The conflicting statements about total time create ambiguity about which information students should use. Conciseness and relevance: The statement about spending a total of 1 hour is unnecessary and contradictory information that confuses rather than helps solve the problem.</t>
  </si>
  <si>
    <t>Secondary KC: Problem does not meaningfully target multiplication of whole numbers - only basic arithmetic like 4*18. Synergy: Parts (a) and (b) are independent - part (b) can be solved directly without using result from part (a). Grade alignment: Inverse proportion is too advanced for Secondary O-level 2. Real-world feasibility: More dancers typically increase rather than decrease total practice time due to coordination complexity.</t>
  </si>
  <si>
    <t>Grade Alignment: The problem requires knowledge of arithmetic sequences and algebraic expression formulation that is typically taught in Secondary 2-3, not Secondary O-level 1. Secondary 1 students have not typically learned to derive nth term expressions for sequences.</t>
  </si>
  <si>
    <t>The problem contains conflicting mathematical information. Using the ratio 2.5:1.5 with total time 2 hours gives free throw time = 1.25 hours and dribbling time = 0.75 hours. However, the difference is 1.25 - 0.75 = 0.5 hours, not 0.8 hours as stated in the problem. This mathematical inconsistency makes the problem unsolvable as written.</t>
  </si>
  <si>
    <t>The primary and secondary knowledge components are used in separate independent questions rather than in tandem. Part a uses only mixed number multiplication while part b uses only fraction addition, without the result from part a being needed for part b.</t>
  </si>
  <si>
    <t>Grade alignment: This problem involves matrices operations including scalar multiplication and matrix addition, which are typically covered in Secondary O-level mathematics or higher. However, the specified grade is Secondary O-level 3/4, and matrix operations are generally introduced earlier in the O-level curriculum (around Secondary 1-2 level). The problem may be too advanced for the early secondary levels if matrices have not been introduced yet in the Singapore curriculum at that specific grade level.</t>
  </si>
  <si>
    <t>Answerability: The problem contains conflicting information - points are earned in basketball but spent like money with dollar sign for movie ticket. Points and dollars are different units that cannot be directly subtracted. Real-world feasibility: Basketball points cannot be used as currency to purchase movie tickets in reality. Points are game scores while movie tickets require actual money. Clarity: The problem is ambiguous about whether points or dollars are being used, creating confusion about the nature of what is being divided and spent.</t>
  </si>
  <si>
    <t>Real-world feasibility: The problem results in Jia Wei spending his entire weekend (3/5 + 2/5 = 5/5 = 100%) only on sports, leaving no time for sleep, meals, or other necessary activities, which is unrealistic.</t>
  </si>
  <si>
    <t>Synergy: The two parts (a) and (b) can be solved independently without using results from one part to solve the other. Part (a) uses percentage increase calculation (40 to 56 students) while part (b) uses division (56 students divided by 7 groups). The questions are not connected as required for synergy between primary and secondary knowledge components.</t>
  </si>
  <si>
    <t>Real-world feasibility: The scenario describes friends listening to 2 full rounds each day but then states each song is played 2^n times per week, creating an illogical disconnect between the setup and mathematical constraint. Clarity: The problem setup is confusing because it establishes a listening scenario but then ignores this context for an arbitrary mathematical rule. Conciseness and relevance: The information about friends listening to 2 rounds per day is irrelevant since this detail is not used in solving the problem.</t>
  </si>
  <si>
    <t>The problem contains conflicting mathematical information: 8.75 + 9.60 = 18.35 points, but the problem states Sarah had 17.00 points total after both games. This mathematical contradiction makes the problem unanswerable as stated.</t>
  </si>
  <si>
    <t>Answerability: The problem contains conflicting information. Given ratio 5:3 and difference of 18 matches, Matthew should win 45 matches and Tom 27 matches, totaling 72. However, the problem states total is 72 but also asks for Matthew's wins when this can be calculated as 45 from the given ratio and difference. The total of 72 is redundant information that creates confusion. Conciseness and Relevance: The total number 72 is unnecessary information since the answer can be found using only the ratio 5:3 and difference of 18 matches. This extra information violates the principle that all given numbers must be necessary for solving.</t>
  </si>
  <si>
    <t>Primary KC alignment: The problem requires multiplication of fractions (7/12 * 1/4) before subtraction, but multiplication of fractions is not part of the intended primary KC which only covers subtraction of two related fractions. Grade alignment: Primary 3 students typically learn basic fraction concepts like halves, quarters, and simple addition/subtraction, but this problem involves complex operations with denominators up to 12, multiplication of fractions, and finding common denominators (LCM of 12 and 48), which are typically taught in Primary 4-5.</t>
  </si>
  <si>
    <t>Grade Alignment: This problem is too simple for Secondary O-level 1 students. Finding 25% increase (40 + 40 * 0.25 = 50) and dividing by 5 (50 / 5 = 10) involves only basic arithmetic operations that are typically mastered in primary grades. Secondary O-level 1 students would be expected to handle more complex percentage problems involving compound calculations, algebraic manipulation, or multi-step reasoning.</t>
  </si>
  <si>
    <t>Answerability: Part (b) asks for total fraction of combined recreation time spent dancing, but we only know individual fractions of each person's time, not their actual time amounts or ratio of their recreation times. Secondary KC Alignment: Part (b) requires adding fractions but this is not properly integrated - we cannot actually add 3/5 + 2/3 meaningfully without knowing relative amounts of their recreation time. Synergy: The two parts are not connected - part (a) result (k = 9/10) is not used in part (b), and the secondary KC (adding fractions) is not properly utilized with the primary KC. Grade Alignment: Secondary O-level 1 typically covers more advanced topics than basic fraction operations and simple ratios - this problem is more suitable for upper primary grades.</t>
  </si>
  <si>
    <t>Synergy criterion not met: Part (a) calculates allowed performance time limit (1.250 * 10 = 12.5 minutes) but part (b) orders actual performance times (12.5, 13.000, 12.750 minutes). The result from part (a) is not used as input for part (b), so the primary and secondary knowledge components are not used in tandem.</t>
  </si>
  <si>
    <t>Answerability: Problem contains conflicting information - V=2^n rule gives V_4=16 but requirement states V_4 should be half of V_2=2, creating unsolvable contradiction. Secondary KC Alignment: Fractional indices requirement appears forced rather than naturally emerging from problem structure. Synergy: Primary and secondary knowledge components do not work together naturally - fractional indices seems artificially imposed. Real-world Feasibility: Exponential volume increases (2, 4, 8, 16 decibels) unrealistic for actual dance class playlist management. Clarity: Mathematical contradiction between given rule and requirements makes problem confusing and unclear.</t>
  </si>
  <si>
    <t>Secondary KC alignment fails because the problem does not require converting measurements from larger to smaller units - both 0.75 L and 4.5 L are already in the same unit (litres). Synergy fails because the intended secondary knowledge component is not properly integrated into the problem.</t>
  </si>
  <si>
    <t>Secondary KC Alignment: The problem requires converting an improper fraction to mixed number form, not simplifying a fraction to its simplest form. 7/4 * 5 = 35/4, which converts to 8 3/4 without any simplification needed as the fraction is already in simplest form. Synergy: Since the secondary knowledge component is not properly aligned, there is no true synergy between primary and secondary components as intended.</t>
  </si>
  <si>
    <t>Grade alignment issue: Primary 3 students typically have not learned fraction operations with different denominators. Adding 3/4 + 1/6 requires finding common denominators which is usually taught in Primary 4-5, making this problem too advanced for Primary 3.</t>
  </si>
  <si>
    <t>Grade Alignment: This problem involves ratios with fractions 3/4 : 5/6 which requires finding LCM of denominators (4 and 6 = 12), converting to equivalent fractions (9/12 : 10/12), then simplifying to whole numbers (9:10). This level of fraction manipulation and ratio conversion is typically taught in Primary 6 or lower secondary, not at Secondary O-level 1 where students would be working with more advanced algebraic ratios and complex applications.</t>
  </si>
  <si>
    <t>Grade Alignment: The problem involves basic ratio concepts with decimals and simple fraction reduction (3.5:5.6 = 35:56 = 5:8), which is too elementary for Secondary O-level 1 students. This level of ratio work is typically covered in upper primary or lower secondary grades.</t>
  </si>
  <si>
    <t>Real-world feasibility: The exercise times are unrealistic. 3.2 x 10^2 = 320 minutes = 5.3 hours, 2.7 x 10^2 = 270 minutes = 4.5 hours, 4.0 x 10^2 = 400 minutes = 6.7 hours, 3.5 x 10^2 = 350 minutes = 5.8 hours, 2.6 x 10^2 = 260 minutes = 4.3 hours. Students exercising 4-7 hours per day is not realistic or healthy for typical students.</t>
  </si>
  <si>
    <t>The two parts of the problem work independently without connection. Part (a) uses division (2448 / 6 = 408) and part (b) uses subtraction (2448 - 253 = 2195), but the result from part (a) is not needed to solve part (b), failing to demonstrate synergy between the primary and secondary knowledge components.</t>
  </si>
  <si>
    <t>Secondary KC Alignment: Problem requires fraction addition (2/5 + 1/4) not subtraction as specified. Synergy: Parts (a) and (b) are independent - result from part (a) = 13/20 is not used in part (b) which calculates ratio 8/5 : 1. Grade Alignment: Basic fraction operations and simple ratios are too elementary for Secondary O-level 1 students who should handle more complex algebraic concepts.</t>
  </si>
  <si>
    <t>Real-world feasibility: The scoring system S = 3^a × 3^(-b) is unrealistic for swimming tournaments. Real swimming competitions typically use time-based scoring where faster times result in better scores, not exponential formulas with base 3. The scenario of calculating scores using laws of indices does not mirror how swimming competitions actually operate in reality.</t>
  </si>
  <si>
    <t>Grade Alignment: The problem is too simple for Secondary O-level 1 students. Simple fractional equations like x/2 + 3 = 11 are typically taught at Primary 6 or Secondary Foundation level. O-level 1 students should be working with more complex algebraic equations involving multiple steps, bracketed expressions, or more sophisticated fractional equations.</t>
  </si>
  <si>
    <t>Grade Alignment: This problem is too elementary for Secondary O-level 1 students. Converting basic percentages (15/20 = 75%) to decimals (0.75) involves fundamental arithmetic concepts typically mastered in primary grades 4-6. Secondary O-level 1 students require more complex percentage applications involving compound calculations, multi-step problems, or advanced mathematical reasoning beyond simple fraction-to-percentage-to-decimal conversions.</t>
  </si>
  <si>
    <t>Grade alignment issue: This problem is too elementary for Secondary O-level 3/4 students. Basic probability addition with simple decimal values like 0.3, 0.2, 0.4 and straightforward concepts like mutually exclusive events are typically covered in lower secondary grades (Secondary 1-2). O-level 3/4 students would be expected to handle more complex probability concepts involving conditional probability, combinations, permutations, or more sophisticated statistical analysis.</t>
  </si>
  <si>
    <t>Synergy: The two parts (a) and (b) are independent calculations. Part (a) converts 1250m to 1.25km, but this result is not used in part (b) which calculates cost using the original 1250m distance. The primary and secondary knowledge components are not used in tandem - they are applied separately to disconnected questions.</t>
  </si>
  <si>
    <t>Answerability: Part (b) cannot be solved because 9/24 cannot be converted to an equivalent fraction with denominator 8. When simplified, 9/24 = 3/8, but this means the fraction already has denominator 8, not that it can be converted from 9/24 to a different equivalent fraction with denominator 8. For 9/24 to equal x/8, we would need x = 9*8/24 = 3, giving us 3/8, but this requires simplifying the original fraction first, making the question mathematically problematic as stated.</t>
  </si>
  <si>
    <t>Synergy: Part (a) and part (b) are independent - part (b) uses 48/6=8 without needing the result from part (a) which is 48*5/3=80. Grade Alignment: The problem involves basic ratio calculations 5:3 and simple division 48/6=8 which are too elementary for Secondary O-level 2 students who should handle more complex mathematical concepts.</t>
  </si>
  <si>
    <t>The synergy between knowledge components is weak. While both questions use Amir's sticker count, the ratio result from question 1 is not used in question 2. The multiplication problem could have incorporated the simplified ratio (2:3:5) to create stronger synergy between the primary and secondary knowledge components.</t>
  </si>
  <si>
    <t>Grade Alignment: The problem involves matrix multiplication concepts that are typically covered at A-level or university level, not O-level 3/4. O-level students typically learn basic matrix operations but not advanced matrix multiplication. Real-World Feasibility: The scoring system described is unrealistic - coaches do not typically award points by multiplying match wins with diagonal matrices, and the mathematical representation does not reflect how sports scoring actually works in practice.</t>
  </si>
  <si>
    <t>Synergy: The two parts (a) and (b) are independent questions that can be solved separately without using the result from part (a) to solve part (b). Part (a) requires 1500 / 25 = 60 laps, while part (b) requires 1500 / 1000 = 1.5 km. The questions are not connected and do not require tandem use of both knowledge components.</t>
  </si>
  <si>
    <t>Answerability: The phrase 'participated only in both' is logically contradictory - cannot participate only in both activities. Also conflicting info: 56 singers vs 38 dancers gives 18 difference, but problem states 20 more singers. Secondary KC Alignment: Problem requires ratio calculation as primary skill, subtraction is minor/incidental, not meaningfully integrated. Synergy: Primary and secondary components not used in tandem - subtraction could be eliminated without changing core difficulty. Clarity: 'participated only in both' creates ambiguity about what is being asked. Conciseness: Contains conflicting numerical information (18 vs 20 difference). Language Quality: Grammatically incorrect phrase 'participated only in both' makes problem unclear.</t>
  </si>
  <si>
    <t>Synergy: The two parts can be solved independently. Part (a) uses 3/4 divided by 1/8, while part (b) uses 2/3 multiplied by 3/4. The result from part (a) is not needed for part (b). Real-world feasibility: The scenario is contradictory - Alvin cannot divide time equally among 6 songs and simultaneously spend 2/3 of total time on just the first song. This creates 6/6 + 2/3 = 1 + 2/3 = 5/3 of total time needed, which exceeds available time. Clarity: The problem setup is confusing as it describes two conflicting time allocation methods without clearly explaining the relationship between them.</t>
  </si>
  <si>
    <t>Grade alignment: 1356 divides exactly by 4 with remainder 0, making comparison in part b trivial and potentially confusing for Primary 4 students who expect meaningful remainders in division problems. Clarity: Part b asks to explain answer but provides no clear guidance on what type of explanation is expected, creating ambiguity for Primary 4 students.</t>
  </si>
  <si>
    <t>Synergy: The two parts (a) and (b) are independent questions that do not require using results from part (a) to solve part (b). They can be solved separately without connection. Grade Alignment: Finding percentiles/quartiles is typically introduced at Primary 6 level in Singapore math syllabus, making this problem too easy for Secondary O-level 2 students who should be working with more advanced statistical concepts like standard deviation, probability distributions, or hypothesis testing.</t>
  </si>
  <si>
    <t>Primary KC Alignment: The primary knowledge component is subtraction of mixed numbers, but part (a) only requires addition of mixed numbers (4 2/3 + 1 5/6). Part (b) requires subtraction (8 1/2 - sum from part a), but this makes addition the primary operation needed first. Synergy: The two knowledge components are not used in tandem. Part (a) uses only addition of fractions, while part (b) uses subtraction. They are sequential rather than synergistic - one could solve part (b) directly without doing part (a) by calculating 8 1/2 - 4 2/3 - 1 5/6.</t>
  </si>
  <si>
    <t>Grade Alignment: The problem involves matrix operations which are typically introduced at A-level mathematics or equivalent, not at O-level 3/4. O-level mathematics curriculum does not typically cover matrix addition and subtraction operations.</t>
  </si>
  <si>
    <t>Secondary_kc_alignment: The problem only requires division (70/250) and multiplication by 100 to convert to percentage. No whole number multiplication beyond the conversion step is needed to solve the core problem. Synergy: Since the secondary knowledge component of whole number multiplication is not meaningfully integrated into the problem solving process, the primary and secondary components do not work in tandem to solve the problem.</t>
  </si>
  <si>
    <t>Primary KC alignment fails because the problem requires multiplying 3.275 x 20, which is basic decimal multiplication, not specifically multiplying decimals by 10, 100, 1000 and their multiples as intended. The calculation 3.275 x 20 does not directly involve the intended primary knowledge component.</t>
  </si>
  <si>
    <t>Language Quality: The text contains LaTeX formatting errors where 'textdollar15' appears instead of '15' in two places, making the problem difficult to read properly.</t>
  </si>
  <si>
    <t>Secondary KC alignment: Part (b) requires multiplication of fractions (2/5 * 12) rather than subtraction of fractions. The calculation is 12 - (2/5 * 12) = 12 - 4.8 = 7.2, which involves fraction multiplication, not fraction subtraction. Synergy: Since part (b) does not use fraction subtraction as intended, the two knowledge components are not working in tandem as required. Topic alignment: Making bookmarks is a craft/art activity, not a recreation activity like sports, games, exercises, music, movies, dancing, painting, fishing. Real-world feasibility: The problem results in 7.2 bookmarks remaining, but you cannot have 0.2 of a bookmark in reality - bookmarks are discrete whole objects.</t>
  </si>
  <si>
    <t>Secondary Knowledge Component Alignment: The problem does not require expressing a fraction in its simplest form. The multiplication 2 1/2 × 6 = 15, which is a whole number, not a fraction that needs simplification. Synergy: Since the secondary knowledge component (simplifying fractions) is not actually needed to solve this problem, the primary and secondary knowledge components do not work in tandem as required.</t>
  </si>
  <si>
    <t>Grade Alignment: This problem is too simple for Secondary O-level 1 students. Finding 25% increase (80 * 1.25 = 100, so 20 new members) and multiplying 20 * 15 = 300 are basic calculations more suitable for primary levels. Secondary O-level 1 students typically handle more complex percentage problems involving compound changes, algebraic representations, or multi-step reasoning.</t>
  </si>
  <si>
    <t>Synergy: The two parts (a) and (b) are independent questions that do not require using the result from part (a) to solve part (b). Part (a) involves decimal subtraction (7.85 - 6.43) while part (b) involves ordering all three scores. The questions can be solved separately without connection between them.</t>
  </si>
  <si>
    <t>Grade Alignment: The numbers 3250 and 1875 are too large and complex for typical Primary 3 students. Primary 3 subtraction problems usually involve smaller numbers to build foundational skills before progressing to such large 4-digit calculations.</t>
  </si>
  <si>
    <t>Grade alignment: The problem involves 4-digit whole numbers (1234, 1087, 956) and their addition/comparison, which is typically beyond Primary 3 level. Primary 3 students usually work with numbers up to 1000 or smaller 3-digit numbers.</t>
  </si>
  <si>
    <t>Answerability: Conflicting information - 5/6 + 1/4 = 13/12 = 1 1/12 hours, not 1 hour as stated. Synergy: Questions are not connected - part b does not use the result from part a.</t>
  </si>
  <si>
    <t>Synergy criterion not met: The division and subtraction operations work independently rather than in tandem. The division result (82 boxes) is not used in the subtraction calculation (246 - 18 = 228). The problem can be solved by performing 246 - 18 directly without needing the division step, indicating the knowledge components are not interconnected as required.</t>
  </si>
  <si>
    <t>Grade Alignment: Inverse proportion is typically taught at Primary 6 level in Singapore curriculum, making this content too elementary for Secondary O-level 2 students. The problem requires knowledge components below the intended grade level.</t>
  </si>
  <si>
    <t>ANSWERABILITY: The problem provides redundant information that creates over-constraint. Given ratio 2.5:1.5 and total time 2 hours, free throw time = 2.5/(2.5+1.5) * 2 = 1.25 hours and dribbling time = 1.5/(2.5+1.5) * 2 = 0.75 hours. The difference is 1.25 - 0.75 = 0.5 hours, but the problem states 0.8 hours difference, creating conflicting information. CONCISENESS_AND_RELEVANCE: The 0.8 hours difference information is redundant since it can be calculated from the ratio and total time, and it creates inconsistency with the other given information.</t>
  </si>
  <si>
    <t>Part (b) does not use the result from part (a). The questions are not connected - part (b) independently adds 2 1/2 + 3/4 without needing the total hours from part (a).</t>
  </si>
  <si>
    <t>Grade Alignment: This problem requires knowledge of matrices, scalar multiplication, and matrix addition which are typically taught at higher secondary levels or pre-university mathematics, not at Primary levels. The Singapore primary math syllabus focuses on arithmetic, basic algebra, geometry, and statistics but does not include matrix operations.</t>
  </si>
  <si>
    <t>Real-world feasibility fails because basketball game points cannot be used as currency to purchase movie tickets. Points earned in basketball are scoring units, not money that can be spent at theaters.</t>
  </si>
  <si>
    <t>Real-world feasibility: Swimming 100 laps of 0.125 km each totals 12.5 km, which is unrealistic for a typical Saturday recreational swim session. This distance represents an extreme endurance challenge rather than normal swimming activity.</t>
  </si>
  <si>
    <t>Real-world feasibility: The problem results in Jia Wei spending 3/5 + 2/5 = 5/5 = 100% of his weekend on sports activities, leaving no time for sleeping, eating, or other basic necessities, which is unrealistic.</t>
  </si>
  <si>
    <t>synergy: The two parts (a) and (b) are independent questions that can be solved separately. Part (a) uses percentage calculation (40 to 56 students) while part (b) uses division (56 divided by 7). The result from part (a) is not needed to solve part (b), so the primary and secondary knowledge components are not used in tandem as required.</t>
  </si>
  <si>
    <t>Grade alignment: Matrix operations including matrix subtraction and multiplication are typically taught at A-level or university level, not at O-level 3/4 where students learn basic algebra, geometry and statistics.</t>
  </si>
  <si>
    <t>ANSWERABILITY: The problem states friends play playlist 2 full rounds each day but never specifies how many friends there are, making it impossible to calculate actual song plays. The connection between friends listening and the 2^n representation is unclear. SYNERGY: Part (a) only requires calculating 2^3=8, using positive indices but not laws of indices. Part (b) is solvable independently as 3*2^n without needing part (a) result. No meaningful connection between parts. REAL_WORLD_FEASIBILITY: The constraint that song plays must equal 2^n where n&gt;1 is artificial - why would friends coordinate listening to achieve exactly 8, 16, 32 etc plays per song? This mathematical constraint doesn't reflect realistic music listening behavior. CLARITY: The relationship between friends listening to playlists and the mathematical representation 2^n is never explained, creating confusion about how these connect. CONCISENESS_AND_RELEVANCE: Information about friends playing playlist 2 rounds each day is irrelevant since the number of song plays is predetermined by the mathematical constraint 2^n, making this context misleading rather than useful.</t>
  </si>
  <si>
    <t>Answerability: 8.75 + 9.60 = 18.35 but problem states total is 17.00 - conflicting information. Real-world feasibility: Bowling scores are typically whole numbers not decimals like 8.75. Clarity: Conflicting numbers create confusion about which total to use. Conciseness: The calculated total 18.35 is irrelevant since problem uses different total 17.00.</t>
  </si>
  <si>
    <t>Secondary KC alignment: The subtraction component (Matthew wins 18 more matches) is not needed for solving since the total 72 matches directly gives the solution through ratio alone. Synergy: Primary and secondary knowledge components are not used in tandem - only ratio is essential while subtraction information is redundant. Conciseness: The information about Matthew winning 18 more matches is unnecessary given that the total matches is provided, making this redundant information.</t>
  </si>
  <si>
    <t>Primary KC Alignment: The problem requires multiplication of fractions (7/12 * 1/4) to find the amount given away, which is more complex than simple subtraction of related fractions. The primary operation involves finding a fraction of a fraction, not direct subtraction. Grade Alignment: Primary 3 students typically work with simpler fractions and basic operations. This problem requires multiplication of fractions and finding common denominators for subtraction (7/12 - 7/48), which are concepts typically introduced in Primary 4 or 5.</t>
  </si>
  <si>
    <t>Grade Alignment: The problem involves basic 25% calculation (40 + 10 = 50) and simple division (50 / 5 = 10) which is too elementary for Secondary O-level 1 students. This grade level should involve more complex percentage applications and multi-step problems.</t>
  </si>
  <si>
    <t>Answerability: Part (b) asks for total fraction of combined recreation time spent dancing, but we only know individual fractions (3/5 and 2/3) without knowing the actual amount of recreation time each person has. Cannot determine combined fraction without knowing relative amounts of their total recreation times. Secondary KC Alignment: Part (b) appears to require adding fractions, but the problem is not clearly solvable as stated - we cannot simply add 3/5 + 2/3 as this would assume equal recreation times. The secondary KC of adding fractions is not properly integrated. Synergy: The two parts are not well connected - part (a) finds ratio k = 9/10, but this result is not needed for part (b). The knowledge components do not work in tandem effectively. Grade Alignment: Problem involves complex fraction operations and ratio concepts that may be too advanced for Secondary O-level 1 students, particularly the ambiguous nature of combining fractions from different individuals.</t>
  </si>
  <si>
    <t>Synergy criterion not met: The two parts (a) and (b) are independent questions that do not require using the result from part (a) to solve part (b). Part (a) involves multiplying 1.250 by 10, while part (b) involves ordering given decimal numbers 12.5, 13.000, and 12.750. These can be solved separately without connecting the knowledge components in tandem.</t>
  </si>
  <si>
    <t>ANSWERABILITY: The problem contains conflicting information - it states V = 2^n where n is the nth song, but then asks for V4 to be half of V2 using the same rule, which creates inconsistency since 2^4 cannot equal (1/2) * 2^2 = 2. REAL_WORLD_FEASIBILITY: The volume rule V = 2^n creates unrealistic exponential growth - by song 10, volume would be 1024 decibels, far exceeding safe hearing levels and realistic audio equipment capabilities. CLARITY: The problem is ambiguous about whether to find the actual required volume using fractional indices or to express 2^4 using fractional indices despite the contradiction. CONCISENESS_AND_RELEVANCE: The phrase 'After 3 energetic songs' is irrelevant information that does not contribute to solving the mathematical problem.</t>
  </si>
  <si>
    <t>Secondary KC alignment fails because the problem does not require converting between different measurement units - both 0.75 L and 4.5 L are already in the same unit (liters). The intended secondary KC requires converting from larger to smaller units. Synergy fails because the secondary KC is not properly integrated into the problem.</t>
  </si>
  <si>
    <t>Secondary KC Alignment: The problem requires converting improper fraction to mixed number, not simplifying a fraction to its simplest form. 7/4 * 5 = 35/4 is already in simplest form as gcd(35,4) = 1. Synergy: Since secondary KC is not properly addressed, primary and secondary KCs are not used in tandem to solve the problem.</t>
  </si>
  <si>
    <t>Grade alignment: Adding fractions with different denominators (3/4 + 1/6) and multi-step fraction operations are typically introduced in Primary 4-5, making this problem too advanced for Primary 3 students in Singapore math curriculum.</t>
  </si>
  <si>
    <t>Grade Alignment: This problem involves ratios with fractions 3/4 : 5/6 which requires finding LCM of denominators (4 and 6 = 12), converting to equivalent fractions (9/12 : 10/12), then simplifying to whole numbers (9:10). This level of fraction manipulation and ratio concepts is typically taught at Primary 6 level in Singapore math syllabus, not Secondary O-level 1 which covers more advanced algebraic ratios and proportions.</t>
  </si>
  <si>
    <t>Grade alignment issue: Secondary O-level 1 students typically work with more advanced mathematical concepts. This problem involving basic decimal ratios (3.5:5.6 = 5:8) and simple fraction conversions is more appropriate for upper primary grades (Primary 5-6). The mathematical complexity does not match the cognitive level and curriculum expectations of Secondary O-level 1 students.</t>
  </si>
  <si>
    <t>Grade alignment issue: Mean deviation is typically taught at A-level or higher education, not at Secondary O-level 2. This concept is too advanced for the intended grade level.</t>
  </si>
  <si>
    <t>The two parts of the problem are independent - part b does not require using the answer from part a. Part b calculates 2448 - 253 = 2195 directly from the original number of children, not from the number of rows found in part a. The primary and secondary knowledge components are not used in tandem as required.</t>
  </si>
  <si>
    <t>Secondary KC alignment: Problem requires adding fractions (2/5 + 1/4) not subtracting fractions as intended. Synergy: Part (a) and (b) are independent - part (b) can be solved without using result from part (a). Grade alignment: Problem difficulty is too basic for Secondary O-level 1 students, more suitable for primary level.</t>
  </si>
  <si>
    <t>Grade Alignment: This problem is too simple for Secondary O-level 1 students. The equation x/2 + 3 = 11 involves only basic fractional equation solving that would typically be covered in Primary 6 or Secondary Foundation level. O-level 1 students would be expected to handle more complex algebraic problems involving multiple steps, quadratic elements, or more sophisticated fractional equations.</t>
  </si>
  <si>
    <t>Grade Alignment: The problem involves basic percentage calculation (15/20 * 100 = 75%) and simple decimal conversion (75% = 0.75) which are too elementary for Secondary O-level 1 students. This level of difficulty is more appropriate for upper primary grades.</t>
  </si>
  <si>
    <t>Grade alignment: The problem is designed for Secondary O-level 3/4 which corresponds to grades 9-10, but this probability content involving addition of probabilities and complementary events is typically introduced much earlier in Singapore math curriculum around Primary 6 or Secondary 1-2 levels. The mathematical concepts required are below the intended grade level.</t>
  </si>
  <si>
    <t>Synergy: The two parts (a) and (b) are independent questions that can be solved separately. Part (a) requires converting 1250 metres to kilometres (1.25 km), while part (b) requires calculating the cost based on rate ($1.20 per 100m) and distance (1250m = $15). The result from part (a) is not needed to solve part (b), so the questions are not connected in tandem as required.</t>
  </si>
  <si>
    <t>The two parts of the problem work independently rather than in tandem. Part (a) finding ratio 48:72 does not connect to or inform part (b) dividing 120 by 6. The results from one question are not used as input for the other question.</t>
  </si>
  <si>
    <t>Part (b) cannot be answered because 9/24 cannot be converted to an equivalent fraction with denominator 8. When 9/24 is simplified to 3/8, it already has denominator 8, but the problem asks to convert the original fraction 9/24 to have denominator 8. Since 24 is not divisible by 8 evenly (24/8 = 3), we cannot find an integer to multiply both 9 and 24 to get denominator 8.</t>
  </si>
  <si>
    <t>Grade alignment: The problem is too simple for Secondary O-level 2 students. Direct proportion with basic ratios (5:3) and simple division (48/6) are primary school level concepts, while O-level 2 students typically study advanced algebra, quadratic equations, and complex mathematical concepts.</t>
  </si>
  <si>
    <t>Synergy: The two questions are independent - the first asks for ratio 24:36:60 in simplest form (4:6:10), the second asks how many classmates receive stickers if each of Amir's 24 stickers goes to 2 people (24 * 2 = 48). The ratio result is not used in the multiplication question. Real-world feasibility: The scenario where each individual sticker is given to 2 different people simultaneously is unrealistic and confusing. Clarity: The phrase 'each sticker is given to 2 people' is ambiguous - it's unclear how one physical sticker can be given to 2 separate individuals.</t>
  </si>
  <si>
    <t>Grade alignment: The problem involves matrix multiplication concepts that are typically taught at A-level or higher mathematics, which is above Secondary O-level 3/4 grade level. Real-world feasibility: The scoring system described is unrealistic - multiplying match wins by a diagonal matrix B does not make practical sense as matrix A represents wins (whole numbers) but the multiplication AB would not logically represent points awarded per win as described.</t>
  </si>
  <si>
    <t>Synergy: The two questions are independent. Part (b) uses the original 1500 metres directly rather than using the result from part (a). The questions are not connected as required.</t>
  </si>
  <si>
    <t>Answerability: The problem contains conflicting information. It states 56 students sang and 38 students danced, but then says there are 20 more students who sang than danced. However, 56 - 38 = 18, not 20. This creates an unsolvable contradiction. Real-world feasibility: The phrase 'participated only in both' is logically impossible - students cannot participate 'only' in 'both' activities simultaneously. This makes the scenario unrealistic. Clarity: The phrase 'participated only in both' is contradictory and creates ambiguity about what the problem is asking for.</t>
  </si>
  <si>
    <t>If answerability is 0, convert all to "NA", if primary/secondary kc alignment is 0, convert synergy to "NA", if primary kc alignment is 0, convert grades to "NA"</t>
  </si>
  <si>
    <t>Cell value is calculated by total number of 1 / total number of numeric values, 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</si>
</sst>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workbookViewId="0"/>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v>0</v>
      </c>
      <c r="C2">
        <v>2.7279763221740718</v>
      </c>
      <c r="D2">
        <v>1</v>
      </c>
      <c r="E2">
        <v>1</v>
      </c>
      <c r="F2">
        <v>1</v>
      </c>
      <c r="G2">
        <v>1</v>
      </c>
      <c r="H2">
        <v>1</v>
      </c>
      <c r="I2">
        <v>1</v>
      </c>
      <c r="J2">
        <v>1</v>
      </c>
      <c r="K2">
        <v>1</v>
      </c>
      <c r="L2">
        <v>1</v>
      </c>
      <c r="M2">
        <v>1</v>
      </c>
      <c r="N2">
        <v>1</v>
      </c>
    </row>
    <row r="3" spans="1:15" x14ac:dyDescent="0.25">
      <c r="A3" t="s">
        <v>16</v>
      </c>
      <c r="B3">
        <v>0</v>
      </c>
      <c r="C3">
        <v>10.523025035858151</v>
      </c>
      <c r="D3">
        <v>0</v>
      </c>
      <c r="E3" t="s">
        <v>17</v>
      </c>
      <c r="F3" t="s">
        <v>17</v>
      </c>
      <c r="G3" t="s">
        <v>17</v>
      </c>
      <c r="H3" t="s">
        <v>17</v>
      </c>
      <c r="I3" t="s">
        <v>17</v>
      </c>
      <c r="J3" t="s">
        <v>17</v>
      </c>
      <c r="K3" t="s">
        <v>17</v>
      </c>
      <c r="L3" t="s">
        <v>17</v>
      </c>
      <c r="M3" t="s">
        <v>17</v>
      </c>
      <c r="N3" t="s">
        <v>17</v>
      </c>
      <c r="O3" t="s">
        <v>18</v>
      </c>
    </row>
    <row r="4" spans="1:15" x14ac:dyDescent="0.25">
      <c r="A4" t="s">
        <v>19</v>
      </c>
      <c r="B4">
        <v>0</v>
      </c>
      <c r="C4">
        <v>7.3575992584228516</v>
      </c>
      <c r="D4">
        <v>1</v>
      </c>
      <c r="E4">
        <v>1</v>
      </c>
      <c r="F4">
        <v>1</v>
      </c>
      <c r="G4">
        <v>1</v>
      </c>
      <c r="H4">
        <v>1</v>
      </c>
      <c r="I4">
        <v>1</v>
      </c>
      <c r="J4">
        <v>1</v>
      </c>
      <c r="K4">
        <v>1</v>
      </c>
      <c r="L4">
        <v>1</v>
      </c>
      <c r="M4">
        <v>1</v>
      </c>
      <c r="N4">
        <v>1</v>
      </c>
    </row>
    <row r="5" spans="1:15" x14ac:dyDescent="0.25">
      <c r="A5" t="s">
        <v>20</v>
      </c>
      <c r="B5">
        <v>0</v>
      </c>
      <c r="C5">
        <v>9.8658244609832764</v>
      </c>
      <c r="D5">
        <v>1</v>
      </c>
      <c r="E5">
        <v>1</v>
      </c>
      <c r="F5">
        <v>1</v>
      </c>
      <c r="G5">
        <v>1</v>
      </c>
      <c r="H5">
        <v>1</v>
      </c>
      <c r="I5">
        <v>1</v>
      </c>
      <c r="J5">
        <v>1</v>
      </c>
      <c r="K5">
        <v>1</v>
      </c>
      <c r="L5">
        <v>1</v>
      </c>
      <c r="M5">
        <v>1</v>
      </c>
      <c r="N5">
        <v>1</v>
      </c>
    </row>
    <row r="6" spans="1:15" x14ac:dyDescent="0.25">
      <c r="A6" t="s">
        <v>21</v>
      </c>
      <c r="B6">
        <v>0</v>
      </c>
      <c r="C6">
        <v>2.7733299732208252</v>
      </c>
      <c r="D6">
        <v>1</v>
      </c>
      <c r="E6">
        <v>1</v>
      </c>
      <c r="F6">
        <v>1</v>
      </c>
      <c r="G6">
        <v>1</v>
      </c>
      <c r="H6">
        <v>1</v>
      </c>
      <c r="I6">
        <v>1</v>
      </c>
      <c r="J6">
        <v>1</v>
      </c>
      <c r="K6">
        <v>1</v>
      </c>
      <c r="L6">
        <v>1</v>
      </c>
      <c r="M6">
        <v>1</v>
      </c>
      <c r="N6">
        <v>1</v>
      </c>
    </row>
    <row r="7" spans="1:15" x14ac:dyDescent="0.25">
      <c r="A7" t="s">
        <v>22</v>
      </c>
      <c r="B7">
        <v>0</v>
      </c>
      <c r="C7">
        <v>10.815762042999269</v>
      </c>
      <c r="D7">
        <v>1</v>
      </c>
      <c r="E7">
        <v>1</v>
      </c>
      <c r="F7">
        <v>1</v>
      </c>
      <c r="G7">
        <v>1</v>
      </c>
      <c r="H7">
        <v>1</v>
      </c>
      <c r="I7">
        <v>1</v>
      </c>
      <c r="J7">
        <v>1</v>
      </c>
      <c r="K7">
        <v>1</v>
      </c>
      <c r="L7">
        <v>1</v>
      </c>
      <c r="M7">
        <v>1</v>
      </c>
      <c r="N7">
        <v>1</v>
      </c>
    </row>
    <row r="8" spans="1:15" x14ac:dyDescent="0.25">
      <c r="A8" t="s">
        <v>23</v>
      </c>
      <c r="B8">
        <v>0</v>
      </c>
      <c r="C8">
        <v>2.748713493347168</v>
      </c>
      <c r="D8">
        <v>1</v>
      </c>
      <c r="E8">
        <v>1</v>
      </c>
      <c r="F8">
        <v>1</v>
      </c>
      <c r="G8">
        <v>1</v>
      </c>
      <c r="H8">
        <v>1</v>
      </c>
      <c r="I8">
        <v>1</v>
      </c>
      <c r="J8">
        <v>1</v>
      </c>
      <c r="K8">
        <v>1</v>
      </c>
      <c r="L8">
        <v>1</v>
      </c>
      <c r="M8">
        <v>1</v>
      </c>
      <c r="N8">
        <v>1</v>
      </c>
    </row>
    <row r="9" spans="1:15" x14ac:dyDescent="0.25">
      <c r="A9" t="s">
        <v>24</v>
      </c>
      <c r="B9">
        <v>0</v>
      </c>
      <c r="C9">
        <v>9.9748759269714355</v>
      </c>
      <c r="D9">
        <v>1</v>
      </c>
      <c r="E9">
        <v>1</v>
      </c>
      <c r="F9">
        <v>1</v>
      </c>
      <c r="G9">
        <v>1</v>
      </c>
      <c r="H9">
        <v>1</v>
      </c>
      <c r="I9">
        <v>1</v>
      </c>
      <c r="J9">
        <v>1</v>
      </c>
      <c r="K9">
        <v>1</v>
      </c>
      <c r="L9">
        <v>1</v>
      </c>
      <c r="M9">
        <v>1</v>
      </c>
      <c r="N9">
        <v>1</v>
      </c>
    </row>
    <row r="10" spans="1:15" x14ac:dyDescent="0.25">
      <c r="A10" t="s">
        <v>25</v>
      </c>
      <c r="B10">
        <v>0</v>
      </c>
      <c r="C10">
        <v>5.1060006618499756</v>
      </c>
      <c r="D10">
        <v>1</v>
      </c>
      <c r="E10">
        <v>1</v>
      </c>
      <c r="F10">
        <v>1</v>
      </c>
      <c r="G10">
        <v>0</v>
      </c>
      <c r="H10">
        <v>1</v>
      </c>
      <c r="I10">
        <v>0</v>
      </c>
      <c r="J10">
        <v>1</v>
      </c>
      <c r="K10">
        <v>1</v>
      </c>
      <c r="L10">
        <v>1</v>
      </c>
      <c r="M10">
        <v>1</v>
      </c>
      <c r="N10">
        <v>1</v>
      </c>
      <c r="O10" t="s">
        <v>26</v>
      </c>
    </row>
    <row r="11" spans="1:15" x14ac:dyDescent="0.25">
      <c r="A11" t="s">
        <v>27</v>
      </c>
      <c r="B11">
        <v>0</v>
      </c>
      <c r="C11">
        <v>2.6994807720184331</v>
      </c>
      <c r="D11">
        <v>1</v>
      </c>
      <c r="E11">
        <v>1</v>
      </c>
      <c r="F11">
        <v>1</v>
      </c>
      <c r="G11">
        <v>1</v>
      </c>
      <c r="H11">
        <v>1</v>
      </c>
      <c r="I11">
        <v>1</v>
      </c>
      <c r="J11">
        <v>1</v>
      </c>
      <c r="K11">
        <v>1</v>
      </c>
      <c r="L11">
        <v>1</v>
      </c>
      <c r="M11">
        <v>1</v>
      </c>
      <c r="N11">
        <v>1</v>
      </c>
    </row>
    <row r="12" spans="1:15" x14ac:dyDescent="0.25">
      <c r="A12" t="s">
        <v>28</v>
      </c>
      <c r="B12">
        <v>0</v>
      </c>
      <c r="C12">
        <v>10.27293872833252</v>
      </c>
      <c r="D12">
        <v>1</v>
      </c>
      <c r="E12">
        <v>0</v>
      </c>
      <c r="F12">
        <v>1</v>
      </c>
      <c r="G12" t="s">
        <v>17</v>
      </c>
      <c r="H12">
        <v>1</v>
      </c>
      <c r="I12" t="s">
        <v>17</v>
      </c>
      <c r="J12">
        <v>1</v>
      </c>
      <c r="K12">
        <v>1</v>
      </c>
      <c r="L12">
        <v>1</v>
      </c>
      <c r="M12">
        <v>1</v>
      </c>
      <c r="N12">
        <v>1</v>
      </c>
      <c r="O12" t="s">
        <v>29</v>
      </c>
    </row>
    <row r="13" spans="1:15" x14ac:dyDescent="0.25">
      <c r="A13" t="s">
        <v>30</v>
      </c>
      <c r="B13">
        <v>0</v>
      </c>
      <c r="C13">
        <v>4.657310962677002</v>
      </c>
      <c r="D13">
        <v>1</v>
      </c>
      <c r="E13">
        <v>1</v>
      </c>
      <c r="F13">
        <v>1</v>
      </c>
      <c r="G13">
        <v>1</v>
      </c>
      <c r="H13">
        <v>1</v>
      </c>
      <c r="I13">
        <v>0</v>
      </c>
      <c r="J13">
        <v>1</v>
      </c>
      <c r="K13">
        <v>1</v>
      </c>
      <c r="L13">
        <v>1</v>
      </c>
      <c r="M13">
        <v>1</v>
      </c>
      <c r="N13">
        <v>1</v>
      </c>
      <c r="O13" t="s">
        <v>31</v>
      </c>
    </row>
    <row r="14" spans="1:15" x14ac:dyDescent="0.25">
      <c r="A14" t="s">
        <v>32</v>
      </c>
      <c r="B14">
        <v>0</v>
      </c>
      <c r="C14">
        <v>2.6687154769897461</v>
      </c>
      <c r="D14">
        <v>1</v>
      </c>
      <c r="E14">
        <v>1</v>
      </c>
      <c r="F14">
        <v>1</v>
      </c>
      <c r="G14">
        <v>1</v>
      </c>
      <c r="H14">
        <v>1</v>
      </c>
      <c r="I14">
        <v>1</v>
      </c>
      <c r="J14">
        <v>1</v>
      </c>
      <c r="K14">
        <v>1</v>
      </c>
      <c r="L14">
        <v>1</v>
      </c>
      <c r="M14">
        <v>1</v>
      </c>
      <c r="N14">
        <v>1</v>
      </c>
    </row>
    <row r="15" spans="1:15" x14ac:dyDescent="0.25">
      <c r="A15" t="s">
        <v>33</v>
      </c>
      <c r="B15">
        <v>0</v>
      </c>
      <c r="C15">
        <v>9.9641954898834229</v>
      </c>
      <c r="D15">
        <v>1</v>
      </c>
      <c r="E15">
        <v>1</v>
      </c>
      <c r="F15">
        <v>1</v>
      </c>
      <c r="G15">
        <v>1</v>
      </c>
      <c r="H15">
        <v>1</v>
      </c>
      <c r="I15">
        <v>1</v>
      </c>
      <c r="J15">
        <v>1</v>
      </c>
      <c r="K15">
        <v>1</v>
      </c>
      <c r="L15">
        <v>1</v>
      </c>
      <c r="M15">
        <v>1</v>
      </c>
      <c r="N15">
        <v>1</v>
      </c>
    </row>
    <row r="16" spans="1:15" x14ac:dyDescent="0.25">
      <c r="A16" t="s">
        <v>34</v>
      </c>
      <c r="B16">
        <v>0</v>
      </c>
      <c r="C16">
        <v>11.78284740447998</v>
      </c>
      <c r="D16">
        <v>1</v>
      </c>
      <c r="E16">
        <v>0</v>
      </c>
      <c r="F16">
        <v>1</v>
      </c>
      <c r="G16" t="s">
        <v>17</v>
      </c>
      <c r="H16">
        <v>1</v>
      </c>
      <c r="I16" t="s">
        <v>17</v>
      </c>
      <c r="J16">
        <v>1</v>
      </c>
      <c r="K16">
        <v>1</v>
      </c>
      <c r="L16">
        <v>1</v>
      </c>
      <c r="M16">
        <v>1</v>
      </c>
      <c r="N16">
        <v>1</v>
      </c>
      <c r="O16" t="s">
        <v>35</v>
      </c>
    </row>
    <row r="17" spans="1:15" x14ac:dyDescent="0.25">
      <c r="A17" t="s">
        <v>36</v>
      </c>
      <c r="B17">
        <v>0</v>
      </c>
      <c r="C17">
        <v>11.199460983276371</v>
      </c>
      <c r="D17">
        <v>1</v>
      </c>
      <c r="E17">
        <v>1</v>
      </c>
      <c r="F17">
        <v>1</v>
      </c>
      <c r="G17">
        <v>1</v>
      </c>
      <c r="H17">
        <v>1</v>
      </c>
      <c r="I17">
        <v>1</v>
      </c>
      <c r="J17">
        <v>1</v>
      </c>
      <c r="K17">
        <v>1</v>
      </c>
      <c r="L17">
        <v>1</v>
      </c>
      <c r="M17">
        <v>1</v>
      </c>
      <c r="N17">
        <v>1</v>
      </c>
    </row>
    <row r="18" spans="1:15" x14ac:dyDescent="0.25">
      <c r="A18" t="s">
        <v>37</v>
      </c>
      <c r="B18">
        <v>0</v>
      </c>
      <c r="C18">
        <v>8.2187404632568359</v>
      </c>
      <c r="D18">
        <v>1</v>
      </c>
      <c r="E18">
        <v>1</v>
      </c>
      <c r="F18">
        <v>1</v>
      </c>
      <c r="G18">
        <v>1</v>
      </c>
      <c r="H18">
        <v>1</v>
      </c>
      <c r="I18">
        <v>1</v>
      </c>
      <c r="J18">
        <v>1</v>
      </c>
      <c r="K18">
        <v>1</v>
      </c>
      <c r="L18">
        <v>1</v>
      </c>
      <c r="M18">
        <v>1</v>
      </c>
      <c r="N18">
        <v>1</v>
      </c>
    </row>
    <row r="19" spans="1:15" x14ac:dyDescent="0.25">
      <c r="A19" t="s">
        <v>38</v>
      </c>
      <c r="B19">
        <v>0</v>
      </c>
      <c r="C19">
        <v>12.22721171379089</v>
      </c>
      <c r="D19">
        <v>1</v>
      </c>
      <c r="E19">
        <v>1</v>
      </c>
      <c r="F19">
        <v>0</v>
      </c>
      <c r="G19" t="s">
        <v>17</v>
      </c>
      <c r="H19">
        <v>1</v>
      </c>
      <c r="I19">
        <v>1</v>
      </c>
      <c r="J19">
        <v>1</v>
      </c>
      <c r="K19">
        <v>1</v>
      </c>
      <c r="L19">
        <v>1</v>
      </c>
      <c r="M19">
        <v>1</v>
      </c>
      <c r="N19">
        <v>1</v>
      </c>
      <c r="O19" t="s">
        <v>39</v>
      </c>
    </row>
    <row r="20" spans="1:15" x14ac:dyDescent="0.25">
      <c r="A20" t="s">
        <v>40</v>
      </c>
      <c r="B20">
        <v>0</v>
      </c>
      <c r="C20">
        <v>9.4532198905944824</v>
      </c>
      <c r="D20">
        <v>1</v>
      </c>
      <c r="E20">
        <v>1</v>
      </c>
      <c r="F20">
        <v>1</v>
      </c>
      <c r="G20">
        <v>1</v>
      </c>
      <c r="H20">
        <v>1</v>
      </c>
      <c r="I20">
        <v>1</v>
      </c>
      <c r="J20">
        <v>1</v>
      </c>
      <c r="K20">
        <v>1</v>
      </c>
      <c r="L20">
        <v>1</v>
      </c>
      <c r="M20">
        <v>1</v>
      </c>
      <c r="N20">
        <v>1</v>
      </c>
    </row>
    <row r="21" spans="1:15" x14ac:dyDescent="0.25">
      <c r="A21" t="s">
        <v>41</v>
      </c>
      <c r="B21">
        <v>0</v>
      </c>
      <c r="C21">
        <v>9.7939200401306152</v>
      </c>
      <c r="D21">
        <v>1</v>
      </c>
      <c r="E21">
        <v>1</v>
      </c>
      <c r="F21">
        <v>1</v>
      </c>
      <c r="G21">
        <v>1</v>
      </c>
      <c r="H21">
        <v>1</v>
      </c>
      <c r="I21">
        <v>1</v>
      </c>
      <c r="J21">
        <v>1</v>
      </c>
      <c r="K21">
        <v>1</v>
      </c>
      <c r="L21">
        <v>1</v>
      </c>
      <c r="M21">
        <v>1</v>
      </c>
      <c r="N21">
        <v>1</v>
      </c>
    </row>
    <row r="22" spans="1:15" x14ac:dyDescent="0.25">
      <c r="A22" t="s">
        <v>42</v>
      </c>
      <c r="B22">
        <v>0</v>
      </c>
      <c r="C22">
        <v>9.2166366577148438</v>
      </c>
      <c r="D22">
        <v>1</v>
      </c>
      <c r="E22">
        <v>1</v>
      </c>
      <c r="F22">
        <v>1</v>
      </c>
      <c r="G22">
        <v>1</v>
      </c>
      <c r="H22">
        <v>1</v>
      </c>
      <c r="I22">
        <v>1</v>
      </c>
      <c r="J22">
        <v>1</v>
      </c>
      <c r="K22">
        <v>1</v>
      </c>
      <c r="L22">
        <v>1</v>
      </c>
      <c r="M22">
        <v>1</v>
      </c>
      <c r="N22">
        <v>1</v>
      </c>
    </row>
    <row r="23" spans="1:15" x14ac:dyDescent="0.25">
      <c r="A23" t="s">
        <v>43</v>
      </c>
      <c r="B23">
        <v>0</v>
      </c>
      <c r="C23">
        <v>4.5178806781768799</v>
      </c>
      <c r="D23">
        <v>1</v>
      </c>
      <c r="E23">
        <v>1</v>
      </c>
      <c r="F23">
        <v>1</v>
      </c>
      <c r="G23">
        <v>1</v>
      </c>
      <c r="H23">
        <v>1</v>
      </c>
      <c r="I23">
        <v>0</v>
      </c>
      <c r="J23">
        <v>1</v>
      </c>
      <c r="K23">
        <v>1</v>
      </c>
      <c r="L23">
        <v>1</v>
      </c>
      <c r="M23">
        <v>1</v>
      </c>
      <c r="N23">
        <v>1</v>
      </c>
      <c r="O23" t="s">
        <v>44</v>
      </c>
    </row>
    <row r="24" spans="1:15" x14ac:dyDescent="0.25">
      <c r="A24" t="s">
        <v>45</v>
      </c>
      <c r="B24">
        <v>0</v>
      </c>
      <c r="C24">
        <v>11.331811189651489</v>
      </c>
      <c r="D24">
        <v>1</v>
      </c>
      <c r="E24">
        <v>1</v>
      </c>
      <c r="F24">
        <v>1</v>
      </c>
      <c r="G24">
        <v>0</v>
      </c>
      <c r="H24">
        <v>1</v>
      </c>
      <c r="I24">
        <v>1</v>
      </c>
      <c r="J24">
        <v>1</v>
      </c>
      <c r="K24">
        <v>1</v>
      </c>
      <c r="L24">
        <v>1</v>
      </c>
      <c r="M24">
        <v>1</v>
      </c>
      <c r="N24">
        <v>1</v>
      </c>
      <c r="O24" t="s">
        <v>46</v>
      </c>
    </row>
    <row r="25" spans="1:15" x14ac:dyDescent="0.25">
      <c r="A25" t="s">
        <v>47</v>
      </c>
      <c r="B25">
        <v>0</v>
      </c>
      <c r="C25">
        <v>10.970184564590451</v>
      </c>
      <c r="D25">
        <v>1</v>
      </c>
      <c r="E25">
        <v>1</v>
      </c>
      <c r="F25">
        <v>1</v>
      </c>
      <c r="G25">
        <v>1</v>
      </c>
      <c r="H25">
        <v>1</v>
      </c>
      <c r="I25">
        <v>1</v>
      </c>
      <c r="J25">
        <v>1</v>
      </c>
      <c r="K25">
        <v>1</v>
      </c>
      <c r="L25">
        <v>1</v>
      </c>
      <c r="M25">
        <v>1</v>
      </c>
      <c r="N25">
        <v>1</v>
      </c>
    </row>
    <row r="26" spans="1:15" x14ac:dyDescent="0.25">
      <c r="A26" t="s">
        <v>48</v>
      </c>
      <c r="B26">
        <v>0</v>
      </c>
      <c r="C26">
        <v>9.970879077911377</v>
      </c>
      <c r="D26">
        <v>1</v>
      </c>
      <c r="E26">
        <v>0</v>
      </c>
      <c r="F26">
        <v>1</v>
      </c>
      <c r="G26" t="s">
        <v>17</v>
      </c>
      <c r="H26">
        <v>1</v>
      </c>
      <c r="I26" t="s">
        <v>17</v>
      </c>
      <c r="J26">
        <v>1</v>
      </c>
      <c r="K26">
        <v>1</v>
      </c>
      <c r="L26">
        <v>1</v>
      </c>
      <c r="M26">
        <v>1</v>
      </c>
      <c r="N26">
        <v>1</v>
      </c>
      <c r="O26" t="s">
        <v>49</v>
      </c>
    </row>
    <row r="27" spans="1:15" x14ac:dyDescent="0.25">
      <c r="A27" t="s">
        <v>50</v>
      </c>
      <c r="B27">
        <v>0</v>
      </c>
      <c r="C27">
        <v>9.3064460754394531</v>
      </c>
      <c r="D27">
        <v>1</v>
      </c>
      <c r="E27">
        <v>1</v>
      </c>
      <c r="F27">
        <v>1</v>
      </c>
      <c r="G27">
        <v>1</v>
      </c>
      <c r="H27">
        <v>1</v>
      </c>
      <c r="I27">
        <v>1</v>
      </c>
      <c r="J27">
        <v>1</v>
      </c>
      <c r="K27">
        <v>1</v>
      </c>
      <c r="L27">
        <v>1</v>
      </c>
      <c r="M27">
        <v>1</v>
      </c>
      <c r="N27">
        <v>1</v>
      </c>
    </row>
    <row r="28" spans="1:15" x14ac:dyDescent="0.25">
      <c r="A28" t="s">
        <v>51</v>
      </c>
      <c r="B28">
        <v>0</v>
      </c>
      <c r="C28">
        <v>10.233713150024411</v>
      </c>
      <c r="D28">
        <v>1</v>
      </c>
      <c r="E28">
        <v>1</v>
      </c>
      <c r="F28">
        <v>1</v>
      </c>
      <c r="G28">
        <v>0</v>
      </c>
      <c r="H28">
        <v>1</v>
      </c>
      <c r="I28">
        <v>1</v>
      </c>
      <c r="J28">
        <v>1</v>
      </c>
      <c r="K28">
        <v>1</v>
      </c>
      <c r="L28">
        <v>1</v>
      </c>
      <c r="M28">
        <v>1</v>
      </c>
      <c r="N28">
        <v>1</v>
      </c>
      <c r="O28" t="s">
        <v>52</v>
      </c>
    </row>
    <row r="29" spans="1:15" x14ac:dyDescent="0.25">
      <c r="A29" t="s">
        <v>53</v>
      </c>
      <c r="B29">
        <v>0</v>
      </c>
      <c r="C29">
        <v>11.91884350776672</v>
      </c>
      <c r="D29">
        <v>1</v>
      </c>
      <c r="E29">
        <v>1</v>
      </c>
      <c r="F29">
        <v>1</v>
      </c>
      <c r="G29">
        <v>0</v>
      </c>
      <c r="H29">
        <v>1</v>
      </c>
      <c r="I29">
        <v>1</v>
      </c>
      <c r="J29">
        <v>1</v>
      </c>
      <c r="K29">
        <v>1</v>
      </c>
      <c r="L29">
        <v>1</v>
      </c>
      <c r="M29">
        <v>1</v>
      </c>
      <c r="N29">
        <v>1</v>
      </c>
      <c r="O29" t="s">
        <v>54</v>
      </c>
    </row>
    <row r="30" spans="1:15" x14ac:dyDescent="0.25">
      <c r="A30" t="s">
        <v>55</v>
      </c>
      <c r="B30">
        <v>0</v>
      </c>
      <c r="C30">
        <v>10.59473538398743</v>
      </c>
      <c r="D30">
        <v>0</v>
      </c>
      <c r="E30" t="s">
        <v>17</v>
      </c>
      <c r="F30" t="s">
        <v>17</v>
      </c>
      <c r="G30" t="s">
        <v>17</v>
      </c>
      <c r="H30" t="s">
        <v>17</v>
      </c>
      <c r="I30" t="s">
        <v>17</v>
      </c>
      <c r="J30" t="s">
        <v>17</v>
      </c>
      <c r="K30" t="s">
        <v>17</v>
      </c>
      <c r="L30" t="s">
        <v>17</v>
      </c>
      <c r="M30" t="s">
        <v>17</v>
      </c>
      <c r="N30" t="s">
        <v>17</v>
      </c>
      <c r="O30" t="s">
        <v>56</v>
      </c>
    </row>
    <row r="31" spans="1:15" x14ac:dyDescent="0.25">
      <c r="A31" t="s">
        <v>57</v>
      </c>
      <c r="B31">
        <v>0</v>
      </c>
      <c r="C31">
        <v>11.243199825286871</v>
      </c>
      <c r="D31">
        <v>1</v>
      </c>
      <c r="E31">
        <v>1</v>
      </c>
      <c r="F31">
        <v>1</v>
      </c>
      <c r="G31">
        <v>0</v>
      </c>
      <c r="H31">
        <v>1</v>
      </c>
      <c r="I31">
        <v>1</v>
      </c>
      <c r="J31">
        <v>1</v>
      </c>
      <c r="K31">
        <v>1</v>
      </c>
      <c r="L31">
        <v>1</v>
      </c>
      <c r="M31">
        <v>1</v>
      </c>
      <c r="N31">
        <v>1</v>
      </c>
      <c r="O31" t="s">
        <v>58</v>
      </c>
    </row>
    <row r="32" spans="1:15" x14ac:dyDescent="0.25">
      <c r="A32" t="s">
        <v>59</v>
      </c>
      <c r="B32">
        <v>0</v>
      </c>
      <c r="C32">
        <v>2.8060710430145259</v>
      </c>
      <c r="D32">
        <v>1</v>
      </c>
      <c r="E32">
        <v>1</v>
      </c>
      <c r="F32">
        <v>1</v>
      </c>
      <c r="G32">
        <v>1</v>
      </c>
      <c r="H32">
        <v>1</v>
      </c>
      <c r="I32">
        <v>1</v>
      </c>
      <c r="J32">
        <v>1</v>
      </c>
      <c r="K32">
        <v>1</v>
      </c>
      <c r="L32">
        <v>1</v>
      </c>
      <c r="M32">
        <v>1</v>
      </c>
      <c r="N32">
        <v>1</v>
      </c>
    </row>
    <row r="33" spans="1:15" x14ac:dyDescent="0.25">
      <c r="A33" t="s">
        <v>60</v>
      </c>
      <c r="B33">
        <v>0</v>
      </c>
      <c r="C33">
        <v>10.868347883224491</v>
      </c>
      <c r="D33">
        <v>1</v>
      </c>
      <c r="E33">
        <v>1</v>
      </c>
      <c r="F33">
        <v>0</v>
      </c>
      <c r="G33" t="s">
        <v>17</v>
      </c>
      <c r="H33">
        <v>1</v>
      </c>
      <c r="I33">
        <v>1</v>
      </c>
      <c r="J33">
        <v>1</v>
      </c>
      <c r="K33">
        <v>1</v>
      </c>
      <c r="L33">
        <v>1</v>
      </c>
      <c r="M33">
        <v>1</v>
      </c>
      <c r="N33">
        <v>1</v>
      </c>
      <c r="O33" t="s">
        <v>61</v>
      </c>
    </row>
    <row r="34" spans="1:15" x14ac:dyDescent="0.25">
      <c r="A34" t="s">
        <v>62</v>
      </c>
      <c r="B34">
        <v>0</v>
      </c>
      <c r="C34">
        <v>10.416202068328859</v>
      </c>
      <c r="D34">
        <v>1</v>
      </c>
      <c r="E34">
        <v>1</v>
      </c>
      <c r="F34">
        <v>1</v>
      </c>
      <c r="G34">
        <v>1</v>
      </c>
      <c r="H34">
        <v>1</v>
      </c>
      <c r="I34">
        <v>1</v>
      </c>
      <c r="J34">
        <v>1</v>
      </c>
      <c r="K34">
        <v>1</v>
      </c>
      <c r="L34">
        <v>1</v>
      </c>
      <c r="M34">
        <v>1</v>
      </c>
      <c r="N34">
        <v>1</v>
      </c>
    </row>
    <row r="35" spans="1:15" x14ac:dyDescent="0.25">
      <c r="A35" t="s">
        <v>63</v>
      </c>
      <c r="B35">
        <v>0</v>
      </c>
      <c r="C35">
        <v>2.7544600963592529</v>
      </c>
      <c r="D35">
        <v>1</v>
      </c>
      <c r="E35">
        <v>1</v>
      </c>
      <c r="F35">
        <v>1</v>
      </c>
      <c r="G35">
        <v>1</v>
      </c>
      <c r="H35">
        <v>1</v>
      </c>
      <c r="I35">
        <v>1</v>
      </c>
      <c r="J35">
        <v>1</v>
      </c>
      <c r="K35">
        <v>1</v>
      </c>
      <c r="L35">
        <v>1</v>
      </c>
      <c r="M35">
        <v>1</v>
      </c>
      <c r="N35">
        <v>1</v>
      </c>
    </row>
    <row r="36" spans="1:15" x14ac:dyDescent="0.25">
      <c r="A36" t="s">
        <v>64</v>
      </c>
      <c r="B36">
        <v>0</v>
      </c>
      <c r="C36">
        <v>12.34155106544495</v>
      </c>
      <c r="D36">
        <v>1</v>
      </c>
      <c r="E36">
        <v>1</v>
      </c>
      <c r="F36">
        <v>1</v>
      </c>
      <c r="G36">
        <v>1</v>
      </c>
      <c r="H36">
        <v>1</v>
      </c>
      <c r="I36">
        <v>0</v>
      </c>
      <c r="J36">
        <v>1</v>
      </c>
      <c r="K36">
        <v>1</v>
      </c>
      <c r="L36">
        <v>1</v>
      </c>
      <c r="M36">
        <v>1</v>
      </c>
      <c r="N36">
        <v>1</v>
      </c>
      <c r="O36" t="s">
        <v>65</v>
      </c>
    </row>
    <row r="37" spans="1:15" x14ac:dyDescent="0.25">
      <c r="A37" t="s">
        <v>66</v>
      </c>
      <c r="B37">
        <v>0</v>
      </c>
      <c r="C37">
        <v>2.6710431575775151</v>
      </c>
      <c r="D37">
        <v>1</v>
      </c>
      <c r="E37">
        <v>1</v>
      </c>
      <c r="F37">
        <v>1</v>
      </c>
      <c r="G37">
        <v>1</v>
      </c>
      <c r="H37">
        <v>1</v>
      </c>
      <c r="I37">
        <v>1</v>
      </c>
      <c r="J37">
        <v>1</v>
      </c>
      <c r="K37">
        <v>1</v>
      </c>
      <c r="L37">
        <v>1</v>
      </c>
      <c r="M37">
        <v>1</v>
      </c>
      <c r="N37">
        <v>1</v>
      </c>
    </row>
    <row r="38" spans="1:15" x14ac:dyDescent="0.25">
      <c r="A38" t="s">
        <v>67</v>
      </c>
      <c r="B38">
        <v>0</v>
      </c>
      <c r="C38">
        <v>12.5244472026825</v>
      </c>
      <c r="D38">
        <v>0</v>
      </c>
      <c r="E38" t="s">
        <v>17</v>
      </c>
      <c r="F38" t="s">
        <v>17</v>
      </c>
      <c r="G38" t="s">
        <v>17</v>
      </c>
      <c r="H38" t="s">
        <v>17</v>
      </c>
      <c r="I38" t="s">
        <v>17</v>
      </c>
      <c r="J38" t="s">
        <v>17</v>
      </c>
      <c r="K38" t="s">
        <v>17</v>
      </c>
      <c r="L38" t="s">
        <v>17</v>
      </c>
      <c r="M38" t="s">
        <v>17</v>
      </c>
      <c r="N38" t="s">
        <v>17</v>
      </c>
      <c r="O38" t="s">
        <v>68</v>
      </c>
    </row>
    <row r="39" spans="1:15" x14ac:dyDescent="0.25">
      <c r="A39" t="s">
        <v>69</v>
      </c>
      <c r="B39">
        <v>0</v>
      </c>
      <c r="C39">
        <v>12.123802423477169</v>
      </c>
      <c r="D39">
        <v>1</v>
      </c>
      <c r="E39">
        <v>1</v>
      </c>
      <c r="F39">
        <v>1</v>
      </c>
      <c r="G39">
        <v>0</v>
      </c>
      <c r="H39">
        <v>1</v>
      </c>
      <c r="I39">
        <v>1</v>
      </c>
      <c r="J39">
        <v>1</v>
      </c>
      <c r="K39">
        <v>1</v>
      </c>
      <c r="L39">
        <v>1</v>
      </c>
      <c r="M39">
        <v>1</v>
      </c>
      <c r="N39">
        <v>1</v>
      </c>
      <c r="O39" t="s">
        <v>70</v>
      </c>
    </row>
    <row r="40" spans="1:15" x14ac:dyDescent="0.25">
      <c r="A40" t="s">
        <v>71</v>
      </c>
      <c r="B40">
        <v>0</v>
      </c>
      <c r="C40">
        <v>4.7286176681518546</v>
      </c>
      <c r="D40">
        <v>1</v>
      </c>
      <c r="E40">
        <v>1</v>
      </c>
      <c r="F40">
        <v>1</v>
      </c>
      <c r="G40">
        <v>1</v>
      </c>
      <c r="H40">
        <v>1</v>
      </c>
      <c r="I40">
        <v>0</v>
      </c>
      <c r="J40">
        <v>1</v>
      </c>
      <c r="K40">
        <v>1</v>
      </c>
      <c r="L40">
        <v>1</v>
      </c>
      <c r="M40">
        <v>1</v>
      </c>
      <c r="N40">
        <v>1</v>
      </c>
      <c r="O40" t="s">
        <v>72</v>
      </c>
    </row>
    <row r="41" spans="1:15" x14ac:dyDescent="0.25">
      <c r="A41" t="s">
        <v>73</v>
      </c>
      <c r="B41">
        <v>0</v>
      </c>
      <c r="C41">
        <v>5.5094690322875977</v>
      </c>
      <c r="D41">
        <v>1</v>
      </c>
      <c r="E41">
        <v>1</v>
      </c>
      <c r="F41">
        <v>1</v>
      </c>
      <c r="G41">
        <v>1</v>
      </c>
      <c r="H41">
        <v>0</v>
      </c>
      <c r="I41">
        <v>1</v>
      </c>
      <c r="J41">
        <v>0</v>
      </c>
      <c r="K41">
        <v>0</v>
      </c>
      <c r="L41">
        <v>1</v>
      </c>
      <c r="M41">
        <v>1</v>
      </c>
      <c r="N41">
        <v>1</v>
      </c>
      <c r="O41" t="s">
        <v>74</v>
      </c>
    </row>
    <row r="42" spans="1:15" x14ac:dyDescent="0.25">
      <c r="A42" t="s">
        <v>75</v>
      </c>
      <c r="B42">
        <v>0</v>
      </c>
      <c r="C42">
        <v>2.8058900833129878</v>
      </c>
      <c r="D42">
        <v>1</v>
      </c>
      <c r="E42">
        <v>1</v>
      </c>
      <c r="F42">
        <v>1</v>
      </c>
      <c r="G42">
        <v>1</v>
      </c>
      <c r="H42">
        <v>1</v>
      </c>
      <c r="I42">
        <v>1</v>
      </c>
      <c r="J42">
        <v>1</v>
      </c>
      <c r="K42">
        <v>1</v>
      </c>
      <c r="L42">
        <v>1</v>
      </c>
      <c r="M42">
        <v>1</v>
      </c>
      <c r="N42">
        <v>1</v>
      </c>
    </row>
    <row r="43" spans="1:15" x14ac:dyDescent="0.25">
      <c r="A43" t="s">
        <v>76</v>
      </c>
      <c r="B43">
        <v>0</v>
      </c>
      <c r="C43">
        <v>9.5853216648101807</v>
      </c>
      <c r="D43">
        <v>1</v>
      </c>
      <c r="E43">
        <v>1</v>
      </c>
      <c r="F43">
        <v>1</v>
      </c>
      <c r="G43">
        <v>1</v>
      </c>
      <c r="H43">
        <v>1</v>
      </c>
      <c r="I43">
        <v>1</v>
      </c>
      <c r="J43">
        <v>1</v>
      </c>
      <c r="K43">
        <v>1</v>
      </c>
      <c r="L43">
        <v>1</v>
      </c>
      <c r="M43">
        <v>1</v>
      </c>
      <c r="N43">
        <v>1</v>
      </c>
    </row>
    <row r="44" spans="1:15" x14ac:dyDescent="0.25">
      <c r="A44" t="s">
        <v>77</v>
      </c>
      <c r="B44">
        <v>0</v>
      </c>
      <c r="C44">
        <v>10.24221086502075</v>
      </c>
      <c r="D44">
        <v>1</v>
      </c>
      <c r="E44">
        <v>1</v>
      </c>
      <c r="F44">
        <v>1</v>
      </c>
      <c r="G44">
        <v>1</v>
      </c>
      <c r="H44">
        <v>1</v>
      </c>
      <c r="I44">
        <v>1</v>
      </c>
      <c r="J44">
        <v>1</v>
      </c>
      <c r="K44">
        <v>1</v>
      </c>
      <c r="L44">
        <v>1</v>
      </c>
      <c r="M44">
        <v>1</v>
      </c>
      <c r="N44">
        <v>1</v>
      </c>
    </row>
    <row r="45" spans="1:15" x14ac:dyDescent="0.25">
      <c r="A45" t="s">
        <v>78</v>
      </c>
      <c r="B45">
        <v>0</v>
      </c>
      <c r="C45">
        <v>9.6572487354278564</v>
      </c>
      <c r="D45">
        <v>1</v>
      </c>
      <c r="E45">
        <v>1</v>
      </c>
      <c r="F45">
        <v>1</v>
      </c>
      <c r="G45">
        <v>1</v>
      </c>
      <c r="H45">
        <v>1</v>
      </c>
      <c r="I45">
        <v>1</v>
      </c>
      <c r="J45">
        <v>1</v>
      </c>
      <c r="K45">
        <v>1</v>
      </c>
      <c r="L45">
        <v>1</v>
      </c>
      <c r="M45">
        <v>1</v>
      </c>
      <c r="N45">
        <v>1</v>
      </c>
    </row>
    <row r="46" spans="1:15" x14ac:dyDescent="0.25">
      <c r="A46" t="s">
        <v>79</v>
      </c>
      <c r="B46">
        <v>0</v>
      </c>
      <c r="C46">
        <v>2.6980950832366939</v>
      </c>
      <c r="D46">
        <v>1</v>
      </c>
      <c r="E46">
        <v>1</v>
      </c>
      <c r="F46">
        <v>1</v>
      </c>
      <c r="G46">
        <v>1</v>
      </c>
      <c r="H46">
        <v>1</v>
      </c>
      <c r="I46">
        <v>1</v>
      </c>
      <c r="J46">
        <v>1</v>
      </c>
      <c r="K46">
        <v>1</v>
      </c>
      <c r="L46">
        <v>1</v>
      </c>
      <c r="M46">
        <v>1</v>
      </c>
      <c r="N46">
        <v>1</v>
      </c>
    </row>
    <row r="47" spans="1:15" x14ac:dyDescent="0.25">
      <c r="A47" t="s">
        <v>80</v>
      </c>
      <c r="B47">
        <v>0</v>
      </c>
      <c r="C47">
        <v>5.5309944152832031</v>
      </c>
      <c r="D47">
        <v>1</v>
      </c>
      <c r="E47">
        <v>0</v>
      </c>
      <c r="F47">
        <v>1</v>
      </c>
      <c r="G47" t="s">
        <v>17</v>
      </c>
      <c r="H47">
        <v>1</v>
      </c>
      <c r="I47" t="s">
        <v>17</v>
      </c>
      <c r="J47">
        <v>1</v>
      </c>
      <c r="K47">
        <v>1</v>
      </c>
      <c r="L47">
        <v>1</v>
      </c>
      <c r="M47">
        <v>1</v>
      </c>
      <c r="N47">
        <v>1</v>
      </c>
      <c r="O47" t="s">
        <v>81</v>
      </c>
    </row>
    <row r="48" spans="1:15" x14ac:dyDescent="0.25">
      <c r="A48" t="s">
        <v>82</v>
      </c>
      <c r="B48">
        <v>0</v>
      </c>
      <c r="C48">
        <v>10.375670194625849</v>
      </c>
      <c r="D48">
        <v>1</v>
      </c>
      <c r="E48">
        <v>1</v>
      </c>
      <c r="F48">
        <v>1</v>
      </c>
      <c r="G48">
        <v>1</v>
      </c>
      <c r="H48">
        <v>1</v>
      </c>
      <c r="I48">
        <v>1</v>
      </c>
      <c r="J48">
        <v>0</v>
      </c>
      <c r="K48">
        <v>1</v>
      </c>
      <c r="L48">
        <v>1</v>
      </c>
      <c r="M48">
        <v>1</v>
      </c>
      <c r="N48">
        <v>1</v>
      </c>
      <c r="O48" t="s">
        <v>83</v>
      </c>
    </row>
    <row r="49" spans="1:15" x14ac:dyDescent="0.25">
      <c r="A49" t="s">
        <v>84</v>
      </c>
      <c r="B49">
        <v>0</v>
      </c>
      <c r="C49">
        <v>5.1191821098327637</v>
      </c>
      <c r="D49">
        <v>1</v>
      </c>
      <c r="E49">
        <v>1</v>
      </c>
      <c r="F49">
        <v>1</v>
      </c>
      <c r="G49">
        <v>0</v>
      </c>
      <c r="H49">
        <v>1</v>
      </c>
      <c r="I49">
        <v>1</v>
      </c>
      <c r="J49">
        <v>1</v>
      </c>
      <c r="K49">
        <v>1</v>
      </c>
      <c r="L49">
        <v>1</v>
      </c>
      <c r="M49">
        <v>1</v>
      </c>
      <c r="N49">
        <v>1</v>
      </c>
      <c r="O49" t="s">
        <v>85</v>
      </c>
    </row>
    <row r="50" spans="1:15" x14ac:dyDescent="0.25">
      <c r="A50" t="s">
        <v>86</v>
      </c>
      <c r="B50">
        <v>0</v>
      </c>
      <c r="C50">
        <v>2.7036929130554199</v>
      </c>
      <c r="D50">
        <v>1</v>
      </c>
      <c r="E50">
        <v>1</v>
      </c>
      <c r="F50">
        <v>1</v>
      </c>
      <c r="G50">
        <v>1</v>
      </c>
      <c r="H50">
        <v>1</v>
      </c>
      <c r="I50">
        <v>1</v>
      </c>
      <c r="J50">
        <v>1</v>
      </c>
      <c r="K50">
        <v>1</v>
      </c>
      <c r="L50">
        <v>1</v>
      </c>
      <c r="M50">
        <v>1</v>
      </c>
      <c r="N50">
        <v>1</v>
      </c>
    </row>
    <row r="51" spans="1:15" x14ac:dyDescent="0.25">
      <c r="A51" t="s">
        <v>87</v>
      </c>
      <c r="B51">
        <v>0</v>
      </c>
      <c r="C51">
        <v>8.1914277076721191</v>
      </c>
      <c r="D51">
        <v>1</v>
      </c>
      <c r="E51">
        <v>1</v>
      </c>
      <c r="F51">
        <v>1</v>
      </c>
      <c r="G51">
        <v>1</v>
      </c>
      <c r="H51">
        <v>1</v>
      </c>
      <c r="I51">
        <v>1</v>
      </c>
      <c r="J51">
        <v>1</v>
      </c>
      <c r="K51">
        <v>1</v>
      </c>
      <c r="L51">
        <v>1</v>
      </c>
      <c r="M51">
        <v>1</v>
      </c>
      <c r="N51">
        <v>1</v>
      </c>
    </row>
    <row r="52" spans="1:15" x14ac:dyDescent="0.25">
      <c r="A52" t="s">
        <v>88</v>
      </c>
      <c r="B52">
        <v>0</v>
      </c>
      <c r="C52">
        <v>9.0314178466796875</v>
      </c>
      <c r="D52">
        <v>1</v>
      </c>
      <c r="E52">
        <v>1</v>
      </c>
      <c r="F52">
        <v>1</v>
      </c>
      <c r="G52">
        <v>1</v>
      </c>
      <c r="H52">
        <v>1</v>
      </c>
      <c r="I52">
        <v>1</v>
      </c>
      <c r="J52">
        <v>1</v>
      </c>
      <c r="K52">
        <v>1</v>
      </c>
      <c r="L52">
        <v>1</v>
      </c>
      <c r="M52">
        <v>1</v>
      </c>
      <c r="N52">
        <v>1</v>
      </c>
    </row>
    <row r="53" spans="1:15" x14ac:dyDescent="0.25">
      <c r="A53" t="s">
        <v>89</v>
      </c>
      <c r="B53">
        <v>0</v>
      </c>
      <c r="C53">
        <v>9.672734260559082</v>
      </c>
      <c r="D53">
        <v>1</v>
      </c>
      <c r="E53">
        <v>1</v>
      </c>
      <c r="F53">
        <v>1</v>
      </c>
      <c r="G53">
        <v>1</v>
      </c>
      <c r="H53">
        <v>1</v>
      </c>
      <c r="I53">
        <v>1</v>
      </c>
      <c r="J53">
        <v>1</v>
      </c>
      <c r="K53">
        <v>1</v>
      </c>
      <c r="L53">
        <v>1</v>
      </c>
      <c r="M53">
        <v>1</v>
      </c>
      <c r="N53">
        <v>1</v>
      </c>
    </row>
    <row r="54" spans="1:15" x14ac:dyDescent="0.25">
      <c r="A54" t="s">
        <v>90</v>
      </c>
      <c r="B54">
        <v>0</v>
      </c>
      <c r="C54">
        <v>9.746981143951416</v>
      </c>
      <c r="D54">
        <v>1</v>
      </c>
      <c r="E54">
        <v>1</v>
      </c>
      <c r="F54">
        <v>0</v>
      </c>
      <c r="G54" t="s">
        <v>17</v>
      </c>
      <c r="H54">
        <v>1</v>
      </c>
      <c r="I54">
        <v>1</v>
      </c>
      <c r="J54">
        <v>1</v>
      </c>
      <c r="K54">
        <v>1</v>
      </c>
      <c r="L54">
        <v>1</v>
      </c>
      <c r="M54">
        <v>1</v>
      </c>
      <c r="N54">
        <v>1</v>
      </c>
      <c r="O54" t="s">
        <v>91</v>
      </c>
    </row>
    <row r="55" spans="1:15" x14ac:dyDescent="0.25">
      <c r="A55" t="s">
        <v>92</v>
      </c>
      <c r="B55">
        <v>0</v>
      </c>
      <c r="C55">
        <v>10.41026067733765</v>
      </c>
      <c r="D55">
        <v>0</v>
      </c>
      <c r="E55" t="s">
        <v>17</v>
      </c>
      <c r="F55" t="s">
        <v>17</v>
      </c>
      <c r="G55" t="s">
        <v>17</v>
      </c>
      <c r="H55" t="s">
        <v>17</v>
      </c>
      <c r="I55" t="s">
        <v>17</v>
      </c>
      <c r="J55" t="s">
        <v>17</v>
      </c>
      <c r="K55" t="s">
        <v>17</v>
      </c>
      <c r="L55" t="s">
        <v>17</v>
      </c>
      <c r="M55" t="s">
        <v>17</v>
      </c>
      <c r="N55" t="s">
        <v>17</v>
      </c>
      <c r="O55" t="s">
        <v>93</v>
      </c>
    </row>
    <row r="56" spans="1:15" x14ac:dyDescent="0.25">
      <c r="A56" t="s">
        <v>94</v>
      </c>
      <c r="B56">
        <v>0</v>
      </c>
      <c r="C56">
        <v>8.5258326530456543</v>
      </c>
      <c r="D56">
        <v>0</v>
      </c>
      <c r="E56" t="s">
        <v>17</v>
      </c>
      <c r="F56" t="s">
        <v>17</v>
      </c>
      <c r="G56" t="s">
        <v>17</v>
      </c>
      <c r="H56" t="s">
        <v>17</v>
      </c>
      <c r="I56" t="s">
        <v>17</v>
      </c>
      <c r="J56" t="s">
        <v>17</v>
      </c>
      <c r="K56" t="s">
        <v>17</v>
      </c>
      <c r="L56" t="s">
        <v>17</v>
      </c>
      <c r="M56" t="s">
        <v>17</v>
      </c>
      <c r="N56" t="s">
        <v>17</v>
      </c>
      <c r="O56" t="s">
        <v>95</v>
      </c>
    </row>
    <row r="57" spans="1:15" x14ac:dyDescent="0.25">
      <c r="A57" t="s">
        <v>96</v>
      </c>
      <c r="B57">
        <v>0</v>
      </c>
      <c r="C57">
        <v>9.5203239917755127</v>
      </c>
      <c r="D57">
        <v>1</v>
      </c>
      <c r="E57">
        <v>1</v>
      </c>
      <c r="F57">
        <v>1</v>
      </c>
      <c r="G57">
        <v>1</v>
      </c>
      <c r="H57">
        <v>1</v>
      </c>
      <c r="I57">
        <v>1</v>
      </c>
      <c r="J57">
        <v>1</v>
      </c>
      <c r="K57">
        <v>1</v>
      </c>
      <c r="L57">
        <v>1</v>
      </c>
      <c r="M57">
        <v>1</v>
      </c>
      <c r="N57">
        <v>1</v>
      </c>
    </row>
    <row r="58" spans="1:15" x14ac:dyDescent="0.25">
      <c r="A58" t="s">
        <v>97</v>
      </c>
      <c r="B58">
        <v>0</v>
      </c>
      <c r="C58">
        <v>12.304769039154049</v>
      </c>
      <c r="D58">
        <v>1</v>
      </c>
      <c r="E58">
        <v>1</v>
      </c>
      <c r="F58">
        <v>1</v>
      </c>
      <c r="G58">
        <v>1</v>
      </c>
      <c r="H58">
        <v>1</v>
      </c>
      <c r="I58">
        <v>1</v>
      </c>
      <c r="J58">
        <v>1</v>
      </c>
      <c r="K58">
        <v>1</v>
      </c>
      <c r="L58">
        <v>1</v>
      </c>
      <c r="M58">
        <v>1</v>
      </c>
      <c r="N58">
        <v>1</v>
      </c>
    </row>
    <row r="59" spans="1:15" x14ac:dyDescent="0.25">
      <c r="A59" t="s">
        <v>98</v>
      </c>
      <c r="B59">
        <v>0</v>
      </c>
      <c r="C59">
        <v>10.208138465881349</v>
      </c>
      <c r="D59">
        <v>1</v>
      </c>
      <c r="E59">
        <v>1</v>
      </c>
      <c r="F59">
        <v>1</v>
      </c>
      <c r="G59">
        <v>1</v>
      </c>
      <c r="H59">
        <v>1</v>
      </c>
      <c r="I59">
        <v>1</v>
      </c>
      <c r="J59">
        <v>1</v>
      </c>
      <c r="K59">
        <v>1</v>
      </c>
      <c r="L59">
        <v>1</v>
      </c>
      <c r="M59">
        <v>1</v>
      </c>
      <c r="N59">
        <v>1</v>
      </c>
    </row>
    <row r="60" spans="1:15" x14ac:dyDescent="0.25">
      <c r="A60" t="s">
        <v>99</v>
      </c>
      <c r="B60">
        <v>0</v>
      </c>
      <c r="C60">
        <v>4.611314058303833</v>
      </c>
      <c r="D60">
        <v>1</v>
      </c>
      <c r="E60">
        <v>1</v>
      </c>
      <c r="F60">
        <v>1</v>
      </c>
      <c r="G60">
        <v>1</v>
      </c>
      <c r="H60">
        <v>1</v>
      </c>
      <c r="I60">
        <v>0</v>
      </c>
      <c r="J60">
        <v>1</v>
      </c>
      <c r="K60">
        <v>1</v>
      </c>
      <c r="L60">
        <v>1</v>
      </c>
      <c r="M60">
        <v>1</v>
      </c>
      <c r="N60">
        <v>1</v>
      </c>
      <c r="O60" t="s">
        <v>100</v>
      </c>
    </row>
    <row r="61" spans="1:15" x14ac:dyDescent="0.25">
      <c r="A61" t="s">
        <v>101</v>
      </c>
      <c r="B61">
        <v>0</v>
      </c>
      <c r="C61">
        <v>6.5769922733306876</v>
      </c>
      <c r="D61">
        <v>1</v>
      </c>
      <c r="E61">
        <v>1</v>
      </c>
      <c r="F61">
        <v>1</v>
      </c>
      <c r="G61">
        <v>1</v>
      </c>
      <c r="H61">
        <v>1</v>
      </c>
      <c r="I61">
        <v>0</v>
      </c>
      <c r="J61">
        <v>1</v>
      </c>
      <c r="K61">
        <v>1</v>
      </c>
      <c r="L61">
        <v>1</v>
      </c>
      <c r="M61">
        <v>1</v>
      </c>
      <c r="N61">
        <v>1</v>
      </c>
      <c r="O61" t="s">
        <v>102</v>
      </c>
    </row>
    <row r="62" spans="1:15" x14ac:dyDescent="0.25">
      <c r="A62" t="s">
        <v>103</v>
      </c>
      <c r="B62">
        <v>0</v>
      </c>
      <c r="C62">
        <v>7.6953079700469971</v>
      </c>
      <c r="D62">
        <v>0</v>
      </c>
      <c r="E62" t="s">
        <v>17</v>
      </c>
      <c r="F62" t="s">
        <v>17</v>
      </c>
      <c r="G62" t="s">
        <v>17</v>
      </c>
      <c r="H62" t="s">
        <v>17</v>
      </c>
      <c r="I62" t="s">
        <v>17</v>
      </c>
      <c r="J62" t="s">
        <v>17</v>
      </c>
      <c r="K62" t="s">
        <v>17</v>
      </c>
      <c r="L62" t="s">
        <v>17</v>
      </c>
      <c r="M62" t="s">
        <v>17</v>
      </c>
      <c r="N62" t="s">
        <v>17</v>
      </c>
      <c r="O62" t="s">
        <v>104</v>
      </c>
    </row>
    <row r="63" spans="1:15" x14ac:dyDescent="0.25">
      <c r="A63" t="s">
        <v>105</v>
      </c>
      <c r="B63">
        <v>0</v>
      </c>
      <c r="C63">
        <v>2.6689274311065669</v>
      </c>
      <c r="D63">
        <v>1</v>
      </c>
      <c r="E63">
        <v>1</v>
      </c>
      <c r="F63">
        <v>1</v>
      </c>
      <c r="G63">
        <v>1</v>
      </c>
      <c r="H63">
        <v>1</v>
      </c>
      <c r="I63">
        <v>1</v>
      </c>
      <c r="J63">
        <v>1</v>
      </c>
      <c r="K63">
        <v>1</v>
      </c>
      <c r="L63">
        <v>1</v>
      </c>
      <c r="M63">
        <v>1</v>
      </c>
      <c r="N63">
        <v>1</v>
      </c>
    </row>
    <row r="64" spans="1:15" x14ac:dyDescent="0.25">
      <c r="A64" t="s">
        <v>106</v>
      </c>
      <c r="B64">
        <v>0</v>
      </c>
      <c r="C64">
        <v>9.8731532096862793</v>
      </c>
      <c r="D64">
        <v>1</v>
      </c>
      <c r="E64">
        <v>1</v>
      </c>
      <c r="F64">
        <v>1</v>
      </c>
      <c r="G64">
        <v>1</v>
      </c>
      <c r="H64">
        <v>1</v>
      </c>
      <c r="I64">
        <v>1</v>
      </c>
      <c r="J64">
        <v>0</v>
      </c>
      <c r="K64">
        <v>1</v>
      </c>
      <c r="L64">
        <v>1</v>
      </c>
      <c r="M64">
        <v>1</v>
      </c>
      <c r="N64">
        <v>1</v>
      </c>
      <c r="O64" t="s">
        <v>107</v>
      </c>
    </row>
    <row r="65" spans="1:15" x14ac:dyDescent="0.25">
      <c r="A65" t="s">
        <v>108</v>
      </c>
      <c r="B65">
        <v>0</v>
      </c>
      <c r="C65">
        <v>4.7096083164215088</v>
      </c>
      <c r="D65">
        <v>1</v>
      </c>
      <c r="E65">
        <v>1</v>
      </c>
      <c r="F65">
        <v>1</v>
      </c>
      <c r="G65">
        <v>0</v>
      </c>
      <c r="H65">
        <v>1</v>
      </c>
      <c r="I65">
        <v>1</v>
      </c>
      <c r="J65">
        <v>1</v>
      </c>
      <c r="K65">
        <v>1</v>
      </c>
      <c r="L65">
        <v>1</v>
      </c>
      <c r="M65">
        <v>1</v>
      </c>
      <c r="N65">
        <v>1</v>
      </c>
      <c r="O65" t="s">
        <v>109</v>
      </c>
    </row>
    <row r="66" spans="1:15" x14ac:dyDescent="0.25">
      <c r="A66" t="s">
        <v>110</v>
      </c>
      <c r="B66">
        <v>0</v>
      </c>
      <c r="C66">
        <v>6.2451045513153076</v>
      </c>
      <c r="D66">
        <v>0</v>
      </c>
      <c r="E66" t="s">
        <v>17</v>
      </c>
      <c r="F66" t="s">
        <v>17</v>
      </c>
      <c r="G66" t="s">
        <v>17</v>
      </c>
      <c r="H66" t="s">
        <v>17</v>
      </c>
      <c r="I66" t="s">
        <v>17</v>
      </c>
      <c r="J66" t="s">
        <v>17</v>
      </c>
      <c r="K66" t="s">
        <v>17</v>
      </c>
      <c r="L66" t="s">
        <v>17</v>
      </c>
      <c r="M66" t="s">
        <v>17</v>
      </c>
      <c r="N66" t="s">
        <v>17</v>
      </c>
      <c r="O66" t="s">
        <v>111</v>
      </c>
    </row>
    <row r="67" spans="1:15" x14ac:dyDescent="0.25">
      <c r="A67" t="s">
        <v>112</v>
      </c>
      <c r="B67">
        <v>0</v>
      </c>
      <c r="C67">
        <v>10.617282867431641</v>
      </c>
      <c r="D67">
        <v>1</v>
      </c>
      <c r="E67">
        <v>1</v>
      </c>
      <c r="F67">
        <v>0</v>
      </c>
      <c r="G67" t="s">
        <v>17</v>
      </c>
      <c r="H67">
        <v>1</v>
      </c>
      <c r="I67">
        <v>1</v>
      </c>
      <c r="J67">
        <v>1</v>
      </c>
      <c r="K67">
        <v>1</v>
      </c>
      <c r="L67">
        <v>1</v>
      </c>
      <c r="M67">
        <v>1</v>
      </c>
      <c r="N67">
        <v>1</v>
      </c>
      <c r="O67" t="s">
        <v>113</v>
      </c>
    </row>
    <row r="68" spans="1:15" x14ac:dyDescent="0.25">
      <c r="A68" t="s">
        <v>114</v>
      </c>
      <c r="B68">
        <v>0</v>
      </c>
      <c r="C68">
        <v>2.7511603832244869</v>
      </c>
      <c r="D68">
        <v>1</v>
      </c>
      <c r="E68">
        <v>1</v>
      </c>
      <c r="F68">
        <v>1</v>
      </c>
      <c r="G68">
        <v>1</v>
      </c>
      <c r="H68">
        <v>1</v>
      </c>
      <c r="I68">
        <v>1</v>
      </c>
      <c r="J68">
        <v>1</v>
      </c>
      <c r="K68">
        <v>1</v>
      </c>
      <c r="L68">
        <v>1</v>
      </c>
      <c r="M68">
        <v>1</v>
      </c>
      <c r="N68">
        <v>1</v>
      </c>
    </row>
    <row r="69" spans="1:15" x14ac:dyDescent="0.25">
      <c r="A69" t="s">
        <v>115</v>
      </c>
      <c r="B69">
        <v>0</v>
      </c>
      <c r="C69">
        <v>9.1396338939666748</v>
      </c>
      <c r="D69">
        <v>1</v>
      </c>
      <c r="E69">
        <v>1</v>
      </c>
      <c r="F69">
        <v>1</v>
      </c>
      <c r="G69">
        <v>1</v>
      </c>
      <c r="H69">
        <v>1</v>
      </c>
      <c r="I69">
        <v>1</v>
      </c>
      <c r="J69">
        <v>1</v>
      </c>
      <c r="K69">
        <v>1</v>
      </c>
      <c r="L69">
        <v>1</v>
      </c>
      <c r="M69">
        <v>1</v>
      </c>
      <c r="N69">
        <v>1</v>
      </c>
    </row>
    <row r="70" spans="1:15" x14ac:dyDescent="0.25">
      <c r="A70" t="s">
        <v>116</v>
      </c>
      <c r="B70">
        <v>0</v>
      </c>
      <c r="C70">
        <v>2.77153468132019</v>
      </c>
      <c r="D70">
        <v>1</v>
      </c>
      <c r="E70">
        <v>1</v>
      </c>
      <c r="F70">
        <v>1</v>
      </c>
      <c r="G70">
        <v>1</v>
      </c>
      <c r="H70">
        <v>1</v>
      </c>
      <c r="I70">
        <v>1</v>
      </c>
      <c r="J70">
        <v>1</v>
      </c>
      <c r="K70">
        <v>1</v>
      </c>
      <c r="L70">
        <v>1</v>
      </c>
      <c r="M70">
        <v>1</v>
      </c>
      <c r="N70">
        <v>1</v>
      </c>
    </row>
    <row r="71" spans="1:15" x14ac:dyDescent="0.25">
      <c r="A71" t="s">
        <v>117</v>
      </c>
      <c r="B71">
        <v>0</v>
      </c>
      <c r="C71">
        <v>9.2505664825439453</v>
      </c>
      <c r="D71">
        <v>1</v>
      </c>
      <c r="E71">
        <v>1</v>
      </c>
      <c r="F71">
        <v>1</v>
      </c>
      <c r="G71">
        <v>1</v>
      </c>
      <c r="H71">
        <v>1</v>
      </c>
      <c r="I71">
        <v>1</v>
      </c>
      <c r="J71">
        <v>1</v>
      </c>
      <c r="K71">
        <v>1</v>
      </c>
      <c r="L71">
        <v>1</v>
      </c>
      <c r="M71">
        <v>1</v>
      </c>
      <c r="N71">
        <v>1</v>
      </c>
    </row>
    <row r="72" spans="1:15" x14ac:dyDescent="0.25">
      <c r="A72" t="s">
        <v>118</v>
      </c>
      <c r="B72">
        <v>0</v>
      </c>
      <c r="C72">
        <v>5.2330808639526367</v>
      </c>
      <c r="D72">
        <v>1</v>
      </c>
      <c r="E72">
        <v>1</v>
      </c>
      <c r="F72">
        <v>0</v>
      </c>
      <c r="G72" t="s">
        <v>17</v>
      </c>
      <c r="H72">
        <v>1</v>
      </c>
      <c r="I72">
        <v>1</v>
      </c>
      <c r="J72">
        <v>1</v>
      </c>
      <c r="K72">
        <v>1</v>
      </c>
      <c r="L72">
        <v>1</v>
      </c>
      <c r="M72">
        <v>1</v>
      </c>
      <c r="N72">
        <v>1</v>
      </c>
      <c r="O72" t="s">
        <v>119</v>
      </c>
    </row>
    <row r="73" spans="1:15" x14ac:dyDescent="0.25">
      <c r="A73" t="s">
        <v>120</v>
      </c>
      <c r="B73">
        <v>0</v>
      </c>
      <c r="C73">
        <v>10.070231437683111</v>
      </c>
      <c r="D73">
        <v>1</v>
      </c>
      <c r="E73">
        <v>1</v>
      </c>
      <c r="F73">
        <v>1</v>
      </c>
      <c r="G73">
        <v>1</v>
      </c>
      <c r="H73">
        <v>1</v>
      </c>
      <c r="I73">
        <v>1</v>
      </c>
      <c r="J73">
        <v>1</v>
      </c>
      <c r="K73">
        <v>1</v>
      </c>
      <c r="L73">
        <v>1</v>
      </c>
      <c r="M73">
        <v>1</v>
      </c>
      <c r="N73">
        <v>1</v>
      </c>
    </row>
    <row r="74" spans="1:15" x14ac:dyDescent="0.25">
      <c r="A74" t="s">
        <v>121</v>
      </c>
      <c r="B74">
        <v>0</v>
      </c>
      <c r="C74">
        <v>5.2486302852630624</v>
      </c>
      <c r="D74">
        <v>1</v>
      </c>
      <c r="E74">
        <v>1</v>
      </c>
      <c r="F74">
        <v>1</v>
      </c>
      <c r="G74">
        <v>1</v>
      </c>
      <c r="H74">
        <v>1</v>
      </c>
      <c r="I74">
        <v>0</v>
      </c>
      <c r="J74">
        <v>1</v>
      </c>
      <c r="K74">
        <v>1</v>
      </c>
      <c r="L74">
        <v>1</v>
      </c>
      <c r="M74">
        <v>1</v>
      </c>
      <c r="N74">
        <v>1</v>
      </c>
      <c r="O74" t="s">
        <v>122</v>
      </c>
    </row>
    <row r="75" spans="1:15" x14ac:dyDescent="0.25">
      <c r="A75" t="s">
        <v>123</v>
      </c>
      <c r="B75">
        <v>0</v>
      </c>
      <c r="C75">
        <v>9.2499239444732666</v>
      </c>
      <c r="D75">
        <v>1</v>
      </c>
      <c r="E75">
        <v>1</v>
      </c>
      <c r="F75">
        <v>1</v>
      </c>
      <c r="G75">
        <v>1</v>
      </c>
      <c r="H75">
        <v>1</v>
      </c>
      <c r="I75">
        <v>1</v>
      </c>
      <c r="J75">
        <v>1</v>
      </c>
      <c r="K75">
        <v>1</v>
      </c>
      <c r="L75">
        <v>1</v>
      </c>
      <c r="M75">
        <v>1</v>
      </c>
      <c r="N75">
        <v>1</v>
      </c>
    </row>
    <row r="76" spans="1:15" x14ac:dyDescent="0.25">
      <c r="A76" t="s">
        <v>124</v>
      </c>
      <c r="B76">
        <v>0</v>
      </c>
      <c r="C76">
        <v>2.7469744682312012</v>
      </c>
      <c r="D76">
        <v>1</v>
      </c>
      <c r="E76">
        <v>1</v>
      </c>
      <c r="F76">
        <v>1</v>
      </c>
      <c r="G76">
        <v>1</v>
      </c>
      <c r="H76">
        <v>1</v>
      </c>
      <c r="I76">
        <v>1</v>
      </c>
      <c r="J76">
        <v>1</v>
      </c>
      <c r="K76">
        <v>1</v>
      </c>
      <c r="L76">
        <v>1</v>
      </c>
      <c r="M76">
        <v>1</v>
      </c>
      <c r="N76">
        <v>1</v>
      </c>
    </row>
    <row r="77" spans="1:15" x14ac:dyDescent="0.25">
      <c r="A77" t="s">
        <v>125</v>
      </c>
      <c r="B77">
        <v>0</v>
      </c>
      <c r="C77">
        <v>5.7593259811401367</v>
      </c>
      <c r="D77">
        <v>1</v>
      </c>
      <c r="E77">
        <v>1</v>
      </c>
      <c r="F77">
        <v>1</v>
      </c>
      <c r="G77">
        <v>1</v>
      </c>
      <c r="H77">
        <v>1</v>
      </c>
      <c r="I77">
        <v>0</v>
      </c>
      <c r="J77">
        <v>1</v>
      </c>
      <c r="K77">
        <v>1</v>
      </c>
      <c r="L77">
        <v>1</v>
      </c>
      <c r="M77">
        <v>1</v>
      </c>
      <c r="N77">
        <v>1</v>
      </c>
      <c r="O77" t="s">
        <v>126</v>
      </c>
    </row>
    <row r="78" spans="1:15" x14ac:dyDescent="0.25">
      <c r="A78" t="s">
        <v>127</v>
      </c>
      <c r="B78">
        <v>0</v>
      </c>
      <c r="C78">
        <v>5.8920958042144784</v>
      </c>
      <c r="D78">
        <v>1</v>
      </c>
      <c r="E78">
        <v>1</v>
      </c>
      <c r="F78">
        <v>1</v>
      </c>
      <c r="G78">
        <v>1</v>
      </c>
      <c r="H78">
        <v>1</v>
      </c>
      <c r="I78">
        <v>0</v>
      </c>
      <c r="J78">
        <v>1</v>
      </c>
      <c r="K78">
        <v>1</v>
      </c>
      <c r="L78">
        <v>0</v>
      </c>
      <c r="M78">
        <v>1</v>
      </c>
      <c r="N78">
        <v>1</v>
      </c>
      <c r="O78" t="s">
        <v>128</v>
      </c>
    </row>
    <row r="79" spans="1:15" x14ac:dyDescent="0.25">
      <c r="A79" t="s">
        <v>129</v>
      </c>
      <c r="B79">
        <v>0</v>
      </c>
      <c r="C79">
        <v>4.3594653606414786</v>
      </c>
      <c r="D79">
        <v>1</v>
      </c>
      <c r="E79">
        <v>1</v>
      </c>
      <c r="F79">
        <v>1</v>
      </c>
      <c r="G79">
        <v>1</v>
      </c>
      <c r="H79">
        <v>1</v>
      </c>
      <c r="I79">
        <v>1</v>
      </c>
      <c r="J79">
        <v>0</v>
      </c>
      <c r="K79">
        <v>1</v>
      </c>
      <c r="L79">
        <v>1</v>
      </c>
      <c r="M79">
        <v>1</v>
      </c>
      <c r="N79">
        <v>1</v>
      </c>
      <c r="O79" t="s">
        <v>130</v>
      </c>
    </row>
    <row r="80" spans="1:15" x14ac:dyDescent="0.25">
      <c r="A80" t="s">
        <v>131</v>
      </c>
      <c r="B80">
        <v>0</v>
      </c>
      <c r="C80">
        <v>10.68750786781311</v>
      </c>
      <c r="D80">
        <v>1</v>
      </c>
      <c r="E80">
        <v>1</v>
      </c>
      <c r="F80">
        <v>1</v>
      </c>
      <c r="G80">
        <v>0</v>
      </c>
      <c r="H80">
        <v>1</v>
      </c>
      <c r="I80">
        <v>1</v>
      </c>
      <c r="J80">
        <v>1</v>
      </c>
      <c r="K80">
        <v>1</v>
      </c>
      <c r="L80">
        <v>1</v>
      </c>
      <c r="M80">
        <v>1</v>
      </c>
      <c r="N80">
        <v>1</v>
      </c>
      <c r="O80" t="s">
        <v>132</v>
      </c>
    </row>
    <row r="81" spans="1:15" x14ac:dyDescent="0.25">
      <c r="A81" t="s">
        <v>133</v>
      </c>
      <c r="B81">
        <v>0</v>
      </c>
      <c r="C81">
        <v>9.5485479831695557</v>
      </c>
      <c r="D81">
        <v>1</v>
      </c>
      <c r="E81">
        <v>1</v>
      </c>
      <c r="F81">
        <v>0</v>
      </c>
      <c r="G81" t="s">
        <v>17</v>
      </c>
      <c r="H81">
        <v>1</v>
      </c>
      <c r="I81">
        <v>1</v>
      </c>
      <c r="J81">
        <v>1</v>
      </c>
      <c r="K81">
        <v>1</v>
      </c>
      <c r="L81">
        <v>1</v>
      </c>
      <c r="M81">
        <v>1</v>
      </c>
      <c r="N81">
        <v>1</v>
      </c>
      <c r="O81" t="s">
        <v>134</v>
      </c>
    </row>
    <row r="82" spans="1:15" x14ac:dyDescent="0.25">
      <c r="A82" t="s">
        <v>135</v>
      </c>
      <c r="B82">
        <v>0</v>
      </c>
      <c r="C82">
        <v>2.695556640625</v>
      </c>
      <c r="D82">
        <v>1</v>
      </c>
      <c r="E82">
        <v>1</v>
      </c>
      <c r="F82">
        <v>1</v>
      </c>
      <c r="G82">
        <v>1</v>
      </c>
      <c r="H82">
        <v>1</v>
      </c>
      <c r="I82">
        <v>1</v>
      </c>
      <c r="J82">
        <v>1</v>
      </c>
      <c r="K82">
        <v>1</v>
      </c>
      <c r="L82">
        <v>1</v>
      </c>
      <c r="M82">
        <v>1</v>
      </c>
      <c r="N82">
        <v>1</v>
      </c>
    </row>
    <row r="83" spans="1:15" x14ac:dyDescent="0.25">
      <c r="A83" t="s">
        <v>136</v>
      </c>
      <c r="B83">
        <v>0</v>
      </c>
      <c r="C83">
        <v>4.6393301486968994</v>
      </c>
      <c r="D83">
        <v>1</v>
      </c>
      <c r="E83">
        <v>1</v>
      </c>
      <c r="F83">
        <v>1</v>
      </c>
      <c r="G83">
        <v>1</v>
      </c>
      <c r="H83">
        <v>1</v>
      </c>
      <c r="I83">
        <v>1</v>
      </c>
      <c r="J83">
        <v>0</v>
      </c>
      <c r="K83">
        <v>1</v>
      </c>
      <c r="L83">
        <v>1</v>
      </c>
      <c r="M83">
        <v>1</v>
      </c>
      <c r="N83">
        <v>1</v>
      </c>
      <c r="O83" t="s">
        <v>137</v>
      </c>
    </row>
    <row r="84" spans="1:15" x14ac:dyDescent="0.25">
      <c r="A84" t="s">
        <v>138</v>
      </c>
      <c r="B84">
        <v>0</v>
      </c>
      <c r="C84">
        <v>4.774702787399292</v>
      </c>
      <c r="D84">
        <v>1</v>
      </c>
      <c r="E84">
        <v>1</v>
      </c>
      <c r="F84">
        <v>1</v>
      </c>
      <c r="G84">
        <v>1</v>
      </c>
      <c r="H84">
        <v>1</v>
      </c>
      <c r="I84">
        <v>0</v>
      </c>
      <c r="J84">
        <v>1</v>
      </c>
      <c r="K84">
        <v>1</v>
      </c>
      <c r="L84">
        <v>1</v>
      </c>
      <c r="M84">
        <v>1</v>
      </c>
      <c r="N84">
        <v>1</v>
      </c>
      <c r="O84" t="s">
        <v>139</v>
      </c>
    </row>
    <row r="85" spans="1:15" x14ac:dyDescent="0.25">
      <c r="A85" t="s">
        <v>140</v>
      </c>
      <c r="B85">
        <v>0</v>
      </c>
      <c r="C85">
        <v>5.0307416915893546</v>
      </c>
      <c r="D85">
        <v>1</v>
      </c>
      <c r="E85">
        <v>1</v>
      </c>
      <c r="F85">
        <v>1</v>
      </c>
      <c r="G85">
        <v>1</v>
      </c>
      <c r="H85">
        <v>1</v>
      </c>
      <c r="I85">
        <v>0</v>
      </c>
      <c r="J85">
        <v>1</v>
      </c>
      <c r="K85">
        <v>1</v>
      </c>
      <c r="L85">
        <v>1</v>
      </c>
      <c r="M85">
        <v>1</v>
      </c>
      <c r="N85">
        <v>1</v>
      </c>
      <c r="O85" t="s">
        <v>141</v>
      </c>
    </row>
    <row r="86" spans="1:15" x14ac:dyDescent="0.25">
      <c r="A86" t="s">
        <v>142</v>
      </c>
      <c r="B86">
        <v>0</v>
      </c>
      <c r="C86">
        <v>4.9215941429138184</v>
      </c>
      <c r="D86">
        <v>1</v>
      </c>
      <c r="E86">
        <v>1</v>
      </c>
      <c r="F86">
        <v>1</v>
      </c>
      <c r="G86">
        <v>1</v>
      </c>
      <c r="H86">
        <v>1</v>
      </c>
      <c r="I86">
        <v>0</v>
      </c>
      <c r="J86">
        <v>1</v>
      </c>
      <c r="K86">
        <v>1</v>
      </c>
      <c r="L86">
        <v>1</v>
      </c>
      <c r="M86">
        <v>1</v>
      </c>
      <c r="N86">
        <v>1</v>
      </c>
      <c r="O86" t="s">
        <v>143</v>
      </c>
    </row>
    <row r="87" spans="1:15" x14ac:dyDescent="0.25">
      <c r="A87" t="s">
        <v>144</v>
      </c>
      <c r="B87">
        <v>0</v>
      </c>
      <c r="C87">
        <v>2.7077782154083252</v>
      </c>
      <c r="D87">
        <v>1</v>
      </c>
      <c r="E87">
        <v>1</v>
      </c>
      <c r="F87">
        <v>1</v>
      </c>
      <c r="G87">
        <v>1</v>
      </c>
      <c r="H87">
        <v>1</v>
      </c>
      <c r="I87">
        <v>1</v>
      </c>
      <c r="J87">
        <v>1</v>
      </c>
      <c r="K87">
        <v>1</v>
      </c>
      <c r="L87">
        <v>1</v>
      </c>
      <c r="M87">
        <v>1</v>
      </c>
      <c r="N87">
        <v>1</v>
      </c>
    </row>
    <row r="88" spans="1:15" x14ac:dyDescent="0.25">
      <c r="A88" t="s">
        <v>145</v>
      </c>
      <c r="B88">
        <v>0</v>
      </c>
      <c r="C88">
        <v>2.7555875778198242</v>
      </c>
      <c r="D88">
        <v>1</v>
      </c>
      <c r="E88">
        <v>1</v>
      </c>
      <c r="F88">
        <v>1</v>
      </c>
      <c r="G88">
        <v>1</v>
      </c>
      <c r="H88">
        <v>1</v>
      </c>
      <c r="I88">
        <v>1</v>
      </c>
      <c r="J88">
        <v>1</v>
      </c>
      <c r="K88">
        <v>1</v>
      </c>
      <c r="L88">
        <v>1</v>
      </c>
      <c r="M88">
        <v>1</v>
      </c>
      <c r="N88">
        <v>1</v>
      </c>
    </row>
    <row r="89" spans="1:15" x14ac:dyDescent="0.25">
      <c r="A89" t="s">
        <v>146</v>
      </c>
      <c r="B89">
        <v>0</v>
      </c>
      <c r="C89">
        <v>10.41187310218811</v>
      </c>
      <c r="D89">
        <v>1</v>
      </c>
      <c r="E89">
        <v>1</v>
      </c>
      <c r="F89">
        <v>1</v>
      </c>
      <c r="G89">
        <v>1</v>
      </c>
      <c r="H89">
        <v>1</v>
      </c>
      <c r="I89">
        <v>1</v>
      </c>
      <c r="J89">
        <v>1</v>
      </c>
      <c r="K89">
        <v>1</v>
      </c>
      <c r="L89">
        <v>1</v>
      </c>
      <c r="M89">
        <v>1</v>
      </c>
      <c r="N89">
        <v>1</v>
      </c>
    </row>
    <row r="90" spans="1:15" x14ac:dyDescent="0.25">
      <c r="A90" t="s">
        <v>147</v>
      </c>
      <c r="B90">
        <v>0</v>
      </c>
      <c r="C90">
        <v>10.72185754776001</v>
      </c>
      <c r="D90">
        <v>0</v>
      </c>
      <c r="E90" t="s">
        <v>17</v>
      </c>
      <c r="F90" t="s">
        <v>17</v>
      </c>
      <c r="G90" t="s">
        <v>17</v>
      </c>
      <c r="H90" t="s">
        <v>17</v>
      </c>
      <c r="I90" t="s">
        <v>17</v>
      </c>
      <c r="J90" t="s">
        <v>17</v>
      </c>
      <c r="K90" t="s">
        <v>17</v>
      </c>
      <c r="L90" t="s">
        <v>17</v>
      </c>
      <c r="M90" t="s">
        <v>17</v>
      </c>
      <c r="N90" t="s">
        <v>17</v>
      </c>
      <c r="O90" t="s">
        <v>148</v>
      </c>
    </row>
    <row r="91" spans="1:15" x14ac:dyDescent="0.25">
      <c r="A91" t="s">
        <v>149</v>
      </c>
      <c r="B91">
        <v>0</v>
      </c>
      <c r="C91">
        <v>9.1403114795684814</v>
      </c>
      <c r="D91">
        <v>1</v>
      </c>
      <c r="E91">
        <v>1</v>
      </c>
      <c r="F91">
        <v>1</v>
      </c>
      <c r="G91">
        <v>1</v>
      </c>
      <c r="H91">
        <v>1</v>
      </c>
      <c r="I91">
        <v>1</v>
      </c>
      <c r="J91">
        <v>1</v>
      </c>
      <c r="K91">
        <v>1</v>
      </c>
      <c r="L91">
        <v>1</v>
      </c>
      <c r="M91">
        <v>1</v>
      </c>
      <c r="N91">
        <v>1</v>
      </c>
    </row>
    <row r="92" spans="1:15" x14ac:dyDescent="0.25">
      <c r="A92" t="s">
        <v>150</v>
      </c>
      <c r="B92">
        <v>0</v>
      </c>
      <c r="C92">
        <v>8.7281312942504883</v>
      </c>
      <c r="D92">
        <v>1</v>
      </c>
      <c r="E92">
        <v>1</v>
      </c>
      <c r="F92">
        <v>1</v>
      </c>
      <c r="G92">
        <v>1</v>
      </c>
      <c r="H92">
        <v>1</v>
      </c>
      <c r="I92">
        <v>1</v>
      </c>
      <c r="J92">
        <v>1</v>
      </c>
      <c r="K92">
        <v>1</v>
      </c>
      <c r="L92">
        <v>1</v>
      </c>
      <c r="M92">
        <v>1</v>
      </c>
      <c r="N92">
        <v>1</v>
      </c>
    </row>
    <row r="93" spans="1:15" x14ac:dyDescent="0.25">
      <c r="A93" t="s">
        <v>151</v>
      </c>
      <c r="B93">
        <v>0</v>
      </c>
      <c r="C93">
        <v>2.7679121494293208</v>
      </c>
      <c r="D93">
        <v>1</v>
      </c>
      <c r="E93">
        <v>1</v>
      </c>
      <c r="F93">
        <v>1</v>
      </c>
      <c r="G93">
        <v>1</v>
      </c>
      <c r="H93">
        <v>1</v>
      </c>
      <c r="I93">
        <v>1</v>
      </c>
      <c r="J93">
        <v>1</v>
      </c>
      <c r="K93">
        <v>1</v>
      </c>
      <c r="L93">
        <v>1</v>
      </c>
      <c r="M93">
        <v>1</v>
      </c>
      <c r="N93">
        <v>1</v>
      </c>
    </row>
    <row r="94" spans="1:15" x14ac:dyDescent="0.25">
      <c r="A94" t="s">
        <v>152</v>
      </c>
      <c r="B94">
        <v>0</v>
      </c>
      <c r="C94">
        <v>9.5329008102416992</v>
      </c>
      <c r="D94">
        <v>1</v>
      </c>
      <c r="E94">
        <v>1</v>
      </c>
      <c r="F94">
        <v>1</v>
      </c>
      <c r="G94">
        <v>1</v>
      </c>
      <c r="H94">
        <v>1</v>
      </c>
      <c r="I94">
        <v>1</v>
      </c>
      <c r="J94">
        <v>1</v>
      </c>
      <c r="K94">
        <v>1</v>
      </c>
      <c r="L94">
        <v>1</v>
      </c>
      <c r="M94">
        <v>1</v>
      </c>
      <c r="N94">
        <v>1</v>
      </c>
    </row>
    <row r="95" spans="1:15" x14ac:dyDescent="0.25">
      <c r="A95" t="s">
        <v>153</v>
      </c>
      <c r="B95">
        <v>0</v>
      </c>
      <c r="C95">
        <v>4.9543685913085938</v>
      </c>
      <c r="D95">
        <v>1</v>
      </c>
      <c r="E95">
        <v>1</v>
      </c>
      <c r="F95">
        <v>1</v>
      </c>
      <c r="G95">
        <v>0</v>
      </c>
      <c r="H95">
        <v>1</v>
      </c>
      <c r="I95">
        <v>1</v>
      </c>
      <c r="J95">
        <v>1</v>
      </c>
      <c r="K95">
        <v>1</v>
      </c>
      <c r="L95">
        <v>1</v>
      </c>
      <c r="M95">
        <v>1</v>
      </c>
      <c r="N95">
        <v>1</v>
      </c>
      <c r="O95" t="s">
        <v>154</v>
      </c>
    </row>
    <row r="96" spans="1:15" x14ac:dyDescent="0.25">
      <c r="A96" t="s">
        <v>155</v>
      </c>
      <c r="B96">
        <v>0</v>
      </c>
      <c r="C96">
        <v>10.95592188835144</v>
      </c>
      <c r="D96">
        <v>0</v>
      </c>
      <c r="E96" t="s">
        <v>17</v>
      </c>
      <c r="F96" t="s">
        <v>17</v>
      </c>
      <c r="G96" t="s">
        <v>17</v>
      </c>
      <c r="H96" t="s">
        <v>17</v>
      </c>
      <c r="I96" t="s">
        <v>17</v>
      </c>
      <c r="J96" t="s">
        <v>17</v>
      </c>
      <c r="K96" t="s">
        <v>17</v>
      </c>
      <c r="L96" t="s">
        <v>17</v>
      </c>
      <c r="M96" t="s">
        <v>17</v>
      </c>
      <c r="N96" t="s">
        <v>17</v>
      </c>
      <c r="O96" t="s">
        <v>156</v>
      </c>
    </row>
    <row r="97" spans="1:15" x14ac:dyDescent="0.25">
      <c r="A97" t="s">
        <v>157</v>
      </c>
      <c r="B97">
        <v>0</v>
      </c>
      <c r="C97">
        <v>11.23982048034668</v>
      </c>
      <c r="D97">
        <v>1</v>
      </c>
      <c r="E97">
        <v>1</v>
      </c>
      <c r="F97">
        <v>1</v>
      </c>
      <c r="G97">
        <v>1</v>
      </c>
      <c r="H97">
        <v>1</v>
      </c>
      <c r="I97">
        <v>0</v>
      </c>
      <c r="J97">
        <v>1</v>
      </c>
      <c r="K97">
        <v>1</v>
      </c>
      <c r="L97">
        <v>1</v>
      </c>
      <c r="M97">
        <v>1</v>
      </c>
      <c r="N97">
        <v>1</v>
      </c>
      <c r="O97" t="s">
        <v>158</v>
      </c>
    </row>
    <row r="98" spans="1:15" x14ac:dyDescent="0.25">
      <c r="A98" t="s">
        <v>159</v>
      </c>
      <c r="B98">
        <v>0</v>
      </c>
      <c r="C98">
        <v>6.1547830104827881</v>
      </c>
      <c r="D98">
        <v>1</v>
      </c>
      <c r="E98">
        <v>1</v>
      </c>
      <c r="F98">
        <v>1</v>
      </c>
      <c r="G98">
        <v>0</v>
      </c>
      <c r="H98">
        <v>1</v>
      </c>
      <c r="I98">
        <v>1</v>
      </c>
      <c r="J98">
        <v>0</v>
      </c>
      <c r="K98">
        <v>0</v>
      </c>
      <c r="L98">
        <v>1</v>
      </c>
      <c r="M98">
        <v>1</v>
      </c>
      <c r="N98">
        <v>1</v>
      </c>
      <c r="O98" t="s">
        <v>160</v>
      </c>
    </row>
    <row r="99" spans="1:15" x14ac:dyDescent="0.25">
      <c r="A99" t="s">
        <v>161</v>
      </c>
      <c r="B99">
        <v>0</v>
      </c>
      <c r="C99">
        <v>5.0262212753295898</v>
      </c>
      <c r="D99">
        <v>1</v>
      </c>
      <c r="E99">
        <v>1</v>
      </c>
      <c r="F99">
        <v>1</v>
      </c>
      <c r="G99">
        <v>1</v>
      </c>
      <c r="H99">
        <v>1</v>
      </c>
      <c r="I99">
        <v>0</v>
      </c>
      <c r="J99">
        <v>0</v>
      </c>
      <c r="K99">
        <v>1</v>
      </c>
      <c r="L99">
        <v>1</v>
      </c>
      <c r="M99">
        <v>1</v>
      </c>
      <c r="N99">
        <v>1</v>
      </c>
      <c r="O99" t="s">
        <v>162</v>
      </c>
    </row>
    <row r="100" spans="1:15" x14ac:dyDescent="0.25">
      <c r="A100" t="s">
        <v>163</v>
      </c>
      <c r="B100">
        <v>0</v>
      </c>
      <c r="C100">
        <v>4.9068899154663086</v>
      </c>
      <c r="D100">
        <v>1</v>
      </c>
      <c r="E100">
        <v>1</v>
      </c>
      <c r="F100">
        <v>1</v>
      </c>
      <c r="G100">
        <v>0</v>
      </c>
      <c r="H100">
        <v>1</v>
      </c>
      <c r="I100">
        <v>1</v>
      </c>
      <c r="J100">
        <v>1</v>
      </c>
      <c r="K100">
        <v>1</v>
      </c>
      <c r="L100">
        <v>1</v>
      </c>
      <c r="M100">
        <v>1</v>
      </c>
      <c r="N100">
        <v>1</v>
      </c>
      <c r="O100" t="s">
        <v>164</v>
      </c>
    </row>
    <row r="101" spans="1:15" x14ac:dyDescent="0.25">
      <c r="A101" t="s">
        <v>165</v>
      </c>
      <c r="B101">
        <v>0</v>
      </c>
      <c r="C101">
        <v>12.868525743484501</v>
      </c>
      <c r="D101">
        <v>0</v>
      </c>
      <c r="E101" t="s">
        <v>17</v>
      </c>
      <c r="F101" t="s">
        <v>17</v>
      </c>
      <c r="G101" t="s">
        <v>17</v>
      </c>
      <c r="H101" t="s">
        <v>17</v>
      </c>
      <c r="I101" t="s">
        <v>17</v>
      </c>
      <c r="J101" t="s">
        <v>17</v>
      </c>
      <c r="K101" t="s">
        <v>17</v>
      </c>
      <c r="L101" t="s">
        <v>17</v>
      </c>
      <c r="M101" t="s">
        <v>17</v>
      </c>
      <c r="N101" t="s">
        <v>17</v>
      </c>
      <c r="O101" t="s">
        <v>166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1"/>
  <sheetViews>
    <sheetView workbookViewId="0"/>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v>0</v>
      </c>
      <c r="C2">
        <v>2.717720508575439</v>
      </c>
      <c r="D2">
        <v>1</v>
      </c>
      <c r="E2">
        <v>1</v>
      </c>
      <c r="F2">
        <v>1</v>
      </c>
      <c r="G2">
        <v>1</v>
      </c>
      <c r="H2">
        <v>1</v>
      </c>
      <c r="I2">
        <v>1</v>
      </c>
      <c r="J2">
        <v>1</v>
      </c>
      <c r="K2">
        <v>1</v>
      </c>
      <c r="L2">
        <v>1</v>
      </c>
      <c r="M2">
        <v>1</v>
      </c>
      <c r="N2">
        <v>1</v>
      </c>
    </row>
    <row r="3" spans="1:15" x14ac:dyDescent="0.25">
      <c r="A3" t="s">
        <v>16</v>
      </c>
      <c r="B3">
        <v>0</v>
      </c>
      <c r="C3">
        <v>7.3437151908874512</v>
      </c>
      <c r="D3">
        <v>0</v>
      </c>
      <c r="E3" t="s">
        <v>17</v>
      </c>
      <c r="F3" t="s">
        <v>17</v>
      </c>
      <c r="G3" t="s">
        <v>17</v>
      </c>
      <c r="H3" t="s">
        <v>17</v>
      </c>
      <c r="I3" t="s">
        <v>17</v>
      </c>
      <c r="J3" t="s">
        <v>17</v>
      </c>
      <c r="K3" t="s">
        <v>17</v>
      </c>
      <c r="L3" t="s">
        <v>17</v>
      </c>
      <c r="M3" t="s">
        <v>17</v>
      </c>
      <c r="N3" t="s">
        <v>17</v>
      </c>
      <c r="O3" t="s">
        <v>167</v>
      </c>
    </row>
    <row r="4" spans="1:15" x14ac:dyDescent="0.25">
      <c r="A4" t="s">
        <v>19</v>
      </c>
      <c r="B4">
        <v>0</v>
      </c>
      <c r="C4">
        <v>10.913837194442751</v>
      </c>
      <c r="D4">
        <v>1</v>
      </c>
      <c r="E4">
        <v>1</v>
      </c>
      <c r="F4">
        <v>1</v>
      </c>
      <c r="G4">
        <v>1</v>
      </c>
      <c r="H4">
        <v>1</v>
      </c>
      <c r="I4">
        <v>1</v>
      </c>
      <c r="J4">
        <v>1</v>
      </c>
      <c r="K4">
        <v>1</v>
      </c>
      <c r="L4">
        <v>1</v>
      </c>
      <c r="M4">
        <v>1</v>
      </c>
      <c r="N4">
        <v>1</v>
      </c>
    </row>
    <row r="5" spans="1:15" x14ac:dyDescent="0.25">
      <c r="A5" t="s">
        <v>20</v>
      </c>
      <c r="B5">
        <v>0</v>
      </c>
      <c r="C5">
        <v>10.06527495384216</v>
      </c>
      <c r="D5">
        <v>1</v>
      </c>
      <c r="E5">
        <v>1</v>
      </c>
      <c r="F5">
        <v>1</v>
      </c>
      <c r="G5">
        <v>1</v>
      </c>
      <c r="H5">
        <v>1</v>
      </c>
      <c r="I5">
        <v>1</v>
      </c>
      <c r="J5">
        <v>1</v>
      </c>
      <c r="K5">
        <v>1</v>
      </c>
      <c r="L5">
        <v>1</v>
      </c>
      <c r="M5">
        <v>1</v>
      </c>
      <c r="N5">
        <v>1</v>
      </c>
    </row>
    <row r="6" spans="1:15" x14ac:dyDescent="0.25">
      <c r="A6" t="s">
        <v>21</v>
      </c>
      <c r="B6">
        <v>0</v>
      </c>
      <c r="C6">
        <v>2.7206640243530269</v>
      </c>
      <c r="D6">
        <v>1</v>
      </c>
      <c r="E6">
        <v>1</v>
      </c>
      <c r="F6">
        <v>1</v>
      </c>
      <c r="G6">
        <v>1</v>
      </c>
      <c r="H6">
        <v>1</v>
      </c>
      <c r="I6">
        <v>1</v>
      </c>
      <c r="J6">
        <v>1</v>
      </c>
      <c r="K6">
        <v>1</v>
      </c>
      <c r="L6">
        <v>1</v>
      </c>
      <c r="M6">
        <v>1</v>
      </c>
      <c r="N6">
        <v>1</v>
      </c>
    </row>
    <row r="7" spans="1:15" x14ac:dyDescent="0.25">
      <c r="A7" t="s">
        <v>22</v>
      </c>
      <c r="B7">
        <v>0</v>
      </c>
      <c r="C7">
        <v>2.8154137134552002</v>
      </c>
      <c r="D7">
        <v>1</v>
      </c>
      <c r="E7">
        <v>1</v>
      </c>
      <c r="F7">
        <v>1</v>
      </c>
      <c r="G7">
        <v>1</v>
      </c>
      <c r="H7">
        <v>1</v>
      </c>
      <c r="I7">
        <v>1</v>
      </c>
      <c r="J7">
        <v>1</v>
      </c>
      <c r="K7">
        <v>1</v>
      </c>
      <c r="L7">
        <v>1</v>
      </c>
      <c r="M7">
        <v>1</v>
      </c>
      <c r="N7">
        <v>1</v>
      </c>
    </row>
    <row r="8" spans="1:15" x14ac:dyDescent="0.25">
      <c r="A8" t="s">
        <v>23</v>
      </c>
      <c r="B8">
        <v>0</v>
      </c>
      <c r="C8">
        <v>8.5296130180358887</v>
      </c>
      <c r="D8">
        <v>1</v>
      </c>
      <c r="E8">
        <v>1</v>
      </c>
      <c r="F8">
        <v>1</v>
      </c>
      <c r="G8">
        <v>1</v>
      </c>
      <c r="H8">
        <v>1</v>
      </c>
      <c r="I8">
        <v>1</v>
      </c>
      <c r="J8">
        <v>1</v>
      </c>
      <c r="K8">
        <v>1</v>
      </c>
      <c r="L8">
        <v>1</v>
      </c>
      <c r="M8">
        <v>1</v>
      </c>
      <c r="N8">
        <v>1</v>
      </c>
    </row>
    <row r="9" spans="1:15" x14ac:dyDescent="0.25">
      <c r="A9" t="s">
        <v>24</v>
      </c>
      <c r="B9">
        <v>0</v>
      </c>
      <c r="C9">
        <v>9.1517496109008789</v>
      </c>
      <c r="D9">
        <v>1</v>
      </c>
      <c r="E9">
        <v>1</v>
      </c>
      <c r="F9">
        <v>1</v>
      </c>
      <c r="G9">
        <v>1</v>
      </c>
      <c r="H9">
        <v>1</v>
      </c>
      <c r="I9">
        <v>1</v>
      </c>
      <c r="J9">
        <v>1</v>
      </c>
      <c r="K9">
        <v>1</v>
      </c>
      <c r="L9">
        <v>1</v>
      </c>
      <c r="M9">
        <v>1</v>
      </c>
      <c r="N9">
        <v>1</v>
      </c>
    </row>
    <row r="10" spans="1:15" x14ac:dyDescent="0.25">
      <c r="A10" t="s">
        <v>25</v>
      </c>
      <c r="B10">
        <v>0</v>
      </c>
      <c r="C10">
        <v>11.157462120056151</v>
      </c>
      <c r="D10">
        <v>1</v>
      </c>
      <c r="E10">
        <v>1</v>
      </c>
      <c r="F10">
        <v>1</v>
      </c>
      <c r="G10">
        <v>0</v>
      </c>
      <c r="H10">
        <v>1</v>
      </c>
      <c r="I10">
        <v>0</v>
      </c>
      <c r="J10">
        <v>1</v>
      </c>
      <c r="K10">
        <v>1</v>
      </c>
      <c r="L10">
        <v>1</v>
      </c>
      <c r="M10">
        <v>1</v>
      </c>
      <c r="N10">
        <v>1</v>
      </c>
      <c r="O10" t="s">
        <v>168</v>
      </c>
    </row>
    <row r="11" spans="1:15" x14ac:dyDescent="0.25">
      <c r="A11" t="s">
        <v>27</v>
      </c>
      <c r="B11">
        <v>0</v>
      </c>
      <c r="C11">
        <v>2.7150619029998779</v>
      </c>
      <c r="D11">
        <v>1</v>
      </c>
      <c r="E11">
        <v>1</v>
      </c>
      <c r="F11">
        <v>1</v>
      </c>
      <c r="G11">
        <v>1</v>
      </c>
      <c r="H11">
        <v>1</v>
      </c>
      <c r="I11">
        <v>1</v>
      </c>
      <c r="J11">
        <v>1</v>
      </c>
      <c r="K11">
        <v>1</v>
      </c>
      <c r="L11">
        <v>1</v>
      </c>
      <c r="M11">
        <v>1</v>
      </c>
      <c r="N11">
        <v>1</v>
      </c>
    </row>
    <row r="12" spans="1:15" x14ac:dyDescent="0.25">
      <c r="A12" t="s">
        <v>28</v>
      </c>
      <c r="B12">
        <v>0</v>
      </c>
      <c r="C12">
        <v>5.3452403545379639</v>
      </c>
      <c r="D12">
        <v>1</v>
      </c>
      <c r="E12">
        <v>0</v>
      </c>
      <c r="F12">
        <v>1</v>
      </c>
      <c r="G12" t="s">
        <v>17</v>
      </c>
      <c r="H12">
        <v>1</v>
      </c>
      <c r="I12" t="s">
        <v>17</v>
      </c>
      <c r="J12">
        <v>1</v>
      </c>
      <c r="K12">
        <v>1</v>
      </c>
      <c r="L12">
        <v>1</v>
      </c>
      <c r="M12">
        <v>1</v>
      </c>
      <c r="N12">
        <v>1</v>
      </c>
      <c r="O12" t="s">
        <v>169</v>
      </c>
    </row>
    <row r="13" spans="1:15" x14ac:dyDescent="0.25">
      <c r="A13" t="s">
        <v>30</v>
      </c>
      <c r="B13">
        <v>0</v>
      </c>
      <c r="C13">
        <v>4.5200786590576172</v>
      </c>
      <c r="D13">
        <v>1</v>
      </c>
      <c r="E13">
        <v>1</v>
      </c>
      <c r="F13">
        <v>1</v>
      </c>
      <c r="G13">
        <v>1</v>
      </c>
      <c r="H13">
        <v>1</v>
      </c>
      <c r="I13">
        <v>0</v>
      </c>
      <c r="J13">
        <v>1</v>
      </c>
      <c r="K13">
        <v>1</v>
      </c>
      <c r="L13">
        <v>1</v>
      </c>
      <c r="M13">
        <v>1</v>
      </c>
      <c r="N13">
        <v>1</v>
      </c>
      <c r="O13" t="s">
        <v>170</v>
      </c>
    </row>
    <row r="14" spans="1:15" x14ac:dyDescent="0.25">
      <c r="A14" t="s">
        <v>32</v>
      </c>
      <c r="B14">
        <v>0</v>
      </c>
      <c r="C14">
        <v>2.7858157157897949</v>
      </c>
      <c r="D14">
        <v>1</v>
      </c>
      <c r="E14">
        <v>1</v>
      </c>
      <c r="F14">
        <v>1</v>
      </c>
      <c r="G14">
        <v>1</v>
      </c>
      <c r="H14">
        <v>1</v>
      </c>
      <c r="I14">
        <v>1</v>
      </c>
      <c r="J14">
        <v>1</v>
      </c>
      <c r="K14">
        <v>1</v>
      </c>
      <c r="L14">
        <v>1</v>
      </c>
      <c r="M14">
        <v>1</v>
      </c>
      <c r="N14">
        <v>1</v>
      </c>
    </row>
    <row r="15" spans="1:15" x14ac:dyDescent="0.25">
      <c r="A15" t="s">
        <v>33</v>
      </c>
      <c r="B15">
        <v>0</v>
      </c>
      <c r="C15">
        <v>4.7111115455627441</v>
      </c>
      <c r="D15">
        <v>1</v>
      </c>
      <c r="E15">
        <v>1</v>
      </c>
      <c r="F15">
        <v>0</v>
      </c>
      <c r="G15" t="s">
        <v>17</v>
      </c>
      <c r="H15">
        <v>1</v>
      </c>
      <c r="I15">
        <v>1</v>
      </c>
      <c r="J15">
        <v>1</v>
      </c>
      <c r="K15">
        <v>1</v>
      </c>
      <c r="L15">
        <v>1</v>
      </c>
      <c r="M15">
        <v>1</v>
      </c>
      <c r="N15">
        <v>1</v>
      </c>
      <c r="O15" t="s">
        <v>171</v>
      </c>
    </row>
    <row r="16" spans="1:15" x14ac:dyDescent="0.25">
      <c r="A16" t="s">
        <v>34</v>
      </c>
      <c r="B16">
        <v>0</v>
      </c>
      <c r="C16">
        <v>10.941810369491581</v>
      </c>
      <c r="D16">
        <v>1</v>
      </c>
      <c r="E16">
        <v>0</v>
      </c>
      <c r="F16">
        <v>1</v>
      </c>
      <c r="G16" t="s">
        <v>17</v>
      </c>
      <c r="H16">
        <v>1</v>
      </c>
      <c r="I16" t="s">
        <v>17</v>
      </c>
      <c r="J16">
        <v>1</v>
      </c>
      <c r="K16">
        <v>1</v>
      </c>
      <c r="L16">
        <v>1</v>
      </c>
      <c r="M16">
        <v>1</v>
      </c>
      <c r="N16">
        <v>1</v>
      </c>
      <c r="O16" t="s">
        <v>172</v>
      </c>
    </row>
    <row r="17" spans="1:15" x14ac:dyDescent="0.25">
      <c r="A17" t="s">
        <v>36</v>
      </c>
      <c r="B17">
        <v>0</v>
      </c>
      <c r="C17">
        <v>10.53233671188354</v>
      </c>
      <c r="D17">
        <v>1</v>
      </c>
      <c r="E17">
        <v>1</v>
      </c>
      <c r="F17">
        <v>1</v>
      </c>
      <c r="G17">
        <v>1</v>
      </c>
      <c r="H17">
        <v>1</v>
      </c>
      <c r="I17">
        <v>1</v>
      </c>
      <c r="J17">
        <v>1</v>
      </c>
      <c r="K17">
        <v>1</v>
      </c>
      <c r="L17">
        <v>1</v>
      </c>
      <c r="M17">
        <v>1</v>
      </c>
      <c r="N17">
        <v>1</v>
      </c>
    </row>
    <row r="18" spans="1:15" x14ac:dyDescent="0.25">
      <c r="A18" t="s">
        <v>37</v>
      </c>
      <c r="B18">
        <v>0</v>
      </c>
      <c r="C18">
        <v>10.89317679405212</v>
      </c>
      <c r="D18">
        <v>1</v>
      </c>
      <c r="E18">
        <v>1</v>
      </c>
      <c r="F18">
        <v>1</v>
      </c>
      <c r="G18">
        <v>1</v>
      </c>
      <c r="H18">
        <v>1</v>
      </c>
      <c r="I18">
        <v>1</v>
      </c>
      <c r="J18">
        <v>1</v>
      </c>
      <c r="K18">
        <v>1</v>
      </c>
      <c r="L18">
        <v>1</v>
      </c>
      <c r="M18">
        <v>1</v>
      </c>
      <c r="N18">
        <v>1</v>
      </c>
    </row>
    <row r="19" spans="1:15" x14ac:dyDescent="0.25">
      <c r="A19" t="s">
        <v>38</v>
      </c>
      <c r="B19">
        <v>0</v>
      </c>
      <c r="C19">
        <v>12.670622587203979</v>
      </c>
      <c r="D19">
        <v>1</v>
      </c>
      <c r="E19">
        <v>1</v>
      </c>
      <c r="F19">
        <v>0</v>
      </c>
      <c r="G19" t="s">
        <v>17</v>
      </c>
      <c r="H19">
        <v>0</v>
      </c>
      <c r="I19">
        <v>1</v>
      </c>
      <c r="J19">
        <v>0</v>
      </c>
      <c r="K19">
        <v>1</v>
      </c>
      <c r="L19">
        <v>1</v>
      </c>
      <c r="M19">
        <v>1</v>
      </c>
      <c r="N19">
        <v>1</v>
      </c>
      <c r="O19" t="s">
        <v>173</v>
      </c>
    </row>
    <row r="20" spans="1:15" x14ac:dyDescent="0.25">
      <c r="A20" t="s">
        <v>40</v>
      </c>
      <c r="B20">
        <v>0</v>
      </c>
      <c r="C20">
        <v>9.7302074432373047</v>
      </c>
      <c r="D20">
        <v>1</v>
      </c>
      <c r="E20">
        <v>1</v>
      </c>
      <c r="F20">
        <v>1</v>
      </c>
      <c r="G20">
        <v>1</v>
      </c>
      <c r="H20">
        <v>1</v>
      </c>
      <c r="I20">
        <v>1</v>
      </c>
      <c r="J20">
        <v>1</v>
      </c>
      <c r="K20">
        <v>1</v>
      </c>
      <c r="L20">
        <v>1</v>
      </c>
      <c r="M20">
        <v>1</v>
      </c>
      <c r="N20">
        <v>1</v>
      </c>
    </row>
    <row r="21" spans="1:15" x14ac:dyDescent="0.25">
      <c r="A21" t="s">
        <v>41</v>
      </c>
      <c r="B21">
        <v>0</v>
      </c>
      <c r="C21">
        <v>9.37095046043396</v>
      </c>
      <c r="D21">
        <v>1</v>
      </c>
      <c r="E21">
        <v>1</v>
      </c>
      <c r="F21">
        <v>1</v>
      </c>
      <c r="G21">
        <v>1</v>
      </c>
      <c r="H21">
        <v>1</v>
      </c>
      <c r="I21">
        <v>1</v>
      </c>
      <c r="J21">
        <v>1</v>
      </c>
      <c r="K21">
        <v>1</v>
      </c>
      <c r="L21">
        <v>1</v>
      </c>
      <c r="M21">
        <v>1</v>
      </c>
      <c r="N21">
        <v>1</v>
      </c>
    </row>
    <row r="22" spans="1:15" x14ac:dyDescent="0.25">
      <c r="A22" t="s">
        <v>42</v>
      </c>
      <c r="B22">
        <v>0</v>
      </c>
      <c r="C22">
        <v>2.6964795589447021</v>
      </c>
      <c r="D22">
        <v>1</v>
      </c>
      <c r="E22">
        <v>1</v>
      </c>
      <c r="F22">
        <v>1</v>
      </c>
      <c r="G22">
        <v>1</v>
      </c>
      <c r="H22">
        <v>1</v>
      </c>
      <c r="I22">
        <v>1</v>
      </c>
      <c r="J22">
        <v>1</v>
      </c>
      <c r="K22">
        <v>1</v>
      </c>
      <c r="L22">
        <v>1</v>
      </c>
      <c r="M22">
        <v>1</v>
      </c>
      <c r="N22">
        <v>1</v>
      </c>
    </row>
    <row r="23" spans="1:15" x14ac:dyDescent="0.25">
      <c r="A23" t="s">
        <v>43</v>
      </c>
      <c r="B23">
        <v>0</v>
      </c>
      <c r="C23">
        <v>13.82821202278137</v>
      </c>
      <c r="D23">
        <v>1</v>
      </c>
      <c r="E23">
        <v>1</v>
      </c>
      <c r="F23">
        <v>1</v>
      </c>
      <c r="G23">
        <v>1</v>
      </c>
      <c r="H23">
        <v>1</v>
      </c>
      <c r="I23">
        <v>0</v>
      </c>
      <c r="J23">
        <v>1</v>
      </c>
      <c r="K23">
        <v>1</v>
      </c>
      <c r="L23">
        <v>1</v>
      </c>
      <c r="M23">
        <v>1</v>
      </c>
      <c r="N23">
        <v>1</v>
      </c>
      <c r="O23" t="s">
        <v>174</v>
      </c>
    </row>
    <row r="24" spans="1:15" x14ac:dyDescent="0.25">
      <c r="A24" t="s">
        <v>45</v>
      </c>
      <c r="B24">
        <v>0</v>
      </c>
      <c r="C24">
        <v>11.81525444984436</v>
      </c>
      <c r="D24">
        <v>1</v>
      </c>
      <c r="E24">
        <v>1</v>
      </c>
      <c r="F24">
        <v>1</v>
      </c>
      <c r="G24">
        <v>0</v>
      </c>
      <c r="H24">
        <v>1</v>
      </c>
      <c r="I24">
        <v>1</v>
      </c>
      <c r="J24">
        <v>1</v>
      </c>
      <c r="K24">
        <v>1</v>
      </c>
      <c r="L24">
        <v>1</v>
      </c>
      <c r="M24">
        <v>1</v>
      </c>
      <c r="N24">
        <v>1</v>
      </c>
      <c r="O24" t="s">
        <v>175</v>
      </c>
    </row>
    <row r="25" spans="1:15" x14ac:dyDescent="0.25">
      <c r="A25" t="s">
        <v>47</v>
      </c>
      <c r="B25">
        <v>0</v>
      </c>
      <c r="C25">
        <v>9.6581010818481445</v>
      </c>
      <c r="D25">
        <v>1</v>
      </c>
      <c r="E25">
        <v>1</v>
      </c>
      <c r="F25">
        <v>1</v>
      </c>
      <c r="G25">
        <v>1</v>
      </c>
      <c r="H25">
        <v>1</v>
      </c>
      <c r="I25">
        <v>1</v>
      </c>
      <c r="J25">
        <v>1</v>
      </c>
      <c r="K25">
        <v>1</v>
      </c>
      <c r="L25">
        <v>1</v>
      </c>
      <c r="M25">
        <v>1</v>
      </c>
      <c r="N25">
        <v>1</v>
      </c>
    </row>
    <row r="26" spans="1:15" x14ac:dyDescent="0.25">
      <c r="A26" t="s">
        <v>48</v>
      </c>
      <c r="B26">
        <v>0</v>
      </c>
      <c r="C26">
        <v>10.42411828041077</v>
      </c>
      <c r="D26">
        <v>1</v>
      </c>
      <c r="E26">
        <v>1</v>
      </c>
      <c r="F26">
        <v>1</v>
      </c>
      <c r="G26">
        <v>1</v>
      </c>
      <c r="H26">
        <v>1</v>
      </c>
      <c r="I26">
        <v>1</v>
      </c>
      <c r="J26">
        <v>1</v>
      </c>
      <c r="K26">
        <v>1</v>
      </c>
      <c r="L26">
        <v>1</v>
      </c>
      <c r="M26">
        <v>1</v>
      </c>
      <c r="N26">
        <v>1</v>
      </c>
    </row>
    <row r="27" spans="1:15" x14ac:dyDescent="0.25">
      <c r="A27" t="s">
        <v>50</v>
      </c>
      <c r="B27">
        <v>0</v>
      </c>
      <c r="C27">
        <v>2.7581527233123779</v>
      </c>
      <c r="D27">
        <v>1</v>
      </c>
      <c r="E27">
        <v>1</v>
      </c>
      <c r="F27">
        <v>1</v>
      </c>
      <c r="G27">
        <v>1</v>
      </c>
      <c r="H27">
        <v>1</v>
      </c>
      <c r="I27">
        <v>1</v>
      </c>
      <c r="J27">
        <v>1</v>
      </c>
      <c r="K27">
        <v>1</v>
      </c>
      <c r="L27">
        <v>1</v>
      </c>
      <c r="M27">
        <v>1</v>
      </c>
      <c r="N27">
        <v>1</v>
      </c>
    </row>
    <row r="28" spans="1:15" x14ac:dyDescent="0.25">
      <c r="A28" t="s">
        <v>51</v>
      </c>
      <c r="B28">
        <v>0</v>
      </c>
      <c r="C28">
        <v>13.015866756439211</v>
      </c>
      <c r="D28">
        <v>1</v>
      </c>
      <c r="E28">
        <v>1</v>
      </c>
      <c r="F28">
        <v>1</v>
      </c>
      <c r="G28">
        <v>1</v>
      </c>
      <c r="H28">
        <v>1</v>
      </c>
      <c r="I28">
        <v>1</v>
      </c>
      <c r="J28">
        <v>0</v>
      </c>
      <c r="K28">
        <v>1</v>
      </c>
      <c r="L28">
        <v>1</v>
      </c>
      <c r="M28">
        <v>1</v>
      </c>
      <c r="N28">
        <v>1</v>
      </c>
      <c r="O28" t="s">
        <v>176</v>
      </c>
    </row>
    <row r="29" spans="1:15" x14ac:dyDescent="0.25">
      <c r="A29" t="s">
        <v>53</v>
      </c>
      <c r="B29">
        <v>0</v>
      </c>
      <c r="C29">
        <v>11.53603458404541</v>
      </c>
      <c r="D29">
        <v>1</v>
      </c>
      <c r="E29">
        <v>1</v>
      </c>
      <c r="F29">
        <v>1</v>
      </c>
      <c r="G29">
        <v>0</v>
      </c>
      <c r="H29">
        <v>1</v>
      </c>
      <c r="I29">
        <v>1</v>
      </c>
      <c r="J29">
        <v>1</v>
      </c>
      <c r="K29">
        <v>1</v>
      </c>
      <c r="L29">
        <v>1</v>
      </c>
      <c r="M29">
        <v>1</v>
      </c>
      <c r="N29">
        <v>1</v>
      </c>
      <c r="O29" t="s">
        <v>177</v>
      </c>
    </row>
    <row r="30" spans="1:15" x14ac:dyDescent="0.25">
      <c r="A30" t="s">
        <v>55</v>
      </c>
      <c r="B30">
        <v>0</v>
      </c>
      <c r="C30">
        <v>10.58661913871765</v>
      </c>
      <c r="D30">
        <v>0</v>
      </c>
      <c r="E30" t="s">
        <v>17</v>
      </c>
      <c r="F30" t="s">
        <v>17</v>
      </c>
      <c r="G30" t="s">
        <v>17</v>
      </c>
      <c r="H30" t="s">
        <v>17</v>
      </c>
      <c r="I30" t="s">
        <v>17</v>
      </c>
      <c r="J30" t="s">
        <v>17</v>
      </c>
      <c r="K30" t="s">
        <v>17</v>
      </c>
      <c r="L30" t="s">
        <v>17</v>
      </c>
      <c r="M30" t="s">
        <v>17</v>
      </c>
      <c r="N30" t="s">
        <v>17</v>
      </c>
      <c r="O30" t="s">
        <v>178</v>
      </c>
    </row>
    <row r="31" spans="1:15" x14ac:dyDescent="0.25">
      <c r="A31" t="s">
        <v>57</v>
      </c>
      <c r="B31">
        <v>0</v>
      </c>
      <c r="C31">
        <v>12.60516571998596</v>
      </c>
      <c r="D31">
        <v>0</v>
      </c>
      <c r="E31" t="s">
        <v>17</v>
      </c>
      <c r="F31" t="s">
        <v>17</v>
      </c>
      <c r="G31" t="s">
        <v>17</v>
      </c>
      <c r="H31" t="s">
        <v>17</v>
      </c>
      <c r="I31" t="s">
        <v>17</v>
      </c>
      <c r="J31" t="s">
        <v>17</v>
      </c>
      <c r="K31" t="s">
        <v>17</v>
      </c>
      <c r="L31" t="s">
        <v>17</v>
      </c>
      <c r="M31" t="s">
        <v>17</v>
      </c>
      <c r="N31" t="s">
        <v>17</v>
      </c>
      <c r="O31" t="s">
        <v>179</v>
      </c>
    </row>
    <row r="32" spans="1:15" x14ac:dyDescent="0.25">
      <c r="A32" t="s">
        <v>59</v>
      </c>
      <c r="B32">
        <v>0</v>
      </c>
      <c r="C32">
        <v>2.771729469299316</v>
      </c>
      <c r="D32">
        <v>1</v>
      </c>
      <c r="E32">
        <v>1</v>
      </c>
      <c r="F32">
        <v>1</v>
      </c>
      <c r="G32">
        <v>1</v>
      </c>
      <c r="H32">
        <v>1</v>
      </c>
      <c r="I32">
        <v>1</v>
      </c>
      <c r="J32">
        <v>1</v>
      </c>
      <c r="K32">
        <v>1</v>
      </c>
      <c r="L32">
        <v>1</v>
      </c>
      <c r="M32">
        <v>1</v>
      </c>
      <c r="N32">
        <v>1</v>
      </c>
    </row>
    <row r="33" spans="1:15" x14ac:dyDescent="0.25">
      <c r="A33" t="s">
        <v>60</v>
      </c>
      <c r="B33">
        <v>0</v>
      </c>
      <c r="C33">
        <v>12.547117710113531</v>
      </c>
      <c r="D33">
        <v>1</v>
      </c>
      <c r="E33">
        <v>1</v>
      </c>
      <c r="F33">
        <v>0</v>
      </c>
      <c r="G33" t="s">
        <v>17</v>
      </c>
      <c r="H33">
        <v>1</v>
      </c>
      <c r="I33">
        <v>0</v>
      </c>
      <c r="J33">
        <v>1</v>
      </c>
      <c r="K33">
        <v>1</v>
      </c>
      <c r="L33">
        <v>1</v>
      </c>
      <c r="M33">
        <v>1</v>
      </c>
      <c r="N33">
        <v>1</v>
      </c>
      <c r="O33" t="s">
        <v>180</v>
      </c>
    </row>
    <row r="34" spans="1:15" x14ac:dyDescent="0.25">
      <c r="A34" t="s">
        <v>62</v>
      </c>
      <c r="B34">
        <v>0</v>
      </c>
      <c r="C34">
        <v>8.9250137805938721</v>
      </c>
      <c r="D34">
        <v>1</v>
      </c>
      <c r="E34">
        <v>1</v>
      </c>
      <c r="F34">
        <v>1</v>
      </c>
      <c r="G34">
        <v>1</v>
      </c>
      <c r="H34">
        <v>1</v>
      </c>
      <c r="I34">
        <v>1</v>
      </c>
      <c r="J34">
        <v>1</v>
      </c>
      <c r="K34">
        <v>1</v>
      </c>
      <c r="L34">
        <v>1</v>
      </c>
      <c r="M34">
        <v>1</v>
      </c>
      <c r="N34">
        <v>1</v>
      </c>
    </row>
    <row r="35" spans="1:15" x14ac:dyDescent="0.25">
      <c r="A35" t="s">
        <v>63</v>
      </c>
      <c r="B35">
        <v>0</v>
      </c>
      <c r="C35">
        <v>2.6673152446746831</v>
      </c>
      <c r="D35">
        <v>1</v>
      </c>
      <c r="E35">
        <v>1</v>
      </c>
      <c r="F35">
        <v>1</v>
      </c>
      <c r="G35">
        <v>1</v>
      </c>
      <c r="H35">
        <v>1</v>
      </c>
      <c r="I35">
        <v>1</v>
      </c>
      <c r="J35">
        <v>1</v>
      </c>
      <c r="K35">
        <v>1</v>
      </c>
      <c r="L35">
        <v>1</v>
      </c>
      <c r="M35">
        <v>1</v>
      </c>
      <c r="N35">
        <v>1</v>
      </c>
    </row>
    <row r="36" spans="1:15" x14ac:dyDescent="0.25">
      <c r="A36" t="s">
        <v>64</v>
      </c>
      <c r="B36">
        <v>0</v>
      </c>
      <c r="C36">
        <v>4.8393595218658447</v>
      </c>
      <c r="D36">
        <v>1</v>
      </c>
      <c r="E36">
        <v>1</v>
      </c>
      <c r="F36">
        <v>1</v>
      </c>
      <c r="G36">
        <v>1</v>
      </c>
      <c r="H36">
        <v>1</v>
      </c>
      <c r="I36">
        <v>0</v>
      </c>
      <c r="J36">
        <v>1</v>
      </c>
      <c r="K36">
        <v>1</v>
      </c>
      <c r="L36">
        <v>1</v>
      </c>
      <c r="M36">
        <v>1</v>
      </c>
      <c r="N36">
        <v>1</v>
      </c>
      <c r="O36" t="s">
        <v>181</v>
      </c>
    </row>
    <row r="37" spans="1:15" x14ac:dyDescent="0.25">
      <c r="A37" t="s">
        <v>66</v>
      </c>
      <c r="B37">
        <v>0</v>
      </c>
      <c r="C37">
        <v>10.25989651679993</v>
      </c>
      <c r="D37">
        <v>1</v>
      </c>
      <c r="E37">
        <v>1</v>
      </c>
      <c r="F37">
        <v>1</v>
      </c>
      <c r="G37">
        <v>1</v>
      </c>
      <c r="H37">
        <v>1</v>
      </c>
      <c r="I37">
        <v>1</v>
      </c>
      <c r="J37">
        <v>1</v>
      </c>
      <c r="K37">
        <v>1</v>
      </c>
      <c r="L37">
        <v>1</v>
      </c>
      <c r="M37">
        <v>1</v>
      </c>
      <c r="N37">
        <v>1</v>
      </c>
    </row>
    <row r="38" spans="1:15" x14ac:dyDescent="0.25">
      <c r="A38" t="s">
        <v>67</v>
      </c>
      <c r="B38">
        <v>0</v>
      </c>
      <c r="C38">
        <v>11.632956981658941</v>
      </c>
      <c r="D38">
        <v>0</v>
      </c>
      <c r="E38" t="s">
        <v>17</v>
      </c>
      <c r="F38" t="s">
        <v>17</v>
      </c>
      <c r="G38" t="s">
        <v>17</v>
      </c>
      <c r="H38" t="s">
        <v>17</v>
      </c>
      <c r="I38" t="s">
        <v>17</v>
      </c>
      <c r="J38" t="s">
        <v>17</v>
      </c>
      <c r="K38" t="s">
        <v>17</v>
      </c>
      <c r="L38" t="s">
        <v>17</v>
      </c>
      <c r="M38" t="s">
        <v>17</v>
      </c>
      <c r="N38" t="s">
        <v>17</v>
      </c>
      <c r="O38" t="s">
        <v>182</v>
      </c>
    </row>
    <row r="39" spans="1:15" x14ac:dyDescent="0.25">
      <c r="A39" t="s">
        <v>69</v>
      </c>
      <c r="B39">
        <v>0</v>
      </c>
      <c r="C39">
        <v>8.5646002292633057</v>
      </c>
      <c r="D39">
        <v>1</v>
      </c>
      <c r="E39">
        <v>1</v>
      </c>
      <c r="F39">
        <v>1</v>
      </c>
      <c r="G39">
        <v>1</v>
      </c>
      <c r="H39">
        <v>1</v>
      </c>
      <c r="I39">
        <v>1</v>
      </c>
      <c r="J39">
        <v>1</v>
      </c>
      <c r="K39">
        <v>1</v>
      </c>
      <c r="L39">
        <v>1</v>
      </c>
      <c r="M39">
        <v>1</v>
      </c>
      <c r="N39">
        <v>1</v>
      </c>
    </row>
    <row r="40" spans="1:15" x14ac:dyDescent="0.25">
      <c r="A40" t="s">
        <v>71</v>
      </c>
      <c r="B40">
        <v>0</v>
      </c>
      <c r="C40">
        <v>4.5898227691650391</v>
      </c>
      <c r="D40">
        <v>1</v>
      </c>
      <c r="E40">
        <v>1</v>
      </c>
      <c r="F40">
        <v>1</v>
      </c>
      <c r="G40">
        <v>1</v>
      </c>
      <c r="H40">
        <v>1</v>
      </c>
      <c r="I40">
        <v>0</v>
      </c>
      <c r="J40">
        <v>1</v>
      </c>
      <c r="K40">
        <v>1</v>
      </c>
      <c r="L40">
        <v>1</v>
      </c>
      <c r="M40">
        <v>1</v>
      </c>
      <c r="N40">
        <v>1</v>
      </c>
      <c r="O40" t="s">
        <v>183</v>
      </c>
    </row>
    <row r="41" spans="1:15" x14ac:dyDescent="0.25">
      <c r="A41" t="s">
        <v>73</v>
      </c>
      <c r="B41">
        <v>0</v>
      </c>
      <c r="C41">
        <v>6.1698155403137207</v>
      </c>
      <c r="D41">
        <v>1</v>
      </c>
      <c r="E41">
        <v>1</v>
      </c>
      <c r="F41">
        <v>1</v>
      </c>
      <c r="G41">
        <v>1</v>
      </c>
      <c r="H41">
        <v>0</v>
      </c>
      <c r="I41">
        <v>1</v>
      </c>
      <c r="J41">
        <v>0</v>
      </c>
      <c r="K41">
        <v>0</v>
      </c>
      <c r="L41">
        <v>1</v>
      </c>
      <c r="M41">
        <v>1</v>
      </c>
      <c r="N41">
        <v>1</v>
      </c>
      <c r="O41" t="s">
        <v>184</v>
      </c>
    </row>
    <row r="42" spans="1:15" x14ac:dyDescent="0.25">
      <c r="A42" t="s">
        <v>75</v>
      </c>
      <c r="B42">
        <v>0</v>
      </c>
      <c r="C42">
        <v>2.835207462310791</v>
      </c>
      <c r="D42">
        <v>1</v>
      </c>
      <c r="E42">
        <v>1</v>
      </c>
      <c r="F42">
        <v>1</v>
      </c>
      <c r="G42">
        <v>1</v>
      </c>
      <c r="H42">
        <v>1</v>
      </c>
      <c r="I42">
        <v>1</v>
      </c>
      <c r="J42">
        <v>1</v>
      </c>
      <c r="K42">
        <v>1</v>
      </c>
      <c r="L42">
        <v>1</v>
      </c>
      <c r="M42">
        <v>1</v>
      </c>
      <c r="N42">
        <v>1</v>
      </c>
    </row>
    <row r="43" spans="1:15" x14ac:dyDescent="0.25">
      <c r="A43" t="s">
        <v>76</v>
      </c>
      <c r="B43">
        <v>0</v>
      </c>
      <c r="C43">
        <v>2.7684919834136958</v>
      </c>
      <c r="D43">
        <v>1</v>
      </c>
      <c r="E43">
        <v>1</v>
      </c>
      <c r="F43">
        <v>1</v>
      </c>
      <c r="G43">
        <v>1</v>
      </c>
      <c r="H43">
        <v>1</v>
      </c>
      <c r="I43">
        <v>1</v>
      </c>
      <c r="J43">
        <v>1</v>
      </c>
      <c r="K43">
        <v>1</v>
      </c>
      <c r="L43">
        <v>1</v>
      </c>
      <c r="M43">
        <v>1</v>
      </c>
      <c r="N43">
        <v>1</v>
      </c>
    </row>
    <row r="44" spans="1:15" x14ac:dyDescent="0.25">
      <c r="A44" t="s">
        <v>77</v>
      </c>
      <c r="B44">
        <v>0</v>
      </c>
      <c r="C44">
        <v>2.5178532600402832</v>
      </c>
      <c r="D44">
        <v>1</v>
      </c>
      <c r="E44">
        <v>1</v>
      </c>
      <c r="F44">
        <v>1</v>
      </c>
      <c r="G44">
        <v>1</v>
      </c>
      <c r="H44">
        <v>1</v>
      </c>
      <c r="I44">
        <v>1</v>
      </c>
      <c r="J44">
        <v>1</v>
      </c>
      <c r="K44">
        <v>1</v>
      </c>
      <c r="L44">
        <v>1</v>
      </c>
      <c r="M44">
        <v>1</v>
      </c>
      <c r="N44">
        <v>1</v>
      </c>
    </row>
    <row r="45" spans="1:15" x14ac:dyDescent="0.25">
      <c r="A45" t="s">
        <v>78</v>
      </c>
      <c r="B45">
        <v>0</v>
      </c>
      <c r="C45">
        <v>9.4986572265625</v>
      </c>
      <c r="D45">
        <v>1</v>
      </c>
      <c r="E45">
        <v>1</v>
      </c>
      <c r="F45">
        <v>1</v>
      </c>
      <c r="G45">
        <v>1</v>
      </c>
      <c r="H45">
        <v>1</v>
      </c>
      <c r="I45">
        <v>1</v>
      </c>
      <c r="J45">
        <v>1</v>
      </c>
      <c r="K45">
        <v>1</v>
      </c>
      <c r="L45">
        <v>1</v>
      </c>
      <c r="M45">
        <v>1</v>
      </c>
      <c r="N45">
        <v>1</v>
      </c>
    </row>
    <row r="46" spans="1:15" x14ac:dyDescent="0.25">
      <c r="A46" t="s">
        <v>79</v>
      </c>
      <c r="B46">
        <v>0</v>
      </c>
      <c r="C46">
        <v>9.9857864379882813</v>
      </c>
      <c r="D46">
        <v>1</v>
      </c>
      <c r="E46">
        <v>1</v>
      </c>
      <c r="F46">
        <v>1</v>
      </c>
      <c r="G46">
        <v>1</v>
      </c>
      <c r="H46">
        <v>1</v>
      </c>
      <c r="I46">
        <v>1</v>
      </c>
      <c r="J46">
        <v>1</v>
      </c>
      <c r="K46">
        <v>1</v>
      </c>
      <c r="L46">
        <v>1</v>
      </c>
      <c r="M46">
        <v>1</v>
      </c>
      <c r="N46">
        <v>1</v>
      </c>
    </row>
    <row r="47" spans="1:15" x14ac:dyDescent="0.25">
      <c r="A47" t="s">
        <v>80</v>
      </c>
      <c r="B47">
        <v>0</v>
      </c>
      <c r="C47">
        <v>10.04528069496155</v>
      </c>
      <c r="D47">
        <v>1</v>
      </c>
      <c r="E47">
        <v>0</v>
      </c>
      <c r="F47">
        <v>1</v>
      </c>
      <c r="G47" t="s">
        <v>17</v>
      </c>
      <c r="H47">
        <v>1</v>
      </c>
      <c r="I47" t="s">
        <v>17</v>
      </c>
      <c r="J47">
        <v>1</v>
      </c>
      <c r="K47">
        <v>1</v>
      </c>
      <c r="L47">
        <v>1</v>
      </c>
      <c r="M47">
        <v>1</v>
      </c>
      <c r="N47">
        <v>1</v>
      </c>
      <c r="O47" t="s">
        <v>185</v>
      </c>
    </row>
    <row r="48" spans="1:15" x14ac:dyDescent="0.25">
      <c r="A48" t="s">
        <v>82</v>
      </c>
      <c r="B48">
        <v>0</v>
      </c>
      <c r="C48">
        <v>2.768572330474854</v>
      </c>
      <c r="D48">
        <v>1</v>
      </c>
      <c r="E48">
        <v>1</v>
      </c>
      <c r="F48">
        <v>1</v>
      </c>
      <c r="G48">
        <v>1</v>
      </c>
      <c r="H48">
        <v>1</v>
      </c>
      <c r="I48">
        <v>1</v>
      </c>
      <c r="J48">
        <v>1</v>
      </c>
      <c r="K48">
        <v>1</v>
      </c>
      <c r="L48">
        <v>1</v>
      </c>
      <c r="M48">
        <v>1</v>
      </c>
      <c r="N48">
        <v>1</v>
      </c>
    </row>
    <row r="49" spans="1:15" x14ac:dyDescent="0.25">
      <c r="A49" t="s">
        <v>84</v>
      </c>
      <c r="B49">
        <v>0</v>
      </c>
      <c r="C49">
        <v>4.7306935787200928</v>
      </c>
      <c r="D49">
        <v>1</v>
      </c>
      <c r="E49">
        <v>1</v>
      </c>
      <c r="F49">
        <v>1</v>
      </c>
      <c r="G49">
        <v>0</v>
      </c>
      <c r="H49">
        <v>1</v>
      </c>
      <c r="I49">
        <v>1</v>
      </c>
      <c r="J49">
        <v>1</v>
      </c>
      <c r="K49">
        <v>1</v>
      </c>
      <c r="L49">
        <v>1</v>
      </c>
      <c r="M49">
        <v>1</v>
      </c>
      <c r="N49">
        <v>1</v>
      </c>
      <c r="O49" t="s">
        <v>186</v>
      </c>
    </row>
    <row r="50" spans="1:15" x14ac:dyDescent="0.25">
      <c r="A50" t="s">
        <v>86</v>
      </c>
      <c r="B50">
        <v>0</v>
      </c>
      <c r="C50">
        <v>2.7604119777679439</v>
      </c>
      <c r="D50">
        <v>1</v>
      </c>
      <c r="E50">
        <v>1</v>
      </c>
      <c r="F50">
        <v>1</v>
      </c>
      <c r="G50">
        <v>1</v>
      </c>
      <c r="H50">
        <v>1</v>
      </c>
      <c r="I50">
        <v>1</v>
      </c>
      <c r="J50">
        <v>1</v>
      </c>
      <c r="K50">
        <v>1</v>
      </c>
      <c r="L50">
        <v>1</v>
      </c>
      <c r="M50">
        <v>1</v>
      </c>
      <c r="N50">
        <v>1</v>
      </c>
    </row>
    <row r="51" spans="1:15" x14ac:dyDescent="0.25">
      <c r="A51" t="s">
        <v>87</v>
      </c>
      <c r="B51">
        <v>0</v>
      </c>
      <c r="C51">
        <v>4.8239209651947021</v>
      </c>
      <c r="D51">
        <v>1</v>
      </c>
      <c r="E51">
        <v>1</v>
      </c>
      <c r="F51">
        <v>1</v>
      </c>
      <c r="G51">
        <v>1</v>
      </c>
      <c r="H51">
        <v>1</v>
      </c>
      <c r="I51">
        <v>0</v>
      </c>
      <c r="J51">
        <v>1</v>
      </c>
      <c r="K51">
        <v>1</v>
      </c>
      <c r="L51">
        <v>1</v>
      </c>
      <c r="M51">
        <v>1</v>
      </c>
      <c r="N51">
        <v>1</v>
      </c>
      <c r="O51" t="s">
        <v>187</v>
      </c>
    </row>
    <row r="52" spans="1:15" x14ac:dyDescent="0.25">
      <c r="A52" t="s">
        <v>88</v>
      </c>
      <c r="B52">
        <v>0</v>
      </c>
      <c r="C52">
        <v>2.6248712539672852</v>
      </c>
      <c r="D52">
        <v>1</v>
      </c>
      <c r="E52">
        <v>1</v>
      </c>
      <c r="F52">
        <v>1</v>
      </c>
      <c r="G52">
        <v>1</v>
      </c>
      <c r="H52">
        <v>1</v>
      </c>
      <c r="I52">
        <v>1</v>
      </c>
      <c r="J52">
        <v>1</v>
      </c>
      <c r="K52">
        <v>1</v>
      </c>
      <c r="L52">
        <v>1</v>
      </c>
      <c r="M52">
        <v>1</v>
      </c>
      <c r="N52">
        <v>1</v>
      </c>
    </row>
    <row r="53" spans="1:15" x14ac:dyDescent="0.25">
      <c r="A53" t="s">
        <v>89</v>
      </c>
      <c r="B53">
        <v>0</v>
      </c>
      <c r="C53">
        <v>9.79840087890625</v>
      </c>
      <c r="D53">
        <v>1</v>
      </c>
      <c r="E53">
        <v>1</v>
      </c>
      <c r="F53">
        <v>1</v>
      </c>
      <c r="G53">
        <v>1</v>
      </c>
      <c r="H53">
        <v>1</v>
      </c>
      <c r="I53">
        <v>1</v>
      </c>
      <c r="J53">
        <v>1</v>
      </c>
      <c r="K53">
        <v>1</v>
      </c>
      <c r="L53">
        <v>1</v>
      </c>
      <c r="M53">
        <v>1</v>
      </c>
      <c r="N53">
        <v>1</v>
      </c>
    </row>
    <row r="54" spans="1:15" x14ac:dyDescent="0.25">
      <c r="A54" t="s">
        <v>90</v>
      </c>
      <c r="B54">
        <v>0</v>
      </c>
      <c r="C54">
        <v>9.5551602840423584</v>
      </c>
      <c r="D54">
        <v>1</v>
      </c>
      <c r="E54">
        <v>1</v>
      </c>
      <c r="F54">
        <v>0</v>
      </c>
      <c r="G54" t="s">
        <v>17</v>
      </c>
      <c r="H54">
        <v>1</v>
      </c>
      <c r="I54">
        <v>1</v>
      </c>
      <c r="J54">
        <v>1</v>
      </c>
      <c r="K54">
        <v>1</v>
      </c>
      <c r="L54">
        <v>1</v>
      </c>
      <c r="M54">
        <v>1</v>
      </c>
      <c r="N54">
        <v>1</v>
      </c>
      <c r="O54" t="s">
        <v>188</v>
      </c>
    </row>
    <row r="55" spans="1:15" x14ac:dyDescent="0.25">
      <c r="A55" t="s">
        <v>92</v>
      </c>
      <c r="B55">
        <v>0</v>
      </c>
      <c r="C55">
        <v>14.881534814834589</v>
      </c>
      <c r="D55">
        <v>0</v>
      </c>
      <c r="E55" t="s">
        <v>17</v>
      </c>
      <c r="F55" t="s">
        <v>17</v>
      </c>
      <c r="G55" t="s">
        <v>17</v>
      </c>
      <c r="H55" t="s">
        <v>17</v>
      </c>
      <c r="I55" t="s">
        <v>17</v>
      </c>
      <c r="J55" t="s">
        <v>17</v>
      </c>
      <c r="K55" t="s">
        <v>17</v>
      </c>
      <c r="L55" t="s">
        <v>17</v>
      </c>
      <c r="M55" t="s">
        <v>17</v>
      </c>
      <c r="N55" t="s">
        <v>17</v>
      </c>
      <c r="O55" t="s">
        <v>189</v>
      </c>
    </row>
    <row r="56" spans="1:15" x14ac:dyDescent="0.25">
      <c r="A56" t="s">
        <v>94</v>
      </c>
      <c r="B56">
        <v>0</v>
      </c>
      <c r="C56">
        <v>12.756898880004879</v>
      </c>
      <c r="D56">
        <v>0</v>
      </c>
      <c r="E56" t="s">
        <v>17</v>
      </c>
      <c r="F56" t="s">
        <v>17</v>
      </c>
      <c r="G56" t="s">
        <v>17</v>
      </c>
      <c r="H56" t="s">
        <v>17</v>
      </c>
      <c r="I56" t="s">
        <v>17</v>
      </c>
      <c r="J56" t="s">
        <v>17</v>
      </c>
      <c r="K56" t="s">
        <v>17</v>
      </c>
      <c r="L56" t="s">
        <v>17</v>
      </c>
      <c r="M56" t="s">
        <v>17</v>
      </c>
      <c r="N56" t="s">
        <v>17</v>
      </c>
      <c r="O56" t="s">
        <v>190</v>
      </c>
    </row>
    <row r="57" spans="1:15" x14ac:dyDescent="0.25">
      <c r="A57" t="s">
        <v>96</v>
      </c>
      <c r="B57">
        <v>0</v>
      </c>
      <c r="C57">
        <v>8.31646728515625</v>
      </c>
      <c r="D57">
        <v>1</v>
      </c>
      <c r="E57">
        <v>1</v>
      </c>
      <c r="F57">
        <v>1</v>
      </c>
      <c r="G57">
        <v>1</v>
      </c>
      <c r="H57">
        <v>1</v>
      </c>
      <c r="I57">
        <v>1</v>
      </c>
      <c r="J57">
        <v>1</v>
      </c>
      <c r="K57">
        <v>1</v>
      </c>
      <c r="L57">
        <v>1</v>
      </c>
      <c r="M57">
        <v>1</v>
      </c>
      <c r="N57">
        <v>1</v>
      </c>
    </row>
    <row r="58" spans="1:15" x14ac:dyDescent="0.25">
      <c r="A58" t="s">
        <v>97</v>
      </c>
      <c r="B58">
        <v>0</v>
      </c>
      <c r="C58">
        <v>8.6977524757385254</v>
      </c>
      <c r="D58">
        <v>0</v>
      </c>
      <c r="E58" t="s">
        <v>17</v>
      </c>
      <c r="F58" t="s">
        <v>17</v>
      </c>
      <c r="G58" t="s">
        <v>17</v>
      </c>
      <c r="H58" t="s">
        <v>17</v>
      </c>
      <c r="I58" t="s">
        <v>17</v>
      </c>
      <c r="J58" t="s">
        <v>17</v>
      </c>
      <c r="K58" t="s">
        <v>17</v>
      </c>
      <c r="L58" t="s">
        <v>17</v>
      </c>
      <c r="M58" t="s">
        <v>17</v>
      </c>
      <c r="N58" t="s">
        <v>17</v>
      </c>
      <c r="O58" t="s">
        <v>191</v>
      </c>
    </row>
    <row r="59" spans="1:15" x14ac:dyDescent="0.25">
      <c r="A59" t="s">
        <v>98</v>
      </c>
      <c r="B59">
        <v>0</v>
      </c>
      <c r="C59">
        <v>2.8377044200897221</v>
      </c>
      <c r="D59">
        <v>1</v>
      </c>
      <c r="E59">
        <v>1</v>
      </c>
      <c r="F59">
        <v>1</v>
      </c>
      <c r="G59">
        <v>1</v>
      </c>
      <c r="H59">
        <v>1</v>
      </c>
      <c r="I59">
        <v>1</v>
      </c>
      <c r="J59">
        <v>1</v>
      </c>
      <c r="K59">
        <v>1</v>
      </c>
      <c r="L59">
        <v>1</v>
      </c>
      <c r="M59">
        <v>1</v>
      </c>
      <c r="N59">
        <v>1</v>
      </c>
    </row>
    <row r="60" spans="1:15" x14ac:dyDescent="0.25">
      <c r="A60" t="s">
        <v>99</v>
      </c>
      <c r="B60">
        <v>0</v>
      </c>
      <c r="C60">
        <v>12.071620941162109</v>
      </c>
      <c r="D60">
        <v>1</v>
      </c>
      <c r="E60">
        <v>1</v>
      </c>
      <c r="F60">
        <v>1</v>
      </c>
      <c r="G60">
        <v>1</v>
      </c>
      <c r="H60">
        <v>1</v>
      </c>
      <c r="I60">
        <v>0</v>
      </c>
      <c r="J60">
        <v>1</v>
      </c>
      <c r="K60">
        <v>1</v>
      </c>
      <c r="L60">
        <v>1</v>
      </c>
      <c r="M60">
        <v>1</v>
      </c>
      <c r="N60">
        <v>1</v>
      </c>
      <c r="O60" t="s">
        <v>192</v>
      </c>
    </row>
    <row r="61" spans="1:15" x14ac:dyDescent="0.25">
      <c r="A61" t="s">
        <v>101</v>
      </c>
      <c r="B61">
        <v>0</v>
      </c>
      <c r="C61">
        <v>4.7390632629394531</v>
      </c>
      <c r="D61">
        <v>1</v>
      </c>
      <c r="E61">
        <v>1</v>
      </c>
      <c r="F61">
        <v>1</v>
      </c>
      <c r="G61">
        <v>1</v>
      </c>
      <c r="H61">
        <v>1</v>
      </c>
      <c r="I61">
        <v>0</v>
      </c>
      <c r="J61">
        <v>1</v>
      </c>
      <c r="K61">
        <v>1</v>
      </c>
      <c r="L61">
        <v>1</v>
      </c>
      <c r="M61">
        <v>1</v>
      </c>
      <c r="N61">
        <v>1</v>
      </c>
      <c r="O61" t="s">
        <v>193</v>
      </c>
    </row>
    <row r="62" spans="1:15" x14ac:dyDescent="0.25">
      <c r="A62" t="s">
        <v>103</v>
      </c>
      <c r="B62">
        <v>0</v>
      </c>
      <c r="C62">
        <v>7.2935338020324707</v>
      </c>
      <c r="D62">
        <v>0</v>
      </c>
      <c r="E62" t="s">
        <v>17</v>
      </c>
      <c r="F62" t="s">
        <v>17</v>
      </c>
      <c r="G62" t="s">
        <v>17</v>
      </c>
      <c r="H62" t="s">
        <v>17</v>
      </c>
      <c r="I62" t="s">
        <v>17</v>
      </c>
      <c r="J62" t="s">
        <v>17</v>
      </c>
      <c r="K62" t="s">
        <v>17</v>
      </c>
      <c r="L62" t="s">
        <v>17</v>
      </c>
      <c r="M62" t="s">
        <v>17</v>
      </c>
      <c r="N62" t="s">
        <v>17</v>
      </c>
      <c r="O62" t="s">
        <v>194</v>
      </c>
    </row>
    <row r="63" spans="1:15" x14ac:dyDescent="0.25">
      <c r="A63" t="s">
        <v>105</v>
      </c>
      <c r="B63">
        <v>0</v>
      </c>
      <c r="C63">
        <v>2.6666023731231689</v>
      </c>
      <c r="D63">
        <v>1</v>
      </c>
      <c r="E63">
        <v>1</v>
      </c>
      <c r="F63">
        <v>1</v>
      </c>
      <c r="G63">
        <v>1</v>
      </c>
      <c r="H63">
        <v>1</v>
      </c>
      <c r="I63">
        <v>1</v>
      </c>
      <c r="J63">
        <v>1</v>
      </c>
      <c r="K63">
        <v>1</v>
      </c>
      <c r="L63">
        <v>1</v>
      </c>
      <c r="M63">
        <v>1</v>
      </c>
      <c r="N63">
        <v>1</v>
      </c>
    </row>
    <row r="64" spans="1:15" x14ac:dyDescent="0.25">
      <c r="A64" t="s">
        <v>106</v>
      </c>
      <c r="B64">
        <v>0</v>
      </c>
      <c r="C64">
        <v>10.906980037689211</v>
      </c>
      <c r="D64">
        <v>1</v>
      </c>
      <c r="E64">
        <v>1</v>
      </c>
      <c r="F64">
        <v>1</v>
      </c>
      <c r="G64">
        <v>1</v>
      </c>
      <c r="H64">
        <v>1</v>
      </c>
      <c r="I64">
        <v>1</v>
      </c>
      <c r="J64">
        <v>0</v>
      </c>
      <c r="K64">
        <v>1</v>
      </c>
      <c r="L64">
        <v>1</v>
      </c>
      <c r="M64">
        <v>1</v>
      </c>
      <c r="N64">
        <v>1</v>
      </c>
      <c r="O64" t="s">
        <v>195</v>
      </c>
    </row>
    <row r="65" spans="1:15" x14ac:dyDescent="0.25">
      <c r="A65" t="s">
        <v>108</v>
      </c>
      <c r="B65">
        <v>0</v>
      </c>
      <c r="C65">
        <v>10.36090302467346</v>
      </c>
      <c r="D65">
        <v>1</v>
      </c>
      <c r="E65">
        <v>1</v>
      </c>
      <c r="F65">
        <v>1</v>
      </c>
      <c r="G65">
        <v>0</v>
      </c>
      <c r="H65">
        <v>1</v>
      </c>
      <c r="I65">
        <v>1</v>
      </c>
      <c r="J65">
        <v>1</v>
      </c>
      <c r="K65">
        <v>1</v>
      </c>
      <c r="L65">
        <v>1</v>
      </c>
      <c r="M65">
        <v>1</v>
      </c>
      <c r="N65">
        <v>1</v>
      </c>
      <c r="O65" t="s">
        <v>196</v>
      </c>
    </row>
    <row r="66" spans="1:15" x14ac:dyDescent="0.25">
      <c r="A66" t="s">
        <v>110</v>
      </c>
      <c r="B66">
        <v>0</v>
      </c>
      <c r="C66">
        <v>11.08816289901733</v>
      </c>
      <c r="D66">
        <v>0</v>
      </c>
      <c r="E66" t="s">
        <v>17</v>
      </c>
      <c r="F66" t="s">
        <v>17</v>
      </c>
      <c r="G66" t="s">
        <v>17</v>
      </c>
      <c r="H66" t="s">
        <v>17</v>
      </c>
      <c r="I66" t="s">
        <v>17</v>
      </c>
      <c r="J66" t="s">
        <v>17</v>
      </c>
      <c r="K66" t="s">
        <v>17</v>
      </c>
      <c r="L66" t="s">
        <v>17</v>
      </c>
      <c r="M66" t="s">
        <v>17</v>
      </c>
      <c r="N66" t="s">
        <v>17</v>
      </c>
      <c r="O66" t="s">
        <v>197</v>
      </c>
    </row>
    <row r="67" spans="1:15" x14ac:dyDescent="0.25">
      <c r="A67" t="s">
        <v>112</v>
      </c>
      <c r="B67">
        <v>0</v>
      </c>
      <c r="C67">
        <v>10.08462023735046</v>
      </c>
      <c r="D67">
        <v>1</v>
      </c>
      <c r="E67">
        <v>1</v>
      </c>
      <c r="F67">
        <v>0</v>
      </c>
      <c r="G67" t="s">
        <v>17</v>
      </c>
      <c r="H67">
        <v>1</v>
      </c>
      <c r="I67">
        <v>1</v>
      </c>
      <c r="J67">
        <v>1</v>
      </c>
      <c r="K67">
        <v>1</v>
      </c>
      <c r="L67">
        <v>1</v>
      </c>
      <c r="M67">
        <v>1</v>
      </c>
      <c r="N67">
        <v>1</v>
      </c>
      <c r="O67" t="s">
        <v>198</v>
      </c>
    </row>
    <row r="68" spans="1:15" x14ac:dyDescent="0.25">
      <c r="A68" t="s">
        <v>114</v>
      </c>
      <c r="B68">
        <v>0</v>
      </c>
      <c r="C68">
        <v>10.87416672706604</v>
      </c>
      <c r="D68">
        <v>1</v>
      </c>
      <c r="E68">
        <v>1</v>
      </c>
      <c r="F68">
        <v>1</v>
      </c>
      <c r="G68">
        <v>1</v>
      </c>
      <c r="H68">
        <v>1</v>
      </c>
      <c r="I68">
        <v>1</v>
      </c>
      <c r="J68">
        <v>1</v>
      </c>
      <c r="K68">
        <v>1</v>
      </c>
      <c r="L68">
        <v>1</v>
      </c>
      <c r="M68">
        <v>1</v>
      </c>
      <c r="N68">
        <v>1</v>
      </c>
    </row>
    <row r="69" spans="1:15" x14ac:dyDescent="0.25">
      <c r="A69" t="s">
        <v>115</v>
      </c>
      <c r="B69">
        <v>0</v>
      </c>
      <c r="C69">
        <v>2.726524829864502</v>
      </c>
      <c r="D69">
        <v>1</v>
      </c>
      <c r="E69">
        <v>1</v>
      </c>
      <c r="F69">
        <v>1</v>
      </c>
      <c r="G69">
        <v>1</v>
      </c>
      <c r="H69">
        <v>1</v>
      </c>
      <c r="I69">
        <v>1</v>
      </c>
      <c r="J69">
        <v>1</v>
      </c>
      <c r="K69">
        <v>1</v>
      </c>
      <c r="L69">
        <v>1</v>
      </c>
      <c r="M69">
        <v>1</v>
      </c>
      <c r="N69">
        <v>1</v>
      </c>
    </row>
    <row r="70" spans="1:15" x14ac:dyDescent="0.25">
      <c r="A70" t="s">
        <v>116</v>
      </c>
      <c r="B70">
        <v>0</v>
      </c>
      <c r="C70">
        <v>12.79552292823792</v>
      </c>
      <c r="D70">
        <v>1</v>
      </c>
      <c r="E70">
        <v>0</v>
      </c>
      <c r="F70">
        <v>1</v>
      </c>
      <c r="G70" t="s">
        <v>17</v>
      </c>
      <c r="H70">
        <v>1</v>
      </c>
      <c r="I70" t="s">
        <v>17</v>
      </c>
      <c r="J70">
        <v>1</v>
      </c>
      <c r="K70">
        <v>1</v>
      </c>
      <c r="L70">
        <v>1</v>
      </c>
      <c r="M70">
        <v>1</v>
      </c>
      <c r="N70">
        <v>1</v>
      </c>
      <c r="O70" t="s">
        <v>199</v>
      </c>
    </row>
    <row r="71" spans="1:15" x14ac:dyDescent="0.25">
      <c r="A71" t="s">
        <v>117</v>
      </c>
      <c r="B71">
        <v>0</v>
      </c>
      <c r="C71">
        <v>2.7805666923522949</v>
      </c>
      <c r="D71">
        <v>1</v>
      </c>
      <c r="E71">
        <v>1</v>
      </c>
      <c r="F71">
        <v>1</v>
      </c>
      <c r="G71">
        <v>1</v>
      </c>
      <c r="H71">
        <v>1</v>
      </c>
      <c r="I71">
        <v>1</v>
      </c>
      <c r="J71">
        <v>1</v>
      </c>
      <c r="K71">
        <v>1</v>
      </c>
      <c r="L71">
        <v>1</v>
      </c>
      <c r="M71">
        <v>1</v>
      </c>
      <c r="N71">
        <v>1</v>
      </c>
    </row>
    <row r="72" spans="1:15" x14ac:dyDescent="0.25">
      <c r="A72" t="s">
        <v>118</v>
      </c>
      <c r="B72">
        <v>0</v>
      </c>
      <c r="C72">
        <v>5.2098724842071533</v>
      </c>
      <c r="D72">
        <v>1</v>
      </c>
      <c r="E72">
        <v>1</v>
      </c>
      <c r="F72">
        <v>0</v>
      </c>
      <c r="G72" t="s">
        <v>17</v>
      </c>
      <c r="H72">
        <v>1</v>
      </c>
      <c r="I72">
        <v>1</v>
      </c>
      <c r="J72">
        <v>1</v>
      </c>
      <c r="K72">
        <v>1</v>
      </c>
      <c r="L72">
        <v>1</v>
      </c>
      <c r="M72">
        <v>1</v>
      </c>
      <c r="N72">
        <v>1</v>
      </c>
      <c r="O72" t="s">
        <v>200</v>
      </c>
    </row>
    <row r="73" spans="1:15" x14ac:dyDescent="0.25">
      <c r="A73" t="s">
        <v>120</v>
      </c>
      <c r="B73">
        <v>0</v>
      </c>
      <c r="C73">
        <v>2.7681348323822021</v>
      </c>
      <c r="D73">
        <v>1</v>
      </c>
      <c r="E73">
        <v>1</v>
      </c>
      <c r="F73">
        <v>1</v>
      </c>
      <c r="G73">
        <v>1</v>
      </c>
      <c r="H73">
        <v>1</v>
      </c>
      <c r="I73">
        <v>1</v>
      </c>
      <c r="J73">
        <v>1</v>
      </c>
      <c r="K73">
        <v>1</v>
      </c>
      <c r="L73">
        <v>1</v>
      </c>
      <c r="M73">
        <v>1</v>
      </c>
      <c r="N73">
        <v>1</v>
      </c>
    </row>
    <row r="74" spans="1:15" x14ac:dyDescent="0.25">
      <c r="A74" t="s">
        <v>121</v>
      </c>
      <c r="B74">
        <v>0</v>
      </c>
      <c r="C74">
        <v>11.83767914772034</v>
      </c>
      <c r="D74">
        <v>1</v>
      </c>
      <c r="E74">
        <v>1</v>
      </c>
      <c r="F74">
        <v>1</v>
      </c>
      <c r="G74">
        <v>1</v>
      </c>
      <c r="H74">
        <v>1</v>
      </c>
      <c r="I74">
        <v>0</v>
      </c>
      <c r="J74">
        <v>1</v>
      </c>
      <c r="K74">
        <v>1</v>
      </c>
      <c r="L74">
        <v>1</v>
      </c>
      <c r="M74">
        <v>1</v>
      </c>
      <c r="N74">
        <v>1</v>
      </c>
      <c r="O74" t="s">
        <v>201</v>
      </c>
    </row>
    <row r="75" spans="1:15" x14ac:dyDescent="0.25">
      <c r="A75" t="s">
        <v>123</v>
      </c>
      <c r="B75">
        <v>0</v>
      </c>
      <c r="C75">
        <v>10.762609720230101</v>
      </c>
      <c r="D75">
        <v>1</v>
      </c>
      <c r="E75">
        <v>1</v>
      </c>
      <c r="F75">
        <v>1</v>
      </c>
      <c r="G75">
        <v>1</v>
      </c>
      <c r="H75">
        <v>1</v>
      </c>
      <c r="I75">
        <v>1</v>
      </c>
      <c r="J75">
        <v>1</v>
      </c>
      <c r="K75">
        <v>1</v>
      </c>
      <c r="L75">
        <v>1</v>
      </c>
      <c r="M75">
        <v>1</v>
      </c>
      <c r="N75">
        <v>1</v>
      </c>
    </row>
    <row r="76" spans="1:15" x14ac:dyDescent="0.25">
      <c r="A76" t="s">
        <v>124</v>
      </c>
      <c r="B76">
        <v>0</v>
      </c>
      <c r="C76">
        <v>10.059776544570919</v>
      </c>
      <c r="D76">
        <v>1</v>
      </c>
      <c r="E76">
        <v>1</v>
      </c>
      <c r="F76">
        <v>1</v>
      </c>
      <c r="G76">
        <v>1</v>
      </c>
      <c r="H76">
        <v>1</v>
      </c>
      <c r="I76">
        <v>1</v>
      </c>
      <c r="J76">
        <v>1</v>
      </c>
      <c r="K76">
        <v>1</v>
      </c>
      <c r="L76">
        <v>1</v>
      </c>
      <c r="M76">
        <v>1</v>
      </c>
      <c r="N76">
        <v>1</v>
      </c>
    </row>
    <row r="77" spans="1:15" x14ac:dyDescent="0.25">
      <c r="A77" t="s">
        <v>125</v>
      </c>
      <c r="B77">
        <v>0</v>
      </c>
      <c r="C77">
        <v>5.7478997707366943</v>
      </c>
      <c r="D77">
        <v>1</v>
      </c>
      <c r="E77">
        <v>1</v>
      </c>
      <c r="F77">
        <v>1</v>
      </c>
      <c r="G77">
        <v>1</v>
      </c>
      <c r="H77">
        <v>1</v>
      </c>
      <c r="I77">
        <v>0</v>
      </c>
      <c r="J77">
        <v>1</v>
      </c>
      <c r="K77">
        <v>1</v>
      </c>
      <c r="L77">
        <v>1</v>
      </c>
      <c r="M77">
        <v>1</v>
      </c>
      <c r="N77">
        <v>1</v>
      </c>
      <c r="O77" t="s">
        <v>202</v>
      </c>
    </row>
    <row r="78" spans="1:15" x14ac:dyDescent="0.25">
      <c r="A78" t="s">
        <v>127</v>
      </c>
      <c r="B78">
        <v>0</v>
      </c>
      <c r="C78">
        <v>6.0597901344299316</v>
      </c>
      <c r="D78">
        <v>1</v>
      </c>
      <c r="E78">
        <v>1</v>
      </c>
      <c r="F78">
        <v>1</v>
      </c>
      <c r="G78">
        <v>1</v>
      </c>
      <c r="H78">
        <v>1</v>
      </c>
      <c r="I78">
        <v>0</v>
      </c>
      <c r="J78">
        <v>1</v>
      </c>
      <c r="K78">
        <v>1</v>
      </c>
      <c r="L78">
        <v>0</v>
      </c>
      <c r="M78">
        <v>1</v>
      </c>
      <c r="N78">
        <v>1</v>
      </c>
      <c r="O78" t="s">
        <v>203</v>
      </c>
    </row>
    <row r="79" spans="1:15" x14ac:dyDescent="0.25">
      <c r="A79" t="s">
        <v>129</v>
      </c>
      <c r="B79">
        <v>0</v>
      </c>
      <c r="C79">
        <v>11.401479721069339</v>
      </c>
      <c r="D79">
        <v>1</v>
      </c>
      <c r="E79">
        <v>1</v>
      </c>
      <c r="F79">
        <v>1</v>
      </c>
      <c r="G79">
        <v>1</v>
      </c>
      <c r="H79">
        <v>1</v>
      </c>
      <c r="I79">
        <v>1</v>
      </c>
      <c r="J79">
        <v>0</v>
      </c>
      <c r="K79">
        <v>1</v>
      </c>
      <c r="L79">
        <v>1</v>
      </c>
      <c r="M79">
        <v>1</v>
      </c>
      <c r="N79">
        <v>1</v>
      </c>
      <c r="O79" t="s">
        <v>204</v>
      </c>
    </row>
    <row r="80" spans="1:15" x14ac:dyDescent="0.25">
      <c r="A80" t="s">
        <v>131</v>
      </c>
      <c r="B80">
        <v>0</v>
      </c>
      <c r="C80">
        <v>9.3710389137268066</v>
      </c>
      <c r="D80">
        <v>1</v>
      </c>
      <c r="E80">
        <v>1</v>
      </c>
      <c r="F80">
        <v>1</v>
      </c>
      <c r="G80">
        <v>1</v>
      </c>
      <c r="H80">
        <v>1</v>
      </c>
      <c r="I80">
        <v>1</v>
      </c>
      <c r="J80">
        <v>1</v>
      </c>
      <c r="K80">
        <v>1</v>
      </c>
      <c r="L80">
        <v>1</v>
      </c>
      <c r="M80">
        <v>1</v>
      </c>
      <c r="N80">
        <v>1</v>
      </c>
    </row>
    <row r="81" spans="1:15" x14ac:dyDescent="0.25">
      <c r="A81" t="s">
        <v>133</v>
      </c>
      <c r="B81">
        <v>0</v>
      </c>
      <c r="C81">
        <v>10.562508106231689</v>
      </c>
      <c r="D81">
        <v>1</v>
      </c>
      <c r="E81">
        <v>1</v>
      </c>
      <c r="F81">
        <v>0</v>
      </c>
      <c r="G81" t="s">
        <v>17</v>
      </c>
      <c r="H81">
        <v>1</v>
      </c>
      <c r="I81">
        <v>1</v>
      </c>
      <c r="J81">
        <v>1</v>
      </c>
      <c r="K81">
        <v>1</v>
      </c>
      <c r="L81">
        <v>1</v>
      </c>
      <c r="M81">
        <v>1</v>
      </c>
      <c r="N81">
        <v>1</v>
      </c>
      <c r="O81" t="s">
        <v>205</v>
      </c>
    </row>
    <row r="82" spans="1:15" x14ac:dyDescent="0.25">
      <c r="A82" t="s">
        <v>135</v>
      </c>
      <c r="B82">
        <v>0</v>
      </c>
      <c r="C82">
        <v>2.7577600479125981</v>
      </c>
      <c r="D82">
        <v>1</v>
      </c>
      <c r="E82">
        <v>1</v>
      </c>
      <c r="F82">
        <v>1</v>
      </c>
      <c r="G82">
        <v>1</v>
      </c>
      <c r="H82">
        <v>1</v>
      </c>
      <c r="I82">
        <v>1</v>
      </c>
      <c r="J82">
        <v>1</v>
      </c>
      <c r="K82">
        <v>1</v>
      </c>
      <c r="L82">
        <v>1</v>
      </c>
      <c r="M82">
        <v>1</v>
      </c>
      <c r="N82">
        <v>1</v>
      </c>
    </row>
    <row r="83" spans="1:15" x14ac:dyDescent="0.25">
      <c r="A83" t="s">
        <v>136</v>
      </c>
      <c r="B83">
        <v>0</v>
      </c>
      <c r="C83">
        <v>3.8419585227966309</v>
      </c>
      <c r="D83">
        <v>1</v>
      </c>
      <c r="E83">
        <v>1</v>
      </c>
      <c r="F83">
        <v>1</v>
      </c>
      <c r="G83">
        <v>1</v>
      </c>
      <c r="H83">
        <v>1</v>
      </c>
      <c r="I83">
        <v>1</v>
      </c>
      <c r="J83">
        <v>0</v>
      </c>
      <c r="K83">
        <v>1</v>
      </c>
      <c r="L83">
        <v>1</v>
      </c>
      <c r="M83">
        <v>1</v>
      </c>
      <c r="N83">
        <v>1</v>
      </c>
      <c r="O83" t="s">
        <v>206</v>
      </c>
    </row>
    <row r="84" spans="1:15" x14ac:dyDescent="0.25">
      <c r="A84" t="s">
        <v>138</v>
      </c>
      <c r="B84">
        <v>0</v>
      </c>
      <c r="C84">
        <v>4.6824889183044434</v>
      </c>
      <c r="D84">
        <v>1</v>
      </c>
      <c r="E84">
        <v>1</v>
      </c>
      <c r="F84">
        <v>1</v>
      </c>
      <c r="G84">
        <v>1</v>
      </c>
      <c r="H84">
        <v>1</v>
      </c>
      <c r="I84">
        <v>0</v>
      </c>
      <c r="J84">
        <v>1</v>
      </c>
      <c r="K84">
        <v>1</v>
      </c>
      <c r="L84">
        <v>1</v>
      </c>
      <c r="M84">
        <v>1</v>
      </c>
      <c r="N84">
        <v>1</v>
      </c>
      <c r="O84" t="s">
        <v>207</v>
      </c>
    </row>
    <row r="85" spans="1:15" x14ac:dyDescent="0.25">
      <c r="A85" t="s">
        <v>140</v>
      </c>
      <c r="B85">
        <v>0</v>
      </c>
      <c r="C85">
        <v>11.392463207244869</v>
      </c>
      <c r="D85">
        <v>1</v>
      </c>
      <c r="E85">
        <v>1</v>
      </c>
      <c r="F85">
        <v>1</v>
      </c>
      <c r="G85">
        <v>1</v>
      </c>
      <c r="H85">
        <v>1</v>
      </c>
      <c r="I85">
        <v>0</v>
      </c>
      <c r="J85">
        <v>1</v>
      </c>
      <c r="K85">
        <v>1</v>
      </c>
      <c r="L85">
        <v>1</v>
      </c>
      <c r="M85">
        <v>1</v>
      </c>
      <c r="N85">
        <v>1</v>
      </c>
      <c r="O85" t="s">
        <v>208</v>
      </c>
    </row>
    <row r="86" spans="1:15" x14ac:dyDescent="0.25">
      <c r="A86" t="s">
        <v>142</v>
      </c>
      <c r="B86">
        <v>0</v>
      </c>
      <c r="C86">
        <v>4.769852876663208</v>
      </c>
      <c r="D86">
        <v>1</v>
      </c>
      <c r="E86">
        <v>1</v>
      </c>
      <c r="F86">
        <v>1</v>
      </c>
      <c r="G86">
        <v>1</v>
      </c>
      <c r="H86">
        <v>1</v>
      </c>
      <c r="I86">
        <v>0</v>
      </c>
      <c r="J86">
        <v>1</v>
      </c>
      <c r="K86">
        <v>1</v>
      </c>
      <c r="L86">
        <v>1</v>
      </c>
      <c r="M86">
        <v>1</v>
      </c>
      <c r="N86">
        <v>1</v>
      </c>
      <c r="O86" t="s">
        <v>209</v>
      </c>
    </row>
    <row r="87" spans="1:15" x14ac:dyDescent="0.25">
      <c r="A87" t="s">
        <v>144</v>
      </c>
      <c r="B87">
        <v>0</v>
      </c>
      <c r="C87">
        <v>2.7182595729827881</v>
      </c>
      <c r="D87">
        <v>1</v>
      </c>
      <c r="E87">
        <v>1</v>
      </c>
      <c r="F87">
        <v>1</v>
      </c>
      <c r="G87">
        <v>1</v>
      </c>
      <c r="H87">
        <v>1</v>
      </c>
      <c r="I87">
        <v>1</v>
      </c>
      <c r="J87">
        <v>1</v>
      </c>
      <c r="K87">
        <v>1</v>
      </c>
      <c r="L87">
        <v>1</v>
      </c>
      <c r="M87">
        <v>1</v>
      </c>
      <c r="N87">
        <v>1</v>
      </c>
    </row>
    <row r="88" spans="1:15" x14ac:dyDescent="0.25">
      <c r="A88" t="s">
        <v>145</v>
      </c>
      <c r="B88">
        <v>0</v>
      </c>
      <c r="C88">
        <v>2.7661254405975342</v>
      </c>
      <c r="D88">
        <v>1</v>
      </c>
      <c r="E88">
        <v>1</v>
      </c>
      <c r="F88">
        <v>1</v>
      </c>
      <c r="G88">
        <v>1</v>
      </c>
      <c r="H88">
        <v>1</v>
      </c>
      <c r="I88">
        <v>1</v>
      </c>
      <c r="J88">
        <v>1</v>
      </c>
      <c r="K88">
        <v>1</v>
      </c>
      <c r="L88">
        <v>1</v>
      </c>
      <c r="M88">
        <v>1</v>
      </c>
      <c r="N88">
        <v>1</v>
      </c>
    </row>
    <row r="89" spans="1:15" x14ac:dyDescent="0.25">
      <c r="A89" t="s">
        <v>146</v>
      </c>
      <c r="B89">
        <v>0</v>
      </c>
      <c r="C89">
        <v>10.268397331237789</v>
      </c>
      <c r="D89">
        <v>1</v>
      </c>
      <c r="E89">
        <v>1</v>
      </c>
      <c r="F89">
        <v>1</v>
      </c>
      <c r="G89">
        <v>1</v>
      </c>
      <c r="H89">
        <v>1</v>
      </c>
      <c r="I89">
        <v>1</v>
      </c>
      <c r="J89">
        <v>1</v>
      </c>
      <c r="K89">
        <v>1</v>
      </c>
      <c r="L89">
        <v>1</v>
      </c>
      <c r="M89">
        <v>1</v>
      </c>
      <c r="N89">
        <v>1</v>
      </c>
    </row>
    <row r="90" spans="1:15" x14ac:dyDescent="0.25">
      <c r="A90" t="s">
        <v>147</v>
      </c>
      <c r="B90">
        <v>0</v>
      </c>
      <c r="C90">
        <v>10.88962292671204</v>
      </c>
      <c r="D90">
        <v>0</v>
      </c>
      <c r="E90" t="s">
        <v>17</v>
      </c>
      <c r="F90" t="s">
        <v>17</v>
      </c>
      <c r="G90" t="s">
        <v>17</v>
      </c>
      <c r="H90" t="s">
        <v>17</v>
      </c>
      <c r="I90" t="s">
        <v>17</v>
      </c>
      <c r="J90" t="s">
        <v>17</v>
      </c>
      <c r="K90" t="s">
        <v>17</v>
      </c>
      <c r="L90" t="s">
        <v>17</v>
      </c>
      <c r="M90" t="s">
        <v>17</v>
      </c>
      <c r="N90" t="s">
        <v>17</v>
      </c>
      <c r="O90" t="s">
        <v>210</v>
      </c>
    </row>
    <row r="91" spans="1:15" x14ac:dyDescent="0.25">
      <c r="A91" t="s">
        <v>149</v>
      </c>
      <c r="B91">
        <v>0</v>
      </c>
      <c r="C91">
        <v>9.0590517520904541</v>
      </c>
      <c r="D91">
        <v>1</v>
      </c>
      <c r="E91">
        <v>1</v>
      </c>
      <c r="F91">
        <v>1</v>
      </c>
      <c r="G91">
        <v>1</v>
      </c>
      <c r="H91">
        <v>1</v>
      </c>
      <c r="I91">
        <v>1</v>
      </c>
      <c r="J91">
        <v>1</v>
      </c>
      <c r="K91">
        <v>1</v>
      </c>
      <c r="L91">
        <v>1</v>
      </c>
      <c r="M91">
        <v>1</v>
      </c>
      <c r="N91">
        <v>1</v>
      </c>
    </row>
    <row r="92" spans="1:15" x14ac:dyDescent="0.25">
      <c r="A92" t="s">
        <v>150</v>
      </c>
      <c r="B92">
        <v>0</v>
      </c>
      <c r="C92">
        <v>9.039799690246582</v>
      </c>
      <c r="D92">
        <v>1</v>
      </c>
      <c r="E92">
        <v>1</v>
      </c>
      <c r="F92">
        <v>1</v>
      </c>
      <c r="G92">
        <v>1</v>
      </c>
      <c r="H92">
        <v>1</v>
      </c>
      <c r="I92">
        <v>1</v>
      </c>
      <c r="J92">
        <v>1</v>
      </c>
      <c r="K92">
        <v>1</v>
      </c>
      <c r="L92">
        <v>1</v>
      </c>
      <c r="M92">
        <v>1</v>
      </c>
      <c r="N92">
        <v>1</v>
      </c>
    </row>
    <row r="93" spans="1:15" x14ac:dyDescent="0.25">
      <c r="A93" t="s">
        <v>151</v>
      </c>
      <c r="B93">
        <v>0</v>
      </c>
      <c r="C93">
        <v>2.7501263618469238</v>
      </c>
      <c r="D93">
        <v>1</v>
      </c>
      <c r="E93">
        <v>1</v>
      </c>
      <c r="F93">
        <v>1</v>
      </c>
      <c r="G93">
        <v>1</v>
      </c>
      <c r="H93">
        <v>1</v>
      </c>
      <c r="I93">
        <v>1</v>
      </c>
      <c r="J93">
        <v>1</v>
      </c>
      <c r="K93">
        <v>1</v>
      </c>
      <c r="L93">
        <v>1</v>
      </c>
      <c r="M93">
        <v>1</v>
      </c>
      <c r="N93">
        <v>1</v>
      </c>
    </row>
    <row r="94" spans="1:15" x14ac:dyDescent="0.25">
      <c r="A94" t="s">
        <v>152</v>
      </c>
      <c r="B94">
        <v>0</v>
      </c>
      <c r="C94">
        <v>10.98332190513611</v>
      </c>
      <c r="D94">
        <v>1</v>
      </c>
      <c r="E94">
        <v>1</v>
      </c>
      <c r="F94">
        <v>1</v>
      </c>
      <c r="G94">
        <v>0</v>
      </c>
      <c r="H94">
        <v>1</v>
      </c>
      <c r="I94">
        <v>1</v>
      </c>
      <c r="J94">
        <v>1</v>
      </c>
      <c r="K94">
        <v>1</v>
      </c>
      <c r="L94">
        <v>1</v>
      </c>
      <c r="M94">
        <v>1</v>
      </c>
      <c r="N94">
        <v>1</v>
      </c>
      <c r="O94" t="s">
        <v>211</v>
      </c>
    </row>
    <row r="95" spans="1:15" x14ac:dyDescent="0.25">
      <c r="A95" t="s">
        <v>153</v>
      </c>
      <c r="B95">
        <v>0</v>
      </c>
      <c r="C95">
        <v>4.8837876319885254</v>
      </c>
      <c r="D95">
        <v>1</v>
      </c>
      <c r="E95">
        <v>1</v>
      </c>
      <c r="F95">
        <v>1</v>
      </c>
      <c r="G95">
        <v>0</v>
      </c>
      <c r="H95">
        <v>1</v>
      </c>
      <c r="I95">
        <v>1</v>
      </c>
      <c r="J95">
        <v>1</v>
      </c>
      <c r="K95">
        <v>1</v>
      </c>
      <c r="L95">
        <v>1</v>
      </c>
      <c r="M95">
        <v>1</v>
      </c>
      <c r="N95">
        <v>1</v>
      </c>
      <c r="O95" t="s">
        <v>212</v>
      </c>
    </row>
    <row r="96" spans="1:15" x14ac:dyDescent="0.25">
      <c r="A96" t="s">
        <v>155</v>
      </c>
      <c r="B96">
        <v>0</v>
      </c>
      <c r="C96">
        <v>9.1976108551025391</v>
      </c>
      <c r="D96">
        <v>1</v>
      </c>
      <c r="E96">
        <v>1</v>
      </c>
      <c r="F96">
        <v>1</v>
      </c>
      <c r="G96">
        <v>1</v>
      </c>
      <c r="H96">
        <v>1</v>
      </c>
      <c r="I96">
        <v>1</v>
      </c>
      <c r="J96">
        <v>1</v>
      </c>
      <c r="K96">
        <v>1</v>
      </c>
      <c r="L96">
        <v>1</v>
      </c>
      <c r="M96">
        <v>1</v>
      </c>
      <c r="N96">
        <v>1</v>
      </c>
    </row>
    <row r="97" spans="1:15" x14ac:dyDescent="0.25">
      <c r="A97" t="s">
        <v>157</v>
      </c>
      <c r="B97">
        <v>0</v>
      </c>
      <c r="C97">
        <v>8.3194046020507813</v>
      </c>
      <c r="D97">
        <v>1</v>
      </c>
      <c r="E97">
        <v>1</v>
      </c>
      <c r="F97">
        <v>1</v>
      </c>
      <c r="G97">
        <v>1</v>
      </c>
      <c r="H97">
        <v>1</v>
      </c>
      <c r="I97">
        <v>0</v>
      </c>
      <c r="J97">
        <v>1</v>
      </c>
      <c r="K97">
        <v>1</v>
      </c>
      <c r="L97">
        <v>1</v>
      </c>
      <c r="M97">
        <v>1</v>
      </c>
      <c r="N97">
        <v>1</v>
      </c>
      <c r="O97" t="s">
        <v>213</v>
      </c>
    </row>
    <row r="98" spans="1:15" x14ac:dyDescent="0.25">
      <c r="A98" t="s">
        <v>159</v>
      </c>
      <c r="B98">
        <v>0</v>
      </c>
      <c r="C98">
        <v>8.5266435146331787</v>
      </c>
      <c r="D98">
        <v>1</v>
      </c>
      <c r="E98">
        <v>1</v>
      </c>
      <c r="F98">
        <v>1</v>
      </c>
      <c r="G98">
        <v>0</v>
      </c>
      <c r="H98">
        <v>1</v>
      </c>
      <c r="I98">
        <v>1</v>
      </c>
      <c r="J98">
        <v>1</v>
      </c>
      <c r="K98">
        <v>1</v>
      </c>
      <c r="L98">
        <v>1</v>
      </c>
      <c r="M98">
        <v>1</v>
      </c>
      <c r="N98">
        <v>1</v>
      </c>
      <c r="O98" t="s">
        <v>214</v>
      </c>
    </row>
    <row r="99" spans="1:15" x14ac:dyDescent="0.25">
      <c r="A99" t="s">
        <v>161</v>
      </c>
      <c r="B99">
        <v>0</v>
      </c>
      <c r="C99">
        <v>5.6451888084411621</v>
      </c>
      <c r="D99">
        <v>1</v>
      </c>
      <c r="E99">
        <v>1</v>
      </c>
      <c r="F99">
        <v>1</v>
      </c>
      <c r="G99">
        <v>1</v>
      </c>
      <c r="H99">
        <v>1</v>
      </c>
      <c r="I99">
        <v>0</v>
      </c>
      <c r="J99">
        <v>0</v>
      </c>
      <c r="K99">
        <v>1</v>
      </c>
      <c r="L99">
        <v>1</v>
      </c>
      <c r="M99">
        <v>1</v>
      </c>
      <c r="N99">
        <v>1</v>
      </c>
      <c r="O99" t="s">
        <v>215</v>
      </c>
    </row>
    <row r="100" spans="1:15" x14ac:dyDescent="0.25">
      <c r="A100" t="s">
        <v>163</v>
      </c>
      <c r="B100">
        <v>0</v>
      </c>
      <c r="C100">
        <v>9.9312217235565186</v>
      </c>
      <c r="D100">
        <v>1</v>
      </c>
      <c r="E100">
        <v>1</v>
      </c>
      <c r="F100">
        <v>1</v>
      </c>
      <c r="G100">
        <v>0</v>
      </c>
      <c r="H100">
        <v>1</v>
      </c>
      <c r="I100">
        <v>1</v>
      </c>
      <c r="J100">
        <v>1</v>
      </c>
      <c r="K100">
        <v>1</v>
      </c>
      <c r="L100">
        <v>1</v>
      </c>
      <c r="M100">
        <v>1</v>
      </c>
      <c r="N100">
        <v>1</v>
      </c>
      <c r="O100" t="s">
        <v>216</v>
      </c>
    </row>
    <row r="101" spans="1:15" x14ac:dyDescent="0.25">
      <c r="A101" t="s">
        <v>165</v>
      </c>
      <c r="B101">
        <v>0</v>
      </c>
      <c r="C101">
        <v>11.130188226699831</v>
      </c>
      <c r="D101">
        <v>0</v>
      </c>
      <c r="E101" t="s">
        <v>17</v>
      </c>
      <c r="F101" t="s">
        <v>17</v>
      </c>
      <c r="G101" t="s">
        <v>17</v>
      </c>
      <c r="H101" t="s">
        <v>17</v>
      </c>
      <c r="I101" t="s">
        <v>17</v>
      </c>
      <c r="J101" t="s">
        <v>17</v>
      </c>
      <c r="K101" t="s">
        <v>17</v>
      </c>
      <c r="L101" t="s">
        <v>17</v>
      </c>
      <c r="M101" t="s">
        <v>17</v>
      </c>
      <c r="N101" t="s">
        <v>17</v>
      </c>
      <c r="O101" t="s">
        <v>217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1"/>
  <sheetViews>
    <sheetView workbookViewId="0"/>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v>0</v>
      </c>
      <c r="C2">
        <v>2.794001579284668</v>
      </c>
      <c r="D2">
        <v>1</v>
      </c>
      <c r="E2">
        <v>1</v>
      </c>
      <c r="F2">
        <v>1</v>
      </c>
      <c r="G2">
        <v>1</v>
      </c>
      <c r="H2">
        <v>1</v>
      </c>
      <c r="I2">
        <v>1</v>
      </c>
      <c r="J2">
        <v>1</v>
      </c>
      <c r="K2">
        <v>1</v>
      </c>
      <c r="L2">
        <v>1</v>
      </c>
      <c r="M2">
        <v>1</v>
      </c>
      <c r="N2">
        <v>1</v>
      </c>
    </row>
    <row r="3" spans="1:15" x14ac:dyDescent="0.25">
      <c r="A3" t="s">
        <v>16</v>
      </c>
      <c r="B3">
        <v>0</v>
      </c>
      <c r="C3">
        <v>7.0621175765991211</v>
      </c>
      <c r="D3">
        <v>0</v>
      </c>
      <c r="E3" t="s">
        <v>17</v>
      </c>
      <c r="F3" t="s">
        <v>17</v>
      </c>
      <c r="G3" t="s">
        <v>17</v>
      </c>
      <c r="H3" t="s">
        <v>17</v>
      </c>
      <c r="I3" t="s">
        <v>17</v>
      </c>
      <c r="J3" t="s">
        <v>17</v>
      </c>
      <c r="K3" t="s">
        <v>17</v>
      </c>
      <c r="L3" t="s">
        <v>17</v>
      </c>
      <c r="M3" t="s">
        <v>17</v>
      </c>
      <c r="N3" t="s">
        <v>17</v>
      </c>
      <c r="O3" t="s">
        <v>218</v>
      </c>
    </row>
    <row r="4" spans="1:15" x14ac:dyDescent="0.25">
      <c r="A4" t="s">
        <v>19</v>
      </c>
      <c r="B4">
        <v>0</v>
      </c>
      <c r="C4">
        <v>9.4372122287750244</v>
      </c>
      <c r="D4">
        <v>1</v>
      </c>
      <c r="E4">
        <v>1</v>
      </c>
      <c r="F4">
        <v>1</v>
      </c>
      <c r="G4">
        <v>1</v>
      </c>
      <c r="H4">
        <v>1</v>
      </c>
      <c r="I4">
        <v>1</v>
      </c>
      <c r="J4">
        <v>1</v>
      </c>
      <c r="K4">
        <v>1</v>
      </c>
      <c r="L4">
        <v>1</v>
      </c>
      <c r="M4">
        <v>1</v>
      </c>
      <c r="N4">
        <v>1</v>
      </c>
    </row>
    <row r="5" spans="1:15" x14ac:dyDescent="0.25">
      <c r="A5" t="s">
        <v>20</v>
      </c>
      <c r="B5">
        <v>0</v>
      </c>
      <c r="C5">
        <v>2.6905770301818852</v>
      </c>
      <c r="D5">
        <v>1</v>
      </c>
      <c r="E5">
        <v>1</v>
      </c>
      <c r="F5">
        <v>1</v>
      </c>
      <c r="G5">
        <v>1</v>
      </c>
      <c r="H5">
        <v>1</v>
      </c>
      <c r="I5">
        <v>1</v>
      </c>
      <c r="J5">
        <v>1</v>
      </c>
      <c r="K5">
        <v>1</v>
      </c>
      <c r="L5">
        <v>1</v>
      </c>
      <c r="M5">
        <v>1</v>
      </c>
      <c r="N5">
        <v>1</v>
      </c>
    </row>
    <row r="6" spans="1:15" x14ac:dyDescent="0.25">
      <c r="A6" t="s">
        <v>21</v>
      </c>
      <c r="B6">
        <v>0</v>
      </c>
      <c r="C6">
        <v>2.570867776870728</v>
      </c>
      <c r="D6">
        <v>1</v>
      </c>
      <c r="E6">
        <v>1</v>
      </c>
      <c r="F6">
        <v>1</v>
      </c>
      <c r="G6">
        <v>1</v>
      </c>
      <c r="H6">
        <v>1</v>
      </c>
      <c r="I6">
        <v>1</v>
      </c>
      <c r="J6">
        <v>1</v>
      </c>
      <c r="K6">
        <v>1</v>
      </c>
      <c r="L6">
        <v>1</v>
      </c>
      <c r="M6">
        <v>1</v>
      </c>
      <c r="N6">
        <v>1</v>
      </c>
    </row>
    <row r="7" spans="1:15" x14ac:dyDescent="0.25">
      <c r="A7" t="s">
        <v>22</v>
      </c>
      <c r="B7">
        <v>0</v>
      </c>
      <c r="C7">
        <v>2.7724251747131352</v>
      </c>
      <c r="D7">
        <v>1</v>
      </c>
      <c r="E7">
        <v>1</v>
      </c>
      <c r="F7">
        <v>1</v>
      </c>
      <c r="G7">
        <v>1</v>
      </c>
      <c r="H7">
        <v>1</v>
      </c>
      <c r="I7">
        <v>1</v>
      </c>
      <c r="J7">
        <v>1</v>
      </c>
      <c r="K7">
        <v>1</v>
      </c>
      <c r="L7">
        <v>1</v>
      </c>
      <c r="M7">
        <v>1</v>
      </c>
      <c r="N7">
        <v>1</v>
      </c>
    </row>
    <row r="8" spans="1:15" x14ac:dyDescent="0.25">
      <c r="A8" t="s">
        <v>23</v>
      </c>
      <c r="B8">
        <v>0</v>
      </c>
      <c r="C8">
        <v>10.68903708457947</v>
      </c>
      <c r="D8">
        <v>1</v>
      </c>
      <c r="E8">
        <v>1</v>
      </c>
      <c r="F8">
        <v>1</v>
      </c>
      <c r="G8">
        <v>1</v>
      </c>
      <c r="H8">
        <v>1</v>
      </c>
      <c r="I8">
        <v>1</v>
      </c>
      <c r="J8">
        <v>1</v>
      </c>
      <c r="K8">
        <v>1</v>
      </c>
      <c r="L8">
        <v>1</v>
      </c>
      <c r="M8">
        <v>1</v>
      </c>
      <c r="N8">
        <v>1</v>
      </c>
    </row>
    <row r="9" spans="1:15" x14ac:dyDescent="0.25">
      <c r="A9" t="s">
        <v>24</v>
      </c>
      <c r="B9">
        <v>0</v>
      </c>
      <c r="C9">
        <v>12.65179753303528</v>
      </c>
      <c r="D9">
        <v>1</v>
      </c>
      <c r="E9">
        <v>0</v>
      </c>
      <c r="F9">
        <v>1</v>
      </c>
      <c r="G9" t="s">
        <v>17</v>
      </c>
      <c r="H9">
        <v>1</v>
      </c>
      <c r="I9" t="s">
        <v>17</v>
      </c>
      <c r="J9">
        <v>1</v>
      </c>
      <c r="K9">
        <v>1</v>
      </c>
      <c r="L9">
        <v>1</v>
      </c>
      <c r="M9">
        <v>1</v>
      </c>
      <c r="N9">
        <v>1</v>
      </c>
      <c r="O9" t="s">
        <v>219</v>
      </c>
    </row>
    <row r="10" spans="1:15" x14ac:dyDescent="0.25">
      <c r="A10" t="s">
        <v>25</v>
      </c>
      <c r="B10">
        <v>0</v>
      </c>
      <c r="C10">
        <v>10.584474563598629</v>
      </c>
      <c r="D10">
        <v>1</v>
      </c>
      <c r="E10">
        <v>1</v>
      </c>
      <c r="F10">
        <v>1</v>
      </c>
      <c r="G10">
        <v>0</v>
      </c>
      <c r="H10">
        <v>1</v>
      </c>
      <c r="I10">
        <v>1</v>
      </c>
      <c r="J10">
        <v>1</v>
      </c>
      <c r="K10">
        <v>1</v>
      </c>
      <c r="L10">
        <v>1</v>
      </c>
      <c r="M10">
        <v>1</v>
      </c>
      <c r="N10">
        <v>1</v>
      </c>
      <c r="O10" t="s">
        <v>220</v>
      </c>
    </row>
    <row r="11" spans="1:15" x14ac:dyDescent="0.25">
      <c r="A11" t="s">
        <v>27</v>
      </c>
      <c r="B11">
        <v>0</v>
      </c>
      <c r="C11">
        <v>2.7787444591522221</v>
      </c>
      <c r="D11">
        <v>1</v>
      </c>
      <c r="E11">
        <v>1</v>
      </c>
      <c r="F11">
        <v>1</v>
      </c>
      <c r="G11">
        <v>1</v>
      </c>
      <c r="H11">
        <v>1</v>
      </c>
      <c r="I11">
        <v>1</v>
      </c>
      <c r="J11">
        <v>1</v>
      </c>
      <c r="K11">
        <v>1</v>
      </c>
      <c r="L11">
        <v>1</v>
      </c>
      <c r="M11">
        <v>1</v>
      </c>
      <c r="N11">
        <v>1</v>
      </c>
    </row>
    <row r="12" spans="1:15" x14ac:dyDescent="0.25">
      <c r="A12" t="s">
        <v>28</v>
      </c>
      <c r="B12">
        <v>0</v>
      </c>
      <c r="C12">
        <v>9.1818797588348389</v>
      </c>
      <c r="D12">
        <v>1</v>
      </c>
      <c r="E12">
        <v>1</v>
      </c>
      <c r="F12">
        <v>1</v>
      </c>
      <c r="G12">
        <v>1</v>
      </c>
      <c r="H12">
        <v>1</v>
      </c>
      <c r="I12">
        <v>1</v>
      </c>
      <c r="J12">
        <v>1</v>
      </c>
      <c r="K12">
        <v>1</v>
      </c>
      <c r="L12">
        <v>1</v>
      </c>
      <c r="M12">
        <v>1</v>
      </c>
      <c r="N12">
        <v>1</v>
      </c>
    </row>
    <row r="13" spans="1:15" x14ac:dyDescent="0.25">
      <c r="A13" t="s">
        <v>30</v>
      </c>
      <c r="B13">
        <v>0</v>
      </c>
      <c r="C13">
        <v>4.4947371482849121</v>
      </c>
      <c r="D13">
        <v>1</v>
      </c>
      <c r="E13">
        <v>1</v>
      </c>
      <c r="F13">
        <v>1</v>
      </c>
      <c r="G13">
        <v>1</v>
      </c>
      <c r="H13">
        <v>1</v>
      </c>
      <c r="I13">
        <v>0</v>
      </c>
      <c r="J13">
        <v>1</v>
      </c>
      <c r="K13">
        <v>1</v>
      </c>
      <c r="L13">
        <v>1</v>
      </c>
      <c r="M13">
        <v>1</v>
      </c>
      <c r="N13">
        <v>1</v>
      </c>
      <c r="O13" t="s">
        <v>221</v>
      </c>
    </row>
    <row r="14" spans="1:15" x14ac:dyDescent="0.25">
      <c r="A14" t="s">
        <v>32</v>
      </c>
      <c r="B14">
        <v>0</v>
      </c>
      <c r="C14">
        <v>2.785958051681519</v>
      </c>
      <c r="D14">
        <v>1</v>
      </c>
      <c r="E14">
        <v>1</v>
      </c>
      <c r="F14">
        <v>1</v>
      </c>
      <c r="G14">
        <v>1</v>
      </c>
      <c r="H14">
        <v>1</v>
      </c>
      <c r="I14">
        <v>1</v>
      </c>
      <c r="J14">
        <v>1</v>
      </c>
      <c r="K14">
        <v>1</v>
      </c>
      <c r="L14">
        <v>1</v>
      </c>
      <c r="M14">
        <v>1</v>
      </c>
      <c r="N14">
        <v>1</v>
      </c>
    </row>
    <row r="15" spans="1:15" x14ac:dyDescent="0.25">
      <c r="A15" t="s">
        <v>33</v>
      </c>
      <c r="B15">
        <v>0</v>
      </c>
      <c r="C15">
        <v>11.40303373336792</v>
      </c>
      <c r="D15">
        <v>1</v>
      </c>
      <c r="E15">
        <v>1</v>
      </c>
      <c r="F15">
        <v>0</v>
      </c>
      <c r="G15" t="s">
        <v>17</v>
      </c>
      <c r="H15">
        <v>1</v>
      </c>
      <c r="I15">
        <v>1</v>
      </c>
      <c r="J15">
        <v>1</v>
      </c>
      <c r="K15">
        <v>1</v>
      </c>
      <c r="L15">
        <v>1</v>
      </c>
      <c r="M15">
        <v>1</v>
      </c>
      <c r="N15">
        <v>1</v>
      </c>
      <c r="O15" t="s">
        <v>222</v>
      </c>
    </row>
    <row r="16" spans="1:15" x14ac:dyDescent="0.25">
      <c r="A16" t="s">
        <v>34</v>
      </c>
      <c r="B16">
        <v>0</v>
      </c>
      <c r="C16">
        <v>12.00144577026367</v>
      </c>
      <c r="D16">
        <v>1</v>
      </c>
      <c r="E16">
        <v>0</v>
      </c>
      <c r="F16">
        <v>1</v>
      </c>
      <c r="G16" t="s">
        <v>17</v>
      </c>
      <c r="H16">
        <v>1</v>
      </c>
      <c r="I16" t="s">
        <v>17</v>
      </c>
      <c r="J16">
        <v>1</v>
      </c>
      <c r="K16">
        <v>1</v>
      </c>
      <c r="L16">
        <v>1</v>
      </c>
      <c r="M16">
        <v>1</v>
      </c>
      <c r="N16">
        <v>1</v>
      </c>
      <c r="O16" t="s">
        <v>223</v>
      </c>
    </row>
    <row r="17" spans="1:15" x14ac:dyDescent="0.25">
      <c r="A17" t="s">
        <v>36</v>
      </c>
      <c r="B17">
        <v>0</v>
      </c>
      <c r="C17">
        <v>9.6668195724487305</v>
      </c>
      <c r="D17">
        <v>1</v>
      </c>
      <c r="E17">
        <v>1</v>
      </c>
      <c r="F17">
        <v>1</v>
      </c>
      <c r="G17">
        <v>1</v>
      </c>
      <c r="H17">
        <v>1</v>
      </c>
      <c r="I17">
        <v>1</v>
      </c>
      <c r="J17">
        <v>1</v>
      </c>
      <c r="K17">
        <v>1</v>
      </c>
      <c r="L17">
        <v>1</v>
      </c>
      <c r="M17">
        <v>1</v>
      </c>
      <c r="N17">
        <v>1</v>
      </c>
    </row>
    <row r="18" spans="1:15" x14ac:dyDescent="0.25">
      <c r="A18" t="s">
        <v>37</v>
      </c>
      <c r="B18">
        <v>0</v>
      </c>
      <c r="C18">
        <v>13.051854133605961</v>
      </c>
      <c r="D18">
        <v>1</v>
      </c>
      <c r="E18">
        <v>1</v>
      </c>
      <c r="F18">
        <v>1</v>
      </c>
      <c r="G18">
        <v>1</v>
      </c>
      <c r="H18">
        <v>1</v>
      </c>
      <c r="I18">
        <v>1</v>
      </c>
      <c r="J18">
        <v>1</v>
      </c>
      <c r="K18">
        <v>0</v>
      </c>
      <c r="L18">
        <v>1</v>
      </c>
      <c r="M18">
        <v>1</v>
      </c>
      <c r="N18">
        <v>1</v>
      </c>
      <c r="O18" t="s">
        <v>224</v>
      </c>
    </row>
    <row r="19" spans="1:15" x14ac:dyDescent="0.25">
      <c r="A19" t="s">
        <v>38</v>
      </c>
      <c r="B19">
        <v>0</v>
      </c>
      <c r="C19">
        <v>8.1264898777008057</v>
      </c>
      <c r="D19">
        <v>1</v>
      </c>
      <c r="E19">
        <v>1</v>
      </c>
      <c r="F19">
        <v>0</v>
      </c>
      <c r="G19" t="s">
        <v>17</v>
      </c>
      <c r="H19">
        <v>0</v>
      </c>
      <c r="I19">
        <v>1</v>
      </c>
      <c r="J19">
        <v>0</v>
      </c>
      <c r="K19">
        <v>1</v>
      </c>
      <c r="L19">
        <v>1</v>
      </c>
      <c r="M19">
        <v>1</v>
      </c>
      <c r="N19">
        <v>1</v>
      </c>
      <c r="O19" t="s">
        <v>225</v>
      </c>
    </row>
    <row r="20" spans="1:15" x14ac:dyDescent="0.25">
      <c r="A20" t="s">
        <v>40</v>
      </c>
      <c r="B20">
        <v>0</v>
      </c>
      <c r="C20">
        <v>8.7332775592803955</v>
      </c>
      <c r="D20">
        <v>1</v>
      </c>
      <c r="E20">
        <v>1</v>
      </c>
      <c r="F20">
        <v>1</v>
      </c>
      <c r="G20">
        <v>1</v>
      </c>
      <c r="H20">
        <v>1</v>
      </c>
      <c r="I20">
        <v>1</v>
      </c>
      <c r="J20">
        <v>1</v>
      </c>
      <c r="K20">
        <v>1</v>
      </c>
      <c r="L20">
        <v>1</v>
      </c>
      <c r="M20">
        <v>1</v>
      </c>
      <c r="N20">
        <v>1</v>
      </c>
    </row>
    <row r="21" spans="1:15" x14ac:dyDescent="0.25">
      <c r="A21" t="s">
        <v>41</v>
      </c>
      <c r="B21">
        <v>0</v>
      </c>
      <c r="C21">
        <v>9.0387172698974609</v>
      </c>
      <c r="D21">
        <v>1</v>
      </c>
      <c r="E21">
        <v>1</v>
      </c>
      <c r="F21">
        <v>1</v>
      </c>
      <c r="G21">
        <v>1</v>
      </c>
      <c r="H21">
        <v>1</v>
      </c>
      <c r="I21">
        <v>1</v>
      </c>
      <c r="J21">
        <v>1</v>
      </c>
      <c r="K21">
        <v>1</v>
      </c>
      <c r="L21">
        <v>1</v>
      </c>
      <c r="M21">
        <v>1</v>
      </c>
      <c r="N21">
        <v>1</v>
      </c>
    </row>
    <row r="22" spans="1:15" x14ac:dyDescent="0.25">
      <c r="A22" t="s">
        <v>42</v>
      </c>
      <c r="B22">
        <v>0</v>
      </c>
      <c r="C22">
        <v>9.3517365455627441</v>
      </c>
      <c r="D22">
        <v>1</v>
      </c>
      <c r="E22">
        <v>1</v>
      </c>
      <c r="F22">
        <v>1</v>
      </c>
      <c r="G22">
        <v>1</v>
      </c>
      <c r="H22">
        <v>1</v>
      </c>
      <c r="I22">
        <v>1</v>
      </c>
      <c r="J22">
        <v>1</v>
      </c>
      <c r="K22">
        <v>1</v>
      </c>
      <c r="L22">
        <v>1</v>
      </c>
      <c r="M22">
        <v>1</v>
      </c>
      <c r="N22">
        <v>1</v>
      </c>
    </row>
    <row r="23" spans="1:15" x14ac:dyDescent="0.25">
      <c r="A23" t="s">
        <v>43</v>
      </c>
      <c r="B23">
        <v>0</v>
      </c>
      <c r="C23">
        <v>5.0306165218353271</v>
      </c>
      <c r="D23">
        <v>1</v>
      </c>
      <c r="E23">
        <v>1</v>
      </c>
      <c r="F23">
        <v>1</v>
      </c>
      <c r="G23">
        <v>1</v>
      </c>
      <c r="H23">
        <v>1</v>
      </c>
      <c r="I23">
        <v>0</v>
      </c>
      <c r="J23">
        <v>1</v>
      </c>
      <c r="K23">
        <v>1</v>
      </c>
      <c r="L23">
        <v>1</v>
      </c>
      <c r="M23">
        <v>1</v>
      </c>
      <c r="N23">
        <v>1</v>
      </c>
      <c r="O23" t="s">
        <v>226</v>
      </c>
    </row>
    <row r="24" spans="1:15" x14ac:dyDescent="0.25">
      <c r="A24" t="s">
        <v>45</v>
      </c>
      <c r="B24">
        <v>0</v>
      </c>
      <c r="C24">
        <v>11.303156614303591</v>
      </c>
      <c r="D24">
        <v>1</v>
      </c>
      <c r="E24">
        <v>1</v>
      </c>
      <c r="F24">
        <v>1</v>
      </c>
      <c r="G24">
        <v>0</v>
      </c>
      <c r="H24">
        <v>1</v>
      </c>
      <c r="I24">
        <v>1</v>
      </c>
      <c r="J24">
        <v>1</v>
      </c>
      <c r="K24">
        <v>1</v>
      </c>
      <c r="L24">
        <v>1</v>
      </c>
      <c r="M24">
        <v>1</v>
      </c>
      <c r="N24">
        <v>1</v>
      </c>
      <c r="O24" t="s">
        <v>227</v>
      </c>
    </row>
    <row r="25" spans="1:15" x14ac:dyDescent="0.25">
      <c r="A25" t="s">
        <v>47</v>
      </c>
      <c r="B25">
        <v>0</v>
      </c>
      <c r="C25">
        <v>9.8973793983459473</v>
      </c>
      <c r="D25">
        <v>1</v>
      </c>
      <c r="E25">
        <v>1</v>
      </c>
      <c r="F25">
        <v>1</v>
      </c>
      <c r="G25">
        <v>1</v>
      </c>
      <c r="H25">
        <v>1</v>
      </c>
      <c r="I25">
        <v>1</v>
      </c>
      <c r="J25">
        <v>1</v>
      </c>
      <c r="K25">
        <v>1</v>
      </c>
      <c r="L25">
        <v>1</v>
      </c>
      <c r="M25">
        <v>1</v>
      </c>
      <c r="N25">
        <v>1</v>
      </c>
    </row>
    <row r="26" spans="1:15" x14ac:dyDescent="0.25">
      <c r="A26" t="s">
        <v>48</v>
      </c>
      <c r="B26">
        <v>0</v>
      </c>
      <c r="C26">
        <v>11.57888650894165</v>
      </c>
      <c r="D26">
        <v>1</v>
      </c>
      <c r="E26">
        <v>1</v>
      </c>
      <c r="F26">
        <v>1</v>
      </c>
      <c r="G26">
        <v>1</v>
      </c>
      <c r="H26">
        <v>1</v>
      </c>
      <c r="I26">
        <v>1</v>
      </c>
      <c r="J26">
        <v>1</v>
      </c>
      <c r="K26">
        <v>1</v>
      </c>
      <c r="L26">
        <v>1</v>
      </c>
      <c r="M26">
        <v>1</v>
      </c>
      <c r="N26">
        <v>1</v>
      </c>
    </row>
    <row r="27" spans="1:15" x14ac:dyDescent="0.25">
      <c r="A27" t="s">
        <v>50</v>
      </c>
      <c r="B27">
        <v>0</v>
      </c>
      <c r="C27">
        <v>9.454115629196167</v>
      </c>
      <c r="D27">
        <v>1</v>
      </c>
      <c r="E27">
        <v>1</v>
      </c>
      <c r="F27">
        <v>1</v>
      </c>
      <c r="G27">
        <v>1</v>
      </c>
      <c r="H27">
        <v>1</v>
      </c>
      <c r="I27">
        <v>1</v>
      </c>
      <c r="J27">
        <v>1</v>
      </c>
      <c r="K27">
        <v>1</v>
      </c>
      <c r="L27">
        <v>1</v>
      </c>
      <c r="M27">
        <v>1</v>
      </c>
      <c r="N27">
        <v>1</v>
      </c>
    </row>
    <row r="28" spans="1:15" x14ac:dyDescent="0.25">
      <c r="A28" t="s">
        <v>51</v>
      </c>
      <c r="B28">
        <v>0</v>
      </c>
      <c r="C28">
        <v>9.9664359092712402</v>
      </c>
      <c r="D28">
        <v>1</v>
      </c>
      <c r="E28">
        <v>1</v>
      </c>
      <c r="F28">
        <v>1</v>
      </c>
      <c r="G28">
        <v>0</v>
      </c>
      <c r="H28">
        <v>1</v>
      </c>
      <c r="I28">
        <v>1</v>
      </c>
      <c r="J28">
        <v>0</v>
      </c>
      <c r="K28">
        <v>1</v>
      </c>
      <c r="L28">
        <v>1</v>
      </c>
      <c r="M28">
        <v>1</v>
      </c>
      <c r="N28">
        <v>1</v>
      </c>
      <c r="O28" t="s">
        <v>228</v>
      </c>
    </row>
    <row r="29" spans="1:15" x14ac:dyDescent="0.25">
      <c r="A29" t="s">
        <v>53</v>
      </c>
      <c r="B29">
        <v>0</v>
      </c>
      <c r="C29">
        <v>11.84865093231201</v>
      </c>
      <c r="D29">
        <v>1</v>
      </c>
      <c r="E29">
        <v>1</v>
      </c>
      <c r="F29">
        <v>1</v>
      </c>
      <c r="G29">
        <v>0</v>
      </c>
      <c r="H29">
        <v>1</v>
      </c>
      <c r="I29">
        <v>1</v>
      </c>
      <c r="J29">
        <v>1</v>
      </c>
      <c r="K29">
        <v>1</v>
      </c>
      <c r="L29">
        <v>1</v>
      </c>
      <c r="M29">
        <v>1</v>
      </c>
      <c r="N29">
        <v>1</v>
      </c>
      <c r="O29" t="s">
        <v>229</v>
      </c>
    </row>
    <row r="30" spans="1:15" x14ac:dyDescent="0.25">
      <c r="A30" t="s">
        <v>55</v>
      </c>
      <c r="B30">
        <v>0</v>
      </c>
      <c r="C30">
        <v>8.1379663944244385</v>
      </c>
      <c r="D30">
        <v>0</v>
      </c>
      <c r="E30" t="s">
        <v>17</v>
      </c>
      <c r="F30" t="s">
        <v>17</v>
      </c>
      <c r="G30" t="s">
        <v>17</v>
      </c>
      <c r="H30" t="s">
        <v>17</v>
      </c>
      <c r="I30" t="s">
        <v>17</v>
      </c>
      <c r="J30" t="s">
        <v>17</v>
      </c>
      <c r="K30" t="s">
        <v>17</v>
      </c>
      <c r="L30" t="s">
        <v>17</v>
      </c>
      <c r="M30" t="s">
        <v>17</v>
      </c>
      <c r="N30" t="s">
        <v>17</v>
      </c>
      <c r="O30" t="s">
        <v>230</v>
      </c>
    </row>
    <row r="31" spans="1:15" x14ac:dyDescent="0.25">
      <c r="A31" t="s">
        <v>57</v>
      </c>
      <c r="B31">
        <v>0</v>
      </c>
      <c r="C31">
        <v>10.44773888587952</v>
      </c>
      <c r="D31">
        <v>1</v>
      </c>
      <c r="E31">
        <v>1</v>
      </c>
      <c r="F31">
        <v>1</v>
      </c>
      <c r="G31">
        <v>0</v>
      </c>
      <c r="H31">
        <v>1</v>
      </c>
      <c r="I31">
        <v>0</v>
      </c>
      <c r="J31">
        <v>1</v>
      </c>
      <c r="K31">
        <v>1</v>
      </c>
      <c r="L31">
        <v>1</v>
      </c>
      <c r="M31">
        <v>1</v>
      </c>
      <c r="N31">
        <v>1</v>
      </c>
      <c r="O31" t="s">
        <v>231</v>
      </c>
    </row>
    <row r="32" spans="1:15" x14ac:dyDescent="0.25">
      <c r="A32" t="s">
        <v>59</v>
      </c>
      <c r="B32">
        <v>0</v>
      </c>
      <c r="C32">
        <v>2.7131121158599849</v>
      </c>
      <c r="D32">
        <v>1</v>
      </c>
      <c r="E32">
        <v>1</v>
      </c>
      <c r="F32">
        <v>1</v>
      </c>
      <c r="G32">
        <v>1</v>
      </c>
      <c r="H32">
        <v>1</v>
      </c>
      <c r="I32">
        <v>1</v>
      </c>
      <c r="J32">
        <v>1</v>
      </c>
      <c r="K32">
        <v>1</v>
      </c>
      <c r="L32">
        <v>1</v>
      </c>
      <c r="M32">
        <v>1</v>
      </c>
      <c r="N32">
        <v>1</v>
      </c>
    </row>
    <row r="33" spans="1:15" x14ac:dyDescent="0.25">
      <c r="A33" t="s">
        <v>60</v>
      </c>
      <c r="B33">
        <v>0</v>
      </c>
      <c r="C33">
        <v>10.52448678016663</v>
      </c>
      <c r="D33">
        <v>1</v>
      </c>
      <c r="E33">
        <v>1</v>
      </c>
      <c r="F33">
        <v>0</v>
      </c>
      <c r="G33" t="s">
        <v>17</v>
      </c>
      <c r="H33">
        <v>1</v>
      </c>
      <c r="I33">
        <v>1</v>
      </c>
      <c r="J33">
        <v>1</v>
      </c>
      <c r="K33">
        <v>1</v>
      </c>
      <c r="L33">
        <v>1</v>
      </c>
      <c r="M33">
        <v>1</v>
      </c>
      <c r="N33">
        <v>1</v>
      </c>
      <c r="O33" t="s">
        <v>232</v>
      </c>
    </row>
    <row r="34" spans="1:15" x14ac:dyDescent="0.25">
      <c r="A34" t="s">
        <v>62</v>
      </c>
      <c r="B34">
        <v>0</v>
      </c>
      <c r="C34">
        <v>9.0910160541534424</v>
      </c>
      <c r="D34">
        <v>1</v>
      </c>
      <c r="E34">
        <v>1</v>
      </c>
      <c r="F34">
        <v>1</v>
      </c>
      <c r="G34">
        <v>1</v>
      </c>
      <c r="H34">
        <v>1</v>
      </c>
      <c r="I34">
        <v>1</v>
      </c>
      <c r="J34">
        <v>1</v>
      </c>
      <c r="K34">
        <v>1</v>
      </c>
      <c r="L34">
        <v>1</v>
      </c>
      <c r="M34">
        <v>1</v>
      </c>
      <c r="N34">
        <v>1</v>
      </c>
    </row>
    <row r="35" spans="1:15" x14ac:dyDescent="0.25">
      <c r="A35" t="s">
        <v>63</v>
      </c>
      <c r="B35">
        <v>0</v>
      </c>
      <c r="C35">
        <v>10.53154516220093</v>
      </c>
      <c r="D35">
        <v>1</v>
      </c>
      <c r="E35">
        <v>1</v>
      </c>
      <c r="F35">
        <v>1</v>
      </c>
      <c r="G35">
        <v>1</v>
      </c>
      <c r="H35">
        <v>1</v>
      </c>
      <c r="I35">
        <v>1</v>
      </c>
      <c r="J35">
        <v>1</v>
      </c>
      <c r="K35">
        <v>1</v>
      </c>
      <c r="L35">
        <v>1</v>
      </c>
      <c r="M35">
        <v>1</v>
      </c>
      <c r="N35">
        <v>1</v>
      </c>
    </row>
    <row r="36" spans="1:15" x14ac:dyDescent="0.25">
      <c r="A36" t="s">
        <v>64</v>
      </c>
      <c r="B36">
        <v>0</v>
      </c>
      <c r="C36">
        <v>9.6522085666656494</v>
      </c>
      <c r="D36">
        <v>1</v>
      </c>
      <c r="E36">
        <v>1</v>
      </c>
      <c r="F36">
        <v>1</v>
      </c>
      <c r="G36">
        <v>1</v>
      </c>
      <c r="H36">
        <v>1</v>
      </c>
      <c r="I36">
        <v>1</v>
      </c>
      <c r="J36">
        <v>1</v>
      </c>
      <c r="K36">
        <v>1</v>
      </c>
      <c r="L36">
        <v>1</v>
      </c>
      <c r="M36">
        <v>1</v>
      </c>
      <c r="N36">
        <v>1</v>
      </c>
    </row>
    <row r="37" spans="1:15" x14ac:dyDescent="0.25">
      <c r="A37" t="s">
        <v>66</v>
      </c>
      <c r="B37">
        <v>0</v>
      </c>
      <c r="C37">
        <v>10.072319030761721</v>
      </c>
      <c r="D37">
        <v>1</v>
      </c>
      <c r="E37">
        <v>1</v>
      </c>
      <c r="F37">
        <v>1</v>
      </c>
      <c r="G37">
        <v>1</v>
      </c>
      <c r="H37">
        <v>1</v>
      </c>
      <c r="I37">
        <v>1</v>
      </c>
      <c r="J37">
        <v>1</v>
      </c>
      <c r="K37">
        <v>1</v>
      </c>
      <c r="L37">
        <v>1</v>
      </c>
      <c r="M37">
        <v>1</v>
      </c>
      <c r="N37">
        <v>1</v>
      </c>
    </row>
    <row r="38" spans="1:15" x14ac:dyDescent="0.25">
      <c r="A38" t="s">
        <v>67</v>
      </c>
      <c r="B38">
        <v>0</v>
      </c>
      <c r="C38">
        <v>12.461843490600589</v>
      </c>
      <c r="D38">
        <v>0</v>
      </c>
      <c r="E38" t="s">
        <v>17</v>
      </c>
      <c r="F38" t="s">
        <v>17</v>
      </c>
      <c r="G38" t="s">
        <v>17</v>
      </c>
      <c r="H38" t="s">
        <v>17</v>
      </c>
      <c r="I38" t="s">
        <v>17</v>
      </c>
      <c r="J38" t="s">
        <v>17</v>
      </c>
      <c r="K38" t="s">
        <v>17</v>
      </c>
      <c r="L38" t="s">
        <v>17</v>
      </c>
      <c r="M38" t="s">
        <v>17</v>
      </c>
      <c r="N38" t="s">
        <v>17</v>
      </c>
      <c r="O38" t="s">
        <v>233</v>
      </c>
    </row>
    <row r="39" spans="1:15" x14ac:dyDescent="0.25">
      <c r="A39" t="s">
        <v>69</v>
      </c>
      <c r="B39">
        <v>0</v>
      </c>
      <c r="C39">
        <v>8.904646635055542</v>
      </c>
      <c r="D39">
        <v>1</v>
      </c>
      <c r="E39">
        <v>1</v>
      </c>
      <c r="F39">
        <v>1</v>
      </c>
      <c r="G39">
        <v>1</v>
      </c>
      <c r="H39">
        <v>1</v>
      </c>
      <c r="I39">
        <v>1</v>
      </c>
      <c r="J39">
        <v>1</v>
      </c>
      <c r="K39">
        <v>1</v>
      </c>
      <c r="L39">
        <v>1</v>
      </c>
      <c r="M39">
        <v>1</v>
      </c>
      <c r="N39">
        <v>1</v>
      </c>
    </row>
    <row r="40" spans="1:15" x14ac:dyDescent="0.25">
      <c r="A40" t="s">
        <v>71</v>
      </c>
      <c r="B40">
        <v>0</v>
      </c>
      <c r="C40">
        <v>5.0285086631774902</v>
      </c>
      <c r="D40">
        <v>1</v>
      </c>
      <c r="E40">
        <v>1</v>
      </c>
      <c r="F40">
        <v>1</v>
      </c>
      <c r="G40">
        <v>1</v>
      </c>
      <c r="H40">
        <v>1</v>
      </c>
      <c r="I40">
        <v>0</v>
      </c>
      <c r="J40">
        <v>1</v>
      </c>
      <c r="K40">
        <v>1</v>
      </c>
      <c r="L40">
        <v>1</v>
      </c>
      <c r="M40">
        <v>1</v>
      </c>
      <c r="N40">
        <v>1</v>
      </c>
      <c r="O40" t="s">
        <v>234</v>
      </c>
    </row>
    <row r="41" spans="1:15" x14ac:dyDescent="0.25">
      <c r="A41" t="s">
        <v>73</v>
      </c>
      <c r="B41">
        <v>0</v>
      </c>
      <c r="C41">
        <v>5.2360770702362061</v>
      </c>
      <c r="D41">
        <v>1</v>
      </c>
      <c r="E41">
        <v>1</v>
      </c>
      <c r="F41">
        <v>1</v>
      </c>
      <c r="G41">
        <v>1</v>
      </c>
      <c r="H41">
        <v>0</v>
      </c>
      <c r="I41">
        <v>1</v>
      </c>
      <c r="J41">
        <v>0</v>
      </c>
      <c r="K41">
        <v>0</v>
      </c>
      <c r="L41">
        <v>1</v>
      </c>
      <c r="M41">
        <v>1</v>
      </c>
      <c r="N41">
        <v>1</v>
      </c>
      <c r="O41" t="s">
        <v>235</v>
      </c>
    </row>
    <row r="42" spans="1:15" x14ac:dyDescent="0.25">
      <c r="A42" t="s">
        <v>75</v>
      </c>
      <c r="B42">
        <v>0</v>
      </c>
      <c r="C42">
        <v>2.7380576133728032</v>
      </c>
      <c r="D42">
        <v>1</v>
      </c>
      <c r="E42">
        <v>1</v>
      </c>
      <c r="F42">
        <v>1</v>
      </c>
      <c r="G42">
        <v>1</v>
      </c>
      <c r="H42">
        <v>1</v>
      </c>
      <c r="I42">
        <v>1</v>
      </c>
      <c r="J42">
        <v>1</v>
      </c>
      <c r="K42">
        <v>1</v>
      </c>
      <c r="L42">
        <v>1</v>
      </c>
      <c r="M42">
        <v>1</v>
      </c>
      <c r="N42">
        <v>1</v>
      </c>
    </row>
    <row r="43" spans="1:15" x14ac:dyDescent="0.25">
      <c r="A43" t="s">
        <v>76</v>
      </c>
      <c r="B43">
        <v>0</v>
      </c>
      <c r="C43">
        <v>2.798614501953125</v>
      </c>
      <c r="D43">
        <v>1</v>
      </c>
      <c r="E43">
        <v>1</v>
      </c>
      <c r="F43">
        <v>1</v>
      </c>
      <c r="G43">
        <v>1</v>
      </c>
      <c r="H43">
        <v>1</v>
      </c>
      <c r="I43">
        <v>1</v>
      </c>
      <c r="J43">
        <v>1</v>
      </c>
      <c r="K43">
        <v>1</v>
      </c>
      <c r="L43">
        <v>1</v>
      </c>
      <c r="M43">
        <v>1</v>
      </c>
      <c r="N43">
        <v>1</v>
      </c>
    </row>
    <row r="44" spans="1:15" x14ac:dyDescent="0.25">
      <c r="A44" t="s">
        <v>77</v>
      </c>
      <c r="B44">
        <v>0</v>
      </c>
      <c r="C44">
        <v>10.321588754653931</v>
      </c>
      <c r="D44">
        <v>1</v>
      </c>
      <c r="E44">
        <v>1</v>
      </c>
      <c r="F44">
        <v>1</v>
      </c>
      <c r="G44">
        <v>1</v>
      </c>
      <c r="H44">
        <v>1</v>
      </c>
      <c r="I44">
        <v>1</v>
      </c>
      <c r="J44">
        <v>1</v>
      </c>
      <c r="K44">
        <v>1</v>
      </c>
      <c r="L44">
        <v>1</v>
      </c>
      <c r="M44">
        <v>1</v>
      </c>
      <c r="N44">
        <v>1</v>
      </c>
    </row>
    <row r="45" spans="1:15" x14ac:dyDescent="0.25">
      <c r="A45" t="s">
        <v>78</v>
      </c>
      <c r="B45">
        <v>0</v>
      </c>
      <c r="C45">
        <v>9.0944516658782959</v>
      </c>
      <c r="D45">
        <v>1</v>
      </c>
      <c r="E45">
        <v>1</v>
      </c>
      <c r="F45">
        <v>1</v>
      </c>
      <c r="G45">
        <v>1</v>
      </c>
      <c r="H45">
        <v>1</v>
      </c>
      <c r="I45">
        <v>1</v>
      </c>
      <c r="J45">
        <v>1</v>
      </c>
      <c r="K45">
        <v>1</v>
      </c>
      <c r="L45">
        <v>1</v>
      </c>
      <c r="M45">
        <v>1</v>
      </c>
      <c r="N45">
        <v>1</v>
      </c>
    </row>
    <row r="46" spans="1:15" x14ac:dyDescent="0.25">
      <c r="A46" t="s">
        <v>79</v>
      </c>
      <c r="B46">
        <v>0</v>
      </c>
      <c r="C46">
        <v>2.768242359161377</v>
      </c>
      <c r="D46">
        <v>1</v>
      </c>
      <c r="E46">
        <v>1</v>
      </c>
      <c r="F46">
        <v>1</v>
      </c>
      <c r="G46">
        <v>1</v>
      </c>
      <c r="H46">
        <v>1</v>
      </c>
      <c r="I46">
        <v>1</v>
      </c>
      <c r="J46">
        <v>1</v>
      </c>
      <c r="K46">
        <v>1</v>
      </c>
      <c r="L46">
        <v>1</v>
      </c>
      <c r="M46">
        <v>1</v>
      </c>
      <c r="N46">
        <v>1</v>
      </c>
    </row>
    <row r="47" spans="1:15" x14ac:dyDescent="0.25">
      <c r="A47" t="s">
        <v>80</v>
      </c>
      <c r="B47">
        <v>0</v>
      </c>
      <c r="C47">
        <v>5.5453236103057861</v>
      </c>
      <c r="D47">
        <v>1</v>
      </c>
      <c r="E47">
        <v>0</v>
      </c>
      <c r="F47">
        <v>1</v>
      </c>
      <c r="G47" t="s">
        <v>17</v>
      </c>
      <c r="H47">
        <v>1</v>
      </c>
      <c r="I47" t="s">
        <v>17</v>
      </c>
      <c r="J47">
        <v>1</v>
      </c>
      <c r="K47">
        <v>1</v>
      </c>
      <c r="L47">
        <v>1</v>
      </c>
      <c r="M47">
        <v>1</v>
      </c>
      <c r="N47">
        <v>1</v>
      </c>
      <c r="O47" t="s">
        <v>236</v>
      </c>
    </row>
    <row r="48" spans="1:15" x14ac:dyDescent="0.25">
      <c r="A48" t="s">
        <v>82</v>
      </c>
      <c r="B48">
        <v>0</v>
      </c>
      <c r="C48">
        <v>10.070204973220831</v>
      </c>
      <c r="D48">
        <v>1</v>
      </c>
      <c r="E48">
        <v>1</v>
      </c>
      <c r="F48">
        <v>1</v>
      </c>
      <c r="G48">
        <v>1</v>
      </c>
      <c r="H48">
        <v>1</v>
      </c>
      <c r="I48">
        <v>1</v>
      </c>
      <c r="J48">
        <v>0</v>
      </c>
      <c r="K48">
        <v>1</v>
      </c>
      <c r="L48">
        <v>1</v>
      </c>
      <c r="M48">
        <v>1</v>
      </c>
      <c r="N48">
        <v>1</v>
      </c>
      <c r="O48" t="s">
        <v>237</v>
      </c>
    </row>
    <row r="49" spans="1:15" x14ac:dyDescent="0.25">
      <c r="A49" t="s">
        <v>84</v>
      </c>
      <c r="B49">
        <v>0</v>
      </c>
      <c r="C49">
        <v>4.3080360889434806</v>
      </c>
      <c r="D49">
        <v>1</v>
      </c>
      <c r="E49">
        <v>1</v>
      </c>
      <c r="F49">
        <v>1</v>
      </c>
      <c r="G49">
        <v>0</v>
      </c>
      <c r="H49">
        <v>1</v>
      </c>
      <c r="I49">
        <v>1</v>
      </c>
      <c r="J49">
        <v>1</v>
      </c>
      <c r="K49">
        <v>1</v>
      </c>
      <c r="L49">
        <v>1</v>
      </c>
      <c r="M49">
        <v>1</v>
      </c>
      <c r="N49">
        <v>1</v>
      </c>
      <c r="O49" t="s">
        <v>238</v>
      </c>
    </row>
    <row r="50" spans="1:15" x14ac:dyDescent="0.25">
      <c r="A50" t="s">
        <v>86</v>
      </c>
      <c r="B50">
        <v>0</v>
      </c>
      <c r="C50">
        <v>2.871369600296021</v>
      </c>
      <c r="D50">
        <v>1</v>
      </c>
      <c r="E50">
        <v>1</v>
      </c>
      <c r="F50">
        <v>1</v>
      </c>
      <c r="G50">
        <v>1</v>
      </c>
      <c r="H50">
        <v>1</v>
      </c>
      <c r="I50">
        <v>1</v>
      </c>
      <c r="J50">
        <v>1</v>
      </c>
      <c r="K50">
        <v>1</v>
      </c>
      <c r="L50">
        <v>1</v>
      </c>
      <c r="M50">
        <v>1</v>
      </c>
      <c r="N50">
        <v>1</v>
      </c>
    </row>
    <row r="51" spans="1:15" x14ac:dyDescent="0.25">
      <c r="A51" t="s">
        <v>87</v>
      </c>
      <c r="B51">
        <v>0</v>
      </c>
      <c r="C51">
        <v>9.9429397583007813</v>
      </c>
      <c r="D51">
        <v>1</v>
      </c>
      <c r="E51">
        <v>1</v>
      </c>
      <c r="F51">
        <v>1</v>
      </c>
      <c r="G51">
        <v>1</v>
      </c>
      <c r="H51">
        <v>1</v>
      </c>
      <c r="I51">
        <v>1</v>
      </c>
      <c r="J51">
        <v>1</v>
      </c>
      <c r="K51">
        <v>1</v>
      </c>
      <c r="L51">
        <v>1</v>
      </c>
      <c r="M51">
        <v>1</v>
      </c>
      <c r="N51">
        <v>1</v>
      </c>
    </row>
    <row r="52" spans="1:15" x14ac:dyDescent="0.25">
      <c r="A52" t="s">
        <v>88</v>
      </c>
      <c r="B52">
        <v>0</v>
      </c>
      <c r="C52">
        <v>9.5740156173706055</v>
      </c>
      <c r="D52">
        <v>1</v>
      </c>
      <c r="E52">
        <v>1</v>
      </c>
      <c r="F52">
        <v>1</v>
      </c>
      <c r="G52">
        <v>1</v>
      </c>
      <c r="H52">
        <v>1</v>
      </c>
      <c r="I52">
        <v>1</v>
      </c>
      <c r="J52">
        <v>1</v>
      </c>
      <c r="K52">
        <v>1</v>
      </c>
      <c r="L52">
        <v>1</v>
      </c>
      <c r="M52">
        <v>1</v>
      </c>
      <c r="N52">
        <v>1</v>
      </c>
    </row>
    <row r="53" spans="1:15" x14ac:dyDescent="0.25">
      <c r="A53" t="s">
        <v>89</v>
      </c>
      <c r="B53">
        <v>0</v>
      </c>
      <c r="C53">
        <v>10.374290227890009</v>
      </c>
      <c r="D53">
        <v>1</v>
      </c>
      <c r="E53">
        <v>1</v>
      </c>
      <c r="F53">
        <v>1</v>
      </c>
      <c r="G53">
        <v>1</v>
      </c>
      <c r="H53">
        <v>1</v>
      </c>
      <c r="I53">
        <v>1</v>
      </c>
      <c r="J53">
        <v>1</v>
      </c>
      <c r="K53">
        <v>1</v>
      </c>
      <c r="L53">
        <v>1</v>
      </c>
      <c r="M53">
        <v>1</v>
      </c>
      <c r="N53">
        <v>1</v>
      </c>
    </row>
    <row r="54" spans="1:15" x14ac:dyDescent="0.25">
      <c r="A54" t="s">
        <v>90</v>
      </c>
      <c r="B54">
        <v>0</v>
      </c>
      <c r="C54">
        <v>9.5564663410186768</v>
      </c>
      <c r="D54">
        <v>1</v>
      </c>
      <c r="E54">
        <v>1</v>
      </c>
      <c r="F54">
        <v>1</v>
      </c>
      <c r="G54">
        <v>1</v>
      </c>
      <c r="H54">
        <v>1</v>
      </c>
      <c r="I54">
        <v>1</v>
      </c>
      <c r="J54">
        <v>1</v>
      </c>
      <c r="K54">
        <v>1</v>
      </c>
      <c r="L54">
        <v>1</v>
      </c>
      <c r="M54">
        <v>1</v>
      </c>
      <c r="N54">
        <v>1</v>
      </c>
    </row>
    <row r="55" spans="1:15" x14ac:dyDescent="0.25">
      <c r="A55" t="s">
        <v>92</v>
      </c>
      <c r="B55">
        <v>0</v>
      </c>
      <c r="C55">
        <v>12.841823577880859</v>
      </c>
      <c r="D55">
        <v>0</v>
      </c>
      <c r="E55" t="s">
        <v>17</v>
      </c>
      <c r="F55" t="s">
        <v>17</v>
      </c>
      <c r="G55" t="s">
        <v>17</v>
      </c>
      <c r="H55" t="s">
        <v>17</v>
      </c>
      <c r="I55" t="s">
        <v>17</v>
      </c>
      <c r="J55" t="s">
        <v>17</v>
      </c>
      <c r="K55" t="s">
        <v>17</v>
      </c>
      <c r="L55" t="s">
        <v>17</v>
      </c>
      <c r="M55" t="s">
        <v>17</v>
      </c>
      <c r="N55" t="s">
        <v>17</v>
      </c>
      <c r="O55" t="s">
        <v>239</v>
      </c>
    </row>
    <row r="56" spans="1:15" x14ac:dyDescent="0.25">
      <c r="A56" t="s">
        <v>94</v>
      </c>
      <c r="B56">
        <v>0</v>
      </c>
      <c r="C56">
        <v>8.9307591915130615</v>
      </c>
      <c r="D56">
        <v>0</v>
      </c>
      <c r="E56" t="s">
        <v>17</v>
      </c>
      <c r="F56" t="s">
        <v>17</v>
      </c>
      <c r="G56" t="s">
        <v>17</v>
      </c>
      <c r="H56" t="s">
        <v>17</v>
      </c>
      <c r="I56" t="s">
        <v>17</v>
      </c>
      <c r="J56" t="s">
        <v>17</v>
      </c>
      <c r="K56" t="s">
        <v>17</v>
      </c>
      <c r="L56" t="s">
        <v>17</v>
      </c>
      <c r="M56" t="s">
        <v>17</v>
      </c>
      <c r="N56" t="s">
        <v>17</v>
      </c>
      <c r="O56" t="s">
        <v>240</v>
      </c>
    </row>
    <row r="57" spans="1:15" x14ac:dyDescent="0.25">
      <c r="A57" t="s">
        <v>96</v>
      </c>
      <c r="B57">
        <v>0</v>
      </c>
      <c r="C57">
        <v>2.8944578170776372</v>
      </c>
      <c r="D57">
        <v>1</v>
      </c>
      <c r="E57">
        <v>1</v>
      </c>
      <c r="F57">
        <v>1</v>
      </c>
      <c r="G57">
        <v>1</v>
      </c>
      <c r="H57">
        <v>1</v>
      </c>
      <c r="I57">
        <v>1</v>
      </c>
      <c r="J57">
        <v>1</v>
      </c>
      <c r="K57">
        <v>1</v>
      </c>
      <c r="L57">
        <v>1</v>
      </c>
      <c r="M57">
        <v>1</v>
      </c>
      <c r="N57">
        <v>1</v>
      </c>
    </row>
    <row r="58" spans="1:15" x14ac:dyDescent="0.25">
      <c r="A58" t="s">
        <v>97</v>
      </c>
      <c r="B58">
        <v>0</v>
      </c>
      <c r="C58">
        <v>12.84037923812866</v>
      </c>
      <c r="D58">
        <v>1</v>
      </c>
      <c r="E58">
        <v>1</v>
      </c>
      <c r="F58">
        <v>1</v>
      </c>
      <c r="G58">
        <v>0</v>
      </c>
      <c r="H58">
        <v>1</v>
      </c>
      <c r="I58">
        <v>1</v>
      </c>
      <c r="J58">
        <v>1</v>
      </c>
      <c r="K58">
        <v>1</v>
      </c>
      <c r="L58">
        <v>0</v>
      </c>
      <c r="M58">
        <v>1</v>
      </c>
      <c r="N58">
        <v>1</v>
      </c>
      <c r="O58" t="s">
        <v>241</v>
      </c>
    </row>
    <row r="59" spans="1:15" x14ac:dyDescent="0.25">
      <c r="A59" t="s">
        <v>98</v>
      </c>
      <c r="B59">
        <v>0</v>
      </c>
      <c r="C59">
        <v>9.6397690773010254</v>
      </c>
      <c r="D59">
        <v>1</v>
      </c>
      <c r="E59">
        <v>1</v>
      </c>
      <c r="F59">
        <v>1</v>
      </c>
      <c r="G59">
        <v>1</v>
      </c>
      <c r="H59">
        <v>1</v>
      </c>
      <c r="I59">
        <v>1</v>
      </c>
      <c r="J59">
        <v>1</v>
      </c>
      <c r="K59">
        <v>1</v>
      </c>
      <c r="L59">
        <v>1</v>
      </c>
      <c r="M59">
        <v>1</v>
      </c>
      <c r="N59">
        <v>1</v>
      </c>
    </row>
    <row r="60" spans="1:15" x14ac:dyDescent="0.25">
      <c r="A60" t="s">
        <v>99</v>
      </c>
      <c r="B60">
        <v>0</v>
      </c>
      <c r="C60">
        <v>6.620316743850708</v>
      </c>
      <c r="D60">
        <v>1</v>
      </c>
      <c r="E60">
        <v>0</v>
      </c>
      <c r="F60">
        <v>1</v>
      </c>
      <c r="G60" t="s">
        <v>17</v>
      </c>
      <c r="H60">
        <v>1</v>
      </c>
      <c r="I60" t="s">
        <v>17</v>
      </c>
      <c r="J60">
        <v>1</v>
      </c>
      <c r="K60">
        <v>1</v>
      </c>
      <c r="L60">
        <v>1</v>
      </c>
      <c r="M60">
        <v>1</v>
      </c>
      <c r="N60">
        <v>1</v>
      </c>
      <c r="O60" t="s">
        <v>242</v>
      </c>
    </row>
    <row r="61" spans="1:15" x14ac:dyDescent="0.25">
      <c r="A61" t="s">
        <v>101</v>
      </c>
      <c r="B61">
        <v>0</v>
      </c>
      <c r="C61">
        <v>12.070393562316889</v>
      </c>
      <c r="D61">
        <v>1</v>
      </c>
      <c r="E61">
        <v>1</v>
      </c>
      <c r="F61">
        <v>1</v>
      </c>
      <c r="G61">
        <v>1</v>
      </c>
      <c r="H61">
        <v>1</v>
      </c>
      <c r="I61">
        <v>0</v>
      </c>
      <c r="J61">
        <v>1</v>
      </c>
      <c r="K61">
        <v>1</v>
      </c>
      <c r="L61">
        <v>1</v>
      </c>
      <c r="M61">
        <v>1</v>
      </c>
      <c r="N61">
        <v>1</v>
      </c>
      <c r="O61" t="s">
        <v>243</v>
      </c>
    </row>
    <row r="62" spans="1:15" x14ac:dyDescent="0.25">
      <c r="A62" t="s">
        <v>103</v>
      </c>
      <c r="B62">
        <v>0</v>
      </c>
      <c r="C62">
        <v>7.7080478668212891</v>
      </c>
      <c r="D62">
        <v>0</v>
      </c>
      <c r="E62" t="s">
        <v>17</v>
      </c>
      <c r="F62" t="s">
        <v>17</v>
      </c>
      <c r="G62" t="s">
        <v>17</v>
      </c>
      <c r="H62" t="s">
        <v>17</v>
      </c>
      <c r="I62" t="s">
        <v>17</v>
      </c>
      <c r="J62" t="s">
        <v>17</v>
      </c>
      <c r="K62" t="s">
        <v>17</v>
      </c>
      <c r="L62" t="s">
        <v>17</v>
      </c>
      <c r="M62" t="s">
        <v>17</v>
      </c>
      <c r="N62" t="s">
        <v>17</v>
      </c>
      <c r="O62" t="s">
        <v>244</v>
      </c>
    </row>
    <row r="63" spans="1:15" x14ac:dyDescent="0.25">
      <c r="A63" t="s">
        <v>105</v>
      </c>
      <c r="B63">
        <v>0</v>
      </c>
      <c r="C63">
        <v>2.6855673789978032</v>
      </c>
      <c r="D63">
        <v>1</v>
      </c>
      <c r="E63">
        <v>1</v>
      </c>
      <c r="F63">
        <v>1</v>
      </c>
      <c r="G63">
        <v>1</v>
      </c>
      <c r="H63">
        <v>1</v>
      </c>
      <c r="I63">
        <v>1</v>
      </c>
      <c r="J63">
        <v>1</v>
      </c>
      <c r="K63">
        <v>1</v>
      </c>
      <c r="L63">
        <v>1</v>
      </c>
      <c r="M63">
        <v>1</v>
      </c>
      <c r="N63">
        <v>1</v>
      </c>
    </row>
    <row r="64" spans="1:15" x14ac:dyDescent="0.25">
      <c r="A64" t="s">
        <v>106</v>
      </c>
      <c r="B64">
        <v>0</v>
      </c>
      <c r="C64">
        <v>10.351353168487551</v>
      </c>
      <c r="D64">
        <v>1</v>
      </c>
      <c r="E64">
        <v>1</v>
      </c>
      <c r="F64">
        <v>1</v>
      </c>
      <c r="G64">
        <v>1</v>
      </c>
      <c r="H64">
        <v>1</v>
      </c>
      <c r="I64">
        <v>1</v>
      </c>
      <c r="J64">
        <v>1</v>
      </c>
      <c r="K64">
        <v>1</v>
      </c>
      <c r="L64">
        <v>1</v>
      </c>
      <c r="M64">
        <v>1</v>
      </c>
      <c r="N64">
        <v>1</v>
      </c>
    </row>
    <row r="65" spans="1:15" x14ac:dyDescent="0.25">
      <c r="A65" t="s">
        <v>108</v>
      </c>
      <c r="B65">
        <v>0</v>
      </c>
      <c r="C65">
        <v>10.68445491790771</v>
      </c>
      <c r="D65">
        <v>1</v>
      </c>
      <c r="E65">
        <v>1</v>
      </c>
      <c r="F65">
        <v>1</v>
      </c>
      <c r="G65">
        <v>0</v>
      </c>
      <c r="H65">
        <v>1</v>
      </c>
      <c r="I65">
        <v>1</v>
      </c>
      <c r="J65">
        <v>1</v>
      </c>
      <c r="K65">
        <v>1</v>
      </c>
      <c r="L65">
        <v>1</v>
      </c>
      <c r="M65">
        <v>1</v>
      </c>
      <c r="N65">
        <v>1</v>
      </c>
      <c r="O65" t="s">
        <v>245</v>
      </c>
    </row>
    <row r="66" spans="1:15" x14ac:dyDescent="0.25">
      <c r="A66" t="s">
        <v>110</v>
      </c>
      <c r="B66">
        <v>0</v>
      </c>
      <c r="C66">
        <v>12.9421706199646</v>
      </c>
      <c r="D66">
        <v>0</v>
      </c>
      <c r="E66" t="s">
        <v>17</v>
      </c>
      <c r="F66" t="s">
        <v>17</v>
      </c>
      <c r="G66" t="s">
        <v>17</v>
      </c>
      <c r="H66" t="s">
        <v>17</v>
      </c>
      <c r="I66" t="s">
        <v>17</v>
      </c>
      <c r="J66" t="s">
        <v>17</v>
      </c>
      <c r="K66" t="s">
        <v>17</v>
      </c>
      <c r="L66" t="s">
        <v>17</v>
      </c>
      <c r="M66" t="s">
        <v>17</v>
      </c>
      <c r="N66" t="s">
        <v>17</v>
      </c>
      <c r="O66" t="s">
        <v>246</v>
      </c>
    </row>
    <row r="67" spans="1:15" x14ac:dyDescent="0.25">
      <c r="A67" t="s">
        <v>112</v>
      </c>
      <c r="B67">
        <v>0</v>
      </c>
      <c r="C67">
        <v>7.2934973239898682</v>
      </c>
      <c r="D67">
        <v>1</v>
      </c>
      <c r="E67">
        <v>1</v>
      </c>
      <c r="F67">
        <v>0</v>
      </c>
      <c r="G67" t="s">
        <v>17</v>
      </c>
      <c r="H67">
        <v>1</v>
      </c>
      <c r="I67">
        <v>1</v>
      </c>
      <c r="J67">
        <v>1</v>
      </c>
      <c r="K67">
        <v>1</v>
      </c>
      <c r="L67">
        <v>1</v>
      </c>
      <c r="M67">
        <v>1</v>
      </c>
      <c r="N67">
        <v>1</v>
      </c>
      <c r="O67" t="s">
        <v>247</v>
      </c>
    </row>
    <row r="68" spans="1:15" x14ac:dyDescent="0.25">
      <c r="A68" t="s">
        <v>114</v>
      </c>
      <c r="B68">
        <v>0</v>
      </c>
      <c r="C68">
        <v>10.421261787414551</v>
      </c>
      <c r="D68">
        <v>1</v>
      </c>
      <c r="E68">
        <v>1</v>
      </c>
      <c r="F68">
        <v>1</v>
      </c>
      <c r="G68">
        <v>1</v>
      </c>
      <c r="H68">
        <v>1</v>
      </c>
      <c r="I68">
        <v>1</v>
      </c>
      <c r="J68">
        <v>1</v>
      </c>
      <c r="K68">
        <v>1</v>
      </c>
      <c r="L68">
        <v>1</v>
      </c>
      <c r="M68">
        <v>1</v>
      </c>
      <c r="N68">
        <v>1</v>
      </c>
    </row>
    <row r="69" spans="1:15" x14ac:dyDescent="0.25">
      <c r="A69" t="s">
        <v>115</v>
      </c>
      <c r="B69">
        <v>0</v>
      </c>
      <c r="C69">
        <v>2.749880313873291</v>
      </c>
      <c r="D69">
        <v>1</v>
      </c>
      <c r="E69">
        <v>1</v>
      </c>
      <c r="F69">
        <v>1</v>
      </c>
      <c r="G69">
        <v>1</v>
      </c>
      <c r="H69">
        <v>1</v>
      </c>
      <c r="I69">
        <v>1</v>
      </c>
      <c r="J69">
        <v>1</v>
      </c>
      <c r="K69">
        <v>1</v>
      </c>
      <c r="L69">
        <v>1</v>
      </c>
      <c r="M69">
        <v>1</v>
      </c>
      <c r="N69">
        <v>1</v>
      </c>
    </row>
    <row r="70" spans="1:15" x14ac:dyDescent="0.25">
      <c r="A70" t="s">
        <v>116</v>
      </c>
      <c r="B70">
        <v>0</v>
      </c>
      <c r="C70">
        <v>10.18468546867371</v>
      </c>
      <c r="D70">
        <v>1</v>
      </c>
      <c r="E70">
        <v>1</v>
      </c>
      <c r="F70">
        <v>1</v>
      </c>
      <c r="G70">
        <v>1</v>
      </c>
      <c r="H70">
        <v>1</v>
      </c>
      <c r="I70">
        <v>1</v>
      </c>
      <c r="J70">
        <v>1</v>
      </c>
      <c r="K70">
        <v>1</v>
      </c>
      <c r="L70">
        <v>1</v>
      </c>
      <c r="M70">
        <v>1</v>
      </c>
      <c r="N70">
        <v>1</v>
      </c>
    </row>
    <row r="71" spans="1:15" x14ac:dyDescent="0.25">
      <c r="A71" t="s">
        <v>117</v>
      </c>
      <c r="B71">
        <v>0</v>
      </c>
      <c r="C71">
        <v>8.7922518253326416</v>
      </c>
      <c r="D71">
        <v>1</v>
      </c>
      <c r="E71">
        <v>1</v>
      </c>
      <c r="F71">
        <v>1</v>
      </c>
      <c r="G71">
        <v>1</v>
      </c>
      <c r="H71">
        <v>1</v>
      </c>
      <c r="I71">
        <v>1</v>
      </c>
      <c r="J71">
        <v>1</v>
      </c>
      <c r="K71">
        <v>1</v>
      </c>
      <c r="L71">
        <v>1</v>
      </c>
      <c r="M71">
        <v>1</v>
      </c>
      <c r="N71">
        <v>1</v>
      </c>
    </row>
    <row r="72" spans="1:15" x14ac:dyDescent="0.25">
      <c r="A72" t="s">
        <v>118</v>
      </c>
      <c r="B72">
        <v>0</v>
      </c>
      <c r="C72">
        <v>5.7432653903961182</v>
      </c>
      <c r="D72">
        <v>1</v>
      </c>
      <c r="E72">
        <v>1</v>
      </c>
      <c r="F72">
        <v>0</v>
      </c>
      <c r="G72" t="s">
        <v>17</v>
      </c>
      <c r="H72">
        <v>1</v>
      </c>
      <c r="I72">
        <v>1</v>
      </c>
      <c r="J72">
        <v>1</v>
      </c>
      <c r="K72">
        <v>1</v>
      </c>
      <c r="L72">
        <v>1</v>
      </c>
      <c r="M72">
        <v>1</v>
      </c>
      <c r="N72">
        <v>1</v>
      </c>
      <c r="O72" t="s">
        <v>248</v>
      </c>
    </row>
    <row r="73" spans="1:15" x14ac:dyDescent="0.25">
      <c r="A73" t="s">
        <v>120</v>
      </c>
      <c r="B73">
        <v>0</v>
      </c>
      <c r="C73">
        <v>2.770035982131958</v>
      </c>
      <c r="D73">
        <v>1</v>
      </c>
      <c r="E73">
        <v>1</v>
      </c>
      <c r="F73">
        <v>1</v>
      </c>
      <c r="G73">
        <v>1</v>
      </c>
      <c r="H73">
        <v>1</v>
      </c>
      <c r="I73">
        <v>1</v>
      </c>
      <c r="J73">
        <v>1</v>
      </c>
      <c r="K73">
        <v>1</v>
      </c>
      <c r="L73">
        <v>1</v>
      </c>
      <c r="M73">
        <v>1</v>
      </c>
      <c r="N73">
        <v>1</v>
      </c>
    </row>
    <row r="74" spans="1:15" x14ac:dyDescent="0.25">
      <c r="A74" t="s">
        <v>121</v>
      </c>
      <c r="B74">
        <v>0</v>
      </c>
      <c r="C74">
        <v>4.417290210723877</v>
      </c>
      <c r="D74">
        <v>1</v>
      </c>
      <c r="E74">
        <v>1</v>
      </c>
      <c r="F74">
        <v>1</v>
      </c>
      <c r="G74">
        <v>1</v>
      </c>
      <c r="H74">
        <v>1</v>
      </c>
      <c r="I74">
        <v>0</v>
      </c>
      <c r="J74">
        <v>1</v>
      </c>
      <c r="K74">
        <v>1</v>
      </c>
      <c r="L74">
        <v>1</v>
      </c>
      <c r="M74">
        <v>1</v>
      </c>
      <c r="N74">
        <v>1</v>
      </c>
      <c r="O74" t="s">
        <v>249</v>
      </c>
    </row>
    <row r="75" spans="1:15" x14ac:dyDescent="0.25">
      <c r="A75" t="s">
        <v>123</v>
      </c>
      <c r="B75">
        <v>0</v>
      </c>
      <c r="C75">
        <v>10.374714136123661</v>
      </c>
      <c r="D75">
        <v>1</v>
      </c>
      <c r="E75">
        <v>1</v>
      </c>
      <c r="F75">
        <v>1</v>
      </c>
      <c r="G75">
        <v>1</v>
      </c>
      <c r="H75">
        <v>1</v>
      </c>
      <c r="I75">
        <v>1</v>
      </c>
      <c r="J75">
        <v>1</v>
      </c>
      <c r="K75">
        <v>1</v>
      </c>
      <c r="L75">
        <v>1</v>
      </c>
      <c r="M75">
        <v>1</v>
      </c>
      <c r="N75">
        <v>1</v>
      </c>
    </row>
    <row r="76" spans="1:15" x14ac:dyDescent="0.25">
      <c r="A76" t="s">
        <v>124</v>
      </c>
      <c r="B76">
        <v>0</v>
      </c>
      <c r="C76">
        <v>9.4519922733306885</v>
      </c>
      <c r="D76">
        <v>1</v>
      </c>
      <c r="E76">
        <v>1</v>
      </c>
      <c r="F76">
        <v>1</v>
      </c>
      <c r="G76">
        <v>1</v>
      </c>
      <c r="H76">
        <v>1</v>
      </c>
      <c r="I76">
        <v>1</v>
      </c>
      <c r="J76">
        <v>1</v>
      </c>
      <c r="K76">
        <v>1</v>
      </c>
      <c r="L76">
        <v>1</v>
      </c>
      <c r="M76">
        <v>1</v>
      </c>
      <c r="N76">
        <v>1</v>
      </c>
    </row>
    <row r="77" spans="1:15" x14ac:dyDescent="0.25">
      <c r="A77" t="s">
        <v>125</v>
      </c>
      <c r="B77">
        <v>0</v>
      </c>
      <c r="C77">
        <v>5.6705398559570313</v>
      </c>
      <c r="D77">
        <v>1</v>
      </c>
      <c r="E77">
        <v>1</v>
      </c>
      <c r="F77">
        <v>1</v>
      </c>
      <c r="G77">
        <v>1</v>
      </c>
      <c r="H77">
        <v>1</v>
      </c>
      <c r="I77">
        <v>0</v>
      </c>
      <c r="J77">
        <v>1</v>
      </c>
      <c r="K77">
        <v>1</v>
      </c>
      <c r="L77">
        <v>1</v>
      </c>
      <c r="M77">
        <v>1</v>
      </c>
      <c r="N77">
        <v>1</v>
      </c>
      <c r="O77" t="s">
        <v>250</v>
      </c>
    </row>
    <row r="78" spans="1:15" x14ac:dyDescent="0.25">
      <c r="A78" t="s">
        <v>127</v>
      </c>
      <c r="B78">
        <v>0</v>
      </c>
      <c r="C78">
        <v>12.662877082824711</v>
      </c>
      <c r="D78">
        <v>1</v>
      </c>
      <c r="E78">
        <v>1</v>
      </c>
      <c r="F78">
        <v>1</v>
      </c>
      <c r="G78">
        <v>1</v>
      </c>
      <c r="H78">
        <v>1</v>
      </c>
      <c r="I78">
        <v>0</v>
      </c>
      <c r="J78">
        <v>1</v>
      </c>
      <c r="K78">
        <v>1</v>
      </c>
      <c r="L78">
        <v>0</v>
      </c>
      <c r="M78">
        <v>1</v>
      </c>
      <c r="N78">
        <v>1</v>
      </c>
      <c r="O78" t="s">
        <v>251</v>
      </c>
    </row>
    <row r="79" spans="1:15" x14ac:dyDescent="0.25">
      <c r="A79" t="s">
        <v>129</v>
      </c>
      <c r="B79">
        <v>0</v>
      </c>
      <c r="C79">
        <v>5.315847635269165</v>
      </c>
      <c r="D79">
        <v>1</v>
      </c>
      <c r="E79">
        <v>1</v>
      </c>
      <c r="F79">
        <v>1</v>
      </c>
      <c r="G79">
        <v>1</v>
      </c>
      <c r="H79">
        <v>1</v>
      </c>
      <c r="I79">
        <v>1</v>
      </c>
      <c r="J79">
        <v>0</v>
      </c>
      <c r="K79">
        <v>1</v>
      </c>
      <c r="L79">
        <v>1</v>
      </c>
      <c r="M79">
        <v>1</v>
      </c>
      <c r="N79">
        <v>1</v>
      </c>
      <c r="O79" t="s">
        <v>252</v>
      </c>
    </row>
    <row r="80" spans="1:15" x14ac:dyDescent="0.25">
      <c r="A80" t="s">
        <v>131</v>
      </c>
      <c r="B80">
        <v>0</v>
      </c>
      <c r="C80">
        <v>9.5387351512908936</v>
      </c>
      <c r="D80">
        <v>1</v>
      </c>
      <c r="E80">
        <v>1</v>
      </c>
      <c r="F80">
        <v>1</v>
      </c>
      <c r="G80">
        <v>1</v>
      </c>
      <c r="H80">
        <v>1</v>
      </c>
      <c r="I80">
        <v>1</v>
      </c>
      <c r="J80">
        <v>1</v>
      </c>
      <c r="K80">
        <v>1</v>
      </c>
      <c r="L80">
        <v>1</v>
      </c>
      <c r="M80">
        <v>1</v>
      </c>
      <c r="N80">
        <v>1</v>
      </c>
    </row>
    <row r="81" spans="1:15" x14ac:dyDescent="0.25">
      <c r="A81" t="s">
        <v>133</v>
      </c>
      <c r="B81">
        <v>0</v>
      </c>
      <c r="C81">
        <v>10.88563966751099</v>
      </c>
      <c r="D81">
        <v>1</v>
      </c>
      <c r="E81">
        <v>1</v>
      </c>
      <c r="F81">
        <v>0</v>
      </c>
      <c r="G81" t="s">
        <v>17</v>
      </c>
      <c r="H81">
        <v>1</v>
      </c>
      <c r="I81">
        <v>1</v>
      </c>
      <c r="J81">
        <v>1</v>
      </c>
      <c r="K81">
        <v>1</v>
      </c>
      <c r="L81">
        <v>1</v>
      </c>
      <c r="M81">
        <v>1</v>
      </c>
      <c r="N81">
        <v>1</v>
      </c>
      <c r="O81" t="s">
        <v>253</v>
      </c>
    </row>
    <row r="82" spans="1:15" x14ac:dyDescent="0.25">
      <c r="A82" t="s">
        <v>135</v>
      </c>
      <c r="B82">
        <v>0</v>
      </c>
      <c r="C82">
        <v>2.7647416591644292</v>
      </c>
      <c r="D82">
        <v>1</v>
      </c>
      <c r="E82">
        <v>1</v>
      </c>
      <c r="F82">
        <v>1</v>
      </c>
      <c r="G82">
        <v>1</v>
      </c>
      <c r="H82">
        <v>1</v>
      </c>
      <c r="I82">
        <v>1</v>
      </c>
      <c r="J82">
        <v>1</v>
      </c>
      <c r="K82">
        <v>1</v>
      </c>
      <c r="L82">
        <v>1</v>
      </c>
      <c r="M82">
        <v>1</v>
      </c>
      <c r="N82">
        <v>1</v>
      </c>
    </row>
    <row r="83" spans="1:15" x14ac:dyDescent="0.25">
      <c r="A83" t="s">
        <v>136</v>
      </c>
      <c r="B83">
        <v>0</v>
      </c>
      <c r="C83">
        <v>4.6230294704437256</v>
      </c>
      <c r="D83">
        <v>1</v>
      </c>
      <c r="E83">
        <v>1</v>
      </c>
      <c r="F83">
        <v>1</v>
      </c>
      <c r="G83">
        <v>1</v>
      </c>
      <c r="H83">
        <v>1</v>
      </c>
      <c r="I83">
        <v>1</v>
      </c>
      <c r="J83">
        <v>0</v>
      </c>
      <c r="K83">
        <v>1</v>
      </c>
      <c r="L83">
        <v>1</v>
      </c>
      <c r="M83">
        <v>1</v>
      </c>
      <c r="N83">
        <v>1</v>
      </c>
      <c r="O83" t="s">
        <v>254</v>
      </c>
    </row>
    <row r="84" spans="1:15" x14ac:dyDescent="0.25">
      <c r="A84" t="s">
        <v>138</v>
      </c>
      <c r="B84">
        <v>0</v>
      </c>
      <c r="C84">
        <v>4.7214436531066886</v>
      </c>
      <c r="D84">
        <v>1</v>
      </c>
      <c r="E84">
        <v>1</v>
      </c>
      <c r="F84">
        <v>1</v>
      </c>
      <c r="G84">
        <v>1</v>
      </c>
      <c r="H84">
        <v>1</v>
      </c>
      <c r="I84">
        <v>0</v>
      </c>
      <c r="J84">
        <v>1</v>
      </c>
      <c r="K84">
        <v>1</v>
      </c>
      <c r="L84">
        <v>1</v>
      </c>
      <c r="M84">
        <v>1</v>
      </c>
      <c r="N84">
        <v>1</v>
      </c>
      <c r="O84" t="s">
        <v>255</v>
      </c>
    </row>
    <row r="85" spans="1:15" x14ac:dyDescent="0.25">
      <c r="A85" t="s">
        <v>140</v>
      </c>
      <c r="B85">
        <v>0</v>
      </c>
      <c r="C85">
        <v>10.0667941570282</v>
      </c>
      <c r="D85">
        <v>1</v>
      </c>
      <c r="E85">
        <v>1</v>
      </c>
      <c r="F85">
        <v>1</v>
      </c>
      <c r="G85">
        <v>1</v>
      </c>
      <c r="H85">
        <v>1</v>
      </c>
      <c r="I85">
        <v>0</v>
      </c>
      <c r="J85">
        <v>1</v>
      </c>
      <c r="K85">
        <v>1</v>
      </c>
      <c r="L85">
        <v>1</v>
      </c>
      <c r="M85">
        <v>1</v>
      </c>
      <c r="N85">
        <v>1</v>
      </c>
      <c r="O85" t="s">
        <v>256</v>
      </c>
    </row>
    <row r="86" spans="1:15" x14ac:dyDescent="0.25">
      <c r="A86" t="s">
        <v>142</v>
      </c>
      <c r="B86">
        <v>0</v>
      </c>
      <c r="C86">
        <v>5.1313352584838867</v>
      </c>
      <c r="D86">
        <v>1</v>
      </c>
      <c r="E86">
        <v>1</v>
      </c>
      <c r="F86">
        <v>1</v>
      </c>
      <c r="G86">
        <v>1</v>
      </c>
      <c r="H86">
        <v>1</v>
      </c>
      <c r="I86">
        <v>0</v>
      </c>
      <c r="J86">
        <v>1</v>
      </c>
      <c r="K86">
        <v>1</v>
      </c>
      <c r="L86">
        <v>1</v>
      </c>
      <c r="M86">
        <v>1</v>
      </c>
      <c r="N86">
        <v>1</v>
      </c>
      <c r="O86" t="s">
        <v>257</v>
      </c>
    </row>
    <row r="87" spans="1:15" x14ac:dyDescent="0.25">
      <c r="A87" t="s">
        <v>144</v>
      </c>
      <c r="B87">
        <v>0</v>
      </c>
      <c r="C87">
        <v>2.6411781311035161</v>
      </c>
      <c r="D87">
        <v>1</v>
      </c>
      <c r="E87">
        <v>1</v>
      </c>
      <c r="F87">
        <v>1</v>
      </c>
      <c r="G87">
        <v>1</v>
      </c>
      <c r="H87">
        <v>1</v>
      </c>
      <c r="I87">
        <v>1</v>
      </c>
      <c r="J87">
        <v>1</v>
      </c>
      <c r="K87">
        <v>1</v>
      </c>
      <c r="L87">
        <v>1</v>
      </c>
      <c r="M87">
        <v>1</v>
      </c>
      <c r="N87">
        <v>1</v>
      </c>
    </row>
    <row r="88" spans="1:15" x14ac:dyDescent="0.25">
      <c r="A88" t="s">
        <v>145</v>
      </c>
      <c r="B88">
        <v>0</v>
      </c>
      <c r="C88">
        <v>2.692470788955688</v>
      </c>
      <c r="D88">
        <v>1</v>
      </c>
      <c r="E88">
        <v>1</v>
      </c>
      <c r="F88">
        <v>1</v>
      </c>
      <c r="G88">
        <v>1</v>
      </c>
      <c r="H88">
        <v>1</v>
      </c>
      <c r="I88">
        <v>1</v>
      </c>
      <c r="J88">
        <v>1</v>
      </c>
      <c r="K88">
        <v>1</v>
      </c>
      <c r="L88">
        <v>1</v>
      </c>
      <c r="M88">
        <v>1</v>
      </c>
      <c r="N88">
        <v>1</v>
      </c>
    </row>
    <row r="89" spans="1:15" x14ac:dyDescent="0.25">
      <c r="A89" t="s">
        <v>146</v>
      </c>
      <c r="B89">
        <v>0</v>
      </c>
      <c r="C89">
        <v>10.94578695297241</v>
      </c>
      <c r="D89">
        <v>1</v>
      </c>
      <c r="E89">
        <v>1</v>
      </c>
      <c r="F89">
        <v>1</v>
      </c>
      <c r="G89">
        <v>1</v>
      </c>
      <c r="H89">
        <v>1</v>
      </c>
      <c r="I89">
        <v>1</v>
      </c>
      <c r="J89">
        <v>1</v>
      </c>
      <c r="K89">
        <v>1</v>
      </c>
      <c r="L89">
        <v>1</v>
      </c>
      <c r="M89">
        <v>1</v>
      </c>
      <c r="N89">
        <v>1</v>
      </c>
    </row>
    <row r="90" spans="1:15" x14ac:dyDescent="0.25">
      <c r="A90" t="s">
        <v>147</v>
      </c>
      <c r="B90">
        <v>0</v>
      </c>
      <c r="C90">
        <v>6.8294477462768546</v>
      </c>
      <c r="D90">
        <v>1</v>
      </c>
      <c r="E90">
        <v>1</v>
      </c>
      <c r="F90">
        <v>1</v>
      </c>
      <c r="G90">
        <v>1</v>
      </c>
      <c r="H90">
        <v>1</v>
      </c>
      <c r="I90">
        <v>1</v>
      </c>
      <c r="J90">
        <v>1</v>
      </c>
      <c r="K90">
        <v>0</v>
      </c>
      <c r="L90">
        <v>1</v>
      </c>
      <c r="M90">
        <v>1</v>
      </c>
      <c r="N90">
        <v>1</v>
      </c>
      <c r="O90" t="s">
        <v>258</v>
      </c>
    </row>
    <row r="91" spans="1:15" x14ac:dyDescent="0.25">
      <c r="A91" t="s">
        <v>149</v>
      </c>
      <c r="B91">
        <v>0</v>
      </c>
      <c r="C91">
        <v>9.1278703212738037</v>
      </c>
      <c r="D91">
        <v>1</v>
      </c>
      <c r="E91">
        <v>1</v>
      </c>
      <c r="F91">
        <v>1</v>
      </c>
      <c r="G91">
        <v>1</v>
      </c>
      <c r="H91">
        <v>1</v>
      </c>
      <c r="I91">
        <v>1</v>
      </c>
      <c r="J91">
        <v>1</v>
      </c>
      <c r="K91">
        <v>1</v>
      </c>
      <c r="L91">
        <v>1</v>
      </c>
      <c r="M91">
        <v>1</v>
      </c>
      <c r="N91">
        <v>1</v>
      </c>
    </row>
    <row r="92" spans="1:15" x14ac:dyDescent="0.25">
      <c r="A92" t="s">
        <v>150</v>
      </c>
      <c r="B92">
        <v>0</v>
      </c>
      <c r="C92">
        <v>8.7789528369903564</v>
      </c>
      <c r="D92">
        <v>1</v>
      </c>
      <c r="E92">
        <v>1</v>
      </c>
      <c r="F92">
        <v>1</v>
      </c>
      <c r="G92">
        <v>1</v>
      </c>
      <c r="H92">
        <v>1</v>
      </c>
      <c r="I92">
        <v>1</v>
      </c>
      <c r="J92">
        <v>1</v>
      </c>
      <c r="K92">
        <v>1</v>
      </c>
      <c r="L92">
        <v>1</v>
      </c>
      <c r="M92">
        <v>1</v>
      </c>
      <c r="N92">
        <v>1</v>
      </c>
    </row>
    <row r="93" spans="1:15" x14ac:dyDescent="0.25">
      <c r="A93" t="s">
        <v>151</v>
      </c>
      <c r="B93">
        <v>0</v>
      </c>
      <c r="C93">
        <v>11.782107353210449</v>
      </c>
      <c r="D93">
        <v>1</v>
      </c>
      <c r="E93">
        <v>1</v>
      </c>
      <c r="F93">
        <v>1</v>
      </c>
      <c r="G93">
        <v>1</v>
      </c>
      <c r="H93">
        <v>1</v>
      </c>
      <c r="I93">
        <v>1</v>
      </c>
      <c r="J93">
        <v>1</v>
      </c>
      <c r="K93">
        <v>1</v>
      </c>
      <c r="L93">
        <v>1</v>
      </c>
      <c r="M93">
        <v>1</v>
      </c>
      <c r="N93">
        <v>1</v>
      </c>
    </row>
    <row r="94" spans="1:15" x14ac:dyDescent="0.25">
      <c r="A94" t="s">
        <v>152</v>
      </c>
      <c r="B94">
        <v>0</v>
      </c>
      <c r="C94">
        <v>11.50770235061646</v>
      </c>
      <c r="D94">
        <v>1</v>
      </c>
      <c r="E94">
        <v>1</v>
      </c>
      <c r="F94">
        <v>1</v>
      </c>
      <c r="G94">
        <v>0</v>
      </c>
      <c r="H94">
        <v>1</v>
      </c>
      <c r="I94">
        <v>1</v>
      </c>
      <c r="J94">
        <v>1</v>
      </c>
      <c r="K94">
        <v>1</v>
      </c>
      <c r="L94">
        <v>1</v>
      </c>
      <c r="M94">
        <v>1</v>
      </c>
      <c r="N94">
        <v>1</v>
      </c>
      <c r="O94" t="s">
        <v>259</v>
      </c>
    </row>
    <row r="95" spans="1:15" x14ac:dyDescent="0.25">
      <c r="A95" t="s">
        <v>153</v>
      </c>
      <c r="B95">
        <v>0</v>
      </c>
      <c r="C95">
        <v>4.8580405712127694</v>
      </c>
      <c r="D95">
        <v>1</v>
      </c>
      <c r="E95">
        <v>1</v>
      </c>
      <c r="F95">
        <v>1</v>
      </c>
      <c r="G95">
        <v>0</v>
      </c>
      <c r="H95">
        <v>1</v>
      </c>
      <c r="I95">
        <v>1</v>
      </c>
      <c r="J95">
        <v>1</v>
      </c>
      <c r="K95">
        <v>1</v>
      </c>
      <c r="L95">
        <v>1</v>
      </c>
      <c r="M95">
        <v>1</v>
      </c>
      <c r="N95">
        <v>1</v>
      </c>
      <c r="O95" t="s">
        <v>212</v>
      </c>
    </row>
    <row r="96" spans="1:15" x14ac:dyDescent="0.25">
      <c r="A96" t="s">
        <v>155</v>
      </c>
      <c r="B96">
        <v>0</v>
      </c>
      <c r="C96">
        <v>10.94456052780151</v>
      </c>
      <c r="D96">
        <v>1</v>
      </c>
      <c r="E96">
        <v>1</v>
      </c>
      <c r="F96">
        <v>1</v>
      </c>
      <c r="G96">
        <v>1</v>
      </c>
      <c r="H96">
        <v>1</v>
      </c>
      <c r="I96">
        <v>1</v>
      </c>
      <c r="J96">
        <v>1</v>
      </c>
      <c r="K96">
        <v>1</v>
      </c>
      <c r="L96">
        <v>1</v>
      </c>
      <c r="M96">
        <v>1</v>
      </c>
      <c r="N96">
        <v>1</v>
      </c>
    </row>
    <row r="97" spans="1:15" x14ac:dyDescent="0.25">
      <c r="A97" t="s">
        <v>157</v>
      </c>
      <c r="B97">
        <v>0</v>
      </c>
      <c r="C97">
        <v>10.38955783843994</v>
      </c>
      <c r="D97">
        <v>1</v>
      </c>
      <c r="E97">
        <v>1</v>
      </c>
      <c r="F97">
        <v>1</v>
      </c>
      <c r="G97">
        <v>1</v>
      </c>
      <c r="H97">
        <v>1</v>
      </c>
      <c r="I97">
        <v>0</v>
      </c>
      <c r="J97">
        <v>1</v>
      </c>
      <c r="K97">
        <v>1</v>
      </c>
      <c r="L97">
        <v>1</v>
      </c>
      <c r="M97">
        <v>1</v>
      </c>
      <c r="N97">
        <v>1</v>
      </c>
      <c r="O97" t="s">
        <v>260</v>
      </c>
    </row>
    <row r="98" spans="1:15" x14ac:dyDescent="0.25">
      <c r="A98" t="s">
        <v>159</v>
      </c>
      <c r="B98">
        <v>0</v>
      </c>
      <c r="C98">
        <v>6.0578923225402832</v>
      </c>
      <c r="D98">
        <v>1</v>
      </c>
      <c r="E98">
        <v>1</v>
      </c>
      <c r="F98">
        <v>1</v>
      </c>
      <c r="G98">
        <v>0</v>
      </c>
      <c r="H98">
        <v>1</v>
      </c>
      <c r="I98">
        <v>1</v>
      </c>
      <c r="J98">
        <v>0</v>
      </c>
      <c r="K98">
        <v>0</v>
      </c>
      <c r="L98">
        <v>1</v>
      </c>
      <c r="M98">
        <v>1</v>
      </c>
      <c r="N98">
        <v>1</v>
      </c>
      <c r="O98" t="s">
        <v>261</v>
      </c>
    </row>
    <row r="99" spans="1:15" x14ac:dyDescent="0.25">
      <c r="A99" t="s">
        <v>161</v>
      </c>
      <c r="B99">
        <v>0</v>
      </c>
      <c r="C99">
        <v>5.7019476890563956</v>
      </c>
      <c r="D99">
        <v>1</v>
      </c>
      <c r="E99">
        <v>1</v>
      </c>
      <c r="F99">
        <v>1</v>
      </c>
      <c r="G99">
        <v>1</v>
      </c>
      <c r="H99">
        <v>1</v>
      </c>
      <c r="I99">
        <v>0</v>
      </c>
      <c r="J99">
        <v>0</v>
      </c>
      <c r="K99">
        <v>1</v>
      </c>
      <c r="L99">
        <v>1</v>
      </c>
      <c r="M99">
        <v>1</v>
      </c>
      <c r="N99">
        <v>1</v>
      </c>
      <c r="O99" t="s">
        <v>262</v>
      </c>
    </row>
    <row r="100" spans="1:15" x14ac:dyDescent="0.25">
      <c r="A100" t="s">
        <v>163</v>
      </c>
      <c r="B100">
        <v>0</v>
      </c>
      <c r="C100">
        <v>2.7079131603240971</v>
      </c>
      <c r="D100">
        <v>1</v>
      </c>
      <c r="E100">
        <v>1</v>
      </c>
      <c r="F100">
        <v>1</v>
      </c>
      <c r="G100">
        <v>1</v>
      </c>
      <c r="H100">
        <v>1</v>
      </c>
      <c r="I100">
        <v>1</v>
      </c>
      <c r="J100">
        <v>1</v>
      </c>
      <c r="K100">
        <v>1</v>
      </c>
      <c r="L100">
        <v>1</v>
      </c>
      <c r="M100">
        <v>1</v>
      </c>
      <c r="N100">
        <v>1</v>
      </c>
    </row>
    <row r="101" spans="1:15" x14ac:dyDescent="0.25">
      <c r="A101" t="s">
        <v>165</v>
      </c>
      <c r="B101">
        <v>0</v>
      </c>
      <c r="C101">
        <v>5.5415878295898438</v>
      </c>
      <c r="D101">
        <v>0</v>
      </c>
      <c r="E101" t="s">
        <v>17</v>
      </c>
      <c r="F101" t="s">
        <v>17</v>
      </c>
      <c r="G101" t="s">
        <v>17</v>
      </c>
      <c r="H101" t="s">
        <v>17</v>
      </c>
      <c r="I101" t="s">
        <v>17</v>
      </c>
      <c r="J101" t="s">
        <v>17</v>
      </c>
      <c r="K101" t="s">
        <v>17</v>
      </c>
      <c r="L101" t="s">
        <v>17</v>
      </c>
      <c r="M101" t="s">
        <v>17</v>
      </c>
      <c r="N101" t="s">
        <v>17</v>
      </c>
      <c r="O101" t="s">
        <v>263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1"/>
  <sheetViews>
    <sheetView workbookViewId="0"/>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v>0</v>
      </c>
      <c r="C2">
        <v>2.7735593318939209</v>
      </c>
      <c r="D2">
        <v>1</v>
      </c>
      <c r="E2">
        <v>1</v>
      </c>
      <c r="F2">
        <v>1</v>
      </c>
      <c r="G2">
        <v>1</v>
      </c>
      <c r="H2">
        <v>1</v>
      </c>
      <c r="I2">
        <v>1</v>
      </c>
      <c r="J2">
        <v>1</v>
      </c>
      <c r="K2">
        <v>1</v>
      </c>
      <c r="L2">
        <v>1</v>
      </c>
      <c r="M2">
        <v>1</v>
      </c>
      <c r="N2">
        <v>1</v>
      </c>
    </row>
    <row r="3" spans="1:15" x14ac:dyDescent="0.25">
      <c r="A3" t="s">
        <v>16</v>
      </c>
      <c r="B3">
        <v>0</v>
      </c>
      <c r="C3">
        <v>11.22675752639771</v>
      </c>
      <c r="D3">
        <v>0</v>
      </c>
      <c r="E3" t="s">
        <v>17</v>
      </c>
      <c r="F3" t="s">
        <v>17</v>
      </c>
      <c r="G3" t="s">
        <v>17</v>
      </c>
      <c r="H3" t="s">
        <v>17</v>
      </c>
      <c r="I3" t="s">
        <v>17</v>
      </c>
      <c r="J3" t="s">
        <v>17</v>
      </c>
      <c r="K3" t="s">
        <v>17</v>
      </c>
      <c r="L3" t="s">
        <v>17</v>
      </c>
      <c r="M3" t="s">
        <v>17</v>
      </c>
      <c r="N3" t="s">
        <v>17</v>
      </c>
      <c r="O3" t="s">
        <v>264</v>
      </c>
    </row>
    <row r="4" spans="1:15" x14ac:dyDescent="0.25">
      <c r="A4" t="s">
        <v>19</v>
      </c>
      <c r="B4">
        <v>0</v>
      </c>
      <c r="C4">
        <v>9.674832820892334</v>
      </c>
      <c r="D4">
        <v>1</v>
      </c>
      <c r="E4">
        <v>1</v>
      </c>
      <c r="F4">
        <v>1</v>
      </c>
      <c r="G4">
        <v>1</v>
      </c>
      <c r="H4">
        <v>1</v>
      </c>
      <c r="I4">
        <v>1</v>
      </c>
      <c r="J4">
        <v>1</v>
      </c>
      <c r="K4">
        <v>1</v>
      </c>
      <c r="L4">
        <v>1</v>
      </c>
      <c r="M4">
        <v>1</v>
      </c>
      <c r="N4">
        <v>1</v>
      </c>
    </row>
    <row r="5" spans="1:15" x14ac:dyDescent="0.25">
      <c r="A5" t="s">
        <v>20</v>
      </c>
      <c r="B5">
        <v>0</v>
      </c>
      <c r="C5">
        <v>7.8782479763031006</v>
      </c>
      <c r="D5">
        <v>1</v>
      </c>
      <c r="E5">
        <v>1</v>
      </c>
      <c r="F5">
        <v>1</v>
      </c>
      <c r="G5">
        <v>1</v>
      </c>
      <c r="H5">
        <v>1</v>
      </c>
      <c r="I5">
        <v>1</v>
      </c>
      <c r="J5">
        <v>1</v>
      </c>
      <c r="K5">
        <v>1</v>
      </c>
      <c r="L5">
        <v>1</v>
      </c>
      <c r="M5">
        <v>1</v>
      </c>
      <c r="N5">
        <v>1</v>
      </c>
    </row>
    <row r="6" spans="1:15" x14ac:dyDescent="0.25">
      <c r="A6" t="s">
        <v>21</v>
      </c>
      <c r="B6">
        <v>0</v>
      </c>
      <c r="C6">
        <v>2.4598624706268311</v>
      </c>
      <c r="D6">
        <v>1</v>
      </c>
      <c r="E6">
        <v>1</v>
      </c>
      <c r="F6">
        <v>1</v>
      </c>
      <c r="G6">
        <v>1</v>
      </c>
      <c r="H6">
        <v>1</v>
      </c>
      <c r="I6">
        <v>1</v>
      </c>
      <c r="J6">
        <v>1</v>
      </c>
      <c r="K6">
        <v>1</v>
      </c>
      <c r="L6">
        <v>1</v>
      </c>
      <c r="M6">
        <v>1</v>
      </c>
      <c r="N6">
        <v>1</v>
      </c>
    </row>
    <row r="7" spans="1:15" x14ac:dyDescent="0.25">
      <c r="A7" t="s">
        <v>22</v>
      </c>
      <c r="B7">
        <v>0</v>
      </c>
      <c r="C7">
        <v>9.3604090213775635</v>
      </c>
      <c r="D7">
        <v>1</v>
      </c>
      <c r="E7">
        <v>1</v>
      </c>
      <c r="F7">
        <v>1</v>
      </c>
      <c r="G7">
        <v>1</v>
      </c>
      <c r="H7">
        <v>1</v>
      </c>
      <c r="I7">
        <v>1</v>
      </c>
      <c r="J7">
        <v>1</v>
      </c>
      <c r="K7">
        <v>1</v>
      </c>
      <c r="L7">
        <v>1</v>
      </c>
      <c r="M7">
        <v>1</v>
      </c>
      <c r="N7">
        <v>1</v>
      </c>
    </row>
    <row r="8" spans="1:15" x14ac:dyDescent="0.25">
      <c r="A8" t="s">
        <v>23</v>
      </c>
      <c r="B8">
        <v>0</v>
      </c>
      <c r="C8">
        <v>10.928349256515499</v>
      </c>
      <c r="D8">
        <v>1</v>
      </c>
      <c r="E8">
        <v>1</v>
      </c>
      <c r="F8">
        <v>1</v>
      </c>
      <c r="G8">
        <v>1</v>
      </c>
      <c r="H8">
        <v>1</v>
      </c>
      <c r="I8">
        <v>1</v>
      </c>
      <c r="J8">
        <v>1</v>
      </c>
      <c r="K8">
        <v>1</v>
      </c>
      <c r="L8">
        <v>1</v>
      </c>
      <c r="M8">
        <v>1</v>
      </c>
      <c r="N8">
        <v>1</v>
      </c>
    </row>
    <row r="9" spans="1:15" x14ac:dyDescent="0.25">
      <c r="A9" t="s">
        <v>24</v>
      </c>
      <c r="B9">
        <v>0</v>
      </c>
      <c r="C9">
        <v>2.736892461776733</v>
      </c>
      <c r="D9">
        <v>1</v>
      </c>
      <c r="E9">
        <v>1</v>
      </c>
      <c r="F9">
        <v>1</v>
      </c>
      <c r="G9">
        <v>1</v>
      </c>
      <c r="H9">
        <v>1</v>
      </c>
      <c r="I9">
        <v>1</v>
      </c>
      <c r="J9">
        <v>1</v>
      </c>
      <c r="K9">
        <v>1</v>
      </c>
      <c r="L9">
        <v>1</v>
      </c>
      <c r="M9">
        <v>1</v>
      </c>
      <c r="N9">
        <v>1</v>
      </c>
    </row>
    <row r="10" spans="1:15" x14ac:dyDescent="0.25">
      <c r="A10" t="s">
        <v>25</v>
      </c>
      <c r="B10">
        <v>0</v>
      </c>
      <c r="C10">
        <v>5.7621512413024902</v>
      </c>
      <c r="D10">
        <v>1</v>
      </c>
      <c r="E10">
        <v>1</v>
      </c>
      <c r="F10">
        <v>1</v>
      </c>
      <c r="G10">
        <v>0</v>
      </c>
      <c r="H10">
        <v>1</v>
      </c>
      <c r="I10">
        <v>0</v>
      </c>
      <c r="J10">
        <v>1</v>
      </c>
      <c r="K10">
        <v>1</v>
      </c>
      <c r="L10">
        <v>1</v>
      </c>
      <c r="M10">
        <v>1</v>
      </c>
      <c r="N10">
        <v>1</v>
      </c>
      <c r="O10" t="s">
        <v>265</v>
      </c>
    </row>
    <row r="11" spans="1:15" x14ac:dyDescent="0.25">
      <c r="A11" t="s">
        <v>27</v>
      </c>
      <c r="B11">
        <v>0</v>
      </c>
      <c r="C11">
        <v>2.7447342872619629</v>
      </c>
      <c r="D11">
        <v>1</v>
      </c>
      <c r="E11">
        <v>1</v>
      </c>
      <c r="F11">
        <v>1</v>
      </c>
      <c r="G11">
        <v>1</v>
      </c>
      <c r="H11">
        <v>1</v>
      </c>
      <c r="I11">
        <v>1</v>
      </c>
      <c r="J11">
        <v>1</v>
      </c>
      <c r="K11">
        <v>1</v>
      </c>
      <c r="L11">
        <v>1</v>
      </c>
      <c r="M11">
        <v>1</v>
      </c>
      <c r="N11">
        <v>1</v>
      </c>
    </row>
    <row r="12" spans="1:15" x14ac:dyDescent="0.25">
      <c r="A12" t="s">
        <v>28</v>
      </c>
      <c r="B12">
        <v>0</v>
      </c>
      <c r="C12">
        <v>4.8526754379272461</v>
      </c>
      <c r="D12">
        <v>1</v>
      </c>
      <c r="E12">
        <v>0</v>
      </c>
      <c r="F12">
        <v>1</v>
      </c>
      <c r="G12" t="s">
        <v>17</v>
      </c>
      <c r="H12">
        <v>1</v>
      </c>
      <c r="I12" t="s">
        <v>17</v>
      </c>
      <c r="J12">
        <v>1</v>
      </c>
      <c r="K12">
        <v>1</v>
      </c>
      <c r="L12">
        <v>1</v>
      </c>
      <c r="M12">
        <v>1</v>
      </c>
      <c r="N12">
        <v>1</v>
      </c>
      <c r="O12" t="s">
        <v>266</v>
      </c>
    </row>
    <row r="13" spans="1:15" x14ac:dyDescent="0.25">
      <c r="A13" t="s">
        <v>30</v>
      </c>
      <c r="B13">
        <v>0</v>
      </c>
      <c r="C13">
        <v>4.3163743019104004</v>
      </c>
      <c r="D13">
        <v>1</v>
      </c>
      <c r="E13">
        <v>1</v>
      </c>
      <c r="F13">
        <v>1</v>
      </c>
      <c r="G13">
        <v>1</v>
      </c>
      <c r="H13">
        <v>1</v>
      </c>
      <c r="I13">
        <v>0</v>
      </c>
      <c r="J13">
        <v>1</v>
      </c>
      <c r="K13">
        <v>1</v>
      </c>
      <c r="L13">
        <v>1</v>
      </c>
      <c r="M13">
        <v>1</v>
      </c>
      <c r="N13">
        <v>1</v>
      </c>
      <c r="O13" t="s">
        <v>267</v>
      </c>
    </row>
    <row r="14" spans="1:15" x14ac:dyDescent="0.25">
      <c r="A14" t="s">
        <v>32</v>
      </c>
      <c r="B14">
        <v>0</v>
      </c>
      <c r="C14">
        <v>2.772760391235352</v>
      </c>
      <c r="D14">
        <v>1</v>
      </c>
      <c r="E14">
        <v>1</v>
      </c>
      <c r="F14">
        <v>1</v>
      </c>
      <c r="G14">
        <v>1</v>
      </c>
      <c r="H14">
        <v>1</v>
      </c>
      <c r="I14">
        <v>1</v>
      </c>
      <c r="J14">
        <v>1</v>
      </c>
      <c r="K14">
        <v>1</v>
      </c>
      <c r="L14">
        <v>1</v>
      </c>
      <c r="M14">
        <v>1</v>
      </c>
      <c r="N14">
        <v>1</v>
      </c>
    </row>
    <row r="15" spans="1:15" x14ac:dyDescent="0.25">
      <c r="A15" t="s">
        <v>33</v>
      </c>
      <c r="B15">
        <v>0</v>
      </c>
      <c r="C15">
        <v>11.54549145698547</v>
      </c>
      <c r="D15">
        <v>1</v>
      </c>
      <c r="E15">
        <v>1</v>
      </c>
      <c r="F15">
        <v>0</v>
      </c>
      <c r="G15" t="s">
        <v>17</v>
      </c>
      <c r="H15">
        <v>1</v>
      </c>
      <c r="I15">
        <v>1</v>
      </c>
      <c r="J15">
        <v>1</v>
      </c>
      <c r="K15">
        <v>1</v>
      </c>
      <c r="L15">
        <v>1</v>
      </c>
      <c r="M15">
        <v>1</v>
      </c>
      <c r="N15">
        <v>1</v>
      </c>
      <c r="O15" t="s">
        <v>268</v>
      </c>
    </row>
    <row r="16" spans="1:15" x14ac:dyDescent="0.25">
      <c r="A16" t="s">
        <v>34</v>
      </c>
      <c r="B16">
        <v>0</v>
      </c>
      <c r="C16">
        <v>11.27608633041382</v>
      </c>
      <c r="D16">
        <v>1</v>
      </c>
      <c r="E16">
        <v>0</v>
      </c>
      <c r="F16">
        <v>1</v>
      </c>
      <c r="G16" t="s">
        <v>17</v>
      </c>
      <c r="H16">
        <v>1</v>
      </c>
      <c r="I16" t="s">
        <v>17</v>
      </c>
      <c r="J16">
        <v>1</v>
      </c>
      <c r="K16">
        <v>1</v>
      </c>
      <c r="L16">
        <v>1</v>
      </c>
      <c r="M16">
        <v>1</v>
      </c>
      <c r="N16">
        <v>1</v>
      </c>
      <c r="O16" t="s">
        <v>269</v>
      </c>
    </row>
    <row r="17" spans="1:15" x14ac:dyDescent="0.25">
      <c r="A17" t="s">
        <v>36</v>
      </c>
      <c r="B17">
        <v>0</v>
      </c>
      <c r="C17">
        <v>10.27631592750549</v>
      </c>
      <c r="D17">
        <v>1</v>
      </c>
      <c r="E17">
        <v>1</v>
      </c>
      <c r="F17">
        <v>1</v>
      </c>
      <c r="G17">
        <v>1</v>
      </c>
      <c r="H17">
        <v>1</v>
      </c>
      <c r="I17">
        <v>1</v>
      </c>
      <c r="J17">
        <v>1</v>
      </c>
      <c r="K17">
        <v>1</v>
      </c>
      <c r="L17">
        <v>1</v>
      </c>
      <c r="M17">
        <v>1</v>
      </c>
      <c r="N17">
        <v>1</v>
      </c>
    </row>
    <row r="18" spans="1:15" x14ac:dyDescent="0.25">
      <c r="A18" t="s">
        <v>37</v>
      </c>
      <c r="B18">
        <v>0</v>
      </c>
      <c r="C18">
        <v>10.18040490150452</v>
      </c>
      <c r="D18">
        <v>1</v>
      </c>
      <c r="E18">
        <v>1</v>
      </c>
      <c r="F18">
        <v>1</v>
      </c>
      <c r="G18">
        <v>1</v>
      </c>
      <c r="H18">
        <v>1</v>
      </c>
      <c r="I18">
        <v>1</v>
      </c>
      <c r="J18">
        <v>1</v>
      </c>
      <c r="K18">
        <v>1</v>
      </c>
      <c r="L18">
        <v>1</v>
      </c>
      <c r="M18">
        <v>1</v>
      </c>
      <c r="N18">
        <v>1</v>
      </c>
    </row>
    <row r="19" spans="1:15" x14ac:dyDescent="0.25">
      <c r="A19" t="s">
        <v>38</v>
      </c>
      <c r="B19">
        <v>0</v>
      </c>
      <c r="C19">
        <v>10.788635969161991</v>
      </c>
      <c r="D19">
        <v>1</v>
      </c>
      <c r="E19">
        <v>1</v>
      </c>
      <c r="F19">
        <v>0</v>
      </c>
      <c r="G19" t="s">
        <v>17</v>
      </c>
      <c r="H19">
        <v>0</v>
      </c>
      <c r="I19">
        <v>1</v>
      </c>
      <c r="J19">
        <v>1</v>
      </c>
      <c r="K19">
        <v>1</v>
      </c>
      <c r="L19">
        <v>1</v>
      </c>
      <c r="M19">
        <v>1</v>
      </c>
      <c r="N19">
        <v>1</v>
      </c>
      <c r="O19" t="s">
        <v>270</v>
      </c>
    </row>
    <row r="20" spans="1:15" x14ac:dyDescent="0.25">
      <c r="A20" t="s">
        <v>40</v>
      </c>
      <c r="B20">
        <v>0</v>
      </c>
      <c r="C20">
        <v>9.7765841484069824</v>
      </c>
      <c r="D20">
        <v>1</v>
      </c>
      <c r="E20">
        <v>1</v>
      </c>
      <c r="F20">
        <v>1</v>
      </c>
      <c r="G20">
        <v>1</v>
      </c>
      <c r="H20">
        <v>1</v>
      </c>
      <c r="I20">
        <v>1</v>
      </c>
      <c r="J20">
        <v>1</v>
      </c>
      <c r="K20">
        <v>1</v>
      </c>
      <c r="L20">
        <v>1</v>
      </c>
      <c r="M20">
        <v>1</v>
      </c>
      <c r="N20">
        <v>1</v>
      </c>
    </row>
    <row r="21" spans="1:15" x14ac:dyDescent="0.25">
      <c r="A21" t="s">
        <v>41</v>
      </c>
      <c r="B21">
        <v>0</v>
      </c>
      <c r="C21">
        <v>9.0327346324920654</v>
      </c>
      <c r="D21">
        <v>1</v>
      </c>
      <c r="E21">
        <v>1</v>
      </c>
      <c r="F21">
        <v>1</v>
      </c>
      <c r="G21">
        <v>1</v>
      </c>
      <c r="H21">
        <v>1</v>
      </c>
      <c r="I21">
        <v>1</v>
      </c>
      <c r="J21">
        <v>1</v>
      </c>
      <c r="K21">
        <v>1</v>
      </c>
      <c r="L21">
        <v>1</v>
      </c>
      <c r="M21">
        <v>1</v>
      </c>
      <c r="N21">
        <v>1</v>
      </c>
    </row>
    <row r="22" spans="1:15" x14ac:dyDescent="0.25">
      <c r="A22" t="s">
        <v>42</v>
      </c>
      <c r="B22">
        <v>0</v>
      </c>
      <c r="C22">
        <v>9.5527074337005615</v>
      </c>
      <c r="D22">
        <v>1</v>
      </c>
      <c r="E22">
        <v>1</v>
      </c>
      <c r="F22">
        <v>1</v>
      </c>
      <c r="G22">
        <v>1</v>
      </c>
      <c r="H22">
        <v>1</v>
      </c>
      <c r="I22">
        <v>1</v>
      </c>
      <c r="J22">
        <v>1</v>
      </c>
      <c r="K22">
        <v>1</v>
      </c>
      <c r="L22">
        <v>1</v>
      </c>
      <c r="M22">
        <v>1</v>
      </c>
      <c r="N22">
        <v>1</v>
      </c>
    </row>
    <row r="23" spans="1:15" x14ac:dyDescent="0.25">
      <c r="A23" t="s">
        <v>43</v>
      </c>
      <c r="B23">
        <v>0</v>
      </c>
      <c r="C23">
        <v>12.22882866859436</v>
      </c>
      <c r="D23">
        <v>1</v>
      </c>
      <c r="E23">
        <v>1</v>
      </c>
      <c r="F23">
        <v>1</v>
      </c>
      <c r="G23">
        <v>1</v>
      </c>
      <c r="H23">
        <v>1</v>
      </c>
      <c r="I23">
        <v>0</v>
      </c>
      <c r="J23">
        <v>1</v>
      </c>
      <c r="K23">
        <v>1</v>
      </c>
      <c r="L23">
        <v>1</v>
      </c>
      <c r="M23">
        <v>1</v>
      </c>
      <c r="N23">
        <v>1</v>
      </c>
      <c r="O23" t="s">
        <v>271</v>
      </c>
    </row>
    <row r="24" spans="1:15" x14ac:dyDescent="0.25">
      <c r="A24" t="s">
        <v>45</v>
      </c>
      <c r="B24">
        <v>0</v>
      </c>
      <c r="C24">
        <v>5.2399027347564697</v>
      </c>
      <c r="D24">
        <v>1</v>
      </c>
      <c r="E24">
        <v>1</v>
      </c>
      <c r="F24">
        <v>1</v>
      </c>
      <c r="G24">
        <v>0</v>
      </c>
      <c r="H24">
        <v>1</v>
      </c>
      <c r="I24">
        <v>1</v>
      </c>
      <c r="J24">
        <v>1</v>
      </c>
      <c r="K24">
        <v>1</v>
      </c>
      <c r="L24">
        <v>1</v>
      </c>
      <c r="M24">
        <v>1</v>
      </c>
      <c r="N24">
        <v>1</v>
      </c>
      <c r="O24" t="s">
        <v>272</v>
      </c>
    </row>
    <row r="25" spans="1:15" x14ac:dyDescent="0.25">
      <c r="A25" t="s">
        <v>47</v>
      </c>
      <c r="B25">
        <v>0</v>
      </c>
      <c r="C25">
        <v>9.9740095138549805</v>
      </c>
      <c r="D25">
        <v>1</v>
      </c>
      <c r="E25">
        <v>1</v>
      </c>
      <c r="F25">
        <v>1</v>
      </c>
      <c r="G25">
        <v>1</v>
      </c>
      <c r="H25">
        <v>1</v>
      </c>
      <c r="I25">
        <v>1</v>
      </c>
      <c r="J25">
        <v>1</v>
      </c>
      <c r="K25">
        <v>1</v>
      </c>
      <c r="L25">
        <v>1</v>
      </c>
      <c r="M25">
        <v>1</v>
      </c>
      <c r="N25">
        <v>1</v>
      </c>
    </row>
    <row r="26" spans="1:15" x14ac:dyDescent="0.25">
      <c r="A26" t="s">
        <v>48</v>
      </c>
      <c r="B26">
        <v>0</v>
      </c>
      <c r="C26">
        <v>12.03076648712158</v>
      </c>
      <c r="D26">
        <v>1</v>
      </c>
      <c r="E26">
        <v>1</v>
      </c>
      <c r="F26">
        <v>1</v>
      </c>
      <c r="G26">
        <v>1</v>
      </c>
      <c r="H26">
        <v>1</v>
      </c>
      <c r="I26">
        <v>1</v>
      </c>
      <c r="J26">
        <v>1</v>
      </c>
      <c r="K26">
        <v>1</v>
      </c>
      <c r="L26">
        <v>1</v>
      </c>
      <c r="M26">
        <v>1</v>
      </c>
      <c r="N26">
        <v>1</v>
      </c>
    </row>
    <row r="27" spans="1:15" x14ac:dyDescent="0.25">
      <c r="A27" t="s">
        <v>50</v>
      </c>
      <c r="B27">
        <v>0</v>
      </c>
      <c r="C27">
        <v>8.8275437355041504</v>
      </c>
      <c r="D27">
        <v>1</v>
      </c>
      <c r="E27">
        <v>1</v>
      </c>
      <c r="F27">
        <v>1</v>
      </c>
      <c r="G27">
        <v>1</v>
      </c>
      <c r="H27">
        <v>1</v>
      </c>
      <c r="I27">
        <v>1</v>
      </c>
      <c r="J27">
        <v>1</v>
      </c>
      <c r="K27">
        <v>1</v>
      </c>
      <c r="L27">
        <v>1</v>
      </c>
      <c r="M27">
        <v>1</v>
      </c>
      <c r="N27">
        <v>1</v>
      </c>
    </row>
    <row r="28" spans="1:15" x14ac:dyDescent="0.25">
      <c r="A28" t="s">
        <v>51</v>
      </c>
      <c r="B28">
        <v>0</v>
      </c>
      <c r="C28">
        <v>12.02263712882996</v>
      </c>
      <c r="D28">
        <v>1</v>
      </c>
      <c r="E28">
        <v>1</v>
      </c>
      <c r="F28">
        <v>1</v>
      </c>
      <c r="G28">
        <v>1</v>
      </c>
      <c r="H28">
        <v>1</v>
      </c>
      <c r="I28">
        <v>1</v>
      </c>
      <c r="J28">
        <v>0</v>
      </c>
      <c r="K28">
        <v>1</v>
      </c>
      <c r="L28">
        <v>1</v>
      </c>
      <c r="M28">
        <v>1</v>
      </c>
      <c r="N28">
        <v>1</v>
      </c>
      <c r="O28" t="s">
        <v>273</v>
      </c>
    </row>
    <row r="29" spans="1:15" x14ac:dyDescent="0.25">
      <c r="A29" t="s">
        <v>53</v>
      </c>
      <c r="B29">
        <v>0</v>
      </c>
      <c r="C29">
        <v>4.148090124130249</v>
      </c>
      <c r="D29">
        <v>1</v>
      </c>
      <c r="E29">
        <v>1</v>
      </c>
      <c r="F29">
        <v>1</v>
      </c>
      <c r="G29">
        <v>1</v>
      </c>
      <c r="H29">
        <v>1</v>
      </c>
      <c r="I29">
        <v>0</v>
      </c>
      <c r="J29">
        <v>1</v>
      </c>
      <c r="K29">
        <v>1</v>
      </c>
      <c r="L29">
        <v>1</v>
      </c>
      <c r="M29">
        <v>1</v>
      </c>
      <c r="N29">
        <v>1</v>
      </c>
      <c r="O29" t="s">
        <v>274</v>
      </c>
    </row>
    <row r="30" spans="1:15" x14ac:dyDescent="0.25">
      <c r="A30" t="s">
        <v>55</v>
      </c>
      <c r="B30">
        <v>0</v>
      </c>
      <c r="C30">
        <v>8.3827581405639648</v>
      </c>
      <c r="D30">
        <v>0</v>
      </c>
      <c r="E30" t="s">
        <v>17</v>
      </c>
      <c r="F30" t="s">
        <v>17</v>
      </c>
      <c r="G30" t="s">
        <v>17</v>
      </c>
      <c r="H30" t="s">
        <v>17</v>
      </c>
      <c r="I30" t="s">
        <v>17</v>
      </c>
      <c r="J30" t="s">
        <v>17</v>
      </c>
      <c r="K30" t="s">
        <v>17</v>
      </c>
      <c r="L30" t="s">
        <v>17</v>
      </c>
      <c r="M30" t="s">
        <v>17</v>
      </c>
      <c r="N30" t="s">
        <v>17</v>
      </c>
      <c r="O30" t="s">
        <v>275</v>
      </c>
    </row>
    <row r="31" spans="1:15" x14ac:dyDescent="0.25">
      <c r="A31" t="s">
        <v>57</v>
      </c>
      <c r="B31">
        <v>0</v>
      </c>
      <c r="C31">
        <v>6.8951616287231454</v>
      </c>
      <c r="D31">
        <v>1</v>
      </c>
      <c r="E31">
        <v>1</v>
      </c>
      <c r="F31">
        <v>1</v>
      </c>
      <c r="G31">
        <v>1</v>
      </c>
      <c r="H31">
        <v>1</v>
      </c>
      <c r="I31">
        <v>1</v>
      </c>
      <c r="J31">
        <v>1</v>
      </c>
      <c r="K31">
        <v>1</v>
      </c>
      <c r="L31">
        <v>1</v>
      </c>
      <c r="M31">
        <v>1</v>
      </c>
      <c r="N31">
        <v>1</v>
      </c>
    </row>
    <row r="32" spans="1:15" x14ac:dyDescent="0.25">
      <c r="A32" t="s">
        <v>59</v>
      </c>
      <c r="B32">
        <v>0</v>
      </c>
      <c r="C32">
        <v>9.4623520374298096</v>
      </c>
      <c r="D32">
        <v>1</v>
      </c>
      <c r="E32">
        <v>1</v>
      </c>
      <c r="F32">
        <v>1</v>
      </c>
      <c r="G32">
        <v>1</v>
      </c>
      <c r="H32">
        <v>1</v>
      </c>
      <c r="I32">
        <v>1</v>
      </c>
      <c r="J32">
        <v>1</v>
      </c>
      <c r="K32">
        <v>1</v>
      </c>
      <c r="L32">
        <v>1</v>
      </c>
      <c r="M32">
        <v>1</v>
      </c>
      <c r="N32">
        <v>1</v>
      </c>
    </row>
    <row r="33" spans="1:15" x14ac:dyDescent="0.25">
      <c r="A33" t="s">
        <v>60</v>
      </c>
      <c r="B33">
        <v>0</v>
      </c>
      <c r="C33">
        <v>13.94940543174744</v>
      </c>
      <c r="D33">
        <v>1</v>
      </c>
      <c r="E33">
        <v>1</v>
      </c>
      <c r="F33">
        <v>0</v>
      </c>
      <c r="G33" t="s">
        <v>17</v>
      </c>
      <c r="H33">
        <v>1</v>
      </c>
      <c r="I33">
        <v>0</v>
      </c>
      <c r="J33">
        <v>0</v>
      </c>
      <c r="K33">
        <v>1</v>
      </c>
      <c r="L33">
        <v>1</v>
      </c>
      <c r="M33">
        <v>1</v>
      </c>
      <c r="N33">
        <v>1</v>
      </c>
      <c r="O33" t="s">
        <v>276</v>
      </c>
    </row>
    <row r="34" spans="1:15" x14ac:dyDescent="0.25">
      <c r="A34" t="s">
        <v>62</v>
      </c>
      <c r="B34">
        <v>0</v>
      </c>
      <c r="C34">
        <v>9.6570816040039063</v>
      </c>
      <c r="D34">
        <v>1</v>
      </c>
      <c r="E34">
        <v>1</v>
      </c>
      <c r="F34">
        <v>1</v>
      </c>
      <c r="G34">
        <v>1</v>
      </c>
      <c r="H34">
        <v>1</v>
      </c>
      <c r="I34">
        <v>1</v>
      </c>
      <c r="J34">
        <v>1</v>
      </c>
      <c r="K34">
        <v>1</v>
      </c>
      <c r="L34">
        <v>1</v>
      </c>
      <c r="M34">
        <v>1</v>
      </c>
      <c r="N34">
        <v>1</v>
      </c>
    </row>
    <row r="35" spans="1:15" x14ac:dyDescent="0.25">
      <c r="A35" t="s">
        <v>63</v>
      </c>
      <c r="B35">
        <v>0</v>
      </c>
      <c r="C35">
        <v>2.5225942134857182</v>
      </c>
      <c r="D35">
        <v>1</v>
      </c>
      <c r="E35">
        <v>1</v>
      </c>
      <c r="F35">
        <v>1</v>
      </c>
      <c r="G35">
        <v>1</v>
      </c>
      <c r="H35">
        <v>1</v>
      </c>
      <c r="I35">
        <v>1</v>
      </c>
      <c r="J35">
        <v>1</v>
      </c>
      <c r="K35">
        <v>1</v>
      </c>
      <c r="L35">
        <v>1</v>
      </c>
      <c r="M35">
        <v>1</v>
      </c>
      <c r="N35">
        <v>1</v>
      </c>
    </row>
    <row r="36" spans="1:15" x14ac:dyDescent="0.25">
      <c r="A36" t="s">
        <v>64</v>
      </c>
      <c r="B36">
        <v>0</v>
      </c>
      <c r="C36">
        <v>12.24362635612488</v>
      </c>
      <c r="D36">
        <v>1</v>
      </c>
      <c r="E36">
        <v>1</v>
      </c>
      <c r="F36">
        <v>1</v>
      </c>
      <c r="G36">
        <v>1</v>
      </c>
      <c r="H36">
        <v>1</v>
      </c>
      <c r="I36">
        <v>0</v>
      </c>
      <c r="J36">
        <v>1</v>
      </c>
      <c r="K36">
        <v>1</v>
      </c>
      <c r="L36">
        <v>1</v>
      </c>
      <c r="M36">
        <v>1</v>
      </c>
      <c r="N36">
        <v>1</v>
      </c>
      <c r="O36" t="s">
        <v>277</v>
      </c>
    </row>
    <row r="37" spans="1:15" x14ac:dyDescent="0.25">
      <c r="A37" t="s">
        <v>66</v>
      </c>
      <c r="B37">
        <v>0</v>
      </c>
      <c r="C37">
        <v>9.0670692920684814</v>
      </c>
      <c r="D37">
        <v>1</v>
      </c>
      <c r="E37">
        <v>1</v>
      </c>
      <c r="F37">
        <v>1</v>
      </c>
      <c r="G37">
        <v>1</v>
      </c>
      <c r="H37">
        <v>1</v>
      </c>
      <c r="I37">
        <v>1</v>
      </c>
      <c r="J37">
        <v>1</v>
      </c>
      <c r="K37">
        <v>1</v>
      </c>
      <c r="L37">
        <v>1</v>
      </c>
      <c r="M37">
        <v>1</v>
      </c>
      <c r="N37">
        <v>1</v>
      </c>
    </row>
    <row r="38" spans="1:15" x14ac:dyDescent="0.25">
      <c r="A38" t="s">
        <v>67</v>
      </c>
      <c r="B38">
        <v>0</v>
      </c>
      <c r="C38">
        <v>8.5239231586456299</v>
      </c>
      <c r="D38">
        <v>0</v>
      </c>
      <c r="E38" t="s">
        <v>17</v>
      </c>
      <c r="F38" t="s">
        <v>17</v>
      </c>
      <c r="G38" t="s">
        <v>17</v>
      </c>
      <c r="H38" t="s">
        <v>17</v>
      </c>
      <c r="I38" t="s">
        <v>17</v>
      </c>
      <c r="J38" t="s">
        <v>17</v>
      </c>
      <c r="K38" t="s">
        <v>17</v>
      </c>
      <c r="L38" t="s">
        <v>17</v>
      </c>
      <c r="M38" t="s">
        <v>17</v>
      </c>
      <c r="N38" t="s">
        <v>17</v>
      </c>
      <c r="O38" t="s">
        <v>278</v>
      </c>
    </row>
    <row r="39" spans="1:15" x14ac:dyDescent="0.25">
      <c r="A39" t="s">
        <v>69</v>
      </c>
      <c r="B39">
        <v>0</v>
      </c>
      <c r="C39">
        <v>10.272482395172119</v>
      </c>
      <c r="D39">
        <v>1</v>
      </c>
      <c r="E39">
        <v>1</v>
      </c>
      <c r="F39">
        <v>1</v>
      </c>
      <c r="G39">
        <v>0</v>
      </c>
      <c r="H39">
        <v>1</v>
      </c>
      <c r="I39">
        <v>1</v>
      </c>
      <c r="J39">
        <v>1</v>
      </c>
      <c r="K39">
        <v>1</v>
      </c>
      <c r="L39">
        <v>1</v>
      </c>
      <c r="M39">
        <v>1</v>
      </c>
      <c r="N39">
        <v>1</v>
      </c>
      <c r="O39" t="s">
        <v>279</v>
      </c>
    </row>
    <row r="40" spans="1:15" x14ac:dyDescent="0.25">
      <c r="A40" t="s">
        <v>71</v>
      </c>
      <c r="B40">
        <v>0</v>
      </c>
      <c r="C40">
        <v>5.1356039047241211</v>
      </c>
      <c r="D40">
        <v>1</v>
      </c>
      <c r="E40">
        <v>1</v>
      </c>
      <c r="F40">
        <v>1</v>
      </c>
      <c r="G40">
        <v>1</v>
      </c>
      <c r="H40">
        <v>1</v>
      </c>
      <c r="I40">
        <v>0</v>
      </c>
      <c r="J40">
        <v>1</v>
      </c>
      <c r="K40">
        <v>1</v>
      </c>
      <c r="L40">
        <v>1</v>
      </c>
      <c r="M40">
        <v>1</v>
      </c>
      <c r="N40">
        <v>1</v>
      </c>
      <c r="O40" t="s">
        <v>280</v>
      </c>
    </row>
    <row r="41" spans="1:15" x14ac:dyDescent="0.25">
      <c r="A41" t="s">
        <v>73</v>
      </c>
      <c r="B41">
        <v>0</v>
      </c>
      <c r="C41">
        <v>5.4562444686889648</v>
      </c>
      <c r="D41">
        <v>0</v>
      </c>
      <c r="E41" t="s">
        <v>17</v>
      </c>
      <c r="F41" t="s">
        <v>17</v>
      </c>
      <c r="G41" t="s">
        <v>17</v>
      </c>
      <c r="H41" t="s">
        <v>17</v>
      </c>
      <c r="I41" t="s">
        <v>17</v>
      </c>
      <c r="J41" t="s">
        <v>17</v>
      </c>
      <c r="K41" t="s">
        <v>17</v>
      </c>
      <c r="L41" t="s">
        <v>17</v>
      </c>
      <c r="M41" t="s">
        <v>17</v>
      </c>
      <c r="N41" t="s">
        <v>17</v>
      </c>
      <c r="O41" t="s">
        <v>281</v>
      </c>
    </row>
    <row r="42" spans="1:15" x14ac:dyDescent="0.25">
      <c r="A42" t="s">
        <v>75</v>
      </c>
      <c r="B42">
        <v>0</v>
      </c>
      <c r="C42">
        <v>2.7537834644317631</v>
      </c>
      <c r="D42">
        <v>1</v>
      </c>
      <c r="E42">
        <v>1</v>
      </c>
      <c r="F42">
        <v>1</v>
      </c>
      <c r="G42">
        <v>1</v>
      </c>
      <c r="H42">
        <v>1</v>
      </c>
      <c r="I42">
        <v>1</v>
      </c>
      <c r="J42">
        <v>1</v>
      </c>
      <c r="K42">
        <v>1</v>
      </c>
      <c r="L42">
        <v>1</v>
      </c>
      <c r="M42">
        <v>1</v>
      </c>
      <c r="N42">
        <v>1</v>
      </c>
    </row>
    <row r="43" spans="1:15" x14ac:dyDescent="0.25">
      <c r="A43" t="s">
        <v>76</v>
      </c>
      <c r="B43">
        <v>0</v>
      </c>
      <c r="C43">
        <v>2.6738541126251221</v>
      </c>
      <c r="D43">
        <v>1</v>
      </c>
      <c r="E43">
        <v>1</v>
      </c>
      <c r="F43">
        <v>1</v>
      </c>
      <c r="G43">
        <v>1</v>
      </c>
      <c r="H43">
        <v>1</v>
      </c>
      <c r="I43">
        <v>1</v>
      </c>
      <c r="J43">
        <v>1</v>
      </c>
      <c r="K43">
        <v>1</v>
      </c>
      <c r="L43">
        <v>1</v>
      </c>
      <c r="M43">
        <v>1</v>
      </c>
      <c r="N43">
        <v>1</v>
      </c>
    </row>
    <row r="44" spans="1:15" x14ac:dyDescent="0.25">
      <c r="A44" t="s">
        <v>77</v>
      </c>
      <c r="B44">
        <v>0</v>
      </c>
      <c r="C44">
        <v>2.7768349647521968</v>
      </c>
      <c r="D44">
        <v>1</v>
      </c>
      <c r="E44">
        <v>1</v>
      </c>
      <c r="F44">
        <v>1</v>
      </c>
      <c r="G44">
        <v>1</v>
      </c>
      <c r="H44">
        <v>1</v>
      </c>
      <c r="I44">
        <v>1</v>
      </c>
      <c r="J44">
        <v>1</v>
      </c>
      <c r="K44">
        <v>1</v>
      </c>
      <c r="L44">
        <v>1</v>
      </c>
      <c r="M44">
        <v>1</v>
      </c>
      <c r="N44">
        <v>1</v>
      </c>
    </row>
    <row r="45" spans="1:15" x14ac:dyDescent="0.25">
      <c r="A45" t="s">
        <v>78</v>
      </c>
      <c r="B45">
        <v>0</v>
      </c>
      <c r="C45">
        <v>9.7034177780151367</v>
      </c>
      <c r="D45">
        <v>1</v>
      </c>
      <c r="E45">
        <v>1</v>
      </c>
      <c r="F45">
        <v>1</v>
      </c>
      <c r="G45">
        <v>1</v>
      </c>
      <c r="H45">
        <v>1</v>
      </c>
      <c r="I45">
        <v>1</v>
      </c>
      <c r="J45">
        <v>1</v>
      </c>
      <c r="K45">
        <v>1</v>
      </c>
      <c r="L45">
        <v>1</v>
      </c>
      <c r="M45">
        <v>1</v>
      </c>
      <c r="N45">
        <v>1</v>
      </c>
    </row>
    <row r="46" spans="1:15" x14ac:dyDescent="0.25">
      <c r="A46" t="s">
        <v>79</v>
      </c>
      <c r="B46">
        <v>0</v>
      </c>
      <c r="C46">
        <v>9.744804859161377</v>
      </c>
      <c r="D46">
        <v>1</v>
      </c>
      <c r="E46">
        <v>1</v>
      </c>
      <c r="F46">
        <v>1</v>
      </c>
      <c r="G46">
        <v>1</v>
      </c>
      <c r="H46">
        <v>1</v>
      </c>
      <c r="I46">
        <v>1</v>
      </c>
      <c r="J46">
        <v>1</v>
      </c>
      <c r="K46">
        <v>1</v>
      </c>
      <c r="L46">
        <v>1</v>
      </c>
      <c r="M46">
        <v>1</v>
      </c>
      <c r="N46">
        <v>1</v>
      </c>
    </row>
    <row r="47" spans="1:15" x14ac:dyDescent="0.25">
      <c r="A47" t="s">
        <v>80</v>
      </c>
      <c r="B47">
        <v>0</v>
      </c>
      <c r="C47">
        <v>2.8377654552459721</v>
      </c>
      <c r="D47">
        <v>1</v>
      </c>
      <c r="E47">
        <v>1</v>
      </c>
      <c r="F47">
        <v>1</v>
      </c>
      <c r="G47">
        <v>1</v>
      </c>
      <c r="H47">
        <v>1</v>
      </c>
      <c r="I47">
        <v>1</v>
      </c>
      <c r="J47">
        <v>1</v>
      </c>
      <c r="K47">
        <v>1</v>
      </c>
      <c r="L47">
        <v>1</v>
      </c>
      <c r="M47">
        <v>1</v>
      </c>
      <c r="N47">
        <v>1</v>
      </c>
    </row>
    <row r="48" spans="1:15" x14ac:dyDescent="0.25">
      <c r="A48" t="s">
        <v>82</v>
      </c>
      <c r="B48">
        <v>0</v>
      </c>
      <c r="C48">
        <v>10.60350227355957</v>
      </c>
      <c r="D48">
        <v>1</v>
      </c>
      <c r="E48">
        <v>1</v>
      </c>
      <c r="F48">
        <v>1</v>
      </c>
      <c r="G48">
        <v>1</v>
      </c>
      <c r="H48">
        <v>1</v>
      </c>
      <c r="I48">
        <v>1</v>
      </c>
      <c r="J48">
        <v>0</v>
      </c>
      <c r="K48">
        <v>1</v>
      </c>
      <c r="L48">
        <v>1</v>
      </c>
      <c r="M48">
        <v>1</v>
      </c>
      <c r="N48">
        <v>1</v>
      </c>
      <c r="O48" t="s">
        <v>282</v>
      </c>
    </row>
    <row r="49" spans="1:15" x14ac:dyDescent="0.25">
      <c r="A49" t="s">
        <v>84</v>
      </c>
      <c r="B49">
        <v>0</v>
      </c>
      <c r="C49">
        <v>4.7010633945465088</v>
      </c>
      <c r="D49">
        <v>1</v>
      </c>
      <c r="E49">
        <v>1</v>
      </c>
      <c r="F49">
        <v>1</v>
      </c>
      <c r="G49">
        <v>0</v>
      </c>
      <c r="H49">
        <v>1</v>
      </c>
      <c r="I49">
        <v>1</v>
      </c>
      <c r="J49">
        <v>1</v>
      </c>
      <c r="K49">
        <v>1</v>
      </c>
      <c r="L49">
        <v>1</v>
      </c>
      <c r="M49">
        <v>1</v>
      </c>
      <c r="N49">
        <v>1</v>
      </c>
      <c r="O49" t="s">
        <v>283</v>
      </c>
    </row>
    <row r="50" spans="1:15" x14ac:dyDescent="0.25">
      <c r="A50" t="s">
        <v>86</v>
      </c>
      <c r="B50">
        <v>0</v>
      </c>
      <c r="C50">
        <v>10.570878982543951</v>
      </c>
      <c r="D50">
        <v>1</v>
      </c>
      <c r="E50">
        <v>1</v>
      </c>
      <c r="F50">
        <v>1</v>
      </c>
      <c r="G50">
        <v>1</v>
      </c>
      <c r="H50">
        <v>1</v>
      </c>
      <c r="I50">
        <v>1</v>
      </c>
      <c r="J50">
        <v>1</v>
      </c>
      <c r="K50">
        <v>1</v>
      </c>
      <c r="L50">
        <v>1</v>
      </c>
      <c r="M50">
        <v>1</v>
      </c>
      <c r="N50">
        <v>1</v>
      </c>
    </row>
    <row r="51" spans="1:15" x14ac:dyDescent="0.25">
      <c r="A51" t="s">
        <v>87</v>
      </c>
      <c r="B51">
        <v>0</v>
      </c>
      <c r="C51">
        <v>8.3455982208251953</v>
      </c>
      <c r="D51">
        <v>1</v>
      </c>
      <c r="E51">
        <v>1</v>
      </c>
      <c r="F51">
        <v>1</v>
      </c>
      <c r="G51">
        <v>1</v>
      </c>
      <c r="H51">
        <v>1</v>
      </c>
      <c r="I51">
        <v>1</v>
      </c>
      <c r="J51">
        <v>1</v>
      </c>
      <c r="K51">
        <v>1</v>
      </c>
      <c r="L51">
        <v>1</v>
      </c>
      <c r="M51">
        <v>1</v>
      </c>
      <c r="N51">
        <v>1</v>
      </c>
    </row>
    <row r="52" spans="1:15" x14ac:dyDescent="0.25">
      <c r="A52" t="s">
        <v>88</v>
      </c>
      <c r="B52">
        <v>0</v>
      </c>
      <c r="C52">
        <v>9.3318314552307129</v>
      </c>
      <c r="D52">
        <v>1</v>
      </c>
      <c r="E52">
        <v>1</v>
      </c>
      <c r="F52">
        <v>1</v>
      </c>
      <c r="G52">
        <v>1</v>
      </c>
      <c r="H52">
        <v>1</v>
      </c>
      <c r="I52">
        <v>1</v>
      </c>
      <c r="J52">
        <v>1</v>
      </c>
      <c r="K52">
        <v>1</v>
      </c>
      <c r="L52">
        <v>1</v>
      </c>
      <c r="M52">
        <v>1</v>
      </c>
      <c r="N52">
        <v>1</v>
      </c>
    </row>
    <row r="53" spans="1:15" x14ac:dyDescent="0.25">
      <c r="A53" t="s">
        <v>89</v>
      </c>
      <c r="B53">
        <v>0</v>
      </c>
      <c r="C53">
        <v>11.08756113052368</v>
      </c>
      <c r="D53">
        <v>1</v>
      </c>
      <c r="E53">
        <v>1</v>
      </c>
      <c r="F53">
        <v>1</v>
      </c>
      <c r="G53">
        <v>1</v>
      </c>
      <c r="H53">
        <v>1</v>
      </c>
      <c r="I53">
        <v>1</v>
      </c>
      <c r="J53">
        <v>1</v>
      </c>
      <c r="K53">
        <v>1</v>
      </c>
      <c r="L53">
        <v>1</v>
      </c>
      <c r="M53">
        <v>1</v>
      </c>
      <c r="N53">
        <v>1</v>
      </c>
    </row>
    <row r="54" spans="1:15" x14ac:dyDescent="0.25">
      <c r="A54" t="s">
        <v>90</v>
      </c>
      <c r="B54">
        <v>0</v>
      </c>
      <c r="C54">
        <v>2.780870676040649</v>
      </c>
      <c r="D54">
        <v>1</v>
      </c>
      <c r="E54">
        <v>1</v>
      </c>
      <c r="F54">
        <v>1</v>
      </c>
      <c r="G54">
        <v>1</v>
      </c>
      <c r="H54">
        <v>1</v>
      </c>
      <c r="I54">
        <v>1</v>
      </c>
      <c r="J54">
        <v>1</v>
      </c>
      <c r="K54">
        <v>1</v>
      </c>
      <c r="L54">
        <v>1</v>
      </c>
      <c r="M54">
        <v>1</v>
      </c>
      <c r="N54">
        <v>1</v>
      </c>
    </row>
    <row r="55" spans="1:15" x14ac:dyDescent="0.25">
      <c r="A55" t="s">
        <v>92</v>
      </c>
      <c r="B55">
        <v>0</v>
      </c>
      <c r="C55">
        <v>13.44443774223328</v>
      </c>
      <c r="D55">
        <v>1</v>
      </c>
      <c r="E55">
        <v>1</v>
      </c>
      <c r="F55">
        <v>1</v>
      </c>
      <c r="G55">
        <v>1</v>
      </c>
      <c r="H55">
        <v>1</v>
      </c>
      <c r="I55">
        <v>1</v>
      </c>
      <c r="J55">
        <v>0</v>
      </c>
      <c r="K55">
        <v>0</v>
      </c>
      <c r="L55">
        <v>0</v>
      </c>
      <c r="M55">
        <v>1</v>
      </c>
      <c r="N55">
        <v>1</v>
      </c>
      <c r="O55" t="s">
        <v>284</v>
      </c>
    </row>
    <row r="56" spans="1:15" x14ac:dyDescent="0.25">
      <c r="A56" t="s">
        <v>94</v>
      </c>
      <c r="B56">
        <v>0</v>
      </c>
      <c r="C56">
        <v>10.167141914367679</v>
      </c>
      <c r="D56">
        <v>0</v>
      </c>
      <c r="E56" t="s">
        <v>17</v>
      </c>
      <c r="F56" t="s">
        <v>17</v>
      </c>
      <c r="G56" t="s">
        <v>17</v>
      </c>
      <c r="H56" t="s">
        <v>17</v>
      </c>
      <c r="I56" t="s">
        <v>17</v>
      </c>
      <c r="J56" t="s">
        <v>17</v>
      </c>
      <c r="K56" t="s">
        <v>17</v>
      </c>
      <c r="L56" t="s">
        <v>17</v>
      </c>
      <c r="M56" t="s">
        <v>17</v>
      </c>
      <c r="N56" t="s">
        <v>17</v>
      </c>
      <c r="O56" t="s">
        <v>285</v>
      </c>
    </row>
    <row r="57" spans="1:15" x14ac:dyDescent="0.25">
      <c r="A57" t="s">
        <v>96</v>
      </c>
      <c r="B57">
        <v>0</v>
      </c>
      <c r="C57">
        <v>8.9385035037994385</v>
      </c>
      <c r="D57">
        <v>1</v>
      </c>
      <c r="E57">
        <v>1</v>
      </c>
      <c r="F57">
        <v>1</v>
      </c>
      <c r="G57">
        <v>1</v>
      </c>
      <c r="H57">
        <v>1</v>
      </c>
      <c r="I57">
        <v>1</v>
      </c>
      <c r="J57">
        <v>1</v>
      </c>
      <c r="K57">
        <v>1</v>
      </c>
      <c r="L57">
        <v>1</v>
      </c>
      <c r="M57">
        <v>1</v>
      </c>
      <c r="N57">
        <v>1</v>
      </c>
    </row>
    <row r="58" spans="1:15" x14ac:dyDescent="0.25">
      <c r="A58" t="s">
        <v>97</v>
      </c>
      <c r="B58">
        <v>0</v>
      </c>
      <c r="C58">
        <v>6.5686357021331787</v>
      </c>
      <c r="D58">
        <v>0</v>
      </c>
      <c r="E58" t="s">
        <v>17</v>
      </c>
      <c r="F58" t="s">
        <v>17</v>
      </c>
      <c r="G58" t="s">
        <v>17</v>
      </c>
      <c r="H58" t="s">
        <v>17</v>
      </c>
      <c r="I58" t="s">
        <v>17</v>
      </c>
      <c r="J58" t="s">
        <v>17</v>
      </c>
      <c r="K58" t="s">
        <v>17</v>
      </c>
      <c r="L58" t="s">
        <v>17</v>
      </c>
      <c r="M58" t="s">
        <v>17</v>
      </c>
      <c r="N58" t="s">
        <v>17</v>
      </c>
      <c r="O58" t="s">
        <v>286</v>
      </c>
    </row>
    <row r="59" spans="1:15" x14ac:dyDescent="0.25">
      <c r="A59" t="s">
        <v>98</v>
      </c>
      <c r="B59">
        <v>0</v>
      </c>
      <c r="C59">
        <v>2.7670168876647949</v>
      </c>
      <c r="D59">
        <v>1</v>
      </c>
      <c r="E59">
        <v>1</v>
      </c>
      <c r="F59">
        <v>1</v>
      </c>
      <c r="G59">
        <v>1</v>
      </c>
      <c r="H59">
        <v>1</v>
      </c>
      <c r="I59">
        <v>1</v>
      </c>
      <c r="J59">
        <v>1</v>
      </c>
      <c r="K59">
        <v>1</v>
      </c>
      <c r="L59">
        <v>1</v>
      </c>
      <c r="M59">
        <v>1</v>
      </c>
      <c r="N59">
        <v>1</v>
      </c>
    </row>
    <row r="60" spans="1:15" x14ac:dyDescent="0.25">
      <c r="A60" t="s">
        <v>99</v>
      </c>
      <c r="B60">
        <v>0</v>
      </c>
      <c r="C60">
        <v>5.9622113704681396</v>
      </c>
      <c r="D60">
        <v>1</v>
      </c>
      <c r="E60">
        <v>0</v>
      </c>
      <c r="F60">
        <v>1</v>
      </c>
      <c r="G60" t="s">
        <v>17</v>
      </c>
      <c r="H60">
        <v>1</v>
      </c>
      <c r="I60" t="s">
        <v>17</v>
      </c>
      <c r="J60">
        <v>1</v>
      </c>
      <c r="K60">
        <v>1</v>
      </c>
      <c r="L60">
        <v>1</v>
      </c>
      <c r="M60">
        <v>1</v>
      </c>
      <c r="N60">
        <v>1</v>
      </c>
      <c r="O60" t="s">
        <v>287</v>
      </c>
    </row>
    <row r="61" spans="1:15" x14ac:dyDescent="0.25">
      <c r="A61" t="s">
        <v>101</v>
      </c>
      <c r="B61">
        <v>0</v>
      </c>
      <c r="C61">
        <v>5.1457366943359384</v>
      </c>
      <c r="D61">
        <v>1</v>
      </c>
      <c r="E61">
        <v>1</v>
      </c>
      <c r="F61">
        <v>1</v>
      </c>
      <c r="G61">
        <v>1</v>
      </c>
      <c r="H61">
        <v>1</v>
      </c>
      <c r="I61">
        <v>0</v>
      </c>
      <c r="J61">
        <v>1</v>
      </c>
      <c r="K61">
        <v>1</v>
      </c>
      <c r="L61">
        <v>1</v>
      </c>
      <c r="M61">
        <v>1</v>
      </c>
      <c r="N61">
        <v>1</v>
      </c>
      <c r="O61" t="s">
        <v>288</v>
      </c>
    </row>
    <row r="62" spans="1:15" x14ac:dyDescent="0.25">
      <c r="A62" t="s">
        <v>103</v>
      </c>
      <c r="B62">
        <v>0</v>
      </c>
      <c r="C62">
        <v>7.4799990653991699</v>
      </c>
      <c r="D62">
        <v>0</v>
      </c>
      <c r="E62" t="s">
        <v>17</v>
      </c>
      <c r="F62" t="s">
        <v>17</v>
      </c>
      <c r="G62" t="s">
        <v>17</v>
      </c>
      <c r="H62" t="s">
        <v>17</v>
      </c>
      <c r="I62" t="s">
        <v>17</v>
      </c>
      <c r="J62" t="s">
        <v>17</v>
      </c>
      <c r="K62" t="s">
        <v>17</v>
      </c>
      <c r="L62" t="s">
        <v>17</v>
      </c>
      <c r="M62" t="s">
        <v>17</v>
      </c>
      <c r="N62" t="s">
        <v>17</v>
      </c>
      <c r="O62" t="s">
        <v>289</v>
      </c>
    </row>
    <row r="63" spans="1:15" x14ac:dyDescent="0.25">
      <c r="A63" t="s">
        <v>105</v>
      </c>
      <c r="B63">
        <v>0</v>
      </c>
      <c r="C63">
        <v>2.7678730487823491</v>
      </c>
      <c r="D63">
        <v>1</v>
      </c>
      <c r="E63">
        <v>1</v>
      </c>
      <c r="F63">
        <v>1</v>
      </c>
      <c r="G63">
        <v>1</v>
      </c>
      <c r="H63">
        <v>1</v>
      </c>
      <c r="I63">
        <v>1</v>
      </c>
      <c r="J63">
        <v>1</v>
      </c>
      <c r="K63">
        <v>1</v>
      </c>
      <c r="L63">
        <v>1</v>
      </c>
      <c r="M63">
        <v>1</v>
      </c>
      <c r="N63">
        <v>1</v>
      </c>
    </row>
    <row r="64" spans="1:15" x14ac:dyDescent="0.25">
      <c r="A64" t="s">
        <v>106</v>
      </c>
      <c r="B64">
        <v>0</v>
      </c>
      <c r="C64">
        <v>2.771714448928833</v>
      </c>
      <c r="D64">
        <v>1</v>
      </c>
      <c r="E64">
        <v>1</v>
      </c>
      <c r="F64">
        <v>1</v>
      </c>
      <c r="G64">
        <v>1</v>
      </c>
      <c r="H64">
        <v>1</v>
      </c>
      <c r="I64">
        <v>1</v>
      </c>
      <c r="J64">
        <v>1</v>
      </c>
      <c r="K64">
        <v>1</v>
      </c>
      <c r="L64">
        <v>1</v>
      </c>
      <c r="M64">
        <v>1</v>
      </c>
      <c r="N64">
        <v>1</v>
      </c>
    </row>
    <row r="65" spans="1:15" x14ac:dyDescent="0.25">
      <c r="A65" t="s">
        <v>108</v>
      </c>
      <c r="B65">
        <v>0</v>
      </c>
      <c r="C65">
        <v>10.787021160125731</v>
      </c>
      <c r="D65">
        <v>1</v>
      </c>
      <c r="E65">
        <v>1</v>
      </c>
      <c r="F65">
        <v>1</v>
      </c>
      <c r="G65">
        <v>0</v>
      </c>
      <c r="H65">
        <v>1</v>
      </c>
      <c r="I65">
        <v>1</v>
      </c>
      <c r="J65">
        <v>1</v>
      </c>
      <c r="K65">
        <v>1</v>
      </c>
      <c r="L65">
        <v>1</v>
      </c>
      <c r="M65">
        <v>1</v>
      </c>
      <c r="N65">
        <v>1</v>
      </c>
      <c r="O65" t="s">
        <v>290</v>
      </c>
    </row>
    <row r="66" spans="1:15" x14ac:dyDescent="0.25">
      <c r="A66" t="s">
        <v>110</v>
      </c>
      <c r="B66">
        <v>0</v>
      </c>
      <c r="C66">
        <v>13.25390005111694</v>
      </c>
      <c r="D66">
        <v>0</v>
      </c>
      <c r="E66" t="s">
        <v>17</v>
      </c>
      <c r="F66" t="s">
        <v>17</v>
      </c>
      <c r="G66" t="s">
        <v>17</v>
      </c>
      <c r="H66" t="s">
        <v>17</v>
      </c>
      <c r="I66" t="s">
        <v>17</v>
      </c>
      <c r="J66" t="s">
        <v>17</v>
      </c>
      <c r="K66" t="s">
        <v>17</v>
      </c>
      <c r="L66" t="s">
        <v>17</v>
      </c>
      <c r="M66" t="s">
        <v>17</v>
      </c>
      <c r="N66" t="s">
        <v>17</v>
      </c>
      <c r="O66" t="s">
        <v>291</v>
      </c>
    </row>
    <row r="67" spans="1:15" x14ac:dyDescent="0.25">
      <c r="A67" t="s">
        <v>112</v>
      </c>
      <c r="B67">
        <v>0</v>
      </c>
      <c r="C67">
        <v>10.71934270858765</v>
      </c>
      <c r="D67">
        <v>1</v>
      </c>
      <c r="E67">
        <v>1</v>
      </c>
      <c r="F67">
        <v>0</v>
      </c>
      <c r="G67" t="s">
        <v>17</v>
      </c>
      <c r="H67">
        <v>1</v>
      </c>
      <c r="I67">
        <v>1</v>
      </c>
      <c r="J67">
        <v>1</v>
      </c>
      <c r="K67">
        <v>1</v>
      </c>
      <c r="L67">
        <v>1</v>
      </c>
      <c r="M67">
        <v>1</v>
      </c>
      <c r="N67">
        <v>1</v>
      </c>
      <c r="O67" t="s">
        <v>292</v>
      </c>
    </row>
    <row r="68" spans="1:15" x14ac:dyDescent="0.25">
      <c r="A68" t="s">
        <v>114</v>
      </c>
      <c r="B68">
        <v>0</v>
      </c>
      <c r="C68">
        <v>2.7692077159881592</v>
      </c>
      <c r="D68">
        <v>1</v>
      </c>
      <c r="E68">
        <v>1</v>
      </c>
      <c r="F68">
        <v>1</v>
      </c>
      <c r="G68">
        <v>1</v>
      </c>
      <c r="H68">
        <v>1</v>
      </c>
      <c r="I68">
        <v>1</v>
      </c>
      <c r="J68">
        <v>1</v>
      </c>
      <c r="K68">
        <v>1</v>
      </c>
      <c r="L68">
        <v>1</v>
      </c>
      <c r="M68">
        <v>1</v>
      </c>
      <c r="N68">
        <v>1</v>
      </c>
    </row>
    <row r="69" spans="1:15" x14ac:dyDescent="0.25">
      <c r="A69" t="s">
        <v>115</v>
      </c>
      <c r="B69">
        <v>0</v>
      </c>
      <c r="C69">
        <v>2.7395482063293461</v>
      </c>
      <c r="D69">
        <v>1</v>
      </c>
      <c r="E69">
        <v>1</v>
      </c>
      <c r="F69">
        <v>1</v>
      </c>
      <c r="G69">
        <v>1</v>
      </c>
      <c r="H69">
        <v>1</v>
      </c>
      <c r="I69">
        <v>1</v>
      </c>
      <c r="J69">
        <v>1</v>
      </c>
      <c r="K69">
        <v>1</v>
      </c>
      <c r="L69">
        <v>1</v>
      </c>
      <c r="M69">
        <v>1</v>
      </c>
      <c r="N69">
        <v>1</v>
      </c>
    </row>
    <row r="70" spans="1:15" x14ac:dyDescent="0.25">
      <c r="A70" t="s">
        <v>116</v>
      </c>
      <c r="B70">
        <v>0</v>
      </c>
      <c r="C70">
        <v>2.7701902389526372</v>
      </c>
      <c r="D70">
        <v>1</v>
      </c>
      <c r="E70">
        <v>1</v>
      </c>
      <c r="F70">
        <v>1</v>
      </c>
      <c r="G70">
        <v>1</v>
      </c>
      <c r="H70">
        <v>1</v>
      </c>
      <c r="I70">
        <v>1</v>
      </c>
      <c r="J70">
        <v>1</v>
      </c>
      <c r="K70">
        <v>1</v>
      </c>
      <c r="L70">
        <v>1</v>
      </c>
      <c r="M70">
        <v>1</v>
      </c>
      <c r="N70">
        <v>1</v>
      </c>
    </row>
    <row r="71" spans="1:15" x14ac:dyDescent="0.25">
      <c r="A71" t="s">
        <v>117</v>
      </c>
      <c r="B71">
        <v>0</v>
      </c>
      <c r="C71">
        <v>10.814677476882929</v>
      </c>
      <c r="D71">
        <v>1</v>
      </c>
      <c r="E71">
        <v>1</v>
      </c>
      <c r="F71">
        <v>1</v>
      </c>
      <c r="G71">
        <v>1</v>
      </c>
      <c r="H71">
        <v>1</v>
      </c>
      <c r="I71">
        <v>1</v>
      </c>
      <c r="J71">
        <v>1</v>
      </c>
      <c r="K71">
        <v>1</v>
      </c>
      <c r="L71">
        <v>1</v>
      </c>
      <c r="M71">
        <v>1</v>
      </c>
      <c r="N71">
        <v>1</v>
      </c>
    </row>
    <row r="72" spans="1:15" x14ac:dyDescent="0.25">
      <c r="A72" t="s">
        <v>118</v>
      </c>
      <c r="B72">
        <v>0</v>
      </c>
      <c r="C72">
        <v>5.0080931186676034</v>
      </c>
      <c r="D72">
        <v>1</v>
      </c>
      <c r="E72">
        <v>1</v>
      </c>
      <c r="F72">
        <v>0</v>
      </c>
      <c r="G72" t="s">
        <v>17</v>
      </c>
      <c r="H72">
        <v>1</v>
      </c>
      <c r="I72">
        <v>1</v>
      </c>
      <c r="J72">
        <v>1</v>
      </c>
      <c r="K72">
        <v>1</v>
      </c>
      <c r="L72">
        <v>1</v>
      </c>
      <c r="M72">
        <v>1</v>
      </c>
      <c r="N72">
        <v>1</v>
      </c>
      <c r="O72" t="s">
        <v>293</v>
      </c>
    </row>
    <row r="73" spans="1:15" x14ac:dyDescent="0.25">
      <c r="A73" t="s">
        <v>120</v>
      </c>
      <c r="B73">
        <v>0</v>
      </c>
      <c r="C73">
        <v>10.62746977806091</v>
      </c>
      <c r="D73">
        <v>1</v>
      </c>
      <c r="E73">
        <v>1</v>
      </c>
      <c r="F73">
        <v>1</v>
      </c>
      <c r="G73">
        <v>1</v>
      </c>
      <c r="H73">
        <v>1</v>
      </c>
      <c r="I73">
        <v>1</v>
      </c>
      <c r="J73">
        <v>1</v>
      </c>
      <c r="K73">
        <v>1</v>
      </c>
      <c r="L73">
        <v>1</v>
      </c>
      <c r="M73">
        <v>1</v>
      </c>
      <c r="N73">
        <v>1</v>
      </c>
    </row>
    <row r="74" spans="1:15" x14ac:dyDescent="0.25">
      <c r="A74" t="s">
        <v>121</v>
      </c>
      <c r="B74">
        <v>0</v>
      </c>
      <c r="C74">
        <v>11.56338953971863</v>
      </c>
      <c r="D74">
        <v>1</v>
      </c>
      <c r="E74">
        <v>1</v>
      </c>
      <c r="F74">
        <v>1</v>
      </c>
      <c r="G74">
        <v>1</v>
      </c>
      <c r="H74">
        <v>1</v>
      </c>
      <c r="I74">
        <v>0</v>
      </c>
      <c r="J74">
        <v>1</v>
      </c>
      <c r="K74">
        <v>1</v>
      </c>
      <c r="L74">
        <v>1</v>
      </c>
      <c r="M74">
        <v>1</v>
      </c>
      <c r="N74">
        <v>1</v>
      </c>
      <c r="O74" t="s">
        <v>294</v>
      </c>
    </row>
    <row r="75" spans="1:15" x14ac:dyDescent="0.25">
      <c r="A75" t="s">
        <v>123</v>
      </c>
      <c r="B75">
        <v>0</v>
      </c>
      <c r="C75">
        <v>9.9704246520996094</v>
      </c>
      <c r="D75">
        <v>1</v>
      </c>
      <c r="E75">
        <v>1</v>
      </c>
      <c r="F75">
        <v>1</v>
      </c>
      <c r="G75">
        <v>1</v>
      </c>
      <c r="H75">
        <v>1</v>
      </c>
      <c r="I75">
        <v>1</v>
      </c>
      <c r="J75">
        <v>1</v>
      </c>
      <c r="K75">
        <v>1</v>
      </c>
      <c r="L75">
        <v>1</v>
      </c>
      <c r="M75">
        <v>1</v>
      </c>
      <c r="N75">
        <v>1</v>
      </c>
    </row>
    <row r="76" spans="1:15" x14ac:dyDescent="0.25">
      <c r="A76" t="s">
        <v>124</v>
      </c>
      <c r="B76">
        <v>0</v>
      </c>
      <c r="C76">
        <v>9.9684779644012451</v>
      </c>
      <c r="D76">
        <v>1</v>
      </c>
      <c r="E76">
        <v>1</v>
      </c>
      <c r="F76">
        <v>1</v>
      </c>
      <c r="G76">
        <v>1</v>
      </c>
      <c r="H76">
        <v>1</v>
      </c>
      <c r="I76">
        <v>1</v>
      </c>
      <c r="J76">
        <v>1</v>
      </c>
      <c r="K76">
        <v>1</v>
      </c>
      <c r="L76">
        <v>1</v>
      </c>
      <c r="M76">
        <v>1</v>
      </c>
      <c r="N76">
        <v>1</v>
      </c>
    </row>
    <row r="77" spans="1:15" x14ac:dyDescent="0.25">
      <c r="A77" t="s">
        <v>125</v>
      </c>
      <c r="B77">
        <v>0</v>
      </c>
      <c r="C77">
        <v>5.9120669364929199</v>
      </c>
      <c r="D77">
        <v>1</v>
      </c>
      <c r="E77">
        <v>1</v>
      </c>
      <c r="F77">
        <v>1</v>
      </c>
      <c r="G77">
        <v>1</v>
      </c>
      <c r="H77">
        <v>1</v>
      </c>
      <c r="I77">
        <v>0</v>
      </c>
      <c r="J77">
        <v>1</v>
      </c>
      <c r="K77">
        <v>1</v>
      </c>
      <c r="L77">
        <v>1</v>
      </c>
      <c r="M77">
        <v>1</v>
      </c>
      <c r="N77">
        <v>1</v>
      </c>
      <c r="O77" t="s">
        <v>295</v>
      </c>
    </row>
    <row r="78" spans="1:15" x14ac:dyDescent="0.25">
      <c r="A78" t="s">
        <v>127</v>
      </c>
      <c r="B78">
        <v>0</v>
      </c>
      <c r="C78">
        <v>12.4736213684082</v>
      </c>
      <c r="D78">
        <v>1</v>
      </c>
      <c r="E78">
        <v>1</v>
      </c>
      <c r="F78">
        <v>1</v>
      </c>
      <c r="G78">
        <v>1</v>
      </c>
      <c r="H78">
        <v>1</v>
      </c>
      <c r="I78">
        <v>0</v>
      </c>
      <c r="J78">
        <v>1</v>
      </c>
      <c r="K78">
        <v>1</v>
      </c>
      <c r="L78">
        <v>1</v>
      </c>
      <c r="M78">
        <v>1</v>
      </c>
      <c r="N78">
        <v>1</v>
      </c>
      <c r="O78" t="s">
        <v>296</v>
      </c>
    </row>
    <row r="79" spans="1:15" x14ac:dyDescent="0.25">
      <c r="A79" t="s">
        <v>129</v>
      </c>
      <c r="B79">
        <v>0</v>
      </c>
      <c r="C79">
        <v>5.3408584594726563</v>
      </c>
      <c r="D79">
        <v>1</v>
      </c>
      <c r="E79">
        <v>1</v>
      </c>
      <c r="F79">
        <v>1</v>
      </c>
      <c r="G79">
        <v>1</v>
      </c>
      <c r="H79">
        <v>1</v>
      </c>
      <c r="I79">
        <v>1</v>
      </c>
      <c r="J79">
        <v>0</v>
      </c>
      <c r="K79">
        <v>1</v>
      </c>
      <c r="L79">
        <v>1</v>
      </c>
      <c r="M79">
        <v>1</v>
      </c>
      <c r="N79">
        <v>1</v>
      </c>
      <c r="O79" t="s">
        <v>297</v>
      </c>
    </row>
    <row r="80" spans="1:15" x14ac:dyDescent="0.25">
      <c r="A80" t="s">
        <v>131</v>
      </c>
      <c r="B80">
        <v>0</v>
      </c>
      <c r="C80">
        <v>11.7165367603302</v>
      </c>
      <c r="D80">
        <v>1</v>
      </c>
      <c r="E80">
        <v>1</v>
      </c>
      <c r="F80">
        <v>1</v>
      </c>
      <c r="G80">
        <v>0</v>
      </c>
      <c r="H80">
        <v>1</v>
      </c>
      <c r="I80">
        <v>1</v>
      </c>
      <c r="J80">
        <v>1</v>
      </c>
      <c r="K80">
        <v>1</v>
      </c>
      <c r="L80">
        <v>1</v>
      </c>
      <c r="M80">
        <v>1</v>
      </c>
      <c r="N80">
        <v>1</v>
      </c>
      <c r="O80" t="s">
        <v>298</v>
      </c>
    </row>
    <row r="81" spans="1:15" x14ac:dyDescent="0.25">
      <c r="A81" t="s">
        <v>133</v>
      </c>
      <c r="B81">
        <v>0</v>
      </c>
      <c r="C81">
        <v>11.165644407272341</v>
      </c>
      <c r="D81">
        <v>1</v>
      </c>
      <c r="E81">
        <v>1</v>
      </c>
      <c r="F81">
        <v>0</v>
      </c>
      <c r="G81" t="s">
        <v>17</v>
      </c>
      <c r="H81">
        <v>1</v>
      </c>
      <c r="I81">
        <v>0</v>
      </c>
      <c r="J81">
        <v>1</v>
      </c>
      <c r="K81">
        <v>1</v>
      </c>
      <c r="L81">
        <v>1</v>
      </c>
      <c r="M81">
        <v>1</v>
      </c>
      <c r="N81">
        <v>1</v>
      </c>
      <c r="O81" t="s">
        <v>299</v>
      </c>
    </row>
    <row r="82" spans="1:15" x14ac:dyDescent="0.25">
      <c r="A82" t="s">
        <v>135</v>
      </c>
      <c r="B82">
        <v>0</v>
      </c>
      <c r="C82">
        <v>2.6242904663085942</v>
      </c>
      <c r="D82">
        <v>1</v>
      </c>
      <c r="E82">
        <v>1</v>
      </c>
      <c r="F82">
        <v>1</v>
      </c>
      <c r="G82">
        <v>1</v>
      </c>
      <c r="H82">
        <v>1</v>
      </c>
      <c r="I82">
        <v>1</v>
      </c>
      <c r="J82">
        <v>1</v>
      </c>
      <c r="K82">
        <v>1</v>
      </c>
      <c r="L82">
        <v>1</v>
      </c>
      <c r="M82">
        <v>1</v>
      </c>
      <c r="N82">
        <v>1</v>
      </c>
    </row>
    <row r="83" spans="1:15" x14ac:dyDescent="0.25">
      <c r="A83" t="s">
        <v>136</v>
      </c>
      <c r="B83">
        <v>0</v>
      </c>
      <c r="C83">
        <v>4.3802392482757568</v>
      </c>
      <c r="D83">
        <v>1</v>
      </c>
      <c r="E83">
        <v>1</v>
      </c>
      <c r="F83">
        <v>1</v>
      </c>
      <c r="G83">
        <v>1</v>
      </c>
      <c r="H83">
        <v>1</v>
      </c>
      <c r="I83">
        <v>1</v>
      </c>
      <c r="J83">
        <v>0</v>
      </c>
      <c r="K83">
        <v>1</v>
      </c>
      <c r="L83">
        <v>1</v>
      </c>
      <c r="M83">
        <v>1</v>
      </c>
      <c r="N83">
        <v>1</v>
      </c>
      <c r="O83" t="s">
        <v>300</v>
      </c>
    </row>
    <row r="84" spans="1:15" x14ac:dyDescent="0.25">
      <c r="A84" t="s">
        <v>138</v>
      </c>
      <c r="B84">
        <v>0</v>
      </c>
      <c r="C84">
        <v>4.8230388164520264</v>
      </c>
      <c r="D84">
        <v>1</v>
      </c>
      <c r="E84">
        <v>1</v>
      </c>
      <c r="F84">
        <v>1</v>
      </c>
      <c r="G84">
        <v>1</v>
      </c>
      <c r="H84">
        <v>1</v>
      </c>
      <c r="I84">
        <v>0</v>
      </c>
      <c r="J84">
        <v>1</v>
      </c>
      <c r="K84">
        <v>1</v>
      </c>
      <c r="L84">
        <v>1</v>
      </c>
      <c r="M84">
        <v>1</v>
      </c>
      <c r="N84">
        <v>1</v>
      </c>
      <c r="O84" t="s">
        <v>301</v>
      </c>
    </row>
    <row r="85" spans="1:15" x14ac:dyDescent="0.25">
      <c r="A85" t="s">
        <v>140</v>
      </c>
      <c r="B85">
        <v>0</v>
      </c>
      <c r="C85">
        <v>5.2946619987487793</v>
      </c>
      <c r="D85">
        <v>1</v>
      </c>
      <c r="E85">
        <v>1</v>
      </c>
      <c r="F85">
        <v>1</v>
      </c>
      <c r="G85">
        <v>1</v>
      </c>
      <c r="H85">
        <v>1</v>
      </c>
      <c r="I85">
        <v>0</v>
      </c>
      <c r="J85">
        <v>1</v>
      </c>
      <c r="K85">
        <v>1</v>
      </c>
      <c r="L85">
        <v>1</v>
      </c>
      <c r="M85">
        <v>1</v>
      </c>
      <c r="N85">
        <v>1</v>
      </c>
      <c r="O85" t="s">
        <v>302</v>
      </c>
    </row>
    <row r="86" spans="1:15" x14ac:dyDescent="0.25">
      <c r="A86" t="s">
        <v>142</v>
      </c>
      <c r="B86">
        <v>0</v>
      </c>
      <c r="C86">
        <v>5.1824479103088379</v>
      </c>
      <c r="D86">
        <v>1</v>
      </c>
      <c r="E86">
        <v>1</v>
      </c>
      <c r="F86">
        <v>1</v>
      </c>
      <c r="G86">
        <v>1</v>
      </c>
      <c r="H86">
        <v>1</v>
      </c>
      <c r="I86">
        <v>0</v>
      </c>
      <c r="J86">
        <v>1</v>
      </c>
      <c r="K86">
        <v>1</v>
      </c>
      <c r="L86">
        <v>1</v>
      </c>
      <c r="M86">
        <v>1</v>
      </c>
      <c r="N86">
        <v>1</v>
      </c>
      <c r="O86" t="s">
        <v>303</v>
      </c>
    </row>
    <row r="87" spans="1:15" x14ac:dyDescent="0.25">
      <c r="A87" t="s">
        <v>144</v>
      </c>
      <c r="B87">
        <v>0</v>
      </c>
      <c r="C87">
        <v>10.48130464553833</v>
      </c>
      <c r="D87">
        <v>1</v>
      </c>
      <c r="E87">
        <v>1</v>
      </c>
      <c r="F87">
        <v>1</v>
      </c>
      <c r="G87">
        <v>1</v>
      </c>
      <c r="H87">
        <v>1</v>
      </c>
      <c r="I87">
        <v>1</v>
      </c>
      <c r="J87">
        <v>1</v>
      </c>
      <c r="K87">
        <v>1</v>
      </c>
      <c r="L87">
        <v>1</v>
      </c>
      <c r="M87">
        <v>1</v>
      </c>
      <c r="N87">
        <v>1</v>
      </c>
    </row>
    <row r="88" spans="1:15" x14ac:dyDescent="0.25">
      <c r="A88" t="s">
        <v>145</v>
      </c>
      <c r="B88">
        <v>0</v>
      </c>
      <c r="C88">
        <v>2.7609653472900391</v>
      </c>
      <c r="D88">
        <v>1</v>
      </c>
      <c r="E88">
        <v>1</v>
      </c>
      <c r="F88">
        <v>1</v>
      </c>
      <c r="G88">
        <v>1</v>
      </c>
      <c r="H88">
        <v>1</v>
      </c>
      <c r="I88">
        <v>1</v>
      </c>
      <c r="J88">
        <v>1</v>
      </c>
      <c r="K88">
        <v>1</v>
      </c>
      <c r="L88">
        <v>1</v>
      </c>
      <c r="M88">
        <v>1</v>
      </c>
      <c r="N88">
        <v>1</v>
      </c>
    </row>
    <row r="89" spans="1:15" x14ac:dyDescent="0.25">
      <c r="A89" t="s">
        <v>146</v>
      </c>
      <c r="B89">
        <v>0</v>
      </c>
      <c r="C89">
        <v>2.6660780906677251</v>
      </c>
      <c r="D89">
        <v>1</v>
      </c>
      <c r="E89">
        <v>1</v>
      </c>
      <c r="F89">
        <v>1</v>
      </c>
      <c r="G89">
        <v>1</v>
      </c>
      <c r="H89">
        <v>1</v>
      </c>
      <c r="I89">
        <v>1</v>
      </c>
      <c r="J89">
        <v>1</v>
      </c>
      <c r="K89">
        <v>1</v>
      </c>
      <c r="L89">
        <v>1</v>
      </c>
      <c r="M89">
        <v>1</v>
      </c>
      <c r="N89">
        <v>1</v>
      </c>
    </row>
    <row r="90" spans="1:15" x14ac:dyDescent="0.25">
      <c r="A90" t="s">
        <v>147</v>
      </c>
      <c r="B90">
        <v>0</v>
      </c>
      <c r="C90">
        <v>10.018400907516479</v>
      </c>
      <c r="D90">
        <v>1</v>
      </c>
      <c r="E90">
        <v>1</v>
      </c>
      <c r="F90">
        <v>1</v>
      </c>
      <c r="G90">
        <v>1</v>
      </c>
      <c r="H90">
        <v>1</v>
      </c>
      <c r="I90">
        <v>1</v>
      </c>
      <c r="J90">
        <v>1</v>
      </c>
      <c r="K90">
        <v>1</v>
      </c>
      <c r="L90">
        <v>1</v>
      </c>
      <c r="M90">
        <v>1</v>
      </c>
      <c r="N90">
        <v>1</v>
      </c>
    </row>
    <row r="91" spans="1:15" x14ac:dyDescent="0.25">
      <c r="A91" t="s">
        <v>149</v>
      </c>
      <c r="B91">
        <v>0</v>
      </c>
      <c r="C91">
        <v>8.7837338447570801</v>
      </c>
      <c r="D91">
        <v>1</v>
      </c>
      <c r="E91">
        <v>1</v>
      </c>
      <c r="F91">
        <v>1</v>
      </c>
      <c r="G91">
        <v>1</v>
      </c>
      <c r="H91">
        <v>1</v>
      </c>
      <c r="I91">
        <v>1</v>
      </c>
      <c r="J91">
        <v>1</v>
      </c>
      <c r="K91">
        <v>1</v>
      </c>
      <c r="L91">
        <v>1</v>
      </c>
      <c r="M91">
        <v>1</v>
      </c>
      <c r="N91">
        <v>1</v>
      </c>
    </row>
    <row r="92" spans="1:15" x14ac:dyDescent="0.25">
      <c r="A92" t="s">
        <v>150</v>
      </c>
      <c r="B92">
        <v>0</v>
      </c>
      <c r="C92">
        <v>2.7275688648223881</v>
      </c>
      <c r="D92">
        <v>1</v>
      </c>
      <c r="E92">
        <v>1</v>
      </c>
      <c r="F92">
        <v>1</v>
      </c>
      <c r="G92">
        <v>1</v>
      </c>
      <c r="H92">
        <v>1</v>
      </c>
      <c r="I92">
        <v>1</v>
      </c>
      <c r="J92">
        <v>1</v>
      </c>
      <c r="K92">
        <v>1</v>
      </c>
      <c r="L92">
        <v>1</v>
      </c>
      <c r="M92">
        <v>1</v>
      </c>
      <c r="N92">
        <v>1</v>
      </c>
    </row>
    <row r="93" spans="1:15" x14ac:dyDescent="0.25">
      <c r="A93" t="s">
        <v>151</v>
      </c>
      <c r="B93">
        <v>0</v>
      </c>
      <c r="C93">
        <v>2.705108642578125</v>
      </c>
      <c r="D93">
        <v>1</v>
      </c>
      <c r="E93">
        <v>1</v>
      </c>
      <c r="F93">
        <v>1</v>
      </c>
      <c r="G93">
        <v>1</v>
      </c>
      <c r="H93">
        <v>1</v>
      </c>
      <c r="I93">
        <v>1</v>
      </c>
      <c r="J93">
        <v>1</v>
      </c>
      <c r="K93">
        <v>1</v>
      </c>
      <c r="L93">
        <v>1</v>
      </c>
      <c r="M93">
        <v>1</v>
      </c>
      <c r="N93">
        <v>1</v>
      </c>
    </row>
    <row r="94" spans="1:15" x14ac:dyDescent="0.25">
      <c r="A94" t="s">
        <v>152</v>
      </c>
      <c r="B94">
        <v>0</v>
      </c>
      <c r="C94">
        <v>11.29839825630188</v>
      </c>
      <c r="D94">
        <v>1</v>
      </c>
      <c r="E94">
        <v>1</v>
      </c>
      <c r="F94">
        <v>1</v>
      </c>
      <c r="G94">
        <v>0</v>
      </c>
      <c r="H94">
        <v>1</v>
      </c>
      <c r="I94">
        <v>1</v>
      </c>
      <c r="J94">
        <v>1</v>
      </c>
      <c r="K94">
        <v>1</v>
      </c>
      <c r="L94">
        <v>1</v>
      </c>
      <c r="M94">
        <v>1</v>
      </c>
      <c r="N94">
        <v>1</v>
      </c>
      <c r="O94" t="s">
        <v>304</v>
      </c>
    </row>
    <row r="95" spans="1:15" x14ac:dyDescent="0.25">
      <c r="A95" t="s">
        <v>153</v>
      </c>
      <c r="B95">
        <v>0</v>
      </c>
      <c r="C95">
        <v>8.9645481109619141</v>
      </c>
      <c r="D95">
        <v>1</v>
      </c>
      <c r="E95">
        <v>1</v>
      </c>
      <c r="F95">
        <v>1</v>
      </c>
      <c r="G95">
        <v>1</v>
      </c>
      <c r="H95">
        <v>1</v>
      </c>
      <c r="I95">
        <v>1</v>
      </c>
      <c r="J95">
        <v>1</v>
      </c>
      <c r="K95">
        <v>1</v>
      </c>
      <c r="L95">
        <v>1</v>
      </c>
      <c r="M95">
        <v>1</v>
      </c>
      <c r="N95">
        <v>1</v>
      </c>
    </row>
    <row r="96" spans="1:15" x14ac:dyDescent="0.25">
      <c r="A96" t="s">
        <v>155</v>
      </c>
      <c r="B96">
        <v>0</v>
      </c>
      <c r="C96">
        <v>5.8257734775543213</v>
      </c>
      <c r="D96">
        <v>0</v>
      </c>
      <c r="E96" t="s">
        <v>17</v>
      </c>
      <c r="F96" t="s">
        <v>17</v>
      </c>
      <c r="G96" t="s">
        <v>17</v>
      </c>
      <c r="H96" t="s">
        <v>17</v>
      </c>
      <c r="I96" t="s">
        <v>17</v>
      </c>
      <c r="J96" t="s">
        <v>17</v>
      </c>
      <c r="K96" t="s">
        <v>17</v>
      </c>
      <c r="L96" t="s">
        <v>17</v>
      </c>
      <c r="M96" t="s">
        <v>17</v>
      </c>
      <c r="N96" t="s">
        <v>17</v>
      </c>
      <c r="O96" t="s">
        <v>305</v>
      </c>
    </row>
    <row r="97" spans="1:15" x14ac:dyDescent="0.25">
      <c r="A97" t="s">
        <v>157</v>
      </c>
      <c r="B97">
        <v>0</v>
      </c>
      <c r="C97">
        <v>13.147808790206909</v>
      </c>
      <c r="D97">
        <v>1</v>
      </c>
      <c r="E97">
        <v>1</v>
      </c>
      <c r="F97">
        <v>1</v>
      </c>
      <c r="G97">
        <v>0</v>
      </c>
      <c r="H97">
        <v>1</v>
      </c>
      <c r="I97">
        <v>0</v>
      </c>
      <c r="J97">
        <v>1</v>
      </c>
      <c r="K97">
        <v>1</v>
      </c>
      <c r="L97">
        <v>1</v>
      </c>
      <c r="M97">
        <v>1</v>
      </c>
      <c r="N97">
        <v>1</v>
      </c>
      <c r="O97" t="s">
        <v>306</v>
      </c>
    </row>
    <row r="98" spans="1:15" x14ac:dyDescent="0.25">
      <c r="A98" t="s">
        <v>159</v>
      </c>
      <c r="B98">
        <v>0</v>
      </c>
      <c r="C98">
        <v>11.242072582244869</v>
      </c>
      <c r="D98">
        <v>1</v>
      </c>
      <c r="E98">
        <v>1</v>
      </c>
      <c r="F98">
        <v>1</v>
      </c>
      <c r="G98">
        <v>0</v>
      </c>
      <c r="H98">
        <v>1</v>
      </c>
      <c r="I98">
        <v>1</v>
      </c>
      <c r="J98">
        <v>1</v>
      </c>
      <c r="K98">
        <v>1</v>
      </c>
      <c r="L98">
        <v>1</v>
      </c>
      <c r="M98">
        <v>1</v>
      </c>
      <c r="N98">
        <v>1</v>
      </c>
      <c r="O98" t="s">
        <v>307</v>
      </c>
    </row>
    <row r="99" spans="1:15" x14ac:dyDescent="0.25">
      <c r="A99" t="s">
        <v>161</v>
      </c>
      <c r="B99">
        <v>0</v>
      </c>
      <c r="C99">
        <v>5.1957616806030273</v>
      </c>
      <c r="D99">
        <v>1</v>
      </c>
      <c r="E99">
        <v>1</v>
      </c>
      <c r="F99">
        <v>1</v>
      </c>
      <c r="G99">
        <v>1</v>
      </c>
      <c r="H99">
        <v>1</v>
      </c>
      <c r="I99">
        <v>0</v>
      </c>
      <c r="J99">
        <v>0</v>
      </c>
      <c r="K99">
        <v>1</v>
      </c>
      <c r="L99">
        <v>1</v>
      </c>
      <c r="M99">
        <v>1</v>
      </c>
      <c r="N99">
        <v>1</v>
      </c>
      <c r="O99" t="s">
        <v>308</v>
      </c>
    </row>
    <row r="100" spans="1:15" x14ac:dyDescent="0.25">
      <c r="A100" t="s">
        <v>163</v>
      </c>
      <c r="B100">
        <v>0</v>
      </c>
      <c r="C100">
        <v>4.921809196472168</v>
      </c>
      <c r="D100">
        <v>1</v>
      </c>
      <c r="E100">
        <v>1</v>
      </c>
      <c r="F100">
        <v>1</v>
      </c>
      <c r="G100">
        <v>0</v>
      </c>
      <c r="H100">
        <v>1</v>
      </c>
      <c r="I100">
        <v>1</v>
      </c>
      <c r="J100">
        <v>1</v>
      </c>
      <c r="K100">
        <v>1</v>
      </c>
      <c r="L100">
        <v>1</v>
      </c>
      <c r="M100">
        <v>1</v>
      </c>
      <c r="N100">
        <v>1</v>
      </c>
      <c r="O100" t="s">
        <v>309</v>
      </c>
    </row>
    <row r="101" spans="1:15" x14ac:dyDescent="0.25">
      <c r="A101" t="s">
        <v>165</v>
      </c>
      <c r="B101">
        <v>0</v>
      </c>
      <c r="C101">
        <v>10.893895626068121</v>
      </c>
      <c r="D101">
        <v>0</v>
      </c>
      <c r="E101" t="s">
        <v>17</v>
      </c>
      <c r="F101" t="s">
        <v>17</v>
      </c>
      <c r="G101" t="s">
        <v>17</v>
      </c>
      <c r="H101" t="s">
        <v>17</v>
      </c>
      <c r="I101" t="s">
        <v>17</v>
      </c>
      <c r="J101" t="s">
        <v>17</v>
      </c>
      <c r="K101" t="s">
        <v>17</v>
      </c>
      <c r="L101" t="s">
        <v>17</v>
      </c>
      <c r="M101" t="s">
        <v>17</v>
      </c>
      <c r="N101" t="s">
        <v>17</v>
      </c>
      <c r="O101" t="s">
        <v>310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1"/>
  <sheetViews>
    <sheetView workbookViewId="0">
      <selection activeCell="G12" sqref="G12"/>
    </sheetView>
  </sheetViews>
  <sheetFormatPr defaultRowHeight="13.8" x14ac:dyDescent="0.25"/>
  <cols>
    <col min="1" max="1" width="12.09765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v>0</v>
      </c>
      <c r="C2">
        <v>2.6639068126678471</v>
      </c>
      <c r="D2">
        <v>1</v>
      </c>
      <c r="E2">
        <v>1</v>
      </c>
      <c r="F2">
        <v>1</v>
      </c>
      <c r="G2">
        <v>1</v>
      </c>
      <c r="H2">
        <v>1</v>
      </c>
      <c r="I2">
        <v>1</v>
      </c>
      <c r="J2">
        <v>1</v>
      </c>
      <c r="K2">
        <v>1</v>
      </c>
      <c r="L2">
        <v>1</v>
      </c>
      <c r="M2">
        <v>1</v>
      </c>
      <c r="N2">
        <v>1</v>
      </c>
    </row>
    <row r="3" spans="1:15" x14ac:dyDescent="0.25">
      <c r="A3" t="s">
        <v>16</v>
      </c>
      <c r="B3">
        <v>0</v>
      </c>
      <c r="C3">
        <v>8.1386747360229492</v>
      </c>
      <c r="D3">
        <v>1</v>
      </c>
      <c r="E3">
        <v>1</v>
      </c>
      <c r="F3">
        <v>1</v>
      </c>
      <c r="G3">
        <v>0</v>
      </c>
      <c r="H3">
        <v>1</v>
      </c>
      <c r="I3">
        <v>1</v>
      </c>
      <c r="J3">
        <v>0</v>
      </c>
      <c r="K3">
        <v>0</v>
      </c>
      <c r="L3">
        <v>1</v>
      </c>
      <c r="M3">
        <v>1</v>
      </c>
      <c r="N3">
        <v>1</v>
      </c>
      <c r="O3" t="s">
        <v>311</v>
      </c>
    </row>
    <row r="4" spans="1:15" x14ac:dyDescent="0.25">
      <c r="A4" t="s">
        <v>19</v>
      </c>
      <c r="B4">
        <v>0</v>
      </c>
      <c r="C4">
        <v>9.8507728576660156</v>
      </c>
      <c r="D4">
        <v>1</v>
      </c>
      <c r="E4">
        <v>1</v>
      </c>
      <c r="F4">
        <v>1</v>
      </c>
      <c r="G4">
        <v>1</v>
      </c>
      <c r="H4">
        <v>1</v>
      </c>
      <c r="I4">
        <v>1</v>
      </c>
      <c r="J4">
        <v>1</v>
      </c>
      <c r="K4">
        <v>1</v>
      </c>
      <c r="L4">
        <v>1</v>
      </c>
      <c r="M4">
        <v>1</v>
      </c>
      <c r="N4">
        <v>1</v>
      </c>
    </row>
    <row r="5" spans="1:15" x14ac:dyDescent="0.25">
      <c r="A5" t="s">
        <v>20</v>
      </c>
      <c r="B5">
        <v>0</v>
      </c>
      <c r="C5">
        <v>9.2473416328430176</v>
      </c>
      <c r="D5">
        <v>1</v>
      </c>
      <c r="E5">
        <v>1</v>
      </c>
      <c r="F5">
        <v>1</v>
      </c>
      <c r="G5">
        <v>1</v>
      </c>
      <c r="H5">
        <v>1</v>
      </c>
      <c r="I5">
        <v>0</v>
      </c>
      <c r="J5">
        <v>1</v>
      </c>
      <c r="K5">
        <v>0</v>
      </c>
      <c r="L5">
        <v>1</v>
      </c>
      <c r="M5">
        <v>1</v>
      </c>
      <c r="N5">
        <v>1</v>
      </c>
      <c r="O5" t="s">
        <v>312</v>
      </c>
    </row>
    <row r="6" spans="1:15" x14ac:dyDescent="0.25">
      <c r="A6" t="s">
        <v>21</v>
      </c>
      <c r="B6">
        <v>0</v>
      </c>
      <c r="C6">
        <v>2.7540674209594731</v>
      </c>
      <c r="D6">
        <v>1</v>
      </c>
      <c r="E6">
        <v>1</v>
      </c>
      <c r="F6">
        <v>1</v>
      </c>
      <c r="G6">
        <v>1</v>
      </c>
      <c r="H6">
        <v>1</v>
      </c>
      <c r="I6">
        <v>1</v>
      </c>
      <c r="J6">
        <v>1</v>
      </c>
      <c r="K6">
        <v>1</v>
      </c>
      <c r="L6">
        <v>1</v>
      </c>
      <c r="M6">
        <v>1</v>
      </c>
      <c r="N6">
        <v>1</v>
      </c>
    </row>
    <row r="7" spans="1:15" x14ac:dyDescent="0.25">
      <c r="A7" t="s">
        <v>22</v>
      </c>
      <c r="B7">
        <v>0</v>
      </c>
      <c r="C7">
        <v>2.693496465682983</v>
      </c>
      <c r="D7">
        <v>1</v>
      </c>
      <c r="E7">
        <v>1</v>
      </c>
      <c r="F7">
        <v>1</v>
      </c>
      <c r="G7">
        <v>1</v>
      </c>
      <c r="H7">
        <v>1</v>
      </c>
      <c r="I7">
        <v>1</v>
      </c>
      <c r="J7">
        <v>1</v>
      </c>
      <c r="K7">
        <v>1</v>
      </c>
      <c r="L7">
        <v>1</v>
      </c>
      <c r="M7">
        <v>1</v>
      </c>
      <c r="N7">
        <v>1</v>
      </c>
    </row>
    <row r="8" spans="1:15" x14ac:dyDescent="0.25">
      <c r="A8" t="s">
        <v>23</v>
      </c>
      <c r="B8">
        <v>0</v>
      </c>
      <c r="C8">
        <v>2.6977531909942631</v>
      </c>
      <c r="D8">
        <v>1</v>
      </c>
      <c r="E8">
        <v>1</v>
      </c>
      <c r="F8">
        <v>1</v>
      </c>
      <c r="G8">
        <v>1</v>
      </c>
      <c r="H8">
        <v>1</v>
      </c>
      <c r="I8">
        <v>1</v>
      </c>
      <c r="J8">
        <v>1</v>
      </c>
      <c r="K8">
        <v>1</v>
      </c>
      <c r="L8">
        <v>1</v>
      </c>
      <c r="M8">
        <v>1</v>
      </c>
      <c r="N8">
        <v>1</v>
      </c>
    </row>
    <row r="9" spans="1:15" x14ac:dyDescent="0.25">
      <c r="A9" t="s">
        <v>24</v>
      </c>
      <c r="B9">
        <v>0</v>
      </c>
      <c r="C9">
        <v>9.9396858215332031</v>
      </c>
      <c r="D9">
        <v>1</v>
      </c>
      <c r="E9">
        <v>1</v>
      </c>
      <c r="F9">
        <v>1</v>
      </c>
      <c r="G9">
        <v>1</v>
      </c>
      <c r="H9">
        <v>1</v>
      </c>
      <c r="I9">
        <v>1</v>
      </c>
      <c r="J9">
        <v>1</v>
      </c>
      <c r="K9">
        <v>1</v>
      </c>
      <c r="L9">
        <v>1</v>
      </c>
      <c r="M9">
        <v>1</v>
      </c>
      <c r="N9">
        <v>1</v>
      </c>
    </row>
    <row r="10" spans="1:15" x14ac:dyDescent="0.25">
      <c r="A10" t="s">
        <v>25</v>
      </c>
      <c r="B10">
        <v>0</v>
      </c>
      <c r="C10">
        <v>5.6511764526367188</v>
      </c>
      <c r="D10">
        <v>1</v>
      </c>
      <c r="E10">
        <v>1</v>
      </c>
      <c r="F10">
        <v>1</v>
      </c>
      <c r="G10">
        <v>0</v>
      </c>
      <c r="H10">
        <v>1</v>
      </c>
      <c r="I10">
        <v>0</v>
      </c>
      <c r="J10">
        <v>1</v>
      </c>
      <c r="K10">
        <v>1</v>
      </c>
      <c r="L10">
        <v>1</v>
      </c>
      <c r="M10">
        <v>1</v>
      </c>
      <c r="N10">
        <v>1</v>
      </c>
      <c r="O10" t="s">
        <v>313</v>
      </c>
    </row>
    <row r="11" spans="1:15" x14ac:dyDescent="0.25">
      <c r="A11" t="s">
        <v>27</v>
      </c>
      <c r="B11">
        <v>0</v>
      </c>
      <c r="C11">
        <v>2.787375926971436</v>
      </c>
      <c r="D11">
        <v>1</v>
      </c>
      <c r="E11">
        <v>1</v>
      </c>
      <c r="F11">
        <v>1</v>
      </c>
      <c r="G11">
        <v>1</v>
      </c>
      <c r="H11">
        <v>1</v>
      </c>
      <c r="I11">
        <v>1</v>
      </c>
      <c r="J11">
        <v>1</v>
      </c>
      <c r="K11">
        <v>1</v>
      </c>
      <c r="L11">
        <v>1</v>
      </c>
      <c r="M11">
        <v>1</v>
      </c>
      <c r="N11">
        <v>1</v>
      </c>
    </row>
    <row r="12" spans="1:15" x14ac:dyDescent="0.25">
      <c r="A12" t="s">
        <v>28</v>
      </c>
      <c r="B12">
        <v>0</v>
      </c>
      <c r="C12">
        <v>6.3578438758850098</v>
      </c>
      <c r="D12">
        <v>1</v>
      </c>
      <c r="E12">
        <v>0</v>
      </c>
      <c r="F12">
        <v>1</v>
      </c>
      <c r="G12" t="s">
        <v>17</v>
      </c>
      <c r="H12">
        <v>1</v>
      </c>
      <c r="I12" t="s">
        <v>17</v>
      </c>
      <c r="J12">
        <v>1</v>
      </c>
      <c r="K12">
        <v>1</v>
      </c>
      <c r="L12">
        <v>1</v>
      </c>
      <c r="M12">
        <v>1</v>
      </c>
      <c r="N12">
        <v>1</v>
      </c>
      <c r="O12" t="s">
        <v>314</v>
      </c>
    </row>
    <row r="13" spans="1:15" x14ac:dyDescent="0.25">
      <c r="A13" t="s">
        <v>30</v>
      </c>
      <c r="B13">
        <v>0</v>
      </c>
      <c r="C13">
        <v>4.008549690246582</v>
      </c>
      <c r="D13">
        <v>1</v>
      </c>
      <c r="E13">
        <v>1</v>
      </c>
      <c r="F13">
        <v>1</v>
      </c>
      <c r="G13">
        <v>1</v>
      </c>
      <c r="H13">
        <v>1</v>
      </c>
      <c r="I13">
        <v>0</v>
      </c>
      <c r="J13">
        <v>1</v>
      </c>
      <c r="K13">
        <v>1</v>
      </c>
      <c r="L13">
        <v>1</v>
      </c>
      <c r="M13">
        <v>1</v>
      </c>
      <c r="N13">
        <v>1</v>
      </c>
      <c r="O13" t="s">
        <v>315</v>
      </c>
    </row>
    <row r="14" spans="1:15" x14ac:dyDescent="0.25">
      <c r="A14" t="s">
        <v>32</v>
      </c>
      <c r="B14">
        <v>0</v>
      </c>
      <c r="C14">
        <v>2.7205207347869869</v>
      </c>
      <c r="D14">
        <v>1</v>
      </c>
      <c r="E14">
        <v>1</v>
      </c>
      <c r="F14">
        <v>1</v>
      </c>
      <c r="G14">
        <v>1</v>
      </c>
      <c r="H14">
        <v>1</v>
      </c>
      <c r="I14">
        <v>1</v>
      </c>
      <c r="J14">
        <v>1</v>
      </c>
      <c r="K14">
        <v>1</v>
      </c>
      <c r="L14">
        <v>1</v>
      </c>
      <c r="M14">
        <v>1</v>
      </c>
      <c r="N14">
        <v>1</v>
      </c>
    </row>
    <row r="15" spans="1:15" x14ac:dyDescent="0.25">
      <c r="A15" t="s">
        <v>33</v>
      </c>
      <c r="B15">
        <v>0</v>
      </c>
      <c r="C15">
        <v>4.8801670074462891</v>
      </c>
      <c r="D15">
        <v>1</v>
      </c>
      <c r="E15">
        <v>1</v>
      </c>
      <c r="F15">
        <v>0</v>
      </c>
      <c r="G15" t="s">
        <v>17</v>
      </c>
      <c r="H15">
        <v>1</v>
      </c>
      <c r="I15">
        <v>1</v>
      </c>
      <c r="J15">
        <v>1</v>
      </c>
      <c r="K15">
        <v>1</v>
      </c>
      <c r="L15">
        <v>1</v>
      </c>
      <c r="M15">
        <v>1</v>
      </c>
      <c r="N15">
        <v>1</v>
      </c>
      <c r="O15" t="s">
        <v>316</v>
      </c>
    </row>
    <row r="16" spans="1:15" x14ac:dyDescent="0.25">
      <c r="A16" t="s">
        <v>34</v>
      </c>
      <c r="B16">
        <v>0</v>
      </c>
      <c r="C16">
        <v>10.009610414505</v>
      </c>
      <c r="D16">
        <v>1</v>
      </c>
      <c r="E16">
        <v>0</v>
      </c>
      <c r="F16">
        <v>1</v>
      </c>
      <c r="G16" t="s">
        <v>17</v>
      </c>
      <c r="H16">
        <v>1</v>
      </c>
      <c r="I16" t="s">
        <v>17</v>
      </c>
      <c r="J16">
        <v>1</v>
      </c>
      <c r="K16">
        <v>1</v>
      </c>
      <c r="L16">
        <v>1</v>
      </c>
      <c r="M16">
        <v>1</v>
      </c>
      <c r="N16">
        <v>1</v>
      </c>
      <c r="O16" t="s">
        <v>317</v>
      </c>
    </row>
    <row r="17" spans="1:15" x14ac:dyDescent="0.25">
      <c r="A17" t="s">
        <v>36</v>
      </c>
      <c r="B17">
        <v>0</v>
      </c>
      <c r="C17">
        <v>10.478716135025021</v>
      </c>
      <c r="D17">
        <v>1</v>
      </c>
      <c r="E17">
        <v>1</v>
      </c>
      <c r="F17">
        <v>1</v>
      </c>
      <c r="G17">
        <v>1</v>
      </c>
      <c r="H17">
        <v>1</v>
      </c>
      <c r="I17">
        <v>1</v>
      </c>
      <c r="J17">
        <v>1</v>
      </c>
      <c r="K17">
        <v>1</v>
      </c>
      <c r="L17">
        <v>1</v>
      </c>
      <c r="M17">
        <v>0</v>
      </c>
      <c r="N17">
        <v>1</v>
      </c>
      <c r="O17" t="s">
        <v>318</v>
      </c>
    </row>
    <row r="18" spans="1:15" x14ac:dyDescent="0.25">
      <c r="A18" t="s">
        <v>37</v>
      </c>
      <c r="B18">
        <v>0</v>
      </c>
      <c r="C18">
        <v>10.348738193511959</v>
      </c>
      <c r="D18">
        <v>1</v>
      </c>
      <c r="E18">
        <v>1</v>
      </c>
      <c r="F18">
        <v>1</v>
      </c>
      <c r="G18">
        <v>1</v>
      </c>
      <c r="H18">
        <v>1</v>
      </c>
      <c r="I18">
        <v>1</v>
      </c>
      <c r="J18">
        <v>1</v>
      </c>
      <c r="K18">
        <v>1</v>
      </c>
      <c r="L18">
        <v>1</v>
      </c>
      <c r="M18">
        <v>1</v>
      </c>
      <c r="N18">
        <v>1</v>
      </c>
    </row>
    <row r="19" spans="1:15" x14ac:dyDescent="0.25">
      <c r="A19" t="s">
        <v>38</v>
      </c>
      <c r="B19">
        <v>0</v>
      </c>
      <c r="C19">
        <v>8.1482393741607666</v>
      </c>
      <c r="D19">
        <v>1</v>
      </c>
      <c r="E19">
        <v>1</v>
      </c>
      <c r="F19">
        <v>0</v>
      </c>
      <c r="G19" t="s">
        <v>17</v>
      </c>
      <c r="H19">
        <v>0</v>
      </c>
      <c r="I19">
        <v>1</v>
      </c>
      <c r="J19">
        <v>0</v>
      </c>
      <c r="K19">
        <v>1</v>
      </c>
      <c r="L19">
        <v>1</v>
      </c>
      <c r="M19">
        <v>1</v>
      </c>
      <c r="N19">
        <v>1</v>
      </c>
      <c r="O19" t="s">
        <v>319</v>
      </c>
    </row>
    <row r="20" spans="1:15" x14ac:dyDescent="0.25">
      <c r="A20" t="s">
        <v>40</v>
      </c>
      <c r="B20">
        <v>0</v>
      </c>
      <c r="C20">
        <v>4.7998931407928467</v>
      </c>
      <c r="D20">
        <v>1</v>
      </c>
      <c r="E20">
        <v>1</v>
      </c>
      <c r="F20">
        <v>0</v>
      </c>
      <c r="G20" t="s">
        <v>17</v>
      </c>
      <c r="H20">
        <v>1</v>
      </c>
      <c r="I20">
        <v>1</v>
      </c>
      <c r="J20">
        <v>1</v>
      </c>
      <c r="K20">
        <v>1</v>
      </c>
      <c r="L20">
        <v>1</v>
      </c>
      <c r="M20">
        <v>1</v>
      </c>
      <c r="N20">
        <v>1</v>
      </c>
      <c r="O20" t="s">
        <v>320</v>
      </c>
    </row>
    <row r="21" spans="1:15" x14ac:dyDescent="0.25">
      <c r="A21" t="s">
        <v>41</v>
      </c>
      <c r="B21">
        <v>0</v>
      </c>
      <c r="C21">
        <v>9.1245887279510498</v>
      </c>
      <c r="D21">
        <v>1</v>
      </c>
      <c r="E21">
        <v>1</v>
      </c>
      <c r="F21">
        <v>1</v>
      </c>
      <c r="G21">
        <v>1</v>
      </c>
      <c r="H21">
        <v>1</v>
      </c>
      <c r="I21">
        <v>1</v>
      </c>
      <c r="J21">
        <v>1</v>
      </c>
      <c r="K21">
        <v>1</v>
      </c>
      <c r="L21">
        <v>1</v>
      </c>
      <c r="M21">
        <v>1</v>
      </c>
      <c r="N21">
        <v>1</v>
      </c>
    </row>
    <row r="22" spans="1:15" x14ac:dyDescent="0.25">
      <c r="A22" t="s">
        <v>42</v>
      </c>
      <c r="B22">
        <v>0</v>
      </c>
      <c r="C22">
        <v>2.6991064548492432</v>
      </c>
      <c r="D22">
        <v>1</v>
      </c>
      <c r="E22">
        <v>1</v>
      </c>
      <c r="F22">
        <v>1</v>
      </c>
      <c r="G22">
        <v>1</v>
      </c>
      <c r="H22">
        <v>1</v>
      </c>
      <c r="I22">
        <v>1</v>
      </c>
      <c r="J22">
        <v>1</v>
      </c>
      <c r="K22">
        <v>1</v>
      </c>
      <c r="L22">
        <v>1</v>
      </c>
      <c r="M22">
        <v>1</v>
      </c>
      <c r="N22">
        <v>1</v>
      </c>
    </row>
    <row r="23" spans="1:15" x14ac:dyDescent="0.25">
      <c r="A23" t="s">
        <v>43</v>
      </c>
      <c r="B23">
        <v>0</v>
      </c>
      <c r="C23">
        <v>4.9887731075286874</v>
      </c>
      <c r="D23">
        <v>1</v>
      </c>
      <c r="E23">
        <v>1</v>
      </c>
      <c r="F23">
        <v>1</v>
      </c>
      <c r="G23">
        <v>1</v>
      </c>
      <c r="H23">
        <v>1</v>
      </c>
      <c r="I23">
        <v>0</v>
      </c>
      <c r="J23">
        <v>1</v>
      </c>
      <c r="K23">
        <v>1</v>
      </c>
      <c r="L23">
        <v>1</v>
      </c>
      <c r="M23">
        <v>1</v>
      </c>
      <c r="N23">
        <v>1</v>
      </c>
      <c r="O23" t="s">
        <v>321</v>
      </c>
    </row>
    <row r="24" spans="1:15" x14ac:dyDescent="0.25">
      <c r="A24" t="s">
        <v>45</v>
      </c>
      <c r="B24">
        <v>0</v>
      </c>
      <c r="C24">
        <v>4.7690439224243164</v>
      </c>
      <c r="D24">
        <v>1</v>
      </c>
      <c r="E24">
        <v>1</v>
      </c>
      <c r="F24">
        <v>1</v>
      </c>
      <c r="G24">
        <v>0</v>
      </c>
      <c r="H24">
        <v>1</v>
      </c>
      <c r="I24">
        <v>1</v>
      </c>
      <c r="J24">
        <v>1</v>
      </c>
      <c r="K24">
        <v>1</v>
      </c>
      <c r="L24">
        <v>1</v>
      </c>
      <c r="M24">
        <v>1</v>
      </c>
      <c r="N24">
        <v>1</v>
      </c>
      <c r="O24" t="s">
        <v>322</v>
      </c>
    </row>
    <row r="25" spans="1:15" x14ac:dyDescent="0.25">
      <c r="A25" t="s">
        <v>47</v>
      </c>
      <c r="B25">
        <v>0</v>
      </c>
      <c r="C25">
        <v>12.949322938919069</v>
      </c>
      <c r="D25">
        <v>1</v>
      </c>
      <c r="E25">
        <v>1</v>
      </c>
      <c r="F25">
        <v>1</v>
      </c>
      <c r="G25">
        <v>1</v>
      </c>
      <c r="H25">
        <v>1</v>
      </c>
      <c r="I25">
        <v>0</v>
      </c>
      <c r="J25">
        <v>1</v>
      </c>
      <c r="K25">
        <v>1</v>
      </c>
      <c r="L25">
        <v>1</v>
      </c>
      <c r="M25">
        <v>1</v>
      </c>
      <c r="N25">
        <v>1</v>
      </c>
      <c r="O25" t="s">
        <v>323</v>
      </c>
    </row>
    <row r="26" spans="1:15" x14ac:dyDescent="0.25">
      <c r="A26" t="s">
        <v>48</v>
      </c>
      <c r="B26">
        <v>0</v>
      </c>
      <c r="C26">
        <v>10.89089465141296</v>
      </c>
      <c r="D26">
        <v>1</v>
      </c>
      <c r="E26">
        <v>1</v>
      </c>
      <c r="F26">
        <v>1</v>
      </c>
      <c r="G26">
        <v>1</v>
      </c>
      <c r="H26">
        <v>1</v>
      </c>
      <c r="I26">
        <v>1</v>
      </c>
      <c r="J26">
        <v>1</v>
      </c>
      <c r="K26">
        <v>1</v>
      </c>
      <c r="L26">
        <v>1</v>
      </c>
      <c r="M26">
        <v>1</v>
      </c>
      <c r="N26">
        <v>1</v>
      </c>
    </row>
    <row r="27" spans="1:15" x14ac:dyDescent="0.25">
      <c r="A27" t="s">
        <v>50</v>
      </c>
      <c r="B27">
        <v>0</v>
      </c>
      <c r="C27">
        <v>2.70160984992981</v>
      </c>
      <c r="D27">
        <v>1</v>
      </c>
      <c r="E27">
        <v>1</v>
      </c>
      <c r="F27">
        <v>1</v>
      </c>
      <c r="G27">
        <v>1</v>
      </c>
      <c r="H27">
        <v>1</v>
      </c>
      <c r="I27">
        <v>1</v>
      </c>
      <c r="J27">
        <v>1</v>
      </c>
      <c r="K27">
        <v>1</v>
      </c>
      <c r="L27">
        <v>1</v>
      </c>
      <c r="M27">
        <v>1</v>
      </c>
      <c r="N27">
        <v>1</v>
      </c>
    </row>
    <row r="28" spans="1:15" x14ac:dyDescent="0.25">
      <c r="A28" t="s">
        <v>51</v>
      </c>
      <c r="B28">
        <v>0</v>
      </c>
      <c r="C28">
        <v>9.8340315818786621</v>
      </c>
      <c r="D28">
        <v>1</v>
      </c>
      <c r="E28">
        <v>1</v>
      </c>
      <c r="F28">
        <v>1</v>
      </c>
      <c r="G28">
        <v>1</v>
      </c>
      <c r="H28">
        <v>1</v>
      </c>
      <c r="I28">
        <v>1</v>
      </c>
      <c r="J28">
        <v>1</v>
      </c>
      <c r="K28">
        <v>1</v>
      </c>
      <c r="L28">
        <v>1</v>
      </c>
      <c r="M28">
        <v>1</v>
      </c>
      <c r="N28">
        <v>1</v>
      </c>
    </row>
    <row r="29" spans="1:15" x14ac:dyDescent="0.25">
      <c r="A29" t="s">
        <v>53</v>
      </c>
      <c r="B29">
        <v>0</v>
      </c>
      <c r="C29">
        <v>4.3127591609954834</v>
      </c>
      <c r="D29">
        <v>1</v>
      </c>
      <c r="E29">
        <v>1</v>
      </c>
      <c r="F29">
        <v>1</v>
      </c>
      <c r="G29">
        <v>1</v>
      </c>
      <c r="H29">
        <v>1</v>
      </c>
      <c r="I29">
        <v>0</v>
      </c>
      <c r="J29">
        <v>1</v>
      </c>
      <c r="K29">
        <v>1</v>
      </c>
      <c r="L29">
        <v>1</v>
      </c>
      <c r="M29">
        <v>1</v>
      </c>
      <c r="N29">
        <v>1</v>
      </c>
      <c r="O29" t="s">
        <v>324</v>
      </c>
    </row>
    <row r="30" spans="1:15" x14ac:dyDescent="0.25">
      <c r="A30" t="s">
        <v>55</v>
      </c>
      <c r="B30">
        <v>0</v>
      </c>
      <c r="C30">
        <v>10.598395824432369</v>
      </c>
      <c r="D30">
        <v>0</v>
      </c>
      <c r="E30" t="s">
        <v>17</v>
      </c>
      <c r="F30" t="s">
        <v>17</v>
      </c>
      <c r="G30" t="s">
        <v>17</v>
      </c>
      <c r="H30" t="s">
        <v>17</v>
      </c>
      <c r="I30" t="s">
        <v>17</v>
      </c>
      <c r="J30" t="s">
        <v>17</v>
      </c>
      <c r="K30" t="s">
        <v>17</v>
      </c>
      <c r="L30" t="s">
        <v>17</v>
      </c>
      <c r="M30" t="s">
        <v>17</v>
      </c>
      <c r="N30" t="s">
        <v>17</v>
      </c>
      <c r="O30" t="s">
        <v>325</v>
      </c>
    </row>
    <row r="31" spans="1:15" x14ac:dyDescent="0.25">
      <c r="A31" t="s">
        <v>57</v>
      </c>
      <c r="B31">
        <v>0</v>
      </c>
      <c r="C31">
        <v>6.3875834941864014</v>
      </c>
      <c r="D31">
        <v>1</v>
      </c>
      <c r="E31">
        <v>1</v>
      </c>
      <c r="F31">
        <v>1</v>
      </c>
      <c r="G31">
        <v>0</v>
      </c>
      <c r="H31">
        <v>1</v>
      </c>
      <c r="I31">
        <v>1</v>
      </c>
      <c r="J31">
        <v>1</v>
      </c>
      <c r="K31">
        <v>1</v>
      </c>
      <c r="L31">
        <v>1</v>
      </c>
      <c r="M31">
        <v>1</v>
      </c>
      <c r="N31">
        <v>1</v>
      </c>
      <c r="O31" t="s">
        <v>326</v>
      </c>
    </row>
    <row r="32" spans="1:15" x14ac:dyDescent="0.25">
      <c r="A32" t="s">
        <v>59</v>
      </c>
      <c r="B32">
        <v>0</v>
      </c>
      <c r="C32">
        <v>8.9352085590362549</v>
      </c>
      <c r="D32">
        <v>1</v>
      </c>
      <c r="E32">
        <v>1</v>
      </c>
      <c r="F32">
        <v>1</v>
      </c>
      <c r="G32">
        <v>1</v>
      </c>
      <c r="H32">
        <v>1</v>
      </c>
      <c r="I32">
        <v>1</v>
      </c>
      <c r="J32">
        <v>1</v>
      </c>
      <c r="K32">
        <v>1</v>
      </c>
      <c r="L32">
        <v>1</v>
      </c>
      <c r="M32">
        <v>1</v>
      </c>
      <c r="N32">
        <v>1</v>
      </c>
    </row>
    <row r="33" spans="1:15" x14ac:dyDescent="0.25">
      <c r="A33" t="s">
        <v>60</v>
      </c>
      <c r="B33">
        <v>0</v>
      </c>
      <c r="C33">
        <v>10.669795751571661</v>
      </c>
      <c r="D33">
        <v>1</v>
      </c>
      <c r="E33">
        <v>1</v>
      </c>
      <c r="F33">
        <v>1</v>
      </c>
      <c r="G33">
        <v>1</v>
      </c>
      <c r="H33">
        <v>1</v>
      </c>
      <c r="I33">
        <v>0</v>
      </c>
      <c r="J33">
        <v>1</v>
      </c>
      <c r="K33">
        <v>1</v>
      </c>
      <c r="L33">
        <v>1</v>
      </c>
      <c r="M33">
        <v>1</v>
      </c>
      <c r="N33">
        <v>1</v>
      </c>
      <c r="O33" t="s">
        <v>327</v>
      </c>
    </row>
    <row r="34" spans="1:15" x14ac:dyDescent="0.25">
      <c r="A34" t="s">
        <v>62</v>
      </c>
      <c r="B34">
        <v>0</v>
      </c>
      <c r="C34">
        <v>10.062241315841669</v>
      </c>
      <c r="D34">
        <v>1</v>
      </c>
      <c r="E34">
        <v>1</v>
      </c>
      <c r="F34">
        <v>1</v>
      </c>
      <c r="G34">
        <v>1</v>
      </c>
      <c r="H34">
        <v>1</v>
      </c>
      <c r="I34">
        <v>1</v>
      </c>
      <c r="J34">
        <v>1</v>
      </c>
      <c r="K34">
        <v>1</v>
      </c>
      <c r="L34">
        <v>1</v>
      </c>
      <c r="M34">
        <v>1</v>
      </c>
      <c r="N34">
        <v>1</v>
      </c>
    </row>
    <row r="35" spans="1:15" x14ac:dyDescent="0.25">
      <c r="A35" t="s">
        <v>63</v>
      </c>
      <c r="B35">
        <v>0</v>
      </c>
      <c r="C35">
        <v>9.6615841388702393</v>
      </c>
      <c r="D35">
        <v>1</v>
      </c>
      <c r="E35">
        <v>1</v>
      </c>
      <c r="F35">
        <v>1</v>
      </c>
      <c r="G35">
        <v>1</v>
      </c>
      <c r="H35">
        <v>1</v>
      </c>
      <c r="I35">
        <v>1</v>
      </c>
      <c r="J35">
        <v>1</v>
      </c>
      <c r="K35">
        <v>1</v>
      </c>
      <c r="L35">
        <v>1</v>
      </c>
      <c r="M35">
        <v>1</v>
      </c>
      <c r="N35">
        <v>1</v>
      </c>
    </row>
    <row r="36" spans="1:15" x14ac:dyDescent="0.25">
      <c r="A36" t="s">
        <v>64</v>
      </c>
      <c r="B36">
        <v>0</v>
      </c>
      <c r="C36">
        <v>10.33188271522522</v>
      </c>
      <c r="D36">
        <v>1</v>
      </c>
      <c r="E36">
        <v>1</v>
      </c>
      <c r="F36">
        <v>1</v>
      </c>
      <c r="G36">
        <v>1</v>
      </c>
      <c r="H36">
        <v>1</v>
      </c>
      <c r="I36">
        <v>1</v>
      </c>
      <c r="J36">
        <v>1</v>
      </c>
      <c r="K36">
        <v>1</v>
      </c>
      <c r="L36">
        <v>1</v>
      </c>
      <c r="M36">
        <v>1</v>
      </c>
      <c r="N36">
        <v>1</v>
      </c>
    </row>
    <row r="37" spans="1:15" x14ac:dyDescent="0.25">
      <c r="A37" t="s">
        <v>66</v>
      </c>
      <c r="B37">
        <v>0</v>
      </c>
      <c r="C37">
        <v>9.7436330318450928</v>
      </c>
      <c r="D37">
        <v>1</v>
      </c>
      <c r="E37">
        <v>1</v>
      </c>
      <c r="F37">
        <v>1</v>
      </c>
      <c r="G37">
        <v>1</v>
      </c>
      <c r="H37">
        <v>1</v>
      </c>
      <c r="I37">
        <v>1</v>
      </c>
      <c r="J37">
        <v>1</v>
      </c>
      <c r="K37">
        <v>1</v>
      </c>
      <c r="L37">
        <v>1</v>
      </c>
      <c r="M37">
        <v>1</v>
      </c>
      <c r="N37">
        <v>1</v>
      </c>
    </row>
    <row r="38" spans="1:15" x14ac:dyDescent="0.25">
      <c r="A38" t="s">
        <v>67</v>
      </c>
      <c r="B38">
        <v>0</v>
      </c>
      <c r="C38">
        <v>6.6637871265411377</v>
      </c>
      <c r="D38">
        <v>0</v>
      </c>
      <c r="E38" t="s">
        <v>17</v>
      </c>
      <c r="F38" t="s">
        <v>17</v>
      </c>
      <c r="G38" t="s">
        <v>17</v>
      </c>
      <c r="H38" t="s">
        <v>17</v>
      </c>
      <c r="I38" t="s">
        <v>17</v>
      </c>
      <c r="J38" t="s">
        <v>17</v>
      </c>
      <c r="K38" t="s">
        <v>17</v>
      </c>
      <c r="L38" t="s">
        <v>17</v>
      </c>
      <c r="M38" t="s">
        <v>17</v>
      </c>
      <c r="N38" t="s">
        <v>17</v>
      </c>
      <c r="O38" t="s">
        <v>328</v>
      </c>
    </row>
    <row r="39" spans="1:15" x14ac:dyDescent="0.25">
      <c r="A39" t="s">
        <v>69</v>
      </c>
      <c r="B39">
        <v>0</v>
      </c>
      <c r="C39">
        <v>10.664767742156981</v>
      </c>
      <c r="D39">
        <v>1</v>
      </c>
      <c r="E39">
        <v>1</v>
      </c>
      <c r="F39">
        <v>1</v>
      </c>
      <c r="G39">
        <v>0</v>
      </c>
      <c r="H39">
        <v>1</v>
      </c>
      <c r="I39">
        <v>1</v>
      </c>
      <c r="J39">
        <v>1</v>
      </c>
      <c r="K39">
        <v>1</v>
      </c>
      <c r="L39">
        <v>1</v>
      </c>
      <c r="M39">
        <v>1</v>
      </c>
      <c r="N39">
        <v>1</v>
      </c>
      <c r="O39" t="s">
        <v>329</v>
      </c>
    </row>
    <row r="40" spans="1:15" x14ac:dyDescent="0.25">
      <c r="A40" t="s">
        <v>71</v>
      </c>
      <c r="B40">
        <v>0</v>
      </c>
      <c r="C40">
        <v>4.2247078418731689</v>
      </c>
      <c r="D40">
        <v>1</v>
      </c>
      <c r="E40">
        <v>1</v>
      </c>
      <c r="F40">
        <v>1</v>
      </c>
      <c r="G40">
        <v>1</v>
      </c>
      <c r="H40">
        <v>1</v>
      </c>
      <c r="I40">
        <v>0</v>
      </c>
      <c r="J40">
        <v>1</v>
      </c>
      <c r="K40">
        <v>1</v>
      </c>
      <c r="L40">
        <v>1</v>
      </c>
      <c r="M40">
        <v>1</v>
      </c>
      <c r="N40">
        <v>1</v>
      </c>
      <c r="O40" t="s">
        <v>330</v>
      </c>
    </row>
    <row r="41" spans="1:15" x14ac:dyDescent="0.25">
      <c r="A41" t="s">
        <v>73</v>
      </c>
      <c r="B41">
        <v>0</v>
      </c>
      <c r="C41">
        <v>11.301871776580811</v>
      </c>
      <c r="D41">
        <v>1</v>
      </c>
      <c r="E41">
        <v>1</v>
      </c>
      <c r="F41">
        <v>1</v>
      </c>
      <c r="G41">
        <v>1</v>
      </c>
      <c r="H41">
        <v>1</v>
      </c>
      <c r="I41">
        <v>1</v>
      </c>
      <c r="J41">
        <v>0</v>
      </c>
      <c r="K41">
        <v>1</v>
      </c>
      <c r="L41">
        <v>1</v>
      </c>
      <c r="M41">
        <v>1</v>
      </c>
      <c r="N41">
        <v>1</v>
      </c>
      <c r="O41" t="s">
        <v>331</v>
      </c>
    </row>
    <row r="42" spans="1:15" x14ac:dyDescent="0.25">
      <c r="A42" t="s">
        <v>75</v>
      </c>
      <c r="B42">
        <v>0</v>
      </c>
      <c r="C42">
        <v>2.6872258186340332</v>
      </c>
      <c r="D42">
        <v>1</v>
      </c>
      <c r="E42">
        <v>1</v>
      </c>
      <c r="F42">
        <v>1</v>
      </c>
      <c r="G42">
        <v>1</v>
      </c>
      <c r="H42">
        <v>1</v>
      </c>
      <c r="I42">
        <v>1</v>
      </c>
      <c r="J42">
        <v>1</v>
      </c>
      <c r="K42">
        <v>1</v>
      </c>
      <c r="L42">
        <v>1</v>
      </c>
      <c r="M42">
        <v>1</v>
      </c>
      <c r="N42">
        <v>1</v>
      </c>
    </row>
    <row r="43" spans="1:15" x14ac:dyDescent="0.25">
      <c r="A43" t="s">
        <v>76</v>
      </c>
      <c r="B43">
        <v>0</v>
      </c>
      <c r="C43">
        <v>2.6710705757141109</v>
      </c>
      <c r="D43">
        <v>1</v>
      </c>
      <c r="E43">
        <v>1</v>
      </c>
      <c r="F43">
        <v>1</v>
      </c>
      <c r="G43">
        <v>1</v>
      </c>
      <c r="H43">
        <v>1</v>
      </c>
      <c r="I43">
        <v>1</v>
      </c>
      <c r="J43">
        <v>1</v>
      </c>
      <c r="K43">
        <v>1</v>
      </c>
      <c r="L43">
        <v>1</v>
      </c>
      <c r="M43">
        <v>1</v>
      </c>
      <c r="N43">
        <v>1</v>
      </c>
    </row>
    <row r="44" spans="1:15" x14ac:dyDescent="0.25">
      <c r="A44" t="s">
        <v>77</v>
      </c>
      <c r="B44">
        <v>0</v>
      </c>
      <c r="C44">
        <v>2.533406257629395</v>
      </c>
      <c r="D44">
        <v>1</v>
      </c>
      <c r="E44">
        <v>1</v>
      </c>
      <c r="F44">
        <v>1</v>
      </c>
      <c r="G44">
        <v>1</v>
      </c>
      <c r="H44">
        <v>1</v>
      </c>
      <c r="I44">
        <v>1</v>
      </c>
      <c r="J44">
        <v>1</v>
      </c>
      <c r="K44">
        <v>1</v>
      </c>
      <c r="L44">
        <v>1</v>
      </c>
      <c r="M44">
        <v>1</v>
      </c>
      <c r="N44">
        <v>1</v>
      </c>
    </row>
    <row r="45" spans="1:15" x14ac:dyDescent="0.25">
      <c r="A45" t="s">
        <v>78</v>
      </c>
      <c r="B45">
        <v>0</v>
      </c>
      <c r="C45">
        <v>9.0703999996185303</v>
      </c>
      <c r="D45">
        <v>1</v>
      </c>
      <c r="E45">
        <v>1</v>
      </c>
      <c r="F45">
        <v>1</v>
      </c>
      <c r="G45">
        <v>1</v>
      </c>
      <c r="H45">
        <v>1</v>
      </c>
      <c r="I45">
        <v>1</v>
      </c>
      <c r="J45">
        <v>1</v>
      </c>
      <c r="K45">
        <v>1</v>
      </c>
      <c r="L45">
        <v>1</v>
      </c>
      <c r="M45">
        <v>1</v>
      </c>
      <c r="N45">
        <v>1</v>
      </c>
    </row>
    <row r="46" spans="1:15" x14ac:dyDescent="0.25">
      <c r="A46" t="s">
        <v>79</v>
      </c>
      <c r="B46">
        <v>0</v>
      </c>
      <c r="C46">
        <v>10.82406377792358</v>
      </c>
      <c r="D46">
        <v>1</v>
      </c>
      <c r="E46">
        <v>1</v>
      </c>
      <c r="F46">
        <v>1</v>
      </c>
      <c r="G46">
        <v>1</v>
      </c>
      <c r="H46">
        <v>1</v>
      </c>
      <c r="I46">
        <v>1</v>
      </c>
      <c r="J46">
        <v>1</v>
      </c>
      <c r="K46">
        <v>1</v>
      </c>
      <c r="L46">
        <v>1</v>
      </c>
      <c r="M46">
        <v>1</v>
      </c>
      <c r="N46">
        <v>1</v>
      </c>
    </row>
    <row r="47" spans="1:15" x14ac:dyDescent="0.25">
      <c r="A47" t="s">
        <v>80</v>
      </c>
      <c r="B47">
        <v>0</v>
      </c>
      <c r="C47">
        <v>10.981222152709959</v>
      </c>
      <c r="D47">
        <v>1</v>
      </c>
      <c r="E47">
        <v>1</v>
      </c>
      <c r="F47">
        <v>1</v>
      </c>
      <c r="G47">
        <v>1</v>
      </c>
      <c r="H47">
        <v>1</v>
      </c>
      <c r="I47">
        <v>1</v>
      </c>
      <c r="J47">
        <v>0</v>
      </c>
      <c r="K47">
        <v>1</v>
      </c>
      <c r="L47">
        <v>1</v>
      </c>
      <c r="M47">
        <v>1</v>
      </c>
      <c r="N47">
        <v>1</v>
      </c>
      <c r="O47" t="s">
        <v>332</v>
      </c>
    </row>
    <row r="48" spans="1:15" x14ac:dyDescent="0.25">
      <c r="A48" t="s">
        <v>82</v>
      </c>
      <c r="B48">
        <v>0</v>
      </c>
      <c r="C48">
        <v>10.55919575691223</v>
      </c>
      <c r="D48">
        <v>1</v>
      </c>
      <c r="E48">
        <v>1</v>
      </c>
      <c r="F48">
        <v>1</v>
      </c>
      <c r="G48">
        <v>1</v>
      </c>
      <c r="H48">
        <v>1</v>
      </c>
      <c r="I48">
        <v>1</v>
      </c>
      <c r="J48">
        <v>0</v>
      </c>
      <c r="K48">
        <v>1</v>
      </c>
      <c r="L48">
        <v>1</v>
      </c>
      <c r="M48">
        <v>1</v>
      </c>
      <c r="N48">
        <v>1</v>
      </c>
      <c r="O48" t="s">
        <v>333</v>
      </c>
    </row>
    <row r="49" spans="1:15" x14ac:dyDescent="0.25">
      <c r="A49" t="s">
        <v>84</v>
      </c>
      <c r="B49">
        <v>0</v>
      </c>
      <c r="C49">
        <v>4.6932239532470703</v>
      </c>
      <c r="D49">
        <v>1</v>
      </c>
      <c r="E49">
        <v>1</v>
      </c>
      <c r="F49">
        <v>1</v>
      </c>
      <c r="G49">
        <v>0</v>
      </c>
      <c r="H49">
        <v>1</v>
      </c>
      <c r="I49">
        <v>1</v>
      </c>
      <c r="J49">
        <v>1</v>
      </c>
      <c r="K49">
        <v>1</v>
      </c>
      <c r="L49">
        <v>1</v>
      </c>
      <c r="M49">
        <v>1</v>
      </c>
      <c r="N49">
        <v>1</v>
      </c>
      <c r="O49" t="s">
        <v>334</v>
      </c>
    </row>
    <row r="50" spans="1:15" x14ac:dyDescent="0.25">
      <c r="A50" t="s">
        <v>86</v>
      </c>
      <c r="B50">
        <v>0</v>
      </c>
      <c r="C50">
        <v>2.7186975479125981</v>
      </c>
      <c r="D50">
        <v>1</v>
      </c>
      <c r="E50">
        <v>1</v>
      </c>
      <c r="F50">
        <v>1</v>
      </c>
      <c r="G50">
        <v>1</v>
      </c>
      <c r="H50">
        <v>1</v>
      </c>
      <c r="I50">
        <v>1</v>
      </c>
      <c r="J50">
        <v>1</v>
      </c>
      <c r="K50">
        <v>1</v>
      </c>
      <c r="L50">
        <v>1</v>
      </c>
      <c r="M50">
        <v>1</v>
      </c>
      <c r="N50">
        <v>1</v>
      </c>
    </row>
    <row r="51" spans="1:15" x14ac:dyDescent="0.25">
      <c r="A51" t="s">
        <v>87</v>
      </c>
      <c r="B51">
        <v>0</v>
      </c>
      <c r="C51">
        <v>11.868626594543461</v>
      </c>
      <c r="D51">
        <v>1</v>
      </c>
      <c r="E51">
        <v>1</v>
      </c>
      <c r="F51">
        <v>1</v>
      </c>
      <c r="G51">
        <v>1</v>
      </c>
      <c r="H51">
        <v>1</v>
      </c>
      <c r="I51">
        <v>0</v>
      </c>
      <c r="J51">
        <v>1</v>
      </c>
      <c r="K51">
        <v>1</v>
      </c>
      <c r="L51">
        <v>1</v>
      </c>
      <c r="M51">
        <v>1</v>
      </c>
      <c r="N51">
        <v>1</v>
      </c>
      <c r="O51" t="s">
        <v>335</v>
      </c>
    </row>
    <row r="52" spans="1:15" x14ac:dyDescent="0.25">
      <c r="A52" t="s">
        <v>88</v>
      </c>
      <c r="B52">
        <v>0</v>
      </c>
      <c r="C52">
        <v>2.6922051906585689</v>
      </c>
      <c r="D52">
        <v>1</v>
      </c>
      <c r="E52">
        <v>1</v>
      </c>
      <c r="F52">
        <v>1</v>
      </c>
      <c r="G52">
        <v>1</v>
      </c>
      <c r="H52">
        <v>1</v>
      </c>
      <c r="I52">
        <v>1</v>
      </c>
      <c r="J52">
        <v>1</v>
      </c>
      <c r="K52">
        <v>1</v>
      </c>
      <c r="L52">
        <v>1</v>
      </c>
      <c r="M52">
        <v>1</v>
      </c>
      <c r="N52">
        <v>1</v>
      </c>
    </row>
    <row r="53" spans="1:15" x14ac:dyDescent="0.25">
      <c r="A53" t="s">
        <v>89</v>
      </c>
      <c r="B53">
        <v>0</v>
      </c>
      <c r="C53">
        <v>10.064069032669069</v>
      </c>
      <c r="D53">
        <v>1</v>
      </c>
      <c r="E53">
        <v>1</v>
      </c>
      <c r="F53">
        <v>1</v>
      </c>
      <c r="G53">
        <v>1</v>
      </c>
      <c r="H53">
        <v>1</v>
      </c>
      <c r="I53">
        <v>1</v>
      </c>
      <c r="J53">
        <v>1</v>
      </c>
      <c r="K53">
        <v>1</v>
      </c>
      <c r="L53">
        <v>1</v>
      </c>
      <c r="M53">
        <v>1</v>
      </c>
      <c r="N53">
        <v>1</v>
      </c>
    </row>
    <row r="54" spans="1:15" x14ac:dyDescent="0.25">
      <c r="A54" t="s">
        <v>90</v>
      </c>
      <c r="B54">
        <v>0</v>
      </c>
      <c r="C54">
        <v>9.5366339683532715</v>
      </c>
      <c r="D54">
        <v>1</v>
      </c>
      <c r="E54">
        <v>1</v>
      </c>
      <c r="F54">
        <v>1</v>
      </c>
      <c r="G54">
        <v>1</v>
      </c>
      <c r="H54">
        <v>1</v>
      </c>
      <c r="I54">
        <v>1</v>
      </c>
      <c r="J54">
        <v>1</v>
      </c>
      <c r="K54">
        <v>1</v>
      </c>
      <c r="L54">
        <v>1</v>
      </c>
      <c r="M54">
        <v>1</v>
      </c>
      <c r="N54">
        <v>1</v>
      </c>
    </row>
    <row r="55" spans="1:15" x14ac:dyDescent="0.25">
      <c r="A55" t="s">
        <v>92</v>
      </c>
      <c r="B55">
        <v>0</v>
      </c>
      <c r="C55">
        <v>9.860816478729248</v>
      </c>
      <c r="D55">
        <v>0</v>
      </c>
      <c r="E55" t="s">
        <v>17</v>
      </c>
      <c r="F55" t="s">
        <v>17</v>
      </c>
      <c r="G55" t="s">
        <v>17</v>
      </c>
      <c r="H55" t="s">
        <v>17</v>
      </c>
      <c r="I55" t="s">
        <v>17</v>
      </c>
      <c r="J55" t="s">
        <v>17</v>
      </c>
      <c r="K55" t="s">
        <v>17</v>
      </c>
      <c r="L55" t="s">
        <v>17</v>
      </c>
      <c r="M55" t="s">
        <v>17</v>
      </c>
      <c r="N55" t="s">
        <v>17</v>
      </c>
      <c r="O55" t="s">
        <v>336</v>
      </c>
    </row>
    <row r="56" spans="1:15" x14ac:dyDescent="0.25">
      <c r="A56" t="s">
        <v>94</v>
      </c>
      <c r="B56">
        <v>0</v>
      </c>
      <c r="C56">
        <v>8.013153076171875</v>
      </c>
      <c r="D56">
        <v>0</v>
      </c>
      <c r="E56" t="s">
        <v>17</v>
      </c>
      <c r="F56" t="s">
        <v>17</v>
      </c>
      <c r="G56" t="s">
        <v>17</v>
      </c>
      <c r="H56" t="s">
        <v>17</v>
      </c>
      <c r="I56" t="s">
        <v>17</v>
      </c>
      <c r="J56" t="s">
        <v>17</v>
      </c>
      <c r="K56" t="s">
        <v>17</v>
      </c>
      <c r="L56" t="s">
        <v>17</v>
      </c>
      <c r="M56" t="s">
        <v>17</v>
      </c>
      <c r="N56" t="s">
        <v>17</v>
      </c>
      <c r="O56" t="s">
        <v>337</v>
      </c>
    </row>
    <row r="57" spans="1:15" x14ac:dyDescent="0.25">
      <c r="A57" t="s">
        <v>96</v>
      </c>
      <c r="B57">
        <v>0</v>
      </c>
      <c r="C57">
        <v>9.2638249397277832</v>
      </c>
      <c r="D57">
        <v>1</v>
      </c>
      <c r="E57">
        <v>1</v>
      </c>
      <c r="F57">
        <v>1</v>
      </c>
      <c r="G57">
        <v>1</v>
      </c>
      <c r="H57">
        <v>1</v>
      </c>
      <c r="I57">
        <v>1</v>
      </c>
      <c r="J57">
        <v>1</v>
      </c>
      <c r="K57">
        <v>1</v>
      </c>
      <c r="L57">
        <v>1</v>
      </c>
      <c r="M57">
        <v>1</v>
      </c>
      <c r="N57">
        <v>1</v>
      </c>
    </row>
    <row r="58" spans="1:15" x14ac:dyDescent="0.25">
      <c r="A58" t="s">
        <v>97</v>
      </c>
      <c r="B58">
        <v>0</v>
      </c>
      <c r="C58">
        <v>10.46168088912964</v>
      </c>
      <c r="D58">
        <v>1</v>
      </c>
      <c r="E58">
        <v>1</v>
      </c>
      <c r="F58">
        <v>0</v>
      </c>
      <c r="G58" t="s">
        <v>17</v>
      </c>
      <c r="H58">
        <v>1</v>
      </c>
      <c r="I58">
        <v>1</v>
      </c>
      <c r="J58">
        <v>1</v>
      </c>
      <c r="K58">
        <v>1</v>
      </c>
      <c r="L58">
        <v>0</v>
      </c>
      <c r="M58">
        <v>1</v>
      </c>
      <c r="N58">
        <v>1</v>
      </c>
      <c r="O58" t="s">
        <v>338</v>
      </c>
    </row>
    <row r="59" spans="1:15" x14ac:dyDescent="0.25">
      <c r="A59" t="s">
        <v>98</v>
      </c>
      <c r="B59">
        <v>0</v>
      </c>
      <c r="C59">
        <v>9.4523539543151855</v>
      </c>
      <c r="D59">
        <v>1</v>
      </c>
      <c r="E59">
        <v>1</v>
      </c>
      <c r="F59">
        <v>1</v>
      </c>
      <c r="G59">
        <v>1</v>
      </c>
      <c r="H59">
        <v>1</v>
      </c>
      <c r="I59">
        <v>1</v>
      </c>
      <c r="J59">
        <v>1</v>
      </c>
      <c r="K59">
        <v>1</v>
      </c>
      <c r="L59">
        <v>1</v>
      </c>
      <c r="M59">
        <v>1</v>
      </c>
      <c r="N59">
        <v>1</v>
      </c>
    </row>
    <row r="60" spans="1:15" x14ac:dyDescent="0.25">
      <c r="A60" t="s">
        <v>99</v>
      </c>
      <c r="B60">
        <v>0</v>
      </c>
      <c r="C60">
        <v>5.6482596397399902</v>
      </c>
      <c r="D60">
        <v>1</v>
      </c>
      <c r="E60">
        <v>0</v>
      </c>
      <c r="F60">
        <v>1</v>
      </c>
      <c r="G60" t="s">
        <v>17</v>
      </c>
      <c r="H60">
        <v>1</v>
      </c>
      <c r="I60" t="s">
        <v>17</v>
      </c>
      <c r="J60">
        <v>1</v>
      </c>
      <c r="K60">
        <v>1</v>
      </c>
      <c r="L60">
        <v>1</v>
      </c>
      <c r="M60">
        <v>1</v>
      </c>
      <c r="N60">
        <v>1</v>
      </c>
      <c r="O60" t="s">
        <v>339</v>
      </c>
    </row>
    <row r="61" spans="1:15" x14ac:dyDescent="0.25">
      <c r="A61" t="s">
        <v>101</v>
      </c>
      <c r="B61">
        <v>0</v>
      </c>
      <c r="C61">
        <v>12.01730155944824</v>
      </c>
      <c r="D61">
        <v>1</v>
      </c>
      <c r="E61">
        <v>1</v>
      </c>
      <c r="F61">
        <v>1</v>
      </c>
      <c r="G61">
        <v>1</v>
      </c>
      <c r="H61">
        <v>1</v>
      </c>
      <c r="I61">
        <v>0</v>
      </c>
      <c r="J61">
        <v>1</v>
      </c>
      <c r="K61">
        <v>1</v>
      </c>
      <c r="L61">
        <v>1</v>
      </c>
      <c r="M61">
        <v>1</v>
      </c>
      <c r="N61">
        <v>1</v>
      </c>
      <c r="O61" t="s">
        <v>340</v>
      </c>
    </row>
    <row r="62" spans="1:15" x14ac:dyDescent="0.25">
      <c r="A62" t="s">
        <v>103</v>
      </c>
      <c r="B62">
        <v>0</v>
      </c>
      <c r="C62">
        <v>8.5265669822692871</v>
      </c>
      <c r="D62">
        <v>0</v>
      </c>
      <c r="E62" t="s">
        <v>17</v>
      </c>
      <c r="F62" t="s">
        <v>17</v>
      </c>
      <c r="G62" t="s">
        <v>17</v>
      </c>
      <c r="H62" t="s">
        <v>17</v>
      </c>
      <c r="I62" t="s">
        <v>17</v>
      </c>
      <c r="J62" t="s">
        <v>17</v>
      </c>
      <c r="K62" t="s">
        <v>17</v>
      </c>
      <c r="L62" t="s">
        <v>17</v>
      </c>
      <c r="M62" t="s">
        <v>17</v>
      </c>
      <c r="N62" t="s">
        <v>17</v>
      </c>
      <c r="O62" t="s">
        <v>341</v>
      </c>
    </row>
    <row r="63" spans="1:15" x14ac:dyDescent="0.25">
      <c r="A63" t="s">
        <v>105</v>
      </c>
      <c r="B63">
        <v>0</v>
      </c>
      <c r="C63">
        <v>2.7190663814544682</v>
      </c>
      <c r="D63">
        <v>1</v>
      </c>
      <c r="E63">
        <v>1</v>
      </c>
      <c r="F63">
        <v>1</v>
      </c>
      <c r="G63">
        <v>1</v>
      </c>
      <c r="H63">
        <v>1</v>
      </c>
      <c r="I63">
        <v>1</v>
      </c>
      <c r="J63">
        <v>1</v>
      </c>
      <c r="K63">
        <v>1</v>
      </c>
      <c r="L63">
        <v>1</v>
      </c>
      <c r="M63">
        <v>1</v>
      </c>
      <c r="N63">
        <v>1</v>
      </c>
    </row>
    <row r="64" spans="1:15" x14ac:dyDescent="0.25">
      <c r="A64" t="s">
        <v>106</v>
      </c>
      <c r="B64">
        <v>0</v>
      </c>
      <c r="C64">
        <v>2.717819452285767</v>
      </c>
      <c r="D64">
        <v>1</v>
      </c>
      <c r="E64">
        <v>1</v>
      </c>
      <c r="F64">
        <v>1</v>
      </c>
      <c r="G64">
        <v>1</v>
      </c>
      <c r="H64">
        <v>1</v>
      </c>
      <c r="I64">
        <v>1</v>
      </c>
      <c r="J64">
        <v>1</v>
      </c>
      <c r="K64">
        <v>1</v>
      </c>
      <c r="L64">
        <v>1</v>
      </c>
      <c r="M64">
        <v>1</v>
      </c>
      <c r="N64">
        <v>1</v>
      </c>
    </row>
    <row r="65" spans="1:15" x14ac:dyDescent="0.25">
      <c r="A65" t="s">
        <v>108</v>
      </c>
      <c r="B65">
        <v>0</v>
      </c>
      <c r="C65">
        <v>5.1312341690063477</v>
      </c>
      <c r="D65">
        <v>1</v>
      </c>
      <c r="E65">
        <v>1</v>
      </c>
      <c r="F65">
        <v>1</v>
      </c>
      <c r="G65">
        <v>0</v>
      </c>
      <c r="H65">
        <v>1</v>
      </c>
      <c r="I65">
        <v>1</v>
      </c>
      <c r="J65">
        <v>1</v>
      </c>
      <c r="K65">
        <v>1</v>
      </c>
      <c r="L65">
        <v>1</v>
      </c>
      <c r="M65">
        <v>1</v>
      </c>
      <c r="N65">
        <v>1</v>
      </c>
      <c r="O65" t="s">
        <v>342</v>
      </c>
    </row>
    <row r="66" spans="1:15" x14ac:dyDescent="0.25">
      <c r="A66" t="s">
        <v>110</v>
      </c>
      <c r="B66">
        <v>0</v>
      </c>
      <c r="C66">
        <v>7.1961793899536133</v>
      </c>
      <c r="D66">
        <v>0</v>
      </c>
      <c r="E66" t="s">
        <v>17</v>
      </c>
      <c r="F66" t="s">
        <v>17</v>
      </c>
      <c r="G66" t="s">
        <v>17</v>
      </c>
      <c r="H66" t="s">
        <v>17</v>
      </c>
      <c r="I66" t="s">
        <v>17</v>
      </c>
      <c r="J66" t="s">
        <v>17</v>
      </c>
      <c r="K66" t="s">
        <v>17</v>
      </c>
      <c r="L66" t="s">
        <v>17</v>
      </c>
      <c r="M66" t="s">
        <v>17</v>
      </c>
      <c r="N66" t="s">
        <v>17</v>
      </c>
      <c r="O66" t="s">
        <v>343</v>
      </c>
    </row>
    <row r="67" spans="1:15" x14ac:dyDescent="0.25">
      <c r="A67" t="s">
        <v>112</v>
      </c>
      <c r="B67">
        <v>0</v>
      </c>
      <c r="C67">
        <v>10.71498274803162</v>
      </c>
      <c r="D67">
        <v>1</v>
      </c>
      <c r="E67">
        <v>1</v>
      </c>
      <c r="F67">
        <v>0</v>
      </c>
      <c r="G67" t="s">
        <v>17</v>
      </c>
      <c r="H67">
        <v>1</v>
      </c>
      <c r="I67">
        <v>1</v>
      </c>
      <c r="J67">
        <v>1</v>
      </c>
      <c r="K67">
        <v>1</v>
      </c>
      <c r="L67">
        <v>1</v>
      </c>
      <c r="M67">
        <v>1</v>
      </c>
      <c r="N67">
        <v>1</v>
      </c>
      <c r="O67" t="s">
        <v>344</v>
      </c>
    </row>
    <row r="68" spans="1:15" x14ac:dyDescent="0.25">
      <c r="A68" t="s">
        <v>114</v>
      </c>
      <c r="B68">
        <v>0</v>
      </c>
      <c r="C68">
        <v>10.79257035255432</v>
      </c>
      <c r="D68">
        <v>1</v>
      </c>
      <c r="E68">
        <v>1</v>
      </c>
      <c r="F68">
        <v>1</v>
      </c>
      <c r="G68">
        <v>1</v>
      </c>
      <c r="H68">
        <v>1</v>
      </c>
      <c r="I68">
        <v>1</v>
      </c>
      <c r="J68">
        <v>1</v>
      </c>
      <c r="K68">
        <v>1</v>
      </c>
      <c r="L68">
        <v>1</v>
      </c>
      <c r="M68">
        <v>1</v>
      </c>
      <c r="N68">
        <v>1</v>
      </c>
    </row>
    <row r="69" spans="1:15" x14ac:dyDescent="0.25">
      <c r="A69" t="s">
        <v>115</v>
      </c>
      <c r="B69">
        <v>0</v>
      </c>
      <c r="C69">
        <v>2.7335472106933589</v>
      </c>
      <c r="D69">
        <v>1</v>
      </c>
      <c r="E69">
        <v>1</v>
      </c>
      <c r="F69">
        <v>1</v>
      </c>
      <c r="G69">
        <v>1</v>
      </c>
      <c r="H69">
        <v>1</v>
      </c>
      <c r="I69">
        <v>1</v>
      </c>
      <c r="J69">
        <v>1</v>
      </c>
      <c r="K69">
        <v>1</v>
      </c>
      <c r="L69">
        <v>1</v>
      </c>
      <c r="M69">
        <v>1</v>
      </c>
      <c r="N69">
        <v>1</v>
      </c>
    </row>
    <row r="70" spans="1:15" x14ac:dyDescent="0.25">
      <c r="A70" t="s">
        <v>116</v>
      </c>
      <c r="B70">
        <v>0</v>
      </c>
      <c r="C70">
        <v>10.00289964675903</v>
      </c>
      <c r="D70">
        <v>1</v>
      </c>
      <c r="E70">
        <v>1</v>
      </c>
      <c r="F70">
        <v>1</v>
      </c>
      <c r="G70">
        <v>1</v>
      </c>
      <c r="H70">
        <v>1</v>
      </c>
      <c r="I70">
        <v>1</v>
      </c>
      <c r="J70">
        <v>1</v>
      </c>
      <c r="K70">
        <v>1</v>
      </c>
      <c r="L70">
        <v>1</v>
      </c>
      <c r="M70">
        <v>1</v>
      </c>
      <c r="N70">
        <v>1</v>
      </c>
    </row>
    <row r="71" spans="1:15" x14ac:dyDescent="0.25">
      <c r="A71" t="s">
        <v>117</v>
      </c>
      <c r="B71">
        <v>0</v>
      </c>
      <c r="C71">
        <v>8.730593204498291</v>
      </c>
      <c r="D71">
        <v>1</v>
      </c>
      <c r="E71">
        <v>1</v>
      </c>
      <c r="F71">
        <v>1</v>
      </c>
      <c r="G71">
        <v>1</v>
      </c>
      <c r="H71">
        <v>1</v>
      </c>
      <c r="I71">
        <v>1</v>
      </c>
      <c r="J71">
        <v>1</v>
      </c>
      <c r="K71">
        <v>1</v>
      </c>
      <c r="L71">
        <v>1</v>
      </c>
      <c r="M71">
        <v>1</v>
      </c>
      <c r="N71">
        <v>1</v>
      </c>
    </row>
    <row r="72" spans="1:15" x14ac:dyDescent="0.25">
      <c r="A72" t="s">
        <v>118</v>
      </c>
      <c r="B72">
        <v>0</v>
      </c>
      <c r="C72">
        <v>4.5464925765991211</v>
      </c>
      <c r="D72">
        <v>1</v>
      </c>
      <c r="E72">
        <v>1</v>
      </c>
      <c r="F72">
        <v>0</v>
      </c>
      <c r="G72" t="s">
        <v>17</v>
      </c>
      <c r="H72">
        <v>1</v>
      </c>
      <c r="I72">
        <v>1</v>
      </c>
      <c r="J72">
        <v>1</v>
      </c>
      <c r="K72">
        <v>1</v>
      </c>
      <c r="L72">
        <v>1</v>
      </c>
      <c r="M72">
        <v>1</v>
      </c>
      <c r="N72">
        <v>1</v>
      </c>
      <c r="O72" t="s">
        <v>345</v>
      </c>
    </row>
    <row r="73" spans="1:15" x14ac:dyDescent="0.25">
      <c r="A73" t="s">
        <v>120</v>
      </c>
      <c r="B73">
        <v>0</v>
      </c>
      <c r="C73">
        <v>9.4864187240600586</v>
      </c>
      <c r="D73">
        <v>1</v>
      </c>
      <c r="E73">
        <v>1</v>
      </c>
      <c r="F73">
        <v>1</v>
      </c>
      <c r="G73">
        <v>1</v>
      </c>
      <c r="H73">
        <v>1</v>
      </c>
      <c r="I73">
        <v>1</v>
      </c>
      <c r="J73">
        <v>1</v>
      </c>
      <c r="K73">
        <v>1</v>
      </c>
      <c r="L73">
        <v>1</v>
      </c>
      <c r="M73">
        <v>1</v>
      </c>
      <c r="N73">
        <v>1</v>
      </c>
    </row>
    <row r="74" spans="1:15" x14ac:dyDescent="0.25">
      <c r="A74" t="s">
        <v>121</v>
      </c>
      <c r="B74">
        <v>0</v>
      </c>
      <c r="C74">
        <v>12.02038049697876</v>
      </c>
      <c r="D74">
        <v>1</v>
      </c>
      <c r="E74">
        <v>1</v>
      </c>
      <c r="F74">
        <v>1</v>
      </c>
      <c r="G74">
        <v>1</v>
      </c>
      <c r="H74">
        <v>1</v>
      </c>
      <c r="I74">
        <v>0</v>
      </c>
      <c r="J74">
        <v>1</v>
      </c>
      <c r="K74">
        <v>1</v>
      </c>
      <c r="L74">
        <v>1</v>
      </c>
      <c r="M74">
        <v>1</v>
      </c>
      <c r="N74">
        <v>1</v>
      </c>
      <c r="O74" t="s">
        <v>346</v>
      </c>
    </row>
    <row r="75" spans="1:15" x14ac:dyDescent="0.25">
      <c r="A75" t="s">
        <v>123</v>
      </c>
      <c r="B75">
        <v>0</v>
      </c>
      <c r="C75">
        <v>10.06604933738708</v>
      </c>
      <c r="D75">
        <v>1</v>
      </c>
      <c r="E75">
        <v>1</v>
      </c>
      <c r="F75">
        <v>1</v>
      </c>
      <c r="G75">
        <v>1</v>
      </c>
      <c r="H75">
        <v>1</v>
      </c>
      <c r="I75">
        <v>1</v>
      </c>
      <c r="J75">
        <v>1</v>
      </c>
      <c r="K75">
        <v>1</v>
      </c>
      <c r="L75">
        <v>1</v>
      </c>
      <c r="M75">
        <v>1</v>
      </c>
      <c r="N75">
        <v>1</v>
      </c>
    </row>
    <row r="76" spans="1:15" x14ac:dyDescent="0.25">
      <c r="A76" t="s">
        <v>124</v>
      </c>
      <c r="B76">
        <v>0</v>
      </c>
      <c r="C76">
        <v>2.771661520004272</v>
      </c>
      <c r="D76">
        <v>1</v>
      </c>
      <c r="E76">
        <v>1</v>
      </c>
      <c r="F76">
        <v>1</v>
      </c>
      <c r="G76">
        <v>1</v>
      </c>
      <c r="H76">
        <v>1</v>
      </c>
      <c r="I76">
        <v>1</v>
      </c>
      <c r="J76">
        <v>1</v>
      </c>
      <c r="K76">
        <v>1</v>
      </c>
      <c r="L76">
        <v>1</v>
      </c>
      <c r="M76">
        <v>1</v>
      </c>
      <c r="N76">
        <v>1</v>
      </c>
    </row>
    <row r="77" spans="1:15" x14ac:dyDescent="0.25">
      <c r="A77" t="s">
        <v>125</v>
      </c>
      <c r="B77">
        <v>0</v>
      </c>
      <c r="C77">
        <v>5.5444989204406738</v>
      </c>
      <c r="D77">
        <v>1</v>
      </c>
      <c r="E77">
        <v>1</v>
      </c>
      <c r="F77">
        <v>1</v>
      </c>
      <c r="G77">
        <v>1</v>
      </c>
      <c r="H77">
        <v>1</v>
      </c>
      <c r="I77">
        <v>0</v>
      </c>
      <c r="J77">
        <v>1</v>
      </c>
      <c r="K77">
        <v>1</v>
      </c>
      <c r="L77">
        <v>1</v>
      </c>
      <c r="M77">
        <v>1</v>
      </c>
      <c r="N77">
        <v>1</v>
      </c>
      <c r="O77" t="s">
        <v>347</v>
      </c>
    </row>
    <row r="78" spans="1:15" x14ac:dyDescent="0.25">
      <c r="A78" t="s">
        <v>127</v>
      </c>
      <c r="B78">
        <v>0</v>
      </c>
      <c r="C78">
        <v>6.8779788017272949</v>
      </c>
      <c r="D78">
        <v>1</v>
      </c>
      <c r="E78">
        <v>1</v>
      </c>
      <c r="F78">
        <v>1</v>
      </c>
      <c r="G78">
        <v>1</v>
      </c>
      <c r="H78">
        <v>1</v>
      </c>
      <c r="I78">
        <v>0</v>
      </c>
      <c r="J78">
        <v>1</v>
      </c>
      <c r="K78">
        <v>1</v>
      </c>
      <c r="L78">
        <v>1</v>
      </c>
      <c r="M78">
        <v>1</v>
      </c>
      <c r="N78">
        <v>1</v>
      </c>
      <c r="O78" t="s">
        <v>348</v>
      </c>
    </row>
    <row r="79" spans="1:15" x14ac:dyDescent="0.25">
      <c r="A79" t="s">
        <v>129</v>
      </c>
      <c r="B79">
        <v>0</v>
      </c>
      <c r="C79">
        <v>11.430948734283451</v>
      </c>
      <c r="D79">
        <v>1</v>
      </c>
      <c r="E79">
        <v>1</v>
      </c>
      <c r="F79">
        <v>1</v>
      </c>
      <c r="G79">
        <v>1</v>
      </c>
      <c r="H79">
        <v>1</v>
      </c>
      <c r="I79">
        <v>0</v>
      </c>
      <c r="J79">
        <v>1</v>
      </c>
      <c r="K79">
        <v>1</v>
      </c>
      <c r="L79">
        <v>1</v>
      </c>
      <c r="M79">
        <v>1</v>
      </c>
      <c r="N79">
        <v>1</v>
      </c>
      <c r="O79" t="s">
        <v>349</v>
      </c>
    </row>
    <row r="80" spans="1:15" x14ac:dyDescent="0.25">
      <c r="A80" t="s">
        <v>131</v>
      </c>
      <c r="B80">
        <v>0</v>
      </c>
      <c r="C80">
        <v>10.678633213043209</v>
      </c>
      <c r="D80">
        <v>1</v>
      </c>
      <c r="E80">
        <v>1</v>
      </c>
      <c r="F80">
        <v>1</v>
      </c>
      <c r="G80">
        <v>0</v>
      </c>
      <c r="H80">
        <v>1</v>
      </c>
      <c r="I80">
        <v>1</v>
      </c>
      <c r="J80">
        <v>1</v>
      </c>
      <c r="K80">
        <v>1</v>
      </c>
      <c r="L80">
        <v>1</v>
      </c>
      <c r="M80">
        <v>1</v>
      </c>
      <c r="N80">
        <v>1</v>
      </c>
      <c r="O80" t="s">
        <v>350</v>
      </c>
    </row>
    <row r="81" spans="1:15" x14ac:dyDescent="0.25">
      <c r="A81" t="s">
        <v>133</v>
      </c>
      <c r="B81">
        <v>0</v>
      </c>
      <c r="C81">
        <v>11.64985251426697</v>
      </c>
      <c r="D81">
        <v>1</v>
      </c>
      <c r="E81">
        <v>1</v>
      </c>
      <c r="F81">
        <v>0</v>
      </c>
      <c r="G81" t="s">
        <v>17</v>
      </c>
      <c r="H81">
        <v>1</v>
      </c>
      <c r="I81">
        <v>0</v>
      </c>
      <c r="J81">
        <v>1</v>
      </c>
      <c r="K81">
        <v>1</v>
      </c>
      <c r="L81">
        <v>1</v>
      </c>
      <c r="M81">
        <v>1</v>
      </c>
      <c r="N81">
        <v>1</v>
      </c>
      <c r="O81" t="s">
        <v>351</v>
      </c>
    </row>
    <row r="82" spans="1:15" x14ac:dyDescent="0.25">
      <c r="A82" t="s">
        <v>135</v>
      </c>
      <c r="B82">
        <v>0</v>
      </c>
      <c r="C82">
        <v>9.8090877532958984</v>
      </c>
      <c r="D82">
        <v>1</v>
      </c>
      <c r="E82">
        <v>1</v>
      </c>
      <c r="F82">
        <v>1</v>
      </c>
      <c r="G82">
        <v>1</v>
      </c>
      <c r="H82">
        <v>1</v>
      </c>
      <c r="I82">
        <v>1</v>
      </c>
      <c r="J82">
        <v>1</v>
      </c>
      <c r="K82">
        <v>1</v>
      </c>
      <c r="L82">
        <v>1</v>
      </c>
      <c r="M82">
        <v>1</v>
      </c>
      <c r="N82">
        <v>1</v>
      </c>
    </row>
    <row r="83" spans="1:15" x14ac:dyDescent="0.25">
      <c r="A83" t="s">
        <v>136</v>
      </c>
      <c r="B83">
        <v>0</v>
      </c>
      <c r="C83">
        <v>9.0376558303833008</v>
      </c>
      <c r="D83">
        <v>1</v>
      </c>
      <c r="E83">
        <v>1</v>
      </c>
      <c r="F83">
        <v>1</v>
      </c>
      <c r="G83">
        <v>1</v>
      </c>
      <c r="H83">
        <v>1</v>
      </c>
      <c r="I83">
        <v>1</v>
      </c>
      <c r="J83">
        <v>1</v>
      </c>
      <c r="K83">
        <v>1</v>
      </c>
      <c r="L83">
        <v>1</v>
      </c>
      <c r="M83">
        <v>1</v>
      </c>
      <c r="N83">
        <v>1</v>
      </c>
    </row>
    <row r="84" spans="1:15" x14ac:dyDescent="0.25">
      <c r="A84" t="s">
        <v>138</v>
      </c>
      <c r="B84">
        <v>0</v>
      </c>
      <c r="C84">
        <v>5.0551948547363281</v>
      </c>
      <c r="D84">
        <v>1</v>
      </c>
      <c r="E84">
        <v>1</v>
      </c>
      <c r="F84">
        <v>1</v>
      </c>
      <c r="G84">
        <v>1</v>
      </c>
      <c r="H84">
        <v>1</v>
      </c>
      <c r="I84">
        <v>0</v>
      </c>
      <c r="J84">
        <v>1</v>
      </c>
      <c r="K84">
        <v>1</v>
      </c>
      <c r="L84">
        <v>1</v>
      </c>
      <c r="M84">
        <v>1</v>
      </c>
      <c r="N84">
        <v>1</v>
      </c>
      <c r="O84" t="s">
        <v>352</v>
      </c>
    </row>
    <row r="85" spans="1:15" x14ac:dyDescent="0.25">
      <c r="A85" t="s">
        <v>140</v>
      </c>
      <c r="B85">
        <v>0</v>
      </c>
      <c r="C85">
        <v>10.18566846847534</v>
      </c>
      <c r="D85">
        <v>1</v>
      </c>
      <c r="E85">
        <v>1</v>
      </c>
      <c r="F85">
        <v>1</v>
      </c>
      <c r="G85">
        <v>1</v>
      </c>
      <c r="H85">
        <v>1</v>
      </c>
      <c r="I85">
        <v>0</v>
      </c>
      <c r="J85">
        <v>1</v>
      </c>
      <c r="K85">
        <v>1</v>
      </c>
      <c r="L85">
        <v>1</v>
      </c>
      <c r="M85">
        <v>1</v>
      </c>
      <c r="N85">
        <v>1</v>
      </c>
      <c r="O85" t="s">
        <v>353</v>
      </c>
    </row>
    <row r="86" spans="1:15" x14ac:dyDescent="0.25">
      <c r="A86" t="s">
        <v>142</v>
      </c>
      <c r="B86">
        <v>0</v>
      </c>
      <c r="C86">
        <v>4.7969124317169189</v>
      </c>
      <c r="D86">
        <v>1</v>
      </c>
      <c r="E86">
        <v>1</v>
      </c>
      <c r="F86">
        <v>1</v>
      </c>
      <c r="G86">
        <v>1</v>
      </c>
      <c r="H86">
        <v>1</v>
      </c>
      <c r="I86">
        <v>0</v>
      </c>
      <c r="J86">
        <v>1</v>
      </c>
      <c r="K86">
        <v>1</v>
      </c>
      <c r="L86">
        <v>1</v>
      </c>
      <c r="M86">
        <v>1</v>
      </c>
      <c r="N86">
        <v>1</v>
      </c>
      <c r="O86" t="s">
        <v>354</v>
      </c>
    </row>
    <row r="87" spans="1:15" x14ac:dyDescent="0.25">
      <c r="A87" t="s">
        <v>144</v>
      </c>
      <c r="B87">
        <v>0</v>
      </c>
      <c r="C87">
        <v>2.758276224136353</v>
      </c>
      <c r="D87">
        <v>1</v>
      </c>
      <c r="E87">
        <v>1</v>
      </c>
      <c r="F87">
        <v>1</v>
      </c>
      <c r="G87">
        <v>1</v>
      </c>
      <c r="H87">
        <v>1</v>
      </c>
      <c r="I87">
        <v>1</v>
      </c>
      <c r="J87">
        <v>1</v>
      </c>
      <c r="K87">
        <v>1</v>
      </c>
      <c r="L87">
        <v>1</v>
      </c>
      <c r="M87">
        <v>1</v>
      </c>
      <c r="N87">
        <v>1</v>
      </c>
    </row>
    <row r="88" spans="1:15" x14ac:dyDescent="0.25">
      <c r="A88" t="s">
        <v>145</v>
      </c>
      <c r="B88">
        <v>0</v>
      </c>
      <c r="C88">
        <v>2.6829226016998291</v>
      </c>
      <c r="D88">
        <v>1</v>
      </c>
      <c r="E88">
        <v>1</v>
      </c>
      <c r="F88">
        <v>1</v>
      </c>
      <c r="G88">
        <v>1</v>
      </c>
      <c r="H88">
        <v>1</v>
      </c>
      <c r="I88">
        <v>1</v>
      </c>
      <c r="J88">
        <v>1</v>
      </c>
      <c r="K88">
        <v>1</v>
      </c>
      <c r="L88">
        <v>1</v>
      </c>
      <c r="M88">
        <v>1</v>
      </c>
      <c r="N88">
        <v>1</v>
      </c>
    </row>
    <row r="89" spans="1:15" x14ac:dyDescent="0.25">
      <c r="A89" t="s">
        <v>146</v>
      </c>
      <c r="B89">
        <v>0</v>
      </c>
      <c r="C89">
        <v>10.052538633346559</v>
      </c>
      <c r="D89">
        <v>1</v>
      </c>
      <c r="E89">
        <v>1</v>
      </c>
      <c r="F89">
        <v>1</v>
      </c>
      <c r="G89">
        <v>1</v>
      </c>
      <c r="H89">
        <v>1</v>
      </c>
      <c r="I89">
        <v>1</v>
      </c>
      <c r="J89">
        <v>1</v>
      </c>
      <c r="K89">
        <v>1</v>
      </c>
      <c r="L89">
        <v>1</v>
      </c>
      <c r="M89">
        <v>1</v>
      </c>
      <c r="N89">
        <v>1</v>
      </c>
    </row>
    <row r="90" spans="1:15" x14ac:dyDescent="0.25">
      <c r="A90" t="s">
        <v>147</v>
      </c>
      <c r="B90">
        <v>0</v>
      </c>
      <c r="C90">
        <v>8.8891663551330566</v>
      </c>
      <c r="D90">
        <v>1</v>
      </c>
      <c r="E90">
        <v>1</v>
      </c>
      <c r="F90">
        <v>1</v>
      </c>
      <c r="G90">
        <v>1</v>
      </c>
      <c r="H90">
        <v>1</v>
      </c>
      <c r="I90">
        <v>1</v>
      </c>
      <c r="J90">
        <v>1</v>
      </c>
      <c r="K90">
        <v>1</v>
      </c>
      <c r="L90">
        <v>1</v>
      </c>
      <c r="M90">
        <v>1</v>
      </c>
      <c r="N90">
        <v>1</v>
      </c>
    </row>
    <row r="91" spans="1:15" x14ac:dyDescent="0.25">
      <c r="A91" t="s">
        <v>149</v>
      </c>
      <c r="B91">
        <v>0</v>
      </c>
      <c r="C91">
        <v>2.7113273143768311</v>
      </c>
      <c r="D91">
        <v>1</v>
      </c>
      <c r="E91">
        <v>1</v>
      </c>
      <c r="F91">
        <v>1</v>
      </c>
      <c r="G91">
        <v>1</v>
      </c>
      <c r="H91">
        <v>1</v>
      </c>
      <c r="I91">
        <v>1</v>
      </c>
      <c r="J91">
        <v>1</v>
      </c>
      <c r="K91">
        <v>1</v>
      </c>
      <c r="L91">
        <v>1</v>
      </c>
      <c r="M91">
        <v>1</v>
      </c>
      <c r="N91">
        <v>1</v>
      </c>
    </row>
    <row r="92" spans="1:15" x14ac:dyDescent="0.25">
      <c r="A92" t="s">
        <v>150</v>
      </c>
      <c r="B92">
        <v>0</v>
      </c>
      <c r="C92">
        <v>8.3278772830963135</v>
      </c>
      <c r="D92">
        <v>1</v>
      </c>
      <c r="E92">
        <v>1</v>
      </c>
      <c r="F92">
        <v>1</v>
      </c>
      <c r="G92">
        <v>1</v>
      </c>
      <c r="H92">
        <v>1</v>
      </c>
      <c r="I92">
        <v>1</v>
      </c>
      <c r="J92">
        <v>1</v>
      </c>
      <c r="K92">
        <v>1</v>
      </c>
      <c r="L92">
        <v>1</v>
      </c>
      <c r="M92">
        <v>1</v>
      </c>
      <c r="N92">
        <v>1</v>
      </c>
    </row>
    <row r="93" spans="1:15" x14ac:dyDescent="0.25">
      <c r="A93" t="s">
        <v>151</v>
      </c>
      <c r="B93">
        <v>0</v>
      </c>
      <c r="C93">
        <v>2.7567310333251949</v>
      </c>
      <c r="D93">
        <v>1</v>
      </c>
      <c r="E93">
        <v>1</v>
      </c>
      <c r="F93">
        <v>1</v>
      </c>
      <c r="G93">
        <v>1</v>
      </c>
      <c r="H93">
        <v>1</v>
      </c>
      <c r="I93">
        <v>1</v>
      </c>
      <c r="J93">
        <v>1</v>
      </c>
      <c r="K93">
        <v>1</v>
      </c>
      <c r="L93">
        <v>1</v>
      </c>
      <c r="M93">
        <v>1</v>
      </c>
      <c r="N93">
        <v>1</v>
      </c>
    </row>
    <row r="94" spans="1:15" x14ac:dyDescent="0.25">
      <c r="A94" t="s">
        <v>152</v>
      </c>
      <c r="B94">
        <v>0</v>
      </c>
      <c r="C94">
        <v>5.2310075759887704</v>
      </c>
      <c r="D94">
        <v>1</v>
      </c>
      <c r="E94">
        <v>1</v>
      </c>
      <c r="F94">
        <v>1</v>
      </c>
      <c r="G94">
        <v>0</v>
      </c>
      <c r="H94">
        <v>1</v>
      </c>
      <c r="I94">
        <v>1</v>
      </c>
      <c r="J94">
        <v>1</v>
      </c>
      <c r="K94">
        <v>1</v>
      </c>
      <c r="L94">
        <v>1</v>
      </c>
      <c r="M94">
        <v>1</v>
      </c>
      <c r="N94">
        <v>1</v>
      </c>
      <c r="O94" t="s">
        <v>355</v>
      </c>
    </row>
    <row r="95" spans="1:15" x14ac:dyDescent="0.25">
      <c r="A95" t="s">
        <v>153</v>
      </c>
      <c r="B95">
        <v>0</v>
      </c>
      <c r="C95">
        <v>10.39175820350647</v>
      </c>
      <c r="D95">
        <v>1</v>
      </c>
      <c r="E95">
        <v>1</v>
      </c>
      <c r="F95">
        <v>1</v>
      </c>
      <c r="G95">
        <v>0</v>
      </c>
      <c r="H95">
        <v>1</v>
      </c>
      <c r="I95">
        <v>1</v>
      </c>
      <c r="J95">
        <v>1</v>
      </c>
      <c r="K95">
        <v>1</v>
      </c>
      <c r="L95">
        <v>1</v>
      </c>
      <c r="M95">
        <v>1</v>
      </c>
      <c r="N95">
        <v>1</v>
      </c>
      <c r="O95" t="s">
        <v>356</v>
      </c>
    </row>
    <row r="96" spans="1:15" x14ac:dyDescent="0.25">
      <c r="A96" t="s">
        <v>155</v>
      </c>
      <c r="B96">
        <v>0</v>
      </c>
      <c r="C96">
        <v>5.524970531463623</v>
      </c>
      <c r="D96">
        <v>0</v>
      </c>
      <c r="E96" t="s">
        <v>17</v>
      </c>
      <c r="F96" t="s">
        <v>17</v>
      </c>
      <c r="G96" t="s">
        <v>17</v>
      </c>
      <c r="H96" t="s">
        <v>17</v>
      </c>
      <c r="I96" t="s">
        <v>17</v>
      </c>
      <c r="J96" t="s">
        <v>17</v>
      </c>
      <c r="K96" t="s">
        <v>17</v>
      </c>
      <c r="L96" t="s">
        <v>17</v>
      </c>
      <c r="M96" t="s">
        <v>17</v>
      </c>
      <c r="N96" t="s">
        <v>17</v>
      </c>
      <c r="O96" t="s">
        <v>357</v>
      </c>
    </row>
    <row r="97" spans="1:15" x14ac:dyDescent="0.25">
      <c r="A97" t="s">
        <v>157</v>
      </c>
      <c r="B97">
        <v>0</v>
      </c>
      <c r="C97">
        <v>11.63486433029175</v>
      </c>
      <c r="D97">
        <v>1</v>
      </c>
      <c r="E97">
        <v>1</v>
      </c>
      <c r="F97">
        <v>1</v>
      </c>
      <c r="G97">
        <v>1</v>
      </c>
      <c r="H97">
        <v>1</v>
      </c>
      <c r="I97">
        <v>0</v>
      </c>
      <c r="J97">
        <v>1</v>
      </c>
      <c r="K97">
        <v>1</v>
      </c>
      <c r="L97">
        <v>1</v>
      </c>
      <c r="M97">
        <v>1</v>
      </c>
      <c r="N97">
        <v>1</v>
      </c>
      <c r="O97" t="s">
        <v>358</v>
      </c>
    </row>
    <row r="98" spans="1:15" x14ac:dyDescent="0.25">
      <c r="A98" t="s">
        <v>159</v>
      </c>
      <c r="B98">
        <v>0</v>
      </c>
      <c r="C98">
        <v>6.3397622108459473</v>
      </c>
      <c r="D98">
        <v>1</v>
      </c>
      <c r="E98">
        <v>1</v>
      </c>
      <c r="F98">
        <v>1</v>
      </c>
      <c r="G98">
        <v>0</v>
      </c>
      <c r="H98">
        <v>1</v>
      </c>
      <c r="I98">
        <v>1</v>
      </c>
      <c r="J98">
        <v>0</v>
      </c>
      <c r="K98">
        <v>0</v>
      </c>
      <c r="L98">
        <v>1</v>
      </c>
      <c r="M98">
        <v>1</v>
      </c>
      <c r="N98">
        <v>1</v>
      </c>
      <c r="O98" t="s">
        <v>359</v>
      </c>
    </row>
    <row r="99" spans="1:15" x14ac:dyDescent="0.25">
      <c r="A99" t="s">
        <v>161</v>
      </c>
      <c r="B99">
        <v>0</v>
      </c>
      <c r="C99">
        <v>5.441978931427002</v>
      </c>
      <c r="D99">
        <v>1</v>
      </c>
      <c r="E99">
        <v>1</v>
      </c>
      <c r="F99">
        <v>1</v>
      </c>
      <c r="G99">
        <v>1</v>
      </c>
      <c r="H99">
        <v>1</v>
      </c>
      <c r="I99">
        <v>0</v>
      </c>
      <c r="J99">
        <v>0</v>
      </c>
      <c r="K99">
        <v>1</v>
      </c>
      <c r="L99">
        <v>1</v>
      </c>
      <c r="M99">
        <v>1</v>
      </c>
      <c r="N99">
        <v>1</v>
      </c>
      <c r="O99" t="s">
        <v>360</v>
      </c>
    </row>
    <row r="100" spans="1:15" x14ac:dyDescent="0.25">
      <c r="A100" t="s">
        <v>163</v>
      </c>
      <c r="B100">
        <v>0</v>
      </c>
      <c r="C100">
        <v>11.31982326507568</v>
      </c>
      <c r="D100">
        <v>1</v>
      </c>
      <c r="E100">
        <v>1</v>
      </c>
      <c r="F100">
        <v>1</v>
      </c>
      <c r="G100">
        <v>0</v>
      </c>
      <c r="H100">
        <v>1</v>
      </c>
      <c r="I100">
        <v>1</v>
      </c>
      <c r="J100">
        <v>1</v>
      </c>
      <c r="K100">
        <v>1</v>
      </c>
      <c r="L100">
        <v>1</v>
      </c>
      <c r="M100">
        <v>1</v>
      </c>
      <c r="N100">
        <v>1</v>
      </c>
      <c r="O100" t="s">
        <v>361</v>
      </c>
    </row>
    <row r="101" spans="1:15" x14ac:dyDescent="0.25">
      <c r="A101" t="s">
        <v>165</v>
      </c>
      <c r="B101">
        <v>0</v>
      </c>
      <c r="C101">
        <v>5.7301597595214844</v>
      </c>
      <c r="D101">
        <v>0</v>
      </c>
      <c r="E101" t="s">
        <v>17</v>
      </c>
      <c r="F101" t="s">
        <v>17</v>
      </c>
      <c r="G101" t="s">
        <v>17</v>
      </c>
      <c r="H101" t="s">
        <v>17</v>
      </c>
      <c r="I101" t="s">
        <v>17</v>
      </c>
      <c r="J101" t="s">
        <v>17</v>
      </c>
      <c r="K101" t="s">
        <v>17</v>
      </c>
      <c r="L101" t="s">
        <v>17</v>
      </c>
      <c r="M101" t="s">
        <v>17</v>
      </c>
      <c r="N101" t="s">
        <v>17</v>
      </c>
      <c r="O101" t="s">
        <v>362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0C04A-4D32-4FA4-9BAE-E35BC229608E}">
  <dimension ref="A1:O101"/>
  <sheetViews>
    <sheetView tabSelected="1" workbookViewId="0">
      <selection activeCell="D2" sqref="D2:N2"/>
    </sheetView>
  </sheetViews>
  <sheetFormatPr defaultRowHeight="13.8" x14ac:dyDescent="0.25"/>
  <cols>
    <col min="1" max="1" width="10.296875" customWidth="1"/>
    <col min="2" max="3" width="0" hidden="1" customWidth="1"/>
    <col min="8" max="8" width="8.796875" customWidth="1"/>
    <col min="15" max="15" width="49"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row>
    <row r="2" spans="1:15" x14ac:dyDescent="0.25">
      <c r="A2" t="s">
        <v>15</v>
      </c>
      <c r="B2">
        <v>0</v>
      </c>
      <c r="C2">
        <v>2.6639068126678471</v>
      </c>
      <c r="D2">
        <f>ROUND(SUM(recreation_v2_common_5!D2,recreation_v2_common_4!D2,recreation_v2_common_3!D2,recreation_v2_common_2!D2,recreation_v2_common_1!D2)/COUNT(recreation_v2_common_5!D2,recreation_v2_common_4!D2,recreation_v2_common_3!D2,recreation_v2_common_2!D2,recreation_v2_common_1!D2),0)</f>
        <v>1</v>
      </c>
      <c r="E2">
        <f>IF($D2=0,"NA",ROUND(SUM(recreation_v2_common_5!E2,recreation_v2_common_4!E2,recreation_v2_common_3!E2,recreation_v2_common_2!E2,recreation_v2_common_1!E2)/COUNT(recreation_v2_common_5!E2,recreation_v2_common_4!E2,recreation_v2_common_3!E2,recreation_v2_common_2!E2,recreation_v2_common_1!E2),0))</f>
        <v>1</v>
      </c>
      <c r="F2">
        <f>IF($D2=0,"NA",ROUND(SUM(recreation_v2_common_5!F2,recreation_v2_common_4!F2,recreation_v2_common_3!F2,recreation_v2_common_2!F2,recreation_v2_common_1!F2)/COUNT(recreation_v2_common_5!F2,recreation_v2_common_4!F2,recreation_v2_common_3!F2,recreation_v2_common_2!F2,recreation_v2_common_1!F2),0))</f>
        <v>1</v>
      </c>
      <c r="G2">
        <f>IF(AND(E2=1,F2=1),ROUND(SUM(recreation_v2_common_5!G2,recreation_v2_common_4!G2,recreation_v2_common_3!G2,recreation_v2_common_2!G2,recreation_v2_common_1!G2)/COUNT(recreation_v2_common_5!G2,recreation_v2_common_4!G2,recreation_v2_common_3!G2,recreation_v2_common_2!G2,recreation_v2_common_1!G2),0),"NA")</f>
        <v>1</v>
      </c>
      <c r="H2">
        <f>IF($D2=0,"NA",ROUND(SUM(recreation_v2_common_5!H2,recreation_v2_common_4!H2,recreation_v2_common_3!H2,recreation_v2_common_2!H2,recreation_v2_common_1!H2)/COUNT(recreation_v2_common_5!H2,recreation_v2_common_4!H2,recreation_v2_common_3!H2,recreation_v2_common_2!H2,recreation_v2_common_1!H2),0))</f>
        <v>1</v>
      </c>
      <c r="I2">
        <f>IF(E2=1,ROUND(SUM(recreation_v2_common_5!I2,recreation_v2_common_4!I2,recreation_v2_common_3!I2,recreation_v2_common_2!I2,recreation_v2_common_1!I2)/COUNT(recreation_v2_common_5!I2,recreation_v2_common_4!I2,recreation_v2_common_3!I2,recreation_v2_common_2!I2,recreation_v2_common_1!I2),0),"NA")</f>
        <v>1</v>
      </c>
      <c r="J2">
        <f>IF($D2=0,"NA",ROUND(SUM(recreation_v2_common_5!J2,recreation_v2_common_4!J2,recreation_v2_common_3!J2,recreation_v2_common_2!J2,recreation_v2_common_1!J2)/COUNT(recreation_v2_common_5!J2,recreation_v2_common_4!J2,recreation_v2_common_3!J2,recreation_v2_common_2!J2,recreation_v2_common_1!J2),0))</f>
        <v>1</v>
      </c>
      <c r="K2">
        <f>IF($D2=0,"NA",ROUND(SUM(recreation_v2_common_5!K2,recreation_v2_common_4!K2,recreation_v2_common_3!K2,recreation_v2_common_2!K2,recreation_v2_common_1!K2)/COUNT(recreation_v2_common_5!K2,recreation_v2_common_4!K2,recreation_v2_common_3!K2,recreation_v2_common_2!K2,recreation_v2_common_1!K2),0))</f>
        <v>1</v>
      </c>
      <c r="L2">
        <f>IF($D2=0,"NA",ROUND(SUM(recreation_v2_common_5!L2,recreation_v2_common_4!L2,recreation_v2_common_3!L2,recreation_v2_common_2!L2,recreation_v2_common_1!L2)/COUNT(recreation_v2_common_5!L2,recreation_v2_common_4!L2,recreation_v2_common_3!L2,recreation_v2_common_2!L2,recreation_v2_common_1!L2),0))</f>
        <v>1</v>
      </c>
      <c r="M2">
        <f>IF($D2=0,"NA",ROUND(SUM(recreation_v2_common_5!M2,recreation_v2_common_4!M2,recreation_v2_common_3!M2,recreation_v2_common_2!M2,recreation_v2_common_1!M2)/COUNT(recreation_v2_common_5!M2,recreation_v2_common_4!M2,recreation_v2_common_3!M2,recreation_v2_common_2!M2,recreation_v2_common_1!M2),0))</f>
        <v>1</v>
      </c>
      <c r="N2">
        <f>IF($D2=0,"NA",ROUND(SUM(recreation_v2_common_5!N2,recreation_v2_common_4!N2,recreation_v2_common_3!N2,recreation_v2_common_2!N2,recreation_v2_common_1!N2)/COUNT(recreation_v2_common_5!N2,recreation_v2_common_4!N2,recreation_v2_common_3!N2,recreation_v2_common_2!N2,recreation_v2_common_1!N2),0))</f>
        <v>1</v>
      </c>
      <c r="O2" t="s">
        <v>364</v>
      </c>
    </row>
    <row r="3" spans="1:15" ht="41.4" x14ac:dyDescent="0.25">
      <c r="A3" t="s">
        <v>16</v>
      </c>
      <c r="B3">
        <v>0</v>
      </c>
      <c r="C3">
        <v>8.1386747360229492</v>
      </c>
      <c r="D3">
        <f>ROUND(SUM(recreation_v2_common_5!D3,recreation_v2_common_4!D3,recreation_v2_common_3!D3,recreation_v2_common_2!D3,recreation_v2_common_1!D3)/COUNT(recreation_v2_common_5!D3,recreation_v2_common_4!D3,recreation_v2_common_3!D3,recreation_v2_common_2!D3,recreation_v2_common_1!D3),0)</f>
        <v>0</v>
      </c>
      <c r="E3" t="str">
        <f>IF($D3=0,"NA",ROUND(SUM(recreation_v2_common_5!E3,recreation_v2_common_4!E3,recreation_v2_common_3!E3,recreation_v2_common_2!E3,recreation_v2_common_1!E3)/COUNT(recreation_v2_common_5!E3,recreation_v2_common_4!E3,recreation_v2_common_3!E3,recreation_v2_common_2!E3,recreation_v2_common_1!E3),0))</f>
        <v>NA</v>
      </c>
      <c r="F3" t="str">
        <f>IF($D3=0,"NA",ROUND(SUM(recreation_v2_common_5!F3,recreation_v2_common_4!F3,recreation_v2_common_3!F3,recreation_v2_common_2!F3,recreation_v2_common_1!F3)/COUNT(recreation_v2_common_5!F3,recreation_v2_common_4!F3,recreation_v2_common_3!F3,recreation_v2_common_2!F3,recreation_v2_common_1!F3),0))</f>
        <v>NA</v>
      </c>
      <c r="G3" t="str">
        <f>IF(AND(E3=1,F3=1),ROUND(SUM(recreation_v2_common_5!G3,recreation_v2_common_4!G3,recreation_v2_common_3!G3,recreation_v2_common_2!G3,recreation_v2_common_1!G3)/COUNT(recreation_v2_common_5!G3,recreation_v2_common_4!G3,recreation_v2_common_3!G3,recreation_v2_common_2!G3,recreation_v2_common_1!G3),0),"NA")</f>
        <v>NA</v>
      </c>
      <c r="H3" t="str">
        <f>IF($D3=0,"NA",ROUND(SUM(recreation_v2_common_5!H3,recreation_v2_common_4!H3,recreation_v2_common_3!H3,recreation_v2_common_2!H3,recreation_v2_common_1!H3)/COUNT(recreation_v2_common_5!H3,recreation_v2_common_4!H3,recreation_v2_common_3!H3,recreation_v2_common_2!H3,recreation_v2_common_1!H3),0))</f>
        <v>NA</v>
      </c>
      <c r="I3" t="str">
        <f>IF(E3=1,ROUND(SUM(recreation_v2_common_5!I3,recreation_v2_common_4!I3,recreation_v2_common_3!I3,recreation_v2_common_2!I3,recreation_v2_common_1!I3)/COUNT(recreation_v2_common_5!I3,recreation_v2_common_4!I3,recreation_v2_common_3!I3,recreation_v2_common_2!I3,recreation_v2_common_1!I3),0),"NA")</f>
        <v>NA</v>
      </c>
      <c r="J3" t="str">
        <f>IF($D3=0,"NA",ROUND(SUM(recreation_v2_common_5!J3,recreation_v2_common_4!J3,recreation_v2_common_3!J3,recreation_v2_common_2!J3,recreation_v2_common_1!J3)/COUNT(recreation_v2_common_5!J3,recreation_v2_common_4!J3,recreation_v2_common_3!J3,recreation_v2_common_2!J3,recreation_v2_common_1!J3),0))</f>
        <v>NA</v>
      </c>
      <c r="K3" t="str">
        <f>IF($D3=0,"NA",ROUND(SUM(recreation_v2_common_5!K3,recreation_v2_common_4!K3,recreation_v2_common_3!K3,recreation_v2_common_2!K3,recreation_v2_common_1!K3)/COUNT(recreation_v2_common_5!K3,recreation_v2_common_4!K3,recreation_v2_common_3!K3,recreation_v2_common_2!K3,recreation_v2_common_1!K3),0))</f>
        <v>NA</v>
      </c>
      <c r="L3" t="str">
        <f>IF($D3=0,"NA",ROUND(SUM(recreation_v2_common_5!L3,recreation_v2_common_4!L3,recreation_v2_common_3!L3,recreation_v2_common_2!L3,recreation_v2_common_1!L3)/COUNT(recreation_v2_common_5!L3,recreation_v2_common_4!L3,recreation_v2_common_3!L3,recreation_v2_common_2!L3,recreation_v2_common_1!L3),0))</f>
        <v>NA</v>
      </c>
      <c r="M3" t="str">
        <f>IF($D3=0,"NA",ROUND(SUM(recreation_v2_common_5!M3,recreation_v2_common_4!M3,recreation_v2_common_3!M3,recreation_v2_common_2!M3,recreation_v2_common_1!M3)/COUNT(recreation_v2_common_5!M3,recreation_v2_common_4!M3,recreation_v2_common_3!M3,recreation_v2_common_2!M3,recreation_v2_common_1!M3),0))</f>
        <v>NA</v>
      </c>
      <c r="N3" t="str">
        <f>IF($D3=0,"NA",ROUND(SUM(recreation_v2_common_5!N3,recreation_v2_common_4!N3,recreation_v2_common_3!N3,recreation_v2_common_2!N3,recreation_v2_common_1!N3)/COUNT(recreation_v2_common_5!N3,recreation_v2_common_4!N3,recreation_v2_common_3!N3,recreation_v2_common_2!N3,recreation_v2_common_1!N3),0))</f>
        <v>NA</v>
      </c>
      <c r="O3" s="2" t="s">
        <v>363</v>
      </c>
    </row>
    <row r="4" spans="1:15" x14ac:dyDescent="0.25">
      <c r="A4" t="s">
        <v>19</v>
      </c>
      <c r="B4">
        <v>0</v>
      </c>
      <c r="C4">
        <v>9.8507728576660156</v>
      </c>
      <c r="D4">
        <f>ROUND(SUM(recreation_v2_common_5!D4,recreation_v2_common_4!D4,recreation_v2_common_3!D4,recreation_v2_common_2!D4,recreation_v2_common_1!D4)/COUNT(recreation_v2_common_5!D4,recreation_v2_common_4!D4,recreation_v2_common_3!D4,recreation_v2_common_2!D4,recreation_v2_common_1!D4),0)</f>
        <v>1</v>
      </c>
      <c r="E4">
        <f>IF($D4=0,"NA",ROUND(SUM(recreation_v2_common_5!E4,recreation_v2_common_4!E4,recreation_v2_common_3!E4,recreation_v2_common_2!E4,recreation_v2_common_1!E4)/COUNT(recreation_v2_common_5!E4,recreation_v2_common_4!E4,recreation_v2_common_3!E4,recreation_v2_common_2!E4,recreation_v2_common_1!E4),0))</f>
        <v>1</v>
      </c>
      <c r="F4">
        <f>IF($D4=0,"NA",ROUND(SUM(recreation_v2_common_5!F4,recreation_v2_common_4!F4,recreation_v2_common_3!F4,recreation_v2_common_2!F4,recreation_v2_common_1!F4)/COUNT(recreation_v2_common_5!F4,recreation_v2_common_4!F4,recreation_v2_common_3!F4,recreation_v2_common_2!F4,recreation_v2_common_1!F4),0))</f>
        <v>1</v>
      </c>
      <c r="G4">
        <f>IF(AND(E4=1,F4=1),ROUND(SUM(recreation_v2_common_5!G4,recreation_v2_common_4!G4,recreation_v2_common_3!G4,recreation_v2_common_2!G4,recreation_v2_common_1!G4)/COUNT(recreation_v2_common_5!G4,recreation_v2_common_4!G4,recreation_v2_common_3!G4,recreation_v2_common_2!G4,recreation_v2_common_1!G4),0),"NA")</f>
        <v>1</v>
      </c>
      <c r="H4">
        <f>IF($D4=0,"NA",ROUND(SUM(recreation_v2_common_5!H4,recreation_v2_common_4!H4,recreation_v2_common_3!H4,recreation_v2_common_2!H4,recreation_v2_common_1!H4)/COUNT(recreation_v2_common_5!H4,recreation_v2_common_4!H4,recreation_v2_common_3!H4,recreation_v2_common_2!H4,recreation_v2_common_1!H4),0))</f>
        <v>1</v>
      </c>
      <c r="I4">
        <f>IF(E4=1,ROUND(SUM(recreation_v2_common_5!I4,recreation_v2_common_4!I4,recreation_v2_common_3!I4,recreation_v2_common_2!I4,recreation_v2_common_1!I4)/COUNT(recreation_v2_common_5!I4,recreation_v2_common_4!I4,recreation_v2_common_3!I4,recreation_v2_common_2!I4,recreation_v2_common_1!I4),0),"NA")</f>
        <v>1</v>
      </c>
      <c r="J4">
        <f>IF($D4=0,"NA",ROUND(SUM(recreation_v2_common_5!J4,recreation_v2_common_4!J4,recreation_v2_common_3!J4,recreation_v2_common_2!J4,recreation_v2_common_1!J4)/COUNT(recreation_v2_common_5!J4,recreation_v2_common_4!J4,recreation_v2_common_3!J4,recreation_v2_common_2!J4,recreation_v2_common_1!J4),0))</f>
        <v>1</v>
      </c>
      <c r="K4">
        <f>IF($D4=0,"NA",ROUND(SUM(recreation_v2_common_5!K4,recreation_v2_common_4!K4,recreation_v2_common_3!K4,recreation_v2_common_2!K4,recreation_v2_common_1!K4)/COUNT(recreation_v2_common_5!K4,recreation_v2_common_4!K4,recreation_v2_common_3!K4,recreation_v2_common_2!K4,recreation_v2_common_1!K4),0))</f>
        <v>1</v>
      </c>
      <c r="L4">
        <f>IF($D4=0,"NA",ROUND(SUM(recreation_v2_common_5!L4,recreation_v2_common_4!L4,recreation_v2_common_3!L4,recreation_v2_common_2!L4,recreation_v2_common_1!L4)/COUNT(recreation_v2_common_5!L4,recreation_v2_common_4!L4,recreation_v2_common_3!L4,recreation_v2_common_2!L4,recreation_v2_common_1!L4),0))</f>
        <v>1</v>
      </c>
      <c r="M4">
        <f>IF($D4=0,"NA",ROUND(SUM(recreation_v2_common_5!M4,recreation_v2_common_4!M4,recreation_v2_common_3!M4,recreation_v2_common_2!M4,recreation_v2_common_1!M4)/COUNT(recreation_v2_common_5!M4,recreation_v2_common_4!M4,recreation_v2_common_3!M4,recreation_v2_common_2!M4,recreation_v2_common_1!M4),0))</f>
        <v>1</v>
      </c>
      <c r="N4">
        <f>IF($D4=0,"NA",ROUND(SUM(recreation_v2_common_5!N4,recreation_v2_common_4!N4,recreation_v2_common_3!N4,recreation_v2_common_2!N4,recreation_v2_common_1!N4)/COUNT(recreation_v2_common_5!N4,recreation_v2_common_4!N4,recreation_v2_common_3!N4,recreation_v2_common_2!N4,recreation_v2_common_1!N4),0))</f>
        <v>1</v>
      </c>
    </row>
    <row r="5" spans="1:15" x14ac:dyDescent="0.25">
      <c r="A5" t="s">
        <v>20</v>
      </c>
      <c r="B5">
        <v>0</v>
      </c>
      <c r="C5">
        <v>9.2473416328430176</v>
      </c>
      <c r="D5">
        <f>ROUND(SUM(recreation_v2_common_5!D5,recreation_v2_common_4!D5,recreation_v2_common_3!D5,recreation_v2_common_2!D5,recreation_v2_common_1!D5)/COUNT(recreation_v2_common_5!D5,recreation_v2_common_4!D5,recreation_v2_common_3!D5,recreation_v2_common_2!D5,recreation_v2_common_1!D5),0)</f>
        <v>1</v>
      </c>
      <c r="E5">
        <f>IF($D5=0,"NA",ROUND(SUM(recreation_v2_common_5!E5,recreation_v2_common_4!E5,recreation_v2_common_3!E5,recreation_v2_common_2!E5,recreation_v2_common_1!E5)/COUNT(recreation_v2_common_5!E5,recreation_v2_common_4!E5,recreation_v2_common_3!E5,recreation_v2_common_2!E5,recreation_v2_common_1!E5),0))</f>
        <v>1</v>
      </c>
      <c r="F5">
        <f>IF($D5=0,"NA",ROUND(SUM(recreation_v2_common_5!F5,recreation_v2_common_4!F5,recreation_v2_common_3!F5,recreation_v2_common_2!F5,recreation_v2_common_1!F5)/COUNT(recreation_v2_common_5!F5,recreation_v2_common_4!F5,recreation_v2_common_3!F5,recreation_v2_common_2!F5,recreation_v2_common_1!F5),0))</f>
        <v>1</v>
      </c>
      <c r="G5">
        <f>IF(AND(E5=1,F5=1),ROUND(SUM(recreation_v2_common_5!G5,recreation_v2_common_4!G5,recreation_v2_common_3!G5,recreation_v2_common_2!G5,recreation_v2_common_1!G5)/COUNT(recreation_v2_common_5!G5,recreation_v2_common_4!G5,recreation_v2_common_3!G5,recreation_v2_common_2!G5,recreation_v2_common_1!G5),0),"NA")</f>
        <v>1</v>
      </c>
      <c r="H5">
        <f>IF($D5=0,"NA",ROUND(SUM(recreation_v2_common_5!H5,recreation_v2_common_4!H5,recreation_v2_common_3!H5,recreation_v2_common_2!H5,recreation_v2_common_1!H5)/COUNT(recreation_v2_common_5!H5,recreation_v2_common_4!H5,recreation_v2_common_3!H5,recreation_v2_common_2!H5,recreation_v2_common_1!H5),0))</f>
        <v>1</v>
      </c>
      <c r="I5">
        <f>IF(E5=1,ROUND(SUM(recreation_v2_common_5!I5,recreation_v2_common_4!I5,recreation_v2_common_3!I5,recreation_v2_common_2!I5,recreation_v2_common_1!I5)/COUNT(recreation_v2_common_5!I5,recreation_v2_common_4!I5,recreation_v2_common_3!I5,recreation_v2_common_2!I5,recreation_v2_common_1!I5),0),"NA")</f>
        <v>1</v>
      </c>
      <c r="J5">
        <f>IF($D5=0,"NA",ROUND(SUM(recreation_v2_common_5!J5,recreation_v2_common_4!J5,recreation_v2_common_3!J5,recreation_v2_common_2!J5,recreation_v2_common_1!J5)/COUNT(recreation_v2_common_5!J5,recreation_v2_common_4!J5,recreation_v2_common_3!J5,recreation_v2_common_2!J5,recreation_v2_common_1!J5),0))</f>
        <v>1</v>
      </c>
      <c r="K5">
        <f>IF($D5=0,"NA",ROUND(SUM(recreation_v2_common_5!K5,recreation_v2_common_4!K5,recreation_v2_common_3!K5,recreation_v2_common_2!K5,recreation_v2_common_1!K5)/COUNT(recreation_v2_common_5!K5,recreation_v2_common_4!K5,recreation_v2_common_3!K5,recreation_v2_common_2!K5,recreation_v2_common_1!K5),0))</f>
        <v>1</v>
      </c>
      <c r="L5">
        <f>IF($D5=0,"NA",ROUND(SUM(recreation_v2_common_5!L5,recreation_v2_common_4!L5,recreation_v2_common_3!L5,recreation_v2_common_2!L5,recreation_v2_common_1!L5)/COUNT(recreation_v2_common_5!L5,recreation_v2_common_4!L5,recreation_v2_common_3!L5,recreation_v2_common_2!L5,recreation_v2_common_1!L5),0))</f>
        <v>1</v>
      </c>
      <c r="M5">
        <f>IF($D5=0,"NA",ROUND(SUM(recreation_v2_common_5!M5,recreation_v2_common_4!M5,recreation_v2_common_3!M5,recreation_v2_common_2!M5,recreation_v2_common_1!M5)/COUNT(recreation_v2_common_5!M5,recreation_v2_common_4!M5,recreation_v2_common_3!M5,recreation_v2_common_2!M5,recreation_v2_common_1!M5),0))</f>
        <v>1</v>
      </c>
      <c r="N5">
        <f>IF($D5=0,"NA",ROUND(SUM(recreation_v2_common_5!N5,recreation_v2_common_4!N5,recreation_v2_common_3!N5,recreation_v2_common_2!N5,recreation_v2_common_1!N5)/COUNT(recreation_v2_common_5!N5,recreation_v2_common_4!N5,recreation_v2_common_3!N5,recreation_v2_common_2!N5,recreation_v2_common_1!N5),0))</f>
        <v>1</v>
      </c>
    </row>
    <row r="6" spans="1:15" x14ac:dyDescent="0.25">
      <c r="A6" t="s">
        <v>21</v>
      </c>
      <c r="B6">
        <v>0</v>
      </c>
      <c r="C6">
        <v>2.7540674209594731</v>
      </c>
      <c r="D6">
        <f>ROUND(SUM(recreation_v2_common_5!D6,recreation_v2_common_4!D6,recreation_v2_common_3!D6,recreation_v2_common_2!D6,recreation_v2_common_1!D6)/COUNT(recreation_v2_common_5!D6,recreation_v2_common_4!D6,recreation_v2_common_3!D6,recreation_v2_common_2!D6,recreation_v2_common_1!D6),0)</f>
        <v>1</v>
      </c>
      <c r="E6">
        <f>IF($D6=0,"NA",ROUND(SUM(recreation_v2_common_5!E6,recreation_v2_common_4!E6,recreation_v2_common_3!E6,recreation_v2_common_2!E6,recreation_v2_common_1!E6)/COUNT(recreation_v2_common_5!E6,recreation_v2_common_4!E6,recreation_v2_common_3!E6,recreation_v2_common_2!E6,recreation_v2_common_1!E6),0))</f>
        <v>1</v>
      </c>
      <c r="F6">
        <f>IF($D6=0,"NA",ROUND(SUM(recreation_v2_common_5!F6,recreation_v2_common_4!F6,recreation_v2_common_3!F6,recreation_v2_common_2!F6,recreation_v2_common_1!F6)/COUNT(recreation_v2_common_5!F6,recreation_v2_common_4!F6,recreation_v2_common_3!F6,recreation_v2_common_2!F6,recreation_v2_common_1!F6),0))</f>
        <v>1</v>
      </c>
      <c r="G6">
        <f>IF(AND(E6=1,F6=1),ROUND(SUM(recreation_v2_common_5!G6,recreation_v2_common_4!G6,recreation_v2_common_3!G6,recreation_v2_common_2!G6,recreation_v2_common_1!G6)/COUNT(recreation_v2_common_5!G6,recreation_v2_common_4!G6,recreation_v2_common_3!G6,recreation_v2_common_2!G6,recreation_v2_common_1!G6),0),"NA")</f>
        <v>1</v>
      </c>
      <c r="H6">
        <f>IF($D6=0,"NA",ROUND(SUM(recreation_v2_common_5!H6,recreation_v2_common_4!H6,recreation_v2_common_3!H6,recreation_v2_common_2!H6,recreation_v2_common_1!H6)/COUNT(recreation_v2_common_5!H6,recreation_v2_common_4!H6,recreation_v2_common_3!H6,recreation_v2_common_2!H6,recreation_v2_common_1!H6),0))</f>
        <v>1</v>
      </c>
      <c r="I6">
        <f>IF(E6=1,ROUND(SUM(recreation_v2_common_5!I6,recreation_v2_common_4!I6,recreation_v2_common_3!I6,recreation_v2_common_2!I6,recreation_v2_common_1!I6)/COUNT(recreation_v2_common_5!I6,recreation_v2_common_4!I6,recreation_v2_common_3!I6,recreation_v2_common_2!I6,recreation_v2_common_1!I6),0),"NA")</f>
        <v>1</v>
      </c>
      <c r="J6">
        <f>IF($D6=0,"NA",ROUND(SUM(recreation_v2_common_5!J6,recreation_v2_common_4!J6,recreation_v2_common_3!J6,recreation_v2_common_2!J6,recreation_v2_common_1!J6)/COUNT(recreation_v2_common_5!J6,recreation_v2_common_4!J6,recreation_v2_common_3!J6,recreation_v2_common_2!J6,recreation_v2_common_1!J6),0))</f>
        <v>1</v>
      </c>
      <c r="K6">
        <f>IF($D6=0,"NA",ROUND(SUM(recreation_v2_common_5!K6,recreation_v2_common_4!K6,recreation_v2_common_3!K6,recreation_v2_common_2!K6,recreation_v2_common_1!K6)/COUNT(recreation_v2_common_5!K6,recreation_v2_common_4!K6,recreation_v2_common_3!K6,recreation_v2_common_2!K6,recreation_v2_common_1!K6),0))</f>
        <v>1</v>
      </c>
      <c r="L6">
        <f>IF($D6=0,"NA",ROUND(SUM(recreation_v2_common_5!L6,recreation_v2_common_4!L6,recreation_v2_common_3!L6,recreation_v2_common_2!L6,recreation_v2_common_1!L6)/COUNT(recreation_v2_common_5!L6,recreation_v2_common_4!L6,recreation_v2_common_3!L6,recreation_v2_common_2!L6,recreation_v2_common_1!L6),0))</f>
        <v>1</v>
      </c>
      <c r="M6">
        <f>IF($D6=0,"NA",ROUND(SUM(recreation_v2_common_5!M6,recreation_v2_common_4!M6,recreation_v2_common_3!M6,recreation_v2_common_2!M6,recreation_v2_common_1!M6)/COUNT(recreation_v2_common_5!M6,recreation_v2_common_4!M6,recreation_v2_common_3!M6,recreation_v2_common_2!M6,recreation_v2_common_1!M6),0))</f>
        <v>1</v>
      </c>
      <c r="N6">
        <f>IF($D6=0,"NA",ROUND(SUM(recreation_v2_common_5!N6,recreation_v2_common_4!N6,recreation_v2_common_3!N6,recreation_v2_common_2!N6,recreation_v2_common_1!N6)/COUNT(recreation_v2_common_5!N6,recreation_v2_common_4!N6,recreation_v2_common_3!N6,recreation_v2_common_2!N6,recreation_v2_common_1!N6),0))</f>
        <v>1</v>
      </c>
    </row>
    <row r="7" spans="1:15" x14ac:dyDescent="0.25">
      <c r="A7" t="s">
        <v>22</v>
      </c>
      <c r="B7">
        <v>0</v>
      </c>
      <c r="C7">
        <v>2.693496465682983</v>
      </c>
      <c r="D7">
        <f>ROUND(SUM(recreation_v2_common_5!D7,recreation_v2_common_4!D7,recreation_v2_common_3!D7,recreation_v2_common_2!D7,recreation_v2_common_1!D7)/COUNT(recreation_v2_common_5!D7,recreation_v2_common_4!D7,recreation_v2_common_3!D7,recreation_v2_common_2!D7,recreation_v2_common_1!D7),0)</f>
        <v>1</v>
      </c>
      <c r="E7">
        <f>IF($D7=0,"NA",ROUND(SUM(recreation_v2_common_5!E7,recreation_v2_common_4!E7,recreation_v2_common_3!E7,recreation_v2_common_2!E7,recreation_v2_common_1!E7)/COUNT(recreation_v2_common_5!E7,recreation_v2_common_4!E7,recreation_v2_common_3!E7,recreation_v2_common_2!E7,recreation_v2_common_1!E7),0))</f>
        <v>1</v>
      </c>
      <c r="F7">
        <f>IF($D7=0,"NA",ROUND(SUM(recreation_v2_common_5!F7,recreation_v2_common_4!F7,recreation_v2_common_3!F7,recreation_v2_common_2!F7,recreation_v2_common_1!F7)/COUNT(recreation_v2_common_5!F7,recreation_v2_common_4!F7,recreation_v2_common_3!F7,recreation_v2_common_2!F7,recreation_v2_common_1!F7),0))</f>
        <v>1</v>
      </c>
      <c r="G7">
        <f>IF(AND(E7=1,F7=1),ROUND(SUM(recreation_v2_common_5!G7,recreation_v2_common_4!G7,recreation_v2_common_3!G7,recreation_v2_common_2!G7,recreation_v2_common_1!G7)/COUNT(recreation_v2_common_5!G7,recreation_v2_common_4!G7,recreation_v2_common_3!G7,recreation_v2_common_2!G7,recreation_v2_common_1!G7),0),"NA")</f>
        <v>1</v>
      </c>
      <c r="H7">
        <f>IF($D7=0,"NA",ROUND(SUM(recreation_v2_common_5!H7,recreation_v2_common_4!H7,recreation_v2_common_3!H7,recreation_v2_common_2!H7,recreation_v2_common_1!H7)/COUNT(recreation_v2_common_5!H7,recreation_v2_common_4!H7,recreation_v2_common_3!H7,recreation_v2_common_2!H7,recreation_v2_common_1!H7),0))</f>
        <v>1</v>
      </c>
      <c r="I7">
        <f>IF(E7=1,ROUND(SUM(recreation_v2_common_5!I7,recreation_v2_common_4!I7,recreation_v2_common_3!I7,recreation_v2_common_2!I7,recreation_v2_common_1!I7)/COUNT(recreation_v2_common_5!I7,recreation_v2_common_4!I7,recreation_v2_common_3!I7,recreation_v2_common_2!I7,recreation_v2_common_1!I7),0),"NA")</f>
        <v>1</v>
      </c>
      <c r="J7">
        <f>IF($D7=0,"NA",ROUND(SUM(recreation_v2_common_5!J7,recreation_v2_common_4!J7,recreation_v2_common_3!J7,recreation_v2_common_2!J7,recreation_v2_common_1!J7)/COUNT(recreation_v2_common_5!J7,recreation_v2_common_4!J7,recreation_v2_common_3!J7,recreation_v2_common_2!J7,recreation_v2_common_1!J7),0))</f>
        <v>1</v>
      </c>
      <c r="K7">
        <f>IF($D7=0,"NA",ROUND(SUM(recreation_v2_common_5!K7,recreation_v2_common_4!K7,recreation_v2_common_3!K7,recreation_v2_common_2!K7,recreation_v2_common_1!K7)/COUNT(recreation_v2_common_5!K7,recreation_v2_common_4!K7,recreation_v2_common_3!K7,recreation_v2_common_2!K7,recreation_v2_common_1!K7),0))</f>
        <v>1</v>
      </c>
      <c r="L7">
        <f>IF($D7=0,"NA",ROUND(SUM(recreation_v2_common_5!L7,recreation_v2_common_4!L7,recreation_v2_common_3!L7,recreation_v2_common_2!L7,recreation_v2_common_1!L7)/COUNT(recreation_v2_common_5!L7,recreation_v2_common_4!L7,recreation_v2_common_3!L7,recreation_v2_common_2!L7,recreation_v2_common_1!L7),0))</f>
        <v>1</v>
      </c>
      <c r="M7">
        <f>IF($D7=0,"NA",ROUND(SUM(recreation_v2_common_5!M7,recreation_v2_common_4!M7,recreation_v2_common_3!M7,recreation_v2_common_2!M7,recreation_v2_common_1!M7)/COUNT(recreation_v2_common_5!M7,recreation_v2_common_4!M7,recreation_v2_common_3!M7,recreation_v2_common_2!M7,recreation_v2_common_1!M7),0))</f>
        <v>1</v>
      </c>
      <c r="N7">
        <f>IF($D7=0,"NA",ROUND(SUM(recreation_v2_common_5!N7,recreation_v2_common_4!N7,recreation_v2_common_3!N7,recreation_v2_common_2!N7,recreation_v2_common_1!N7)/COUNT(recreation_v2_common_5!N7,recreation_v2_common_4!N7,recreation_v2_common_3!N7,recreation_v2_common_2!N7,recreation_v2_common_1!N7),0))</f>
        <v>1</v>
      </c>
    </row>
    <row r="8" spans="1:15" x14ac:dyDescent="0.25">
      <c r="A8" t="s">
        <v>23</v>
      </c>
      <c r="B8">
        <v>0</v>
      </c>
      <c r="C8">
        <v>2.6977531909942631</v>
      </c>
      <c r="D8">
        <f>ROUND(SUM(recreation_v2_common_5!D8,recreation_v2_common_4!D8,recreation_v2_common_3!D8,recreation_v2_common_2!D8,recreation_v2_common_1!D8)/COUNT(recreation_v2_common_5!D8,recreation_v2_common_4!D8,recreation_v2_common_3!D8,recreation_v2_common_2!D8,recreation_v2_common_1!D8),0)</f>
        <v>1</v>
      </c>
      <c r="E8">
        <f>IF($D8=0,"NA",ROUND(SUM(recreation_v2_common_5!E8,recreation_v2_common_4!E8,recreation_v2_common_3!E8,recreation_v2_common_2!E8,recreation_v2_common_1!E8)/COUNT(recreation_v2_common_5!E8,recreation_v2_common_4!E8,recreation_v2_common_3!E8,recreation_v2_common_2!E8,recreation_v2_common_1!E8),0))</f>
        <v>1</v>
      </c>
      <c r="F8">
        <f>IF($D8=0,"NA",ROUND(SUM(recreation_v2_common_5!F8,recreation_v2_common_4!F8,recreation_v2_common_3!F8,recreation_v2_common_2!F8,recreation_v2_common_1!F8)/COUNT(recreation_v2_common_5!F8,recreation_v2_common_4!F8,recreation_v2_common_3!F8,recreation_v2_common_2!F8,recreation_v2_common_1!F8),0))</f>
        <v>1</v>
      </c>
      <c r="G8">
        <f>IF(AND(E8=1,F8=1),ROUND(SUM(recreation_v2_common_5!G8,recreation_v2_common_4!G8,recreation_v2_common_3!G8,recreation_v2_common_2!G8,recreation_v2_common_1!G8)/COUNT(recreation_v2_common_5!G8,recreation_v2_common_4!G8,recreation_v2_common_3!G8,recreation_v2_common_2!G8,recreation_v2_common_1!G8),0),"NA")</f>
        <v>1</v>
      </c>
      <c r="H8">
        <f>IF($D8=0,"NA",ROUND(SUM(recreation_v2_common_5!H8,recreation_v2_common_4!H8,recreation_v2_common_3!H8,recreation_v2_common_2!H8,recreation_v2_common_1!H8)/COUNT(recreation_v2_common_5!H8,recreation_v2_common_4!H8,recreation_v2_common_3!H8,recreation_v2_common_2!H8,recreation_v2_common_1!H8),0))</f>
        <v>1</v>
      </c>
      <c r="I8">
        <f>IF(E8=1,ROUND(SUM(recreation_v2_common_5!I8,recreation_v2_common_4!I8,recreation_v2_common_3!I8,recreation_v2_common_2!I8,recreation_v2_common_1!I8)/COUNT(recreation_v2_common_5!I8,recreation_v2_common_4!I8,recreation_v2_common_3!I8,recreation_v2_common_2!I8,recreation_v2_common_1!I8),0),"NA")</f>
        <v>1</v>
      </c>
      <c r="J8">
        <f>IF($D8=0,"NA",ROUND(SUM(recreation_v2_common_5!J8,recreation_v2_common_4!J8,recreation_v2_common_3!J8,recreation_v2_common_2!J8,recreation_v2_common_1!J8)/COUNT(recreation_v2_common_5!J8,recreation_v2_common_4!J8,recreation_v2_common_3!J8,recreation_v2_common_2!J8,recreation_v2_common_1!J8),0))</f>
        <v>1</v>
      </c>
      <c r="K8">
        <f>IF($D8=0,"NA",ROUND(SUM(recreation_v2_common_5!K8,recreation_v2_common_4!K8,recreation_v2_common_3!K8,recreation_v2_common_2!K8,recreation_v2_common_1!K8)/COUNT(recreation_v2_common_5!K8,recreation_v2_common_4!K8,recreation_v2_common_3!K8,recreation_v2_common_2!K8,recreation_v2_common_1!K8),0))</f>
        <v>1</v>
      </c>
      <c r="L8">
        <f>IF($D8=0,"NA",ROUND(SUM(recreation_v2_common_5!L8,recreation_v2_common_4!L8,recreation_v2_common_3!L8,recreation_v2_common_2!L8,recreation_v2_common_1!L8)/COUNT(recreation_v2_common_5!L8,recreation_v2_common_4!L8,recreation_v2_common_3!L8,recreation_v2_common_2!L8,recreation_v2_common_1!L8),0))</f>
        <v>1</v>
      </c>
      <c r="M8">
        <f>IF($D8=0,"NA",ROUND(SUM(recreation_v2_common_5!M8,recreation_v2_common_4!M8,recreation_v2_common_3!M8,recreation_v2_common_2!M8,recreation_v2_common_1!M8)/COUNT(recreation_v2_common_5!M8,recreation_v2_common_4!M8,recreation_v2_common_3!M8,recreation_v2_common_2!M8,recreation_v2_common_1!M8),0))</f>
        <v>1</v>
      </c>
      <c r="N8">
        <f>IF($D8=0,"NA",ROUND(SUM(recreation_v2_common_5!N8,recreation_v2_common_4!N8,recreation_v2_common_3!N8,recreation_v2_common_2!N8,recreation_v2_common_1!N8)/COUNT(recreation_v2_common_5!N8,recreation_v2_common_4!N8,recreation_v2_common_3!N8,recreation_v2_common_2!N8,recreation_v2_common_1!N8),0))</f>
        <v>1</v>
      </c>
    </row>
    <row r="9" spans="1:15" x14ac:dyDescent="0.25">
      <c r="A9" t="s">
        <v>24</v>
      </c>
      <c r="B9">
        <v>0</v>
      </c>
      <c r="C9">
        <v>9.9396858215332031</v>
      </c>
      <c r="D9">
        <f>ROUND(SUM(recreation_v2_common_5!D9,recreation_v2_common_4!D9,recreation_v2_common_3!D9,recreation_v2_common_2!D9,recreation_v2_common_1!D9)/COUNT(recreation_v2_common_5!D9,recreation_v2_common_4!D9,recreation_v2_common_3!D9,recreation_v2_common_2!D9,recreation_v2_common_1!D9),0)</f>
        <v>1</v>
      </c>
      <c r="E9">
        <f>IF($D9=0,"NA",ROUND(SUM(recreation_v2_common_5!E9,recreation_v2_common_4!E9,recreation_v2_common_3!E9,recreation_v2_common_2!E9,recreation_v2_common_1!E9)/COUNT(recreation_v2_common_5!E9,recreation_v2_common_4!E9,recreation_v2_common_3!E9,recreation_v2_common_2!E9,recreation_v2_common_1!E9),0))</f>
        <v>1</v>
      </c>
      <c r="F9">
        <f>IF($D9=0,"NA",ROUND(SUM(recreation_v2_common_5!F9,recreation_v2_common_4!F9,recreation_v2_common_3!F9,recreation_v2_common_2!F9,recreation_v2_common_1!F9)/COUNT(recreation_v2_common_5!F9,recreation_v2_common_4!F9,recreation_v2_common_3!F9,recreation_v2_common_2!F9,recreation_v2_common_1!F9),0))</f>
        <v>1</v>
      </c>
      <c r="G9">
        <f>IF(AND(E9=1,F9=1),ROUND(SUM(recreation_v2_common_5!G9,recreation_v2_common_4!G9,recreation_v2_common_3!G9,recreation_v2_common_2!G9,recreation_v2_common_1!G9)/COUNT(recreation_v2_common_5!G9,recreation_v2_common_4!G9,recreation_v2_common_3!G9,recreation_v2_common_2!G9,recreation_v2_common_1!G9),0),"NA")</f>
        <v>1</v>
      </c>
      <c r="H9">
        <f>IF($D9=0,"NA",ROUND(SUM(recreation_v2_common_5!H9,recreation_v2_common_4!H9,recreation_v2_common_3!H9,recreation_v2_common_2!H9,recreation_v2_common_1!H9)/COUNT(recreation_v2_common_5!H9,recreation_v2_common_4!H9,recreation_v2_common_3!H9,recreation_v2_common_2!H9,recreation_v2_common_1!H9),0))</f>
        <v>1</v>
      </c>
      <c r="I9">
        <f>IF(E9=1,ROUND(SUM(recreation_v2_common_5!I9,recreation_v2_common_4!I9,recreation_v2_common_3!I9,recreation_v2_common_2!I9,recreation_v2_common_1!I9)/COUNT(recreation_v2_common_5!I9,recreation_v2_common_4!I9,recreation_v2_common_3!I9,recreation_v2_common_2!I9,recreation_v2_common_1!I9),0),"NA")</f>
        <v>1</v>
      </c>
      <c r="J9">
        <f>IF($D9=0,"NA",ROUND(SUM(recreation_v2_common_5!J9,recreation_v2_common_4!J9,recreation_v2_common_3!J9,recreation_v2_common_2!J9,recreation_v2_common_1!J9)/COUNT(recreation_v2_common_5!J9,recreation_v2_common_4!J9,recreation_v2_common_3!J9,recreation_v2_common_2!J9,recreation_v2_common_1!J9),0))</f>
        <v>1</v>
      </c>
      <c r="K9">
        <f>IF($D9=0,"NA",ROUND(SUM(recreation_v2_common_5!K9,recreation_v2_common_4!K9,recreation_v2_common_3!K9,recreation_v2_common_2!K9,recreation_v2_common_1!K9)/COUNT(recreation_v2_common_5!K9,recreation_v2_common_4!K9,recreation_v2_common_3!K9,recreation_v2_common_2!K9,recreation_v2_common_1!K9),0))</f>
        <v>1</v>
      </c>
      <c r="L9">
        <f>IF($D9=0,"NA",ROUND(SUM(recreation_v2_common_5!L9,recreation_v2_common_4!L9,recreation_v2_common_3!L9,recreation_v2_common_2!L9,recreation_v2_common_1!L9)/COUNT(recreation_v2_common_5!L9,recreation_v2_common_4!L9,recreation_v2_common_3!L9,recreation_v2_common_2!L9,recreation_v2_common_1!L9),0))</f>
        <v>1</v>
      </c>
      <c r="M9">
        <f>IF($D9=0,"NA",ROUND(SUM(recreation_v2_common_5!M9,recreation_v2_common_4!M9,recreation_v2_common_3!M9,recreation_v2_common_2!M9,recreation_v2_common_1!M9)/COUNT(recreation_v2_common_5!M9,recreation_v2_common_4!M9,recreation_v2_common_3!M9,recreation_v2_common_2!M9,recreation_v2_common_1!M9),0))</f>
        <v>1</v>
      </c>
      <c r="N9">
        <f>IF($D9=0,"NA",ROUND(SUM(recreation_v2_common_5!N9,recreation_v2_common_4!N9,recreation_v2_common_3!N9,recreation_v2_common_2!N9,recreation_v2_common_1!N9)/COUNT(recreation_v2_common_5!N9,recreation_v2_common_4!N9,recreation_v2_common_3!N9,recreation_v2_common_2!N9,recreation_v2_common_1!N9),0))</f>
        <v>1</v>
      </c>
    </row>
    <row r="10" spans="1:15" x14ac:dyDescent="0.25">
      <c r="A10" t="s">
        <v>25</v>
      </c>
      <c r="B10">
        <v>0</v>
      </c>
      <c r="C10">
        <v>5.6511764526367188</v>
      </c>
      <c r="D10">
        <f>ROUND(SUM(recreation_v2_common_5!D10,recreation_v2_common_4!D10,recreation_v2_common_3!D10,recreation_v2_common_2!D10,recreation_v2_common_1!D10)/COUNT(recreation_v2_common_5!D10,recreation_v2_common_4!D10,recreation_v2_common_3!D10,recreation_v2_common_2!D10,recreation_v2_common_1!D10),0)</f>
        <v>1</v>
      </c>
      <c r="E10">
        <f>IF($D10=0,"NA",ROUND(SUM(recreation_v2_common_5!E10,recreation_v2_common_4!E10,recreation_v2_common_3!E10,recreation_v2_common_2!E10,recreation_v2_common_1!E10)/COUNT(recreation_v2_common_5!E10,recreation_v2_common_4!E10,recreation_v2_common_3!E10,recreation_v2_common_2!E10,recreation_v2_common_1!E10),0))</f>
        <v>1</v>
      </c>
      <c r="F10">
        <f>IF($D10=0,"NA",ROUND(SUM(recreation_v2_common_5!F10,recreation_v2_common_4!F10,recreation_v2_common_3!F10,recreation_v2_common_2!F10,recreation_v2_common_1!F10)/COUNT(recreation_v2_common_5!F10,recreation_v2_common_4!F10,recreation_v2_common_3!F10,recreation_v2_common_2!F10,recreation_v2_common_1!F10),0))</f>
        <v>1</v>
      </c>
      <c r="G10">
        <f>IF(AND(E10=1,F10=1),ROUND(SUM(recreation_v2_common_5!G10,recreation_v2_common_4!G10,recreation_v2_common_3!G10,recreation_v2_common_2!G10,recreation_v2_common_1!G10)/COUNT(recreation_v2_common_5!G10,recreation_v2_common_4!G10,recreation_v2_common_3!G10,recreation_v2_common_2!G10,recreation_v2_common_1!G10),0),"NA")</f>
        <v>0</v>
      </c>
      <c r="H10">
        <f>IF($D10=0,"NA",ROUND(SUM(recreation_v2_common_5!H10,recreation_v2_common_4!H10,recreation_v2_common_3!H10,recreation_v2_common_2!H10,recreation_v2_common_1!H10)/COUNT(recreation_v2_common_5!H10,recreation_v2_common_4!H10,recreation_v2_common_3!H10,recreation_v2_common_2!H10,recreation_v2_common_1!H10),0))</f>
        <v>1</v>
      </c>
      <c r="I10">
        <f>IF(E10=1,ROUND(SUM(recreation_v2_common_5!I10,recreation_v2_common_4!I10,recreation_v2_common_3!I10,recreation_v2_common_2!I10,recreation_v2_common_1!I10)/COUNT(recreation_v2_common_5!I10,recreation_v2_common_4!I10,recreation_v2_common_3!I10,recreation_v2_common_2!I10,recreation_v2_common_1!I10),0),"NA")</f>
        <v>0</v>
      </c>
      <c r="J10">
        <f>IF($D10=0,"NA",ROUND(SUM(recreation_v2_common_5!J10,recreation_v2_common_4!J10,recreation_v2_common_3!J10,recreation_v2_common_2!J10,recreation_v2_common_1!J10)/COUNT(recreation_v2_common_5!J10,recreation_v2_common_4!J10,recreation_v2_common_3!J10,recreation_v2_common_2!J10,recreation_v2_common_1!J10),0))</f>
        <v>1</v>
      </c>
      <c r="K10">
        <f>IF($D10=0,"NA",ROUND(SUM(recreation_v2_common_5!K10,recreation_v2_common_4!K10,recreation_v2_common_3!K10,recreation_v2_common_2!K10,recreation_v2_common_1!K10)/COUNT(recreation_v2_common_5!K10,recreation_v2_common_4!K10,recreation_v2_common_3!K10,recreation_v2_common_2!K10,recreation_v2_common_1!K10),0))</f>
        <v>1</v>
      </c>
      <c r="L10">
        <f>IF($D10=0,"NA",ROUND(SUM(recreation_v2_common_5!L10,recreation_v2_common_4!L10,recreation_v2_common_3!L10,recreation_v2_common_2!L10,recreation_v2_common_1!L10)/COUNT(recreation_v2_common_5!L10,recreation_v2_common_4!L10,recreation_v2_common_3!L10,recreation_v2_common_2!L10,recreation_v2_common_1!L10),0))</f>
        <v>1</v>
      </c>
      <c r="M10">
        <f>IF($D10=0,"NA",ROUND(SUM(recreation_v2_common_5!M10,recreation_v2_common_4!M10,recreation_v2_common_3!M10,recreation_v2_common_2!M10,recreation_v2_common_1!M10)/COUNT(recreation_v2_common_5!M10,recreation_v2_common_4!M10,recreation_v2_common_3!M10,recreation_v2_common_2!M10,recreation_v2_common_1!M10),0))</f>
        <v>1</v>
      </c>
      <c r="N10">
        <f>IF($D10=0,"NA",ROUND(SUM(recreation_v2_common_5!N10,recreation_v2_common_4!N10,recreation_v2_common_3!N10,recreation_v2_common_2!N10,recreation_v2_common_1!N10)/COUNT(recreation_v2_common_5!N10,recreation_v2_common_4!N10,recreation_v2_common_3!N10,recreation_v2_common_2!N10,recreation_v2_common_1!N10),0))</f>
        <v>1</v>
      </c>
    </row>
    <row r="11" spans="1:15" x14ac:dyDescent="0.25">
      <c r="A11" t="s">
        <v>27</v>
      </c>
      <c r="B11">
        <v>0</v>
      </c>
      <c r="C11">
        <v>2.787375926971436</v>
      </c>
      <c r="D11">
        <f>ROUND(SUM(recreation_v2_common_5!D11,recreation_v2_common_4!D11,recreation_v2_common_3!D11,recreation_v2_common_2!D11,recreation_v2_common_1!D11)/COUNT(recreation_v2_common_5!D11,recreation_v2_common_4!D11,recreation_v2_common_3!D11,recreation_v2_common_2!D11,recreation_v2_common_1!D11),0)</f>
        <v>1</v>
      </c>
      <c r="E11">
        <f>IF($D11=0,"NA",ROUND(SUM(recreation_v2_common_5!E11,recreation_v2_common_4!E11,recreation_v2_common_3!E11,recreation_v2_common_2!E11,recreation_v2_common_1!E11)/COUNT(recreation_v2_common_5!E11,recreation_v2_common_4!E11,recreation_v2_common_3!E11,recreation_v2_common_2!E11,recreation_v2_common_1!E11),0))</f>
        <v>1</v>
      </c>
      <c r="F11">
        <f>IF($D11=0,"NA",ROUND(SUM(recreation_v2_common_5!F11,recreation_v2_common_4!F11,recreation_v2_common_3!F11,recreation_v2_common_2!F11,recreation_v2_common_1!F11)/COUNT(recreation_v2_common_5!F11,recreation_v2_common_4!F11,recreation_v2_common_3!F11,recreation_v2_common_2!F11,recreation_v2_common_1!F11),0))</f>
        <v>1</v>
      </c>
      <c r="G11">
        <f>IF(AND(E11=1,F11=1),ROUND(SUM(recreation_v2_common_5!G11,recreation_v2_common_4!G11,recreation_v2_common_3!G11,recreation_v2_common_2!G11,recreation_v2_common_1!G11)/COUNT(recreation_v2_common_5!G11,recreation_v2_common_4!G11,recreation_v2_common_3!G11,recreation_v2_common_2!G11,recreation_v2_common_1!G11),0),"NA")</f>
        <v>1</v>
      </c>
      <c r="H11">
        <f>IF($D11=0,"NA",ROUND(SUM(recreation_v2_common_5!H11,recreation_v2_common_4!H11,recreation_v2_common_3!H11,recreation_v2_common_2!H11,recreation_v2_common_1!H11)/COUNT(recreation_v2_common_5!H11,recreation_v2_common_4!H11,recreation_v2_common_3!H11,recreation_v2_common_2!H11,recreation_v2_common_1!H11),0))</f>
        <v>1</v>
      </c>
      <c r="I11">
        <f>IF(E11=1,ROUND(SUM(recreation_v2_common_5!I11,recreation_v2_common_4!I11,recreation_v2_common_3!I11,recreation_v2_common_2!I11,recreation_v2_common_1!I11)/COUNT(recreation_v2_common_5!I11,recreation_v2_common_4!I11,recreation_v2_common_3!I11,recreation_v2_common_2!I11,recreation_v2_common_1!I11),0),"NA")</f>
        <v>1</v>
      </c>
      <c r="J11">
        <f>IF($D11=0,"NA",ROUND(SUM(recreation_v2_common_5!J11,recreation_v2_common_4!J11,recreation_v2_common_3!J11,recreation_v2_common_2!J11,recreation_v2_common_1!J11)/COUNT(recreation_v2_common_5!J11,recreation_v2_common_4!J11,recreation_v2_common_3!J11,recreation_v2_common_2!J11,recreation_v2_common_1!J11),0))</f>
        <v>1</v>
      </c>
      <c r="K11">
        <f>IF($D11=0,"NA",ROUND(SUM(recreation_v2_common_5!K11,recreation_v2_common_4!K11,recreation_v2_common_3!K11,recreation_v2_common_2!K11,recreation_v2_common_1!K11)/COUNT(recreation_v2_common_5!K11,recreation_v2_common_4!K11,recreation_v2_common_3!K11,recreation_v2_common_2!K11,recreation_v2_common_1!K11),0))</f>
        <v>1</v>
      </c>
      <c r="L11">
        <f>IF($D11=0,"NA",ROUND(SUM(recreation_v2_common_5!L11,recreation_v2_common_4!L11,recreation_v2_common_3!L11,recreation_v2_common_2!L11,recreation_v2_common_1!L11)/COUNT(recreation_v2_common_5!L11,recreation_v2_common_4!L11,recreation_v2_common_3!L11,recreation_v2_common_2!L11,recreation_v2_common_1!L11),0))</f>
        <v>1</v>
      </c>
      <c r="M11">
        <f>IF($D11=0,"NA",ROUND(SUM(recreation_v2_common_5!M11,recreation_v2_common_4!M11,recreation_v2_common_3!M11,recreation_v2_common_2!M11,recreation_v2_common_1!M11)/COUNT(recreation_v2_common_5!M11,recreation_v2_common_4!M11,recreation_v2_common_3!M11,recreation_v2_common_2!M11,recreation_v2_common_1!M11),0))</f>
        <v>1</v>
      </c>
      <c r="N11">
        <f>IF($D11=0,"NA",ROUND(SUM(recreation_v2_common_5!N11,recreation_v2_common_4!N11,recreation_v2_common_3!N11,recreation_v2_common_2!N11,recreation_v2_common_1!N11)/COUNT(recreation_v2_common_5!N11,recreation_v2_common_4!N11,recreation_v2_common_3!N11,recreation_v2_common_2!N11,recreation_v2_common_1!N11),0))</f>
        <v>1</v>
      </c>
    </row>
    <row r="12" spans="1:15" x14ac:dyDescent="0.25">
      <c r="A12" t="s">
        <v>28</v>
      </c>
      <c r="B12">
        <v>0</v>
      </c>
      <c r="C12">
        <v>6.3578438758850098</v>
      </c>
      <c r="D12">
        <f>ROUND(SUM(recreation_v2_common_5!D12,recreation_v2_common_4!D12,recreation_v2_common_3!D12,recreation_v2_common_2!D12,recreation_v2_common_1!D12)/COUNT(recreation_v2_common_5!D12,recreation_v2_common_4!D12,recreation_v2_common_3!D12,recreation_v2_common_2!D12,recreation_v2_common_1!D12),0)</f>
        <v>1</v>
      </c>
      <c r="E12">
        <f>IF($D12=0,"NA",ROUND(SUM(recreation_v2_common_5!E12,recreation_v2_common_4!E12,recreation_v2_common_3!E12,recreation_v2_common_2!E12,recreation_v2_common_1!E12)/COUNT(recreation_v2_common_5!E12,recreation_v2_common_4!E12,recreation_v2_common_3!E12,recreation_v2_common_2!E12,recreation_v2_common_1!E12),0))</f>
        <v>0</v>
      </c>
      <c r="F12">
        <f>IF($D12=0,"NA",ROUND(SUM(recreation_v2_common_5!F12,recreation_v2_common_4!F12,recreation_v2_common_3!F12,recreation_v2_common_2!F12,recreation_v2_common_1!F12)/COUNT(recreation_v2_common_5!F12,recreation_v2_common_4!F12,recreation_v2_common_3!F12,recreation_v2_common_2!F12,recreation_v2_common_1!F12),0))</f>
        <v>1</v>
      </c>
      <c r="G12" t="str">
        <f>IF(AND(E12=1,F12=1),ROUND(SUM(recreation_v2_common_5!G12,recreation_v2_common_4!G12,recreation_v2_common_3!G12,recreation_v2_common_2!G12,recreation_v2_common_1!G12)/COUNT(recreation_v2_common_5!G12,recreation_v2_common_4!G12,recreation_v2_common_3!G12,recreation_v2_common_2!G12,recreation_v2_common_1!G12),0),"NA")</f>
        <v>NA</v>
      </c>
      <c r="H12">
        <f>IF($D12=0,"NA",ROUND(SUM(recreation_v2_common_5!H12,recreation_v2_common_4!H12,recreation_v2_common_3!H12,recreation_v2_common_2!H12,recreation_v2_common_1!H12)/COUNT(recreation_v2_common_5!H12,recreation_v2_common_4!H12,recreation_v2_common_3!H12,recreation_v2_common_2!H12,recreation_v2_common_1!H12),0))</f>
        <v>1</v>
      </c>
      <c r="I12" t="str">
        <f>IF(E12=1,ROUND(SUM(recreation_v2_common_5!I12,recreation_v2_common_4!I12,recreation_v2_common_3!I12,recreation_v2_common_2!I12,recreation_v2_common_1!I12)/COUNT(recreation_v2_common_5!I12,recreation_v2_common_4!I12,recreation_v2_common_3!I12,recreation_v2_common_2!I12,recreation_v2_common_1!I12),0),"NA")</f>
        <v>NA</v>
      </c>
      <c r="J12">
        <f>IF($D12=0,"NA",ROUND(SUM(recreation_v2_common_5!J12,recreation_v2_common_4!J12,recreation_v2_common_3!J12,recreation_v2_common_2!J12,recreation_v2_common_1!J12)/COUNT(recreation_v2_common_5!J12,recreation_v2_common_4!J12,recreation_v2_common_3!J12,recreation_v2_common_2!J12,recreation_v2_common_1!J12),0))</f>
        <v>1</v>
      </c>
      <c r="K12">
        <f>IF($D12=0,"NA",ROUND(SUM(recreation_v2_common_5!K12,recreation_v2_common_4!K12,recreation_v2_common_3!K12,recreation_v2_common_2!K12,recreation_v2_common_1!K12)/COUNT(recreation_v2_common_5!K12,recreation_v2_common_4!K12,recreation_v2_common_3!K12,recreation_v2_common_2!K12,recreation_v2_common_1!K12),0))</f>
        <v>1</v>
      </c>
      <c r="L12">
        <f>IF($D12=0,"NA",ROUND(SUM(recreation_v2_common_5!L12,recreation_v2_common_4!L12,recreation_v2_common_3!L12,recreation_v2_common_2!L12,recreation_v2_common_1!L12)/COUNT(recreation_v2_common_5!L12,recreation_v2_common_4!L12,recreation_v2_common_3!L12,recreation_v2_common_2!L12,recreation_v2_common_1!L12),0))</f>
        <v>1</v>
      </c>
      <c r="M12">
        <f>IF($D12=0,"NA",ROUND(SUM(recreation_v2_common_5!M12,recreation_v2_common_4!M12,recreation_v2_common_3!M12,recreation_v2_common_2!M12,recreation_v2_common_1!M12)/COUNT(recreation_v2_common_5!M12,recreation_v2_common_4!M12,recreation_v2_common_3!M12,recreation_v2_common_2!M12,recreation_v2_common_1!M12),0))</f>
        <v>1</v>
      </c>
      <c r="N12">
        <f>IF($D12=0,"NA",ROUND(SUM(recreation_v2_common_5!N12,recreation_v2_common_4!N12,recreation_v2_common_3!N12,recreation_v2_common_2!N12,recreation_v2_common_1!N12)/COUNT(recreation_v2_common_5!N12,recreation_v2_common_4!N12,recreation_v2_common_3!N12,recreation_v2_common_2!N12,recreation_v2_common_1!N12),0))</f>
        <v>1</v>
      </c>
    </row>
    <row r="13" spans="1:15" x14ac:dyDescent="0.25">
      <c r="A13" t="s">
        <v>30</v>
      </c>
      <c r="B13">
        <v>0</v>
      </c>
      <c r="C13">
        <v>4.008549690246582</v>
      </c>
      <c r="D13">
        <f>ROUND(SUM(recreation_v2_common_5!D13,recreation_v2_common_4!D13,recreation_v2_common_3!D13,recreation_v2_common_2!D13,recreation_v2_common_1!D13)/COUNT(recreation_v2_common_5!D13,recreation_v2_common_4!D13,recreation_v2_common_3!D13,recreation_v2_common_2!D13,recreation_v2_common_1!D13),0)</f>
        <v>1</v>
      </c>
      <c r="E13">
        <f>IF($D13=0,"NA",ROUND(SUM(recreation_v2_common_5!E13,recreation_v2_common_4!E13,recreation_v2_common_3!E13,recreation_v2_common_2!E13,recreation_v2_common_1!E13)/COUNT(recreation_v2_common_5!E13,recreation_v2_common_4!E13,recreation_v2_common_3!E13,recreation_v2_common_2!E13,recreation_v2_common_1!E13),0))</f>
        <v>1</v>
      </c>
      <c r="F13">
        <f>IF($D13=0,"NA",ROUND(SUM(recreation_v2_common_5!F13,recreation_v2_common_4!F13,recreation_v2_common_3!F13,recreation_v2_common_2!F13,recreation_v2_common_1!F13)/COUNT(recreation_v2_common_5!F13,recreation_v2_common_4!F13,recreation_v2_common_3!F13,recreation_v2_common_2!F13,recreation_v2_common_1!F13),0))</f>
        <v>1</v>
      </c>
      <c r="G13">
        <f>IF(AND(E13=1,F13=1),ROUND(SUM(recreation_v2_common_5!G13,recreation_v2_common_4!G13,recreation_v2_common_3!G13,recreation_v2_common_2!G13,recreation_v2_common_1!G13)/COUNT(recreation_v2_common_5!G13,recreation_v2_common_4!G13,recreation_v2_common_3!G13,recreation_v2_common_2!G13,recreation_v2_common_1!G13),0),"NA")</f>
        <v>1</v>
      </c>
      <c r="H13">
        <f>IF($D13=0,"NA",ROUND(SUM(recreation_v2_common_5!H13,recreation_v2_common_4!H13,recreation_v2_common_3!H13,recreation_v2_common_2!H13,recreation_v2_common_1!H13)/COUNT(recreation_v2_common_5!H13,recreation_v2_common_4!H13,recreation_v2_common_3!H13,recreation_v2_common_2!H13,recreation_v2_common_1!H13),0))</f>
        <v>1</v>
      </c>
      <c r="I13">
        <f>IF(E13=1,ROUND(SUM(recreation_v2_common_5!I13,recreation_v2_common_4!I13,recreation_v2_common_3!I13,recreation_v2_common_2!I13,recreation_v2_common_1!I13)/COUNT(recreation_v2_common_5!I13,recreation_v2_common_4!I13,recreation_v2_common_3!I13,recreation_v2_common_2!I13,recreation_v2_common_1!I13),0),"NA")</f>
        <v>0</v>
      </c>
      <c r="J13">
        <f>IF($D13=0,"NA",ROUND(SUM(recreation_v2_common_5!J13,recreation_v2_common_4!J13,recreation_v2_common_3!J13,recreation_v2_common_2!J13,recreation_v2_common_1!J13)/COUNT(recreation_v2_common_5!J13,recreation_v2_common_4!J13,recreation_v2_common_3!J13,recreation_v2_common_2!J13,recreation_v2_common_1!J13),0))</f>
        <v>1</v>
      </c>
      <c r="K13">
        <f>IF($D13=0,"NA",ROUND(SUM(recreation_v2_common_5!K13,recreation_v2_common_4!K13,recreation_v2_common_3!K13,recreation_v2_common_2!K13,recreation_v2_common_1!K13)/COUNT(recreation_v2_common_5!K13,recreation_v2_common_4!K13,recreation_v2_common_3!K13,recreation_v2_common_2!K13,recreation_v2_common_1!K13),0))</f>
        <v>1</v>
      </c>
      <c r="L13">
        <f>IF($D13=0,"NA",ROUND(SUM(recreation_v2_common_5!L13,recreation_v2_common_4!L13,recreation_v2_common_3!L13,recreation_v2_common_2!L13,recreation_v2_common_1!L13)/COUNT(recreation_v2_common_5!L13,recreation_v2_common_4!L13,recreation_v2_common_3!L13,recreation_v2_common_2!L13,recreation_v2_common_1!L13),0))</f>
        <v>1</v>
      </c>
      <c r="M13">
        <f>IF($D13=0,"NA",ROUND(SUM(recreation_v2_common_5!M13,recreation_v2_common_4!M13,recreation_v2_common_3!M13,recreation_v2_common_2!M13,recreation_v2_common_1!M13)/COUNT(recreation_v2_common_5!M13,recreation_v2_common_4!M13,recreation_v2_common_3!M13,recreation_v2_common_2!M13,recreation_v2_common_1!M13),0))</f>
        <v>1</v>
      </c>
      <c r="N13">
        <f>IF($D13=0,"NA",ROUND(SUM(recreation_v2_common_5!N13,recreation_v2_common_4!N13,recreation_v2_common_3!N13,recreation_v2_common_2!N13,recreation_v2_common_1!N13)/COUNT(recreation_v2_common_5!N13,recreation_v2_common_4!N13,recreation_v2_common_3!N13,recreation_v2_common_2!N13,recreation_v2_common_1!N13),0))</f>
        <v>1</v>
      </c>
    </row>
    <row r="14" spans="1:15" x14ac:dyDescent="0.25">
      <c r="A14" t="s">
        <v>32</v>
      </c>
      <c r="B14">
        <v>0</v>
      </c>
      <c r="C14">
        <v>2.7205207347869869</v>
      </c>
      <c r="D14">
        <f>ROUND(SUM(recreation_v2_common_5!D14,recreation_v2_common_4!D14,recreation_v2_common_3!D14,recreation_v2_common_2!D14,recreation_v2_common_1!D14)/COUNT(recreation_v2_common_5!D14,recreation_v2_common_4!D14,recreation_v2_common_3!D14,recreation_v2_common_2!D14,recreation_v2_common_1!D14),0)</f>
        <v>1</v>
      </c>
      <c r="E14">
        <f>IF($D14=0,"NA",ROUND(SUM(recreation_v2_common_5!E14,recreation_v2_common_4!E14,recreation_v2_common_3!E14,recreation_v2_common_2!E14,recreation_v2_common_1!E14)/COUNT(recreation_v2_common_5!E14,recreation_v2_common_4!E14,recreation_v2_common_3!E14,recreation_v2_common_2!E14,recreation_v2_common_1!E14),0))</f>
        <v>1</v>
      </c>
      <c r="F14">
        <f>IF($D14=0,"NA",ROUND(SUM(recreation_v2_common_5!F14,recreation_v2_common_4!F14,recreation_v2_common_3!F14,recreation_v2_common_2!F14,recreation_v2_common_1!F14)/COUNT(recreation_v2_common_5!F14,recreation_v2_common_4!F14,recreation_v2_common_3!F14,recreation_v2_common_2!F14,recreation_v2_common_1!F14),0))</f>
        <v>1</v>
      </c>
      <c r="G14">
        <f>IF(AND(E14=1,F14=1),ROUND(SUM(recreation_v2_common_5!G14,recreation_v2_common_4!G14,recreation_v2_common_3!G14,recreation_v2_common_2!G14,recreation_v2_common_1!G14)/COUNT(recreation_v2_common_5!G14,recreation_v2_common_4!G14,recreation_v2_common_3!G14,recreation_v2_common_2!G14,recreation_v2_common_1!G14),0),"NA")</f>
        <v>1</v>
      </c>
      <c r="H14">
        <f>IF($D14=0,"NA",ROUND(SUM(recreation_v2_common_5!H14,recreation_v2_common_4!H14,recreation_v2_common_3!H14,recreation_v2_common_2!H14,recreation_v2_common_1!H14)/COUNT(recreation_v2_common_5!H14,recreation_v2_common_4!H14,recreation_v2_common_3!H14,recreation_v2_common_2!H14,recreation_v2_common_1!H14),0))</f>
        <v>1</v>
      </c>
      <c r="I14">
        <f>IF(E14=1,ROUND(SUM(recreation_v2_common_5!I14,recreation_v2_common_4!I14,recreation_v2_common_3!I14,recreation_v2_common_2!I14,recreation_v2_common_1!I14)/COUNT(recreation_v2_common_5!I14,recreation_v2_common_4!I14,recreation_v2_common_3!I14,recreation_v2_common_2!I14,recreation_v2_common_1!I14),0),"NA")</f>
        <v>1</v>
      </c>
      <c r="J14">
        <f>IF($D14=0,"NA",ROUND(SUM(recreation_v2_common_5!J14,recreation_v2_common_4!J14,recreation_v2_common_3!J14,recreation_v2_common_2!J14,recreation_v2_common_1!J14)/COUNT(recreation_v2_common_5!J14,recreation_v2_common_4!J14,recreation_v2_common_3!J14,recreation_v2_common_2!J14,recreation_v2_common_1!J14),0))</f>
        <v>1</v>
      </c>
      <c r="K14">
        <f>IF($D14=0,"NA",ROUND(SUM(recreation_v2_common_5!K14,recreation_v2_common_4!K14,recreation_v2_common_3!K14,recreation_v2_common_2!K14,recreation_v2_common_1!K14)/COUNT(recreation_v2_common_5!K14,recreation_v2_common_4!K14,recreation_v2_common_3!K14,recreation_v2_common_2!K14,recreation_v2_common_1!K14),0))</f>
        <v>1</v>
      </c>
      <c r="L14">
        <f>IF($D14=0,"NA",ROUND(SUM(recreation_v2_common_5!L14,recreation_v2_common_4!L14,recreation_v2_common_3!L14,recreation_v2_common_2!L14,recreation_v2_common_1!L14)/COUNT(recreation_v2_common_5!L14,recreation_v2_common_4!L14,recreation_v2_common_3!L14,recreation_v2_common_2!L14,recreation_v2_common_1!L14),0))</f>
        <v>1</v>
      </c>
      <c r="M14">
        <f>IF($D14=0,"NA",ROUND(SUM(recreation_v2_common_5!M14,recreation_v2_common_4!M14,recreation_v2_common_3!M14,recreation_v2_common_2!M14,recreation_v2_common_1!M14)/COUNT(recreation_v2_common_5!M14,recreation_v2_common_4!M14,recreation_v2_common_3!M14,recreation_v2_common_2!M14,recreation_v2_common_1!M14),0))</f>
        <v>1</v>
      </c>
      <c r="N14">
        <f>IF($D14=0,"NA",ROUND(SUM(recreation_v2_common_5!N14,recreation_v2_common_4!N14,recreation_v2_common_3!N14,recreation_v2_common_2!N14,recreation_v2_common_1!N14)/COUNT(recreation_v2_common_5!N14,recreation_v2_common_4!N14,recreation_v2_common_3!N14,recreation_v2_common_2!N14,recreation_v2_common_1!N14),0))</f>
        <v>1</v>
      </c>
    </row>
    <row r="15" spans="1:15" x14ac:dyDescent="0.25">
      <c r="A15" t="s">
        <v>33</v>
      </c>
      <c r="B15">
        <v>0</v>
      </c>
      <c r="C15">
        <v>4.8801670074462891</v>
      </c>
      <c r="D15">
        <f>ROUND(SUM(recreation_v2_common_5!D15,recreation_v2_common_4!D15,recreation_v2_common_3!D15,recreation_v2_common_2!D15,recreation_v2_common_1!D15)/COUNT(recreation_v2_common_5!D15,recreation_v2_common_4!D15,recreation_v2_common_3!D15,recreation_v2_common_2!D15,recreation_v2_common_1!D15),0)</f>
        <v>1</v>
      </c>
      <c r="E15">
        <f>IF($D15=0,"NA",ROUND(SUM(recreation_v2_common_5!E15,recreation_v2_common_4!E15,recreation_v2_common_3!E15,recreation_v2_common_2!E15,recreation_v2_common_1!E15)/COUNT(recreation_v2_common_5!E15,recreation_v2_common_4!E15,recreation_v2_common_3!E15,recreation_v2_common_2!E15,recreation_v2_common_1!E15),0))</f>
        <v>1</v>
      </c>
      <c r="F15">
        <f>IF($D15=0,"NA",ROUND(SUM(recreation_v2_common_5!F15,recreation_v2_common_4!F15,recreation_v2_common_3!F15,recreation_v2_common_2!F15,recreation_v2_common_1!F15)/COUNT(recreation_v2_common_5!F15,recreation_v2_common_4!F15,recreation_v2_common_3!F15,recreation_v2_common_2!F15,recreation_v2_common_1!F15),0))</f>
        <v>0</v>
      </c>
      <c r="G15" t="str">
        <f>IF(AND(E15=1,F15=1),ROUND(SUM(recreation_v2_common_5!G15,recreation_v2_common_4!G15,recreation_v2_common_3!G15,recreation_v2_common_2!G15,recreation_v2_common_1!G15)/COUNT(recreation_v2_common_5!G15,recreation_v2_common_4!G15,recreation_v2_common_3!G15,recreation_v2_common_2!G15,recreation_v2_common_1!G15),0),"NA")</f>
        <v>NA</v>
      </c>
      <c r="H15">
        <f>IF($D15=0,"NA",ROUND(SUM(recreation_v2_common_5!H15,recreation_v2_common_4!H15,recreation_v2_common_3!H15,recreation_v2_common_2!H15,recreation_v2_common_1!H15)/COUNT(recreation_v2_common_5!H15,recreation_v2_common_4!H15,recreation_v2_common_3!H15,recreation_v2_common_2!H15,recreation_v2_common_1!H15),0))</f>
        <v>1</v>
      </c>
      <c r="I15">
        <f>IF(E15=1,ROUND(SUM(recreation_v2_common_5!I15,recreation_v2_common_4!I15,recreation_v2_common_3!I15,recreation_v2_common_2!I15,recreation_v2_common_1!I15)/COUNT(recreation_v2_common_5!I15,recreation_v2_common_4!I15,recreation_v2_common_3!I15,recreation_v2_common_2!I15,recreation_v2_common_1!I15),0),"NA")</f>
        <v>1</v>
      </c>
      <c r="J15">
        <f>IF($D15=0,"NA",ROUND(SUM(recreation_v2_common_5!J15,recreation_v2_common_4!J15,recreation_v2_common_3!J15,recreation_v2_common_2!J15,recreation_v2_common_1!J15)/COUNT(recreation_v2_common_5!J15,recreation_v2_common_4!J15,recreation_v2_common_3!J15,recreation_v2_common_2!J15,recreation_v2_common_1!J15),0))</f>
        <v>1</v>
      </c>
      <c r="K15">
        <f>IF($D15=0,"NA",ROUND(SUM(recreation_v2_common_5!K15,recreation_v2_common_4!K15,recreation_v2_common_3!K15,recreation_v2_common_2!K15,recreation_v2_common_1!K15)/COUNT(recreation_v2_common_5!K15,recreation_v2_common_4!K15,recreation_v2_common_3!K15,recreation_v2_common_2!K15,recreation_v2_common_1!K15),0))</f>
        <v>1</v>
      </c>
      <c r="L15">
        <f>IF($D15=0,"NA",ROUND(SUM(recreation_v2_common_5!L15,recreation_v2_common_4!L15,recreation_v2_common_3!L15,recreation_v2_common_2!L15,recreation_v2_common_1!L15)/COUNT(recreation_v2_common_5!L15,recreation_v2_common_4!L15,recreation_v2_common_3!L15,recreation_v2_common_2!L15,recreation_v2_common_1!L15),0))</f>
        <v>1</v>
      </c>
      <c r="M15">
        <f>IF($D15=0,"NA",ROUND(SUM(recreation_v2_common_5!M15,recreation_v2_common_4!M15,recreation_v2_common_3!M15,recreation_v2_common_2!M15,recreation_v2_common_1!M15)/COUNT(recreation_v2_common_5!M15,recreation_v2_common_4!M15,recreation_v2_common_3!M15,recreation_v2_common_2!M15,recreation_v2_common_1!M15),0))</f>
        <v>1</v>
      </c>
      <c r="N15">
        <f>IF($D15=0,"NA",ROUND(SUM(recreation_v2_common_5!N15,recreation_v2_common_4!N15,recreation_v2_common_3!N15,recreation_v2_common_2!N15,recreation_v2_common_1!N15)/COUNT(recreation_v2_common_5!N15,recreation_v2_common_4!N15,recreation_v2_common_3!N15,recreation_v2_common_2!N15,recreation_v2_common_1!N15),0))</f>
        <v>1</v>
      </c>
    </row>
    <row r="16" spans="1:15" x14ac:dyDescent="0.25">
      <c r="A16" t="s">
        <v>34</v>
      </c>
      <c r="B16">
        <v>0</v>
      </c>
      <c r="C16">
        <v>10.009610414505</v>
      </c>
      <c r="D16">
        <f>ROUND(SUM(recreation_v2_common_5!D16,recreation_v2_common_4!D16,recreation_v2_common_3!D16,recreation_v2_common_2!D16,recreation_v2_common_1!D16)/COUNT(recreation_v2_common_5!D16,recreation_v2_common_4!D16,recreation_v2_common_3!D16,recreation_v2_common_2!D16,recreation_v2_common_1!D16),0)</f>
        <v>1</v>
      </c>
      <c r="E16">
        <f>IF($D16=0,"NA",ROUND(SUM(recreation_v2_common_5!E16,recreation_v2_common_4!E16,recreation_v2_common_3!E16,recreation_v2_common_2!E16,recreation_v2_common_1!E16)/COUNT(recreation_v2_common_5!E16,recreation_v2_common_4!E16,recreation_v2_common_3!E16,recreation_v2_common_2!E16,recreation_v2_common_1!E16),0))</f>
        <v>0</v>
      </c>
      <c r="F16">
        <f>IF($D16=0,"NA",ROUND(SUM(recreation_v2_common_5!F16,recreation_v2_common_4!F16,recreation_v2_common_3!F16,recreation_v2_common_2!F16,recreation_v2_common_1!F16)/COUNT(recreation_v2_common_5!F16,recreation_v2_common_4!F16,recreation_v2_common_3!F16,recreation_v2_common_2!F16,recreation_v2_common_1!F16),0))</f>
        <v>1</v>
      </c>
      <c r="G16" t="str">
        <f>IF(AND(E16=1,F16=1),ROUND(SUM(recreation_v2_common_5!G16,recreation_v2_common_4!G16,recreation_v2_common_3!G16,recreation_v2_common_2!G16,recreation_v2_common_1!G16)/COUNT(recreation_v2_common_5!G16,recreation_v2_common_4!G16,recreation_v2_common_3!G16,recreation_v2_common_2!G16,recreation_v2_common_1!G16),0),"NA")</f>
        <v>NA</v>
      </c>
      <c r="H16">
        <f>IF($D16=0,"NA",ROUND(SUM(recreation_v2_common_5!H16,recreation_v2_common_4!H16,recreation_v2_common_3!H16,recreation_v2_common_2!H16,recreation_v2_common_1!H16)/COUNT(recreation_v2_common_5!H16,recreation_v2_common_4!H16,recreation_v2_common_3!H16,recreation_v2_common_2!H16,recreation_v2_common_1!H16),0))</f>
        <v>1</v>
      </c>
      <c r="I16" t="str">
        <f>IF(E16=1,ROUND(SUM(recreation_v2_common_5!I16,recreation_v2_common_4!I16,recreation_v2_common_3!I16,recreation_v2_common_2!I16,recreation_v2_common_1!I16)/COUNT(recreation_v2_common_5!I16,recreation_v2_common_4!I16,recreation_v2_common_3!I16,recreation_v2_common_2!I16,recreation_v2_common_1!I16),0),"NA")</f>
        <v>NA</v>
      </c>
      <c r="J16">
        <f>IF($D16=0,"NA",ROUND(SUM(recreation_v2_common_5!J16,recreation_v2_common_4!J16,recreation_v2_common_3!J16,recreation_v2_common_2!J16,recreation_v2_common_1!J16)/COUNT(recreation_v2_common_5!J16,recreation_v2_common_4!J16,recreation_v2_common_3!J16,recreation_v2_common_2!J16,recreation_v2_common_1!J16),0))</f>
        <v>1</v>
      </c>
      <c r="K16">
        <f>IF($D16=0,"NA",ROUND(SUM(recreation_v2_common_5!K16,recreation_v2_common_4!K16,recreation_v2_common_3!K16,recreation_v2_common_2!K16,recreation_v2_common_1!K16)/COUNT(recreation_v2_common_5!K16,recreation_v2_common_4!K16,recreation_v2_common_3!K16,recreation_v2_common_2!K16,recreation_v2_common_1!K16),0))</f>
        <v>1</v>
      </c>
      <c r="L16">
        <f>IF($D16=0,"NA",ROUND(SUM(recreation_v2_common_5!L16,recreation_v2_common_4!L16,recreation_v2_common_3!L16,recreation_v2_common_2!L16,recreation_v2_common_1!L16)/COUNT(recreation_v2_common_5!L16,recreation_v2_common_4!L16,recreation_v2_common_3!L16,recreation_v2_common_2!L16,recreation_v2_common_1!L16),0))</f>
        <v>1</v>
      </c>
      <c r="M16">
        <f>IF($D16=0,"NA",ROUND(SUM(recreation_v2_common_5!M16,recreation_v2_common_4!M16,recreation_v2_common_3!M16,recreation_v2_common_2!M16,recreation_v2_common_1!M16)/COUNT(recreation_v2_common_5!M16,recreation_v2_common_4!M16,recreation_v2_common_3!M16,recreation_v2_common_2!M16,recreation_v2_common_1!M16),0))</f>
        <v>1</v>
      </c>
      <c r="N16">
        <f>IF($D16=0,"NA",ROUND(SUM(recreation_v2_common_5!N16,recreation_v2_common_4!N16,recreation_v2_common_3!N16,recreation_v2_common_2!N16,recreation_v2_common_1!N16)/COUNT(recreation_v2_common_5!N16,recreation_v2_common_4!N16,recreation_v2_common_3!N16,recreation_v2_common_2!N16,recreation_v2_common_1!N16),0))</f>
        <v>1</v>
      </c>
    </row>
    <row r="17" spans="1:14" x14ac:dyDescent="0.25">
      <c r="A17" t="s">
        <v>36</v>
      </c>
      <c r="B17">
        <v>0</v>
      </c>
      <c r="C17">
        <v>10.478716135025021</v>
      </c>
      <c r="D17">
        <f>ROUND(SUM(recreation_v2_common_5!D17,recreation_v2_common_4!D17,recreation_v2_common_3!D17,recreation_v2_common_2!D17,recreation_v2_common_1!D17)/COUNT(recreation_v2_common_5!D17,recreation_v2_common_4!D17,recreation_v2_common_3!D17,recreation_v2_common_2!D17,recreation_v2_common_1!D17),0)</f>
        <v>1</v>
      </c>
      <c r="E17">
        <f>IF($D17=0,"NA",ROUND(SUM(recreation_v2_common_5!E17,recreation_v2_common_4!E17,recreation_v2_common_3!E17,recreation_v2_common_2!E17,recreation_v2_common_1!E17)/COUNT(recreation_v2_common_5!E17,recreation_v2_common_4!E17,recreation_v2_common_3!E17,recreation_v2_common_2!E17,recreation_v2_common_1!E17),0))</f>
        <v>1</v>
      </c>
      <c r="F17">
        <f>IF($D17=0,"NA",ROUND(SUM(recreation_v2_common_5!F17,recreation_v2_common_4!F17,recreation_v2_common_3!F17,recreation_v2_common_2!F17,recreation_v2_common_1!F17)/COUNT(recreation_v2_common_5!F17,recreation_v2_common_4!F17,recreation_v2_common_3!F17,recreation_v2_common_2!F17,recreation_v2_common_1!F17),0))</f>
        <v>1</v>
      </c>
      <c r="G17">
        <f>IF(AND(E17=1,F17=1),ROUND(SUM(recreation_v2_common_5!G17,recreation_v2_common_4!G17,recreation_v2_common_3!G17,recreation_v2_common_2!G17,recreation_v2_common_1!G17)/COUNT(recreation_v2_common_5!G17,recreation_v2_common_4!G17,recreation_v2_common_3!G17,recreation_v2_common_2!G17,recreation_v2_common_1!G17),0),"NA")</f>
        <v>1</v>
      </c>
      <c r="H17">
        <f>IF($D17=0,"NA",ROUND(SUM(recreation_v2_common_5!H17,recreation_v2_common_4!H17,recreation_v2_common_3!H17,recreation_v2_common_2!H17,recreation_v2_common_1!H17)/COUNT(recreation_v2_common_5!H17,recreation_v2_common_4!H17,recreation_v2_common_3!H17,recreation_v2_common_2!H17,recreation_v2_common_1!H17),0))</f>
        <v>1</v>
      </c>
      <c r="I17">
        <f>IF(E17=1,ROUND(SUM(recreation_v2_common_5!I17,recreation_v2_common_4!I17,recreation_v2_common_3!I17,recreation_v2_common_2!I17,recreation_v2_common_1!I17)/COUNT(recreation_v2_common_5!I17,recreation_v2_common_4!I17,recreation_v2_common_3!I17,recreation_v2_common_2!I17,recreation_v2_common_1!I17),0),"NA")</f>
        <v>1</v>
      </c>
      <c r="J17">
        <f>IF($D17=0,"NA",ROUND(SUM(recreation_v2_common_5!J17,recreation_v2_common_4!J17,recreation_v2_common_3!J17,recreation_v2_common_2!J17,recreation_v2_common_1!J17)/COUNT(recreation_v2_common_5!J17,recreation_v2_common_4!J17,recreation_v2_common_3!J17,recreation_v2_common_2!J17,recreation_v2_common_1!J17),0))</f>
        <v>1</v>
      </c>
      <c r="K17">
        <f>IF($D17=0,"NA",ROUND(SUM(recreation_v2_common_5!K17,recreation_v2_common_4!K17,recreation_v2_common_3!K17,recreation_v2_common_2!K17,recreation_v2_common_1!K17)/COUNT(recreation_v2_common_5!K17,recreation_v2_common_4!K17,recreation_v2_common_3!K17,recreation_v2_common_2!K17,recreation_v2_common_1!K17),0))</f>
        <v>1</v>
      </c>
      <c r="L17">
        <f>IF($D17=0,"NA",ROUND(SUM(recreation_v2_common_5!L17,recreation_v2_common_4!L17,recreation_v2_common_3!L17,recreation_v2_common_2!L17,recreation_v2_common_1!L17)/COUNT(recreation_v2_common_5!L17,recreation_v2_common_4!L17,recreation_v2_common_3!L17,recreation_v2_common_2!L17,recreation_v2_common_1!L17),0))</f>
        <v>1</v>
      </c>
      <c r="M17">
        <f>IF($D17=0,"NA",ROUND(SUM(recreation_v2_common_5!M17,recreation_v2_common_4!M17,recreation_v2_common_3!M17,recreation_v2_common_2!M17,recreation_v2_common_1!M17)/COUNT(recreation_v2_common_5!M17,recreation_v2_common_4!M17,recreation_v2_common_3!M17,recreation_v2_common_2!M17,recreation_v2_common_1!M17),0))</f>
        <v>1</v>
      </c>
      <c r="N17">
        <f>IF($D17=0,"NA",ROUND(SUM(recreation_v2_common_5!N17,recreation_v2_common_4!N17,recreation_v2_common_3!N17,recreation_v2_common_2!N17,recreation_v2_common_1!N17)/COUNT(recreation_v2_common_5!N17,recreation_v2_common_4!N17,recreation_v2_common_3!N17,recreation_v2_common_2!N17,recreation_v2_common_1!N17),0))</f>
        <v>1</v>
      </c>
    </row>
    <row r="18" spans="1:14" x14ac:dyDescent="0.25">
      <c r="A18" t="s">
        <v>37</v>
      </c>
      <c r="B18">
        <v>0</v>
      </c>
      <c r="C18">
        <v>10.348738193511959</v>
      </c>
      <c r="D18">
        <f>ROUND(SUM(recreation_v2_common_5!D18,recreation_v2_common_4!D18,recreation_v2_common_3!D18,recreation_v2_common_2!D18,recreation_v2_common_1!D18)/COUNT(recreation_v2_common_5!D18,recreation_v2_common_4!D18,recreation_v2_common_3!D18,recreation_v2_common_2!D18,recreation_v2_common_1!D18),0)</f>
        <v>1</v>
      </c>
      <c r="E18">
        <f>IF($D18=0,"NA",ROUND(SUM(recreation_v2_common_5!E18,recreation_v2_common_4!E18,recreation_v2_common_3!E18,recreation_v2_common_2!E18,recreation_v2_common_1!E18)/COUNT(recreation_v2_common_5!E18,recreation_v2_common_4!E18,recreation_v2_common_3!E18,recreation_v2_common_2!E18,recreation_v2_common_1!E18),0))</f>
        <v>1</v>
      </c>
      <c r="F18">
        <f>IF($D18=0,"NA",ROUND(SUM(recreation_v2_common_5!F18,recreation_v2_common_4!F18,recreation_v2_common_3!F18,recreation_v2_common_2!F18,recreation_v2_common_1!F18)/COUNT(recreation_v2_common_5!F18,recreation_v2_common_4!F18,recreation_v2_common_3!F18,recreation_v2_common_2!F18,recreation_v2_common_1!F18),0))</f>
        <v>1</v>
      </c>
      <c r="G18">
        <f>IF(AND(E18=1,F18=1),ROUND(SUM(recreation_v2_common_5!G18,recreation_v2_common_4!G18,recreation_v2_common_3!G18,recreation_v2_common_2!G18,recreation_v2_common_1!G18)/COUNT(recreation_v2_common_5!G18,recreation_v2_common_4!G18,recreation_v2_common_3!G18,recreation_v2_common_2!G18,recreation_v2_common_1!G18),0),"NA")</f>
        <v>1</v>
      </c>
      <c r="H18">
        <f>IF($D18=0,"NA",ROUND(SUM(recreation_v2_common_5!H18,recreation_v2_common_4!H18,recreation_v2_common_3!H18,recreation_v2_common_2!H18,recreation_v2_common_1!H18)/COUNT(recreation_v2_common_5!H18,recreation_v2_common_4!H18,recreation_v2_common_3!H18,recreation_v2_common_2!H18,recreation_v2_common_1!H18),0))</f>
        <v>1</v>
      </c>
      <c r="I18">
        <f>IF(E18=1,ROUND(SUM(recreation_v2_common_5!I18,recreation_v2_common_4!I18,recreation_v2_common_3!I18,recreation_v2_common_2!I18,recreation_v2_common_1!I18)/COUNT(recreation_v2_common_5!I18,recreation_v2_common_4!I18,recreation_v2_common_3!I18,recreation_v2_common_2!I18,recreation_v2_common_1!I18),0),"NA")</f>
        <v>1</v>
      </c>
      <c r="J18">
        <f>IF($D18=0,"NA",ROUND(SUM(recreation_v2_common_5!J18,recreation_v2_common_4!J18,recreation_v2_common_3!J18,recreation_v2_common_2!J18,recreation_v2_common_1!J18)/COUNT(recreation_v2_common_5!J18,recreation_v2_common_4!J18,recreation_v2_common_3!J18,recreation_v2_common_2!J18,recreation_v2_common_1!J18),0))</f>
        <v>1</v>
      </c>
      <c r="K18">
        <f>IF($D18=0,"NA",ROUND(SUM(recreation_v2_common_5!K18,recreation_v2_common_4!K18,recreation_v2_common_3!K18,recreation_v2_common_2!K18,recreation_v2_common_1!K18)/COUNT(recreation_v2_common_5!K18,recreation_v2_common_4!K18,recreation_v2_common_3!K18,recreation_v2_common_2!K18,recreation_v2_common_1!K18),0))</f>
        <v>1</v>
      </c>
      <c r="L18">
        <f>IF($D18=0,"NA",ROUND(SUM(recreation_v2_common_5!L18,recreation_v2_common_4!L18,recreation_v2_common_3!L18,recreation_v2_common_2!L18,recreation_v2_common_1!L18)/COUNT(recreation_v2_common_5!L18,recreation_v2_common_4!L18,recreation_v2_common_3!L18,recreation_v2_common_2!L18,recreation_v2_common_1!L18),0))</f>
        <v>1</v>
      </c>
      <c r="M18">
        <f>IF($D18=0,"NA",ROUND(SUM(recreation_v2_common_5!M18,recreation_v2_common_4!M18,recreation_v2_common_3!M18,recreation_v2_common_2!M18,recreation_v2_common_1!M18)/COUNT(recreation_v2_common_5!M18,recreation_v2_common_4!M18,recreation_v2_common_3!M18,recreation_v2_common_2!M18,recreation_v2_common_1!M18),0))</f>
        <v>1</v>
      </c>
      <c r="N18">
        <f>IF($D18=0,"NA",ROUND(SUM(recreation_v2_common_5!N18,recreation_v2_common_4!N18,recreation_v2_common_3!N18,recreation_v2_common_2!N18,recreation_v2_common_1!N18)/COUNT(recreation_v2_common_5!N18,recreation_v2_common_4!N18,recreation_v2_common_3!N18,recreation_v2_common_2!N18,recreation_v2_common_1!N18),0))</f>
        <v>1</v>
      </c>
    </row>
    <row r="19" spans="1:14" x14ac:dyDescent="0.25">
      <c r="A19" t="s">
        <v>38</v>
      </c>
      <c r="B19">
        <v>0</v>
      </c>
      <c r="C19">
        <v>8.1482393741607666</v>
      </c>
      <c r="D19">
        <f>ROUND(SUM(recreation_v2_common_5!D19,recreation_v2_common_4!D19,recreation_v2_common_3!D19,recreation_v2_common_2!D19,recreation_v2_common_1!D19)/COUNT(recreation_v2_common_5!D19,recreation_v2_common_4!D19,recreation_v2_common_3!D19,recreation_v2_common_2!D19,recreation_v2_common_1!D19),0)</f>
        <v>1</v>
      </c>
      <c r="E19">
        <f>IF($D19=0,"NA",ROUND(SUM(recreation_v2_common_5!E19,recreation_v2_common_4!E19,recreation_v2_common_3!E19,recreation_v2_common_2!E19,recreation_v2_common_1!E19)/COUNT(recreation_v2_common_5!E19,recreation_v2_common_4!E19,recreation_v2_common_3!E19,recreation_v2_common_2!E19,recreation_v2_common_1!E19),0))</f>
        <v>1</v>
      </c>
      <c r="F19">
        <f>IF($D19=0,"NA",ROUND(SUM(recreation_v2_common_5!F19,recreation_v2_common_4!F19,recreation_v2_common_3!F19,recreation_v2_common_2!F19,recreation_v2_common_1!F19)/COUNT(recreation_v2_common_5!F19,recreation_v2_common_4!F19,recreation_v2_common_3!F19,recreation_v2_common_2!F19,recreation_v2_common_1!F19),0))</f>
        <v>0</v>
      </c>
      <c r="G19" t="str">
        <f>IF(AND(E19=1,F19=1),ROUND(SUM(recreation_v2_common_5!G19,recreation_v2_common_4!G19,recreation_v2_common_3!G19,recreation_v2_common_2!G19,recreation_v2_common_1!G19)/COUNT(recreation_v2_common_5!G19,recreation_v2_common_4!G19,recreation_v2_common_3!G19,recreation_v2_common_2!G19,recreation_v2_common_1!G19),0),"NA")</f>
        <v>NA</v>
      </c>
      <c r="H19">
        <f>IF($D19=0,"NA",ROUND(SUM(recreation_v2_common_5!H19,recreation_v2_common_4!H19,recreation_v2_common_3!H19,recreation_v2_common_2!H19,recreation_v2_common_1!H19)/COUNT(recreation_v2_common_5!H19,recreation_v2_common_4!H19,recreation_v2_common_3!H19,recreation_v2_common_2!H19,recreation_v2_common_1!H19),0))</f>
        <v>0</v>
      </c>
      <c r="I19">
        <f>IF(E19=1,ROUND(SUM(recreation_v2_common_5!I19,recreation_v2_common_4!I19,recreation_v2_common_3!I19,recreation_v2_common_2!I19,recreation_v2_common_1!I19)/COUNT(recreation_v2_common_5!I19,recreation_v2_common_4!I19,recreation_v2_common_3!I19,recreation_v2_common_2!I19,recreation_v2_common_1!I19),0),"NA")</f>
        <v>1</v>
      </c>
      <c r="J19">
        <f>IF($D19=0,"NA",ROUND(SUM(recreation_v2_common_5!J19,recreation_v2_common_4!J19,recreation_v2_common_3!J19,recreation_v2_common_2!J19,recreation_v2_common_1!J19)/COUNT(recreation_v2_common_5!J19,recreation_v2_common_4!J19,recreation_v2_common_3!J19,recreation_v2_common_2!J19,recreation_v2_common_1!J19),0))</f>
        <v>0</v>
      </c>
      <c r="K19">
        <f>IF($D19=0,"NA",ROUND(SUM(recreation_v2_common_5!K19,recreation_v2_common_4!K19,recreation_v2_common_3!K19,recreation_v2_common_2!K19,recreation_v2_common_1!K19)/COUNT(recreation_v2_common_5!K19,recreation_v2_common_4!K19,recreation_v2_common_3!K19,recreation_v2_common_2!K19,recreation_v2_common_1!K19),0))</f>
        <v>1</v>
      </c>
      <c r="L19">
        <f>IF($D19=0,"NA",ROUND(SUM(recreation_v2_common_5!L19,recreation_v2_common_4!L19,recreation_v2_common_3!L19,recreation_v2_common_2!L19,recreation_v2_common_1!L19)/COUNT(recreation_v2_common_5!L19,recreation_v2_common_4!L19,recreation_v2_common_3!L19,recreation_v2_common_2!L19,recreation_v2_common_1!L19),0))</f>
        <v>1</v>
      </c>
      <c r="M19">
        <f>IF($D19=0,"NA",ROUND(SUM(recreation_v2_common_5!M19,recreation_v2_common_4!M19,recreation_v2_common_3!M19,recreation_v2_common_2!M19,recreation_v2_common_1!M19)/COUNT(recreation_v2_common_5!M19,recreation_v2_common_4!M19,recreation_v2_common_3!M19,recreation_v2_common_2!M19,recreation_v2_common_1!M19),0))</f>
        <v>1</v>
      </c>
      <c r="N19">
        <f>IF($D19=0,"NA",ROUND(SUM(recreation_v2_common_5!N19,recreation_v2_common_4!N19,recreation_v2_common_3!N19,recreation_v2_common_2!N19,recreation_v2_common_1!N19)/COUNT(recreation_v2_common_5!N19,recreation_v2_common_4!N19,recreation_v2_common_3!N19,recreation_v2_common_2!N19,recreation_v2_common_1!N19),0))</f>
        <v>1</v>
      </c>
    </row>
    <row r="20" spans="1:14" x14ac:dyDescent="0.25">
      <c r="A20" t="s">
        <v>40</v>
      </c>
      <c r="B20">
        <v>0</v>
      </c>
      <c r="C20">
        <v>4.7998931407928467</v>
      </c>
      <c r="D20">
        <f>ROUND(SUM(recreation_v2_common_5!D20,recreation_v2_common_4!D20,recreation_v2_common_3!D20,recreation_v2_common_2!D20,recreation_v2_common_1!D20)/COUNT(recreation_v2_common_5!D20,recreation_v2_common_4!D20,recreation_v2_common_3!D20,recreation_v2_common_2!D20,recreation_v2_common_1!D20),0)</f>
        <v>1</v>
      </c>
      <c r="E20">
        <f>IF($D20=0,"NA",ROUND(SUM(recreation_v2_common_5!E20,recreation_v2_common_4!E20,recreation_v2_common_3!E20,recreation_v2_common_2!E20,recreation_v2_common_1!E20)/COUNT(recreation_v2_common_5!E20,recreation_v2_common_4!E20,recreation_v2_common_3!E20,recreation_v2_common_2!E20,recreation_v2_common_1!E20),0))</f>
        <v>1</v>
      </c>
      <c r="F20">
        <f>IF($D20=0,"NA",ROUND(SUM(recreation_v2_common_5!F20,recreation_v2_common_4!F20,recreation_v2_common_3!F20,recreation_v2_common_2!F20,recreation_v2_common_1!F20)/COUNT(recreation_v2_common_5!F20,recreation_v2_common_4!F20,recreation_v2_common_3!F20,recreation_v2_common_2!F20,recreation_v2_common_1!F20),0))</f>
        <v>1</v>
      </c>
      <c r="G20">
        <f>IF(AND(E20=1,F20=1),ROUND(SUM(recreation_v2_common_5!G20,recreation_v2_common_4!G20,recreation_v2_common_3!G20,recreation_v2_common_2!G20,recreation_v2_common_1!G20)/COUNT(recreation_v2_common_5!G20,recreation_v2_common_4!G20,recreation_v2_common_3!G20,recreation_v2_common_2!G20,recreation_v2_common_1!G20),0),"NA")</f>
        <v>1</v>
      </c>
      <c r="H20">
        <f>IF($D20=0,"NA",ROUND(SUM(recreation_v2_common_5!H20,recreation_v2_common_4!H20,recreation_v2_common_3!H20,recreation_v2_common_2!H20,recreation_v2_common_1!H20)/COUNT(recreation_v2_common_5!H20,recreation_v2_common_4!H20,recreation_v2_common_3!H20,recreation_v2_common_2!H20,recreation_v2_common_1!H20),0))</f>
        <v>1</v>
      </c>
      <c r="I20">
        <f>IF(E20=1,ROUND(SUM(recreation_v2_common_5!I20,recreation_v2_common_4!I20,recreation_v2_common_3!I20,recreation_v2_common_2!I20,recreation_v2_common_1!I20)/COUNT(recreation_v2_common_5!I20,recreation_v2_common_4!I20,recreation_v2_common_3!I20,recreation_v2_common_2!I20,recreation_v2_common_1!I20),0),"NA")</f>
        <v>1</v>
      </c>
      <c r="J20">
        <f>IF($D20=0,"NA",ROUND(SUM(recreation_v2_common_5!J20,recreation_v2_common_4!J20,recreation_v2_common_3!J20,recreation_v2_common_2!J20,recreation_v2_common_1!J20)/COUNT(recreation_v2_common_5!J20,recreation_v2_common_4!J20,recreation_v2_common_3!J20,recreation_v2_common_2!J20,recreation_v2_common_1!J20),0))</f>
        <v>1</v>
      </c>
      <c r="K20">
        <f>IF($D20=0,"NA",ROUND(SUM(recreation_v2_common_5!K20,recreation_v2_common_4!K20,recreation_v2_common_3!K20,recreation_v2_common_2!K20,recreation_v2_common_1!K20)/COUNT(recreation_v2_common_5!K20,recreation_v2_common_4!K20,recreation_v2_common_3!K20,recreation_v2_common_2!K20,recreation_v2_common_1!K20),0))</f>
        <v>1</v>
      </c>
      <c r="L20">
        <f>IF($D20=0,"NA",ROUND(SUM(recreation_v2_common_5!L20,recreation_v2_common_4!L20,recreation_v2_common_3!L20,recreation_v2_common_2!L20,recreation_v2_common_1!L20)/COUNT(recreation_v2_common_5!L20,recreation_v2_common_4!L20,recreation_v2_common_3!L20,recreation_v2_common_2!L20,recreation_v2_common_1!L20),0))</f>
        <v>1</v>
      </c>
      <c r="M20">
        <f>IF($D20=0,"NA",ROUND(SUM(recreation_v2_common_5!M20,recreation_v2_common_4!M20,recreation_v2_common_3!M20,recreation_v2_common_2!M20,recreation_v2_common_1!M20)/COUNT(recreation_v2_common_5!M20,recreation_v2_common_4!M20,recreation_v2_common_3!M20,recreation_v2_common_2!M20,recreation_v2_common_1!M20),0))</f>
        <v>1</v>
      </c>
      <c r="N20">
        <f>IF($D20=0,"NA",ROUND(SUM(recreation_v2_common_5!N20,recreation_v2_common_4!N20,recreation_v2_common_3!N20,recreation_v2_common_2!N20,recreation_v2_common_1!N20)/COUNT(recreation_v2_common_5!N20,recreation_v2_common_4!N20,recreation_v2_common_3!N20,recreation_v2_common_2!N20,recreation_v2_common_1!N20),0))</f>
        <v>1</v>
      </c>
    </row>
    <row r="21" spans="1:14" x14ac:dyDescent="0.25">
      <c r="A21" t="s">
        <v>41</v>
      </c>
      <c r="B21">
        <v>0</v>
      </c>
      <c r="C21">
        <v>9.1245887279510498</v>
      </c>
      <c r="D21">
        <f>ROUND(SUM(recreation_v2_common_5!D21,recreation_v2_common_4!D21,recreation_v2_common_3!D21,recreation_v2_common_2!D21,recreation_v2_common_1!D21)/COUNT(recreation_v2_common_5!D21,recreation_v2_common_4!D21,recreation_v2_common_3!D21,recreation_v2_common_2!D21,recreation_v2_common_1!D21),0)</f>
        <v>1</v>
      </c>
      <c r="E21">
        <f>IF($D21=0,"NA",ROUND(SUM(recreation_v2_common_5!E21,recreation_v2_common_4!E21,recreation_v2_common_3!E21,recreation_v2_common_2!E21,recreation_v2_common_1!E21)/COUNT(recreation_v2_common_5!E21,recreation_v2_common_4!E21,recreation_v2_common_3!E21,recreation_v2_common_2!E21,recreation_v2_common_1!E21),0))</f>
        <v>1</v>
      </c>
      <c r="F21">
        <f>IF($D21=0,"NA",ROUND(SUM(recreation_v2_common_5!F21,recreation_v2_common_4!F21,recreation_v2_common_3!F21,recreation_v2_common_2!F21,recreation_v2_common_1!F21)/COUNT(recreation_v2_common_5!F21,recreation_v2_common_4!F21,recreation_v2_common_3!F21,recreation_v2_common_2!F21,recreation_v2_common_1!F21),0))</f>
        <v>1</v>
      </c>
      <c r="G21">
        <f>IF(AND(E21=1,F21=1),ROUND(SUM(recreation_v2_common_5!G21,recreation_v2_common_4!G21,recreation_v2_common_3!G21,recreation_v2_common_2!G21,recreation_v2_common_1!G21)/COUNT(recreation_v2_common_5!G21,recreation_v2_common_4!G21,recreation_v2_common_3!G21,recreation_v2_common_2!G21,recreation_v2_common_1!G21),0),"NA")</f>
        <v>1</v>
      </c>
      <c r="H21">
        <f>IF($D21=0,"NA",ROUND(SUM(recreation_v2_common_5!H21,recreation_v2_common_4!H21,recreation_v2_common_3!H21,recreation_v2_common_2!H21,recreation_v2_common_1!H21)/COUNT(recreation_v2_common_5!H21,recreation_v2_common_4!H21,recreation_v2_common_3!H21,recreation_v2_common_2!H21,recreation_v2_common_1!H21),0))</f>
        <v>1</v>
      </c>
      <c r="I21">
        <f>IF(E21=1,ROUND(SUM(recreation_v2_common_5!I21,recreation_v2_common_4!I21,recreation_v2_common_3!I21,recreation_v2_common_2!I21,recreation_v2_common_1!I21)/COUNT(recreation_v2_common_5!I21,recreation_v2_common_4!I21,recreation_v2_common_3!I21,recreation_v2_common_2!I21,recreation_v2_common_1!I21),0),"NA")</f>
        <v>1</v>
      </c>
      <c r="J21">
        <f>IF($D21=0,"NA",ROUND(SUM(recreation_v2_common_5!J21,recreation_v2_common_4!J21,recreation_v2_common_3!J21,recreation_v2_common_2!J21,recreation_v2_common_1!J21)/COUNT(recreation_v2_common_5!J21,recreation_v2_common_4!J21,recreation_v2_common_3!J21,recreation_v2_common_2!J21,recreation_v2_common_1!J21),0))</f>
        <v>1</v>
      </c>
      <c r="K21">
        <f>IF($D21=0,"NA",ROUND(SUM(recreation_v2_common_5!K21,recreation_v2_common_4!K21,recreation_v2_common_3!K21,recreation_v2_common_2!K21,recreation_v2_common_1!K21)/COUNT(recreation_v2_common_5!K21,recreation_v2_common_4!K21,recreation_v2_common_3!K21,recreation_v2_common_2!K21,recreation_v2_common_1!K21),0))</f>
        <v>1</v>
      </c>
      <c r="L21">
        <f>IF($D21=0,"NA",ROUND(SUM(recreation_v2_common_5!L21,recreation_v2_common_4!L21,recreation_v2_common_3!L21,recreation_v2_common_2!L21,recreation_v2_common_1!L21)/COUNT(recreation_v2_common_5!L21,recreation_v2_common_4!L21,recreation_v2_common_3!L21,recreation_v2_common_2!L21,recreation_v2_common_1!L21),0))</f>
        <v>1</v>
      </c>
      <c r="M21">
        <f>IF($D21=0,"NA",ROUND(SUM(recreation_v2_common_5!M21,recreation_v2_common_4!M21,recreation_v2_common_3!M21,recreation_v2_common_2!M21,recreation_v2_common_1!M21)/COUNT(recreation_v2_common_5!M21,recreation_v2_common_4!M21,recreation_v2_common_3!M21,recreation_v2_common_2!M21,recreation_v2_common_1!M21),0))</f>
        <v>1</v>
      </c>
      <c r="N21">
        <f>IF($D21=0,"NA",ROUND(SUM(recreation_v2_common_5!N21,recreation_v2_common_4!N21,recreation_v2_common_3!N21,recreation_v2_common_2!N21,recreation_v2_common_1!N21)/COUNT(recreation_v2_common_5!N21,recreation_v2_common_4!N21,recreation_v2_common_3!N21,recreation_v2_common_2!N21,recreation_v2_common_1!N21),0))</f>
        <v>1</v>
      </c>
    </row>
    <row r="22" spans="1:14" x14ac:dyDescent="0.25">
      <c r="A22" t="s">
        <v>42</v>
      </c>
      <c r="B22">
        <v>0</v>
      </c>
      <c r="C22">
        <v>2.6991064548492432</v>
      </c>
      <c r="D22">
        <f>ROUND(SUM(recreation_v2_common_5!D22,recreation_v2_common_4!D22,recreation_v2_common_3!D22,recreation_v2_common_2!D22,recreation_v2_common_1!D22)/COUNT(recreation_v2_common_5!D22,recreation_v2_common_4!D22,recreation_v2_common_3!D22,recreation_v2_common_2!D22,recreation_v2_common_1!D22),0)</f>
        <v>1</v>
      </c>
      <c r="E22">
        <f>IF($D22=0,"NA",ROUND(SUM(recreation_v2_common_5!E22,recreation_v2_common_4!E22,recreation_v2_common_3!E22,recreation_v2_common_2!E22,recreation_v2_common_1!E22)/COUNT(recreation_v2_common_5!E22,recreation_v2_common_4!E22,recreation_v2_common_3!E22,recreation_v2_common_2!E22,recreation_v2_common_1!E22),0))</f>
        <v>1</v>
      </c>
      <c r="F22">
        <f>IF($D22=0,"NA",ROUND(SUM(recreation_v2_common_5!F22,recreation_v2_common_4!F22,recreation_v2_common_3!F22,recreation_v2_common_2!F22,recreation_v2_common_1!F22)/COUNT(recreation_v2_common_5!F22,recreation_v2_common_4!F22,recreation_v2_common_3!F22,recreation_v2_common_2!F22,recreation_v2_common_1!F22),0))</f>
        <v>1</v>
      </c>
      <c r="G22">
        <f>IF(AND(E22=1,F22=1),ROUND(SUM(recreation_v2_common_5!G22,recreation_v2_common_4!G22,recreation_v2_common_3!G22,recreation_v2_common_2!G22,recreation_v2_common_1!G22)/COUNT(recreation_v2_common_5!G22,recreation_v2_common_4!G22,recreation_v2_common_3!G22,recreation_v2_common_2!G22,recreation_v2_common_1!G22),0),"NA")</f>
        <v>1</v>
      </c>
      <c r="H22">
        <f>IF($D22=0,"NA",ROUND(SUM(recreation_v2_common_5!H22,recreation_v2_common_4!H22,recreation_v2_common_3!H22,recreation_v2_common_2!H22,recreation_v2_common_1!H22)/COUNT(recreation_v2_common_5!H22,recreation_v2_common_4!H22,recreation_v2_common_3!H22,recreation_v2_common_2!H22,recreation_v2_common_1!H22),0))</f>
        <v>1</v>
      </c>
      <c r="I22">
        <f>IF(E22=1,ROUND(SUM(recreation_v2_common_5!I22,recreation_v2_common_4!I22,recreation_v2_common_3!I22,recreation_v2_common_2!I22,recreation_v2_common_1!I22)/COUNT(recreation_v2_common_5!I22,recreation_v2_common_4!I22,recreation_v2_common_3!I22,recreation_v2_common_2!I22,recreation_v2_common_1!I22),0),"NA")</f>
        <v>1</v>
      </c>
      <c r="J22">
        <f>IF($D22=0,"NA",ROUND(SUM(recreation_v2_common_5!J22,recreation_v2_common_4!J22,recreation_v2_common_3!J22,recreation_v2_common_2!J22,recreation_v2_common_1!J22)/COUNT(recreation_v2_common_5!J22,recreation_v2_common_4!J22,recreation_v2_common_3!J22,recreation_v2_common_2!J22,recreation_v2_common_1!J22),0))</f>
        <v>1</v>
      </c>
      <c r="K22">
        <f>IF($D22=0,"NA",ROUND(SUM(recreation_v2_common_5!K22,recreation_v2_common_4!K22,recreation_v2_common_3!K22,recreation_v2_common_2!K22,recreation_v2_common_1!K22)/COUNT(recreation_v2_common_5!K22,recreation_v2_common_4!K22,recreation_v2_common_3!K22,recreation_v2_common_2!K22,recreation_v2_common_1!K22),0))</f>
        <v>1</v>
      </c>
      <c r="L22">
        <f>IF($D22=0,"NA",ROUND(SUM(recreation_v2_common_5!L22,recreation_v2_common_4!L22,recreation_v2_common_3!L22,recreation_v2_common_2!L22,recreation_v2_common_1!L22)/COUNT(recreation_v2_common_5!L22,recreation_v2_common_4!L22,recreation_v2_common_3!L22,recreation_v2_common_2!L22,recreation_v2_common_1!L22),0))</f>
        <v>1</v>
      </c>
      <c r="M22">
        <f>IF($D22=0,"NA",ROUND(SUM(recreation_v2_common_5!M22,recreation_v2_common_4!M22,recreation_v2_common_3!M22,recreation_v2_common_2!M22,recreation_v2_common_1!M22)/COUNT(recreation_v2_common_5!M22,recreation_v2_common_4!M22,recreation_v2_common_3!M22,recreation_v2_common_2!M22,recreation_v2_common_1!M22),0))</f>
        <v>1</v>
      </c>
      <c r="N22">
        <f>IF($D22=0,"NA",ROUND(SUM(recreation_v2_common_5!N22,recreation_v2_common_4!N22,recreation_v2_common_3!N22,recreation_v2_common_2!N22,recreation_v2_common_1!N22)/COUNT(recreation_v2_common_5!N22,recreation_v2_common_4!N22,recreation_v2_common_3!N22,recreation_v2_common_2!N22,recreation_v2_common_1!N22),0))</f>
        <v>1</v>
      </c>
    </row>
    <row r="23" spans="1:14" x14ac:dyDescent="0.25">
      <c r="A23" t="s">
        <v>43</v>
      </c>
      <c r="B23">
        <v>0</v>
      </c>
      <c r="C23">
        <v>4.9887731075286874</v>
      </c>
      <c r="D23">
        <f>ROUND(SUM(recreation_v2_common_5!D23,recreation_v2_common_4!D23,recreation_v2_common_3!D23,recreation_v2_common_2!D23,recreation_v2_common_1!D23)/COUNT(recreation_v2_common_5!D23,recreation_v2_common_4!D23,recreation_v2_common_3!D23,recreation_v2_common_2!D23,recreation_v2_common_1!D23),0)</f>
        <v>1</v>
      </c>
      <c r="E23">
        <f>IF($D23=0,"NA",ROUND(SUM(recreation_v2_common_5!E23,recreation_v2_common_4!E23,recreation_v2_common_3!E23,recreation_v2_common_2!E23,recreation_v2_common_1!E23)/COUNT(recreation_v2_common_5!E23,recreation_v2_common_4!E23,recreation_v2_common_3!E23,recreation_v2_common_2!E23,recreation_v2_common_1!E23),0))</f>
        <v>1</v>
      </c>
      <c r="F23">
        <f>IF($D23=0,"NA",ROUND(SUM(recreation_v2_common_5!F23,recreation_v2_common_4!F23,recreation_v2_common_3!F23,recreation_v2_common_2!F23,recreation_v2_common_1!F23)/COUNT(recreation_v2_common_5!F23,recreation_v2_common_4!F23,recreation_v2_common_3!F23,recreation_v2_common_2!F23,recreation_v2_common_1!F23),0))</f>
        <v>1</v>
      </c>
      <c r="G23">
        <f>IF(AND(E23=1,F23=1),ROUND(SUM(recreation_v2_common_5!G23,recreation_v2_common_4!G23,recreation_v2_common_3!G23,recreation_v2_common_2!G23,recreation_v2_common_1!G23)/COUNT(recreation_v2_common_5!G23,recreation_v2_common_4!G23,recreation_v2_common_3!G23,recreation_v2_common_2!G23,recreation_v2_common_1!G23),0),"NA")</f>
        <v>1</v>
      </c>
      <c r="H23">
        <f>IF($D23=0,"NA",ROUND(SUM(recreation_v2_common_5!H23,recreation_v2_common_4!H23,recreation_v2_common_3!H23,recreation_v2_common_2!H23,recreation_v2_common_1!H23)/COUNT(recreation_v2_common_5!H23,recreation_v2_common_4!H23,recreation_v2_common_3!H23,recreation_v2_common_2!H23,recreation_v2_common_1!H23),0))</f>
        <v>1</v>
      </c>
      <c r="I23">
        <f>IF(E23=1,ROUND(SUM(recreation_v2_common_5!I23,recreation_v2_common_4!I23,recreation_v2_common_3!I23,recreation_v2_common_2!I23,recreation_v2_common_1!I23)/COUNT(recreation_v2_common_5!I23,recreation_v2_common_4!I23,recreation_v2_common_3!I23,recreation_v2_common_2!I23,recreation_v2_common_1!I23),0),"NA")</f>
        <v>0</v>
      </c>
      <c r="J23">
        <f>IF($D23=0,"NA",ROUND(SUM(recreation_v2_common_5!J23,recreation_v2_common_4!J23,recreation_v2_common_3!J23,recreation_v2_common_2!J23,recreation_v2_common_1!J23)/COUNT(recreation_v2_common_5!J23,recreation_v2_common_4!J23,recreation_v2_common_3!J23,recreation_v2_common_2!J23,recreation_v2_common_1!J23),0))</f>
        <v>1</v>
      </c>
      <c r="K23">
        <f>IF($D23=0,"NA",ROUND(SUM(recreation_v2_common_5!K23,recreation_v2_common_4!K23,recreation_v2_common_3!K23,recreation_v2_common_2!K23,recreation_v2_common_1!K23)/COUNT(recreation_v2_common_5!K23,recreation_v2_common_4!K23,recreation_v2_common_3!K23,recreation_v2_common_2!K23,recreation_v2_common_1!K23),0))</f>
        <v>1</v>
      </c>
      <c r="L23">
        <f>IF($D23=0,"NA",ROUND(SUM(recreation_v2_common_5!L23,recreation_v2_common_4!L23,recreation_v2_common_3!L23,recreation_v2_common_2!L23,recreation_v2_common_1!L23)/COUNT(recreation_v2_common_5!L23,recreation_v2_common_4!L23,recreation_v2_common_3!L23,recreation_v2_common_2!L23,recreation_v2_common_1!L23),0))</f>
        <v>1</v>
      </c>
      <c r="M23">
        <f>IF($D23=0,"NA",ROUND(SUM(recreation_v2_common_5!M23,recreation_v2_common_4!M23,recreation_v2_common_3!M23,recreation_v2_common_2!M23,recreation_v2_common_1!M23)/COUNT(recreation_v2_common_5!M23,recreation_v2_common_4!M23,recreation_v2_common_3!M23,recreation_v2_common_2!M23,recreation_v2_common_1!M23),0))</f>
        <v>1</v>
      </c>
      <c r="N23">
        <f>IF($D23=0,"NA",ROUND(SUM(recreation_v2_common_5!N23,recreation_v2_common_4!N23,recreation_v2_common_3!N23,recreation_v2_common_2!N23,recreation_v2_common_1!N23)/COUNT(recreation_v2_common_5!N23,recreation_v2_common_4!N23,recreation_v2_common_3!N23,recreation_v2_common_2!N23,recreation_v2_common_1!N23),0))</f>
        <v>1</v>
      </c>
    </row>
    <row r="24" spans="1:14" x14ac:dyDescent="0.25">
      <c r="A24" t="s">
        <v>45</v>
      </c>
      <c r="B24">
        <v>0</v>
      </c>
      <c r="C24">
        <v>4.7690439224243164</v>
      </c>
      <c r="D24">
        <f>ROUND(SUM(recreation_v2_common_5!D24,recreation_v2_common_4!D24,recreation_v2_common_3!D24,recreation_v2_common_2!D24,recreation_v2_common_1!D24)/COUNT(recreation_v2_common_5!D24,recreation_v2_common_4!D24,recreation_v2_common_3!D24,recreation_v2_common_2!D24,recreation_v2_common_1!D24),0)</f>
        <v>1</v>
      </c>
      <c r="E24">
        <f>IF($D24=0,"NA",ROUND(SUM(recreation_v2_common_5!E24,recreation_v2_common_4!E24,recreation_v2_common_3!E24,recreation_v2_common_2!E24,recreation_v2_common_1!E24)/COUNT(recreation_v2_common_5!E24,recreation_v2_common_4!E24,recreation_v2_common_3!E24,recreation_v2_common_2!E24,recreation_v2_common_1!E24),0))</f>
        <v>1</v>
      </c>
      <c r="F24">
        <f>IF($D24=0,"NA",ROUND(SUM(recreation_v2_common_5!F24,recreation_v2_common_4!F24,recreation_v2_common_3!F24,recreation_v2_common_2!F24,recreation_v2_common_1!F24)/COUNT(recreation_v2_common_5!F24,recreation_v2_common_4!F24,recreation_v2_common_3!F24,recreation_v2_common_2!F24,recreation_v2_common_1!F24),0))</f>
        <v>1</v>
      </c>
      <c r="G24">
        <f>IF(AND(E24=1,F24=1),ROUND(SUM(recreation_v2_common_5!G24,recreation_v2_common_4!G24,recreation_v2_common_3!G24,recreation_v2_common_2!G24,recreation_v2_common_1!G24)/COUNT(recreation_v2_common_5!G24,recreation_v2_common_4!G24,recreation_v2_common_3!G24,recreation_v2_common_2!G24,recreation_v2_common_1!G24),0),"NA")</f>
        <v>0</v>
      </c>
      <c r="H24">
        <f>IF($D24=0,"NA",ROUND(SUM(recreation_v2_common_5!H24,recreation_v2_common_4!H24,recreation_v2_common_3!H24,recreation_v2_common_2!H24,recreation_v2_common_1!H24)/COUNT(recreation_v2_common_5!H24,recreation_v2_common_4!H24,recreation_v2_common_3!H24,recreation_v2_common_2!H24,recreation_v2_common_1!H24),0))</f>
        <v>1</v>
      </c>
      <c r="I24">
        <f>IF(E24=1,ROUND(SUM(recreation_v2_common_5!I24,recreation_v2_common_4!I24,recreation_v2_common_3!I24,recreation_v2_common_2!I24,recreation_v2_common_1!I24)/COUNT(recreation_v2_common_5!I24,recreation_v2_common_4!I24,recreation_v2_common_3!I24,recreation_v2_common_2!I24,recreation_v2_common_1!I24),0),"NA")</f>
        <v>1</v>
      </c>
      <c r="J24">
        <f>IF($D24=0,"NA",ROUND(SUM(recreation_v2_common_5!J24,recreation_v2_common_4!J24,recreation_v2_common_3!J24,recreation_v2_common_2!J24,recreation_v2_common_1!J24)/COUNT(recreation_v2_common_5!J24,recreation_v2_common_4!J24,recreation_v2_common_3!J24,recreation_v2_common_2!J24,recreation_v2_common_1!J24),0))</f>
        <v>1</v>
      </c>
      <c r="K24">
        <f>IF($D24=0,"NA",ROUND(SUM(recreation_v2_common_5!K24,recreation_v2_common_4!K24,recreation_v2_common_3!K24,recreation_v2_common_2!K24,recreation_v2_common_1!K24)/COUNT(recreation_v2_common_5!K24,recreation_v2_common_4!K24,recreation_v2_common_3!K24,recreation_v2_common_2!K24,recreation_v2_common_1!K24),0))</f>
        <v>1</v>
      </c>
      <c r="L24">
        <f>IF($D24=0,"NA",ROUND(SUM(recreation_v2_common_5!L24,recreation_v2_common_4!L24,recreation_v2_common_3!L24,recreation_v2_common_2!L24,recreation_v2_common_1!L24)/COUNT(recreation_v2_common_5!L24,recreation_v2_common_4!L24,recreation_v2_common_3!L24,recreation_v2_common_2!L24,recreation_v2_common_1!L24),0))</f>
        <v>1</v>
      </c>
      <c r="M24">
        <f>IF($D24=0,"NA",ROUND(SUM(recreation_v2_common_5!M24,recreation_v2_common_4!M24,recreation_v2_common_3!M24,recreation_v2_common_2!M24,recreation_v2_common_1!M24)/COUNT(recreation_v2_common_5!M24,recreation_v2_common_4!M24,recreation_v2_common_3!M24,recreation_v2_common_2!M24,recreation_v2_common_1!M24),0))</f>
        <v>1</v>
      </c>
      <c r="N24">
        <f>IF($D24=0,"NA",ROUND(SUM(recreation_v2_common_5!N24,recreation_v2_common_4!N24,recreation_v2_common_3!N24,recreation_v2_common_2!N24,recreation_v2_common_1!N24)/COUNT(recreation_v2_common_5!N24,recreation_v2_common_4!N24,recreation_v2_common_3!N24,recreation_v2_common_2!N24,recreation_v2_common_1!N24),0))</f>
        <v>1</v>
      </c>
    </row>
    <row r="25" spans="1:14" x14ac:dyDescent="0.25">
      <c r="A25" t="s">
        <v>47</v>
      </c>
      <c r="B25">
        <v>0</v>
      </c>
      <c r="C25">
        <v>12.949322938919069</v>
      </c>
      <c r="D25">
        <f>ROUND(SUM(recreation_v2_common_5!D25,recreation_v2_common_4!D25,recreation_v2_common_3!D25,recreation_v2_common_2!D25,recreation_v2_common_1!D25)/COUNT(recreation_v2_common_5!D25,recreation_v2_common_4!D25,recreation_v2_common_3!D25,recreation_v2_common_2!D25,recreation_v2_common_1!D25),0)</f>
        <v>1</v>
      </c>
      <c r="E25">
        <f>IF($D25=0,"NA",ROUND(SUM(recreation_v2_common_5!E25,recreation_v2_common_4!E25,recreation_v2_common_3!E25,recreation_v2_common_2!E25,recreation_v2_common_1!E25)/COUNT(recreation_v2_common_5!E25,recreation_v2_common_4!E25,recreation_v2_common_3!E25,recreation_v2_common_2!E25,recreation_v2_common_1!E25),0))</f>
        <v>1</v>
      </c>
      <c r="F25">
        <f>IF($D25=0,"NA",ROUND(SUM(recreation_v2_common_5!F25,recreation_v2_common_4!F25,recreation_v2_common_3!F25,recreation_v2_common_2!F25,recreation_v2_common_1!F25)/COUNT(recreation_v2_common_5!F25,recreation_v2_common_4!F25,recreation_v2_common_3!F25,recreation_v2_common_2!F25,recreation_v2_common_1!F25),0))</f>
        <v>1</v>
      </c>
      <c r="G25">
        <f>IF(AND(E25=1,F25=1),ROUND(SUM(recreation_v2_common_5!G25,recreation_v2_common_4!G25,recreation_v2_common_3!G25,recreation_v2_common_2!G25,recreation_v2_common_1!G25)/COUNT(recreation_v2_common_5!G25,recreation_v2_common_4!G25,recreation_v2_common_3!G25,recreation_v2_common_2!G25,recreation_v2_common_1!G25),0),"NA")</f>
        <v>1</v>
      </c>
      <c r="H25">
        <f>IF($D25=0,"NA",ROUND(SUM(recreation_v2_common_5!H25,recreation_v2_common_4!H25,recreation_v2_common_3!H25,recreation_v2_common_2!H25,recreation_v2_common_1!H25)/COUNT(recreation_v2_common_5!H25,recreation_v2_common_4!H25,recreation_v2_common_3!H25,recreation_v2_common_2!H25,recreation_v2_common_1!H25),0))</f>
        <v>1</v>
      </c>
      <c r="I25">
        <f>IF(E25=1,ROUND(SUM(recreation_v2_common_5!I25,recreation_v2_common_4!I25,recreation_v2_common_3!I25,recreation_v2_common_2!I25,recreation_v2_common_1!I25)/COUNT(recreation_v2_common_5!I25,recreation_v2_common_4!I25,recreation_v2_common_3!I25,recreation_v2_common_2!I25,recreation_v2_common_1!I25),0),"NA")</f>
        <v>1</v>
      </c>
      <c r="J25">
        <f>IF($D25=0,"NA",ROUND(SUM(recreation_v2_common_5!J25,recreation_v2_common_4!J25,recreation_v2_common_3!J25,recreation_v2_common_2!J25,recreation_v2_common_1!J25)/COUNT(recreation_v2_common_5!J25,recreation_v2_common_4!J25,recreation_v2_common_3!J25,recreation_v2_common_2!J25,recreation_v2_common_1!J25),0))</f>
        <v>1</v>
      </c>
      <c r="K25">
        <f>IF($D25=0,"NA",ROUND(SUM(recreation_v2_common_5!K25,recreation_v2_common_4!K25,recreation_v2_common_3!K25,recreation_v2_common_2!K25,recreation_v2_common_1!K25)/COUNT(recreation_v2_common_5!K25,recreation_v2_common_4!K25,recreation_v2_common_3!K25,recreation_v2_common_2!K25,recreation_v2_common_1!K25),0))</f>
        <v>1</v>
      </c>
      <c r="L25">
        <f>IF($D25=0,"NA",ROUND(SUM(recreation_v2_common_5!L25,recreation_v2_common_4!L25,recreation_v2_common_3!L25,recreation_v2_common_2!L25,recreation_v2_common_1!L25)/COUNT(recreation_v2_common_5!L25,recreation_v2_common_4!L25,recreation_v2_common_3!L25,recreation_v2_common_2!L25,recreation_v2_common_1!L25),0))</f>
        <v>1</v>
      </c>
      <c r="M25">
        <f>IF($D25=0,"NA",ROUND(SUM(recreation_v2_common_5!M25,recreation_v2_common_4!M25,recreation_v2_common_3!M25,recreation_v2_common_2!M25,recreation_v2_common_1!M25)/COUNT(recreation_v2_common_5!M25,recreation_v2_common_4!M25,recreation_v2_common_3!M25,recreation_v2_common_2!M25,recreation_v2_common_1!M25),0))</f>
        <v>1</v>
      </c>
      <c r="N25">
        <f>IF($D25=0,"NA",ROUND(SUM(recreation_v2_common_5!N25,recreation_v2_common_4!N25,recreation_v2_common_3!N25,recreation_v2_common_2!N25,recreation_v2_common_1!N25)/COUNT(recreation_v2_common_5!N25,recreation_v2_common_4!N25,recreation_v2_common_3!N25,recreation_v2_common_2!N25,recreation_v2_common_1!N25),0))</f>
        <v>1</v>
      </c>
    </row>
    <row r="26" spans="1:14" x14ac:dyDescent="0.25">
      <c r="A26" t="s">
        <v>48</v>
      </c>
      <c r="B26">
        <v>0</v>
      </c>
      <c r="C26">
        <v>10.89089465141296</v>
      </c>
      <c r="D26">
        <f>ROUND(SUM(recreation_v2_common_5!D26,recreation_v2_common_4!D26,recreation_v2_common_3!D26,recreation_v2_common_2!D26,recreation_v2_common_1!D26)/COUNT(recreation_v2_common_5!D26,recreation_v2_common_4!D26,recreation_v2_common_3!D26,recreation_v2_common_2!D26,recreation_v2_common_1!D26),0)</f>
        <v>1</v>
      </c>
      <c r="E26">
        <f>IF($D26=0,"NA",ROUND(SUM(recreation_v2_common_5!E26,recreation_v2_common_4!E26,recreation_v2_common_3!E26,recreation_v2_common_2!E26,recreation_v2_common_1!E26)/COUNT(recreation_v2_common_5!E26,recreation_v2_common_4!E26,recreation_v2_common_3!E26,recreation_v2_common_2!E26,recreation_v2_common_1!E26),0))</f>
        <v>1</v>
      </c>
      <c r="F26">
        <f>IF($D26=0,"NA",ROUND(SUM(recreation_v2_common_5!F26,recreation_v2_common_4!F26,recreation_v2_common_3!F26,recreation_v2_common_2!F26,recreation_v2_common_1!F26)/COUNT(recreation_v2_common_5!F26,recreation_v2_common_4!F26,recreation_v2_common_3!F26,recreation_v2_common_2!F26,recreation_v2_common_1!F26),0))</f>
        <v>1</v>
      </c>
      <c r="G26">
        <f>IF(AND(E26=1,F26=1),ROUND(SUM(recreation_v2_common_5!G26,recreation_v2_common_4!G26,recreation_v2_common_3!G26,recreation_v2_common_2!G26,recreation_v2_common_1!G26)/COUNT(recreation_v2_common_5!G26,recreation_v2_common_4!G26,recreation_v2_common_3!G26,recreation_v2_common_2!G26,recreation_v2_common_1!G26),0),"NA")</f>
        <v>1</v>
      </c>
      <c r="H26">
        <f>IF($D26=0,"NA",ROUND(SUM(recreation_v2_common_5!H26,recreation_v2_common_4!H26,recreation_v2_common_3!H26,recreation_v2_common_2!H26,recreation_v2_common_1!H26)/COUNT(recreation_v2_common_5!H26,recreation_v2_common_4!H26,recreation_v2_common_3!H26,recreation_v2_common_2!H26,recreation_v2_common_1!H26),0))</f>
        <v>1</v>
      </c>
      <c r="I26">
        <f>IF(E26=1,ROUND(SUM(recreation_v2_common_5!I26,recreation_v2_common_4!I26,recreation_v2_common_3!I26,recreation_v2_common_2!I26,recreation_v2_common_1!I26)/COUNT(recreation_v2_common_5!I26,recreation_v2_common_4!I26,recreation_v2_common_3!I26,recreation_v2_common_2!I26,recreation_v2_common_1!I26),0),"NA")</f>
        <v>1</v>
      </c>
      <c r="J26">
        <f>IF($D26=0,"NA",ROUND(SUM(recreation_v2_common_5!J26,recreation_v2_common_4!J26,recreation_v2_common_3!J26,recreation_v2_common_2!J26,recreation_v2_common_1!J26)/COUNT(recreation_v2_common_5!J26,recreation_v2_common_4!J26,recreation_v2_common_3!J26,recreation_v2_common_2!J26,recreation_v2_common_1!J26),0))</f>
        <v>1</v>
      </c>
      <c r="K26">
        <f>IF($D26=0,"NA",ROUND(SUM(recreation_v2_common_5!K26,recreation_v2_common_4!K26,recreation_v2_common_3!K26,recreation_v2_common_2!K26,recreation_v2_common_1!K26)/COUNT(recreation_v2_common_5!K26,recreation_v2_common_4!K26,recreation_v2_common_3!K26,recreation_v2_common_2!K26,recreation_v2_common_1!K26),0))</f>
        <v>1</v>
      </c>
      <c r="L26">
        <f>IF($D26=0,"NA",ROUND(SUM(recreation_v2_common_5!L26,recreation_v2_common_4!L26,recreation_v2_common_3!L26,recreation_v2_common_2!L26,recreation_v2_common_1!L26)/COUNT(recreation_v2_common_5!L26,recreation_v2_common_4!L26,recreation_v2_common_3!L26,recreation_v2_common_2!L26,recreation_v2_common_1!L26),0))</f>
        <v>1</v>
      </c>
      <c r="M26">
        <f>IF($D26=0,"NA",ROUND(SUM(recreation_v2_common_5!M26,recreation_v2_common_4!M26,recreation_v2_common_3!M26,recreation_v2_common_2!M26,recreation_v2_common_1!M26)/COUNT(recreation_v2_common_5!M26,recreation_v2_common_4!M26,recreation_v2_common_3!M26,recreation_v2_common_2!M26,recreation_v2_common_1!M26),0))</f>
        <v>1</v>
      </c>
      <c r="N26">
        <f>IF($D26=0,"NA",ROUND(SUM(recreation_v2_common_5!N26,recreation_v2_common_4!N26,recreation_v2_common_3!N26,recreation_v2_common_2!N26,recreation_v2_common_1!N26)/COUNT(recreation_v2_common_5!N26,recreation_v2_common_4!N26,recreation_v2_common_3!N26,recreation_v2_common_2!N26,recreation_v2_common_1!N26),0))</f>
        <v>1</v>
      </c>
    </row>
    <row r="27" spans="1:14" x14ac:dyDescent="0.25">
      <c r="A27" t="s">
        <v>50</v>
      </c>
      <c r="B27">
        <v>0</v>
      </c>
      <c r="C27">
        <v>2.70160984992981</v>
      </c>
      <c r="D27">
        <f>ROUND(SUM(recreation_v2_common_5!D27,recreation_v2_common_4!D27,recreation_v2_common_3!D27,recreation_v2_common_2!D27,recreation_v2_common_1!D27)/COUNT(recreation_v2_common_5!D27,recreation_v2_common_4!D27,recreation_v2_common_3!D27,recreation_v2_common_2!D27,recreation_v2_common_1!D27),0)</f>
        <v>1</v>
      </c>
      <c r="E27">
        <f>IF($D27=0,"NA",ROUND(SUM(recreation_v2_common_5!E27,recreation_v2_common_4!E27,recreation_v2_common_3!E27,recreation_v2_common_2!E27,recreation_v2_common_1!E27)/COUNT(recreation_v2_common_5!E27,recreation_v2_common_4!E27,recreation_v2_common_3!E27,recreation_v2_common_2!E27,recreation_v2_common_1!E27),0))</f>
        <v>1</v>
      </c>
      <c r="F27">
        <f>IF($D27=0,"NA",ROUND(SUM(recreation_v2_common_5!F27,recreation_v2_common_4!F27,recreation_v2_common_3!F27,recreation_v2_common_2!F27,recreation_v2_common_1!F27)/COUNT(recreation_v2_common_5!F27,recreation_v2_common_4!F27,recreation_v2_common_3!F27,recreation_v2_common_2!F27,recreation_v2_common_1!F27),0))</f>
        <v>1</v>
      </c>
      <c r="G27">
        <f>IF(AND(E27=1,F27=1),ROUND(SUM(recreation_v2_common_5!G27,recreation_v2_common_4!G27,recreation_v2_common_3!G27,recreation_v2_common_2!G27,recreation_v2_common_1!G27)/COUNT(recreation_v2_common_5!G27,recreation_v2_common_4!G27,recreation_v2_common_3!G27,recreation_v2_common_2!G27,recreation_v2_common_1!G27),0),"NA")</f>
        <v>1</v>
      </c>
      <c r="H27">
        <f>IF($D27=0,"NA",ROUND(SUM(recreation_v2_common_5!H27,recreation_v2_common_4!H27,recreation_v2_common_3!H27,recreation_v2_common_2!H27,recreation_v2_common_1!H27)/COUNT(recreation_v2_common_5!H27,recreation_v2_common_4!H27,recreation_v2_common_3!H27,recreation_v2_common_2!H27,recreation_v2_common_1!H27),0))</f>
        <v>1</v>
      </c>
      <c r="I27">
        <f>IF(E27=1,ROUND(SUM(recreation_v2_common_5!I27,recreation_v2_common_4!I27,recreation_v2_common_3!I27,recreation_v2_common_2!I27,recreation_v2_common_1!I27)/COUNT(recreation_v2_common_5!I27,recreation_v2_common_4!I27,recreation_v2_common_3!I27,recreation_v2_common_2!I27,recreation_v2_common_1!I27),0),"NA")</f>
        <v>1</v>
      </c>
      <c r="J27">
        <f>IF($D27=0,"NA",ROUND(SUM(recreation_v2_common_5!J27,recreation_v2_common_4!J27,recreation_v2_common_3!J27,recreation_v2_common_2!J27,recreation_v2_common_1!J27)/COUNT(recreation_v2_common_5!J27,recreation_v2_common_4!J27,recreation_v2_common_3!J27,recreation_v2_common_2!J27,recreation_v2_common_1!J27),0))</f>
        <v>1</v>
      </c>
      <c r="K27">
        <f>IF($D27=0,"NA",ROUND(SUM(recreation_v2_common_5!K27,recreation_v2_common_4!K27,recreation_v2_common_3!K27,recreation_v2_common_2!K27,recreation_v2_common_1!K27)/COUNT(recreation_v2_common_5!K27,recreation_v2_common_4!K27,recreation_v2_common_3!K27,recreation_v2_common_2!K27,recreation_v2_common_1!K27),0))</f>
        <v>1</v>
      </c>
      <c r="L27">
        <f>IF($D27=0,"NA",ROUND(SUM(recreation_v2_common_5!L27,recreation_v2_common_4!L27,recreation_v2_common_3!L27,recreation_v2_common_2!L27,recreation_v2_common_1!L27)/COUNT(recreation_v2_common_5!L27,recreation_v2_common_4!L27,recreation_v2_common_3!L27,recreation_v2_common_2!L27,recreation_v2_common_1!L27),0))</f>
        <v>1</v>
      </c>
      <c r="M27">
        <f>IF($D27=0,"NA",ROUND(SUM(recreation_v2_common_5!M27,recreation_v2_common_4!M27,recreation_v2_common_3!M27,recreation_v2_common_2!M27,recreation_v2_common_1!M27)/COUNT(recreation_v2_common_5!M27,recreation_v2_common_4!M27,recreation_v2_common_3!M27,recreation_v2_common_2!M27,recreation_v2_common_1!M27),0))</f>
        <v>1</v>
      </c>
      <c r="N27">
        <f>IF($D27=0,"NA",ROUND(SUM(recreation_v2_common_5!N27,recreation_v2_common_4!N27,recreation_v2_common_3!N27,recreation_v2_common_2!N27,recreation_v2_common_1!N27)/COUNT(recreation_v2_common_5!N27,recreation_v2_common_4!N27,recreation_v2_common_3!N27,recreation_v2_common_2!N27,recreation_v2_common_1!N27),0))</f>
        <v>1</v>
      </c>
    </row>
    <row r="28" spans="1:14" x14ac:dyDescent="0.25">
      <c r="A28" t="s">
        <v>51</v>
      </c>
      <c r="B28">
        <v>0</v>
      </c>
      <c r="C28">
        <v>9.8340315818786621</v>
      </c>
      <c r="D28">
        <f>ROUND(SUM(recreation_v2_common_5!D28,recreation_v2_common_4!D28,recreation_v2_common_3!D28,recreation_v2_common_2!D28,recreation_v2_common_1!D28)/COUNT(recreation_v2_common_5!D28,recreation_v2_common_4!D28,recreation_v2_common_3!D28,recreation_v2_common_2!D28,recreation_v2_common_1!D28),0)</f>
        <v>1</v>
      </c>
      <c r="E28">
        <f>IF($D28=0,"NA",ROUND(SUM(recreation_v2_common_5!E28,recreation_v2_common_4!E28,recreation_v2_common_3!E28,recreation_v2_common_2!E28,recreation_v2_common_1!E28)/COUNT(recreation_v2_common_5!E28,recreation_v2_common_4!E28,recreation_v2_common_3!E28,recreation_v2_common_2!E28,recreation_v2_common_1!E28),0))</f>
        <v>1</v>
      </c>
      <c r="F28">
        <f>IF($D28=0,"NA",ROUND(SUM(recreation_v2_common_5!F28,recreation_v2_common_4!F28,recreation_v2_common_3!F28,recreation_v2_common_2!F28,recreation_v2_common_1!F28)/COUNT(recreation_v2_common_5!F28,recreation_v2_common_4!F28,recreation_v2_common_3!F28,recreation_v2_common_2!F28,recreation_v2_common_1!F28),0))</f>
        <v>1</v>
      </c>
      <c r="G28">
        <f>IF(AND(E28=1,F28=1),ROUND(SUM(recreation_v2_common_5!G28,recreation_v2_common_4!G28,recreation_v2_common_3!G28,recreation_v2_common_2!G28,recreation_v2_common_1!G28)/COUNT(recreation_v2_common_5!G28,recreation_v2_common_4!G28,recreation_v2_common_3!G28,recreation_v2_common_2!G28,recreation_v2_common_1!G28),0),"NA")</f>
        <v>1</v>
      </c>
      <c r="H28">
        <f>IF($D28=0,"NA",ROUND(SUM(recreation_v2_common_5!H28,recreation_v2_common_4!H28,recreation_v2_common_3!H28,recreation_v2_common_2!H28,recreation_v2_common_1!H28)/COUNT(recreation_v2_common_5!H28,recreation_v2_common_4!H28,recreation_v2_common_3!H28,recreation_v2_common_2!H28,recreation_v2_common_1!H28),0))</f>
        <v>1</v>
      </c>
      <c r="I28">
        <f>IF(E28=1,ROUND(SUM(recreation_v2_common_5!I28,recreation_v2_common_4!I28,recreation_v2_common_3!I28,recreation_v2_common_2!I28,recreation_v2_common_1!I28)/COUNT(recreation_v2_common_5!I28,recreation_v2_common_4!I28,recreation_v2_common_3!I28,recreation_v2_common_2!I28,recreation_v2_common_1!I28),0),"NA")</f>
        <v>1</v>
      </c>
      <c r="J28">
        <f>IF($D28=0,"NA",ROUND(SUM(recreation_v2_common_5!J28,recreation_v2_common_4!J28,recreation_v2_common_3!J28,recreation_v2_common_2!J28,recreation_v2_common_1!J28)/COUNT(recreation_v2_common_5!J28,recreation_v2_common_4!J28,recreation_v2_common_3!J28,recreation_v2_common_2!J28,recreation_v2_common_1!J28),0))</f>
        <v>0</v>
      </c>
      <c r="K28">
        <f>IF($D28=0,"NA",ROUND(SUM(recreation_v2_common_5!K28,recreation_v2_common_4!K28,recreation_v2_common_3!K28,recreation_v2_common_2!K28,recreation_v2_common_1!K28)/COUNT(recreation_v2_common_5!K28,recreation_v2_common_4!K28,recreation_v2_common_3!K28,recreation_v2_common_2!K28,recreation_v2_common_1!K28),0))</f>
        <v>1</v>
      </c>
      <c r="L28">
        <f>IF($D28=0,"NA",ROUND(SUM(recreation_v2_common_5!L28,recreation_v2_common_4!L28,recreation_v2_common_3!L28,recreation_v2_common_2!L28,recreation_v2_common_1!L28)/COUNT(recreation_v2_common_5!L28,recreation_v2_common_4!L28,recreation_v2_common_3!L28,recreation_v2_common_2!L28,recreation_v2_common_1!L28),0))</f>
        <v>1</v>
      </c>
      <c r="M28">
        <f>IF($D28=0,"NA",ROUND(SUM(recreation_v2_common_5!M28,recreation_v2_common_4!M28,recreation_v2_common_3!M28,recreation_v2_common_2!M28,recreation_v2_common_1!M28)/COUNT(recreation_v2_common_5!M28,recreation_v2_common_4!M28,recreation_v2_common_3!M28,recreation_v2_common_2!M28,recreation_v2_common_1!M28),0))</f>
        <v>1</v>
      </c>
      <c r="N28">
        <f>IF($D28=0,"NA",ROUND(SUM(recreation_v2_common_5!N28,recreation_v2_common_4!N28,recreation_v2_common_3!N28,recreation_v2_common_2!N28,recreation_v2_common_1!N28)/COUNT(recreation_v2_common_5!N28,recreation_v2_common_4!N28,recreation_v2_common_3!N28,recreation_v2_common_2!N28,recreation_v2_common_1!N28),0))</f>
        <v>1</v>
      </c>
    </row>
    <row r="29" spans="1:14" x14ac:dyDescent="0.25">
      <c r="A29" t="s">
        <v>53</v>
      </c>
      <c r="B29">
        <v>0</v>
      </c>
      <c r="C29">
        <v>4.3127591609954834</v>
      </c>
      <c r="D29">
        <f>ROUND(SUM(recreation_v2_common_5!D29,recreation_v2_common_4!D29,recreation_v2_common_3!D29,recreation_v2_common_2!D29,recreation_v2_common_1!D29)/COUNT(recreation_v2_common_5!D29,recreation_v2_common_4!D29,recreation_v2_common_3!D29,recreation_v2_common_2!D29,recreation_v2_common_1!D29),0)</f>
        <v>1</v>
      </c>
      <c r="E29">
        <f>IF($D29=0,"NA",ROUND(SUM(recreation_v2_common_5!E29,recreation_v2_common_4!E29,recreation_v2_common_3!E29,recreation_v2_common_2!E29,recreation_v2_common_1!E29)/COUNT(recreation_v2_common_5!E29,recreation_v2_common_4!E29,recreation_v2_common_3!E29,recreation_v2_common_2!E29,recreation_v2_common_1!E29),0))</f>
        <v>1</v>
      </c>
      <c r="F29">
        <f>IF($D29=0,"NA",ROUND(SUM(recreation_v2_common_5!F29,recreation_v2_common_4!F29,recreation_v2_common_3!F29,recreation_v2_common_2!F29,recreation_v2_common_1!F29)/COUNT(recreation_v2_common_5!F29,recreation_v2_common_4!F29,recreation_v2_common_3!F29,recreation_v2_common_2!F29,recreation_v2_common_1!F29),0))</f>
        <v>1</v>
      </c>
      <c r="G29">
        <f>IF(AND(E29=1,F29=1),ROUND(SUM(recreation_v2_common_5!G29,recreation_v2_common_4!G29,recreation_v2_common_3!G29,recreation_v2_common_2!G29,recreation_v2_common_1!G29)/COUNT(recreation_v2_common_5!G29,recreation_v2_common_4!G29,recreation_v2_common_3!G29,recreation_v2_common_2!G29,recreation_v2_common_1!G29),0),"NA")</f>
        <v>0</v>
      </c>
      <c r="H29">
        <f>IF($D29=0,"NA",ROUND(SUM(recreation_v2_common_5!H29,recreation_v2_common_4!H29,recreation_v2_common_3!H29,recreation_v2_common_2!H29,recreation_v2_common_1!H29)/COUNT(recreation_v2_common_5!H29,recreation_v2_common_4!H29,recreation_v2_common_3!H29,recreation_v2_common_2!H29,recreation_v2_common_1!H29),0))</f>
        <v>1</v>
      </c>
      <c r="I29">
        <f>IF(E29=1,ROUND(SUM(recreation_v2_common_5!I29,recreation_v2_common_4!I29,recreation_v2_common_3!I29,recreation_v2_common_2!I29,recreation_v2_common_1!I29)/COUNT(recreation_v2_common_5!I29,recreation_v2_common_4!I29,recreation_v2_common_3!I29,recreation_v2_common_2!I29,recreation_v2_common_1!I29),0),"NA")</f>
        <v>1</v>
      </c>
      <c r="J29">
        <f>IF($D29=0,"NA",ROUND(SUM(recreation_v2_common_5!J29,recreation_v2_common_4!J29,recreation_v2_common_3!J29,recreation_v2_common_2!J29,recreation_v2_common_1!J29)/COUNT(recreation_v2_common_5!J29,recreation_v2_common_4!J29,recreation_v2_common_3!J29,recreation_v2_common_2!J29,recreation_v2_common_1!J29),0))</f>
        <v>1</v>
      </c>
      <c r="K29">
        <f>IF($D29=0,"NA",ROUND(SUM(recreation_v2_common_5!K29,recreation_v2_common_4!K29,recreation_v2_common_3!K29,recreation_v2_common_2!K29,recreation_v2_common_1!K29)/COUNT(recreation_v2_common_5!K29,recreation_v2_common_4!K29,recreation_v2_common_3!K29,recreation_v2_common_2!K29,recreation_v2_common_1!K29),0))</f>
        <v>1</v>
      </c>
      <c r="L29">
        <f>IF($D29=0,"NA",ROUND(SUM(recreation_v2_common_5!L29,recreation_v2_common_4!L29,recreation_v2_common_3!L29,recreation_v2_common_2!L29,recreation_v2_common_1!L29)/COUNT(recreation_v2_common_5!L29,recreation_v2_common_4!L29,recreation_v2_common_3!L29,recreation_v2_common_2!L29,recreation_v2_common_1!L29),0))</f>
        <v>1</v>
      </c>
      <c r="M29">
        <f>IF($D29=0,"NA",ROUND(SUM(recreation_v2_common_5!M29,recreation_v2_common_4!M29,recreation_v2_common_3!M29,recreation_v2_common_2!M29,recreation_v2_common_1!M29)/COUNT(recreation_v2_common_5!M29,recreation_v2_common_4!M29,recreation_v2_common_3!M29,recreation_v2_common_2!M29,recreation_v2_common_1!M29),0))</f>
        <v>1</v>
      </c>
      <c r="N29">
        <f>IF($D29=0,"NA",ROUND(SUM(recreation_v2_common_5!N29,recreation_v2_common_4!N29,recreation_v2_common_3!N29,recreation_v2_common_2!N29,recreation_v2_common_1!N29)/COUNT(recreation_v2_common_5!N29,recreation_v2_common_4!N29,recreation_v2_common_3!N29,recreation_v2_common_2!N29,recreation_v2_common_1!N29),0))</f>
        <v>1</v>
      </c>
    </row>
    <row r="30" spans="1:14" x14ac:dyDescent="0.25">
      <c r="A30" t="s">
        <v>55</v>
      </c>
      <c r="B30">
        <v>0</v>
      </c>
      <c r="C30">
        <v>10.598395824432369</v>
      </c>
      <c r="D30">
        <f>ROUND(SUM(recreation_v2_common_5!D30,recreation_v2_common_4!D30,recreation_v2_common_3!D30,recreation_v2_common_2!D30,recreation_v2_common_1!D30)/COUNT(recreation_v2_common_5!D30,recreation_v2_common_4!D30,recreation_v2_common_3!D30,recreation_v2_common_2!D30,recreation_v2_common_1!D30),0)</f>
        <v>0</v>
      </c>
      <c r="E30" t="str">
        <f>IF($D30=0,"NA",ROUND(SUM(recreation_v2_common_5!E30,recreation_v2_common_4!E30,recreation_v2_common_3!E30,recreation_v2_common_2!E30,recreation_v2_common_1!E30)/COUNT(recreation_v2_common_5!E30,recreation_v2_common_4!E30,recreation_v2_common_3!E30,recreation_v2_common_2!E30,recreation_v2_common_1!E30),0))</f>
        <v>NA</v>
      </c>
      <c r="F30" t="str">
        <f>IF($D30=0,"NA",ROUND(SUM(recreation_v2_common_5!F30,recreation_v2_common_4!F30,recreation_v2_common_3!F30,recreation_v2_common_2!F30,recreation_v2_common_1!F30)/COUNT(recreation_v2_common_5!F30,recreation_v2_common_4!F30,recreation_v2_common_3!F30,recreation_v2_common_2!F30,recreation_v2_common_1!F30),0))</f>
        <v>NA</v>
      </c>
      <c r="G30" t="str">
        <f>IF(AND(E30=1,F30=1),ROUND(SUM(recreation_v2_common_5!G30,recreation_v2_common_4!G30,recreation_v2_common_3!G30,recreation_v2_common_2!G30,recreation_v2_common_1!G30)/COUNT(recreation_v2_common_5!G30,recreation_v2_common_4!G30,recreation_v2_common_3!G30,recreation_v2_common_2!G30,recreation_v2_common_1!G30),0),"NA")</f>
        <v>NA</v>
      </c>
      <c r="H30" t="str">
        <f>IF($D30=0,"NA",ROUND(SUM(recreation_v2_common_5!H30,recreation_v2_common_4!H30,recreation_v2_common_3!H30,recreation_v2_common_2!H30,recreation_v2_common_1!H30)/COUNT(recreation_v2_common_5!H30,recreation_v2_common_4!H30,recreation_v2_common_3!H30,recreation_v2_common_2!H30,recreation_v2_common_1!H30),0))</f>
        <v>NA</v>
      </c>
      <c r="I30" t="str">
        <f>IF(E30=1,ROUND(SUM(recreation_v2_common_5!I30,recreation_v2_common_4!I30,recreation_v2_common_3!I30,recreation_v2_common_2!I30,recreation_v2_common_1!I30)/COUNT(recreation_v2_common_5!I30,recreation_v2_common_4!I30,recreation_v2_common_3!I30,recreation_v2_common_2!I30,recreation_v2_common_1!I30),0),"NA")</f>
        <v>NA</v>
      </c>
      <c r="J30" t="str">
        <f>IF($D30=0,"NA",ROUND(SUM(recreation_v2_common_5!J30,recreation_v2_common_4!J30,recreation_v2_common_3!J30,recreation_v2_common_2!J30,recreation_v2_common_1!J30)/COUNT(recreation_v2_common_5!J30,recreation_v2_common_4!J30,recreation_v2_common_3!J30,recreation_v2_common_2!J30,recreation_v2_common_1!J30),0))</f>
        <v>NA</v>
      </c>
      <c r="K30" t="str">
        <f>IF($D30=0,"NA",ROUND(SUM(recreation_v2_common_5!K30,recreation_v2_common_4!K30,recreation_v2_common_3!K30,recreation_v2_common_2!K30,recreation_v2_common_1!K30)/COUNT(recreation_v2_common_5!K30,recreation_v2_common_4!K30,recreation_v2_common_3!K30,recreation_v2_common_2!K30,recreation_v2_common_1!K30),0))</f>
        <v>NA</v>
      </c>
      <c r="L30" t="str">
        <f>IF($D30=0,"NA",ROUND(SUM(recreation_v2_common_5!L30,recreation_v2_common_4!L30,recreation_v2_common_3!L30,recreation_v2_common_2!L30,recreation_v2_common_1!L30)/COUNT(recreation_v2_common_5!L30,recreation_v2_common_4!L30,recreation_v2_common_3!L30,recreation_v2_common_2!L30,recreation_v2_common_1!L30),0))</f>
        <v>NA</v>
      </c>
      <c r="M30" t="str">
        <f>IF($D30=0,"NA",ROUND(SUM(recreation_v2_common_5!M30,recreation_v2_common_4!M30,recreation_v2_common_3!M30,recreation_v2_common_2!M30,recreation_v2_common_1!M30)/COUNT(recreation_v2_common_5!M30,recreation_v2_common_4!M30,recreation_v2_common_3!M30,recreation_v2_common_2!M30,recreation_v2_common_1!M30),0))</f>
        <v>NA</v>
      </c>
      <c r="N30" t="str">
        <f>IF($D30=0,"NA",ROUND(SUM(recreation_v2_common_5!N30,recreation_v2_common_4!N30,recreation_v2_common_3!N30,recreation_v2_common_2!N30,recreation_v2_common_1!N30)/COUNT(recreation_v2_common_5!N30,recreation_v2_common_4!N30,recreation_v2_common_3!N30,recreation_v2_common_2!N30,recreation_v2_common_1!N30),0))</f>
        <v>NA</v>
      </c>
    </row>
    <row r="31" spans="1:14" x14ac:dyDescent="0.25">
      <c r="A31" t="s">
        <v>57</v>
      </c>
      <c r="B31">
        <v>0</v>
      </c>
      <c r="C31">
        <v>6.3875834941864014</v>
      </c>
      <c r="D31">
        <f>ROUND(SUM(recreation_v2_common_5!D31,recreation_v2_common_4!D31,recreation_v2_common_3!D31,recreation_v2_common_2!D31,recreation_v2_common_1!D31)/COUNT(recreation_v2_common_5!D31,recreation_v2_common_4!D31,recreation_v2_common_3!D31,recreation_v2_common_2!D31,recreation_v2_common_1!D31),0)</f>
        <v>1</v>
      </c>
      <c r="E31">
        <f>IF($D31=0,"NA",ROUND(SUM(recreation_v2_common_5!E31,recreation_v2_common_4!E31,recreation_v2_common_3!E31,recreation_v2_common_2!E31,recreation_v2_common_1!E31)/COUNT(recreation_v2_common_5!E31,recreation_v2_common_4!E31,recreation_v2_common_3!E31,recreation_v2_common_2!E31,recreation_v2_common_1!E31),0))</f>
        <v>1</v>
      </c>
      <c r="F31">
        <f>IF($D31=0,"NA",ROUND(SUM(recreation_v2_common_5!F31,recreation_v2_common_4!F31,recreation_v2_common_3!F31,recreation_v2_common_2!F31,recreation_v2_common_1!F31)/COUNT(recreation_v2_common_5!F31,recreation_v2_common_4!F31,recreation_v2_common_3!F31,recreation_v2_common_2!F31,recreation_v2_common_1!F31),0))</f>
        <v>1</v>
      </c>
      <c r="G31">
        <f>IF(AND(E31=1,F31=1),ROUND(SUM(recreation_v2_common_5!G31,recreation_v2_common_4!G31,recreation_v2_common_3!G31,recreation_v2_common_2!G31,recreation_v2_common_1!G31)/COUNT(recreation_v2_common_5!G31,recreation_v2_common_4!G31,recreation_v2_common_3!G31,recreation_v2_common_2!G31,recreation_v2_common_1!G31),0),"NA")</f>
        <v>0</v>
      </c>
      <c r="H31">
        <f>IF($D31=0,"NA",ROUND(SUM(recreation_v2_common_5!H31,recreation_v2_common_4!H31,recreation_v2_common_3!H31,recreation_v2_common_2!H31,recreation_v2_common_1!H31)/COUNT(recreation_v2_common_5!H31,recreation_v2_common_4!H31,recreation_v2_common_3!H31,recreation_v2_common_2!H31,recreation_v2_common_1!H31),0))</f>
        <v>1</v>
      </c>
      <c r="I31">
        <f>IF(E31=1,ROUND(SUM(recreation_v2_common_5!I31,recreation_v2_common_4!I31,recreation_v2_common_3!I31,recreation_v2_common_2!I31,recreation_v2_common_1!I31)/COUNT(recreation_v2_common_5!I31,recreation_v2_common_4!I31,recreation_v2_common_3!I31,recreation_v2_common_2!I31,recreation_v2_common_1!I31),0),"NA")</f>
        <v>1</v>
      </c>
      <c r="J31">
        <f>IF($D31=0,"NA",ROUND(SUM(recreation_v2_common_5!J31,recreation_v2_common_4!J31,recreation_v2_common_3!J31,recreation_v2_common_2!J31,recreation_v2_common_1!J31)/COUNT(recreation_v2_common_5!J31,recreation_v2_common_4!J31,recreation_v2_common_3!J31,recreation_v2_common_2!J31,recreation_v2_common_1!J31),0))</f>
        <v>1</v>
      </c>
      <c r="K31">
        <f>IF($D31=0,"NA",ROUND(SUM(recreation_v2_common_5!K31,recreation_v2_common_4!K31,recreation_v2_common_3!K31,recreation_v2_common_2!K31,recreation_v2_common_1!K31)/COUNT(recreation_v2_common_5!K31,recreation_v2_common_4!K31,recreation_v2_common_3!K31,recreation_v2_common_2!K31,recreation_v2_common_1!K31),0))</f>
        <v>1</v>
      </c>
      <c r="L31">
        <f>IF($D31=0,"NA",ROUND(SUM(recreation_v2_common_5!L31,recreation_v2_common_4!L31,recreation_v2_common_3!L31,recreation_v2_common_2!L31,recreation_v2_common_1!L31)/COUNT(recreation_v2_common_5!L31,recreation_v2_common_4!L31,recreation_v2_common_3!L31,recreation_v2_common_2!L31,recreation_v2_common_1!L31),0))</f>
        <v>1</v>
      </c>
      <c r="M31">
        <f>IF($D31=0,"NA",ROUND(SUM(recreation_v2_common_5!M31,recreation_v2_common_4!M31,recreation_v2_common_3!M31,recreation_v2_common_2!M31,recreation_v2_common_1!M31)/COUNT(recreation_v2_common_5!M31,recreation_v2_common_4!M31,recreation_v2_common_3!M31,recreation_v2_common_2!M31,recreation_v2_common_1!M31),0))</f>
        <v>1</v>
      </c>
      <c r="N31">
        <f>IF($D31=0,"NA",ROUND(SUM(recreation_v2_common_5!N31,recreation_v2_common_4!N31,recreation_v2_common_3!N31,recreation_v2_common_2!N31,recreation_v2_common_1!N31)/COUNT(recreation_v2_common_5!N31,recreation_v2_common_4!N31,recreation_v2_common_3!N31,recreation_v2_common_2!N31,recreation_v2_common_1!N31),0))</f>
        <v>1</v>
      </c>
    </row>
    <row r="32" spans="1:14" x14ac:dyDescent="0.25">
      <c r="A32" t="s">
        <v>59</v>
      </c>
      <c r="B32">
        <v>0</v>
      </c>
      <c r="C32">
        <v>8.9352085590362549</v>
      </c>
      <c r="D32">
        <f>ROUND(SUM(recreation_v2_common_5!D32,recreation_v2_common_4!D32,recreation_v2_common_3!D32,recreation_v2_common_2!D32,recreation_v2_common_1!D32)/COUNT(recreation_v2_common_5!D32,recreation_v2_common_4!D32,recreation_v2_common_3!D32,recreation_v2_common_2!D32,recreation_v2_common_1!D32),0)</f>
        <v>1</v>
      </c>
      <c r="E32">
        <f>IF($D32=0,"NA",ROUND(SUM(recreation_v2_common_5!E32,recreation_v2_common_4!E32,recreation_v2_common_3!E32,recreation_v2_common_2!E32,recreation_v2_common_1!E32)/COUNT(recreation_v2_common_5!E32,recreation_v2_common_4!E32,recreation_v2_common_3!E32,recreation_v2_common_2!E32,recreation_v2_common_1!E32),0))</f>
        <v>1</v>
      </c>
      <c r="F32">
        <f>IF($D32=0,"NA",ROUND(SUM(recreation_v2_common_5!F32,recreation_v2_common_4!F32,recreation_v2_common_3!F32,recreation_v2_common_2!F32,recreation_v2_common_1!F32)/COUNT(recreation_v2_common_5!F32,recreation_v2_common_4!F32,recreation_v2_common_3!F32,recreation_v2_common_2!F32,recreation_v2_common_1!F32),0))</f>
        <v>1</v>
      </c>
      <c r="G32">
        <f>IF(AND(E32=1,F32=1),ROUND(SUM(recreation_v2_common_5!G32,recreation_v2_common_4!G32,recreation_v2_common_3!G32,recreation_v2_common_2!G32,recreation_v2_common_1!G32)/COUNT(recreation_v2_common_5!G32,recreation_v2_common_4!G32,recreation_v2_common_3!G32,recreation_v2_common_2!G32,recreation_v2_common_1!G32),0),"NA")</f>
        <v>1</v>
      </c>
      <c r="H32">
        <f>IF($D32=0,"NA",ROUND(SUM(recreation_v2_common_5!H32,recreation_v2_common_4!H32,recreation_v2_common_3!H32,recreation_v2_common_2!H32,recreation_v2_common_1!H32)/COUNT(recreation_v2_common_5!H32,recreation_v2_common_4!H32,recreation_v2_common_3!H32,recreation_v2_common_2!H32,recreation_v2_common_1!H32),0))</f>
        <v>1</v>
      </c>
      <c r="I32">
        <f>IF(E32=1,ROUND(SUM(recreation_v2_common_5!I32,recreation_v2_common_4!I32,recreation_v2_common_3!I32,recreation_v2_common_2!I32,recreation_v2_common_1!I32)/COUNT(recreation_v2_common_5!I32,recreation_v2_common_4!I32,recreation_v2_common_3!I32,recreation_v2_common_2!I32,recreation_v2_common_1!I32),0),"NA")</f>
        <v>1</v>
      </c>
      <c r="J32">
        <f>IF($D32=0,"NA",ROUND(SUM(recreation_v2_common_5!J32,recreation_v2_common_4!J32,recreation_v2_common_3!J32,recreation_v2_common_2!J32,recreation_v2_common_1!J32)/COUNT(recreation_v2_common_5!J32,recreation_v2_common_4!J32,recreation_v2_common_3!J32,recreation_v2_common_2!J32,recreation_v2_common_1!J32),0))</f>
        <v>1</v>
      </c>
      <c r="K32">
        <f>IF($D32=0,"NA",ROUND(SUM(recreation_v2_common_5!K32,recreation_v2_common_4!K32,recreation_v2_common_3!K32,recreation_v2_common_2!K32,recreation_v2_common_1!K32)/COUNT(recreation_v2_common_5!K32,recreation_v2_common_4!K32,recreation_v2_common_3!K32,recreation_v2_common_2!K32,recreation_v2_common_1!K32),0))</f>
        <v>1</v>
      </c>
      <c r="L32">
        <f>IF($D32=0,"NA",ROUND(SUM(recreation_v2_common_5!L32,recreation_v2_common_4!L32,recreation_v2_common_3!L32,recreation_v2_common_2!L32,recreation_v2_common_1!L32)/COUNT(recreation_v2_common_5!L32,recreation_v2_common_4!L32,recreation_v2_common_3!L32,recreation_v2_common_2!L32,recreation_v2_common_1!L32),0))</f>
        <v>1</v>
      </c>
      <c r="M32">
        <f>IF($D32=0,"NA",ROUND(SUM(recreation_v2_common_5!M32,recreation_v2_common_4!M32,recreation_v2_common_3!M32,recreation_v2_common_2!M32,recreation_v2_common_1!M32)/COUNT(recreation_v2_common_5!M32,recreation_v2_common_4!M32,recreation_v2_common_3!M32,recreation_v2_common_2!M32,recreation_v2_common_1!M32),0))</f>
        <v>1</v>
      </c>
      <c r="N32">
        <f>IF($D32=0,"NA",ROUND(SUM(recreation_v2_common_5!N32,recreation_v2_common_4!N32,recreation_v2_common_3!N32,recreation_v2_common_2!N32,recreation_v2_common_1!N32)/COUNT(recreation_v2_common_5!N32,recreation_v2_common_4!N32,recreation_v2_common_3!N32,recreation_v2_common_2!N32,recreation_v2_common_1!N32),0))</f>
        <v>1</v>
      </c>
    </row>
    <row r="33" spans="1:14" x14ac:dyDescent="0.25">
      <c r="A33" t="s">
        <v>60</v>
      </c>
      <c r="B33">
        <v>0</v>
      </c>
      <c r="C33">
        <v>10.669795751571661</v>
      </c>
      <c r="D33">
        <f>ROUND(SUM(recreation_v2_common_5!D33,recreation_v2_common_4!D33,recreation_v2_common_3!D33,recreation_v2_common_2!D33,recreation_v2_common_1!D33)/COUNT(recreation_v2_common_5!D33,recreation_v2_common_4!D33,recreation_v2_common_3!D33,recreation_v2_common_2!D33,recreation_v2_common_1!D33),0)</f>
        <v>1</v>
      </c>
      <c r="E33">
        <f>IF($D33=0,"NA",ROUND(SUM(recreation_v2_common_5!E33,recreation_v2_common_4!E33,recreation_v2_common_3!E33,recreation_v2_common_2!E33,recreation_v2_common_1!E33)/COUNT(recreation_v2_common_5!E33,recreation_v2_common_4!E33,recreation_v2_common_3!E33,recreation_v2_common_2!E33,recreation_v2_common_1!E33),0))</f>
        <v>1</v>
      </c>
      <c r="F33">
        <f>IF($D33=0,"NA",ROUND(SUM(recreation_v2_common_5!F33,recreation_v2_common_4!F33,recreation_v2_common_3!F33,recreation_v2_common_2!F33,recreation_v2_common_1!F33)/COUNT(recreation_v2_common_5!F33,recreation_v2_common_4!F33,recreation_v2_common_3!F33,recreation_v2_common_2!F33,recreation_v2_common_1!F33),0))</f>
        <v>0</v>
      </c>
      <c r="G33" t="str">
        <f>IF(AND(E33=1,F33=1),ROUND(SUM(recreation_v2_common_5!G33,recreation_v2_common_4!G33,recreation_v2_common_3!G33,recreation_v2_common_2!G33,recreation_v2_common_1!G33)/COUNT(recreation_v2_common_5!G33,recreation_v2_common_4!G33,recreation_v2_common_3!G33,recreation_v2_common_2!G33,recreation_v2_common_1!G33),0),"NA")</f>
        <v>NA</v>
      </c>
      <c r="H33">
        <f>IF($D33=0,"NA",ROUND(SUM(recreation_v2_common_5!H33,recreation_v2_common_4!H33,recreation_v2_common_3!H33,recreation_v2_common_2!H33,recreation_v2_common_1!H33)/COUNT(recreation_v2_common_5!H33,recreation_v2_common_4!H33,recreation_v2_common_3!H33,recreation_v2_common_2!H33,recreation_v2_common_1!H33),0))</f>
        <v>1</v>
      </c>
      <c r="I33">
        <f>IF(E33=1,ROUND(SUM(recreation_v2_common_5!I33,recreation_v2_common_4!I33,recreation_v2_common_3!I33,recreation_v2_common_2!I33,recreation_v2_common_1!I33)/COUNT(recreation_v2_common_5!I33,recreation_v2_common_4!I33,recreation_v2_common_3!I33,recreation_v2_common_2!I33,recreation_v2_common_1!I33),0),"NA")</f>
        <v>0</v>
      </c>
      <c r="J33">
        <f>IF($D33=0,"NA",ROUND(SUM(recreation_v2_common_5!J33,recreation_v2_common_4!J33,recreation_v2_common_3!J33,recreation_v2_common_2!J33,recreation_v2_common_1!J33)/COUNT(recreation_v2_common_5!J33,recreation_v2_common_4!J33,recreation_v2_common_3!J33,recreation_v2_common_2!J33,recreation_v2_common_1!J33),0))</f>
        <v>1</v>
      </c>
      <c r="K33">
        <f>IF($D33=0,"NA",ROUND(SUM(recreation_v2_common_5!K33,recreation_v2_common_4!K33,recreation_v2_common_3!K33,recreation_v2_common_2!K33,recreation_v2_common_1!K33)/COUNT(recreation_v2_common_5!K33,recreation_v2_common_4!K33,recreation_v2_common_3!K33,recreation_v2_common_2!K33,recreation_v2_common_1!K33),0))</f>
        <v>1</v>
      </c>
      <c r="L33">
        <f>IF($D33=0,"NA",ROUND(SUM(recreation_v2_common_5!L33,recreation_v2_common_4!L33,recreation_v2_common_3!L33,recreation_v2_common_2!L33,recreation_v2_common_1!L33)/COUNT(recreation_v2_common_5!L33,recreation_v2_common_4!L33,recreation_v2_common_3!L33,recreation_v2_common_2!L33,recreation_v2_common_1!L33),0))</f>
        <v>1</v>
      </c>
      <c r="M33">
        <f>IF($D33=0,"NA",ROUND(SUM(recreation_v2_common_5!M33,recreation_v2_common_4!M33,recreation_v2_common_3!M33,recreation_v2_common_2!M33,recreation_v2_common_1!M33)/COUNT(recreation_v2_common_5!M33,recreation_v2_common_4!M33,recreation_v2_common_3!M33,recreation_v2_common_2!M33,recreation_v2_common_1!M33),0))</f>
        <v>1</v>
      </c>
      <c r="N33">
        <f>IF($D33=0,"NA",ROUND(SUM(recreation_v2_common_5!N33,recreation_v2_common_4!N33,recreation_v2_common_3!N33,recreation_v2_common_2!N33,recreation_v2_common_1!N33)/COUNT(recreation_v2_common_5!N33,recreation_v2_common_4!N33,recreation_v2_common_3!N33,recreation_v2_common_2!N33,recreation_v2_common_1!N33),0))</f>
        <v>1</v>
      </c>
    </row>
    <row r="34" spans="1:14" x14ac:dyDescent="0.25">
      <c r="A34" t="s">
        <v>62</v>
      </c>
      <c r="B34">
        <v>0</v>
      </c>
      <c r="C34">
        <v>10.062241315841669</v>
      </c>
      <c r="D34">
        <f>ROUND(SUM(recreation_v2_common_5!D34,recreation_v2_common_4!D34,recreation_v2_common_3!D34,recreation_v2_common_2!D34,recreation_v2_common_1!D34)/COUNT(recreation_v2_common_5!D34,recreation_v2_common_4!D34,recreation_v2_common_3!D34,recreation_v2_common_2!D34,recreation_v2_common_1!D34),0)</f>
        <v>1</v>
      </c>
      <c r="E34">
        <f>IF($D34=0,"NA",ROUND(SUM(recreation_v2_common_5!E34,recreation_v2_common_4!E34,recreation_v2_common_3!E34,recreation_v2_common_2!E34,recreation_v2_common_1!E34)/COUNT(recreation_v2_common_5!E34,recreation_v2_common_4!E34,recreation_v2_common_3!E34,recreation_v2_common_2!E34,recreation_v2_common_1!E34),0))</f>
        <v>1</v>
      </c>
      <c r="F34">
        <f>IF($D34=0,"NA",ROUND(SUM(recreation_v2_common_5!F34,recreation_v2_common_4!F34,recreation_v2_common_3!F34,recreation_v2_common_2!F34,recreation_v2_common_1!F34)/COUNT(recreation_v2_common_5!F34,recreation_v2_common_4!F34,recreation_v2_common_3!F34,recreation_v2_common_2!F34,recreation_v2_common_1!F34),0))</f>
        <v>1</v>
      </c>
      <c r="G34">
        <f>IF(AND(E34=1,F34=1),ROUND(SUM(recreation_v2_common_5!G34,recreation_v2_common_4!G34,recreation_v2_common_3!G34,recreation_v2_common_2!G34,recreation_v2_common_1!G34)/COUNT(recreation_v2_common_5!G34,recreation_v2_common_4!G34,recreation_v2_common_3!G34,recreation_v2_common_2!G34,recreation_v2_common_1!G34),0),"NA")</f>
        <v>1</v>
      </c>
      <c r="H34">
        <f>IF($D34=0,"NA",ROUND(SUM(recreation_v2_common_5!H34,recreation_v2_common_4!H34,recreation_v2_common_3!H34,recreation_v2_common_2!H34,recreation_v2_common_1!H34)/COUNT(recreation_v2_common_5!H34,recreation_v2_common_4!H34,recreation_v2_common_3!H34,recreation_v2_common_2!H34,recreation_v2_common_1!H34),0))</f>
        <v>1</v>
      </c>
      <c r="I34">
        <f>IF(E34=1,ROUND(SUM(recreation_v2_common_5!I34,recreation_v2_common_4!I34,recreation_v2_common_3!I34,recreation_v2_common_2!I34,recreation_v2_common_1!I34)/COUNT(recreation_v2_common_5!I34,recreation_v2_common_4!I34,recreation_v2_common_3!I34,recreation_v2_common_2!I34,recreation_v2_common_1!I34),0),"NA")</f>
        <v>1</v>
      </c>
      <c r="J34">
        <f>IF($D34=0,"NA",ROUND(SUM(recreation_v2_common_5!J34,recreation_v2_common_4!J34,recreation_v2_common_3!J34,recreation_v2_common_2!J34,recreation_v2_common_1!J34)/COUNT(recreation_v2_common_5!J34,recreation_v2_common_4!J34,recreation_v2_common_3!J34,recreation_v2_common_2!J34,recreation_v2_common_1!J34),0))</f>
        <v>1</v>
      </c>
      <c r="K34">
        <f>IF($D34=0,"NA",ROUND(SUM(recreation_v2_common_5!K34,recreation_v2_common_4!K34,recreation_v2_common_3!K34,recreation_v2_common_2!K34,recreation_v2_common_1!K34)/COUNT(recreation_v2_common_5!K34,recreation_v2_common_4!K34,recreation_v2_common_3!K34,recreation_v2_common_2!K34,recreation_v2_common_1!K34),0))</f>
        <v>1</v>
      </c>
      <c r="L34">
        <f>IF($D34=0,"NA",ROUND(SUM(recreation_v2_common_5!L34,recreation_v2_common_4!L34,recreation_v2_common_3!L34,recreation_v2_common_2!L34,recreation_v2_common_1!L34)/COUNT(recreation_v2_common_5!L34,recreation_v2_common_4!L34,recreation_v2_common_3!L34,recreation_v2_common_2!L34,recreation_v2_common_1!L34),0))</f>
        <v>1</v>
      </c>
      <c r="M34">
        <f>IF($D34=0,"NA",ROUND(SUM(recreation_v2_common_5!M34,recreation_v2_common_4!M34,recreation_v2_common_3!M34,recreation_v2_common_2!M34,recreation_v2_common_1!M34)/COUNT(recreation_v2_common_5!M34,recreation_v2_common_4!M34,recreation_v2_common_3!M34,recreation_v2_common_2!M34,recreation_v2_common_1!M34),0))</f>
        <v>1</v>
      </c>
      <c r="N34">
        <f>IF($D34=0,"NA",ROUND(SUM(recreation_v2_common_5!N34,recreation_v2_common_4!N34,recreation_v2_common_3!N34,recreation_v2_common_2!N34,recreation_v2_common_1!N34)/COUNT(recreation_v2_common_5!N34,recreation_v2_common_4!N34,recreation_v2_common_3!N34,recreation_v2_common_2!N34,recreation_v2_common_1!N34),0))</f>
        <v>1</v>
      </c>
    </row>
    <row r="35" spans="1:14" x14ac:dyDescent="0.25">
      <c r="A35" t="s">
        <v>63</v>
      </c>
      <c r="B35">
        <v>0</v>
      </c>
      <c r="C35">
        <v>9.6615841388702393</v>
      </c>
      <c r="D35">
        <f>ROUND(SUM(recreation_v2_common_5!D35,recreation_v2_common_4!D35,recreation_v2_common_3!D35,recreation_v2_common_2!D35,recreation_v2_common_1!D35)/COUNT(recreation_v2_common_5!D35,recreation_v2_common_4!D35,recreation_v2_common_3!D35,recreation_v2_common_2!D35,recreation_v2_common_1!D35),0)</f>
        <v>1</v>
      </c>
      <c r="E35">
        <f>IF($D35=0,"NA",ROUND(SUM(recreation_v2_common_5!E35,recreation_v2_common_4!E35,recreation_v2_common_3!E35,recreation_v2_common_2!E35,recreation_v2_common_1!E35)/COUNT(recreation_v2_common_5!E35,recreation_v2_common_4!E35,recreation_v2_common_3!E35,recreation_v2_common_2!E35,recreation_v2_common_1!E35),0))</f>
        <v>1</v>
      </c>
      <c r="F35">
        <f>IF($D35=0,"NA",ROUND(SUM(recreation_v2_common_5!F35,recreation_v2_common_4!F35,recreation_v2_common_3!F35,recreation_v2_common_2!F35,recreation_v2_common_1!F35)/COUNT(recreation_v2_common_5!F35,recreation_v2_common_4!F35,recreation_v2_common_3!F35,recreation_v2_common_2!F35,recreation_v2_common_1!F35),0))</f>
        <v>1</v>
      </c>
      <c r="G35">
        <f>IF(AND(E35=1,F35=1),ROUND(SUM(recreation_v2_common_5!G35,recreation_v2_common_4!G35,recreation_v2_common_3!G35,recreation_v2_common_2!G35,recreation_v2_common_1!G35)/COUNT(recreation_v2_common_5!G35,recreation_v2_common_4!G35,recreation_v2_common_3!G35,recreation_v2_common_2!G35,recreation_v2_common_1!G35),0),"NA")</f>
        <v>1</v>
      </c>
      <c r="H35">
        <f>IF($D35=0,"NA",ROUND(SUM(recreation_v2_common_5!H35,recreation_v2_common_4!H35,recreation_v2_common_3!H35,recreation_v2_common_2!H35,recreation_v2_common_1!H35)/COUNT(recreation_v2_common_5!H35,recreation_v2_common_4!H35,recreation_v2_common_3!H35,recreation_v2_common_2!H35,recreation_v2_common_1!H35),0))</f>
        <v>1</v>
      </c>
      <c r="I35">
        <f>IF(E35=1,ROUND(SUM(recreation_v2_common_5!I35,recreation_v2_common_4!I35,recreation_v2_common_3!I35,recreation_v2_common_2!I35,recreation_v2_common_1!I35)/COUNT(recreation_v2_common_5!I35,recreation_v2_common_4!I35,recreation_v2_common_3!I35,recreation_v2_common_2!I35,recreation_v2_common_1!I35),0),"NA")</f>
        <v>1</v>
      </c>
      <c r="J35">
        <f>IF($D35=0,"NA",ROUND(SUM(recreation_v2_common_5!J35,recreation_v2_common_4!J35,recreation_v2_common_3!J35,recreation_v2_common_2!J35,recreation_v2_common_1!J35)/COUNT(recreation_v2_common_5!J35,recreation_v2_common_4!J35,recreation_v2_common_3!J35,recreation_v2_common_2!J35,recreation_v2_common_1!J35),0))</f>
        <v>1</v>
      </c>
      <c r="K35">
        <f>IF($D35=0,"NA",ROUND(SUM(recreation_v2_common_5!K35,recreation_v2_common_4!K35,recreation_v2_common_3!K35,recreation_v2_common_2!K35,recreation_v2_common_1!K35)/COUNT(recreation_v2_common_5!K35,recreation_v2_common_4!K35,recreation_v2_common_3!K35,recreation_v2_common_2!K35,recreation_v2_common_1!K35),0))</f>
        <v>1</v>
      </c>
      <c r="L35">
        <f>IF($D35=0,"NA",ROUND(SUM(recreation_v2_common_5!L35,recreation_v2_common_4!L35,recreation_v2_common_3!L35,recreation_v2_common_2!L35,recreation_v2_common_1!L35)/COUNT(recreation_v2_common_5!L35,recreation_v2_common_4!L35,recreation_v2_common_3!L35,recreation_v2_common_2!L35,recreation_v2_common_1!L35),0))</f>
        <v>1</v>
      </c>
      <c r="M35">
        <f>IF($D35=0,"NA",ROUND(SUM(recreation_v2_common_5!M35,recreation_v2_common_4!M35,recreation_v2_common_3!M35,recreation_v2_common_2!M35,recreation_v2_common_1!M35)/COUNT(recreation_v2_common_5!M35,recreation_v2_common_4!M35,recreation_v2_common_3!M35,recreation_v2_common_2!M35,recreation_v2_common_1!M35),0))</f>
        <v>1</v>
      </c>
      <c r="N35">
        <f>IF($D35=0,"NA",ROUND(SUM(recreation_v2_common_5!N35,recreation_v2_common_4!N35,recreation_v2_common_3!N35,recreation_v2_common_2!N35,recreation_v2_common_1!N35)/COUNT(recreation_v2_common_5!N35,recreation_v2_common_4!N35,recreation_v2_common_3!N35,recreation_v2_common_2!N35,recreation_v2_common_1!N35),0))</f>
        <v>1</v>
      </c>
    </row>
    <row r="36" spans="1:14" x14ac:dyDescent="0.25">
      <c r="A36" t="s">
        <v>64</v>
      </c>
      <c r="B36">
        <v>0</v>
      </c>
      <c r="C36">
        <v>10.33188271522522</v>
      </c>
      <c r="D36">
        <f>ROUND(SUM(recreation_v2_common_5!D36,recreation_v2_common_4!D36,recreation_v2_common_3!D36,recreation_v2_common_2!D36,recreation_v2_common_1!D36)/COUNT(recreation_v2_common_5!D36,recreation_v2_common_4!D36,recreation_v2_common_3!D36,recreation_v2_common_2!D36,recreation_v2_common_1!D36),0)</f>
        <v>1</v>
      </c>
      <c r="E36">
        <f>IF($D36=0,"NA",ROUND(SUM(recreation_v2_common_5!E36,recreation_v2_common_4!E36,recreation_v2_common_3!E36,recreation_v2_common_2!E36,recreation_v2_common_1!E36)/COUNT(recreation_v2_common_5!E36,recreation_v2_common_4!E36,recreation_v2_common_3!E36,recreation_v2_common_2!E36,recreation_v2_common_1!E36),0))</f>
        <v>1</v>
      </c>
      <c r="F36">
        <f>IF($D36=0,"NA",ROUND(SUM(recreation_v2_common_5!F36,recreation_v2_common_4!F36,recreation_v2_common_3!F36,recreation_v2_common_2!F36,recreation_v2_common_1!F36)/COUNT(recreation_v2_common_5!F36,recreation_v2_common_4!F36,recreation_v2_common_3!F36,recreation_v2_common_2!F36,recreation_v2_common_1!F36),0))</f>
        <v>1</v>
      </c>
      <c r="G36">
        <f>IF(AND(E36=1,F36=1),ROUND(SUM(recreation_v2_common_5!G36,recreation_v2_common_4!G36,recreation_v2_common_3!G36,recreation_v2_common_2!G36,recreation_v2_common_1!G36)/COUNT(recreation_v2_common_5!G36,recreation_v2_common_4!G36,recreation_v2_common_3!G36,recreation_v2_common_2!G36,recreation_v2_common_1!G36),0),"NA")</f>
        <v>1</v>
      </c>
      <c r="H36">
        <f>IF($D36=0,"NA",ROUND(SUM(recreation_v2_common_5!H36,recreation_v2_common_4!H36,recreation_v2_common_3!H36,recreation_v2_common_2!H36,recreation_v2_common_1!H36)/COUNT(recreation_v2_common_5!H36,recreation_v2_common_4!H36,recreation_v2_common_3!H36,recreation_v2_common_2!H36,recreation_v2_common_1!H36),0))</f>
        <v>1</v>
      </c>
      <c r="I36">
        <f>IF(E36=1,ROUND(SUM(recreation_v2_common_5!I36,recreation_v2_common_4!I36,recreation_v2_common_3!I36,recreation_v2_common_2!I36,recreation_v2_common_1!I36)/COUNT(recreation_v2_common_5!I36,recreation_v2_common_4!I36,recreation_v2_common_3!I36,recreation_v2_common_2!I36,recreation_v2_common_1!I36),0),"NA")</f>
        <v>0</v>
      </c>
      <c r="J36">
        <f>IF($D36=0,"NA",ROUND(SUM(recreation_v2_common_5!J36,recreation_v2_common_4!J36,recreation_v2_common_3!J36,recreation_v2_common_2!J36,recreation_v2_common_1!J36)/COUNT(recreation_v2_common_5!J36,recreation_v2_common_4!J36,recreation_v2_common_3!J36,recreation_v2_common_2!J36,recreation_v2_common_1!J36),0))</f>
        <v>1</v>
      </c>
      <c r="K36">
        <f>IF($D36=0,"NA",ROUND(SUM(recreation_v2_common_5!K36,recreation_v2_common_4!K36,recreation_v2_common_3!K36,recreation_v2_common_2!K36,recreation_v2_common_1!K36)/COUNT(recreation_v2_common_5!K36,recreation_v2_common_4!K36,recreation_v2_common_3!K36,recreation_v2_common_2!K36,recreation_v2_common_1!K36),0))</f>
        <v>1</v>
      </c>
      <c r="L36">
        <f>IF($D36=0,"NA",ROUND(SUM(recreation_v2_common_5!L36,recreation_v2_common_4!L36,recreation_v2_common_3!L36,recreation_v2_common_2!L36,recreation_v2_common_1!L36)/COUNT(recreation_v2_common_5!L36,recreation_v2_common_4!L36,recreation_v2_common_3!L36,recreation_v2_common_2!L36,recreation_v2_common_1!L36),0))</f>
        <v>1</v>
      </c>
      <c r="M36">
        <f>IF($D36=0,"NA",ROUND(SUM(recreation_v2_common_5!M36,recreation_v2_common_4!M36,recreation_v2_common_3!M36,recreation_v2_common_2!M36,recreation_v2_common_1!M36)/COUNT(recreation_v2_common_5!M36,recreation_v2_common_4!M36,recreation_v2_common_3!M36,recreation_v2_common_2!M36,recreation_v2_common_1!M36),0))</f>
        <v>1</v>
      </c>
      <c r="N36">
        <f>IF($D36=0,"NA",ROUND(SUM(recreation_v2_common_5!N36,recreation_v2_common_4!N36,recreation_v2_common_3!N36,recreation_v2_common_2!N36,recreation_v2_common_1!N36)/COUNT(recreation_v2_common_5!N36,recreation_v2_common_4!N36,recreation_v2_common_3!N36,recreation_v2_common_2!N36,recreation_v2_common_1!N36),0))</f>
        <v>1</v>
      </c>
    </row>
    <row r="37" spans="1:14" x14ac:dyDescent="0.25">
      <c r="A37" t="s">
        <v>66</v>
      </c>
      <c r="B37">
        <v>0</v>
      </c>
      <c r="C37">
        <v>9.7436330318450928</v>
      </c>
      <c r="D37">
        <f>ROUND(SUM(recreation_v2_common_5!D37,recreation_v2_common_4!D37,recreation_v2_common_3!D37,recreation_v2_common_2!D37,recreation_v2_common_1!D37)/COUNT(recreation_v2_common_5!D37,recreation_v2_common_4!D37,recreation_v2_common_3!D37,recreation_v2_common_2!D37,recreation_v2_common_1!D37),0)</f>
        <v>1</v>
      </c>
      <c r="E37">
        <f>IF($D37=0,"NA",ROUND(SUM(recreation_v2_common_5!E37,recreation_v2_common_4!E37,recreation_v2_common_3!E37,recreation_v2_common_2!E37,recreation_v2_common_1!E37)/COUNT(recreation_v2_common_5!E37,recreation_v2_common_4!E37,recreation_v2_common_3!E37,recreation_v2_common_2!E37,recreation_v2_common_1!E37),0))</f>
        <v>1</v>
      </c>
      <c r="F37">
        <f>IF($D37=0,"NA",ROUND(SUM(recreation_v2_common_5!F37,recreation_v2_common_4!F37,recreation_v2_common_3!F37,recreation_v2_common_2!F37,recreation_v2_common_1!F37)/COUNT(recreation_v2_common_5!F37,recreation_v2_common_4!F37,recreation_v2_common_3!F37,recreation_v2_common_2!F37,recreation_v2_common_1!F37),0))</f>
        <v>1</v>
      </c>
      <c r="G37">
        <f>IF(AND(E37=1,F37=1),ROUND(SUM(recreation_v2_common_5!G37,recreation_v2_common_4!G37,recreation_v2_common_3!G37,recreation_v2_common_2!G37,recreation_v2_common_1!G37)/COUNT(recreation_v2_common_5!G37,recreation_v2_common_4!G37,recreation_v2_common_3!G37,recreation_v2_common_2!G37,recreation_v2_common_1!G37),0),"NA")</f>
        <v>1</v>
      </c>
      <c r="H37">
        <f>IF($D37=0,"NA",ROUND(SUM(recreation_v2_common_5!H37,recreation_v2_common_4!H37,recreation_v2_common_3!H37,recreation_v2_common_2!H37,recreation_v2_common_1!H37)/COUNT(recreation_v2_common_5!H37,recreation_v2_common_4!H37,recreation_v2_common_3!H37,recreation_v2_common_2!H37,recreation_v2_common_1!H37),0))</f>
        <v>1</v>
      </c>
      <c r="I37">
        <f>IF(E37=1,ROUND(SUM(recreation_v2_common_5!I37,recreation_v2_common_4!I37,recreation_v2_common_3!I37,recreation_v2_common_2!I37,recreation_v2_common_1!I37)/COUNT(recreation_v2_common_5!I37,recreation_v2_common_4!I37,recreation_v2_common_3!I37,recreation_v2_common_2!I37,recreation_v2_common_1!I37),0),"NA")</f>
        <v>1</v>
      </c>
      <c r="J37">
        <f>IF($D37=0,"NA",ROUND(SUM(recreation_v2_common_5!J37,recreation_v2_common_4!J37,recreation_v2_common_3!J37,recreation_v2_common_2!J37,recreation_v2_common_1!J37)/COUNT(recreation_v2_common_5!J37,recreation_v2_common_4!J37,recreation_v2_common_3!J37,recreation_v2_common_2!J37,recreation_v2_common_1!J37),0))</f>
        <v>1</v>
      </c>
      <c r="K37">
        <f>IF($D37=0,"NA",ROUND(SUM(recreation_v2_common_5!K37,recreation_v2_common_4!K37,recreation_v2_common_3!K37,recreation_v2_common_2!K37,recreation_v2_common_1!K37)/COUNT(recreation_v2_common_5!K37,recreation_v2_common_4!K37,recreation_v2_common_3!K37,recreation_v2_common_2!K37,recreation_v2_common_1!K37),0))</f>
        <v>1</v>
      </c>
      <c r="L37">
        <f>IF($D37=0,"NA",ROUND(SUM(recreation_v2_common_5!L37,recreation_v2_common_4!L37,recreation_v2_common_3!L37,recreation_v2_common_2!L37,recreation_v2_common_1!L37)/COUNT(recreation_v2_common_5!L37,recreation_v2_common_4!L37,recreation_v2_common_3!L37,recreation_v2_common_2!L37,recreation_v2_common_1!L37),0))</f>
        <v>1</v>
      </c>
      <c r="M37">
        <f>IF($D37=0,"NA",ROUND(SUM(recreation_v2_common_5!M37,recreation_v2_common_4!M37,recreation_v2_common_3!M37,recreation_v2_common_2!M37,recreation_v2_common_1!M37)/COUNT(recreation_v2_common_5!M37,recreation_v2_common_4!M37,recreation_v2_common_3!M37,recreation_v2_common_2!M37,recreation_v2_common_1!M37),0))</f>
        <v>1</v>
      </c>
      <c r="N37">
        <f>IF($D37=0,"NA",ROUND(SUM(recreation_v2_common_5!N37,recreation_v2_common_4!N37,recreation_v2_common_3!N37,recreation_v2_common_2!N37,recreation_v2_common_1!N37)/COUNT(recreation_v2_common_5!N37,recreation_v2_common_4!N37,recreation_v2_common_3!N37,recreation_v2_common_2!N37,recreation_v2_common_1!N37),0))</f>
        <v>1</v>
      </c>
    </row>
    <row r="38" spans="1:14" x14ac:dyDescent="0.25">
      <c r="A38" t="s">
        <v>67</v>
      </c>
      <c r="B38">
        <v>0</v>
      </c>
      <c r="C38">
        <v>6.6637871265411377</v>
      </c>
      <c r="D38">
        <f>ROUND(SUM(recreation_v2_common_5!D38,recreation_v2_common_4!D38,recreation_v2_common_3!D38,recreation_v2_common_2!D38,recreation_v2_common_1!D38)/COUNT(recreation_v2_common_5!D38,recreation_v2_common_4!D38,recreation_v2_common_3!D38,recreation_v2_common_2!D38,recreation_v2_common_1!D38),0)</f>
        <v>0</v>
      </c>
      <c r="E38" t="str">
        <f>IF($D38=0,"NA",ROUND(SUM(recreation_v2_common_5!E38,recreation_v2_common_4!E38,recreation_v2_common_3!E38,recreation_v2_common_2!E38,recreation_v2_common_1!E38)/COUNT(recreation_v2_common_5!E38,recreation_v2_common_4!E38,recreation_v2_common_3!E38,recreation_v2_common_2!E38,recreation_v2_common_1!E38),0))</f>
        <v>NA</v>
      </c>
      <c r="F38" t="str">
        <f>IF($D38=0,"NA",ROUND(SUM(recreation_v2_common_5!F38,recreation_v2_common_4!F38,recreation_v2_common_3!F38,recreation_v2_common_2!F38,recreation_v2_common_1!F38)/COUNT(recreation_v2_common_5!F38,recreation_v2_common_4!F38,recreation_v2_common_3!F38,recreation_v2_common_2!F38,recreation_v2_common_1!F38),0))</f>
        <v>NA</v>
      </c>
      <c r="G38" t="str">
        <f>IF(AND(E38=1,F38=1),ROUND(SUM(recreation_v2_common_5!G38,recreation_v2_common_4!G38,recreation_v2_common_3!G38,recreation_v2_common_2!G38,recreation_v2_common_1!G38)/COUNT(recreation_v2_common_5!G38,recreation_v2_common_4!G38,recreation_v2_common_3!G38,recreation_v2_common_2!G38,recreation_v2_common_1!G38),0),"NA")</f>
        <v>NA</v>
      </c>
      <c r="H38" t="str">
        <f>IF($D38=0,"NA",ROUND(SUM(recreation_v2_common_5!H38,recreation_v2_common_4!H38,recreation_v2_common_3!H38,recreation_v2_common_2!H38,recreation_v2_common_1!H38)/COUNT(recreation_v2_common_5!H38,recreation_v2_common_4!H38,recreation_v2_common_3!H38,recreation_v2_common_2!H38,recreation_v2_common_1!H38),0))</f>
        <v>NA</v>
      </c>
      <c r="I38" t="str">
        <f>IF(E38=1,ROUND(SUM(recreation_v2_common_5!I38,recreation_v2_common_4!I38,recreation_v2_common_3!I38,recreation_v2_common_2!I38,recreation_v2_common_1!I38)/COUNT(recreation_v2_common_5!I38,recreation_v2_common_4!I38,recreation_v2_common_3!I38,recreation_v2_common_2!I38,recreation_v2_common_1!I38),0),"NA")</f>
        <v>NA</v>
      </c>
      <c r="J38" t="str">
        <f>IF($D38=0,"NA",ROUND(SUM(recreation_v2_common_5!J38,recreation_v2_common_4!J38,recreation_v2_common_3!J38,recreation_v2_common_2!J38,recreation_v2_common_1!J38)/COUNT(recreation_v2_common_5!J38,recreation_v2_common_4!J38,recreation_v2_common_3!J38,recreation_v2_common_2!J38,recreation_v2_common_1!J38),0))</f>
        <v>NA</v>
      </c>
      <c r="K38" t="str">
        <f>IF($D38=0,"NA",ROUND(SUM(recreation_v2_common_5!K38,recreation_v2_common_4!K38,recreation_v2_common_3!K38,recreation_v2_common_2!K38,recreation_v2_common_1!K38)/COUNT(recreation_v2_common_5!K38,recreation_v2_common_4!K38,recreation_v2_common_3!K38,recreation_v2_common_2!K38,recreation_v2_common_1!K38),0))</f>
        <v>NA</v>
      </c>
      <c r="L38" t="str">
        <f>IF($D38=0,"NA",ROUND(SUM(recreation_v2_common_5!L38,recreation_v2_common_4!L38,recreation_v2_common_3!L38,recreation_v2_common_2!L38,recreation_v2_common_1!L38)/COUNT(recreation_v2_common_5!L38,recreation_v2_common_4!L38,recreation_v2_common_3!L38,recreation_v2_common_2!L38,recreation_v2_common_1!L38),0))</f>
        <v>NA</v>
      </c>
      <c r="M38" t="str">
        <f>IF($D38=0,"NA",ROUND(SUM(recreation_v2_common_5!M38,recreation_v2_common_4!M38,recreation_v2_common_3!M38,recreation_v2_common_2!M38,recreation_v2_common_1!M38)/COUNT(recreation_v2_common_5!M38,recreation_v2_common_4!M38,recreation_v2_common_3!M38,recreation_v2_common_2!M38,recreation_v2_common_1!M38),0))</f>
        <v>NA</v>
      </c>
      <c r="N38" t="str">
        <f>IF($D38=0,"NA",ROUND(SUM(recreation_v2_common_5!N38,recreation_v2_common_4!N38,recreation_v2_common_3!N38,recreation_v2_common_2!N38,recreation_v2_common_1!N38)/COUNT(recreation_v2_common_5!N38,recreation_v2_common_4!N38,recreation_v2_common_3!N38,recreation_v2_common_2!N38,recreation_v2_common_1!N38),0))</f>
        <v>NA</v>
      </c>
    </row>
    <row r="39" spans="1:14" x14ac:dyDescent="0.25">
      <c r="A39" t="s">
        <v>69</v>
      </c>
      <c r="B39">
        <v>0</v>
      </c>
      <c r="C39">
        <v>10.664767742156981</v>
      </c>
      <c r="D39">
        <f>ROUND(SUM(recreation_v2_common_5!D39,recreation_v2_common_4!D39,recreation_v2_common_3!D39,recreation_v2_common_2!D39,recreation_v2_common_1!D39)/COUNT(recreation_v2_common_5!D39,recreation_v2_common_4!D39,recreation_v2_common_3!D39,recreation_v2_common_2!D39,recreation_v2_common_1!D39),0)</f>
        <v>1</v>
      </c>
      <c r="E39">
        <f>IF($D39=0,"NA",ROUND(SUM(recreation_v2_common_5!E39,recreation_v2_common_4!E39,recreation_v2_common_3!E39,recreation_v2_common_2!E39,recreation_v2_common_1!E39)/COUNT(recreation_v2_common_5!E39,recreation_v2_common_4!E39,recreation_v2_common_3!E39,recreation_v2_common_2!E39,recreation_v2_common_1!E39),0))</f>
        <v>1</v>
      </c>
      <c r="F39">
        <f>IF($D39=0,"NA",ROUND(SUM(recreation_v2_common_5!F39,recreation_v2_common_4!F39,recreation_v2_common_3!F39,recreation_v2_common_2!F39,recreation_v2_common_1!F39)/COUNT(recreation_v2_common_5!F39,recreation_v2_common_4!F39,recreation_v2_common_3!F39,recreation_v2_common_2!F39,recreation_v2_common_1!F39),0))</f>
        <v>1</v>
      </c>
      <c r="G39">
        <f>IF(AND(E39=1,F39=1),ROUND(SUM(recreation_v2_common_5!G39,recreation_v2_common_4!G39,recreation_v2_common_3!G39,recreation_v2_common_2!G39,recreation_v2_common_1!G39)/COUNT(recreation_v2_common_5!G39,recreation_v2_common_4!G39,recreation_v2_common_3!G39,recreation_v2_common_2!G39,recreation_v2_common_1!G39),0),"NA")</f>
        <v>0</v>
      </c>
      <c r="H39">
        <f>IF($D39=0,"NA",ROUND(SUM(recreation_v2_common_5!H39,recreation_v2_common_4!H39,recreation_v2_common_3!H39,recreation_v2_common_2!H39,recreation_v2_common_1!H39)/COUNT(recreation_v2_common_5!H39,recreation_v2_common_4!H39,recreation_v2_common_3!H39,recreation_v2_common_2!H39,recreation_v2_common_1!H39),0))</f>
        <v>1</v>
      </c>
      <c r="I39">
        <f>IF(E39=1,ROUND(SUM(recreation_v2_common_5!I39,recreation_v2_common_4!I39,recreation_v2_common_3!I39,recreation_v2_common_2!I39,recreation_v2_common_1!I39)/COUNT(recreation_v2_common_5!I39,recreation_v2_common_4!I39,recreation_v2_common_3!I39,recreation_v2_common_2!I39,recreation_v2_common_1!I39),0),"NA")</f>
        <v>1</v>
      </c>
      <c r="J39">
        <f>IF($D39=0,"NA",ROUND(SUM(recreation_v2_common_5!J39,recreation_v2_common_4!J39,recreation_v2_common_3!J39,recreation_v2_common_2!J39,recreation_v2_common_1!J39)/COUNT(recreation_v2_common_5!J39,recreation_v2_common_4!J39,recreation_v2_common_3!J39,recreation_v2_common_2!J39,recreation_v2_common_1!J39),0))</f>
        <v>1</v>
      </c>
      <c r="K39">
        <f>IF($D39=0,"NA",ROUND(SUM(recreation_v2_common_5!K39,recreation_v2_common_4!K39,recreation_v2_common_3!K39,recreation_v2_common_2!K39,recreation_v2_common_1!K39)/COUNT(recreation_v2_common_5!K39,recreation_v2_common_4!K39,recreation_v2_common_3!K39,recreation_v2_common_2!K39,recreation_v2_common_1!K39),0))</f>
        <v>1</v>
      </c>
      <c r="L39">
        <f>IF($D39=0,"NA",ROUND(SUM(recreation_v2_common_5!L39,recreation_v2_common_4!L39,recreation_v2_common_3!L39,recreation_v2_common_2!L39,recreation_v2_common_1!L39)/COUNT(recreation_v2_common_5!L39,recreation_v2_common_4!L39,recreation_v2_common_3!L39,recreation_v2_common_2!L39,recreation_v2_common_1!L39),0))</f>
        <v>1</v>
      </c>
      <c r="M39">
        <f>IF($D39=0,"NA",ROUND(SUM(recreation_v2_common_5!M39,recreation_v2_common_4!M39,recreation_v2_common_3!M39,recreation_v2_common_2!M39,recreation_v2_common_1!M39)/COUNT(recreation_v2_common_5!M39,recreation_v2_common_4!M39,recreation_v2_common_3!M39,recreation_v2_common_2!M39,recreation_v2_common_1!M39),0))</f>
        <v>1</v>
      </c>
      <c r="N39">
        <f>IF($D39=0,"NA",ROUND(SUM(recreation_v2_common_5!N39,recreation_v2_common_4!N39,recreation_v2_common_3!N39,recreation_v2_common_2!N39,recreation_v2_common_1!N39)/COUNT(recreation_v2_common_5!N39,recreation_v2_common_4!N39,recreation_v2_common_3!N39,recreation_v2_common_2!N39,recreation_v2_common_1!N39),0))</f>
        <v>1</v>
      </c>
    </row>
    <row r="40" spans="1:14" x14ac:dyDescent="0.25">
      <c r="A40" t="s">
        <v>71</v>
      </c>
      <c r="B40">
        <v>0</v>
      </c>
      <c r="C40">
        <v>4.2247078418731689</v>
      </c>
      <c r="D40">
        <f>ROUND(SUM(recreation_v2_common_5!D40,recreation_v2_common_4!D40,recreation_v2_common_3!D40,recreation_v2_common_2!D40,recreation_v2_common_1!D40)/COUNT(recreation_v2_common_5!D40,recreation_v2_common_4!D40,recreation_v2_common_3!D40,recreation_v2_common_2!D40,recreation_v2_common_1!D40),0)</f>
        <v>1</v>
      </c>
      <c r="E40">
        <f>IF($D40=0,"NA",ROUND(SUM(recreation_v2_common_5!E40,recreation_v2_common_4!E40,recreation_v2_common_3!E40,recreation_v2_common_2!E40,recreation_v2_common_1!E40)/COUNT(recreation_v2_common_5!E40,recreation_v2_common_4!E40,recreation_v2_common_3!E40,recreation_v2_common_2!E40,recreation_v2_common_1!E40),0))</f>
        <v>1</v>
      </c>
      <c r="F40">
        <f>IF($D40=0,"NA",ROUND(SUM(recreation_v2_common_5!F40,recreation_v2_common_4!F40,recreation_v2_common_3!F40,recreation_v2_common_2!F40,recreation_v2_common_1!F40)/COUNT(recreation_v2_common_5!F40,recreation_v2_common_4!F40,recreation_v2_common_3!F40,recreation_v2_common_2!F40,recreation_v2_common_1!F40),0))</f>
        <v>1</v>
      </c>
      <c r="G40">
        <f>IF(AND(E40=1,F40=1),ROUND(SUM(recreation_v2_common_5!G40,recreation_v2_common_4!G40,recreation_v2_common_3!G40,recreation_v2_common_2!G40,recreation_v2_common_1!G40)/COUNT(recreation_v2_common_5!G40,recreation_v2_common_4!G40,recreation_v2_common_3!G40,recreation_v2_common_2!G40,recreation_v2_common_1!G40),0),"NA")</f>
        <v>1</v>
      </c>
      <c r="H40">
        <f>IF($D40=0,"NA",ROUND(SUM(recreation_v2_common_5!H40,recreation_v2_common_4!H40,recreation_v2_common_3!H40,recreation_v2_common_2!H40,recreation_v2_common_1!H40)/COUNT(recreation_v2_common_5!H40,recreation_v2_common_4!H40,recreation_v2_common_3!H40,recreation_v2_common_2!H40,recreation_v2_common_1!H40),0))</f>
        <v>1</v>
      </c>
      <c r="I40">
        <f>IF(E40=1,ROUND(SUM(recreation_v2_common_5!I40,recreation_v2_common_4!I40,recreation_v2_common_3!I40,recreation_v2_common_2!I40,recreation_v2_common_1!I40)/COUNT(recreation_v2_common_5!I40,recreation_v2_common_4!I40,recreation_v2_common_3!I40,recreation_v2_common_2!I40,recreation_v2_common_1!I40),0),"NA")</f>
        <v>0</v>
      </c>
      <c r="J40">
        <f>IF($D40=0,"NA",ROUND(SUM(recreation_v2_common_5!J40,recreation_v2_common_4!J40,recreation_v2_common_3!J40,recreation_v2_common_2!J40,recreation_v2_common_1!J40)/COUNT(recreation_v2_common_5!J40,recreation_v2_common_4!J40,recreation_v2_common_3!J40,recreation_v2_common_2!J40,recreation_v2_common_1!J40),0))</f>
        <v>1</v>
      </c>
      <c r="K40">
        <f>IF($D40=0,"NA",ROUND(SUM(recreation_v2_common_5!K40,recreation_v2_common_4!K40,recreation_v2_common_3!K40,recreation_v2_common_2!K40,recreation_v2_common_1!K40)/COUNT(recreation_v2_common_5!K40,recreation_v2_common_4!K40,recreation_v2_common_3!K40,recreation_v2_common_2!K40,recreation_v2_common_1!K40),0))</f>
        <v>1</v>
      </c>
      <c r="L40">
        <f>IF($D40=0,"NA",ROUND(SUM(recreation_v2_common_5!L40,recreation_v2_common_4!L40,recreation_v2_common_3!L40,recreation_v2_common_2!L40,recreation_v2_common_1!L40)/COUNT(recreation_v2_common_5!L40,recreation_v2_common_4!L40,recreation_v2_common_3!L40,recreation_v2_common_2!L40,recreation_v2_common_1!L40),0))</f>
        <v>1</v>
      </c>
      <c r="M40">
        <f>IF($D40=0,"NA",ROUND(SUM(recreation_v2_common_5!M40,recreation_v2_common_4!M40,recreation_v2_common_3!M40,recreation_v2_common_2!M40,recreation_v2_common_1!M40)/COUNT(recreation_v2_common_5!M40,recreation_v2_common_4!M40,recreation_v2_common_3!M40,recreation_v2_common_2!M40,recreation_v2_common_1!M40),0))</f>
        <v>1</v>
      </c>
      <c r="N40">
        <f>IF($D40=0,"NA",ROUND(SUM(recreation_v2_common_5!N40,recreation_v2_common_4!N40,recreation_v2_common_3!N40,recreation_v2_common_2!N40,recreation_v2_common_1!N40)/COUNT(recreation_v2_common_5!N40,recreation_v2_common_4!N40,recreation_v2_common_3!N40,recreation_v2_common_2!N40,recreation_v2_common_1!N40),0))</f>
        <v>1</v>
      </c>
    </row>
    <row r="41" spans="1:14" x14ac:dyDescent="0.25">
      <c r="A41" t="s">
        <v>73</v>
      </c>
      <c r="B41">
        <v>0</v>
      </c>
      <c r="C41">
        <v>11.301871776580811</v>
      </c>
      <c r="D41">
        <f>ROUND(SUM(recreation_v2_common_5!D41,recreation_v2_common_4!D41,recreation_v2_common_3!D41,recreation_v2_common_2!D41,recreation_v2_common_1!D41)/COUNT(recreation_v2_common_5!D41,recreation_v2_common_4!D41,recreation_v2_common_3!D41,recreation_v2_common_2!D41,recreation_v2_common_1!D41),0)</f>
        <v>1</v>
      </c>
      <c r="E41">
        <f>IF($D41=0,"NA",ROUND(SUM(recreation_v2_common_5!E41,recreation_v2_common_4!E41,recreation_v2_common_3!E41,recreation_v2_common_2!E41,recreation_v2_common_1!E41)/COUNT(recreation_v2_common_5!E41,recreation_v2_common_4!E41,recreation_v2_common_3!E41,recreation_v2_common_2!E41,recreation_v2_common_1!E41),0))</f>
        <v>1</v>
      </c>
      <c r="F41">
        <f>IF($D41=0,"NA",ROUND(SUM(recreation_v2_common_5!F41,recreation_v2_common_4!F41,recreation_v2_common_3!F41,recreation_v2_common_2!F41,recreation_v2_common_1!F41)/COUNT(recreation_v2_common_5!F41,recreation_v2_common_4!F41,recreation_v2_common_3!F41,recreation_v2_common_2!F41,recreation_v2_common_1!F41),0))</f>
        <v>1</v>
      </c>
      <c r="G41">
        <f>IF(AND(E41=1,F41=1),ROUND(SUM(recreation_v2_common_5!G41,recreation_v2_common_4!G41,recreation_v2_common_3!G41,recreation_v2_common_2!G41,recreation_v2_common_1!G41)/COUNT(recreation_v2_common_5!G41,recreation_v2_common_4!G41,recreation_v2_common_3!G41,recreation_v2_common_2!G41,recreation_v2_common_1!G41),0),"NA")</f>
        <v>1</v>
      </c>
      <c r="H41">
        <f>IF($D41=0,"NA",ROUND(SUM(recreation_v2_common_5!H41,recreation_v2_common_4!H41,recreation_v2_common_3!H41,recreation_v2_common_2!H41,recreation_v2_common_1!H41)/COUNT(recreation_v2_common_5!H41,recreation_v2_common_4!H41,recreation_v2_common_3!H41,recreation_v2_common_2!H41,recreation_v2_common_1!H41),0))</f>
        <v>0</v>
      </c>
      <c r="I41">
        <f>IF(E41=1,ROUND(SUM(recreation_v2_common_5!I41,recreation_v2_common_4!I41,recreation_v2_common_3!I41,recreation_v2_common_2!I41,recreation_v2_common_1!I41)/COUNT(recreation_v2_common_5!I41,recreation_v2_common_4!I41,recreation_v2_common_3!I41,recreation_v2_common_2!I41,recreation_v2_common_1!I41),0),"NA")</f>
        <v>1</v>
      </c>
      <c r="J41">
        <f>IF($D41=0,"NA",ROUND(SUM(recreation_v2_common_5!J41,recreation_v2_common_4!J41,recreation_v2_common_3!J41,recreation_v2_common_2!J41,recreation_v2_common_1!J41)/COUNT(recreation_v2_common_5!J41,recreation_v2_common_4!J41,recreation_v2_common_3!J41,recreation_v2_common_2!J41,recreation_v2_common_1!J41),0))</f>
        <v>0</v>
      </c>
      <c r="K41">
        <f>IF($D41=0,"NA",ROUND(SUM(recreation_v2_common_5!K41,recreation_v2_common_4!K41,recreation_v2_common_3!K41,recreation_v2_common_2!K41,recreation_v2_common_1!K41)/COUNT(recreation_v2_common_5!K41,recreation_v2_common_4!K41,recreation_v2_common_3!K41,recreation_v2_common_2!K41,recreation_v2_common_1!K41),0))</f>
        <v>0</v>
      </c>
      <c r="L41">
        <f>IF($D41=0,"NA",ROUND(SUM(recreation_v2_common_5!L41,recreation_v2_common_4!L41,recreation_v2_common_3!L41,recreation_v2_common_2!L41,recreation_v2_common_1!L41)/COUNT(recreation_v2_common_5!L41,recreation_v2_common_4!L41,recreation_v2_common_3!L41,recreation_v2_common_2!L41,recreation_v2_common_1!L41),0))</f>
        <v>1</v>
      </c>
      <c r="M41">
        <f>IF($D41=0,"NA",ROUND(SUM(recreation_v2_common_5!M41,recreation_v2_common_4!M41,recreation_v2_common_3!M41,recreation_v2_common_2!M41,recreation_v2_common_1!M41)/COUNT(recreation_v2_common_5!M41,recreation_v2_common_4!M41,recreation_v2_common_3!M41,recreation_v2_common_2!M41,recreation_v2_common_1!M41),0))</f>
        <v>1</v>
      </c>
      <c r="N41">
        <f>IF($D41=0,"NA",ROUND(SUM(recreation_v2_common_5!N41,recreation_v2_common_4!N41,recreation_v2_common_3!N41,recreation_v2_common_2!N41,recreation_v2_common_1!N41)/COUNT(recreation_v2_common_5!N41,recreation_v2_common_4!N41,recreation_v2_common_3!N41,recreation_v2_common_2!N41,recreation_v2_common_1!N41),0))</f>
        <v>1</v>
      </c>
    </row>
    <row r="42" spans="1:14" x14ac:dyDescent="0.25">
      <c r="A42" t="s">
        <v>75</v>
      </c>
      <c r="B42">
        <v>0</v>
      </c>
      <c r="C42">
        <v>2.6872258186340332</v>
      </c>
      <c r="D42">
        <f>ROUND(SUM(recreation_v2_common_5!D42,recreation_v2_common_4!D42,recreation_v2_common_3!D42,recreation_v2_common_2!D42,recreation_v2_common_1!D42)/COUNT(recreation_v2_common_5!D42,recreation_v2_common_4!D42,recreation_v2_common_3!D42,recreation_v2_common_2!D42,recreation_v2_common_1!D42),0)</f>
        <v>1</v>
      </c>
      <c r="E42">
        <f>IF($D42=0,"NA",ROUND(SUM(recreation_v2_common_5!E42,recreation_v2_common_4!E42,recreation_v2_common_3!E42,recreation_v2_common_2!E42,recreation_v2_common_1!E42)/COUNT(recreation_v2_common_5!E42,recreation_v2_common_4!E42,recreation_v2_common_3!E42,recreation_v2_common_2!E42,recreation_v2_common_1!E42),0))</f>
        <v>1</v>
      </c>
      <c r="F42">
        <f>IF($D42=0,"NA",ROUND(SUM(recreation_v2_common_5!F42,recreation_v2_common_4!F42,recreation_v2_common_3!F42,recreation_v2_common_2!F42,recreation_v2_common_1!F42)/COUNT(recreation_v2_common_5!F42,recreation_v2_common_4!F42,recreation_v2_common_3!F42,recreation_v2_common_2!F42,recreation_v2_common_1!F42),0))</f>
        <v>1</v>
      </c>
      <c r="G42">
        <f>IF(AND(E42=1,F42=1),ROUND(SUM(recreation_v2_common_5!G42,recreation_v2_common_4!G42,recreation_v2_common_3!G42,recreation_v2_common_2!G42,recreation_v2_common_1!G42)/COUNT(recreation_v2_common_5!G42,recreation_v2_common_4!G42,recreation_v2_common_3!G42,recreation_v2_common_2!G42,recreation_v2_common_1!G42),0),"NA")</f>
        <v>1</v>
      </c>
      <c r="H42">
        <f>IF($D42=0,"NA",ROUND(SUM(recreation_v2_common_5!H42,recreation_v2_common_4!H42,recreation_v2_common_3!H42,recreation_v2_common_2!H42,recreation_v2_common_1!H42)/COUNT(recreation_v2_common_5!H42,recreation_v2_common_4!H42,recreation_v2_common_3!H42,recreation_v2_common_2!H42,recreation_v2_common_1!H42),0))</f>
        <v>1</v>
      </c>
      <c r="I42">
        <f>IF(E42=1,ROUND(SUM(recreation_v2_common_5!I42,recreation_v2_common_4!I42,recreation_v2_common_3!I42,recreation_v2_common_2!I42,recreation_v2_common_1!I42)/COUNT(recreation_v2_common_5!I42,recreation_v2_common_4!I42,recreation_v2_common_3!I42,recreation_v2_common_2!I42,recreation_v2_common_1!I42),0),"NA")</f>
        <v>1</v>
      </c>
      <c r="J42">
        <f>IF($D42=0,"NA",ROUND(SUM(recreation_v2_common_5!J42,recreation_v2_common_4!J42,recreation_v2_common_3!J42,recreation_v2_common_2!J42,recreation_v2_common_1!J42)/COUNT(recreation_v2_common_5!J42,recreation_v2_common_4!J42,recreation_v2_common_3!J42,recreation_v2_common_2!J42,recreation_v2_common_1!J42),0))</f>
        <v>1</v>
      </c>
      <c r="K42">
        <f>IF($D42=0,"NA",ROUND(SUM(recreation_v2_common_5!K42,recreation_v2_common_4!K42,recreation_v2_common_3!K42,recreation_v2_common_2!K42,recreation_v2_common_1!K42)/COUNT(recreation_v2_common_5!K42,recreation_v2_common_4!K42,recreation_v2_common_3!K42,recreation_v2_common_2!K42,recreation_v2_common_1!K42),0))</f>
        <v>1</v>
      </c>
      <c r="L42">
        <f>IF($D42=0,"NA",ROUND(SUM(recreation_v2_common_5!L42,recreation_v2_common_4!L42,recreation_v2_common_3!L42,recreation_v2_common_2!L42,recreation_v2_common_1!L42)/COUNT(recreation_v2_common_5!L42,recreation_v2_common_4!L42,recreation_v2_common_3!L42,recreation_v2_common_2!L42,recreation_v2_common_1!L42),0))</f>
        <v>1</v>
      </c>
      <c r="M42">
        <f>IF($D42=0,"NA",ROUND(SUM(recreation_v2_common_5!M42,recreation_v2_common_4!M42,recreation_v2_common_3!M42,recreation_v2_common_2!M42,recreation_v2_common_1!M42)/COUNT(recreation_v2_common_5!M42,recreation_v2_common_4!M42,recreation_v2_common_3!M42,recreation_v2_common_2!M42,recreation_v2_common_1!M42),0))</f>
        <v>1</v>
      </c>
      <c r="N42">
        <f>IF($D42=0,"NA",ROUND(SUM(recreation_v2_common_5!N42,recreation_v2_common_4!N42,recreation_v2_common_3!N42,recreation_v2_common_2!N42,recreation_v2_common_1!N42)/COUNT(recreation_v2_common_5!N42,recreation_v2_common_4!N42,recreation_v2_common_3!N42,recreation_v2_common_2!N42,recreation_v2_common_1!N42),0))</f>
        <v>1</v>
      </c>
    </row>
    <row r="43" spans="1:14" x14ac:dyDescent="0.25">
      <c r="A43" t="s">
        <v>76</v>
      </c>
      <c r="B43">
        <v>0</v>
      </c>
      <c r="C43">
        <v>2.6710705757141109</v>
      </c>
      <c r="D43">
        <f>ROUND(SUM(recreation_v2_common_5!D43,recreation_v2_common_4!D43,recreation_v2_common_3!D43,recreation_v2_common_2!D43,recreation_v2_common_1!D43)/COUNT(recreation_v2_common_5!D43,recreation_v2_common_4!D43,recreation_v2_common_3!D43,recreation_v2_common_2!D43,recreation_v2_common_1!D43),0)</f>
        <v>1</v>
      </c>
      <c r="E43">
        <f>IF($D43=0,"NA",ROUND(SUM(recreation_v2_common_5!E43,recreation_v2_common_4!E43,recreation_v2_common_3!E43,recreation_v2_common_2!E43,recreation_v2_common_1!E43)/COUNT(recreation_v2_common_5!E43,recreation_v2_common_4!E43,recreation_v2_common_3!E43,recreation_v2_common_2!E43,recreation_v2_common_1!E43),0))</f>
        <v>1</v>
      </c>
      <c r="F43">
        <f>IF($D43=0,"NA",ROUND(SUM(recreation_v2_common_5!F43,recreation_v2_common_4!F43,recreation_v2_common_3!F43,recreation_v2_common_2!F43,recreation_v2_common_1!F43)/COUNT(recreation_v2_common_5!F43,recreation_v2_common_4!F43,recreation_v2_common_3!F43,recreation_v2_common_2!F43,recreation_v2_common_1!F43),0))</f>
        <v>1</v>
      </c>
      <c r="G43">
        <f>IF(AND(E43=1,F43=1),ROUND(SUM(recreation_v2_common_5!G43,recreation_v2_common_4!G43,recreation_v2_common_3!G43,recreation_v2_common_2!G43,recreation_v2_common_1!G43)/COUNT(recreation_v2_common_5!G43,recreation_v2_common_4!G43,recreation_v2_common_3!G43,recreation_v2_common_2!G43,recreation_v2_common_1!G43),0),"NA")</f>
        <v>1</v>
      </c>
      <c r="H43">
        <f>IF($D43=0,"NA",ROUND(SUM(recreation_v2_common_5!H43,recreation_v2_common_4!H43,recreation_v2_common_3!H43,recreation_v2_common_2!H43,recreation_v2_common_1!H43)/COUNT(recreation_v2_common_5!H43,recreation_v2_common_4!H43,recreation_v2_common_3!H43,recreation_v2_common_2!H43,recreation_v2_common_1!H43),0))</f>
        <v>1</v>
      </c>
      <c r="I43">
        <f>IF(E43=1,ROUND(SUM(recreation_v2_common_5!I43,recreation_v2_common_4!I43,recreation_v2_common_3!I43,recreation_v2_common_2!I43,recreation_v2_common_1!I43)/COUNT(recreation_v2_common_5!I43,recreation_v2_common_4!I43,recreation_v2_common_3!I43,recreation_v2_common_2!I43,recreation_v2_common_1!I43),0),"NA")</f>
        <v>1</v>
      </c>
      <c r="J43">
        <f>IF($D43=0,"NA",ROUND(SUM(recreation_v2_common_5!J43,recreation_v2_common_4!J43,recreation_v2_common_3!J43,recreation_v2_common_2!J43,recreation_v2_common_1!J43)/COUNT(recreation_v2_common_5!J43,recreation_v2_common_4!J43,recreation_v2_common_3!J43,recreation_v2_common_2!J43,recreation_v2_common_1!J43),0))</f>
        <v>1</v>
      </c>
      <c r="K43">
        <f>IF($D43=0,"NA",ROUND(SUM(recreation_v2_common_5!K43,recreation_v2_common_4!K43,recreation_v2_common_3!K43,recreation_v2_common_2!K43,recreation_v2_common_1!K43)/COUNT(recreation_v2_common_5!K43,recreation_v2_common_4!K43,recreation_v2_common_3!K43,recreation_v2_common_2!K43,recreation_v2_common_1!K43),0))</f>
        <v>1</v>
      </c>
      <c r="L43">
        <f>IF($D43=0,"NA",ROUND(SUM(recreation_v2_common_5!L43,recreation_v2_common_4!L43,recreation_v2_common_3!L43,recreation_v2_common_2!L43,recreation_v2_common_1!L43)/COUNT(recreation_v2_common_5!L43,recreation_v2_common_4!L43,recreation_v2_common_3!L43,recreation_v2_common_2!L43,recreation_v2_common_1!L43),0))</f>
        <v>1</v>
      </c>
      <c r="M43">
        <f>IF($D43=0,"NA",ROUND(SUM(recreation_v2_common_5!M43,recreation_v2_common_4!M43,recreation_v2_common_3!M43,recreation_v2_common_2!M43,recreation_v2_common_1!M43)/COUNT(recreation_v2_common_5!M43,recreation_v2_common_4!M43,recreation_v2_common_3!M43,recreation_v2_common_2!M43,recreation_v2_common_1!M43),0))</f>
        <v>1</v>
      </c>
      <c r="N43">
        <f>IF($D43=0,"NA",ROUND(SUM(recreation_v2_common_5!N43,recreation_v2_common_4!N43,recreation_v2_common_3!N43,recreation_v2_common_2!N43,recreation_v2_common_1!N43)/COUNT(recreation_v2_common_5!N43,recreation_v2_common_4!N43,recreation_v2_common_3!N43,recreation_v2_common_2!N43,recreation_v2_common_1!N43),0))</f>
        <v>1</v>
      </c>
    </row>
    <row r="44" spans="1:14" x14ac:dyDescent="0.25">
      <c r="A44" t="s">
        <v>77</v>
      </c>
      <c r="B44">
        <v>0</v>
      </c>
      <c r="C44">
        <v>2.533406257629395</v>
      </c>
      <c r="D44">
        <f>ROUND(SUM(recreation_v2_common_5!D44,recreation_v2_common_4!D44,recreation_v2_common_3!D44,recreation_v2_common_2!D44,recreation_v2_common_1!D44)/COUNT(recreation_v2_common_5!D44,recreation_v2_common_4!D44,recreation_v2_common_3!D44,recreation_v2_common_2!D44,recreation_v2_common_1!D44),0)</f>
        <v>1</v>
      </c>
      <c r="E44">
        <f>IF($D44=0,"NA",ROUND(SUM(recreation_v2_common_5!E44,recreation_v2_common_4!E44,recreation_v2_common_3!E44,recreation_v2_common_2!E44,recreation_v2_common_1!E44)/COUNT(recreation_v2_common_5!E44,recreation_v2_common_4!E44,recreation_v2_common_3!E44,recreation_v2_common_2!E44,recreation_v2_common_1!E44),0))</f>
        <v>1</v>
      </c>
      <c r="F44">
        <f>IF($D44=0,"NA",ROUND(SUM(recreation_v2_common_5!F44,recreation_v2_common_4!F44,recreation_v2_common_3!F44,recreation_v2_common_2!F44,recreation_v2_common_1!F44)/COUNT(recreation_v2_common_5!F44,recreation_v2_common_4!F44,recreation_v2_common_3!F44,recreation_v2_common_2!F44,recreation_v2_common_1!F44),0))</f>
        <v>1</v>
      </c>
      <c r="G44">
        <f>IF(AND(E44=1,F44=1),ROUND(SUM(recreation_v2_common_5!G44,recreation_v2_common_4!G44,recreation_v2_common_3!G44,recreation_v2_common_2!G44,recreation_v2_common_1!G44)/COUNT(recreation_v2_common_5!G44,recreation_v2_common_4!G44,recreation_v2_common_3!G44,recreation_v2_common_2!G44,recreation_v2_common_1!G44),0),"NA")</f>
        <v>1</v>
      </c>
      <c r="H44">
        <f>IF($D44=0,"NA",ROUND(SUM(recreation_v2_common_5!H44,recreation_v2_common_4!H44,recreation_v2_common_3!H44,recreation_v2_common_2!H44,recreation_v2_common_1!H44)/COUNT(recreation_v2_common_5!H44,recreation_v2_common_4!H44,recreation_v2_common_3!H44,recreation_v2_common_2!H44,recreation_v2_common_1!H44),0))</f>
        <v>1</v>
      </c>
      <c r="I44">
        <f>IF(E44=1,ROUND(SUM(recreation_v2_common_5!I44,recreation_v2_common_4!I44,recreation_v2_common_3!I44,recreation_v2_common_2!I44,recreation_v2_common_1!I44)/COUNT(recreation_v2_common_5!I44,recreation_v2_common_4!I44,recreation_v2_common_3!I44,recreation_v2_common_2!I44,recreation_v2_common_1!I44),0),"NA")</f>
        <v>1</v>
      </c>
      <c r="J44">
        <f>IF($D44=0,"NA",ROUND(SUM(recreation_v2_common_5!J44,recreation_v2_common_4!J44,recreation_v2_common_3!J44,recreation_v2_common_2!J44,recreation_v2_common_1!J44)/COUNT(recreation_v2_common_5!J44,recreation_v2_common_4!J44,recreation_v2_common_3!J44,recreation_v2_common_2!J44,recreation_v2_common_1!J44),0))</f>
        <v>1</v>
      </c>
      <c r="K44">
        <f>IF($D44=0,"NA",ROUND(SUM(recreation_v2_common_5!K44,recreation_v2_common_4!K44,recreation_v2_common_3!K44,recreation_v2_common_2!K44,recreation_v2_common_1!K44)/COUNT(recreation_v2_common_5!K44,recreation_v2_common_4!K44,recreation_v2_common_3!K44,recreation_v2_common_2!K44,recreation_v2_common_1!K44),0))</f>
        <v>1</v>
      </c>
      <c r="L44">
        <f>IF($D44=0,"NA",ROUND(SUM(recreation_v2_common_5!L44,recreation_v2_common_4!L44,recreation_v2_common_3!L44,recreation_v2_common_2!L44,recreation_v2_common_1!L44)/COUNT(recreation_v2_common_5!L44,recreation_v2_common_4!L44,recreation_v2_common_3!L44,recreation_v2_common_2!L44,recreation_v2_common_1!L44),0))</f>
        <v>1</v>
      </c>
      <c r="M44">
        <f>IF($D44=0,"NA",ROUND(SUM(recreation_v2_common_5!M44,recreation_v2_common_4!M44,recreation_v2_common_3!M44,recreation_v2_common_2!M44,recreation_v2_common_1!M44)/COUNT(recreation_v2_common_5!M44,recreation_v2_common_4!M44,recreation_v2_common_3!M44,recreation_v2_common_2!M44,recreation_v2_common_1!M44),0))</f>
        <v>1</v>
      </c>
      <c r="N44">
        <f>IF($D44=0,"NA",ROUND(SUM(recreation_v2_common_5!N44,recreation_v2_common_4!N44,recreation_v2_common_3!N44,recreation_v2_common_2!N44,recreation_v2_common_1!N44)/COUNT(recreation_v2_common_5!N44,recreation_v2_common_4!N44,recreation_v2_common_3!N44,recreation_v2_common_2!N44,recreation_v2_common_1!N44),0))</f>
        <v>1</v>
      </c>
    </row>
    <row r="45" spans="1:14" x14ac:dyDescent="0.25">
      <c r="A45" t="s">
        <v>78</v>
      </c>
      <c r="B45">
        <v>0</v>
      </c>
      <c r="C45">
        <v>9.0703999996185303</v>
      </c>
      <c r="D45">
        <f>ROUND(SUM(recreation_v2_common_5!D45,recreation_v2_common_4!D45,recreation_v2_common_3!D45,recreation_v2_common_2!D45,recreation_v2_common_1!D45)/COUNT(recreation_v2_common_5!D45,recreation_v2_common_4!D45,recreation_v2_common_3!D45,recreation_v2_common_2!D45,recreation_v2_common_1!D45),0)</f>
        <v>1</v>
      </c>
      <c r="E45">
        <f>IF($D45=0,"NA",ROUND(SUM(recreation_v2_common_5!E45,recreation_v2_common_4!E45,recreation_v2_common_3!E45,recreation_v2_common_2!E45,recreation_v2_common_1!E45)/COUNT(recreation_v2_common_5!E45,recreation_v2_common_4!E45,recreation_v2_common_3!E45,recreation_v2_common_2!E45,recreation_v2_common_1!E45),0))</f>
        <v>1</v>
      </c>
      <c r="F45">
        <f>IF($D45=0,"NA",ROUND(SUM(recreation_v2_common_5!F45,recreation_v2_common_4!F45,recreation_v2_common_3!F45,recreation_v2_common_2!F45,recreation_v2_common_1!F45)/COUNT(recreation_v2_common_5!F45,recreation_v2_common_4!F45,recreation_v2_common_3!F45,recreation_v2_common_2!F45,recreation_v2_common_1!F45),0))</f>
        <v>1</v>
      </c>
      <c r="G45">
        <f>IF(AND(E45=1,F45=1),ROUND(SUM(recreation_v2_common_5!G45,recreation_v2_common_4!G45,recreation_v2_common_3!G45,recreation_v2_common_2!G45,recreation_v2_common_1!G45)/COUNT(recreation_v2_common_5!G45,recreation_v2_common_4!G45,recreation_v2_common_3!G45,recreation_v2_common_2!G45,recreation_v2_common_1!G45),0),"NA")</f>
        <v>1</v>
      </c>
      <c r="H45">
        <f>IF($D45=0,"NA",ROUND(SUM(recreation_v2_common_5!H45,recreation_v2_common_4!H45,recreation_v2_common_3!H45,recreation_v2_common_2!H45,recreation_v2_common_1!H45)/COUNT(recreation_v2_common_5!H45,recreation_v2_common_4!H45,recreation_v2_common_3!H45,recreation_v2_common_2!H45,recreation_v2_common_1!H45),0))</f>
        <v>1</v>
      </c>
      <c r="I45">
        <f>IF(E45=1,ROUND(SUM(recreation_v2_common_5!I45,recreation_v2_common_4!I45,recreation_v2_common_3!I45,recreation_v2_common_2!I45,recreation_v2_common_1!I45)/COUNT(recreation_v2_common_5!I45,recreation_v2_common_4!I45,recreation_v2_common_3!I45,recreation_v2_common_2!I45,recreation_v2_common_1!I45),0),"NA")</f>
        <v>1</v>
      </c>
      <c r="J45">
        <f>IF($D45=0,"NA",ROUND(SUM(recreation_v2_common_5!J45,recreation_v2_common_4!J45,recreation_v2_common_3!J45,recreation_v2_common_2!J45,recreation_v2_common_1!J45)/COUNT(recreation_v2_common_5!J45,recreation_v2_common_4!J45,recreation_v2_common_3!J45,recreation_v2_common_2!J45,recreation_v2_common_1!J45),0))</f>
        <v>1</v>
      </c>
      <c r="K45">
        <f>IF($D45=0,"NA",ROUND(SUM(recreation_v2_common_5!K45,recreation_v2_common_4!K45,recreation_v2_common_3!K45,recreation_v2_common_2!K45,recreation_v2_common_1!K45)/COUNT(recreation_v2_common_5!K45,recreation_v2_common_4!K45,recreation_v2_common_3!K45,recreation_v2_common_2!K45,recreation_v2_common_1!K45),0))</f>
        <v>1</v>
      </c>
      <c r="L45">
        <f>IF($D45=0,"NA",ROUND(SUM(recreation_v2_common_5!L45,recreation_v2_common_4!L45,recreation_v2_common_3!L45,recreation_v2_common_2!L45,recreation_v2_common_1!L45)/COUNT(recreation_v2_common_5!L45,recreation_v2_common_4!L45,recreation_v2_common_3!L45,recreation_v2_common_2!L45,recreation_v2_common_1!L45),0))</f>
        <v>1</v>
      </c>
      <c r="M45">
        <f>IF($D45=0,"NA",ROUND(SUM(recreation_v2_common_5!M45,recreation_v2_common_4!M45,recreation_v2_common_3!M45,recreation_v2_common_2!M45,recreation_v2_common_1!M45)/COUNT(recreation_v2_common_5!M45,recreation_v2_common_4!M45,recreation_v2_common_3!M45,recreation_v2_common_2!M45,recreation_v2_common_1!M45),0))</f>
        <v>1</v>
      </c>
      <c r="N45">
        <f>IF($D45=0,"NA",ROUND(SUM(recreation_v2_common_5!N45,recreation_v2_common_4!N45,recreation_v2_common_3!N45,recreation_v2_common_2!N45,recreation_v2_common_1!N45)/COUNT(recreation_v2_common_5!N45,recreation_v2_common_4!N45,recreation_v2_common_3!N45,recreation_v2_common_2!N45,recreation_v2_common_1!N45),0))</f>
        <v>1</v>
      </c>
    </row>
    <row r="46" spans="1:14" x14ac:dyDescent="0.25">
      <c r="A46" t="s">
        <v>79</v>
      </c>
      <c r="B46">
        <v>0</v>
      </c>
      <c r="C46">
        <v>10.82406377792358</v>
      </c>
      <c r="D46">
        <f>ROUND(SUM(recreation_v2_common_5!D46,recreation_v2_common_4!D46,recreation_v2_common_3!D46,recreation_v2_common_2!D46,recreation_v2_common_1!D46)/COUNT(recreation_v2_common_5!D46,recreation_v2_common_4!D46,recreation_v2_common_3!D46,recreation_v2_common_2!D46,recreation_v2_common_1!D46),0)</f>
        <v>1</v>
      </c>
      <c r="E46">
        <f>IF($D46=0,"NA",ROUND(SUM(recreation_v2_common_5!E46,recreation_v2_common_4!E46,recreation_v2_common_3!E46,recreation_v2_common_2!E46,recreation_v2_common_1!E46)/COUNT(recreation_v2_common_5!E46,recreation_v2_common_4!E46,recreation_v2_common_3!E46,recreation_v2_common_2!E46,recreation_v2_common_1!E46),0))</f>
        <v>1</v>
      </c>
      <c r="F46">
        <f>IF($D46=0,"NA",ROUND(SUM(recreation_v2_common_5!F46,recreation_v2_common_4!F46,recreation_v2_common_3!F46,recreation_v2_common_2!F46,recreation_v2_common_1!F46)/COUNT(recreation_v2_common_5!F46,recreation_v2_common_4!F46,recreation_v2_common_3!F46,recreation_v2_common_2!F46,recreation_v2_common_1!F46),0))</f>
        <v>1</v>
      </c>
      <c r="G46">
        <f>IF(AND(E46=1,F46=1),ROUND(SUM(recreation_v2_common_5!G46,recreation_v2_common_4!G46,recreation_v2_common_3!G46,recreation_v2_common_2!G46,recreation_v2_common_1!G46)/COUNT(recreation_v2_common_5!G46,recreation_v2_common_4!G46,recreation_v2_common_3!G46,recreation_v2_common_2!G46,recreation_v2_common_1!G46),0),"NA")</f>
        <v>1</v>
      </c>
      <c r="H46">
        <f>IF($D46=0,"NA",ROUND(SUM(recreation_v2_common_5!H46,recreation_v2_common_4!H46,recreation_v2_common_3!H46,recreation_v2_common_2!H46,recreation_v2_common_1!H46)/COUNT(recreation_v2_common_5!H46,recreation_v2_common_4!H46,recreation_v2_common_3!H46,recreation_v2_common_2!H46,recreation_v2_common_1!H46),0))</f>
        <v>1</v>
      </c>
      <c r="I46">
        <f>IF(E46=1,ROUND(SUM(recreation_v2_common_5!I46,recreation_v2_common_4!I46,recreation_v2_common_3!I46,recreation_v2_common_2!I46,recreation_v2_common_1!I46)/COUNT(recreation_v2_common_5!I46,recreation_v2_common_4!I46,recreation_v2_common_3!I46,recreation_v2_common_2!I46,recreation_v2_common_1!I46),0),"NA")</f>
        <v>1</v>
      </c>
      <c r="J46">
        <f>IF($D46=0,"NA",ROUND(SUM(recreation_v2_common_5!J46,recreation_v2_common_4!J46,recreation_v2_common_3!J46,recreation_v2_common_2!J46,recreation_v2_common_1!J46)/COUNT(recreation_v2_common_5!J46,recreation_v2_common_4!J46,recreation_v2_common_3!J46,recreation_v2_common_2!J46,recreation_v2_common_1!J46),0))</f>
        <v>1</v>
      </c>
      <c r="K46">
        <f>IF($D46=0,"NA",ROUND(SUM(recreation_v2_common_5!K46,recreation_v2_common_4!K46,recreation_v2_common_3!K46,recreation_v2_common_2!K46,recreation_v2_common_1!K46)/COUNT(recreation_v2_common_5!K46,recreation_v2_common_4!K46,recreation_v2_common_3!K46,recreation_v2_common_2!K46,recreation_v2_common_1!K46),0))</f>
        <v>1</v>
      </c>
      <c r="L46">
        <f>IF($D46=0,"NA",ROUND(SUM(recreation_v2_common_5!L46,recreation_v2_common_4!L46,recreation_v2_common_3!L46,recreation_v2_common_2!L46,recreation_v2_common_1!L46)/COUNT(recreation_v2_common_5!L46,recreation_v2_common_4!L46,recreation_v2_common_3!L46,recreation_v2_common_2!L46,recreation_v2_common_1!L46),0))</f>
        <v>1</v>
      </c>
      <c r="M46">
        <f>IF($D46=0,"NA",ROUND(SUM(recreation_v2_common_5!M46,recreation_v2_common_4!M46,recreation_v2_common_3!M46,recreation_v2_common_2!M46,recreation_v2_common_1!M46)/COUNT(recreation_v2_common_5!M46,recreation_v2_common_4!M46,recreation_v2_common_3!M46,recreation_v2_common_2!M46,recreation_v2_common_1!M46),0))</f>
        <v>1</v>
      </c>
      <c r="N46">
        <f>IF($D46=0,"NA",ROUND(SUM(recreation_v2_common_5!N46,recreation_v2_common_4!N46,recreation_v2_common_3!N46,recreation_v2_common_2!N46,recreation_v2_common_1!N46)/COUNT(recreation_v2_common_5!N46,recreation_v2_common_4!N46,recreation_v2_common_3!N46,recreation_v2_common_2!N46,recreation_v2_common_1!N46),0))</f>
        <v>1</v>
      </c>
    </row>
    <row r="47" spans="1:14" x14ac:dyDescent="0.25">
      <c r="A47" t="s">
        <v>80</v>
      </c>
      <c r="B47">
        <v>0</v>
      </c>
      <c r="C47">
        <v>10.981222152709959</v>
      </c>
      <c r="D47">
        <f>ROUND(SUM(recreation_v2_common_5!D47,recreation_v2_common_4!D47,recreation_v2_common_3!D47,recreation_v2_common_2!D47,recreation_v2_common_1!D47)/COUNT(recreation_v2_common_5!D47,recreation_v2_common_4!D47,recreation_v2_common_3!D47,recreation_v2_common_2!D47,recreation_v2_common_1!D47),0)</f>
        <v>1</v>
      </c>
      <c r="E47">
        <f>IF($D47=0,"NA",ROUND(SUM(recreation_v2_common_5!E47,recreation_v2_common_4!E47,recreation_v2_common_3!E47,recreation_v2_common_2!E47,recreation_v2_common_1!E47)/COUNT(recreation_v2_common_5!E47,recreation_v2_common_4!E47,recreation_v2_common_3!E47,recreation_v2_common_2!E47,recreation_v2_common_1!E47),0))</f>
        <v>0</v>
      </c>
      <c r="F47">
        <f>IF($D47=0,"NA",ROUND(SUM(recreation_v2_common_5!F47,recreation_v2_common_4!F47,recreation_v2_common_3!F47,recreation_v2_common_2!F47,recreation_v2_common_1!F47)/COUNT(recreation_v2_common_5!F47,recreation_v2_common_4!F47,recreation_v2_common_3!F47,recreation_v2_common_2!F47,recreation_v2_common_1!F47),0))</f>
        <v>1</v>
      </c>
      <c r="G47" t="str">
        <f>IF(AND(E47=1,F47=1),ROUND(SUM(recreation_v2_common_5!G47,recreation_v2_common_4!G47,recreation_v2_common_3!G47,recreation_v2_common_2!G47,recreation_v2_common_1!G47)/COUNT(recreation_v2_common_5!G47,recreation_v2_common_4!G47,recreation_v2_common_3!G47,recreation_v2_common_2!G47,recreation_v2_common_1!G47),0),"NA")</f>
        <v>NA</v>
      </c>
      <c r="H47">
        <f>IF($D47=0,"NA",ROUND(SUM(recreation_v2_common_5!H47,recreation_v2_common_4!H47,recreation_v2_common_3!H47,recreation_v2_common_2!H47,recreation_v2_common_1!H47)/COUNT(recreation_v2_common_5!H47,recreation_v2_common_4!H47,recreation_v2_common_3!H47,recreation_v2_common_2!H47,recreation_v2_common_1!H47),0))</f>
        <v>1</v>
      </c>
      <c r="I47" t="str">
        <f>IF(E47=1,ROUND(SUM(recreation_v2_common_5!I47,recreation_v2_common_4!I47,recreation_v2_common_3!I47,recreation_v2_common_2!I47,recreation_v2_common_1!I47)/COUNT(recreation_v2_common_5!I47,recreation_v2_common_4!I47,recreation_v2_common_3!I47,recreation_v2_common_2!I47,recreation_v2_common_1!I47),0),"NA")</f>
        <v>NA</v>
      </c>
      <c r="J47">
        <f>IF($D47=0,"NA",ROUND(SUM(recreation_v2_common_5!J47,recreation_v2_common_4!J47,recreation_v2_common_3!J47,recreation_v2_common_2!J47,recreation_v2_common_1!J47)/COUNT(recreation_v2_common_5!J47,recreation_v2_common_4!J47,recreation_v2_common_3!J47,recreation_v2_common_2!J47,recreation_v2_common_1!J47),0))</f>
        <v>1</v>
      </c>
      <c r="K47">
        <f>IF($D47=0,"NA",ROUND(SUM(recreation_v2_common_5!K47,recreation_v2_common_4!K47,recreation_v2_common_3!K47,recreation_v2_common_2!K47,recreation_v2_common_1!K47)/COUNT(recreation_v2_common_5!K47,recreation_v2_common_4!K47,recreation_v2_common_3!K47,recreation_v2_common_2!K47,recreation_v2_common_1!K47),0))</f>
        <v>1</v>
      </c>
      <c r="L47">
        <f>IF($D47=0,"NA",ROUND(SUM(recreation_v2_common_5!L47,recreation_v2_common_4!L47,recreation_v2_common_3!L47,recreation_v2_common_2!L47,recreation_v2_common_1!L47)/COUNT(recreation_v2_common_5!L47,recreation_v2_common_4!L47,recreation_v2_common_3!L47,recreation_v2_common_2!L47,recreation_v2_common_1!L47),0))</f>
        <v>1</v>
      </c>
      <c r="M47">
        <f>IF($D47=0,"NA",ROUND(SUM(recreation_v2_common_5!M47,recreation_v2_common_4!M47,recreation_v2_common_3!M47,recreation_v2_common_2!M47,recreation_v2_common_1!M47)/COUNT(recreation_v2_common_5!M47,recreation_v2_common_4!M47,recreation_v2_common_3!M47,recreation_v2_common_2!M47,recreation_v2_common_1!M47),0))</f>
        <v>1</v>
      </c>
      <c r="N47">
        <f>IF($D47=0,"NA",ROUND(SUM(recreation_v2_common_5!N47,recreation_v2_common_4!N47,recreation_v2_common_3!N47,recreation_v2_common_2!N47,recreation_v2_common_1!N47)/COUNT(recreation_v2_common_5!N47,recreation_v2_common_4!N47,recreation_v2_common_3!N47,recreation_v2_common_2!N47,recreation_v2_common_1!N47),0))</f>
        <v>1</v>
      </c>
    </row>
    <row r="48" spans="1:14" x14ac:dyDescent="0.25">
      <c r="A48" t="s">
        <v>82</v>
      </c>
      <c r="B48">
        <v>0</v>
      </c>
      <c r="C48">
        <v>10.55919575691223</v>
      </c>
      <c r="D48">
        <f>ROUND(SUM(recreation_v2_common_5!D48,recreation_v2_common_4!D48,recreation_v2_common_3!D48,recreation_v2_common_2!D48,recreation_v2_common_1!D48)/COUNT(recreation_v2_common_5!D48,recreation_v2_common_4!D48,recreation_v2_common_3!D48,recreation_v2_common_2!D48,recreation_v2_common_1!D48),0)</f>
        <v>1</v>
      </c>
      <c r="E48">
        <f>IF($D48=0,"NA",ROUND(SUM(recreation_v2_common_5!E48,recreation_v2_common_4!E48,recreation_v2_common_3!E48,recreation_v2_common_2!E48,recreation_v2_common_1!E48)/COUNT(recreation_v2_common_5!E48,recreation_v2_common_4!E48,recreation_v2_common_3!E48,recreation_v2_common_2!E48,recreation_v2_common_1!E48),0))</f>
        <v>1</v>
      </c>
      <c r="F48">
        <f>IF($D48=0,"NA",ROUND(SUM(recreation_v2_common_5!F48,recreation_v2_common_4!F48,recreation_v2_common_3!F48,recreation_v2_common_2!F48,recreation_v2_common_1!F48)/COUNT(recreation_v2_common_5!F48,recreation_v2_common_4!F48,recreation_v2_common_3!F48,recreation_v2_common_2!F48,recreation_v2_common_1!F48),0))</f>
        <v>1</v>
      </c>
      <c r="G48">
        <f>IF(AND(E48=1,F48=1),ROUND(SUM(recreation_v2_common_5!G48,recreation_v2_common_4!G48,recreation_v2_common_3!G48,recreation_v2_common_2!G48,recreation_v2_common_1!G48)/COUNT(recreation_v2_common_5!G48,recreation_v2_common_4!G48,recreation_v2_common_3!G48,recreation_v2_common_2!G48,recreation_v2_common_1!G48),0),"NA")</f>
        <v>1</v>
      </c>
      <c r="H48">
        <f>IF($D48=0,"NA",ROUND(SUM(recreation_v2_common_5!H48,recreation_v2_common_4!H48,recreation_v2_common_3!H48,recreation_v2_common_2!H48,recreation_v2_common_1!H48)/COUNT(recreation_v2_common_5!H48,recreation_v2_common_4!H48,recreation_v2_common_3!H48,recreation_v2_common_2!H48,recreation_v2_common_1!H48),0))</f>
        <v>1</v>
      </c>
      <c r="I48">
        <f>IF(E48=1,ROUND(SUM(recreation_v2_common_5!I48,recreation_v2_common_4!I48,recreation_v2_common_3!I48,recreation_v2_common_2!I48,recreation_v2_common_1!I48)/COUNT(recreation_v2_common_5!I48,recreation_v2_common_4!I48,recreation_v2_common_3!I48,recreation_v2_common_2!I48,recreation_v2_common_1!I48),0),"NA")</f>
        <v>1</v>
      </c>
      <c r="J48">
        <f>IF($D48=0,"NA",ROUND(SUM(recreation_v2_common_5!J48,recreation_v2_common_4!J48,recreation_v2_common_3!J48,recreation_v2_common_2!J48,recreation_v2_common_1!J48)/COUNT(recreation_v2_common_5!J48,recreation_v2_common_4!J48,recreation_v2_common_3!J48,recreation_v2_common_2!J48,recreation_v2_common_1!J48),0))</f>
        <v>0</v>
      </c>
      <c r="K48">
        <f>IF($D48=0,"NA",ROUND(SUM(recreation_v2_common_5!K48,recreation_v2_common_4!K48,recreation_v2_common_3!K48,recreation_v2_common_2!K48,recreation_v2_common_1!K48)/COUNT(recreation_v2_common_5!K48,recreation_v2_common_4!K48,recreation_v2_common_3!K48,recreation_v2_common_2!K48,recreation_v2_common_1!K48),0))</f>
        <v>1</v>
      </c>
      <c r="L48">
        <f>IF($D48=0,"NA",ROUND(SUM(recreation_v2_common_5!L48,recreation_v2_common_4!L48,recreation_v2_common_3!L48,recreation_v2_common_2!L48,recreation_v2_common_1!L48)/COUNT(recreation_v2_common_5!L48,recreation_v2_common_4!L48,recreation_v2_common_3!L48,recreation_v2_common_2!L48,recreation_v2_common_1!L48),0))</f>
        <v>1</v>
      </c>
      <c r="M48">
        <f>IF($D48=0,"NA",ROUND(SUM(recreation_v2_common_5!M48,recreation_v2_common_4!M48,recreation_v2_common_3!M48,recreation_v2_common_2!M48,recreation_v2_common_1!M48)/COUNT(recreation_v2_common_5!M48,recreation_v2_common_4!M48,recreation_v2_common_3!M48,recreation_v2_common_2!M48,recreation_v2_common_1!M48),0))</f>
        <v>1</v>
      </c>
      <c r="N48">
        <f>IF($D48=0,"NA",ROUND(SUM(recreation_v2_common_5!N48,recreation_v2_common_4!N48,recreation_v2_common_3!N48,recreation_v2_common_2!N48,recreation_v2_common_1!N48)/COUNT(recreation_v2_common_5!N48,recreation_v2_common_4!N48,recreation_v2_common_3!N48,recreation_v2_common_2!N48,recreation_v2_common_1!N48),0))</f>
        <v>1</v>
      </c>
    </row>
    <row r="49" spans="1:14" x14ac:dyDescent="0.25">
      <c r="A49" t="s">
        <v>84</v>
      </c>
      <c r="B49">
        <v>0</v>
      </c>
      <c r="C49">
        <v>4.6932239532470703</v>
      </c>
      <c r="D49">
        <f>ROUND(SUM(recreation_v2_common_5!D49,recreation_v2_common_4!D49,recreation_v2_common_3!D49,recreation_v2_common_2!D49,recreation_v2_common_1!D49)/COUNT(recreation_v2_common_5!D49,recreation_v2_common_4!D49,recreation_v2_common_3!D49,recreation_v2_common_2!D49,recreation_v2_common_1!D49),0)</f>
        <v>1</v>
      </c>
      <c r="E49">
        <f>IF($D49=0,"NA",ROUND(SUM(recreation_v2_common_5!E49,recreation_v2_common_4!E49,recreation_v2_common_3!E49,recreation_v2_common_2!E49,recreation_v2_common_1!E49)/COUNT(recreation_v2_common_5!E49,recreation_v2_common_4!E49,recreation_v2_common_3!E49,recreation_v2_common_2!E49,recreation_v2_common_1!E49),0))</f>
        <v>1</v>
      </c>
      <c r="F49">
        <f>IF($D49=0,"NA",ROUND(SUM(recreation_v2_common_5!F49,recreation_v2_common_4!F49,recreation_v2_common_3!F49,recreation_v2_common_2!F49,recreation_v2_common_1!F49)/COUNT(recreation_v2_common_5!F49,recreation_v2_common_4!F49,recreation_v2_common_3!F49,recreation_v2_common_2!F49,recreation_v2_common_1!F49),0))</f>
        <v>1</v>
      </c>
      <c r="G49">
        <f>IF(AND(E49=1,F49=1),ROUND(SUM(recreation_v2_common_5!G49,recreation_v2_common_4!G49,recreation_v2_common_3!G49,recreation_v2_common_2!G49,recreation_v2_common_1!G49)/COUNT(recreation_v2_common_5!G49,recreation_v2_common_4!G49,recreation_v2_common_3!G49,recreation_v2_common_2!G49,recreation_v2_common_1!G49),0),"NA")</f>
        <v>0</v>
      </c>
      <c r="H49">
        <f>IF($D49=0,"NA",ROUND(SUM(recreation_v2_common_5!H49,recreation_v2_common_4!H49,recreation_v2_common_3!H49,recreation_v2_common_2!H49,recreation_v2_common_1!H49)/COUNT(recreation_v2_common_5!H49,recreation_v2_common_4!H49,recreation_v2_common_3!H49,recreation_v2_common_2!H49,recreation_v2_common_1!H49),0))</f>
        <v>1</v>
      </c>
      <c r="I49">
        <f>IF(E49=1,ROUND(SUM(recreation_v2_common_5!I49,recreation_v2_common_4!I49,recreation_v2_common_3!I49,recreation_v2_common_2!I49,recreation_v2_common_1!I49)/COUNT(recreation_v2_common_5!I49,recreation_v2_common_4!I49,recreation_v2_common_3!I49,recreation_v2_common_2!I49,recreation_v2_common_1!I49),0),"NA")</f>
        <v>1</v>
      </c>
      <c r="J49">
        <f>IF($D49=0,"NA",ROUND(SUM(recreation_v2_common_5!J49,recreation_v2_common_4!J49,recreation_v2_common_3!J49,recreation_v2_common_2!J49,recreation_v2_common_1!J49)/COUNT(recreation_v2_common_5!J49,recreation_v2_common_4!J49,recreation_v2_common_3!J49,recreation_v2_common_2!J49,recreation_v2_common_1!J49),0))</f>
        <v>1</v>
      </c>
      <c r="K49">
        <f>IF($D49=0,"NA",ROUND(SUM(recreation_v2_common_5!K49,recreation_v2_common_4!K49,recreation_v2_common_3!K49,recreation_v2_common_2!K49,recreation_v2_common_1!K49)/COUNT(recreation_v2_common_5!K49,recreation_v2_common_4!K49,recreation_v2_common_3!K49,recreation_v2_common_2!K49,recreation_v2_common_1!K49),0))</f>
        <v>1</v>
      </c>
      <c r="L49">
        <f>IF($D49=0,"NA",ROUND(SUM(recreation_v2_common_5!L49,recreation_v2_common_4!L49,recreation_v2_common_3!L49,recreation_v2_common_2!L49,recreation_v2_common_1!L49)/COUNT(recreation_v2_common_5!L49,recreation_v2_common_4!L49,recreation_v2_common_3!L49,recreation_v2_common_2!L49,recreation_v2_common_1!L49),0))</f>
        <v>1</v>
      </c>
      <c r="M49">
        <f>IF($D49=0,"NA",ROUND(SUM(recreation_v2_common_5!M49,recreation_v2_common_4!M49,recreation_v2_common_3!M49,recreation_v2_common_2!M49,recreation_v2_common_1!M49)/COUNT(recreation_v2_common_5!M49,recreation_v2_common_4!M49,recreation_v2_common_3!M49,recreation_v2_common_2!M49,recreation_v2_common_1!M49),0))</f>
        <v>1</v>
      </c>
      <c r="N49">
        <f>IF($D49=0,"NA",ROUND(SUM(recreation_v2_common_5!N49,recreation_v2_common_4!N49,recreation_v2_common_3!N49,recreation_v2_common_2!N49,recreation_v2_common_1!N49)/COUNT(recreation_v2_common_5!N49,recreation_v2_common_4!N49,recreation_v2_common_3!N49,recreation_v2_common_2!N49,recreation_v2_common_1!N49),0))</f>
        <v>1</v>
      </c>
    </row>
    <row r="50" spans="1:14" x14ac:dyDescent="0.25">
      <c r="A50" t="s">
        <v>86</v>
      </c>
      <c r="B50">
        <v>0</v>
      </c>
      <c r="C50">
        <v>2.7186975479125981</v>
      </c>
      <c r="D50">
        <f>ROUND(SUM(recreation_v2_common_5!D50,recreation_v2_common_4!D50,recreation_v2_common_3!D50,recreation_v2_common_2!D50,recreation_v2_common_1!D50)/COUNT(recreation_v2_common_5!D50,recreation_v2_common_4!D50,recreation_v2_common_3!D50,recreation_v2_common_2!D50,recreation_v2_common_1!D50),0)</f>
        <v>1</v>
      </c>
      <c r="E50">
        <f>IF($D50=0,"NA",ROUND(SUM(recreation_v2_common_5!E50,recreation_v2_common_4!E50,recreation_v2_common_3!E50,recreation_v2_common_2!E50,recreation_v2_common_1!E50)/COUNT(recreation_v2_common_5!E50,recreation_v2_common_4!E50,recreation_v2_common_3!E50,recreation_v2_common_2!E50,recreation_v2_common_1!E50),0))</f>
        <v>1</v>
      </c>
      <c r="F50">
        <f>IF($D50=0,"NA",ROUND(SUM(recreation_v2_common_5!F50,recreation_v2_common_4!F50,recreation_v2_common_3!F50,recreation_v2_common_2!F50,recreation_v2_common_1!F50)/COUNT(recreation_v2_common_5!F50,recreation_v2_common_4!F50,recreation_v2_common_3!F50,recreation_v2_common_2!F50,recreation_v2_common_1!F50),0))</f>
        <v>1</v>
      </c>
      <c r="G50">
        <f>IF(AND(E50=1,F50=1),ROUND(SUM(recreation_v2_common_5!G50,recreation_v2_common_4!G50,recreation_v2_common_3!G50,recreation_v2_common_2!G50,recreation_v2_common_1!G50)/COUNT(recreation_v2_common_5!G50,recreation_v2_common_4!G50,recreation_v2_common_3!G50,recreation_v2_common_2!G50,recreation_v2_common_1!G50),0),"NA")</f>
        <v>1</v>
      </c>
      <c r="H50">
        <f>IF($D50=0,"NA",ROUND(SUM(recreation_v2_common_5!H50,recreation_v2_common_4!H50,recreation_v2_common_3!H50,recreation_v2_common_2!H50,recreation_v2_common_1!H50)/COUNT(recreation_v2_common_5!H50,recreation_v2_common_4!H50,recreation_v2_common_3!H50,recreation_v2_common_2!H50,recreation_v2_common_1!H50),0))</f>
        <v>1</v>
      </c>
      <c r="I50">
        <f>IF(E50=1,ROUND(SUM(recreation_v2_common_5!I50,recreation_v2_common_4!I50,recreation_v2_common_3!I50,recreation_v2_common_2!I50,recreation_v2_common_1!I50)/COUNT(recreation_v2_common_5!I50,recreation_v2_common_4!I50,recreation_v2_common_3!I50,recreation_v2_common_2!I50,recreation_v2_common_1!I50),0),"NA")</f>
        <v>1</v>
      </c>
      <c r="J50">
        <f>IF($D50=0,"NA",ROUND(SUM(recreation_v2_common_5!J50,recreation_v2_common_4!J50,recreation_v2_common_3!J50,recreation_v2_common_2!J50,recreation_v2_common_1!J50)/COUNT(recreation_v2_common_5!J50,recreation_v2_common_4!J50,recreation_v2_common_3!J50,recreation_v2_common_2!J50,recreation_v2_common_1!J50),0))</f>
        <v>1</v>
      </c>
      <c r="K50">
        <f>IF($D50=0,"NA",ROUND(SUM(recreation_v2_common_5!K50,recreation_v2_common_4!K50,recreation_v2_common_3!K50,recreation_v2_common_2!K50,recreation_v2_common_1!K50)/COUNT(recreation_v2_common_5!K50,recreation_v2_common_4!K50,recreation_v2_common_3!K50,recreation_v2_common_2!K50,recreation_v2_common_1!K50),0))</f>
        <v>1</v>
      </c>
      <c r="L50">
        <f>IF($D50=0,"NA",ROUND(SUM(recreation_v2_common_5!L50,recreation_v2_common_4!L50,recreation_v2_common_3!L50,recreation_v2_common_2!L50,recreation_v2_common_1!L50)/COUNT(recreation_v2_common_5!L50,recreation_v2_common_4!L50,recreation_v2_common_3!L50,recreation_v2_common_2!L50,recreation_v2_common_1!L50),0))</f>
        <v>1</v>
      </c>
      <c r="M50">
        <f>IF($D50=0,"NA",ROUND(SUM(recreation_v2_common_5!M50,recreation_v2_common_4!M50,recreation_v2_common_3!M50,recreation_v2_common_2!M50,recreation_v2_common_1!M50)/COUNT(recreation_v2_common_5!M50,recreation_v2_common_4!M50,recreation_v2_common_3!M50,recreation_v2_common_2!M50,recreation_v2_common_1!M50),0))</f>
        <v>1</v>
      </c>
      <c r="N50">
        <f>IF($D50=0,"NA",ROUND(SUM(recreation_v2_common_5!N50,recreation_v2_common_4!N50,recreation_v2_common_3!N50,recreation_v2_common_2!N50,recreation_v2_common_1!N50)/COUNT(recreation_v2_common_5!N50,recreation_v2_common_4!N50,recreation_v2_common_3!N50,recreation_v2_common_2!N50,recreation_v2_common_1!N50),0))</f>
        <v>1</v>
      </c>
    </row>
    <row r="51" spans="1:14" x14ac:dyDescent="0.25">
      <c r="A51" t="s">
        <v>87</v>
      </c>
      <c r="B51">
        <v>0</v>
      </c>
      <c r="C51">
        <v>11.868626594543461</v>
      </c>
      <c r="D51">
        <f>ROUND(SUM(recreation_v2_common_5!D51,recreation_v2_common_4!D51,recreation_v2_common_3!D51,recreation_v2_common_2!D51,recreation_v2_common_1!D51)/COUNT(recreation_v2_common_5!D51,recreation_v2_common_4!D51,recreation_v2_common_3!D51,recreation_v2_common_2!D51,recreation_v2_common_1!D51),0)</f>
        <v>1</v>
      </c>
      <c r="E51">
        <f>IF($D51=0,"NA",ROUND(SUM(recreation_v2_common_5!E51,recreation_v2_common_4!E51,recreation_v2_common_3!E51,recreation_v2_common_2!E51,recreation_v2_common_1!E51)/COUNT(recreation_v2_common_5!E51,recreation_v2_common_4!E51,recreation_v2_common_3!E51,recreation_v2_common_2!E51,recreation_v2_common_1!E51),0))</f>
        <v>1</v>
      </c>
      <c r="F51">
        <f>IF($D51=0,"NA",ROUND(SUM(recreation_v2_common_5!F51,recreation_v2_common_4!F51,recreation_v2_common_3!F51,recreation_v2_common_2!F51,recreation_v2_common_1!F51)/COUNT(recreation_v2_common_5!F51,recreation_v2_common_4!F51,recreation_v2_common_3!F51,recreation_v2_common_2!F51,recreation_v2_common_1!F51),0))</f>
        <v>1</v>
      </c>
      <c r="G51">
        <f>IF(AND(E51=1,F51=1),ROUND(SUM(recreation_v2_common_5!G51,recreation_v2_common_4!G51,recreation_v2_common_3!G51,recreation_v2_common_2!G51,recreation_v2_common_1!G51)/COUNT(recreation_v2_common_5!G51,recreation_v2_common_4!G51,recreation_v2_common_3!G51,recreation_v2_common_2!G51,recreation_v2_common_1!G51),0),"NA")</f>
        <v>1</v>
      </c>
      <c r="H51">
        <f>IF($D51=0,"NA",ROUND(SUM(recreation_v2_common_5!H51,recreation_v2_common_4!H51,recreation_v2_common_3!H51,recreation_v2_common_2!H51,recreation_v2_common_1!H51)/COUNT(recreation_v2_common_5!H51,recreation_v2_common_4!H51,recreation_v2_common_3!H51,recreation_v2_common_2!H51,recreation_v2_common_1!H51),0))</f>
        <v>1</v>
      </c>
      <c r="I51">
        <f>IF(E51=1,ROUND(SUM(recreation_v2_common_5!I51,recreation_v2_common_4!I51,recreation_v2_common_3!I51,recreation_v2_common_2!I51,recreation_v2_common_1!I51)/COUNT(recreation_v2_common_5!I51,recreation_v2_common_4!I51,recreation_v2_common_3!I51,recreation_v2_common_2!I51,recreation_v2_common_1!I51),0),"NA")</f>
        <v>1</v>
      </c>
      <c r="J51">
        <f>IF($D51=0,"NA",ROUND(SUM(recreation_v2_common_5!J51,recreation_v2_common_4!J51,recreation_v2_common_3!J51,recreation_v2_common_2!J51,recreation_v2_common_1!J51)/COUNT(recreation_v2_common_5!J51,recreation_v2_common_4!J51,recreation_v2_common_3!J51,recreation_v2_common_2!J51,recreation_v2_common_1!J51),0))</f>
        <v>1</v>
      </c>
      <c r="K51">
        <f>IF($D51=0,"NA",ROUND(SUM(recreation_v2_common_5!K51,recreation_v2_common_4!K51,recreation_v2_common_3!K51,recreation_v2_common_2!K51,recreation_v2_common_1!K51)/COUNT(recreation_v2_common_5!K51,recreation_v2_common_4!K51,recreation_v2_common_3!K51,recreation_v2_common_2!K51,recreation_v2_common_1!K51),0))</f>
        <v>1</v>
      </c>
      <c r="L51">
        <f>IF($D51=0,"NA",ROUND(SUM(recreation_v2_common_5!L51,recreation_v2_common_4!L51,recreation_v2_common_3!L51,recreation_v2_common_2!L51,recreation_v2_common_1!L51)/COUNT(recreation_v2_common_5!L51,recreation_v2_common_4!L51,recreation_v2_common_3!L51,recreation_v2_common_2!L51,recreation_v2_common_1!L51),0))</f>
        <v>1</v>
      </c>
      <c r="M51">
        <f>IF($D51=0,"NA",ROUND(SUM(recreation_v2_common_5!M51,recreation_v2_common_4!M51,recreation_v2_common_3!M51,recreation_v2_common_2!M51,recreation_v2_common_1!M51)/COUNT(recreation_v2_common_5!M51,recreation_v2_common_4!M51,recreation_v2_common_3!M51,recreation_v2_common_2!M51,recreation_v2_common_1!M51),0))</f>
        <v>1</v>
      </c>
      <c r="N51">
        <f>IF($D51=0,"NA",ROUND(SUM(recreation_v2_common_5!N51,recreation_v2_common_4!N51,recreation_v2_common_3!N51,recreation_v2_common_2!N51,recreation_v2_common_1!N51)/COUNT(recreation_v2_common_5!N51,recreation_v2_common_4!N51,recreation_v2_common_3!N51,recreation_v2_common_2!N51,recreation_v2_common_1!N51),0))</f>
        <v>1</v>
      </c>
    </row>
    <row r="52" spans="1:14" x14ac:dyDescent="0.25">
      <c r="A52" t="s">
        <v>88</v>
      </c>
      <c r="B52">
        <v>0</v>
      </c>
      <c r="C52">
        <v>2.6922051906585689</v>
      </c>
      <c r="D52">
        <f>ROUND(SUM(recreation_v2_common_5!D52,recreation_v2_common_4!D52,recreation_v2_common_3!D52,recreation_v2_common_2!D52,recreation_v2_common_1!D52)/COUNT(recreation_v2_common_5!D52,recreation_v2_common_4!D52,recreation_v2_common_3!D52,recreation_v2_common_2!D52,recreation_v2_common_1!D52),0)</f>
        <v>1</v>
      </c>
      <c r="E52">
        <f>IF($D52=0,"NA",ROUND(SUM(recreation_v2_common_5!E52,recreation_v2_common_4!E52,recreation_v2_common_3!E52,recreation_v2_common_2!E52,recreation_v2_common_1!E52)/COUNT(recreation_v2_common_5!E52,recreation_v2_common_4!E52,recreation_v2_common_3!E52,recreation_v2_common_2!E52,recreation_v2_common_1!E52),0))</f>
        <v>1</v>
      </c>
      <c r="F52">
        <f>IF($D52=0,"NA",ROUND(SUM(recreation_v2_common_5!F52,recreation_v2_common_4!F52,recreation_v2_common_3!F52,recreation_v2_common_2!F52,recreation_v2_common_1!F52)/COUNT(recreation_v2_common_5!F52,recreation_v2_common_4!F52,recreation_v2_common_3!F52,recreation_v2_common_2!F52,recreation_v2_common_1!F52),0))</f>
        <v>1</v>
      </c>
      <c r="G52">
        <f>IF(AND(E52=1,F52=1),ROUND(SUM(recreation_v2_common_5!G52,recreation_v2_common_4!G52,recreation_v2_common_3!G52,recreation_v2_common_2!G52,recreation_v2_common_1!G52)/COUNT(recreation_v2_common_5!G52,recreation_v2_common_4!G52,recreation_v2_common_3!G52,recreation_v2_common_2!G52,recreation_v2_common_1!G52),0),"NA")</f>
        <v>1</v>
      </c>
      <c r="H52">
        <f>IF($D52=0,"NA",ROUND(SUM(recreation_v2_common_5!H52,recreation_v2_common_4!H52,recreation_v2_common_3!H52,recreation_v2_common_2!H52,recreation_v2_common_1!H52)/COUNT(recreation_v2_common_5!H52,recreation_v2_common_4!H52,recreation_v2_common_3!H52,recreation_v2_common_2!H52,recreation_v2_common_1!H52),0))</f>
        <v>1</v>
      </c>
      <c r="I52">
        <f>IF(E52=1,ROUND(SUM(recreation_v2_common_5!I52,recreation_v2_common_4!I52,recreation_v2_common_3!I52,recreation_v2_common_2!I52,recreation_v2_common_1!I52)/COUNT(recreation_v2_common_5!I52,recreation_v2_common_4!I52,recreation_v2_common_3!I52,recreation_v2_common_2!I52,recreation_v2_common_1!I52),0),"NA")</f>
        <v>1</v>
      </c>
      <c r="J52">
        <f>IF($D52=0,"NA",ROUND(SUM(recreation_v2_common_5!J52,recreation_v2_common_4!J52,recreation_v2_common_3!J52,recreation_v2_common_2!J52,recreation_v2_common_1!J52)/COUNT(recreation_v2_common_5!J52,recreation_v2_common_4!J52,recreation_v2_common_3!J52,recreation_v2_common_2!J52,recreation_v2_common_1!J52),0))</f>
        <v>1</v>
      </c>
      <c r="K52">
        <f>IF($D52=0,"NA",ROUND(SUM(recreation_v2_common_5!K52,recreation_v2_common_4!K52,recreation_v2_common_3!K52,recreation_v2_common_2!K52,recreation_v2_common_1!K52)/COUNT(recreation_v2_common_5!K52,recreation_v2_common_4!K52,recreation_v2_common_3!K52,recreation_v2_common_2!K52,recreation_v2_common_1!K52),0))</f>
        <v>1</v>
      </c>
      <c r="L52">
        <f>IF($D52=0,"NA",ROUND(SUM(recreation_v2_common_5!L52,recreation_v2_common_4!L52,recreation_v2_common_3!L52,recreation_v2_common_2!L52,recreation_v2_common_1!L52)/COUNT(recreation_v2_common_5!L52,recreation_v2_common_4!L52,recreation_v2_common_3!L52,recreation_v2_common_2!L52,recreation_v2_common_1!L52),0))</f>
        <v>1</v>
      </c>
      <c r="M52">
        <f>IF($D52=0,"NA",ROUND(SUM(recreation_v2_common_5!M52,recreation_v2_common_4!M52,recreation_v2_common_3!M52,recreation_v2_common_2!M52,recreation_v2_common_1!M52)/COUNT(recreation_v2_common_5!M52,recreation_v2_common_4!M52,recreation_v2_common_3!M52,recreation_v2_common_2!M52,recreation_v2_common_1!M52),0))</f>
        <v>1</v>
      </c>
      <c r="N52">
        <f>IF($D52=0,"NA",ROUND(SUM(recreation_v2_common_5!N52,recreation_v2_common_4!N52,recreation_v2_common_3!N52,recreation_v2_common_2!N52,recreation_v2_common_1!N52)/COUNT(recreation_v2_common_5!N52,recreation_v2_common_4!N52,recreation_v2_common_3!N52,recreation_v2_common_2!N52,recreation_v2_common_1!N52),0))</f>
        <v>1</v>
      </c>
    </row>
    <row r="53" spans="1:14" x14ac:dyDescent="0.25">
      <c r="A53" t="s">
        <v>89</v>
      </c>
      <c r="B53">
        <v>0</v>
      </c>
      <c r="C53">
        <v>10.064069032669069</v>
      </c>
      <c r="D53">
        <f>ROUND(SUM(recreation_v2_common_5!D53,recreation_v2_common_4!D53,recreation_v2_common_3!D53,recreation_v2_common_2!D53,recreation_v2_common_1!D53)/COUNT(recreation_v2_common_5!D53,recreation_v2_common_4!D53,recreation_v2_common_3!D53,recreation_v2_common_2!D53,recreation_v2_common_1!D53),0)</f>
        <v>1</v>
      </c>
      <c r="E53">
        <f>IF($D53=0,"NA",ROUND(SUM(recreation_v2_common_5!E53,recreation_v2_common_4!E53,recreation_v2_common_3!E53,recreation_v2_common_2!E53,recreation_v2_common_1!E53)/COUNT(recreation_v2_common_5!E53,recreation_v2_common_4!E53,recreation_v2_common_3!E53,recreation_v2_common_2!E53,recreation_v2_common_1!E53),0))</f>
        <v>1</v>
      </c>
      <c r="F53">
        <f>IF($D53=0,"NA",ROUND(SUM(recreation_v2_common_5!F53,recreation_v2_common_4!F53,recreation_v2_common_3!F53,recreation_v2_common_2!F53,recreation_v2_common_1!F53)/COUNT(recreation_v2_common_5!F53,recreation_v2_common_4!F53,recreation_v2_common_3!F53,recreation_v2_common_2!F53,recreation_v2_common_1!F53),0))</f>
        <v>1</v>
      </c>
      <c r="G53">
        <f>IF(AND(E53=1,F53=1),ROUND(SUM(recreation_v2_common_5!G53,recreation_v2_common_4!G53,recreation_v2_common_3!G53,recreation_v2_common_2!G53,recreation_v2_common_1!G53)/COUNT(recreation_v2_common_5!G53,recreation_v2_common_4!G53,recreation_v2_common_3!G53,recreation_v2_common_2!G53,recreation_v2_common_1!G53),0),"NA")</f>
        <v>1</v>
      </c>
      <c r="H53">
        <f>IF($D53=0,"NA",ROUND(SUM(recreation_v2_common_5!H53,recreation_v2_common_4!H53,recreation_v2_common_3!H53,recreation_v2_common_2!H53,recreation_v2_common_1!H53)/COUNT(recreation_v2_common_5!H53,recreation_v2_common_4!H53,recreation_v2_common_3!H53,recreation_v2_common_2!H53,recreation_v2_common_1!H53),0))</f>
        <v>1</v>
      </c>
      <c r="I53">
        <f>IF(E53=1,ROUND(SUM(recreation_v2_common_5!I53,recreation_v2_common_4!I53,recreation_v2_common_3!I53,recreation_v2_common_2!I53,recreation_v2_common_1!I53)/COUNT(recreation_v2_common_5!I53,recreation_v2_common_4!I53,recreation_v2_common_3!I53,recreation_v2_common_2!I53,recreation_v2_common_1!I53),0),"NA")</f>
        <v>1</v>
      </c>
      <c r="J53">
        <f>IF($D53=0,"NA",ROUND(SUM(recreation_v2_common_5!J53,recreation_v2_common_4!J53,recreation_v2_common_3!J53,recreation_v2_common_2!J53,recreation_v2_common_1!J53)/COUNT(recreation_v2_common_5!J53,recreation_v2_common_4!J53,recreation_v2_common_3!J53,recreation_v2_common_2!J53,recreation_v2_common_1!J53),0))</f>
        <v>1</v>
      </c>
      <c r="K53">
        <f>IF($D53=0,"NA",ROUND(SUM(recreation_v2_common_5!K53,recreation_v2_common_4!K53,recreation_v2_common_3!K53,recreation_v2_common_2!K53,recreation_v2_common_1!K53)/COUNT(recreation_v2_common_5!K53,recreation_v2_common_4!K53,recreation_v2_common_3!K53,recreation_v2_common_2!K53,recreation_v2_common_1!K53),0))</f>
        <v>1</v>
      </c>
      <c r="L53">
        <f>IF($D53=0,"NA",ROUND(SUM(recreation_v2_common_5!L53,recreation_v2_common_4!L53,recreation_v2_common_3!L53,recreation_v2_common_2!L53,recreation_v2_common_1!L53)/COUNT(recreation_v2_common_5!L53,recreation_v2_common_4!L53,recreation_v2_common_3!L53,recreation_v2_common_2!L53,recreation_v2_common_1!L53),0))</f>
        <v>1</v>
      </c>
      <c r="M53">
        <f>IF($D53=0,"NA",ROUND(SUM(recreation_v2_common_5!M53,recreation_v2_common_4!M53,recreation_v2_common_3!M53,recreation_v2_common_2!M53,recreation_v2_common_1!M53)/COUNT(recreation_v2_common_5!M53,recreation_v2_common_4!M53,recreation_v2_common_3!M53,recreation_v2_common_2!M53,recreation_v2_common_1!M53),0))</f>
        <v>1</v>
      </c>
      <c r="N53">
        <f>IF($D53=0,"NA",ROUND(SUM(recreation_v2_common_5!N53,recreation_v2_common_4!N53,recreation_v2_common_3!N53,recreation_v2_common_2!N53,recreation_v2_common_1!N53)/COUNT(recreation_v2_common_5!N53,recreation_v2_common_4!N53,recreation_v2_common_3!N53,recreation_v2_common_2!N53,recreation_v2_common_1!N53),0))</f>
        <v>1</v>
      </c>
    </row>
    <row r="54" spans="1:14" x14ac:dyDescent="0.25">
      <c r="A54" t="s">
        <v>90</v>
      </c>
      <c r="B54">
        <v>0</v>
      </c>
      <c r="C54">
        <v>9.5366339683532715</v>
      </c>
      <c r="D54">
        <f>ROUND(SUM(recreation_v2_common_5!D54,recreation_v2_common_4!D54,recreation_v2_common_3!D54,recreation_v2_common_2!D54,recreation_v2_common_1!D54)/COUNT(recreation_v2_common_5!D54,recreation_v2_common_4!D54,recreation_v2_common_3!D54,recreation_v2_common_2!D54,recreation_v2_common_1!D54),0)</f>
        <v>1</v>
      </c>
      <c r="E54">
        <f>IF($D54=0,"NA",ROUND(SUM(recreation_v2_common_5!E54,recreation_v2_common_4!E54,recreation_v2_common_3!E54,recreation_v2_common_2!E54,recreation_v2_common_1!E54)/COUNT(recreation_v2_common_5!E54,recreation_v2_common_4!E54,recreation_v2_common_3!E54,recreation_v2_common_2!E54,recreation_v2_common_1!E54),0))</f>
        <v>1</v>
      </c>
      <c r="F54">
        <f>IF($D54=0,"NA",ROUND(SUM(recreation_v2_common_5!F54,recreation_v2_common_4!F54,recreation_v2_common_3!F54,recreation_v2_common_2!F54,recreation_v2_common_1!F54)/COUNT(recreation_v2_common_5!F54,recreation_v2_common_4!F54,recreation_v2_common_3!F54,recreation_v2_common_2!F54,recreation_v2_common_1!F54),0))</f>
        <v>1</v>
      </c>
      <c r="G54">
        <f>IF(AND(E54=1,F54=1),ROUND(SUM(recreation_v2_common_5!G54,recreation_v2_common_4!G54,recreation_v2_common_3!G54,recreation_v2_common_2!G54,recreation_v2_common_1!G54)/COUNT(recreation_v2_common_5!G54,recreation_v2_common_4!G54,recreation_v2_common_3!G54,recreation_v2_common_2!G54,recreation_v2_common_1!G54),0),"NA")</f>
        <v>1</v>
      </c>
      <c r="H54">
        <f>IF($D54=0,"NA",ROUND(SUM(recreation_v2_common_5!H54,recreation_v2_common_4!H54,recreation_v2_common_3!H54,recreation_v2_common_2!H54,recreation_v2_common_1!H54)/COUNT(recreation_v2_common_5!H54,recreation_v2_common_4!H54,recreation_v2_common_3!H54,recreation_v2_common_2!H54,recreation_v2_common_1!H54),0))</f>
        <v>1</v>
      </c>
      <c r="I54">
        <f>IF(E54=1,ROUND(SUM(recreation_v2_common_5!I54,recreation_v2_common_4!I54,recreation_v2_common_3!I54,recreation_v2_common_2!I54,recreation_v2_common_1!I54)/COUNT(recreation_v2_common_5!I54,recreation_v2_common_4!I54,recreation_v2_common_3!I54,recreation_v2_common_2!I54,recreation_v2_common_1!I54),0),"NA")</f>
        <v>1</v>
      </c>
      <c r="J54">
        <f>IF($D54=0,"NA",ROUND(SUM(recreation_v2_common_5!J54,recreation_v2_common_4!J54,recreation_v2_common_3!J54,recreation_v2_common_2!J54,recreation_v2_common_1!J54)/COUNT(recreation_v2_common_5!J54,recreation_v2_common_4!J54,recreation_v2_common_3!J54,recreation_v2_common_2!J54,recreation_v2_common_1!J54),0))</f>
        <v>1</v>
      </c>
      <c r="K54">
        <f>IF($D54=0,"NA",ROUND(SUM(recreation_v2_common_5!K54,recreation_v2_common_4!K54,recreation_v2_common_3!K54,recreation_v2_common_2!K54,recreation_v2_common_1!K54)/COUNT(recreation_v2_common_5!K54,recreation_v2_common_4!K54,recreation_v2_common_3!K54,recreation_v2_common_2!K54,recreation_v2_common_1!K54),0))</f>
        <v>1</v>
      </c>
      <c r="L54">
        <f>IF($D54=0,"NA",ROUND(SUM(recreation_v2_common_5!L54,recreation_v2_common_4!L54,recreation_v2_common_3!L54,recreation_v2_common_2!L54,recreation_v2_common_1!L54)/COUNT(recreation_v2_common_5!L54,recreation_v2_common_4!L54,recreation_v2_common_3!L54,recreation_v2_common_2!L54,recreation_v2_common_1!L54),0))</f>
        <v>1</v>
      </c>
      <c r="M54">
        <f>IF($D54=0,"NA",ROUND(SUM(recreation_v2_common_5!M54,recreation_v2_common_4!M54,recreation_v2_common_3!M54,recreation_v2_common_2!M54,recreation_v2_common_1!M54)/COUNT(recreation_v2_common_5!M54,recreation_v2_common_4!M54,recreation_v2_common_3!M54,recreation_v2_common_2!M54,recreation_v2_common_1!M54),0))</f>
        <v>1</v>
      </c>
      <c r="N54">
        <f>IF($D54=0,"NA",ROUND(SUM(recreation_v2_common_5!N54,recreation_v2_common_4!N54,recreation_v2_common_3!N54,recreation_v2_common_2!N54,recreation_v2_common_1!N54)/COUNT(recreation_v2_common_5!N54,recreation_v2_common_4!N54,recreation_v2_common_3!N54,recreation_v2_common_2!N54,recreation_v2_common_1!N54),0))</f>
        <v>1</v>
      </c>
    </row>
    <row r="55" spans="1:14" x14ac:dyDescent="0.25">
      <c r="A55" t="s">
        <v>92</v>
      </c>
      <c r="B55">
        <v>0</v>
      </c>
      <c r="C55">
        <v>9.860816478729248</v>
      </c>
      <c r="D55">
        <f>ROUND(SUM(recreation_v2_common_5!D55,recreation_v2_common_4!D55,recreation_v2_common_3!D55,recreation_v2_common_2!D55,recreation_v2_common_1!D55)/COUNT(recreation_v2_common_5!D55,recreation_v2_common_4!D55,recreation_v2_common_3!D55,recreation_v2_common_2!D55,recreation_v2_common_1!D55),0)</f>
        <v>0</v>
      </c>
      <c r="E55" t="str">
        <f>IF($D55=0,"NA",ROUND(SUM(recreation_v2_common_5!E55,recreation_v2_common_4!E55,recreation_v2_common_3!E55,recreation_v2_common_2!E55,recreation_v2_common_1!E55)/COUNT(recreation_v2_common_5!E55,recreation_v2_common_4!E55,recreation_v2_common_3!E55,recreation_v2_common_2!E55,recreation_v2_common_1!E55),0))</f>
        <v>NA</v>
      </c>
      <c r="F55" t="str">
        <f>IF($D55=0,"NA",ROUND(SUM(recreation_v2_common_5!F55,recreation_v2_common_4!F55,recreation_v2_common_3!F55,recreation_v2_common_2!F55,recreation_v2_common_1!F55)/COUNT(recreation_v2_common_5!F55,recreation_v2_common_4!F55,recreation_v2_common_3!F55,recreation_v2_common_2!F55,recreation_v2_common_1!F55),0))</f>
        <v>NA</v>
      </c>
      <c r="G55" t="str">
        <f>IF(AND(E55=1,F55=1),ROUND(SUM(recreation_v2_common_5!G55,recreation_v2_common_4!G55,recreation_v2_common_3!G55,recreation_v2_common_2!G55,recreation_v2_common_1!G55)/COUNT(recreation_v2_common_5!G55,recreation_v2_common_4!G55,recreation_v2_common_3!G55,recreation_v2_common_2!G55,recreation_v2_common_1!G55),0),"NA")</f>
        <v>NA</v>
      </c>
      <c r="H55" t="str">
        <f>IF($D55=0,"NA",ROUND(SUM(recreation_v2_common_5!H55,recreation_v2_common_4!H55,recreation_v2_common_3!H55,recreation_v2_common_2!H55,recreation_v2_common_1!H55)/COUNT(recreation_v2_common_5!H55,recreation_v2_common_4!H55,recreation_v2_common_3!H55,recreation_v2_common_2!H55,recreation_v2_common_1!H55),0))</f>
        <v>NA</v>
      </c>
      <c r="I55" t="str">
        <f>IF(E55=1,ROUND(SUM(recreation_v2_common_5!I55,recreation_v2_common_4!I55,recreation_v2_common_3!I55,recreation_v2_common_2!I55,recreation_v2_common_1!I55)/COUNT(recreation_v2_common_5!I55,recreation_v2_common_4!I55,recreation_v2_common_3!I55,recreation_v2_common_2!I55,recreation_v2_common_1!I55),0),"NA")</f>
        <v>NA</v>
      </c>
      <c r="J55" t="str">
        <f>IF($D55=0,"NA",ROUND(SUM(recreation_v2_common_5!J55,recreation_v2_common_4!J55,recreation_v2_common_3!J55,recreation_v2_common_2!J55,recreation_v2_common_1!J55)/COUNT(recreation_v2_common_5!J55,recreation_v2_common_4!J55,recreation_v2_common_3!J55,recreation_v2_common_2!J55,recreation_v2_common_1!J55),0))</f>
        <v>NA</v>
      </c>
      <c r="K55" t="str">
        <f>IF($D55=0,"NA",ROUND(SUM(recreation_v2_common_5!K55,recreation_v2_common_4!K55,recreation_v2_common_3!K55,recreation_v2_common_2!K55,recreation_v2_common_1!K55)/COUNT(recreation_v2_common_5!K55,recreation_v2_common_4!K55,recreation_v2_common_3!K55,recreation_v2_common_2!K55,recreation_v2_common_1!K55),0))</f>
        <v>NA</v>
      </c>
      <c r="L55" t="str">
        <f>IF($D55=0,"NA",ROUND(SUM(recreation_v2_common_5!L55,recreation_v2_common_4!L55,recreation_v2_common_3!L55,recreation_v2_common_2!L55,recreation_v2_common_1!L55)/COUNT(recreation_v2_common_5!L55,recreation_v2_common_4!L55,recreation_v2_common_3!L55,recreation_v2_common_2!L55,recreation_v2_common_1!L55),0))</f>
        <v>NA</v>
      </c>
      <c r="M55" t="str">
        <f>IF($D55=0,"NA",ROUND(SUM(recreation_v2_common_5!M55,recreation_v2_common_4!M55,recreation_v2_common_3!M55,recreation_v2_common_2!M55,recreation_v2_common_1!M55)/COUNT(recreation_v2_common_5!M55,recreation_v2_common_4!M55,recreation_v2_common_3!M55,recreation_v2_common_2!M55,recreation_v2_common_1!M55),0))</f>
        <v>NA</v>
      </c>
      <c r="N55" t="str">
        <f>IF($D55=0,"NA",ROUND(SUM(recreation_v2_common_5!N55,recreation_v2_common_4!N55,recreation_v2_common_3!N55,recreation_v2_common_2!N55,recreation_v2_common_1!N55)/COUNT(recreation_v2_common_5!N55,recreation_v2_common_4!N55,recreation_v2_common_3!N55,recreation_v2_common_2!N55,recreation_v2_common_1!N55),0))</f>
        <v>NA</v>
      </c>
    </row>
    <row r="56" spans="1:14" x14ac:dyDescent="0.25">
      <c r="A56" t="s">
        <v>94</v>
      </c>
      <c r="B56">
        <v>0</v>
      </c>
      <c r="C56">
        <v>8.013153076171875</v>
      </c>
      <c r="D56">
        <f>ROUND(SUM(recreation_v2_common_5!D56,recreation_v2_common_4!D56,recreation_v2_common_3!D56,recreation_v2_common_2!D56,recreation_v2_common_1!D56)/COUNT(recreation_v2_common_5!D56,recreation_v2_common_4!D56,recreation_v2_common_3!D56,recreation_v2_common_2!D56,recreation_v2_common_1!D56),0)</f>
        <v>0</v>
      </c>
      <c r="E56" t="str">
        <f>IF($D56=0,"NA",ROUND(SUM(recreation_v2_common_5!E56,recreation_v2_common_4!E56,recreation_v2_common_3!E56,recreation_v2_common_2!E56,recreation_v2_common_1!E56)/COUNT(recreation_v2_common_5!E56,recreation_v2_common_4!E56,recreation_v2_common_3!E56,recreation_v2_common_2!E56,recreation_v2_common_1!E56),0))</f>
        <v>NA</v>
      </c>
      <c r="F56" t="str">
        <f>IF($D56=0,"NA",ROUND(SUM(recreation_v2_common_5!F56,recreation_v2_common_4!F56,recreation_v2_common_3!F56,recreation_v2_common_2!F56,recreation_v2_common_1!F56)/COUNT(recreation_v2_common_5!F56,recreation_v2_common_4!F56,recreation_v2_common_3!F56,recreation_v2_common_2!F56,recreation_v2_common_1!F56),0))</f>
        <v>NA</v>
      </c>
      <c r="G56" t="str">
        <f>IF(AND(E56=1,F56=1),ROUND(SUM(recreation_v2_common_5!G56,recreation_v2_common_4!G56,recreation_v2_common_3!G56,recreation_v2_common_2!G56,recreation_v2_common_1!G56)/COUNT(recreation_v2_common_5!G56,recreation_v2_common_4!G56,recreation_v2_common_3!G56,recreation_v2_common_2!G56,recreation_v2_common_1!G56),0),"NA")</f>
        <v>NA</v>
      </c>
      <c r="H56" t="str">
        <f>IF($D56=0,"NA",ROUND(SUM(recreation_v2_common_5!H56,recreation_v2_common_4!H56,recreation_v2_common_3!H56,recreation_v2_common_2!H56,recreation_v2_common_1!H56)/COUNT(recreation_v2_common_5!H56,recreation_v2_common_4!H56,recreation_v2_common_3!H56,recreation_v2_common_2!H56,recreation_v2_common_1!H56),0))</f>
        <v>NA</v>
      </c>
      <c r="I56" t="str">
        <f>IF(E56=1,ROUND(SUM(recreation_v2_common_5!I56,recreation_v2_common_4!I56,recreation_v2_common_3!I56,recreation_v2_common_2!I56,recreation_v2_common_1!I56)/COUNT(recreation_v2_common_5!I56,recreation_v2_common_4!I56,recreation_v2_common_3!I56,recreation_v2_common_2!I56,recreation_v2_common_1!I56),0),"NA")</f>
        <v>NA</v>
      </c>
      <c r="J56" t="str">
        <f>IF($D56=0,"NA",ROUND(SUM(recreation_v2_common_5!J56,recreation_v2_common_4!J56,recreation_v2_common_3!J56,recreation_v2_common_2!J56,recreation_v2_common_1!J56)/COUNT(recreation_v2_common_5!J56,recreation_v2_common_4!J56,recreation_v2_common_3!J56,recreation_v2_common_2!J56,recreation_v2_common_1!J56),0))</f>
        <v>NA</v>
      </c>
      <c r="K56" t="str">
        <f>IF($D56=0,"NA",ROUND(SUM(recreation_v2_common_5!K56,recreation_v2_common_4!K56,recreation_v2_common_3!K56,recreation_v2_common_2!K56,recreation_v2_common_1!K56)/COUNT(recreation_v2_common_5!K56,recreation_v2_common_4!K56,recreation_v2_common_3!K56,recreation_v2_common_2!K56,recreation_v2_common_1!K56),0))</f>
        <v>NA</v>
      </c>
      <c r="L56" t="str">
        <f>IF($D56=0,"NA",ROUND(SUM(recreation_v2_common_5!L56,recreation_v2_common_4!L56,recreation_v2_common_3!L56,recreation_v2_common_2!L56,recreation_v2_common_1!L56)/COUNT(recreation_v2_common_5!L56,recreation_v2_common_4!L56,recreation_v2_common_3!L56,recreation_v2_common_2!L56,recreation_v2_common_1!L56),0))</f>
        <v>NA</v>
      </c>
      <c r="M56" t="str">
        <f>IF($D56=0,"NA",ROUND(SUM(recreation_v2_common_5!M56,recreation_v2_common_4!M56,recreation_v2_common_3!M56,recreation_v2_common_2!M56,recreation_v2_common_1!M56)/COUNT(recreation_v2_common_5!M56,recreation_v2_common_4!M56,recreation_v2_common_3!M56,recreation_v2_common_2!M56,recreation_v2_common_1!M56),0))</f>
        <v>NA</v>
      </c>
      <c r="N56" t="str">
        <f>IF($D56=0,"NA",ROUND(SUM(recreation_v2_common_5!N56,recreation_v2_common_4!N56,recreation_v2_common_3!N56,recreation_v2_common_2!N56,recreation_v2_common_1!N56)/COUNT(recreation_v2_common_5!N56,recreation_v2_common_4!N56,recreation_v2_common_3!N56,recreation_v2_common_2!N56,recreation_v2_common_1!N56),0))</f>
        <v>NA</v>
      </c>
    </row>
    <row r="57" spans="1:14" x14ac:dyDescent="0.25">
      <c r="A57" t="s">
        <v>96</v>
      </c>
      <c r="B57">
        <v>0</v>
      </c>
      <c r="C57">
        <v>9.2638249397277832</v>
      </c>
      <c r="D57">
        <f>ROUND(SUM(recreation_v2_common_5!D57,recreation_v2_common_4!D57,recreation_v2_common_3!D57,recreation_v2_common_2!D57,recreation_v2_common_1!D57)/COUNT(recreation_v2_common_5!D57,recreation_v2_common_4!D57,recreation_v2_common_3!D57,recreation_v2_common_2!D57,recreation_v2_common_1!D57),0)</f>
        <v>1</v>
      </c>
      <c r="E57">
        <f>IF($D57=0,"NA",ROUND(SUM(recreation_v2_common_5!E57,recreation_v2_common_4!E57,recreation_v2_common_3!E57,recreation_v2_common_2!E57,recreation_v2_common_1!E57)/COUNT(recreation_v2_common_5!E57,recreation_v2_common_4!E57,recreation_v2_common_3!E57,recreation_v2_common_2!E57,recreation_v2_common_1!E57),0))</f>
        <v>1</v>
      </c>
      <c r="F57">
        <f>IF($D57=0,"NA",ROUND(SUM(recreation_v2_common_5!F57,recreation_v2_common_4!F57,recreation_v2_common_3!F57,recreation_v2_common_2!F57,recreation_v2_common_1!F57)/COUNT(recreation_v2_common_5!F57,recreation_v2_common_4!F57,recreation_v2_common_3!F57,recreation_v2_common_2!F57,recreation_v2_common_1!F57),0))</f>
        <v>1</v>
      </c>
      <c r="G57">
        <f>IF(AND(E57=1,F57=1),ROUND(SUM(recreation_v2_common_5!G57,recreation_v2_common_4!G57,recreation_v2_common_3!G57,recreation_v2_common_2!G57,recreation_v2_common_1!G57)/COUNT(recreation_v2_common_5!G57,recreation_v2_common_4!G57,recreation_v2_common_3!G57,recreation_v2_common_2!G57,recreation_v2_common_1!G57),0),"NA")</f>
        <v>1</v>
      </c>
      <c r="H57">
        <f>IF($D57=0,"NA",ROUND(SUM(recreation_v2_common_5!H57,recreation_v2_common_4!H57,recreation_v2_common_3!H57,recreation_v2_common_2!H57,recreation_v2_common_1!H57)/COUNT(recreation_v2_common_5!H57,recreation_v2_common_4!H57,recreation_v2_common_3!H57,recreation_v2_common_2!H57,recreation_v2_common_1!H57),0))</f>
        <v>1</v>
      </c>
      <c r="I57">
        <f>IF(E57=1,ROUND(SUM(recreation_v2_common_5!I57,recreation_v2_common_4!I57,recreation_v2_common_3!I57,recreation_v2_common_2!I57,recreation_v2_common_1!I57)/COUNT(recreation_v2_common_5!I57,recreation_v2_common_4!I57,recreation_v2_common_3!I57,recreation_v2_common_2!I57,recreation_v2_common_1!I57),0),"NA")</f>
        <v>1</v>
      </c>
      <c r="J57">
        <f>IF($D57=0,"NA",ROUND(SUM(recreation_v2_common_5!J57,recreation_v2_common_4!J57,recreation_v2_common_3!J57,recreation_v2_common_2!J57,recreation_v2_common_1!J57)/COUNT(recreation_v2_common_5!J57,recreation_v2_common_4!J57,recreation_v2_common_3!J57,recreation_v2_common_2!J57,recreation_v2_common_1!J57),0))</f>
        <v>1</v>
      </c>
      <c r="K57">
        <f>IF($D57=0,"NA",ROUND(SUM(recreation_v2_common_5!K57,recreation_v2_common_4!K57,recreation_v2_common_3!K57,recreation_v2_common_2!K57,recreation_v2_common_1!K57)/COUNT(recreation_v2_common_5!K57,recreation_v2_common_4!K57,recreation_v2_common_3!K57,recreation_v2_common_2!K57,recreation_v2_common_1!K57),0))</f>
        <v>1</v>
      </c>
      <c r="L57">
        <f>IF($D57=0,"NA",ROUND(SUM(recreation_v2_common_5!L57,recreation_v2_common_4!L57,recreation_v2_common_3!L57,recreation_v2_common_2!L57,recreation_v2_common_1!L57)/COUNT(recreation_v2_common_5!L57,recreation_v2_common_4!L57,recreation_v2_common_3!L57,recreation_v2_common_2!L57,recreation_v2_common_1!L57),0))</f>
        <v>1</v>
      </c>
      <c r="M57">
        <f>IF($D57=0,"NA",ROUND(SUM(recreation_v2_common_5!M57,recreation_v2_common_4!M57,recreation_v2_common_3!M57,recreation_v2_common_2!M57,recreation_v2_common_1!M57)/COUNT(recreation_v2_common_5!M57,recreation_v2_common_4!M57,recreation_v2_common_3!M57,recreation_v2_common_2!M57,recreation_v2_common_1!M57),0))</f>
        <v>1</v>
      </c>
      <c r="N57">
        <f>IF($D57=0,"NA",ROUND(SUM(recreation_v2_common_5!N57,recreation_v2_common_4!N57,recreation_v2_common_3!N57,recreation_v2_common_2!N57,recreation_v2_common_1!N57)/COUNT(recreation_v2_common_5!N57,recreation_v2_common_4!N57,recreation_v2_common_3!N57,recreation_v2_common_2!N57,recreation_v2_common_1!N57),0))</f>
        <v>1</v>
      </c>
    </row>
    <row r="58" spans="1:14" x14ac:dyDescent="0.25">
      <c r="A58" t="s">
        <v>97</v>
      </c>
      <c r="B58">
        <v>0</v>
      </c>
      <c r="C58">
        <v>10.46168088912964</v>
      </c>
      <c r="D58">
        <f>ROUND(SUM(recreation_v2_common_5!D58,recreation_v2_common_4!D58,recreation_v2_common_3!D58,recreation_v2_common_2!D58,recreation_v2_common_1!D58)/COUNT(recreation_v2_common_5!D58,recreation_v2_common_4!D58,recreation_v2_common_3!D58,recreation_v2_common_2!D58,recreation_v2_common_1!D58),0)</f>
        <v>1</v>
      </c>
      <c r="E58">
        <f>IF($D58=0,"NA",ROUND(SUM(recreation_v2_common_5!E58,recreation_v2_common_4!E58,recreation_v2_common_3!E58,recreation_v2_common_2!E58,recreation_v2_common_1!E58)/COUNT(recreation_v2_common_5!E58,recreation_v2_common_4!E58,recreation_v2_common_3!E58,recreation_v2_common_2!E58,recreation_v2_common_1!E58),0))</f>
        <v>1</v>
      </c>
      <c r="F58">
        <f>IF($D58=0,"NA",ROUND(SUM(recreation_v2_common_5!F58,recreation_v2_common_4!F58,recreation_v2_common_3!F58,recreation_v2_common_2!F58,recreation_v2_common_1!F58)/COUNT(recreation_v2_common_5!F58,recreation_v2_common_4!F58,recreation_v2_common_3!F58,recreation_v2_common_2!F58,recreation_v2_common_1!F58),0))</f>
        <v>1</v>
      </c>
      <c r="G58">
        <f>IF(AND(E58=1,F58=1),ROUND(SUM(recreation_v2_common_5!G58,recreation_v2_common_4!G58,recreation_v2_common_3!G58,recreation_v2_common_2!G58,recreation_v2_common_1!G58)/COUNT(recreation_v2_common_5!G58,recreation_v2_common_4!G58,recreation_v2_common_3!G58,recreation_v2_common_2!G58,recreation_v2_common_1!G58),0),"NA")</f>
        <v>1</v>
      </c>
      <c r="H58">
        <f>IF($D58=0,"NA",ROUND(SUM(recreation_v2_common_5!H58,recreation_v2_common_4!H58,recreation_v2_common_3!H58,recreation_v2_common_2!H58,recreation_v2_common_1!H58)/COUNT(recreation_v2_common_5!H58,recreation_v2_common_4!H58,recreation_v2_common_3!H58,recreation_v2_common_2!H58,recreation_v2_common_1!H58),0))</f>
        <v>1</v>
      </c>
      <c r="I58">
        <f>IF(E58=1,ROUND(SUM(recreation_v2_common_5!I58,recreation_v2_common_4!I58,recreation_v2_common_3!I58,recreation_v2_common_2!I58,recreation_v2_common_1!I58)/COUNT(recreation_v2_common_5!I58,recreation_v2_common_4!I58,recreation_v2_common_3!I58,recreation_v2_common_2!I58,recreation_v2_common_1!I58),0),"NA")</f>
        <v>1</v>
      </c>
      <c r="J58">
        <f>IF($D58=0,"NA",ROUND(SUM(recreation_v2_common_5!J58,recreation_v2_common_4!J58,recreation_v2_common_3!J58,recreation_v2_common_2!J58,recreation_v2_common_1!J58)/COUNT(recreation_v2_common_5!J58,recreation_v2_common_4!J58,recreation_v2_common_3!J58,recreation_v2_common_2!J58,recreation_v2_common_1!J58),0))</f>
        <v>1</v>
      </c>
      <c r="K58">
        <f>IF($D58=0,"NA",ROUND(SUM(recreation_v2_common_5!K58,recreation_v2_common_4!K58,recreation_v2_common_3!K58,recreation_v2_common_2!K58,recreation_v2_common_1!K58)/COUNT(recreation_v2_common_5!K58,recreation_v2_common_4!K58,recreation_v2_common_3!K58,recreation_v2_common_2!K58,recreation_v2_common_1!K58),0))</f>
        <v>1</v>
      </c>
      <c r="L58">
        <f>IF($D58=0,"NA",ROUND(SUM(recreation_v2_common_5!L58,recreation_v2_common_4!L58,recreation_v2_common_3!L58,recreation_v2_common_2!L58,recreation_v2_common_1!L58)/COUNT(recreation_v2_common_5!L58,recreation_v2_common_4!L58,recreation_v2_common_3!L58,recreation_v2_common_2!L58,recreation_v2_common_1!L58),0))</f>
        <v>0</v>
      </c>
      <c r="M58">
        <f>IF($D58=0,"NA",ROUND(SUM(recreation_v2_common_5!M58,recreation_v2_common_4!M58,recreation_v2_common_3!M58,recreation_v2_common_2!M58,recreation_v2_common_1!M58)/COUNT(recreation_v2_common_5!M58,recreation_v2_common_4!M58,recreation_v2_common_3!M58,recreation_v2_common_2!M58,recreation_v2_common_1!M58),0))</f>
        <v>1</v>
      </c>
      <c r="N58">
        <f>IF($D58=0,"NA",ROUND(SUM(recreation_v2_common_5!N58,recreation_v2_common_4!N58,recreation_v2_common_3!N58,recreation_v2_common_2!N58,recreation_v2_common_1!N58)/COUNT(recreation_v2_common_5!N58,recreation_v2_common_4!N58,recreation_v2_common_3!N58,recreation_v2_common_2!N58,recreation_v2_common_1!N58),0))</f>
        <v>1</v>
      </c>
    </row>
    <row r="59" spans="1:14" x14ac:dyDescent="0.25">
      <c r="A59" t="s">
        <v>98</v>
      </c>
      <c r="B59">
        <v>0</v>
      </c>
      <c r="C59">
        <v>9.4523539543151855</v>
      </c>
      <c r="D59">
        <f>ROUND(SUM(recreation_v2_common_5!D59,recreation_v2_common_4!D59,recreation_v2_common_3!D59,recreation_v2_common_2!D59,recreation_v2_common_1!D59)/COUNT(recreation_v2_common_5!D59,recreation_v2_common_4!D59,recreation_v2_common_3!D59,recreation_v2_common_2!D59,recreation_v2_common_1!D59),0)</f>
        <v>1</v>
      </c>
      <c r="E59">
        <f>IF($D59=0,"NA",ROUND(SUM(recreation_v2_common_5!E59,recreation_v2_common_4!E59,recreation_v2_common_3!E59,recreation_v2_common_2!E59,recreation_v2_common_1!E59)/COUNT(recreation_v2_common_5!E59,recreation_v2_common_4!E59,recreation_v2_common_3!E59,recreation_v2_common_2!E59,recreation_v2_common_1!E59),0))</f>
        <v>1</v>
      </c>
      <c r="F59">
        <f>IF($D59=0,"NA",ROUND(SUM(recreation_v2_common_5!F59,recreation_v2_common_4!F59,recreation_v2_common_3!F59,recreation_v2_common_2!F59,recreation_v2_common_1!F59)/COUNT(recreation_v2_common_5!F59,recreation_v2_common_4!F59,recreation_v2_common_3!F59,recreation_v2_common_2!F59,recreation_v2_common_1!F59),0))</f>
        <v>1</v>
      </c>
      <c r="G59">
        <f>IF(AND(E59=1,F59=1),ROUND(SUM(recreation_v2_common_5!G59,recreation_v2_common_4!G59,recreation_v2_common_3!G59,recreation_v2_common_2!G59,recreation_v2_common_1!G59)/COUNT(recreation_v2_common_5!G59,recreation_v2_common_4!G59,recreation_v2_common_3!G59,recreation_v2_common_2!G59,recreation_v2_common_1!G59),0),"NA")</f>
        <v>1</v>
      </c>
      <c r="H59">
        <f>IF($D59=0,"NA",ROUND(SUM(recreation_v2_common_5!H59,recreation_v2_common_4!H59,recreation_v2_common_3!H59,recreation_v2_common_2!H59,recreation_v2_common_1!H59)/COUNT(recreation_v2_common_5!H59,recreation_v2_common_4!H59,recreation_v2_common_3!H59,recreation_v2_common_2!H59,recreation_v2_common_1!H59),0))</f>
        <v>1</v>
      </c>
      <c r="I59">
        <f>IF(E59=1,ROUND(SUM(recreation_v2_common_5!I59,recreation_v2_common_4!I59,recreation_v2_common_3!I59,recreation_v2_common_2!I59,recreation_v2_common_1!I59)/COUNT(recreation_v2_common_5!I59,recreation_v2_common_4!I59,recreation_v2_common_3!I59,recreation_v2_common_2!I59,recreation_v2_common_1!I59),0),"NA")</f>
        <v>1</v>
      </c>
      <c r="J59">
        <f>IF($D59=0,"NA",ROUND(SUM(recreation_v2_common_5!J59,recreation_v2_common_4!J59,recreation_v2_common_3!J59,recreation_v2_common_2!J59,recreation_v2_common_1!J59)/COUNT(recreation_v2_common_5!J59,recreation_v2_common_4!J59,recreation_v2_common_3!J59,recreation_v2_common_2!J59,recreation_v2_common_1!J59),0))</f>
        <v>1</v>
      </c>
      <c r="K59">
        <f>IF($D59=0,"NA",ROUND(SUM(recreation_v2_common_5!K59,recreation_v2_common_4!K59,recreation_v2_common_3!K59,recreation_v2_common_2!K59,recreation_v2_common_1!K59)/COUNT(recreation_v2_common_5!K59,recreation_v2_common_4!K59,recreation_v2_common_3!K59,recreation_v2_common_2!K59,recreation_v2_common_1!K59),0))</f>
        <v>1</v>
      </c>
      <c r="L59">
        <f>IF($D59=0,"NA",ROUND(SUM(recreation_v2_common_5!L59,recreation_v2_common_4!L59,recreation_v2_common_3!L59,recreation_v2_common_2!L59,recreation_v2_common_1!L59)/COUNT(recreation_v2_common_5!L59,recreation_v2_common_4!L59,recreation_v2_common_3!L59,recreation_v2_common_2!L59,recreation_v2_common_1!L59),0))</f>
        <v>1</v>
      </c>
      <c r="M59">
        <f>IF($D59=0,"NA",ROUND(SUM(recreation_v2_common_5!M59,recreation_v2_common_4!M59,recreation_v2_common_3!M59,recreation_v2_common_2!M59,recreation_v2_common_1!M59)/COUNT(recreation_v2_common_5!M59,recreation_v2_common_4!M59,recreation_v2_common_3!M59,recreation_v2_common_2!M59,recreation_v2_common_1!M59),0))</f>
        <v>1</v>
      </c>
      <c r="N59">
        <f>IF($D59=0,"NA",ROUND(SUM(recreation_v2_common_5!N59,recreation_v2_common_4!N59,recreation_v2_common_3!N59,recreation_v2_common_2!N59,recreation_v2_common_1!N59)/COUNT(recreation_v2_common_5!N59,recreation_v2_common_4!N59,recreation_v2_common_3!N59,recreation_v2_common_2!N59,recreation_v2_common_1!N59),0))</f>
        <v>1</v>
      </c>
    </row>
    <row r="60" spans="1:14" x14ac:dyDescent="0.25">
      <c r="A60" t="s">
        <v>99</v>
      </c>
      <c r="B60">
        <v>0</v>
      </c>
      <c r="C60">
        <v>5.6482596397399902</v>
      </c>
      <c r="D60">
        <f>ROUND(SUM(recreation_v2_common_5!D60,recreation_v2_common_4!D60,recreation_v2_common_3!D60,recreation_v2_common_2!D60,recreation_v2_common_1!D60)/COUNT(recreation_v2_common_5!D60,recreation_v2_common_4!D60,recreation_v2_common_3!D60,recreation_v2_common_2!D60,recreation_v2_common_1!D60),0)</f>
        <v>1</v>
      </c>
      <c r="E60">
        <f>IF($D60=0,"NA",ROUND(SUM(recreation_v2_common_5!E60,recreation_v2_common_4!E60,recreation_v2_common_3!E60,recreation_v2_common_2!E60,recreation_v2_common_1!E60)/COUNT(recreation_v2_common_5!E60,recreation_v2_common_4!E60,recreation_v2_common_3!E60,recreation_v2_common_2!E60,recreation_v2_common_1!E60),0))</f>
        <v>0</v>
      </c>
      <c r="F60">
        <f>IF($D60=0,"NA",ROUND(SUM(recreation_v2_common_5!F60,recreation_v2_common_4!F60,recreation_v2_common_3!F60,recreation_v2_common_2!F60,recreation_v2_common_1!F60)/COUNT(recreation_v2_common_5!F60,recreation_v2_common_4!F60,recreation_v2_common_3!F60,recreation_v2_common_2!F60,recreation_v2_common_1!F60),0))</f>
        <v>1</v>
      </c>
      <c r="G60" t="str">
        <f>IF(AND(E60=1,F60=1),ROUND(SUM(recreation_v2_common_5!G60,recreation_v2_common_4!G60,recreation_v2_common_3!G60,recreation_v2_common_2!G60,recreation_v2_common_1!G60)/COUNT(recreation_v2_common_5!G60,recreation_v2_common_4!G60,recreation_v2_common_3!G60,recreation_v2_common_2!G60,recreation_v2_common_1!G60),0),"NA")</f>
        <v>NA</v>
      </c>
      <c r="H60">
        <f>IF($D60=0,"NA",ROUND(SUM(recreation_v2_common_5!H60,recreation_v2_common_4!H60,recreation_v2_common_3!H60,recreation_v2_common_2!H60,recreation_v2_common_1!H60)/COUNT(recreation_v2_common_5!H60,recreation_v2_common_4!H60,recreation_v2_common_3!H60,recreation_v2_common_2!H60,recreation_v2_common_1!H60),0))</f>
        <v>1</v>
      </c>
      <c r="I60" t="str">
        <f>IF(E60=1,ROUND(SUM(recreation_v2_common_5!I60,recreation_v2_common_4!I60,recreation_v2_common_3!I60,recreation_v2_common_2!I60,recreation_v2_common_1!I60)/COUNT(recreation_v2_common_5!I60,recreation_v2_common_4!I60,recreation_v2_common_3!I60,recreation_v2_common_2!I60,recreation_v2_common_1!I60),0),"NA")</f>
        <v>NA</v>
      </c>
      <c r="J60">
        <f>IF($D60=0,"NA",ROUND(SUM(recreation_v2_common_5!J60,recreation_v2_common_4!J60,recreation_v2_common_3!J60,recreation_v2_common_2!J60,recreation_v2_common_1!J60)/COUNT(recreation_v2_common_5!J60,recreation_v2_common_4!J60,recreation_v2_common_3!J60,recreation_v2_common_2!J60,recreation_v2_common_1!J60),0))</f>
        <v>1</v>
      </c>
      <c r="K60">
        <f>IF($D60=0,"NA",ROUND(SUM(recreation_v2_common_5!K60,recreation_v2_common_4!K60,recreation_v2_common_3!K60,recreation_v2_common_2!K60,recreation_v2_common_1!K60)/COUNT(recreation_v2_common_5!K60,recreation_v2_common_4!K60,recreation_v2_common_3!K60,recreation_v2_common_2!K60,recreation_v2_common_1!K60),0))</f>
        <v>1</v>
      </c>
      <c r="L60">
        <f>IF($D60=0,"NA",ROUND(SUM(recreation_v2_common_5!L60,recreation_v2_common_4!L60,recreation_v2_common_3!L60,recreation_v2_common_2!L60,recreation_v2_common_1!L60)/COUNT(recreation_v2_common_5!L60,recreation_v2_common_4!L60,recreation_v2_common_3!L60,recreation_v2_common_2!L60,recreation_v2_common_1!L60),0))</f>
        <v>1</v>
      </c>
      <c r="M60">
        <f>IF($D60=0,"NA",ROUND(SUM(recreation_v2_common_5!M60,recreation_v2_common_4!M60,recreation_v2_common_3!M60,recreation_v2_common_2!M60,recreation_v2_common_1!M60)/COUNT(recreation_v2_common_5!M60,recreation_v2_common_4!M60,recreation_v2_common_3!M60,recreation_v2_common_2!M60,recreation_v2_common_1!M60),0))</f>
        <v>1</v>
      </c>
      <c r="N60">
        <f>IF($D60=0,"NA",ROUND(SUM(recreation_v2_common_5!N60,recreation_v2_common_4!N60,recreation_v2_common_3!N60,recreation_v2_common_2!N60,recreation_v2_common_1!N60)/COUNT(recreation_v2_common_5!N60,recreation_v2_common_4!N60,recreation_v2_common_3!N60,recreation_v2_common_2!N60,recreation_v2_common_1!N60),0))</f>
        <v>1</v>
      </c>
    </row>
    <row r="61" spans="1:14" x14ac:dyDescent="0.25">
      <c r="A61" t="s">
        <v>101</v>
      </c>
      <c r="B61">
        <v>0</v>
      </c>
      <c r="C61">
        <v>12.01730155944824</v>
      </c>
      <c r="D61">
        <f>ROUND(SUM(recreation_v2_common_5!D61,recreation_v2_common_4!D61,recreation_v2_common_3!D61,recreation_v2_common_2!D61,recreation_v2_common_1!D61)/COUNT(recreation_v2_common_5!D61,recreation_v2_common_4!D61,recreation_v2_common_3!D61,recreation_v2_common_2!D61,recreation_v2_common_1!D61),0)</f>
        <v>1</v>
      </c>
      <c r="E61">
        <f>IF($D61=0,"NA",ROUND(SUM(recreation_v2_common_5!E61,recreation_v2_common_4!E61,recreation_v2_common_3!E61,recreation_v2_common_2!E61,recreation_v2_common_1!E61)/COUNT(recreation_v2_common_5!E61,recreation_v2_common_4!E61,recreation_v2_common_3!E61,recreation_v2_common_2!E61,recreation_v2_common_1!E61),0))</f>
        <v>1</v>
      </c>
      <c r="F61">
        <f>IF($D61=0,"NA",ROUND(SUM(recreation_v2_common_5!F61,recreation_v2_common_4!F61,recreation_v2_common_3!F61,recreation_v2_common_2!F61,recreation_v2_common_1!F61)/COUNT(recreation_v2_common_5!F61,recreation_v2_common_4!F61,recreation_v2_common_3!F61,recreation_v2_common_2!F61,recreation_v2_common_1!F61),0))</f>
        <v>1</v>
      </c>
      <c r="G61">
        <f>IF(AND(E61=1,F61=1),ROUND(SUM(recreation_v2_common_5!G61,recreation_v2_common_4!G61,recreation_v2_common_3!G61,recreation_v2_common_2!G61,recreation_v2_common_1!G61)/COUNT(recreation_v2_common_5!G61,recreation_v2_common_4!G61,recreation_v2_common_3!G61,recreation_v2_common_2!G61,recreation_v2_common_1!G61),0),"NA")</f>
        <v>1</v>
      </c>
      <c r="H61">
        <f>IF($D61=0,"NA",ROUND(SUM(recreation_v2_common_5!H61,recreation_v2_common_4!H61,recreation_v2_common_3!H61,recreation_v2_common_2!H61,recreation_v2_common_1!H61)/COUNT(recreation_v2_common_5!H61,recreation_v2_common_4!H61,recreation_v2_common_3!H61,recreation_v2_common_2!H61,recreation_v2_common_1!H61),0))</f>
        <v>1</v>
      </c>
      <c r="I61">
        <f>IF(E61=1,ROUND(SUM(recreation_v2_common_5!I61,recreation_v2_common_4!I61,recreation_v2_common_3!I61,recreation_v2_common_2!I61,recreation_v2_common_1!I61)/COUNT(recreation_v2_common_5!I61,recreation_v2_common_4!I61,recreation_v2_common_3!I61,recreation_v2_common_2!I61,recreation_v2_common_1!I61),0),"NA")</f>
        <v>0</v>
      </c>
      <c r="J61">
        <f>IF($D61=0,"NA",ROUND(SUM(recreation_v2_common_5!J61,recreation_v2_common_4!J61,recreation_v2_common_3!J61,recreation_v2_common_2!J61,recreation_v2_common_1!J61)/COUNT(recreation_v2_common_5!J61,recreation_v2_common_4!J61,recreation_v2_common_3!J61,recreation_v2_common_2!J61,recreation_v2_common_1!J61),0))</f>
        <v>1</v>
      </c>
      <c r="K61">
        <f>IF($D61=0,"NA",ROUND(SUM(recreation_v2_common_5!K61,recreation_v2_common_4!K61,recreation_v2_common_3!K61,recreation_v2_common_2!K61,recreation_v2_common_1!K61)/COUNT(recreation_v2_common_5!K61,recreation_v2_common_4!K61,recreation_v2_common_3!K61,recreation_v2_common_2!K61,recreation_v2_common_1!K61),0))</f>
        <v>1</v>
      </c>
      <c r="L61">
        <f>IF($D61=0,"NA",ROUND(SUM(recreation_v2_common_5!L61,recreation_v2_common_4!L61,recreation_v2_common_3!L61,recreation_v2_common_2!L61,recreation_v2_common_1!L61)/COUNT(recreation_v2_common_5!L61,recreation_v2_common_4!L61,recreation_v2_common_3!L61,recreation_v2_common_2!L61,recreation_v2_common_1!L61),0))</f>
        <v>1</v>
      </c>
      <c r="M61">
        <f>IF($D61=0,"NA",ROUND(SUM(recreation_v2_common_5!M61,recreation_v2_common_4!M61,recreation_v2_common_3!M61,recreation_v2_common_2!M61,recreation_v2_common_1!M61)/COUNT(recreation_v2_common_5!M61,recreation_v2_common_4!M61,recreation_v2_common_3!M61,recreation_v2_common_2!M61,recreation_v2_common_1!M61),0))</f>
        <v>1</v>
      </c>
      <c r="N61">
        <f>IF($D61=0,"NA",ROUND(SUM(recreation_v2_common_5!N61,recreation_v2_common_4!N61,recreation_v2_common_3!N61,recreation_v2_common_2!N61,recreation_v2_common_1!N61)/COUNT(recreation_v2_common_5!N61,recreation_v2_common_4!N61,recreation_v2_common_3!N61,recreation_v2_common_2!N61,recreation_v2_common_1!N61),0))</f>
        <v>1</v>
      </c>
    </row>
    <row r="62" spans="1:14" x14ac:dyDescent="0.25">
      <c r="A62" t="s">
        <v>103</v>
      </c>
      <c r="B62">
        <v>0</v>
      </c>
      <c r="C62">
        <v>8.5265669822692871</v>
      </c>
      <c r="D62">
        <f>ROUND(SUM(recreation_v2_common_5!D62,recreation_v2_common_4!D62,recreation_v2_common_3!D62,recreation_v2_common_2!D62,recreation_v2_common_1!D62)/COUNT(recreation_v2_common_5!D62,recreation_v2_common_4!D62,recreation_v2_common_3!D62,recreation_v2_common_2!D62,recreation_v2_common_1!D62),0)</f>
        <v>0</v>
      </c>
      <c r="E62" t="str">
        <f>IF($D62=0,"NA",ROUND(SUM(recreation_v2_common_5!E62,recreation_v2_common_4!E62,recreation_v2_common_3!E62,recreation_v2_common_2!E62,recreation_v2_common_1!E62)/COUNT(recreation_v2_common_5!E62,recreation_v2_common_4!E62,recreation_v2_common_3!E62,recreation_v2_common_2!E62,recreation_v2_common_1!E62),0))</f>
        <v>NA</v>
      </c>
      <c r="F62" t="str">
        <f>IF($D62=0,"NA",ROUND(SUM(recreation_v2_common_5!F62,recreation_v2_common_4!F62,recreation_v2_common_3!F62,recreation_v2_common_2!F62,recreation_v2_common_1!F62)/COUNT(recreation_v2_common_5!F62,recreation_v2_common_4!F62,recreation_v2_common_3!F62,recreation_v2_common_2!F62,recreation_v2_common_1!F62),0))</f>
        <v>NA</v>
      </c>
      <c r="G62" t="str">
        <f>IF(AND(E62=1,F62=1),ROUND(SUM(recreation_v2_common_5!G62,recreation_v2_common_4!G62,recreation_v2_common_3!G62,recreation_v2_common_2!G62,recreation_v2_common_1!G62)/COUNT(recreation_v2_common_5!G62,recreation_v2_common_4!G62,recreation_v2_common_3!G62,recreation_v2_common_2!G62,recreation_v2_common_1!G62),0),"NA")</f>
        <v>NA</v>
      </c>
      <c r="H62" t="str">
        <f>IF($D62=0,"NA",ROUND(SUM(recreation_v2_common_5!H62,recreation_v2_common_4!H62,recreation_v2_common_3!H62,recreation_v2_common_2!H62,recreation_v2_common_1!H62)/COUNT(recreation_v2_common_5!H62,recreation_v2_common_4!H62,recreation_v2_common_3!H62,recreation_v2_common_2!H62,recreation_v2_common_1!H62),0))</f>
        <v>NA</v>
      </c>
      <c r="I62" t="str">
        <f>IF(E62=1,ROUND(SUM(recreation_v2_common_5!I62,recreation_v2_common_4!I62,recreation_v2_common_3!I62,recreation_v2_common_2!I62,recreation_v2_common_1!I62)/COUNT(recreation_v2_common_5!I62,recreation_v2_common_4!I62,recreation_v2_common_3!I62,recreation_v2_common_2!I62,recreation_v2_common_1!I62),0),"NA")</f>
        <v>NA</v>
      </c>
      <c r="J62" t="str">
        <f>IF($D62=0,"NA",ROUND(SUM(recreation_v2_common_5!J62,recreation_v2_common_4!J62,recreation_v2_common_3!J62,recreation_v2_common_2!J62,recreation_v2_common_1!J62)/COUNT(recreation_v2_common_5!J62,recreation_v2_common_4!J62,recreation_v2_common_3!J62,recreation_v2_common_2!J62,recreation_v2_common_1!J62),0))</f>
        <v>NA</v>
      </c>
      <c r="K62" t="str">
        <f>IF($D62=0,"NA",ROUND(SUM(recreation_v2_common_5!K62,recreation_v2_common_4!K62,recreation_v2_common_3!K62,recreation_v2_common_2!K62,recreation_v2_common_1!K62)/COUNT(recreation_v2_common_5!K62,recreation_v2_common_4!K62,recreation_v2_common_3!K62,recreation_v2_common_2!K62,recreation_v2_common_1!K62),0))</f>
        <v>NA</v>
      </c>
      <c r="L62" t="str">
        <f>IF($D62=0,"NA",ROUND(SUM(recreation_v2_common_5!L62,recreation_v2_common_4!L62,recreation_v2_common_3!L62,recreation_v2_common_2!L62,recreation_v2_common_1!L62)/COUNT(recreation_v2_common_5!L62,recreation_v2_common_4!L62,recreation_v2_common_3!L62,recreation_v2_common_2!L62,recreation_v2_common_1!L62),0))</f>
        <v>NA</v>
      </c>
      <c r="M62" t="str">
        <f>IF($D62=0,"NA",ROUND(SUM(recreation_v2_common_5!M62,recreation_v2_common_4!M62,recreation_v2_common_3!M62,recreation_v2_common_2!M62,recreation_v2_common_1!M62)/COUNT(recreation_v2_common_5!M62,recreation_v2_common_4!M62,recreation_v2_common_3!M62,recreation_v2_common_2!M62,recreation_v2_common_1!M62),0))</f>
        <v>NA</v>
      </c>
      <c r="N62" t="str">
        <f>IF($D62=0,"NA",ROUND(SUM(recreation_v2_common_5!N62,recreation_v2_common_4!N62,recreation_v2_common_3!N62,recreation_v2_common_2!N62,recreation_v2_common_1!N62)/COUNT(recreation_v2_common_5!N62,recreation_v2_common_4!N62,recreation_v2_common_3!N62,recreation_v2_common_2!N62,recreation_v2_common_1!N62),0))</f>
        <v>NA</v>
      </c>
    </row>
    <row r="63" spans="1:14" x14ac:dyDescent="0.25">
      <c r="A63" t="s">
        <v>105</v>
      </c>
      <c r="B63">
        <v>0</v>
      </c>
      <c r="C63">
        <v>2.7190663814544682</v>
      </c>
      <c r="D63">
        <f>ROUND(SUM(recreation_v2_common_5!D63,recreation_v2_common_4!D63,recreation_v2_common_3!D63,recreation_v2_common_2!D63,recreation_v2_common_1!D63)/COUNT(recreation_v2_common_5!D63,recreation_v2_common_4!D63,recreation_v2_common_3!D63,recreation_v2_common_2!D63,recreation_v2_common_1!D63),0)</f>
        <v>1</v>
      </c>
      <c r="E63">
        <f>IF($D63=0,"NA",ROUND(SUM(recreation_v2_common_5!E63,recreation_v2_common_4!E63,recreation_v2_common_3!E63,recreation_v2_common_2!E63,recreation_v2_common_1!E63)/COUNT(recreation_v2_common_5!E63,recreation_v2_common_4!E63,recreation_v2_common_3!E63,recreation_v2_common_2!E63,recreation_v2_common_1!E63),0))</f>
        <v>1</v>
      </c>
      <c r="F63">
        <f>IF($D63=0,"NA",ROUND(SUM(recreation_v2_common_5!F63,recreation_v2_common_4!F63,recreation_v2_common_3!F63,recreation_v2_common_2!F63,recreation_v2_common_1!F63)/COUNT(recreation_v2_common_5!F63,recreation_v2_common_4!F63,recreation_v2_common_3!F63,recreation_v2_common_2!F63,recreation_v2_common_1!F63),0))</f>
        <v>1</v>
      </c>
      <c r="G63">
        <f>IF(AND(E63=1,F63=1),ROUND(SUM(recreation_v2_common_5!G63,recreation_v2_common_4!G63,recreation_v2_common_3!G63,recreation_v2_common_2!G63,recreation_v2_common_1!G63)/COUNT(recreation_v2_common_5!G63,recreation_v2_common_4!G63,recreation_v2_common_3!G63,recreation_v2_common_2!G63,recreation_v2_common_1!G63),0),"NA")</f>
        <v>1</v>
      </c>
      <c r="H63">
        <f>IF($D63=0,"NA",ROUND(SUM(recreation_v2_common_5!H63,recreation_v2_common_4!H63,recreation_v2_common_3!H63,recreation_v2_common_2!H63,recreation_v2_common_1!H63)/COUNT(recreation_v2_common_5!H63,recreation_v2_common_4!H63,recreation_v2_common_3!H63,recreation_v2_common_2!H63,recreation_v2_common_1!H63),0))</f>
        <v>1</v>
      </c>
      <c r="I63">
        <f>IF(E63=1,ROUND(SUM(recreation_v2_common_5!I63,recreation_v2_common_4!I63,recreation_v2_common_3!I63,recreation_v2_common_2!I63,recreation_v2_common_1!I63)/COUNT(recreation_v2_common_5!I63,recreation_v2_common_4!I63,recreation_v2_common_3!I63,recreation_v2_common_2!I63,recreation_v2_common_1!I63),0),"NA")</f>
        <v>1</v>
      </c>
      <c r="J63">
        <f>IF($D63=0,"NA",ROUND(SUM(recreation_v2_common_5!J63,recreation_v2_common_4!J63,recreation_v2_common_3!J63,recreation_v2_common_2!J63,recreation_v2_common_1!J63)/COUNT(recreation_v2_common_5!J63,recreation_v2_common_4!J63,recreation_v2_common_3!J63,recreation_v2_common_2!J63,recreation_v2_common_1!J63),0))</f>
        <v>1</v>
      </c>
      <c r="K63">
        <f>IF($D63=0,"NA",ROUND(SUM(recreation_v2_common_5!K63,recreation_v2_common_4!K63,recreation_v2_common_3!K63,recreation_v2_common_2!K63,recreation_v2_common_1!K63)/COUNT(recreation_v2_common_5!K63,recreation_v2_common_4!K63,recreation_v2_common_3!K63,recreation_v2_common_2!K63,recreation_v2_common_1!K63),0))</f>
        <v>1</v>
      </c>
      <c r="L63">
        <f>IF($D63=0,"NA",ROUND(SUM(recreation_v2_common_5!L63,recreation_v2_common_4!L63,recreation_v2_common_3!L63,recreation_v2_common_2!L63,recreation_v2_common_1!L63)/COUNT(recreation_v2_common_5!L63,recreation_v2_common_4!L63,recreation_v2_common_3!L63,recreation_v2_common_2!L63,recreation_v2_common_1!L63),0))</f>
        <v>1</v>
      </c>
      <c r="M63">
        <f>IF($D63=0,"NA",ROUND(SUM(recreation_v2_common_5!M63,recreation_v2_common_4!M63,recreation_v2_common_3!M63,recreation_v2_common_2!M63,recreation_v2_common_1!M63)/COUNT(recreation_v2_common_5!M63,recreation_v2_common_4!M63,recreation_v2_common_3!M63,recreation_v2_common_2!M63,recreation_v2_common_1!M63),0))</f>
        <v>1</v>
      </c>
      <c r="N63">
        <f>IF($D63=0,"NA",ROUND(SUM(recreation_v2_common_5!N63,recreation_v2_common_4!N63,recreation_v2_common_3!N63,recreation_v2_common_2!N63,recreation_v2_common_1!N63)/COUNT(recreation_v2_common_5!N63,recreation_v2_common_4!N63,recreation_v2_common_3!N63,recreation_v2_common_2!N63,recreation_v2_common_1!N63),0))</f>
        <v>1</v>
      </c>
    </row>
    <row r="64" spans="1:14" x14ac:dyDescent="0.25">
      <c r="A64" t="s">
        <v>106</v>
      </c>
      <c r="B64">
        <v>0</v>
      </c>
      <c r="C64">
        <v>2.717819452285767</v>
      </c>
      <c r="D64">
        <f>ROUND(SUM(recreation_v2_common_5!D64,recreation_v2_common_4!D64,recreation_v2_common_3!D64,recreation_v2_common_2!D64,recreation_v2_common_1!D64)/COUNT(recreation_v2_common_5!D64,recreation_v2_common_4!D64,recreation_v2_common_3!D64,recreation_v2_common_2!D64,recreation_v2_common_1!D64),0)</f>
        <v>1</v>
      </c>
      <c r="E64">
        <f>IF($D64=0,"NA",ROUND(SUM(recreation_v2_common_5!E64,recreation_v2_common_4!E64,recreation_v2_common_3!E64,recreation_v2_common_2!E64,recreation_v2_common_1!E64)/COUNT(recreation_v2_common_5!E64,recreation_v2_common_4!E64,recreation_v2_common_3!E64,recreation_v2_common_2!E64,recreation_v2_common_1!E64),0))</f>
        <v>1</v>
      </c>
      <c r="F64">
        <f>IF($D64=0,"NA",ROUND(SUM(recreation_v2_common_5!F64,recreation_v2_common_4!F64,recreation_v2_common_3!F64,recreation_v2_common_2!F64,recreation_v2_common_1!F64)/COUNT(recreation_v2_common_5!F64,recreation_v2_common_4!F64,recreation_v2_common_3!F64,recreation_v2_common_2!F64,recreation_v2_common_1!F64),0))</f>
        <v>1</v>
      </c>
      <c r="G64">
        <f>IF(AND(E64=1,F64=1),ROUND(SUM(recreation_v2_common_5!G64,recreation_v2_common_4!G64,recreation_v2_common_3!G64,recreation_v2_common_2!G64,recreation_v2_common_1!G64)/COUNT(recreation_v2_common_5!G64,recreation_v2_common_4!G64,recreation_v2_common_3!G64,recreation_v2_common_2!G64,recreation_v2_common_1!G64),0),"NA")</f>
        <v>1</v>
      </c>
      <c r="H64">
        <f>IF($D64=0,"NA",ROUND(SUM(recreation_v2_common_5!H64,recreation_v2_common_4!H64,recreation_v2_common_3!H64,recreation_v2_common_2!H64,recreation_v2_common_1!H64)/COUNT(recreation_v2_common_5!H64,recreation_v2_common_4!H64,recreation_v2_common_3!H64,recreation_v2_common_2!H64,recreation_v2_common_1!H64),0))</f>
        <v>1</v>
      </c>
      <c r="I64">
        <f>IF(E64=1,ROUND(SUM(recreation_v2_common_5!I64,recreation_v2_common_4!I64,recreation_v2_common_3!I64,recreation_v2_common_2!I64,recreation_v2_common_1!I64)/COUNT(recreation_v2_common_5!I64,recreation_v2_common_4!I64,recreation_v2_common_3!I64,recreation_v2_common_2!I64,recreation_v2_common_1!I64),0),"NA")</f>
        <v>1</v>
      </c>
      <c r="J64">
        <f>IF($D64=0,"NA",ROUND(SUM(recreation_v2_common_5!J64,recreation_v2_common_4!J64,recreation_v2_common_3!J64,recreation_v2_common_2!J64,recreation_v2_common_1!J64)/COUNT(recreation_v2_common_5!J64,recreation_v2_common_4!J64,recreation_v2_common_3!J64,recreation_v2_common_2!J64,recreation_v2_common_1!J64),0))</f>
        <v>1</v>
      </c>
      <c r="K64">
        <f>IF($D64=0,"NA",ROUND(SUM(recreation_v2_common_5!K64,recreation_v2_common_4!K64,recreation_v2_common_3!K64,recreation_v2_common_2!K64,recreation_v2_common_1!K64)/COUNT(recreation_v2_common_5!K64,recreation_v2_common_4!K64,recreation_v2_common_3!K64,recreation_v2_common_2!K64,recreation_v2_common_1!K64),0))</f>
        <v>1</v>
      </c>
      <c r="L64">
        <f>IF($D64=0,"NA",ROUND(SUM(recreation_v2_common_5!L64,recreation_v2_common_4!L64,recreation_v2_common_3!L64,recreation_v2_common_2!L64,recreation_v2_common_1!L64)/COUNT(recreation_v2_common_5!L64,recreation_v2_common_4!L64,recreation_v2_common_3!L64,recreation_v2_common_2!L64,recreation_v2_common_1!L64),0))</f>
        <v>1</v>
      </c>
      <c r="M64">
        <f>IF($D64=0,"NA",ROUND(SUM(recreation_v2_common_5!M64,recreation_v2_common_4!M64,recreation_v2_common_3!M64,recreation_v2_common_2!M64,recreation_v2_common_1!M64)/COUNT(recreation_v2_common_5!M64,recreation_v2_common_4!M64,recreation_v2_common_3!M64,recreation_v2_common_2!M64,recreation_v2_common_1!M64),0))</f>
        <v>1</v>
      </c>
      <c r="N64">
        <f>IF($D64=0,"NA",ROUND(SUM(recreation_v2_common_5!N64,recreation_v2_common_4!N64,recreation_v2_common_3!N64,recreation_v2_common_2!N64,recreation_v2_common_1!N64)/COUNT(recreation_v2_common_5!N64,recreation_v2_common_4!N64,recreation_v2_common_3!N64,recreation_v2_common_2!N64,recreation_v2_common_1!N64),0))</f>
        <v>1</v>
      </c>
    </row>
    <row r="65" spans="1:14" x14ac:dyDescent="0.25">
      <c r="A65" t="s">
        <v>108</v>
      </c>
      <c r="B65">
        <v>0</v>
      </c>
      <c r="C65">
        <v>5.1312341690063477</v>
      </c>
      <c r="D65">
        <f>ROUND(SUM(recreation_v2_common_5!D65,recreation_v2_common_4!D65,recreation_v2_common_3!D65,recreation_v2_common_2!D65,recreation_v2_common_1!D65)/COUNT(recreation_v2_common_5!D65,recreation_v2_common_4!D65,recreation_v2_common_3!D65,recreation_v2_common_2!D65,recreation_v2_common_1!D65),0)</f>
        <v>1</v>
      </c>
      <c r="E65">
        <f>IF($D65=0,"NA",ROUND(SUM(recreation_v2_common_5!E65,recreation_v2_common_4!E65,recreation_v2_common_3!E65,recreation_v2_common_2!E65,recreation_v2_common_1!E65)/COUNT(recreation_v2_common_5!E65,recreation_v2_common_4!E65,recreation_v2_common_3!E65,recreation_v2_common_2!E65,recreation_v2_common_1!E65),0))</f>
        <v>1</v>
      </c>
      <c r="F65">
        <f>IF($D65=0,"NA",ROUND(SUM(recreation_v2_common_5!F65,recreation_v2_common_4!F65,recreation_v2_common_3!F65,recreation_v2_common_2!F65,recreation_v2_common_1!F65)/COUNT(recreation_v2_common_5!F65,recreation_v2_common_4!F65,recreation_v2_common_3!F65,recreation_v2_common_2!F65,recreation_v2_common_1!F65),0))</f>
        <v>1</v>
      </c>
      <c r="G65">
        <f>IF(AND(E65=1,F65=1),ROUND(SUM(recreation_v2_common_5!G65,recreation_v2_common_4!G65,recreation_v2_common_3!G65,recreation_v2_common_2!G65,recreation_v2_common_1!G65)/COUNT(recreation_v2_common_5!G65,recreation_v2_common_4!G65,recreation_v2_common_3!G65,recreation_v2_common_2!G65,recreation_v2_common_1!G65),0),"NA")</f>
        <v>0</v>
      </c>
      <c r="H65">
        <f>IF($D65=0,"NA",ROUND(SUM(recreation_v2_common_5!H65,recreation_v2_common_4!H65,recreation_v2_common_3!H65,recreation_v2_common_2!H65,recreation_v2_common_1!H65)/COUNT(recreation_v2_common_5!H65,recreation_v2_common_4!H65,recreation_v2_common_3!H65,recreation_v2_common_2!H65,recreation_v2_common_1!H65),0))</f>
        <v>1</v>
      </c>
      <c r="I65">
        <f>IF(E65=1,ROUND(SUM(recreation_v2_common_5!I65,recreation_v2_common_4!I65,recreation_v2_common_3!I65,recreation_v2_common_2!I65,recreation_v2_common_1!I65)/COUNT(recreation_v2_common_5!I65,recreation_v2_common_4!I65,recreation_v2_common_3!I65,recreation_v2_common_2!I65,recreation_v2_common_1!I65),0),"NA")</f>
        <v>1</v>
      </c>
      <c r="J65">
        <f>IF($D65=0,"NA",ROUND(SUM(recreation_v2_common_5!J65,recreation_v2_common_4!J65,recreation_v2_common_3!J65,recreation_v2_common_2!J65,recreation_v2_common_1!J65)/COUNT(recreation_v2_common_5!J65,recreation_v2_common_4!J65,recreation_v2_common_3!J65,recreation_v2_common_2!J65,recreation_v2_common_1!J65),0))</f>
        <v>1</v>
      </c>
      <c r="K65">
        <f>IF($D65=0,"NA",ROUND(SUM(recreation_v2_common_5!K65,recreation_v2_common_4!K65,recreation_v2_common_3!K65,recreation_v2_common_2!K65,recreation_v2_common_1!K65)/COUNT(recreation_v2_common_5!K65,recreation_v2_common_4!K65,recreation_v2_common_3!K65,recreation_v2_common_2!K65,recreation_v2_common_1!K65),0))</f>
        <v>1</v>
      </c>
      <c r="L65">
        <f>IF($D65=0,"NA",ROUND(SUM(recreation_v2_common_5!L65,recreation_v2_common_4!L65,recreation_v2_common_3!L65,recreation_v2_common_2!L65,recreation_v2_common_1!L65)/COUNT(recreation_v2_common_5!L65,recreation_v2_common_4!L65,recreation_v2_common_3!L65,recreation_v2_common_2!L65,recreation_v2_common_1!L65),0))</f>
        <v>1</v>
      </c>
      <c r="M65">
        <f>IF($D65=0,"NA",ROUND(SUM(recreation_v2_common_5!M65,recreation_v2_common_4!M65,recreation_v2_common_3!M65,recreation_v2_common_2!M65,recreation_v2_common_1!M65)/COUNT(recreation_v2_common_5!M65,recreation_v2_common_4!M65,recreation_v2_common_3!M65,recreation_v2_common_2!M65,recreation_v2_common_1!M65),0))</f>
        <v>1</v>
      </c>
      <c r="N65">
        <f>IF($D65=0,"NA",ROUND(SUM(recreation_v2_common_5!N65,recreation_v2_common_4!N65,recreation_v2_common_3!N65,recreation_v2_common_2!N65,recreation_v2_common_1!N65)/COUNT(recreation_v2_common_5!N65,recreation_v2_common_4!N65,recreation_v2_common_3!N65,recreation_v2_common_2!N65,recreation_v2_common_1!N65),0))</f>
        <v>1</v>
      </c>
    </row>
    <row r="66" spans="1:14" x14ac:dyDescent="0.25">
      <c r="A66" t="s">
        <v>110</v>
      </c>
      <c r="B66">
        <v>0</v>
      </c>
      <c r="C66">
        <v>7.1961793899536133</v>
      </c>
      <c r="D66">
        <f>ROUND(SUM(recreation_v2_common_5!D66,recreation_v2_common_4!D66,recreation_v2_common_3!D66,recreation_v2_common_2!D66,recreation_v2_common_1!D66)/COUNT(recreation_v2_common_5!D66,recreation_v2_common_4!D66,recreation_v2_common_3!D66,recreation_v2_common_2!D66,recreation_v2_common_1!D66),0)</f>
        <v>0</v>
      </c>
      <c r="E66" t="str">
        <f>IF($D66=0,"NA",ROUND(SUM(recreation_v2_common_5!E66,recreation_v2_common_4!E66,recreation_v2_common_3!E66,recreation_v2_common_2!E66,recreation_v2_common_1!E66)/COUNT(recreation_v2_common_5!E66,recreation_v2_common_4!E66,recreation_v2_common_3!E66,recreation_v2_common_2!E66,recreation_v2_common_1!E66),0))</f>
        <v>NA</v>
      </c>
      <c r="F66" t="str">
        <f>IF($D66=0,"NA",ROUND(SUM(recreation_v2_common_5!F66,recreation_v2_common_4!F66,recreation_v2_common_3!F66,recreation_v2_common_2!F66,recreation_v2_common_1!F66)/COUNT(recreation_v2_common_5!F66,recreation_v2_common_4!F66,recreation_v2_common_3!F66,recreation_v2_common_2!F66,recreation_v2_common_1!F66),0))</f>
        <v>NA</v>
      </c>
      <c r="G66" t="str">
        <f>IF(AND(E66=1,F66=1),ROUND(SUM(recreation_v2_common_5!G66,recreation_v2_common_4!G66,recreation_v2_common_3!G66,recreation_v2_common_2!G66,recreation_v2_common_1!G66)/COUNT(recreation_v2_common_5!G66,recreation_v2_common_4!G66,recreation_v2_common_3!G66,recreation_v2_common_2!G66,recreation_v2_common_1!G66),0),"NA")</f>
        <v>NA</v>
      </c>
      <c r="H66" t="str">
        <f>IF($D66=0,"NA",ROUND(SUM(recreation_v2_common_5!H66,recreation_v2_common_4!H66,recreation_v2_common_3!H66,recreation_v2_common_2!H66,recreation_v2_common_1!H66)/COUNT(recreation_v2_common_5!H66,recreation_v2_common_4!H66,recreation_v2_common_3!H66,recreation_v2_common_2!H66,recreation_v2_common_1!H66),0))</f>
        <v>NA</v>
      </c>
      <c r="I66" t="str">
        <f>IF(E66=1,ROUND(SUM(recreation_v2_common_5!I66,recreation_v2_common_4!I66,recreation_v2_common_3!I66,recreation_v2_common_2!I66,recreation_v2_common_1!I66)/COUNT(recreation_v2_common_5!I66,recreation_v2_common_4!I66,recreation_v2_common_3!I66,recreation_v2_common_2!I66,recreation_v2_common_1!I66),0),"NA")</f>
        <v>NA</v>
      </c>
      <c r="J66" t="str">
        <f>IF($D66=0,"NA",ROUND(SUM(recreation_v2_common_5!J66,recreation_v2_common_4!J66,recreation_v2_common_3!J66,recreation_v2_common_2!J66,recreation_v2_common_1!J66)/COUNT(recreation_v2_common_5!J66,recreation_v2_common_4!J66,recreation_v2_common_3!J66,recreation_v2_common_2!J66,recreation_v2_common_1!J66),0))</f>
        <v>NA</v>
      </c>
      <c r="K66" t="str">
        <f>IF($D66=0,"NA",ROUND(SUM(recreation_v2_common_5!K66,recreation_v2_common_4!K66,recreation_v2_common_3!K66,recreation_v2_common_2!K66,recreation_v2_common_1!K66)/COUNT(recreation_v2_common_5!K66,recreation_v2_common_4!K66,recreation_v2_common_3!K66,recreation_v2_common_2!K66,recreation_v2_common_1!K66),0))</f>
        <v>NA</v>
      </c>
      <c r="L66" t="str">
        <f>IF($D66=0,"NA",ROUND(SUM(recreation_v2_common_5!L66,recreation_v2_common_4!L66,recreation_v2_common_3!L66,recreation_v2_common_2!L66,recreation_v2_common_1!L66)/COUNT(recreation_v2_common_5!L66,recreation_v2_common_4!L66,recreation_v2_common_3!L66,recreation_v2_common_2!L66,recreation_v2_common_1!L66),0))</f>
        <v>NA</v>
      </c>
      <c r="M66" t="str">
        <f>IF($D66=0,"NA",ROUND(SUM(recreation_v2_common_5!M66,recreation_v2_common_4!M66,recreation_v2_common_3!M66,recreation_v2_common_2!M66,recreation_v2_common_1!M66)/COUNT(recreation_v2_common_5!M66,recreation_v2_common_4!M66,recreation_v2_common_3!M66,recreation_v2_common_2!M66,recreation_v2_common_1!M66),0))</f>
        <v>NA</v>
      </c>
      <c r="N66" t="str">
        <f>IF($D66=0,"NA",ROUND(SUM(recreation_v2_common_5!N66,recreation_v2_common_4!N66,recreation_v2_common_3!N66,recreation_v2_common_2!N66,recreation_v2_common_1!N66)/COUNT(recreation_v2_common_5!N66,recreation_v2_common_4!N66,recreation_v2_common_3!N66,recreation_v2_common_2!N66,recreation_v2_common_1!N66),0))</f>
        <v>NA</v>
      </c>
    </row>
    <row r="67" spans="1:14" x14ac:dyDescent="0.25">
      <c r="A67" t="s">
        <v>112</v>
      </c>
      <c r="B67">
        <v>0</v>
      </c>
      <c r="C67">
        <v>10.71498274803162</v>
      </c>
      <c r="D67">
        <f>ROUND(SUM(recreation_v2_common_5!D67,recreation_v2_common_4!D67,recreation_v2_common_3!D67,recreation_v2_common_2!D67,recreation_v2_common_1!D67)/COUNT(recreation_v2_common_5!D67,recreation_v2_common_4!D67,recreation_v2_common_3!D67,recreation_v2_common_2!D67,recreation_v2_common_1!D67),0)</f>
        <v>1</v>
      </c>
      <c r="E67">
        <f>IF($D67=0,"NA",ROUND(SUM(recreation_v2_common_5!E67,recreation_v2_common_4!E67,recreation_v2_common_3!E67,recreation_v2_common_2!E67,recreation_v2_common_1!E67)/COUNT(recreation_v2_common_5!E67,recreation_v2_common_4!E67,recreation_v2_common_3!E67,recreation_v2_common_2!E67,recreation_v2_common_1!E67),0))</f>
        <v>1</v>
      </c>
      <c r="F67">
        <f>IF($D67=0,"NA",ROUND(SUM(recreation_v2_common_5!F67,recreation_v2_common_4!F67,recreation_v2_common_3!F67,recreation_v2_common_2!F67,recreation_v2_common_1!F67)/COUNT(recreation_v2_common_5!F67,recreation_v2_common_4!F67,recreation_v2_common_3!F67,recreation_v2_common_2!F67,recreation_v2_common_1!F67),0))</f>
        <v>0</v>
      </c>
      <c r="G67" t="str">
        <f>IF(AND(E67=1,F67=1),ROUND(SUM(recreation_v2_common_5!G67,recreation_v2_common_4!G67,recreation_v2_common_3!G67,recreation_v2_common_2!G67,recreation_v2_common_1!G67)/COUNT(recreation_v2_common_5!G67,recreation_v2_common_4!G67,recreation_v2_common_3!G67,recreation_v2_common_2!G67,recreation_v2_common_1!G67),0),"NA")</f>
        <v>NA</v>
      </c>
      <c r="H67">
        <f>IF($D67=0,"NA",ROUND(SUM(recreation_v2_common_5!H67,recreation_v2_common_4!H67,recreation_v2_common_3!H67,recreation_v2_common_2!H67,recreation_v2_common_1!H67)/COUNT(recreation_v2_common_5!H67,recreation_v2_common_4!H67,recreation_v2_common_3!H67,recreation_v2_common_2!H67,recreation_v2_common_1!H67),0))</f>
        <v>1</v>
      </c>
      <c r="I67">
        <f>IF(E67=1,ROUND(SUM(recreation_v2_common_5!I67,recreation_v2_common_4!I67,recreation_v2_common_3!I67,recreation_v2_common_2!I67,recreation_v2_common_1!I67)/COUNT(recreation_v2_common_5!I67,recreation_v2_common_4!I67,recreation_v2_common_3!I67,recreation_v2_common_2!I67,recreation_v2_common_1!I67),0),"NA")</f>
        <v>1</v>
      </c>
      <c r="J67">
        <f>IF($D67=0,"NA",ROUND(SUM(recreation_v2_common_5!J67,recreation_v2_common_4!J67,recreation_v2_common_3!J67,recreation_v2_common_2!J67,recreation_v2_common_1!J67)/COUNT(recreation_v2_common_5!J67,recreation_v2_common_4!J67,recreation_v2_common_3!J67,recreation_v2_common_2!J67,recreation_v2_common_1!J67),0))</f>
        <v>1</v>
      </c>
      <c r="K67">
        <f>IF($D67=0,"NA",ROUND(SUM(recreation_v2_common_5!K67,recreation_v2_common_4!K67,recreation_v2_common_3!K67,recreation_v2_common_2!K67,recreation_v2_common_1!K67)/COUNT(recreation_v2_common_5!K67,recreation_v2_common_4!K67,recreation_v2_common_3!K67,recreation_v2_common_2!K67,recreation_v2_common_1!K67),0))</f>
        <v>1</v>
      </c>
      <c r="L67">
        <f>IF($D67=0,"NA",ROUND(SUM(recreation_v2_common_5!L67,recreation_v2_common_4!L67,recreation_v2_common_3!L67,recreation_v2_common_2!L67,recreation_v2_common_1!L67)/COUNT(recreation_v2_common_5!L67,recreation_v2_common_4!L67,recreation_v2_common_3!L67,recreation_v2_common_2!L67,recreation_v2_common_1!L67),0))</f>
        <v>1</v>
      </c>
      <c r="M67">
        <f>IF($D67=0,"NA",ROUND(SUM(recreation_v2_common_5!M67,recreation_v2_common_4!M67,recreation_v2_common_3!M67,recreation_v2_common_2!M67,recreation_v2_common_1!M67)/COUNT(recreation_v2_common_5!M67,recreation_v2_common_4!M67,recreation_v2_common_3!M67,recreation_v2_common_2!M67,recreation_v2_common_1!M67),0))</f>
        <v>1</v>
      </c>
      <c r="N67">
        <f>IF($D67=0,"NA",ROUND(SUM(recreation_v2_common_5!N67,recreation_v2_common_4!N67,recreation_v2_common_3!N67,recreation_v2_common_2!N67,recreation_v2_common_1!N67)/COUNT(recreation_v2_common_5!N67,recreation_v2_common_4!N67,recreation_v2_common_3!N67,recreation_v2_common_2!N67,recreation_v2_common_1!N67),0))</f>
        <v>1</v>
      </c>
    </row>
    <row r="68" spans="1:14" x14ac:dyDescent="0.25">
      <c r="A68" t="s">
        <v>114</v>
      </c>
      <c r="B68">
        <v>0</v>
      </c>
      <c r="C68">
        <v>10.79257035255432</v>
      </c>
      <c r="D68">
        <f>ROUND(SUM(recreation_v2_common_5!D68,recreation_v2_common_4!D68,recreation_v2_common_3!D68,recreation_v2_common_2!D68,recreation_v2_common_1!D68)/COUNT(recreation_v2_common_5!D68,recreation_v2_common_4!D68,recreation_v2_common_3!D68,recreation_v2_common_2!D68,recreation_v2_common_1!D68),0)</f>
        <v>1</v>
      </c>
      <c r="E68">
        <f>IF($D68=0,"NA",ROUND(SUM(recreation_v2_common_5!E68,recreation_v2_common_4!E68,recreation_v2_common_3!E68,recreation_v2_common_2!E68,recreation_v2_common_1!E68)/COUNT(recreation_v2_common_5!E68,recreation_v2_common_4!E68,recreation_v2_common_3!E68,recreation_v2_common_2!E68,recreation_v2_common_1!E68),0))</f>
        <v>1</v>
      </c>
      <c r="F68">
        <f>IF($D68=0,"NA",ROUND(SUM(recreation_v2_common_5!F68,recreation_v2_common_4!F68,recreation_v2_common_3!F68,recreation_v2_common_2!F68,recreation_v2_common_1!F68)/COUNT(recreation_v2_common_5!F68,recreation_v2_common_4!F68,recreation_v2_common_3!F68,recreation_v2_common_2!F68,recreation_v2_common_1!F68),0))</f>
        <v>1</v>
      </c>
      <c r="G68">
        <f>IF(AND(E68=1,F68=1),ROUND(SUM(recreation_v2_common_5!G68,recreation_v2_common_4!G68,recreation_v2_common_3!G68,recreation_v2_common_2!G68,recreation_v2_common_1!G68)/COUNT(recreation_v2_common_5!G68,recreation_v2_common_4!G68,recreation_v2_common_3!G68,recreation_v2_common_2!G68,recreation_v2_common_1!G68),0),"NA")</f>
        <v>1</v>
      </c>
      <c r="H68">
        <f>IF($D68=0,"NA",ROUND(SUM(recreation_v2_common_5!H68,recreation_v2_common_4!H68,recreation_v2_common_3!H68,recreation_v2_common_2!H68,recreation_v2_common_1!H68)/COUNT(recreation_v2_common_5!H68,recreation_v2_common_4!H68,recreation_v2_common_3!H68,recreation_v2_common_2!H68,recreation_v2_common_1!H68),0))</f>
        <v>1</v>
      </c>
      <c r="I68">
        <f>IF(E68=1,ROUND(SUM(recreation_v2_common_5!I68,recreation_v2_common_4!I68,recreation_v2_common_3!I68,recreation_v2_common_2!I68,recreation_v2_common_1!I68)/COUNT(recreation_v2_common_5!I68,recreation_v2_common_4!I68,recreation_v2_common_3!I68,recreation_v2_common_2!I68,recreation_v2_common_1!I68),0),"NA")</f>
        <v>1</v>
      </c>
      <c r="J68">
        <f>IF($D68=0,"NA",ROUND(SUM(recreation_v2_common_5!J68,recreation_v2_common_4!J68,recreation_v2_common_3!J68,recreation_v2_common_2!J68,recreation_v2_common_1!J68)/COUNT(recreation_v2_common_5!J68,recreation_v2_common_4!J68,recreation_v2_common_3!J68,recreation_v2_common_2!J68,recreation_v2_common_1!J68),0))</f>
        <v>1</v>
      </c>
      <c r="K68">
        <f>IF($D68=0,"NA",ROUND(SUM(recreation_v2_common_5!K68,recreation_v2_common_4!K68,recreation_v2_common_3!K68,recreation_v2_common_2!K68,recreation_v2_common_1!K68)/COUNT(recreation_v2_common_5!K68,recreation_v2_common_4!K68,recreation_v2_common_3!K68,recreation_v2_common_2!K68,recreation_v2_common_1!K68),0))</f>
        <v>1</v>
      </c>
      <c r="L68">
        <f>IF($D68=0,"NA",ROUND(SUM(recreation_v2_common_5!L68,recreation_v2_common_4!L68,recreation_v2_common_3!L68,recreation_v2_common_2!L68,recreation_v2_common_1!L68)/COUNT(recreation_v2_common_5!L68,recreation_v2_common_4!L68,recreation_v2_common_3!L68,recreation_v2_common_2!L68,recreation_v2_common_1!L68),0))</f>
        <v>1</v>
      </c>
      <c r="M68">
        <f>IF($D68=0,"NA",ROUND(SUM(recreation_v2_common_5!M68,recreation_v2_common_4!M68,recreation_v2_common_3!M68,recreation_v2_common_2!M68,recreation_v2_common_1!M68)/COUNT(recreation_v2_common_5!M68,recreation_v2_common_4!M68,recreation_v2_common_3!M68,recreation_v2_common_2!M68,recreation_v2_common_1!M68),0))</f>
        <v>1</v>
      </c>
      <c r="N68">
        <f>IF($D68=0,"NA",ROUND(SUM(recreation_v2_common_5!N68,recreation_v2_common_4!N68,recreation_v2_common_3!N68,recreation_v2_common_2!N68,recreation_v2_common_1!N68)/COUNT(recreation_v2_common_5!N68,recreation_v2_common_4!N68,recreation_v2_common_3!N68,recreation_v2_common_2!N68,recreation_v2_common_1!N68),0))</f>
        <v>1</v>
      </c>
    </row>
    <row r="69" spans="1:14" x14ac:dyDescent="0.25">
      <c r="A69" t="s">
        <v>115</v>
      </c>
      <c r="B69">
        <v>0</v>
      </c>
      <c r="C69">
        <v>2.7335472106933589</v>
      </c>
      <c r="D69">
        <f>ROUND(SUM(recreation_v2_common_5!D69,recreation_v2_common_4!D69,recreation_v2_common_3!D69,recreation_v2_common_2!D69,recreation_v2_common_1!D69)/COUNT(recreation_v2_common_5!D69,recreation_v2_common_4!D69,recreation_v2_common_3!D69,recreation_v2_common_2!D69,recreation_v2_common_1!D69),0)</f>
        <v>1</v>
      </c>
      <c r="E69">
        <f>IF($D69=0,"NA",ROUND(SUM(recreation_v2_common_5!E69,recreation_v2_common_4!E69,recreation_v2_common_3!E69,recreation_v2_common_2!E69,recreation_v2_common_1!E69)/COUNT(recreation_v2_common_5!E69,recreation_v2_common_4!E69,recreation_v2_common_3!E69,recreation_v2_common_2!E69,recreation_v2_common_1!E69),0))</f>
        <v>1</v>
      </c>
      <c r="F69">
        <f>IF($D69=0,"NA",ROUND(SUM(recreation_v2_common_5!F69,recreation_v2_common_4!F69,recreation_v2_common_3!F69,recreation_v2_common_2!F69,recreation_v2_common_1!F69)/COUNT(recreation_v2_common_5!F69,recreation_v2_common_4!F69,recreation_v2_common_3!F69,recreation_v2_common_2!F69,recreation_v2_common_1!F69),0))</f>
        <v>1</v>
      </c>
      <c r="G69">
        <f>IF(AND(E69=1,F69=1),ROUND(SUM(recreation_v2_common_5!G69,recreation_v2_common_4!G69,recreation_v2_common_3!G69,recreation_v2_common_2!G69,recreation_v2_common_1!G69)/COUNT(recreation_v2_common_5!G69,recreation_v2_common_4!G69,recreation_v2_common_3!G69,recreation_v2_common_2!G69,recreation_v2_common_1!G69),0),"NA")</f>
        <v>1</v>
      </c>
      <c r="H69">
        <f>IF($D69=0,"NA",ROUND(SUM(recreation_v2_common_5!H69,recreation_v2_common_4!H69,recreation_v2_common_3!H69,recreation_v2_common_2!H69,recreation_v2_common_1!H69)/COUNT(recreation_v2_common_5!H69,recreation_v2_common_4!H69,recreation_v2_common_3!H69,recreation_v2_common_2!H69,recreation_v2_common_1!H69),0))</f>
        <v>1</v>
      </c>
      <c r="I69">
        <f>IF(E69=1,ROUND(SUM(recreation_v2_common_5!I69,recreation_v2_common_4!I69,recreation_v2_common_3!I69,recreation_v2_common_2!I69,recreation_v2_common_1!I69)/COUNT(recreation_v2_common_5!I69,recreation_v2_common_4!I69,recreation_v2_common_3!I69,recreation_v2_common_2!I69,recreation_v2_common_1!I69),0),"NA")</f>
        <v>1</v>
      </c>
      <c r="J69">
        <f>IF($D69=0,"NA",ROUND(SUM(recreation_v2_common_5!J69,recreation_v2_common_4!J69,recreation_v2_common_3!J69,recreation_v2_common_2!J69,recreation_v2_common_1!J69)/COUNT(recreation_v2_common_5!J69,recreation_v2_common_4!J69,recreation_v2_common_3!J69,recreation_v2_common_2!J69,recreation_v2_common_1!J69),0))</f>
        <v>1</v>
      </c>
      <c r="K69">
        <f>IF($D69=0,"NA",ROUND(SUM(recreation_v2_common_5!K69,recreation_v2_common_4!K69,recreation_v2_common_3!K69,recreation_v2_common_2!K69,recreation_v2_common_1!K69)/COUNT(recreation_v2_common_5!K69,recreation_v2_common_4!K69,recreation_v2_common_3!K69,recreation_v2_common_2!K69,recreation_v2_common_1!K69),0))</f>
        <v>1</v>
      </c>
      <c r="L69">
        <f>IF($D69=0,"NA",ROUND(SUM(recreation_v2_common_5!L69,recreation_v2_common_4!L69,recreation_v2_common_3!L69,recreation_v2_common_2!L69,recreation_v2_common_1!L69)/COUNT(recreation_v2_common_5!L69,recreation_v2_common_4!L69,recreation_v2_common_3!L69,recreation_v2_common_2!L69,recreation_v2_common_1!L69),0))</f>
        <v>1</v>
      </c>
      <c r="M69">
        <f>IF($D69=0,"NA",ROUND(SUM(recreation_v2_common_5!M69,recreation_v2_common_4!M69,recreation_v2_common_3!M69,recreation_v2_common_2!M69,recreation_v2_common_1!M69)/COUNT(recreation_v2_common_5!M69,recreation_v2_common_4!M69,recreation_v2_common_3!M69,recreation_v2_common_2!M69,recreation_v2_common_1!M69),0))</f>
        <v>1</v>
      </c>
      <c r="N69">
        <f>IF($D69=0,"NA",ROUND(SUM(recreation_v2_common_5!N69,recreation_v2_common_4!N69,recreation_v2_common_3!N69,recreation_v2_common_2!N69,recreation_v2_common_1!N69)/COUNT(recreation_v2_common_5!N69,recreation_v2_common_4!N69,recreation_v2_common_3!N69,recreation_v2_common_2!N69,recreation_v2_common_1!N69),0))</f>
        <v>1</v>
      </c>
    </row>
    <row r="70" spans="1:14" x14ac:dyDescent="0.25">
      <c r="A70" t="s">
        <v>116</v>
      </c>
      <c r="B70">
        <v>0</v>
      </c>
      <c r="C70">
        <v>10.00289964675903</v>
      </c>
      <c r="D70">
        <f>ROUND(SUM(recreation_v2_common_5!D70,recreation_v2_common_4!D70,recreation_v2_common_3!D70,recreation_v2_common_2!D70,recreation_v2_common_1!D70)/COUNT(recreation_v2_common_5!D70,recreation_v2_common_4!D70,recreation_v2_common_3!D70,recreation_v2_common_2!D70,recreation_v2_common_1!D70),0)</f>
        <v>1</v>
      </c>
      <c r="E70">
        <f>IF($D70=0,"NA",ROUND(SUM(recreation_v2_common_5!E70,recreation_v2_common_4!E70,recreation_v2_common_3!E70,recreation_v2_common_2!E70,recreation_v2_common_1!E70)/COUNT(recreation_v2_common_5!E70,recreation_v2_common_4!E70,recreation_v2_common_3!E70,recreation_v2_common_2!E70,recreation_v2_common_1!E70),0))</f>
        <v>1</v>
      </c>
      <c r="F70">
        <f>IF($D70=0,"NA",ROUND(SUM(recreation_v2_common_5!F70,recreation_v2_common_4!F70,recreation_v2_common_3!F70,recreation_v2_common_2!F70,recreation_v2_common_1!F70)/COUNT(recreation_v2_common_5!F70,recreation_v2_common_4!F70,recreation_v2_common_3!F70,recreation_v2_common_2!F70,recreation_v2_common_1!F70),0))</f>
        <v>1</v>
      </c>
      <c r="G70">
        <f>IF(AND(E70=1,F70=1),ROUND(SUM(recreation_v2_common_5!G70,recreation_v2_common_4!G70,recreation_v2_common_3!G70,recreation_v2_common_2!G70,recreation_v2_common_1!G70)/COUNT(recreation_v2_common_5!G70,recreation_v2_common_4!G70,recreation_v2_common_3!G70,recreation_v2_common_2!G70,recreation_v2_common_1!G70),0),"NA")</f>
        <v>1</v>
      </c>
      <c r="H70">
        <f>IF($D70=0,"NA",ROUND(SUM(recreation_v2_common_5!H70,recreation_v2_common_4!H70,recreation_v2_common_3!H70,recreation_v2_common_2!H70,recreation_v2_common_1!H70)/COUNT(recreation_v2_common_5!H70,recreation_v2_common_4!H70,recreation_v2_common_3!H70,recreation_v2_common_2!H70,recreation_v2_common_1!H70),0))</f>
        <v>1</v>
      </c>
      <c r="I70">
        <f>IF(E70=1,ROUND(SUM(recreation_v2_common_5!I70,recreation_v2_common_4!I70,recreation_v2_common_3!I70,recreation_v2_common_2!I70,recreation_v2_common_1!I70)/COUNT(recreation_v2_common_5!I70,recreation_v2_common_4!I70,recreation_v2_common_3!I70,recreation_v2_common_2!I70,recreation_v2_common_1!I70),0),"NA")</f>
        <v>1</v>
      </c>
      <c r="J70">
        <f>IF($D70=0,"NA",ROUND(SUM(recreation_v2_common_5!J70,recreation_v2_common_4!J70,recreation_v2_common_3!J70,recreation_v2_common_2!J70,recreation_v2_common_1!J70)/COUNT(recreation_v2_common_5!J70,recreation_v2_common_4!J70,recreation_v2_common_3!J70,recreation_v2_common_2!J70,recreation_v2_common_1!J70),0))</f>
        <v>1</v>
      </c>
      <c r="K70">
        <f>IF($D70=0,"NA",ROUND(SUM(recreation_v2_common_5!K70,recreation_v2_common_4!K70,recreation_v2_common_3!K70,recreation_v2_common_2!K70,recreation_v2_common_1!K70)/COUNT(recreation_v2_common_5!K70,recreation_v2_common_4!K70,recreation_v2_common_3!K70,recreation_v2_common_2!K70,recreation_v2_common_1!K70),0))</f>
        <v>1</v>
      </c>
      <c r="L70">
        <f>IF($D70=0,"NA",ROUND(SUM(recreation_v2_common_5!L70,recreation_v2_common_4!L70,recreation_v2_common_3!L70,recreation_v2_common_2!L70,recreation_v2_common_1!L70)/COUNT(recreation_v2_common_5!L70,recreation_v2_common_4!L70,recreation_v2_common_3!L70,recreation_v2_common_2!L70,recreation_v2_common_1!L70),0))</f>
        <v>1</v>
      </c>
      <c r="M70">
        <f>IF($D70=0,"NA",ROUND(SUM(recreation_v2_common_5!M70,recreation_v2_common_4!M70,recreation_v2_common_3!M70,recreation_v2_common_2!M70,recreation_v2_common_1!M70)/COUNT(recreation_v2_common_5!M70,recreation_v2_common_4!M70,recreation_v2_common_3!M70,recreation_v2_common_2!M70,recreation_v2_common_1!M70),0))</f>
        <v>1</v>
      </c>
      <c r="N70">
        <f>IF($D70=0,"NA",ROUND(SUM(recreation_v2_common_5!N70,recreation_v2_common_4!N70,recreation_v2_common_3!N70,recreation_v2_common_2!N70,recreation_v2_common_1!N70)/COUNT(recreation_v2_common_5!N70,recreation_v2_common_4!N70,recreation_v2_common_3!N70,recreation_v2_common_2!N70,recreation_v2_common_1!N70),0))</f>
        <v>1</v>
      </c>
    </row>
    <row r="71" spans="1:14" x14ac:dyDescent="0.25">
      <c r="A71" t="s">
        <v>117</v>
      </c>
      <c r="B71">
        <v>0</v>
      </c>
      <c r="C71">
        <v>8.730593204498291</v>
      </c>
      <c r="D71">
        <f>ROUND(SUM(recreation_v2_common_5!D71,recreation_v2_common_4!D71,recreation_v2_common_3!D71,recreation_v2_common_2!D71,recreation_v2_common_1!D71)/COUNT(recreation_v2_common_5!D71,recreation_v2_common_4!D71,recreation_v2_common_3!D71,recreation_v2_common_2!D71,recreation_v2_common_1!D71),0)</f>
        <v>1</v>
      </c>
      <c r="E71">
        <f>IF($D71=0,"NA",ROUND(SUM(recreation_v2_common_5!E71,recreation_v2_common_4!E71,recreation_v2_common_3!E71,recreation_v2_common_2!E71,recreation_v2_common_1!E71)/COUNT(recreation_v2_common_5!E71,recreation_v2_common_4!E71,recreation_v2_common_3!E71,recreation_v2_common_2!E71,recreation_v2_common_1!E71),0))</f>
        <v>1</v>
      </c>
      <c r="F71">
        <f>IF($D71=0,"NA",ROUND(SUM(recreation_v2_common_5!F71,recreation_v2_common_4!F71,recreation_v2_common_3!F71,recreation_v2_common_2!F71,recreation_v2_common_1!F71)/COUNT(recreation_v2_common_5!F71,recreation_v2_common_4!F71,recreation_v2_common_3!F71,recreation_v2_common_2!F71,recreation_v2_common_1!F71),0))</f>
        <v>1</v>
      </c>
      <c r="G71">
        <f>IF(AND(E71=1,F71=1),ROUND(SUM(recreation_v2_common_5!G71,recreation_v2_common_4!G71,recreation_v2_common_3!G71,recreation_v2_common_2!G71,recreation_v2_common_1!G71)/COUNT(recreation_v2_common_5!G71,recreation_v2_common_4!G71,recreation_v2_common_3!G71,recreation_v2_common_2!G71,recreation_v2_common_1!G71),0),"NA")</f>
        <v>1</v>
      </c>
      <c r="H71">
        <f>IF($D71=0,"NA",ROUND(SUM(recreation_v2_common_5!H71,recreation_v2_common_4!H71,recreation_v2_common_3!H71,recreation_v2_common_2!H71,recreation_v2_common_1!H71)/COUNT(recreation_v2_common_5!H71,recreation_v2_common_4!H71,recreation_v2_common_3!H71,recreation_v2_common_2!H71,recreation_v2_common_1!H71),0))</f>
        <v>1</v>
      </c>
      <c r="I71">
        <f>IF(E71=1,ROUND(SUM(recreation_v2_common_5!I71,recreation_v2_common_4!I71,recreation_v2_common_3!I71,recreation_v2_common_2!I71,recreation_v2_common_1!I71)/COUNT(recreation_v2_common_5!I71,recreation_v2_common_4!I71,recreation_v2_common_3!I71,recreation_v2_common_2!I71,recreation_v2_common_1!I71),0),"NA")</f>
        <v>1</v>
      </c>
      <c r="J71">
        <f>IF($D71=0,"NA",ROUND(SUM(recreation_v2_common_5!J71,recreation_v2_common_4!J71,recreation_v2_common_3!J71,recreation_v2_common_2!J71,recreation_v2_common_1!J71)/COUNT(recreation_v2_common_5!J71,recreation_v2_common_4!J71,recreation_v2_common_3!J71,recreation_v2_common_2!J71,recreation_v2_common_1!J71),0))</f>
        <v>1</v>
      </c>
      <c r="K71">
        <f>IF($D71=0,"NA",ROUND(SUM(recreation_v2_common_5!K71,recreation_v2_common_4!K71,recreation_v2_common_3!K71,recreation_v2_common_2!K71,recreation_v2_common_1!K71)/COUNT(recreation_v2_common_5!K71,recreation_v2_common_4!K71,recreation_v2_common_3!K71,recreation_v2_common_2!K71,recreation_v2_common_1!K71),0))</f>
        <v>1</v>
      </c>
      <c r="L71">
        <f>IF($D71=0,"NA",ROUND(SUM(recreation_v2_common_5!L71,recreation_v2_common_4!L71,recreation_v2_common_3!L71,recreation_v2_common_2!L71,recreation_v2_common_1!L71)/COUNT(recreation_v2_common_5!L71,recreation_v2_common_4!L71,recreation_v2_common_3!L71,recreation_v2_common_2!L71,recreation_v2_common_1!L71),0))</f>
        <v>1</v>
      </c>
      <c r="M71">
        <f>IF($D71=0,"NA",ROUND(SUM(recreation_v2_common_5!M71,recreation_v2_common_4!M71,recreation_v2_common_3!M71,recreation_v2_common_2!M71,recreation_v2_common_1!M71)/COUNT(recreation_v2_common_5!M71,recreation_v2_common_4!M71,recreation_v2_common_3!M71,recreation_v2_common_2!M71,recreation_v2_common_1!M71),0))</f>
        <v>1</v>
      </c>
      <c r="N71">
        <f>IF($D71=0,"NA",ROUND(SUM(recreation_v2_common_5!N71,recreation_v2_common_4!N71,recreation_v2_common_3!N71,recreation_v2_common_2!N71,recreation_v2_common_1!N71)/COUNT(recreation_v2_common_5!N71,recreation_v2_common_4!N71,recreation_v2_common_3!N71,recreation_v2_common_2!N71,recreation_v2_common_1!N71),0))</f>
        <v>1</v>
      </c>
    </row>
    <row r="72" spans="1:14" x14ac:dyDescent="0.25">
      <c r="A72" t="s">
        <v>118</v>
      </c>
      <c r="B72">
        <v>0</v>
      </c>
      <c r="C72">
        <v>4.5464925765991211</v>
      </c>
      <c r="D72">
        <f>ROUND(SUM(recreation_v2_common_5!D72,recreation_v2_common_4!D72,recreation_v2_common_3!D72,recreation_v2_common_2!D72,recreation_v2_common_1!D72)/COUNT(recreation_v2_common_5!D72,recreation_v2_common_4!D72,recreation_v2_common_3!D72,recreation_v2_common_2!D72,recreation_v2_common_1!D72),0)</f>
        <v>1</v>
      </c>
      <c r="E72">
        <f>IF($D72=0,"NA",ROUND(SUM(recreation_v2_common_5!E72,recreation_v2_common_4!E72,recreation_v2_common_3!E72,recreation_v2_common_2!E72,recreation_v2_common_1!E72)/COUNT(recreation_v2_common_5!E72,recreation_v2_common_4!E72,recreation_v2_common_3!E72,recreation_v2_common_2!E72,recreation_v2_common_1!E72),0))</f>
        <v>1</v>
      </c>
      <c r="F72">
        <f>IF($D72=0,"NA",ROUND(SUM(recreation_v2_common_5!F72,recreation_v2_common_4!F72,recreation_v2_common_3!F72,recreation_v2_common_2!F72,recreation_v2_common_1!F72)/COUNT(recreation_v2_common_5!F72,recreation_v2_common_4!F72,recreation_v2_common_3!F72,recreation_v2_common_2!F72,recreation_v2_common_1!F72),0))</f>
        <v>0</v>
      </c>
      <c r="G72" t="str">
        <f>IF(AND(E72=1,F72=1),ROUND(SUM(recreation_v2_common_5!G72,recreation_v2_common_4!G72,recreation_v2_common_3!G72,recreation_v2_common_2!G72,recreation_v2_common_1!G72)/COUNT(recreation_v2_common_5!G72,recreation_v2_common_4!G72,recreation_v2_common_3!G72,recreation_v2_common_2!G72,recreation_v2_common_1!G72),0),"NA")</f>
        <v>NA</v>
      </c>
      <c r="H72">
        <f>IF($D72=0,"NA",ROUND(SUM(recreation_v2_common_5!H72,recreation_v2_common_4!H72,recreation_v2_common_3!H72,recreation_v2_common_2!H72,recreation_v2_common_1!H72)/COUNT(recreation_v2_common_5!H72,recreation_v2_common_4!H72,recreation_v2_common_3!H72,recreation_v2_common_2!H72,recreation_v2_common_1!H72),0))</f>
        <v>1</v>
      </c>
      <c r="I72">
        <f>IF(E72=1,ROUND(SUM(recreation_v2_common_5!I72,recreation_v2_common_4!I72,recreation_v2_common_3!I72,recreation_v2_common_2!I72,recreation_v2_common_1!I72)/COUNT(recreation_v2_common_5!I72,recreation_v2_common_4!I72,recreation_v2_common_3!I72,recreation_v2_common_2!I72,recreation_v2_common_1!I72),0),"NA")</f>
        <v>1</v>
      </c>
      <c r="J72">
        <f>IF($D72=0,"NA",ROUND(SUM(recreation_v2_common_5!J72,recreation_v2_common_4!J72,recreation_v2_common_3!J72,recreation_v2_common_2!J72,recreation_v2_common_1!J72)/COUNT(recreation_v2_common_5!J72,recreation_v2_common_4!J72,recreation_v2_common_3!J72,recreation_v2_common_2!J72,recreation_v2_common_1!J72),0))</f>
        <v>1</v>
      </c>
      <c r="K72">
        <f>IF($D72=0,"NA",ROUND(SUM(recreation_v2_common_5!K72,recreation_v2_common_4!K72,recreation_v2_common_3!K72,recreation_v2_common_2!K72,recreation_v2_common_1!K72)/COUNT(recreation_v2_common_5!K72,recreation_v2_common_4!K72,recreation_v2_common_3!K72,recreation_v2_common_2!K72,recreation_v2_common_1!K72),0))</f>
        <v>1</v>
      </c>
      <c r="L72">
        <f>IF($D72=0,"NA",ROUND(SUM(recreation_v2_common_5!L72,recreation_v2_common_4!L72,recreation_v2_common_3!L72,recreation_v2_common_2!L72,recreation_v2_common_1!L72)/COUNT(recreation_v2_common_5!L72,recreation_v2_common_4!L72,recreation_v2_common_3!L72,recreation_v2_common_2!L72,recreation_v2_common_1!L72),0))</f>
        <v>1</v>
      </c>
      <c r="M72">
        <f>IF($D72=0,"NA",ROUND(SUM(recreation_v2_common_5!M72,recreation_v2_common_4!M72,recreation_v2_common_3!M72,recreation_v2_common_2!M72,recreation_v2_common_1!M72)/COUNT(recreation_v2_common_5!M72,recreation_v2_common_4!M72,recreation_v2_common_3!M72,recreation_v2_common_2!M72,recreation_v2_common_1!M72),0))</f>
        <v>1</v>
      </c>
      <c r="N72">
        <f>IF($D72=0,"NA",ROUND(SUM(recreation_v2_common_5!N72,recreation_v2_common_4!N72,recreation_v2_common_3!N72,recreation_v2_common_2!N72,recreation_v2_common_1!N72)/COUNT(recreation_v2_common_5!N72,recreation_v2_common_4!N72,recreation_v2_common_3!N72,recreation_v2_common_2!N72,recreation_v2_common_1!N72),0))</f>
        <v>1</v>
      </c>
    </row>
    <row r="73" spans="1:14" x14ac:dyDescent="0.25">
      <c r="A73" t="s">
        <v>120</v>
      </c>
      <c r="B73">
        <v>0</v>
      </c>
      <c r="C73">
        <v>9.4864187240600586</v>
      </c>
      <c r="D73">
        <f>ROUND(SUM(recreation_v2_common_5!D73,recreation_v2_common_4!D73,recreation_v2_common_3!D73,recreation_v2_common_2!D73,recreation_v2_common_1!D73)/COUNT(recreation_v2_common_5!D73,recreation_v2_common_4!D73,recreation_v2_common_3!D73,recreation_v2_common_2!D73,recreation_v2_common_1!D73),0)</f>
        <v>1</v>
      </c>
      <c r="E73">
        <f>IF($D73=0,"NA",ROUND(SUM(recreation_v2_common_5!E73,recreation_v2_common_4!E73,recreation_v2_common_3!E73,recreation_v2_common_2!E73,recreation_v2_common_1!E73)/COUNT(recreation_v2_common_5!E73,recreation_v2_common_4!E73,recreation_v2_common_3!E73,recreation_v2_common_2!E73,recreation_v2_common_1!E73),0))</f>
        <v>1</v>
      </c>
      <c r="F73">
        <f>IF($D73=0,"NA",ROUND(SUM(recreation_v2_common_5!F73,recreation_v2_common_4!F73,recreation_v2_common_3!F73,recreation_v2_common_2!F73,recreation_v2_common_1!F73)/COUNT(recreation_v2_common_5!F73,recreation_v2_common_4!F73,recreation_v2_common_3!F73,recreation_v2_common_2!F73,recreation_v2_common_1!F73),0))</f>
        <v>1</v>
      </c>
      <c r="G73">
        <f>IF(AND(E73=1,F73=1),ROUND(SUM(recreation_v2_common_5!G73,recreation_v2_common_4!G73,recreation_v2_common_3!G73,recreation_v2_common_2!G73,recreation_v2_common_1!G73)/COUNT(recreation_v2_common_5!G73,recreation_v2_common_4!G73,recreation_v2_common_3!G73,recreation_v2_common_2!G73,recreation_v2_common_1!G73),0),"NA")</f>
        <v>1</v>
      </c>
      <c r="H73">
        <f>IF($D73=0,"NA",ROUND(SUM(recreation_v2_common_5!H73,recreation_v2_common_4!H73,recreation_v2_common_3!H73,recreation_v2_common_2!H73,recreation_v2_common_1!H73)/COUNT(recreation_v2_common_5!H73,recreation_v2_common_4!H73,recreation_v2_common_3!H73,recreation_v2_common_2!H73,recreation_v2_common_1!H73),0))</f>
        <v>1</v>
      </c>
      <c r="I73">
        <f>IF(E73=1,ROUND(SUM(recreation_v2_common_5!I73,recreation_v2_common_4!I73,recreation_v2_common_3!I73,recreation_v2_common_2!I73,recreation_v2_common_1!I73)/COUNT(recreation_v2_common_5!I73,recreation_v2_common_4!I73,recreation_v2_common_3!I73,recreation_v2_common_2!I73,recreation_v2_common_1!I73),0),"NA")</f>
        <v>1</v>
      </c>
      <c r="J73">
        <f>IF($D73=0,"NA",ROUND(SUM(recreation_v2_common_5!J73,recreation_v2_common_4!J73,recreation_v2_common_3!J73,recreation_v2_common_2!J73,recreation_v2_common_1!J73)/COUNT(recreation_v2_common_5!J73,recreation_v2_common_4!J73,recreation_v2_common_3!J73,recreation_v2_common_2!J73,recreation_v2_common_1!J73),0))</f>
        <v>1</v>
      </c>
      <c r="K73">
        <f>IF($D73=0,"NA",ROUND(SUM(recreation_v2_common_5!K73,recreation_v2_common_4!K73,recreation_v2_common_3!K73,recreation_v2_common_2!K73,recreation_v2_common_1!K73)/COUNT(recreation_v2_common_5!K73,recreation_v2_common_4!K73,recreation_v2_common_3!K73,recreation_v2_common_2!K73,recreation_v2_common_1!K73),0))</f>
        <v>1</v>
      </c>
      <c r="L73">
        <f>IF($D73=0,"NA",ROUND(SUM(recreation_v2_common_5!L73,recreation_v2_common_4!L73,recreation_v2_common_3!L73,recreation_v2_common_2!L73,recreation_v2_common_1!L73)/COUNT(recreation_v2_common_5!L73,recreation_v2_common_4!L73,recreation_v2_common_3!L73,recreation_v2_common_2!L73,recreation_v2_common_1!L73),0))</f>
        <v>1</v>
      </c>
      <c r="M73">
        <f>IF($D73=0,"NA",ROUND(SUM(recreation_v2_common_5!M73,recreation_v2_common_4!M73,recreation_v2_common_3!M73,recreation_v2_common_2!M73,recreation_v2_common_1!M73)/COUNT(recreation_v2_common_5!M73,recreation_v2_common_4!M73,recreation_v2_common_3!M73,recreation_v2_common_2!M73,recreation_v2_common_1!M73),0))</f>
        <v>1</v>
      </c>
      <c r="N73">
        <f>IF($D73=0,"NA",ROUND(SUM(recreation_v2_common_5!N73,recreation_v2_common_4!N73,recreation_v2_common_3!N73,recreation_v2_common_2!N73,recreation_v2_common_1!N73)/COUNT(recreation_v2_common_5!N73,recreation_v2_common_4!N73,recreation_v2_common_3!N73,recreation_v2_common_2!N73,recreation_v2_common_1!N73),0))</f>
        <v>1</v>
      </c>
    </row>
    <row r="74" spans="1:14" x14ac:dyDescent="0.25">
      <c r="A74" t="s">
        <v>121</v>
      </c>
      <c r="B74">
        <v>0</v>
      </c>
      <c r="C74">
        <v>12.02038049697876</v>
      </c>
      <c r="D74">
        <f>ROUND(SUM(recreation_v2_common_5!D74,recreation_v2_common_4!D74,recreation_v2_common_3!D74,recreation_v2_common_2!D74,recreation_v2_common_1!D74)/COUNT(recreation_v2_common_5!D74,recreation_v2_common_4!D74,recreation_v2_common_3!D74,recreation_v2_common_2!D74,recreation_v2_common_1!D74),0)</f>
        <v>1</v>
      </c>
      <c r="E74">
        <f>IF($D74=0,"NA",ROUND(SUM(recreation_v2_common_5!E74,recreation_v2_common_4!E74,recreation_v2_common_3!E74,recreation_v2_common_2!E74,recreation_v2_common_1!E74)/COUNT(recreation_v2_common_5!E74,recreation_v2_common_4!E74,recreation_v2_common_3!E74,recreation_v2_common_2!E74,recreation_v2_common_1!E74),0))</f>
        <v>1</v>
      </c>
      <c r="F74">
        <f>IF($D74=0,"NA",ROUND(SUM(recreation_v2_common_5!F74,recreation_v2_common_4!F74,recreation_v2_common_3!F74,recreation_v2_common_2!F74,recreation_v2_common_1!F74)/COUNT(recreation_v2_common_5!F74,recreation_v2_common_4!F74,recreation_v2_common_3!F74,recreation_v2_common_2!F74,recreation_v2_common_1!F74),0))</f>
        <v>1</v>
      </c>
      <c r="G74">
        <f>IF(AND(E74=1,F74=1),ROUND(SUM(recreation_v2_common_5!G74,recreation_v2_common_4!G74,recreation_v2_common_3!G74,recreation_v2_common_2!G74,recreation_v2_common_1!G74)/COUNT(recreation_v2_common_5!G74,recreation_v2_common_4!G74,recreation_v2_common_3!G74,recreation_v2_common_2!G74,recreation_v2_common_1!G74),0),"NA")</f>
        <v>1</v>
      </c>
      <c r="H74">
        <f>IF($D74=0,"NA",ROUND(SUM(recreation_v2_common_5!H74,recreation_v2_common_4!H74,recreation_v2_common_3!H74,recreation_v2_common_2!H74,recreation_v2_common_1!H74)/COUNT(recreation_v2_common_5!H74,recreation_v2_common_4!H74,recreation_v2_common_3!H74,recreation_v2_common_2!H74,recreation_v2_common_1!H74),0))</f>
        <v>1</v>
      </c>
      <c r="I74">
        <f>IF(E74=1,ROUND(SUM(recreation_v2_common_5!I74,recreation_v2_common_4!I74,recreation_v2_common_3!I74,recreation_v2_common_2!I74,recreation_v2_common_1!I74)/COUNT(recreation_v2_common_5!I74,recreation_v2_common_4!I74,recreation_v2_common_3!I74,recreation_v2_common_2!I74,recreation_v2_common_1!I74),0),"NA")</f>
        <v>0</v>
      </c>
      <c r="J74">
        <f>IF($D74=0,"NA",ROUND(SUM(recreation_v2_common_5!J74,recreation_v2_common_4!J74,recreation_v2_common_3!J74,recreation_v2_common_2!J74,recreation_v2_common_1!J74)/COUNT(recreation_v2_common_5!J74,recreation_v2_common_4!J74,recreation_v2_common_3!J74,recreation_v2_common_2!J74,recreation_v2_common_1!J74),0))</f>
        <v>1</v>
      </c>
      <c r="K74">
        <f>IF($D74=0,"NA",ROUND(SUM(recreation_v2_common_5!K74,recreation_v2_common_4!K74,recreation_v2_common_3!K74,recreation_v2_common_2!K74,recreation_v2_common_1!K74)/COUNT(recreation_v2_common_5!K74,recreation_v2_common_4!K74,recreation_v2_common_3!K74,recreation_v2_common_2!K74,recreation_v2_common_1!K74),0))</f>
        <v>1</v>
      </c>
      <c r="L74">
        <f>IF($D74=0,"NA",ROUND(SUM(recreation_v2_common_5!L74,recreation_v2_common_4!L74,recreation_v2_common_3!L74,recreation_v2_common_2!L74,recreation_v2_common_1!L74)/COUNT(recreation_v2_common_5!L74,recreation_v2_common_4!L74,recreation_v2_common_3!L74,recreation_v2_common_2!L74,recreation_v2_common_1!L74),0))</f>
        <v>1</v>
      </c>
      <c r="M74">
        <f>IF($D74=0,"NA",ROUND(SUM(recreation_v2_common_5!M74,recreation_v2_common_4!M74,recreation_v2_common_3!M74,recreation_v2_common_2!M74,recreation_v2_common_1!M74)/COUNT(recreation_v2_common_5!M74,recreation_v2_common_4!M74,recreation_v2_common_3!M74,recreation_v2_common_2!M74,recreation_v2_common_1!M74),0))</f>
        <v>1</v>
      </c>
      <c r="N74">
        <f>IF($D74=0,"NA",ROUND(SUM(recreation_v2_common_5!N74,recreation_v2_common_4!N74,recreation_v2_common_3!N74,recreation_v2_common_2!N74,recreation_v2_common_1!N74)/COUNT(recreation_v2_common_5!N74,recreation_v2_common_4!N74,recreation_v2_common_3!N74,recreation_v2_common_2!N74,recreation_v2_common_1!N74),0))</f>
        <v>1</v>
      </c>
    </row>
    <row r="75" spans="1:14" x14ac:dyDescent="0.25">
      <c r="A75" t="s">
        <v>123</v>
      </c>
      <c r="B75">
        <v>0</v>
      </c>
      <c r="C75">
        <v>10.06604933738708</v>
      </c>
      <c r="D75">
        <f>ROUND(SUM(recreation_v2_common_5!D75,recreation_v2_common_4!D75,recreation_v2_common_3!D75,recreation_v2_common_2!D75,recreation_v2_common_1!D75)/COUNT(recreation_v2_common_5!D75,recreation_v2_common_4!D75,recreation_v2_common_3!D75,recreation_v2_common_2!D75,recreation_v2_common_1!D75),0)</f>
        <v>1</v>
      </c>
      <c r="E75">
        <f>IF($D75=0,"NA",ROUND(SUM(recreation_v2_common_5!E75,recreation_v2_common_4!E75,recreation_v2_common_3!E75,recreation_v2_common_2!E75,recreation_v2_common_1!E75)/COUNT(recreation_v2_common_5!E75,recreation_v2_common_4!E75,recreation_v2_common_3!E75,recreation_v2_common_2!E75,recreation_v2_common_1!E75),0))</f>
        <v>1</v>
      </c>
      <c r="F75">
        <f>IF($D75=0,"NA",ROUND(SUM(recreation_v2_common_5!F75,recreation_v2_common_4!F75,recreation_v2_common_3!F75,recreation_v2_common_2!F75,recreation_v2_common_1!F75)/COUNT(recreation_v2_common_5!F75,recreation_v2_common_4!F75,recreation_v2_common_3!F75,recreation_v2_common_2!F75,recreation_v2_common_1!F75),0))</f>
        <v>1</v>
      </c>
      <c r="G75">
        <f>IF(AND(E75=1,F75=1),ROUND(SUM(recreation_v2_common_5!G75,recreation_v2_common_4!G75,recreation_v2_common_3!G75,recreation_v2_common_2!G75,recreation_v2_common_1!G75)/COUNT(recreation_v2_common_5!G75,recreation_v2_common_4!G75,recreation_v2_common_3!G75,recreation_v2_common_2!G75,recreation_v2_common_1!G75),0),"NA")</f>
        <v>1</v>
      </c>
      <c r="H75">
        <f>IF($D75=0,"NA",ROUND(SUM(recreation_v2_common_5!H75,recreation_v2_common_4!H75,recreation_v2_common_3!H75,recreation_v2_common_2!H75,recreation_v2_common_1!H75)/COUNT(recreation_v2_common_5!H75,recreation_v2_common_4!H75,recreation_v2_common_3!H75,recreation_v2_common_2!H75,recreation_v2_common_1!H75),0))</f>
        <v>1</v>
      </c>
      <c r="I75">
        <f>IF(E75=1,ROUND(SUM(recreation_v2_common_5!I75,recreation_v2_common_4!I75,recreation_v2_common_3!I75,recreation_v2_common_2!I75,recreation_v2_common_1!I75)/COUNT(recreation_v2_common_5!I75,recreation_v2_common_4!I75,recreation_v2_common_3!I75,recreation_v2_common_2!I75,recreation_v2_common_1!I75),0),"NA")</f>
        <v>1</v>
      </c>
      <c r="J75">
        <f>IF($D75=0,"NA",ROUND(SUM(recreation_v2_common_5!J75,recreation_v2_common_4!J75,recreation_v2_common_3!J75,recreation_v2_common_2!J75,recreation_v2_common_1!J75)/COUNT(recreation_v2_common_5!J75,recreation_v2_common_4!J75,recreation_v2_common_3!J75,recreation_v2_common_2!J75,recreation_v2_common_1!J75),0))</f>
        <v>1</v>
      </c>
      <c r="K75">
        <f>IF($D75=0,"NA",ROUND(SUM(recreation_v2_common_5!K75,recreation_v2_common_4!K75,recreation_v2_common_3!K75,recreation_v2_common_2!K75,recreation_v2_common_1!K75)/COUNT(recreation_v2_common_5!K75,recreation_v2_common_4!K75,recreation_v2_common_3!K75,recreation_v2_common_2!K75,recreation_v2_common_1!K75),0))</f>
        <v>1</v>
      </c>
      <c r="L75">
        <f>IF($D75=0,"NA",ROUND(SUM(recreation_v2_common_5!L75,recreation_v2_common_4!L75,recreation_v2_common_3!L75,recreation_v2_common_2!L75,recreation_v2_common_1!L75)/COUNT(recreation_v2_common_5!L75,recreation_v2_common_4!L75,recreation_v2_common_3!L75,recreation_v2_common_2!L75,recreation_v2_common_1!L75),0))</f>
        <v>1</v>
      </c>
      <c r="M75">
        <f>IF($D75=0,"NA",ROUND(SUM(recreation_v2_common_5!M75,recreation_v2_common_4!M75,recreation_v2_common_3!M75,recreation_v2_common_2!M75,recreation_v2_common_1!M75)/COUNT(recreation_v2_common_5!M75,recreation_v2_common_4!M75,recreation_v2_common_3!M75,recreation_v2_common_2!M75,recreation_v2_common_1!M75),0))</f>
        <v>1</v>
      </c>
      <c r="N75">
        <f>IF($D75=0,"NA",ROUND(SUM(recreation_v2_common_5!N75,recreation_v2_common_4!N75,recreation_v2_common_3!N75,recreation_v2_common_2!N75,recreation_v2_common_1!N75)/COUNT(recreation_v2_common_5!N75,recreation_v2_common_4!N75,recreation_v2_common_3!N75,recreation_v2_common_2!N75,recreation_v2_common_1!N75),0))</f>
        <v>1</v>
      </c>
    </row>
    <row r="76" spans="1:14" x14ac:dyDescent="0.25">
      <c r="A76" t="s">
        <v>124</v>
      </c>
      <c r="B76">
        <v>0</v>
      </c>
      <c r="C76">
        <v>2.771661520004272</v>
      </c>
      <c r="D76">
        <f>ROUND(SUM(recreation_v2_common_5!D76,recreation_v2_common_4!D76,recreation_v2_common_3!D76,recreation_v2_common_2!D76,recreation_v2_common_1!D76)/COUNT(recreation_v2_common_5!D76,recreation_v2_common_4!D76,recreation_v2_common_3!D76,recreation_v2_common_2!D76,recreation_v2_common_1!D76),0)</f>
        <v>1</v>
      </c>
      <c r="E76">
        <f>IF($D76=0,"NA",ROUND(SUM(recreation_v2_common_5!E76,recreation_v2_common_4!E76,recreation_v2_common_3!E76,recreation_v2_common_2!E76,recreation_v2_common_1!E76)/COUNT(recreation_v2_common_5!E76,recreation_v2_common_4!E76,recreation_v2_common_3!E76,recreation_v2_common_2!E76,recreation_v2_common_1!E76),0))</f>
        <v>1</v>
      </c>
      <c r="F76">
        <f>IF($D76=0,"NA",ROUND(SUM(recreation_v2_common_5!F76,recreation_v2_common_4!F76,recreation_v2_common_3!F76,recreation_v2_common_2!F76,recreation_v2_common_1!F76)/COUNT(recreation_v2_common_5!F76,recreation_v2_common_4!F76,recreation_v2_common_3!F76,recreation_v2_common_2!F76,recreation_v2_common_1!F76),0))</f>
        <v>1</v>
      </c>
      <c r="G76">
        <f>IF(AND(E76=1,F76=1),ROUND(SUM(recreation_v2_common_5!G76,recreation_v2_common_4!G76,recreation_v2_common_3!G76,recreation_v2_common_2!G76,recreation_v2_common_1!G76)/COUNT(recreation_v2_common_5!G76,recreation_v2_common_4!G76,recreation_v2_common_3!G76,recreation_v2_common_2!G76,recreation_v2_common_1!G76),0),"NA")</f>
        <v>1</v>
      </c>
      <c r="H76">
        <f>IF($D76=0,"NA",ROUND(SUM(recreation_v2_common_5!H76,recreation_v2_common_4!H76,recreation_v2_common_3!H76,recreation_v2_common_2!H76,recreation_v2_common_1!H76)/COUNT(recreation_v2_common_5!H76,recreation_v2_common_4!H76,recreation_v2_common_3!H76,recreation_v2_common_2!H76,recreation_v2_common_1!H76),0))</f>
        <v>1</v>
      </c>
      <c r="I76">
        <f>IF(E76=1,ROUND(SUM(recreation_v2_common_5!I76,recreation_v2_common_4!I76,recreation_v2_common_3!I76,recreation_v2_common_2!I76,recreation_v2_common_1!I76)/COUNT(recreation_v2_common_5!I76,recreation_v2_common_4!I76,recreation_v2_common_3!I76,recreation_v2_common_2!I76,recreation_v2_common_1!I76),0),"NA")</f>
        <v>1</v>
      </c>
      <c r="J76">
        <f>IF($D76=0,"NA",ROUND(SUM(recreation_v2_common_5!J76,recreation_v2_common_4!J76,recreation_v2_common_3!J76,recreation_v2_common_2!J76,recreation_v2_common_1!J76)/COUNT(recreation_v2_common_5!J76,recreation_v2_common_4!J76,recreation_v2_common_3!J76,recreation_v2_common_2!J76,recreation_v2_common_1!J76),0))</f>
        <v>1</v>
      </c>
      <c r="K76">
        <f>IF($D76=0,"NA",ROUND(SUM(recreation_v2_common_5!K76,recreation_v2_common_4!K76,recreation_v2_common_3!K76,recreation_v2_common_2!K76,recreation_v2_common_1!K76)/COUNT(recreation_v2_common_5!K76,recreation_v2_common_4!K76,recreation_v2_common_3!K76,recreation_v2_common_2!K76,recreation_v2_common_1!K76),0))</f>
        <v>1</v>
      </c>
      <c r="L76">
        <f>IF($D76=0,"NA",ROUND(SUM(recreation_v2_common_5!L76,recreation_v2_common_4!L76,recreation_v2_common_3!L76,recreation_v2_common_2!L76,recreation_v2_common_1!L76)/COUNT(recreation_v2_common_5!L76,recreation_v2_common_4!L76,recreation_v2_common_3!L76,recreation_v2_common_2!L76,recreation_v2_common_1!L76),0))</f>
        <v>1</v>
      </c>
      <c r="M76">
        <f>IF($D76=0,"NA",ROUND(SUM(recreation_v2_common_5!M76,recreation_v2_common_4!M76,recreation_v2_common_3!M76,recreation_v2_common_2!M76,recreation_v2_common_1!M76)/COUNT(recreation_v2_common_5!M76,recreation_v2_common_4!M76,recreation_v2_common_3!M76,recreation_v2_common_2!M76,recreation_v2_common_1!M76),0))</f>
        <v>1</v>
      </c>
      <c r="N76">
        <f>IF($D76=0,"NA",ROUND(SUM(recreation_v2_common_5!N76,recreation_v2_common_4!N76,recreation_v2_common_3!N76,recreation_v2_common_2!N76,recreation_v2_common_1!N76)/COUNT(recreation_v2_common_5!N76,recreation_v2_common_4!N76,recreation_v2_common_3!N76,recreation_v2_common_2!N76,recreation_v2_common_1!N76),0))</f>
        <v>1</v>
      </c>
    </row>
    <row r="77" spans="1:14" x14ac:dyDescent="0.25">
      <c r="A77" t="s">
        <v>125</v>
      </c>
      <c r="B77">
        <v>0</v>
      </c>
      <c r="C77">
        <v>5.5444989204406738</v>
      </c>
      <c r="D77">
        <f>ROUND(SUM(recreation_v2_common_5!D77,recreation_v2_common_4!D77,recreation_v2_common_3!D77,recreation_v2_common_2!D77,recreation_v2_common_1!D77)/COUNT(recreation_v2_common_5!D77,recreation_v2_common_4!D77,recreation_v2_common_3!D77,recreation_v2_common_2!D77,recreation_v2_common_1!D77),0)</f>
        <v>1</v>
      </c>
      <c r="E77">
        <f>IF($D77=0,"NA",ROUND(SUM(recreation_v2_common_5!E77,recreation_v2_common_4!E77,recreation_v2_common_3!E77,recreation_v2_common_2!E77,recreation_v2_common_1!E77)/COUNT(recreation_v2_common_5!E77,recreation_v2_common_4!E77,recreation_v2_common_3!E77,recreation_v2_common_2!E77,recreation_v2_common_1!E77),0))</f>
        <v>1</v>
      </c>
      <c r="F77">
        <f>IF($D77=0,"NA",ROUND(SUM(recreation_v2_common_5!F77,recreation_v2_common_4!F77,recreation_v2_common_3!F77,recreation_v2_common_2!F77,recreation_v2_common_1!F77)/COUNT(recreation_v2_common_5!F77,recreation_v2_common_4!F77,recreation_v2_common_3!F77,recreation_v2_common_2!F77,recreation_v2_common_1!F77),0))</f>
        <v>1</v>
      </c>
      <c r="G77">
        <f>IF(AND(E77=1,F77=1),ROUND(SUM(recreation_v2_common_5!G77,recreation_v2_common_4!G77,recreation_v2_common_3!G77,recreation_v2_common_2!G77,recreation_v2_common_1!G77)/COUNT(recreation_v2_common_5!G77,recreation_v2_common_4!G77,recreation_v2_common_3!G77,recreation_v2_common_2!G77,recreation_v2_common_1!G77),0),"NA")</f>
        <v>1</v>
      </c>
      <c r="H77">
        <f>IF($D77=0,"NA",ROUND(SUM(recreation_v2_common_5!H77,recreation_v2_common_4!H77,recreation_v2_common_3!H77,recreation_v2_common_2!H77,recreation_v2_common_1!H77)/COUNT(recreation_v2_common_5!H77,recreation_v2_common_4!H77,recreation_v2_common_3!H77,recreation_v2_common_2!H77,recreation_v2_common_1!H77),0))</f>
        <v>1</v>
      </c>
      <c r="I77">
        <f>IF(E77=1,ROUND(SUM(recreation_v2_common_5!I77,recreation_v2_common_4!I77,recreation_v2_common_3!I77,recreation_v2_common_2!I77,recreation_v2_common_1!I77)/COUNT(recreation_v2_common_5!I77,recreation_v2_common_4!I77,recreation_v2_common_3!I77,recreation_v2_common_2!I77,recreation_v2_common_1!I77),0),"NA")</f>
        <v>0</v>
      </c>
      <c r="J77">
        <f>IF($D77=0,"NA",ROUND(SUM(recreation_v2_common_5!J77,recreation_v2_common_4!J77,recreation_v2_common_3!J77,recreation_v2_common_2!J77,recreation_v2_common_1!J77)/COUNT(recreation_v2_common_5!J77,recreation_v2_common_4!J77,recreation_v2_common_3!J77,recreation_v2_common_2!J77,recreation_v2_common_1!J77),0))</f>
        <v>1</v>
      </c>
      <c r="K77">
        <f>IF($D77=0,"NA",ROUND(SUM(recreation_v2_common_5!K77,recreation_v2_common_4!K77,recreation_v2_common_3!K77,recreation_v2_common_2!K77,recreation_v2_common_1!K77)/COUNT(recreation_v2_common_5!K77,recreation_v2_common_4!K77,recreation_v2_common_3!K77,recreation_v2_common_2!K77,recreation_v2_common_1!K77),0))</f>
        <v>1</v>
      </c>
      <c r="L77">
        <f>IF($D77=0,"NA",ROUND(SUM(recreation_v2_common_5!L77,recreation_v2_common_4!L77,recreation_v2_common_3!L77,recreation_v2_common_2!L77,recreation_v2_common_1!L77)/COUNT(recreation_v2_common_5!L77,recreation_v2_common_4!L77,recreation_v2_common_3!L77,recreation_v2_common_2!L77,recreation_v2_common_1!L77),0))</f>
        <v>1</v>
      </c>
      <c r="M77">
        <f>IF($D77=0,"NA",ROUND(SUM(recreation_v2_common_5!M77,recreation_v2_common_4!M77,recreation_v2_common_3!M77,recreation_v2_common_2!M77,recreation_v2_common_1!M77)/COUNT(recreation_v2_common_5!M77,recreation_v2_common_4!M77,recreation_v2_common_3!M77,recreation_v2_common_2!M77,recreation_v2_common_1!M77),0))</f>
        <v>1</v>
      </c>
      <c r="N77">
        <f>IF($D77=0,"NA",ROUND(SUM(recreation_v2_common_5!N77,recreation_v2_common_4!N77,recreation_v2_common_3!N77,recreation_v2_common_2!N77,recreation_v2_common_1!N77)/COUNT(recreation_v2_common_5!N77,recreation_v2_common_4!N77,recreation_v2_common_3!N77,recreation_v2_common_2!N77,recreation_v2_common_1!N77),0))</f>
        <v>1</v>
      </c>
    </row>
    <row r="78" spans="1:14" x14ac:dyDescent="0.25">
      <c r="A78" t="s">
        <v>127</v>
      </c>
      <c r="B78">
        <v>0</v>
      </c>
      <c r="C78">
        <v>6.8779788017272949</v>
      </c>
      <c r="D78">
        <f>ROUND(SUM(recreation_v2_common_5!D78,recreation_v2_common_4!D78,recreation_v2_common_3!D78,recreation_v2_common_2!D78,recreation_v2_common_1!D78)/COUNT(recreation_v2_common_5!D78,recreation_v2_common_4!D78,recreation_v2_common_3!D78,recreation_v2_common_2!D78,recreation_v2_common_1!D78),0)</f>
        <v>1</v>
      </c>
      <c r="E78">
        <f>IF($D78=0,"NA",ROUND(SUM(recreation_v2_common_5!E78,recreation_v2_common_4!E78,recreation_v2_common_3!E78,recreation_v2_common_2!E78,recreation_v2_common_1!E78)/COUNT(recreation_v2_common_5!E78,recreation_v2_common_4!E78,recreation_v2_common_3!E78,recreation_v2_common_2!E78,recreation_v2_common_1!E78),0))</f>
        <v>1</v>
      </c>
      <c r="F78">
        <f>IF($D78=0,"NA",ROUND(SUM(recreation_v2_common_5!F78,recreation_v2_common_4!F78,recreation_v2_common_3!F78,recreation_v2_common_2!F78,recreation_v2_common_1!F78)/COUNT(recreation_v2_common_5!F78,recreation_v2_common_4!F78,recreation_v2_common_3!F78,recreation_v2_common_2!F78,recreation_v2_common_1!F78),0))</f>
        <v>1</v>
      </c>
      <c r="G78">
        <f>IF(AND(E78=1,F78=1),ROUND(SUM(recreation_v2_common_5!G78,recreation_v2_common_4!G78,recreation_v2_common_3!G78,recreation_v2_common_2!G78,recreation_v2_common_1!G78)/COUNT(recreation_v2_common_5!G78,recreation_v2_common_4!G78,recreation_v2_common_3!G78,recreation_v2_common_2!G78,recreation_v2_common_1!G78),0),"NA")</f>
        <v>1</v>
      </c>
      <c r="H78">
        <f>IF($D78=0,"NA",ROUND(SUM(recreation_v2_common_5!H78,recreation_v2_common_4!H78,recreation_v2_common_3!H78,recreation_v2_common_2!H78,recreation_v2_common_1!H78)/COUNT(recreation_v2_common_5!H78,recreation_v2_common_4!H78,recreation_v2_common_3!H78,recreation_v2_common_2!H78,recreation_v2_common_1!H78),0))</f>
        <v>1</v>
      </c>
      <c r="I78">
        <f>IF(E78=1,ROUND(SUM(recreation_v2_common_5!I78,recreation_v2_common_4!I78,recreation_v2_common_3!I78,recreation_v2_common_2!I78,recreation_v2_common_1!I78)/COUNT(recreation_v2_common_5!I78,recreation_v2_common_4!I78,recreation_v2_common_3!I78,recreation_v2_common_2!I78,recreation_v2_common_1!I78),0),"NA")</f>
        <v>0</v>
      </c>
      <c r="J78">
        <f>IF($D78=0,"NA",ROUND(SUM(recreation_v2_common_5!J78,recreation_v2_common_4!J78,recreation_v2_common_3!J78,recreation_v2_common_2!J78,recreation_v2_common_1!J78)/COUNT(recreation_v2_common_5!J78,recreation_v2_common_4!J78,recreation_v2_common_3!J78,recreation_v2_common_2!J78,recreation_v2_common_1!J78),0))</f>
        <v>1</v>
      </c>
      <c r="K78">
        <f>IF($D78=0,"NA",ROUND(SUM(recreation_v2_common_5!K78,recreation_v2_common_4!K78,recreation_v2_common_3!K78,recreation_v2_common_2!K78,recreation_v2_common_1!K78)/COUNT(recreation_v2_common_5!K78,recreation_v2_common_4!K78,recreation_v2_common_3!K78,recreation_v2_common_2!K78,recreation_v2_common_1!K78),0))</f>
        <v>1</v>
      </c>
      <c r="L78">
        <f>IF($D78=0,"NA",ROUND(SUM(recreation_v2_common_5!L78,recreation_v2_common_4!L78,recreation_v2_common_3!L78,recreation_v2_common_2!L78,recreation_v2_common_1!L78)/COUNT(recreation_v2_common_5!L78,recreation_v2_common_4!L78,recreation_v2_common_3!L78,recreation_v2_common_2!L78,recreation_v2_common_1!L78),0))</f>
        <v>0</v>
      </c>
      <c r="M78">
        <f>IF($D78=0,"NA",ROUND(SUM(recreation_v2_common_5!M78,recreation_v2_common_4!M78,recreation_v2_common_3!M78,recreation_v2_common_2!M78,recreation_v2_common_1!M78)/COUNT(recreation_v2_common_5!M78,recreation_v2_common_4!M78,recreation_v2_common_3!M78,recreation_v2_common_2!M78,recreation_v2_common_1!M78),0))</f>
        <v>1</v>
      </c>
      <c r="N78">
        <f>IF($D78=0,"NA",ROUND(SUM(recreation_v2_common_5!N78,recreation_v2_common_4!N78,recreation_v2_common_3!N78,recreation_v2_common_2!N78,recreation_v2_common_1!N78)/COUNT(recreation_v2_common_5!N78,recreation_v2_common_4!N78,recreation_v2_common_3!N78,recreation_v2_common_2!N78,recreation_v2_common_1!N78),0))</f>
        <v>1</v>
      </c>
    </row>
    <row r="79" spans="1:14" x14ac:dyDescent="0.25">
      <c r="A79" t="s">
        <v>129</v>
      </c>
      <c r="B79">
        <v>0</v>
      </c>
      <c r="C79">
        <v>11.430948734283451</v>
      </c>
      <c r="D79">
        <f>ROUND(SUM(recreation_v2_common_5!D79,recreation_v2_common_4!D79,recreation_v2_common_3!D79,recreation_v2_common_2!D79,recreation_v2_common_1!D79)/COUNT(recreation_v2_common_5!D79,recreation_v2_common_4!D79,recreation_v2_common_3!D79,recreation_v2_common_2!D79,recreation_v2_common_1!D79),0)</f>
        <v>1</v>
      </c>
      <c r="E79">
        <f>IF($D79=0,"NA",ROUND(SUM(recreation_v2_common_5!E79,recreation_v2_common_4!E79,recreation_v2_common_3!E79,recreation_v2_common_2!E79,recreation_v2_common_1!E79)/COUNT(recreation_v2_common_5!E79,recreation_v2_common_4!E79,recreation_v2_common_3!E79,recreation_v2_common_2!E79,recreation_v2_common_1!E79),0))</f>
        <v>1</v>
      </c>
      <c r="F79">
        <f>IF($D79=0,"NA",ROUND(SUM(recreation_v2_common_5!F79,recreation_v2_common_4!F79,recreation_v2_common_3!F79,recreation_v2_common_2!F79,recreation_v2_common_1!F79)/COUNT(recreation_v2_common_5!F79,recreation_v2_common_4!F79,recreation_v2_common_3!F79,recreation_v2_common_2!F79,recreation_v2_common_1!F79),0))</f>
        <v>1</v>
      </c>
      <c r="G79">
        <f>IF(AND(E79=1,F79=1),ROUND(SUM(recreation_v2_common_5!G79,recreation_v2_common_4!G79,recreation_v2_common_3!G79,recreation_v2_common_2!G79,recreation_v2_common_1!G79)/COUNT(recreation_v2_common_5!G79,recreation_v2_common_4!G79,recreation_v2_common_3!G79,recreation_v2_common_2!G79,recreation_v2_common_1!G79),0),"NA")</f>
        <v>1</v>
      </c>
      <c r="H79">
        <f>IF($D79=0,"NA",ROUND(SUM(recreation_v2_common_5!H79,recreation_v2_common_4!H79,recreation_v2_common_3!H79,recreation_v2_common_2!H79,recreation_v2_common_1!H79)/COUNT(recreation_v2_common_5!H79,recreation_v2_common_4!H79,recreation_v2_common_3!H79,recreation_v2_common_2!H79,recreation_v2_common_1!H79),0))</f>
        <v>1</v>
      </c>
      <c r="I79">
        <f>IF(E79=1,ROUND(SUM(recreation_v2_common_5!I79,recreation_v2_common_4!I79,recreation_v2_common_3!I79,recreation_v2_common_2!I79,recreation_v2_common_1!I79)/COUNT(recreation_v2_common_5!I79,recreation_v2_common_4!I79,recreation_v2_common_3!I79,recreation_v2_common_2!I79,recreation_v2_common_1!I79),0),"NA")</f>
        <v>1</v>
      </c>
      <c r="J79">
        <f>IF($D79=0,"NA",ROUND(SUM(recreation_v2_common_5!J79,recreation_v2_common_4!J79,recreation_v2_common_3!J79,recreation_v2_common_2!J79,recreation_v2_common_1!J79)/COUNT(recreation_v2_common_5!J79,recreation_v2_common_4!J79,recreation_v2_common_3!J79,recreation_v2_common_2!J79,recreation_v2_common_1!J79),0))</f>
        <v>0</v>
      </c>
      <c r="K79">
        <f>IF($D79=0,"NA",ROUND(SUM(recreation_v2_common_5!K79,recreation_v2_common_4!K79,recreation_v2_common_3!K79,recreation_v2_common_2!K79,recreation_v2_common_1!K79)/COUNT(recreation_v2_common_5!K79,recreation_v2_common_4!K79,recreation_v2_common_3!K79,recreation_v2_common_2!K79,recreation_v2_common_1!K79),0))</f>
        <v>1</v>
      </c>
      <c r="L79">
        <f>IF($D79=0,"NA",ROUND(SUM(recreation_v2_common_5!L79,recreation_v2_common_4!L79,recreation_v2_common_3!L79,recreation_v2_common_2!L79,recreation_v2_common_1!L79)/COUNT(recreation_v2_common_5!L79,recreation_v2_common_4!L79,recreation_v2_common_3!L79,recreation_v2_common_2!L79,recreation_v2_common_1!L79),0))</f>
        <v>1</v>
      </c>
      <c r="M79">
        <f>IF($D79=0,"NA",ROUND(SUM(recreation_v2_common_5!M79,recreation_v2_common_4!M79,recreation_v2_common_3!M79,recreation_v2_common_2!M79,recreation_v2_common_1!M79)/COUNT(recreation_v2_common_5!M79,recreation_v2_common_4!M79,recreation_v2_common_3!M79,recreation_v2_common_2!M79,recreation_v2_common_1!M79),0))</f>
        <v>1</v>
      </c>
      <c r="N79">
        <f>IF($D79=0,"NA",ROUND(SUM(recreation_v2_common_5!N79,recreation_v2_common_4!N79,recreation_v2_common_3!N79,recreation_v2_common_2!N79,recreation_v2_common_1!N79)/COUNT(recreation_v2_common_5!N79,recreation_v2_common_4!N79,recreation_v2_common_3!N79,recreation_v2_common_2!N79,recreation_v2_common_1!N79),0))</f>
        <v>1</v>
      </c>
    </row>
    <row r="80" spans="1:14" x14ac:dyDescent="0.25">
      <c r="A80" t="s">
        <v>131</v>
      </c>
      <c r="B80">
        <v>0</v>
      </c>
      <c r="C80">
        <v>10.678633213043209</v>
      </c>
      <c r="D80">
        <f>ROUND(SUM(recreation_v2_common_5!D80,recreation_v2_common_4!D80,recreation_v2_common_3!D80,recreation_v2_common_2!D80,recreation_v2_common_1!D80)/COUNT(recreation_v2_common_5!D80,recreation_v2_common_4!D80,recreation_v2_common_3!D80,recreation_v2_common_2!D80,recreation_v2_common_1!D80),0)</f>
        <v>1</v>
      </c>
      <c r="E80">
        <f>IF($D80=0,"NA",ROUND(SUM(recreation_v2_common_5!E80,recreation_v2_common_4!E80,recreation_v2_common_3!E80,recreation_v2_common_2!E80,recreation_v2_common_1!E80)/COUNT(recreation_v2_common_5!E80,recreation_v2_common_4!E80,recreation_v2_common_3!E80,recreation_v2_common_2!E80,recreation_v2_common_1!E80),0))</f>
        <v>1</v>
      </c>
      <c r="F80">
        <f>IF($D80=0,"NA",ROUND(SUM(recreation_v2_common_5!F80,recreation_v2_common_4!F80,recreation_v2_common_3!F80,recreation_v2_common_2!F80,recreation_v2_common_1!F80)/COUNT(recreation_v2_common_5!F80,recreation_v2_common_4!F80,recreation_v2_common_3!F80,recreation_v2_common_2!F80,recreation_v2_common_1!F80),0))</f>
        <v>1</v>
      </c>
      <c r="G80">
        <f>IF(AND(E80=1,F80=1),ROUND(SUM(recreation_v2_common_5!G80,recreation_v2_common_4!G80,recreation_v2_common_3!G80,recreation_v2_common_2!G80,recreation_v2_common_1!G80)/COUNT(recreation_v2_common_5!G80,recreation_v2_common_4!G80,recreation_v2_common_3!G80,recreation_v2_common_2!G80,recreation_v2_common_1!G80),0),"NA")</f>
        <v>0</v>
      </c>
      <c r="H80">
        <f>IF($D80=0,"NA",ROUND(SUM(recreation_v2_common_5!H80,recreation_v2_common_4!H80,recreation_v2_common_3!H80,recreation_v2_common_2!H80,recreation_v2_common_1!H80)/COUNT(recreation_v2_common_5!H80,recreation_v2_common_4!H80,recreation_v2_common_3!H80,recreation_v2_common_2!H80,recreation_v2_common_1!H80),0))</f>
        <v>1</v>
      </c>
      <c r="I80">
        <f>IF(E80=1,ROUND(SUM(recreation_v2_common_5!I80,recreation_v2_common_4!I80,recreation_v2_common_3!I80,recreation_v2_common_2!I80,recreation_v2_common_1!I80)/COUNT(recreation_v2_common_5!I80,recreation_v2_common_4!I80,recreation_v2_common_3!I80,recreation_v2_common_2!I80,recreation_v2_common_1!I80),0),"NA")</f>
        <v>1</v>
      </c>
      <c r="J80">
        <f>IF($D80=0,"NA",ROUND(SUM(recreation_v2_common_5!J80,recreation_v2_common_4!J80,recreation_v2_common_3!J80,recreation_v2_common_2!J80,recreation_v2_common_1!J80)/COUNT(recreation_v2_common_5!J80,recreation_v2_common_4!J80,recreation_v2_common_3!J80,recreation_v2_common_2!J80,recreation_v2_common_1!J80),0))</f>
        <v>1</v>
      </c>
      <c r="K80">
        <f>IF($D80=0,"NA",ROUND(SUM(recreation_v2_common_5!K80,recreation_v2_common_4!K80,recreation_v2_common_3!K80,recreation_v2_common_2!K80,recreation_v2_common_1!K80)/COUNT(recreation_v2_common_5!K80,recreation_v2_common_4!K80,recreation_v2_common_3!K80,recreation_v2_common_2!K80,recreation_v2_common_1!K80),0))</f>
        <v>1</v>
      </c>
      <c r="L80">
        <f>IF($D80=0,"NA",ROUND(SUM(recreation_v2_common_5!L80,recreation_v2_common_4!L80,recreation_v2_common_3!L80,recreation_v2_common_2!L80,recreation_v2_common_1!L80)/COUNT(recreation_v2_common_5!L80,recreation_v2_common_4!L80,recreation_v2_common_3!L80,recreation_v2_common_2!L80,recreation_v2_common_1!L80),0))</f>
        <v>1</v>
      </c>
      <c r="M80">
        <f>IF($D80=0,"NA",ROUND(SUM(recreation_v2_common_5!M80,recreation_v2_common_4!M80,recreation_v2_common_3!M80,recreation_v2_common_2!M80,recreation_v2_common_1!M80)/COUNT(recreation_v2_common_5!M80,recreation_v2_common_4!M80,recreation_v2_common_3!M80,recreation_v2_common_2!M80,recreation_v2_common_1!M80),0))</f>
        <v>1</v>
      </c>
      <c r="N80">
        <f>IF($D80=0,"NA",ROUND(SUM(recreation_v2_common_5!N80,recreation_v2_common_4!N80,recreation_v2_common_3!N80,recreation_v2_common_2!N80,recreation_v2_common_1!N80)/COUNT(recreation_v2_common_5!N80,recreation_v2_common_4!N80,recreation_v2_common_3!N80,recreation_v2_common_2!N80,recreation_v2_common_1!N80),0))</f>
        <v>1</v>
      </c>
    </row>
    <row r="81" spans="1:14" x14ac:dyDescent="0.25">
      <c r="A81" t="s">
        <v>133</v>
      </c>
      <c r="B81">
        <v>0</v>
      </c>
      <c r="C81">
        <v>11.64985251426697</v>
      </c>
      <c r="D81">
        <f>ROUND(SUM(recreation_v2_common_5!D81,recreation_v2_common_4!D81,recreation_v2_common_3!D81,recreation_v2_common_2!D81,recreation_v2_common_1!D81)/COUNT(recreation_v2_common_5!D81,recreation_v2_common_4!D81,recreation_v2_common_3!D81,recreation_v2_common_2!D81,recreation_v2_common_1!D81),0)</f>
        <v>1</v>
      </c>
      <c r="E81">
        <f>IF($D81=0,"NA",ROUND(SUM(recreation_v2_common_5!E81,recreation_v2_common_4!E81,recreation_v2_common_3!E81,recreation_v2_common_2!E81,recreation_v2_common_1!E81)/COUNT(recreation_v2_common_5!E81,recreation_v2_common_4!E81,recreation_v2_common_3!E81,recreation_v2_common_2!E81,recreation_v2_common_1!E81),0))</f>
        <v>1</v>
      </c>
      <c r="F81">
        <f>IF($D81=0,"NA",ROUND(SUM(recreation_v2_common_5!F81,recreation_v2_common_4!F81,recreation_v2_common_3!F81,recreation_v2_common_2!F81,recreation_v2_common_1!F81)/COUNT(recreation_v2_common_5!F81,recreation_v2_common_4!F81,recreation_v2_common_3!F81,recreation_v2_common_2!F81,recreation_v2_common_1!F81),0))</f>
        <v>0</v>
      </c>
      <c r="G81" t="str">
        <f>IF(AND(E81=1,F81=1),ROUND(SUM(recreation_v2_common_5!G81,recreation_v2_common_4!G81,recreation_v2_common_3!G81,recreation_v2_common_2!G81,recreation_v2_common_1!G81)/COUNT(recreation_v2_common_5!G81,recreation_v2_common_4!G81,recreation_v2_common_3!G81,recreation_v2_common_2!G81,recreation_v2_common_1!G81),0),"NA")</f>
        <v>NA</v>
      </c>
      <c r="H81">
        <f>IF($D81=0,"NA",ROUND(SUM(recreation_v2_common_5!H81,recreation_v2_common_4!H81,recreation_v2_common_3!H81,recreation_v2_common_2!H81,recreation_v2_common_1!H81)/COUNT(recreation_v2_common_5!H81,recreation_v2_common_4!H81,recreation_v2_common_3!H81,recreation_v2_common_2!H81,recreation_v2_common_1!H81),0))</f>
        <v>1</v>
      </c>
      <c r="I81">
        <f>IF(E81=1,ROUND(SUM(recreation_v2_common_5!I81,recreation_v2_common_4!I81,recreation_v2_common_3!I81,recreation_v2_common_2!I81,recreation_v2_common_1!I81)/COUNT(recreation_v2_common_5!I81,recreation_v2_common_4!I81,recreation_v2_common_3!I81,recreation_v2_common_2!I81,recreation_v2_common_1!I81),0),"NA")</f>
        <v>1</v>
      </c>
      <c r="J81">
        <f>IF($D81=0,"NA",ROUND(SUM(recreation_v2_common_5!J81,recreation_v2_common_4!J81,recreation_v2_common_3!J81,recreation_v2_common_2!J81,recreation_v2_common_1!J81)/COUNT(recreation_v2_common_5!J81,recreation_v2_common_4!J81,recreation_v2_common_3!J81,recreation_v2_common_2!J81,recreation_v2_common_1!J81),0))</f>
        <v>1</v>
      </c>
      <c r="K81">
        <f>IF($D81=0,"NA",ROUND(SUM(recreation_v2_common_5!K81,recreation_v2_common_4!K81,recreation_v2_common_3!K81,recreation_v2_common_2!K81,recreation_v2_common_1!K81)/COUNT(recreation_v2_common_5!K81,recreation_v2_common_4!K81,recreation_v2_common_3!K81,recreation_v2_common_2!K81,recreation_v2_common_1!K81),0))</f>
        <v>1</v>
      </c>
      <c r="L81">
        <f>IF($D81=0,"NA",ROUND(SUM(recreation_v2_common_5!L81,recreation_v2_common_4!L81,recreation_v2_common_3!L81,recreation_v2_common_2!L81,recreation_v2_common_1!L81)/COUNT(recreation_v2_common_5!L81,recreation_v2_common_4!L81,recreation_v2_common_3!L81,recreation_v2_common_2!L81,recreation_v2_common_1!L81),0))</f>
        <v>1</v>
      </c>
      <c r="M81">
        <f>IF($D81=0,"NA",ROUND(SUM(recreation_v2_common_5!M81,recreation_v2_common_4!M81,recreation_v2_common_3!M81,recreation_v2_common_2!M81,recreation_v2_common_1!M81)/COUNT(recreation_v2_common_5!M81,recreation_v2_common_4!M81,recreation_v2_common_3!M81,recreation_v2_common_2!M81,recreation_v2_common_1!M81),0))</f>
        <v>1</v>
      </c>
      <c r="N81">
        <f>IF($D81=0,"NA",ROUND(SUM(recreation_v2_common_5!N81,recreation_v2_common_4!N81,recreation_v2_common_3!N81,recreation_v2_common_2!N81,recreation_v2_common_1!N81)/COUNT(recreation_v2_common_5!N81,recreation_v2_common_4!N81,recreation_v2_common_3!N81,recreation_v2_common_2!N81,recreation_v2_common_1!N81),0))</f>
        <v>1</v>
      </c>
    </row>
    <row r="82" spans="1:14" x14ac:dyDescent="0.25">
      <c r="A82" t="s">
        <v>135</v>
      </c>
      <c r="B82">
        <v>0</v>
      </c>
      <c r="C82">
        <v>9.8090877532958984</v>
      </c>
      <c r="D82">
        <f>ROUND(SUM(recreation_v2_common_5!D82,recreation_v2_common_4!D82,recreation_v2_common_3!D82,recreation_v2_common_2!D82,recreation_v2_common_1!D82)/COUNT(recreation_v2_common_5!D82,recreation_v2_common_4!D82,recreation_v2_common_3!D82,recreation_v2_common_2!D82,recreation_v2_common_1!D82),0)</f>
        <v>1</v>
      </c>
      <c r="E82">
        <f>IF($D82=0,"NA",ROUND(SUM(recreation_v2_common_5!E82,recreation_v2_common_4!E82,recreation_v2_common_3!E82,recreation_v2_common_2!E82,recreation_v2_common_1!E82)/COUNT(recreation_v2_common_5!E82,recreation_v2_common_4!E82,recreation_v2_common_3!E82,recreation_v2_common_2!E82,recreation_v2_common_1!E82),0))</f>
        <v>1</v>
      </c>
      <c r="F82">
        <f>IF($D82=0,"NA",ROUND(SUM(recreation_v2_common_5!F82,recreation_v2_common_4!F82,recreation_v2_common_3!F82,recreation_v2_common_2!F82,recreation_v2_common_1!F82)/COUNT(recreation_v2_common_5!F82,recreation_v2_common_4!F82,recreation_v2_common_3!F82,recreation_v2_common_2!F82,recreation_v2_common_1!F82),0))</f>
        <v>1</v>
      </c>
      <c r="G82">
        <f>IF(AND(E82=1,F82=1),ROUND(SUM(recreation_v2_common_5!G82,recreation_v2_common_4!G82,recreation_v2_common_3!G82,recreation_v2_common_2!G82,recreation_v2_common_1!G82)/COUNT(recreation_v2_common_5!G82,recreation_v2_common_4!G82,recreation_v2_common_3!G82,recreation_v2_common_2!G82,recreation_v2_common_1!G82),0),"NA")</f>
        <v>1</v>
      </c>
      <c r="H82">
        <f>IF($D82=0,"NA",ROUND(SUM(recreation_v2_common_5!H82,recreation_v2_common_4!H82,recreation_v2_common_3!H82,recreation_v2_common_2!H82,recreation_v2_common_1!H82)/COUNT(recreation_v2_common_5!H82,recreation_v2_common_4!H82,recreation_v2_common_3!H82,recreation_v2_common_2!H82,recreation_v2_common_1!H82),0))</f>
        <v>1</v>
      </c>
      <c r="I82">
        <f>IF(E82=1,ROUND(SUM(recreation_v2_common_5!I82,recreation_v2_common_4!I82,recreation_v2_common_3!I82,recreation_v2_common_2!I82,recreation_v2_common_1!I82)/COUNT(recreation_v2_common_5!I82,recreation_v2_common_4!I82,recreation_v2_common_3!I82,recreation_v2_common_2!I82,recreation_v2_common_1!I82),0),"NA")</f>
        <v>1</v>
      </c>
      <c r="J82">
        <f>IF($D82=0,"NA",ROUND(SUM(recreation_v2_common_5!J82,recreation_v2_common_4!J82,recreation_v2_common_3!J82,recreation_v2_common_2!J82,recreation_v2_common_1!J82)/COUNT(recreation_v2_common_5!J82,recreation_v2_common_4!J82,recreation_v2_common_3!J82,recreation_v2_common_2!J82,recreation_v2_common_1!J82),0))</f>
        <v>1</v>
      </c>
      <c r="K82">
        <f>IF($D82=0,"NA",ROUND(SUM(recreation_v2_common_5!K82,recreation_v2_common_4!K82,recreation_v2_common_3!K82,recreation_v2_common_2!K82,recreation_v2_common_1!K82)/COUNT(recreation_v2_common_5!K82,recreation_v2_common_4!K82,recreation_v2_common_3!K82,recreation_v2_common_2!K82,recreation_v2_common_1!K82),0))</f>
        <v>1</v>
      </c>
      <c r="L82">
        <f>IF($D82=0,"NA",ROUND(SUM(recreation_v2_common_5!L82,recreation_v2_common_4!L82,recreation_v2_common_3!L82,recreation_v2_common_2!L82,recreation_v2_common_1!L82)/COUNT(recreation_v2_common_5!L82,recreation_v2_common_4!L82,recreation_v2_common_3!L82,recreation_v2_common_2!L82,recreation_v2_common_1!L82),0))</f>
        <v>1</v>
      </c>
      <c r="M82">
        <f>IF($D82=0,"NA",ROUND(SUM(recreation_v2_common_5!M82,recreation_v2_common_4!M82,recreation_v2_common_3!M82,recreation_v2_common_2!M82,recreation_v2_common_1!M82)/COUNT(recreation_v2_common_5!M82,recreation_v2_common_4!M82,recreation_v2_common_3!M82,recreation_v2_common_2!M82,recreation_v2_common_1!M82),0))</f>
        <v>1</v>
      </c>
      <c r="N82">
        <f>IF($D82=0,"NA",ROUND(SUM(recreation_v2_common_5!N82,recreation_v2_common_4!N82,recreation_v2_common_3!N82,recreation_v2_common_2!N82,recreation_v2_common_1!N82)/COUNT(recreation_v2_common_5!N82,recreation_v2_common_4!N82,recreation_v2_common_3!N82,recreation_v2_common_2!N82,recreation_v2_common_1!N82),0))</f>
        <v>1</v>
      </c>
    </row>
    <row r="83" spans="1:14" x14ac:dyDescent="0.25">
      <c r="A83" t="s">
        <v>136</v>
      </c>
      <c r="B83">
        <v>0</v>
      </c>
      <c r="C83">
        <v>9.0376558303833008</v>
      </c>
      <c r="D83">
        <f>ROUND(SUM(recreation_v2_common_5!D83,recreation_v2_common_4!D83,recreation_v2_common_3!D83,recreation_v2_common_2!D83,recreation_v2_common_1!D83)/COUNT(recreation_v2_common_5!D83,recreation_v2_common_4!D83,recreation_v2_common_3!D83,recreation_v2_common_2!D83,recreation_v2_common_1!D83),0)</f>
        <v>1</v>
      </c>
      <c r="E83">
        <f>IF($D83=0,"NA",ROUND(SUM(recreation_v2_common_5!E83,recreation_v2_common_4!E83,recreation_v2_common_3!E83,recreation_v2_common_2!E83,recreation_v2_common_1!E83)/COUNT(recreation_v2_common_5!E83,recreation_v2_common_4!E83,recreation_v2_common_3!E83,recreation_v2_common_2!E83,recreation_v2_common_1!E83),0))</f>
        <v>1</v>
      </c>
      <c r="F83">
        <f>IF($D83=0,"NA",ROUND(SUM(recreation_v2_common_5!F83,recreation_v2_common_4!F83,recreation_v2_common_3!F83,recreation_v2_common_2!F83,recreation_v2_common_1!F83)/COUNT(recreation_v2_common_5!F83,recreation_v2_common_4!F83,recreation_v2_common_3!F83,recreation_v2_common_2!F83,recreation_v2_common_1!F83),0))</f>
        <v>1</v>
      </c>
      <c r="G83">
        <f>IF(AND(E83=1,F83=1),ROUND(SUM(recreation_v2_common_5!G83,recreation_v2_common_4!G83,recreation_v2_common_3!G83,recreation_v2_common_2!G83,recreation_v2_common_1!G83)/COUNT(recreation_v2_common_5!G83,recreation_v2_common_4!G83,recreation_v2_common_3!G83,recreation_v2_common_2!G83,recreation_v2_common_1!G83),0),"NA")</f>
        <v>1</v>
      </c>
      <c r="H83">
        <f>IF($D83=0,"NA",ROUND(SUM(recreation_v2_common_5!H83,recreation_v2_common_4!H83,recreation_v2_common_3!H83,recreation_v2_common_2!H83,recreation_v2_common_1!H83)/COUNT(recreation_v2_common_5!H83,recreation_v2_common_4!H83,recreation_v2_common_3!H83,recreation_v2_common_2!H83,recreation_v2_common_1!H83),0))</f>
        <v>1</v>
      </c>
      <c r="I83">
        <f>IF(E83=1,ROUND(SUM(recreation_v2_common_5!I83,recreation_v2_common_4!I83,recreation_v2_common_3!I83,recreation_v2_common_2!I83,recreation_v2_common_1!I83)/COUNT(recreation_v2_common_5!I83,recreation_v2_common_4!I83,recreation_v2_common_3!I83,recreation_v2_common_2!I83,recreation_v2_common_1!I83),0),"NA")</f>
        <v>1</v>
      </c>
      <c r="J83">
        <f>IF($D83=0,"NA",ROUND(SUM(recreation_v2_common_5!J83,recreation_v2_common_4!J83,recreation_v2_common_3!J83,recreation_v2_common_2!J83,recreation_v2_common_1!J83)/COUNT(recreation_v2_common_5!J83,recreation_v2_common_4!J83,recreation_v2_common_3!J83,recreation_v2_common_2!J83,recreation_v2_common_1!J83),0))</f>
        <v>0</v>
      </c>
      <c r="K83">
        <f>IF($D83=0,"NA",ROUND(SUM(recreation_v2_common_5!K83,recreation_v2_common_4!K83,recreation_v2_common_3!K83,recreation_v2_common_2!K83,recreation_v2_common_1!K83)/COUNT(recreation_v2_common_5!K83,recreation_v2_common_4!K83,recreation_v2_common_3!K83,recreation_v2_common_2!K83,recreation_v2_common_1!K83),0))</f>
        <v>1</v>
      </c>
      <c r="L83">
        <f>IF($D83=0,"NA",ROUND(SUM(recreation_v2_common_5!L83,recreation_v2_common_4!L83,recreation_v2_common_3!L83,recreation_v2_common_2!L83,recreation_v2_common_1!L83)/COUNT(recreation_v2_common_5!L83,recreation_v2_common_4!L83,recreation_v2_common_3!L83,recreation_v2_common_2!L83,recreation_v2_common_1!L83),0))</f>
        <v>1</v>
      </c>
      <c r="M83">
        <f>IF($D83=0,"NA",ROUND(SUM(recreation_v2_common_5!M83,recreation_v2_common_4!M83,recreation_v2_common_3!M83,recreation_v2_common_2!M83,recreation_v2_common_1!M83)/COUNT(recreation_v2_common_5!M83,recreation_v2_common_4!M83,recreation_v2_common_3!M83,recreation_v2_common_2!M83,recreation_v2_common_1!M83),0))</f>
        <v>1</v>
      </c>
      <c r="N83">
        <f>IF($D83=0,"NA",ROUND(SUM(recreation_v2_common_5!N83,recreation_v2_common_4!N83,recreation_v2_common_3!N83,recreation_v2_common_2!N83,recreation_v2_common_1!N83)/COUNT(recreation_v2_common_5!N83,recreation_v2_common_4!N83,recreation_v2_common_3!N83,recreation_v2_common_2!N83,recreation_v2_common_1!N83),0))</f>
        <v>1</v>
      </c>
    </row>
    <row r="84" spans="1:14" x14ac:dyDescent="0.25">
      <c r="A84" t="s">
        <v>138</v>
      </c>
      <c r="B84">
        <v>0</v>
      </c>
      <c r="C84">
        <v>5.0551948547363281</v>
      </c>
      <c r="D84">
        <f>ROUND(SUM(recreation_v2_common_5!D84,recreation_v2_common_4!D84,recreation_v2_common_3!D84,recreation_v2_common_2!D84,recreation_v2_common_1!D84)/COUNT(recreation_v2_common_5!D84,recreation_v2_common_4!D84,recreation_v2_common_3!D84,recreation_v2_common_2!D84,recreation_v2_common_1!D84),0)</f>
        <v>1</v>
      </c>
      <c r="E84">
        <f>IF($D84=0,"NA",ROUND(SUM(recreation_v2_common_5!E84,recreation_v2_common_4!E84,recreation_v2_common_3!E84,recreation_v2_common_2!E84,recreation_v2_common_1!E84)/COUNT(recreation_v2_common_5!E84,recreation_v2_common_4!E84,recreation_v2_common_3!E84,recreation_v2_common_2!E84,recreation_v2_common_1!E84),0))</f>
        <v>1</v>
      </c>
      <c r="F84">
        <f>IF($D84=0,"NA",ROUND(SUM(recreation_v2_common_5!F84,recreation_v2_common_4!F84,recreation_v2_common_3!F84,recreation_v2_common_2!F84,recreation_v2_common_1!F84)/COUNT(recreation_v2_common_5!F84,recreation_v2_common_4!F84,recreation_v2_common_3!F84,recreation_v2_common_2!F84,recreation_v2_common_1!F84),0))</f>
        <v>1</v>
      </c>
      <c r="G84">
        <f>IF(AND(E84=1,F84=1),ROUND(SUM(recreation_v2_common_5!G84,recreation_v2_common_4!G84,recreation_v2_common_3!G84,recreation_v2_common_2!G84,recreation_v2_common_1!G84)/COUNT(recreation_v2_common_5!G84,recreation_v2_common_4!G84,recreation_v2_common_3!G84,recreation_v2_common_2!G84,recreation_v2_common_1!G84),0),"NA")</f>
        <v>1</v>
      </c>
      <c r="H84">
        <f>IF($D84=0,"NA",ROUND(SUM(recreation_v2_common_5!H84,recreation_v2_common_4!H84,recreation_v2_common_3!H84,recreation_v2_common_2!H84,recreation_v2_common_1!H84)/COUNT(recreation_v2_common_5!H84,recreation_v2_common_4!H84,recreation_v2_common_3!H84,recreation_v2_common_2!H84,recreation_v2_common_1!H84),0))</f>
        <v>1</v>
      </c>
      <c r="I84">
        <f>IF(E84=1,ROUND(SUM(recreation_v2_common_5!I84,recreation_v2_common_4!I84,recreation_v2_common_3!I84,recreation_v2_common_2!I84,recreation_v2_common_1!I84)/COUNT(recreation_v2_common_5!I84,recreation_v2_common_4!I84,recreation_v2_common_3!I84,recreation_v2_common_2!I84,recreation_v2_common_1!I84),0),"NA")</f>
        <v>0</v>
      </c>
      <c r="J84">
        <f>IF($D84=0,"NA",ROUND(SUM(recreation_v2_common_5!J84,recreation_v2_common_4!J84,recreation_v2_common_3!J84,recreation_v2_common_2!J84,recreation_v2_common_1!J84)/COUNT(recreation_v2_common_5!J84,recreation_v2_common_4!J84,recreation_v2_common_3!J84,recreation_v2_common_2!J84,recreation_v2_common_1!J84),0))</f>
        <v>1</v>
      </c>
      <c r="K84">
        <f>IF($D84=0,"NA",ROUND(SUM(recreation_v2_common_5!K84,recreation_v2_common_4!K84,recreation_v2_common_3!K84,recreation_v2_common_2!K84,recreation_v2_common_1!K84)/COUNT(recreation_v2_common_5!K84,recreation_v2_common_4!K84,recreation_v2_common_3!K84,recreation_v2_common_2!K84,recreation_v2_common_1!K84),0))</f>
        <v>1</v>
      </c>
      <c r="L84">
        <f>IF($D84=0,"NA",ROUND(SUM(recreation_v2_common_5!L84,recreation_v2_common_4!L84,recreation_v2_common_3!L84,recreation_v2_common_2!L84,recreation_v2_common_1!L84)/COUNT(recreation_v2_common_5!L84,recreation_v2_common_4!L84,recreation_v2_common_3!L84,recreation_v2_common_2!L84,recreation_v2_common_1!L84),0))</f>
        <v>1</v>
      </c>
      <c r="M84">
        <f>IF($D84=0,"NA",ROUND(SUM(recreation_v2_common_5!M84,recreation_v2_common_4!M84,recreation_v2_common_3!M84,recreation_v2_common_2!M84,recreation_v2_common_1!M84)/COUNT(recreation_v2_common_5!M84,recreation_v2_common_4!M84,recreation_v2_common_3!M84,recreation_v2_common_2!M84,recreation_v2_common_1!M84),0))</f>
        <v>1</v>
      </c>
      <c r="N84">
        <f>IF($D84=0,"NA",ROUND(SUM(recreation_v2_common_5!N84,recreation_v2_common_4!N84,recreation_v2_common_3!N84,recreation_v2_common_2!N84,recreation_v2_common_1!N84)/COUNT(recreation_v2_common_5!N84,recreation_v2_common_4!N84,recreation_v2_common_3!N84,recreation_v2_common_2!N84,recreation_v2_common_1!N84),0))</f>
        <v>1</v>
      </c>
    </row>
    <row r="85" spans="1:14" x14ac:dyDescent="0.25">
      <c r="A85" t="s">
        <v>140</v>
      </c>
      <c r="B85">
        <v>0</v>
      </c>
      <c r="C85">
        <v>10.18566846847534</v>
      </c>
      <c r="D85">
        <f>ROUND(SUM(recreation_v2_common_5!D85,recreation_v2_common_4!D85,recreation_v2_common_3!D85,recreation_v2_common_2!D85,recreation_v2_common_1!D85)/COUNT(recreation_v2_common_5!D85,recreation_v2_common_4!D85,recreation_v2_common_3!D85,recreation_v2_common_2!D85,recreation_v2_common_1!D85),0)</f>
        <v>1</v>
      </c>
      <c r="E85">
        <f>IF($D85=0,"NA",ROUND(SUM(recreation_v2_common_5!E85,recreation_v2_common_4!E85,recreation_v2_common_3!E85,recreation_v2_common_2!E85,recreation_v2_common_1!E85)/COUNT(recreation_v2_common_5!E85,recreation_v2_common_4!E85,recreation_v2_common_3!E85,recreation_v2_common_2!E85,recreation_v2_common_1!E85),0))</f>
        <v>1</v>
      </c>
      <c r="F85">
        <f>IF($D85=0,"NA",ROUND(SUM(recreation_v2_common_5!F85,recreation_v2_common_4!F85,recreation_v2_common_3!F85,recreation_v2_common_2!F85,recreation_v2_common_1!F85)/COUNT(recreation_v2_common_5!F85,recreation_v2_common_4!F85,recreation_v2_common_3!F85,recreation_v2_common_2!F85,recreation_v2_common_1!F85),0))</f>
        <v>1</v>
      </c>
      <c r="G85">
        <f>IF(AND(E85=1,F85=1),ROUND(SUM(recreation_v2_common_5!G85,recreation_v2_common_4!G85,recreation_v2_common_3!G85,recreation_v2_common_2!G85,recreation_v2_common_1!G85)/COUNT(recreation_v2_common_5!G85,recreation_v2_common_4!G85,recreation_v2_common_3!G85,recreation_v2_common_2!G85,recreation_v2_common_1!G85),0),"NA")</f>
        <v>1</v>
      </c>
      <c r="H85">
        <f>IF($D85=0,"NA",ROUND(SUM(recreation_v2_common_5!H85,recreation_v2_common_4!H85,recreation_v2_common_3!H85,recreation_v2_common_2!H85,recreation_v2_common_1!H85)/COUNT(recreation_v2_common_5!H85,recreation_v2_common_4!H85,recreation_v2_common_3!H85,recreation_v2_common_2!H85,recreation_v2_common_1!H85),0))</f>
        <v>1</v>
      </c>
      <c r="I85">
        <f>IF(E85=1,ROUND(SUM(recreation_v2_common_5!I85,recreation_v2_common_4!I85,recreation_v2_common_3!I85,recreation_v2_common_2!I85,recreation_v2_common_1!I85)/COUNT(recreation_v2_common_5!I85,recreation_v2_common_4!I85,recreation_v2_common_3!I85,recreation_v2_common_2!I85,recreation_v2_common_1!I85),0),"NA")</f>
        <v>0</v>
      </c>
      <c r="J85">
        <f>IF($D85=0,"NA",ROUND(SUM(recreation_v2_common_5!J85,recreation_v2_common_4!J85,recreation_v2_common_3!J85,recreation_v2_common_2!J85,recreation_v2_common_1!J85)/COUNT(recreation_v2_common_5!J85,recreation_v2_common_4!J85,recreation_v2_common_3!J85,recreation_v2_common_2!J85,recreation_v2_common_1!J85),0))</f>
        <v>1</v>
      </c>
      <c r="K85">
        <f>IF($D85=0,"NA",ROUND(SUM(recreation_v2_common_5!K85,recreation_v2_common_4!K85,recreation_v2_common_3!K85,recreation_v2_common_2!K85,recreation_v2_common_1!K85)/COUNT(recreation_v2_common_5!K85,recreation_v2_common_4!K85,recreation_v2_common_3!K85,recreation_v2_common_2!K85,recreation_v2_common_1!K85),0))</f>
        <v>1</v>
      </c>
      <c r="L85">
        <f>IF($D85=0,"NA",ROUND(SUM(recreation_v2_common_5!L85,recreation_v2_common_4!L85,recreation_v2_common_3!L85,recreation_v2_common_2!L85,recreation_v2_common_1!L85)/COUNT(recreation_v2_common_5!L85,recreation_v2_common_4!L85,recreation_v2_common_3!L85,recreation_v2_common_2!L85,recreation_v2_common_1!L85),0))</f>
        <v>1</v>
      </c>
      <c r="M85">
        <f>IF($D85=0,"NA",ROUND(SUM(recreation_v2_common_5!M85,recreation_v2_common_4!M85,recreation_v2_common_3!M85,recreation_v2_common_2!M85,recreation_v2_common_1!M85)/COUNT(recreation_v2_common_5!M85,recreation_v2_common_4!M85,recreation_v2_common_3!M85,recreation_v2_common_2!M85,recreation_v2_common_1!M85),0))</f>
        <v>1</v>
      </c>
      <c r="N85">
        <f>IF($D85=0,"NA",ROUND(SUM(recreation_v2_common_5!N85,recreation_v2_common_4!N85,recreation_v2_common_3!N85,recreation_v2_common_2!N85,recreation_v2_common_1!N85)/COUNT(recreation_v2_common_5!N85,recreation_v2_common_4!N85,recreation_v2_common_3!N85,recreation_v2_common_2!N85,recreation_v2_common_1!N85),0))</f>
        <v>1</v>
      </c>
    </row>
    <row r="86" spans="1:14" x14ac:dyDescent="0.25">
      <c r="A86" t="s">
        <v>142</v>
      </c>
      <c r="B86">
        <v>0</v>
      </c>
      <c r="C86">
        <v>4.7969124317169189</v>
      </c>
      <c r="D86">
        <f>ROUND(SUM(recreation_v2_common_5!D86,recreation_v2_common_4!D86,recreation_v2_common_3!D86,recreation_v2_common_2!D86,recreation_v2_common_1!D86)/COUNT(recreation_v2_common_5!D86,recreation_v2_common_4!D86,recreation_v2_common_3!D86,recreation_v2_common_2!D86,recreation_v2_common_1!D86),0)</f>
        <v>1</v>
      </c>
      <c r="E86">
        <f>IF($D86=0,"NA",ROUND(SUM(recreation_v2_common_5!E86,recreation_v2_common_4!E86,recreation_v2_common_3!E86,recreation_v2_common_2!E86,recreation_v2_common_1!E86)/COUNT(recreation_v2_common_5!E86,recreation_v2_common_4!E86,recreation_v2_common_3!E86,recreation_v2_common_2!E86,recreation_v2_common_1!E86),0))</f>
        <v>1</v>
      </c>
      <c r="F86">
        <f>IF($D86=0,"NA",ROUND(SUM(recreation_v2_common_5!F86,recreation_v2_common_4!F86,recreation_v2_common_3!F86,recreation_v2_common_2!F86,recreation_v2_common_1!F86)/COUNT(recreation_v2_common_5!F86,recreation_v2_common_4!F86,recreation_v2_common_3!F86,recreation_v2_common_2!F86,recreation_v2_common_1!F86),0))</f>
        <v>1</v>
      </c>
      <c r="G86">
        <f>IF(AND(E86=1,F86=1),ROUND(SUM(recreation_v2_common_5!G86,recreation_v2_common_4!G86,recreation_v2_common_3!G86,recreation_v2_common_2!G86,recreation_v2_common_1!G86)/COUNT(recreation_v2_common_5!G86,recreation_v2_common_4!G86,recreation_v2_common_3!G86,recreation_v2_common_2!G86,recreation_v2_common_1!G86),0),"NA")</f>
        <v>1</v>
      </c>
      <c r="H86">
        <f>IF($D86=0,"NA",ROUND(SUM(recreation_v2_common_5!H86,recreation_v2_common_4!H86,recreation_v2_common_3!H86,recreation_v2_common_2!H86,recreation_v2_common_1!H86)/COUNT(recreation_v2_common_5!H86,recreation_v2_common_4!H86,recreation_v2_common_3!H86,recreation_v2_common_2!H86,recreation_v2_common_1!H86),0))</f>
        <v>1</v>
      </c>
      <c r="I86">
        <f>IF(E86=1,ROUND(SUM(recreation_v2_common_5!I86,recreation_v2_common_4!I86,recreation_v2_common_3!I86,recreation_v2_common_2!I86,recreation_v2_common_1!I86)/COUNT(recreation_v2_common_5!I86,recreation_v2_common_4!I86,recreation_v2_common_3!I86,recreation_v2_common_2!I86,recreation_v2_common_1!I86),0),"NA")</f>
        <v>0</v>
      </c>
      <c r="J86">
        <f>IF($D86=0,"NA",ROUND(SUM(recreation_v2_common_5!J86,recreation_v2_common_4!J86,recreation_v2_common_3!J86,recreation_v2_common_2!J86,recreation_v2_common_1!J86)/COUNT(recreation_v2_common_5!J86,recreation_v2_common_4!J86,recreation_v2_common_3!J86,recreation_v2_common_2!J86,recreation_v2_common_1!J86),0))</f>
        <v>1</v>
      </c>
      <c r="K86">
        <f>IF($D86=0,"NA",ROUND(SUM(recreation_v2_common_5!K86,recreation_v2_common_4!K86,recreation_v2_common_3!K86,recreation_v2_common_2!K86,recreation_v2_common_1!K86)/COUNT(recreation_v2_common_5!K86,recreation_v2_common_4!K86,recreation_v2_common_3!K86,recreation_v2_common_2!K86,recreation_v2_common_1!K86),0))</f>
        <v>1</v>
      </c>
      <c r="L86">
        <f>IF($D86=0,"NA",ROUND(SUM(recreation_v2_common_5!L86,recreation_v2_common_4!L86,recreation_v2_common_3!L86,recreation_v2_common_2!L86,recreation_v2_common_1!L86)/COUNT(recreation_v2_common_5!L86,recreation_v2_common_4!L86,recreation_v2_common_3!L86,recreation_v2_common_2!L86,recreation_v2_common_1!L86),0))</f>
        <v>1</v>
      </c>
      <c r="M86">
        <f>IF($D86=0,"NA",ROUND(SUM(recreation_v2_common_5!M86,recreation_v2_common_4!M86,recreation_v2_common_3!M86,recreation_v2_common_2!M86,recreation_v2_common_1!M86)/COUNT(recreation_v2_common_5!M86,recreation_v2_common_4!M86,recreation_v2_common_3!M86,recreation_v2_common_2!M86,recreation_v2_common_1!M86),0))</f>
        <v>1</v>
      </c>
      <c r="N86">
        <f>IF($D86=0,"NA",ROUND(SUM(recreation_v2_common_5!N86,recreation_v2_common_4!N86,recreation_v2_common_3!N86,recreation_v2_common_2!N86,recreation_v2_common_1!N86)/COUNT(recreation_v2_common_5!N86,recreation_v2_common_4!N86,recreation_v2_common_3!N86,recreation_v2_common_2!N86,recreation_v2_common_1!N86),0))</f>
        <v>1</v>
      </c>
    </row>
    <row r="87" spans="1:14" x14ac:dyDescent="0.25">
      <c r="A87" t="s">
        <v>144</v>
      </c>
      <c r="B87">
        <v>0</v>
      </c>
      <c r="C87">
        <v>2.758276224136353</v>
      </c>
      <c r="D87">
        <f>ROUND(SUM(recreation_v2_common_5!D87,recreation_v2_common_4!D87,recreation_v2_common_3!D87,recreation_v2_common_2!D87,recreation_v2_common_1!D87)/COUNT(recreation_v2_common_5!D87,recreation_v2_common_4!D87,recreation_v2_common_3!D87,recreation_v2_common_2!D87,recreation_v2_common_1!D87),0)</f>
        <v>1</v>
      </c>
      <c r="E87">
        <f>IF($D87=0,"NA",ROUND(SUM(recreation_v2_common_5!E87,recreation_v2_common_4!E87,recreation_v2_common_3!E87,recreation_v2_common_2!E87,recreation_v2_common_1!E87)/COUNT(recreation_v2_common_5!E87,recreation_v2_common_4!E87,recreation_v2_common_3!E87,recreation_v2_common_2!E87,recreation_v2_common_1!E87),0))</f>
        <v>1</v>
      </c>
      <c r="F87">
        <f>IF($D87=0,"NA",ROUND(SUM(recreation_v2_common_5!F87,recreation_v2_common_4!F87,recreation_v2_common_3!F87,recreation_v2_common_2!F87,recreation_v2_common_1!F87)/COUNT(recreation_v2_common_5!F87,recreation_v2_common_4!F87,recreation_v2_common_3!F87,recreation_v2_common_2!F87,recreation_v2_common_1!F87),0))</f>
        <v>1</v>
      </c>
      <c r="G87">
        <f>IF(AND(E87=1,F87=1),ROUND(SUM(recreation_v2_common_5!G87,recreation_v2_common_4!G87,recreation_v2_common_3!G87,recreation_v2_common_2!G87,recreation_v2_common_1!G87)/COUNT(recreation_v2_common_5!G87,recreation_v2_common_4!G87,recreation_v2_common_3!G87,recreation_v2_common_2!G87,recreation_v2_common_1!G87),0),"NA")</f>
        <v>1</v>
      </c>
      <c r="H87">
        <f>IF($D87=0,"NA",ROUND(SUM(recreation_v2_common_5!H87,recreation_v2_common_4!H87,recreation_v2_common_3!H87,recreation_v2_common_2!H87,recreation_v2_common_1!H87)/COUNT(recreation_v2_common_5!H87,recreation_v2_common_4!H87,recreation_v2_common_3!H87,recreation_v2_common_2!H87,recreation_v2_common_1!H87),0))</f>
        <v>1</v>
      </c>
      <c r="I87">
        <f>IF(E87=1,ROUND(SUM(recreation_v2_common_5!I87,recreation_v2_common_4!I87,recreation_v2_common_3!I87,recreation_v2_common_2!I87,recreation_v2_common_1!I87)/COUNT(recreation_v2_common_5!I87,recreation_v2_common_4!I87,recreation_v2_common_3!I87,recreation_v2_common_2!I87,recreation_v2_common_1!I87),0),"NA")</f>
        <v>1</v>
      </c>
      <c r="J87">
        <f>IF($D87=0,"NA",ROUND(SUM(recreation_v2_common_5!J87,recreation_v2_common_4!J87,recreation_v2_common_3!J87,recreation_v2_common_2!J87,recreation_v2_common_1!J87)/COUNT(recreation_v2_common_5!J87,recreation_v2_common_4!J87,recreation_v2_common_3!J87,recreation_v2_common_2!J87,recreation_v2_common_1!J87),0))</f>
        <v>1</v>
      </c>
      <c r="K87">
        <f>IF($D87=0,"NA",ROUND(SUM(recreation_v2_common_5!K87,recreation_v2_common_4!K87,recreation_v2_common_3!K87,recreation_v2_common_2!K87,recreation_v2_common_1!K87)/COUNT(recreation_v2_common_5!K87,recreation_v2_common_4!K87,recreation_v2_common_3!K87,recreation_v2_common_2!K87,recreation_v2_common_1!K87),0))</f>
        <v>1</v>
      </c>
      <c r="L87">
        <f>IF($D87=0,"NA",ROUND(SUM(recreation_v2_common_5!L87,recreation_v2_common_4!L87,recreation_v2_common_3!L87,recreation_v2_common_2!L87,recreation_v2_common_1!L87)/COUNT(recreation_v2_common_5!L87,recreation_v2_common_4!L87,recreation_v2_common_3!L87,recreation_v2_common_2!L87,recreation_v2_common_1!L87),0))</f>
        <v>1</v>
      </c>
      <c r="M87">
        <f>IF($D87=0,"NA",ROUND(SUM(recreation_v2_common_5!M87,recreation_v2_common_4!M87,recreation_v2_common_3!M87,recreation_v2_common_2!M87,recreation_v2_common_1!M87)/COUNT(recreation_v2_common_5!M87,recreation_v2_common_4!M87,recreation_v2_common_3!M87,recreation_v2_common_2!M87,recreation_v2_common_1!M87),0))</f>
        <v>1</v>
      </c>
      <c r="N87">
        <f>IF($D87=0,"NA",ROUND(SUM(recreation_v2_common_5!N87,recreation_v2_common_4!N87,recreation_v2_common_3!N87,recreation_v2_common_2!N87,recreation_v2_common_1!N87)/COUNT(recreation_v2_common_5!N87,recreation_v2_common_4!N87,recreation_v2_common_3!N87,recreation_v2_common_2!N87,recreation_v2_common_1!N87),0))</f>
        <v>1</v>
      </c>
    </row>
    <row r="88" spans="1:14" x14ac:dyDescent="0.25">
      <c r="A88" t="s">
        <v>145</v>
      </c>
      <c r="B88">
        <v>0</v>
      </c>
      <c r="C88">
        <v>2.6829226016998291</v>
      </c>
      <c r="D88">
        <f>ROUND(SUM(recreation_v2_common_5!D88,recreation_v2_common_4!D88,recreation_v2_common_3!D88,recreation_v2_common_2!D88,recreation_v2_common_1!D88)/COUNT(recreation_v2_common_5!D88,recreation_v2_common_4!D88,recreation_v2_common_3!D88,recreation_v2_common_2!D88,recreation_v2_common_1!D88),0)</f>
        <v>1</v>
      </c>
      <c r="E88">
        <f>IF($D88=0,"NA",ROUND(SUM(recreation_v2_common_5!E88,recreation_v2_common_4!E88,recreation_v2_common_3!E88,recreation_v2_common_2!E88,recreation_v2_common_1!E88)/COUNT(recreation_v2_common_5!E88,recreation_v2_common_4!E88,recreation_v2_common_3!E88,recreation_v2_common_2!E88,recreation_v2_common_1!E88),0))</f>
        <v>1</v>
      </c>
      <c r="F88">
        <f>IF($D88=0,"NA",ROUND(SUM(recreation_v2_common_5!F88,recreation_v2_common_4!F88,recreation_v2_common_3!F88,recreation_v2_common_2!F88,recreation_v2_common_1!F88)/COUNT(recreation_v2_common_5!F88,recreation_v2_common_4!F88,recreation_v2_common_3!F88,recreation_v2_common_2!F88,recreation_v2_common_1!F88),0))</f>
        <v>1</v>
      </c>
      <c r="G88">
        <f>IF(AND(E88=1,F88=1),ROUND(SUM(recreation_v2_common_5!G88,recreation_v2_common_4!G88,recreation_v2_common_3!G88,recreation_v2_common_2!G88,recreation_v2_common_1!G88)/COUNT(recreation_v2_common_5!G88,recreation_v2_common_4!G88,recreation_v2_common_3!G88,recreation_v2_common_2!G88,recreation_v2_common_1!G88),0),"NA")</f>
        <v>1</v>
      </c>
      <c r="H88">
        <f>IF($D88=0,"NA",ROUND(SUM(recreation_v2_common_5!H88,recreation_v2_common_4!H88,recreation_v2_common_3!H88,recreation_v2_common_2!H88,recreation_v2_common_1!H88)/COUNT(recreation_v2_common_5!H88,recreation_v2_common_4!H88,recreation_v2_common_3!H88,recreation_v2_common_2!H88,recreation_v2_common_1!H88),0))</f>
        <v>1</v>
      </c>
      <c r="I88">
        <f>IF(E88=1,ROUND(SUM(recreation_v2_common_5!I88,recreation_v2_common_4!I88,recreation_v2_common_3!I88,recreation_v2_common_2!I88,recreation_v2_common_1!I88)/COUNT(recreation_v2_common_5!I88,recreation_v2_common_4!I88,recreation_v2_common_3!I88,recreation_v2_common_2!I88,recreation_v2_common_1!I88),0),"NA")</f>
        <v>1</v>
      </c>
      <c r="J88">
        <f>IF($D88=0,"NA",ROUND(SUM(recreation_v2_common_5!J88,recreation_v2_common_4!J88,recreation_v2_common_3!J88,recreation_v2_common_2!J88,recreation_v2_common_1!J88)/COUNT(recreation_v2_common_5!J88,recreation_v2_common_4!J88,recreation_v2_common_3!J88,recreation_v2_common_2!J88,recreation_v2_common_1!J88),0))</f>
        <v>1</v>
      </c>
      <c r="K88">
        <f>IF($D88=0,"NA",ROUND(SUM(recreation_v2_common_5!K88,recreation_v2_common_4!K88,recreation_v2_common_3!K88,recreation_v2_common_2!K88,recreation_v2_common_1!K88)/COUNT(recreation_v2_common_5!K88,recreation_v2_common_4!K88,recreation_v2_common_3!K88,recreation_v2_common_2!K88,recreation_v2_common_1!K88),0))</f>
        <v>1</v>
      </c>
      <c r="L88">
        <f>IF($D88=0,"NA",ROUND(SUM(recreation_v2_common_5!L88,recreation_v2_common_4!L88,recreation_v2_common_3!L88,recreation_v2_common_2!L88,recreation_v2_common_1!L88)/COUNT(recreation_v2_common_5!L88,recreation_v2_common_4!L88,recreation_v2_common_3!L88,recreation_v2_common_2!L88,recreation_v2_common_1!L88),0))</f>
        <v>1</v>
      </c>
      <c r="M88">
        <f>IF($D88=0,"NA",ROUND(SUM(recreation_v2_common_5!M88,recreation_v2_common_4!M88,recreation_v2_common_3!M88,recreation_v2_common_2!M88,recreation_v2_common_1!M88)/COUNT(recreation_v2_common_5!M88,recreation_v2_common_4!M88,recreation_v2_common_3!M88,recreation_v2_common_2!M88,recreation_v2_common_1!M88),0))</f>
        <v>1</v>
      </c>
      <c r="N88">
        <f>IF($D88=0,"NA",ROUND(SUM(recreation_v2_common_5!N88,recreation_v2_common_4!N88,recreation_v2_common_3!N88,recreation_v2_common_2!N88,recreation_v2_common_1!N88)/COUNT(recreation_v2_common_5!N88,recreation_v2_common_4!N88,recreation_v2_common_3!N88,recreation_v2_common_2!N88,recreation_v2_common_1!N88),0))</f>
        <v>1</v>
      </c>
    </row>
    <row r="89" spans="1:14" x14ac:dyDescent="0.25">
      <c r="A89" t="s">
        <v>146</v>
      </c>
      <c r="B89">
        <v>0</v>
      </c>
      <c r="C89">
        <v>10.052538633346559</v>
      </c>
      <c r="D89">
        <f>ROUND(SUM(recreation_v2_common_5!D89,recreation_v2_common_4!D89,recreation_v2_common_3!D89,recreation_v2_common_2!D89,recreation_v2_common_1!D89)/COUNT(recreation_v2_common_5!D89,recreation_v2_common_4!D89,recreation_v2_common_3!D89,recreation_v2_common_2!D89,recreation_v2_common_1!D89),0)</f>
        <v>1</v>
      </c>
      <c r="E89">
        <f>IF($D89=0,"NA",ROUND(SUM(recreation_v2_common_5!E89,recreation_v2_common_4!E89,recreation_v2_common_3!E89,recreation_v2_common_2!E89,recreation_v2_common_1!E89)/COUNT(recreation_v2_common_5!E89,recreation_v2_common_4!E89,recreation_v2_common_3!E89,recreation_v2_common_2!E89,recreation_v2_common_1!E89),0))</f>
        <v>1</v>
      </c>
      <c r="F89">
        <f>IF($D89=0,"NA",ROUND(SUM(recreation_v2_common_5!F89,recreation_v2_common_4!F89,recreation_v2_common_3!F89,recreation_v2_common_2!F89,recreation_v2_common_1!F89)/COUNT(recreation_v2_common_5!F89,recreation_v2_common_4!F89,recreation_v2_common_3!F89,recreation_v2_common_2!F89,recreation_v2_common_1!F89),0))</f>
        <v>1</v>
      </c>
      <c r="G89">
        <f>IF(AND(E89=1,F89=1),ROUND(SUM(recreation_v2_common_5!G89,recreation_v2_common_4!G89,recreation_v2_common_3!G89,recreation_v2_common_2!G89,recreation_v2_common_1!G89)/COUNT(recreation_v2_common_5!G89,recreation_v2_common_4!G89,recreation_v2_common_3!G89,recreation_v2_common_2!G89,recreation_v2_common_1!G89),0),"NA")</f>
        <v>1</v>
      </c>
      <c r="H89">
        <f>IF($D89=0,"NA",ROUND(SUM(recreation_v2_common_5!H89,recreation_v2_common_4!H89,recreation_v2_common_3!H89,recreation_v2_common_2!H89,recreation_v2_common_1!H89)/COUNT(recreation_v2_common_5!H89,recreation_v2_common_4!H89,recreation_v2_common_3!H89,recreation_v2_common_2!H89,recreation_v2_common_1!H89),0))</f>
        <v>1</v>
      </c>
      <c r="I89">
        <f>IF(E89=1,ROUND(SUM(recreation_v2_common_5!I89,recreation_v2_common_4!I89,recreation_v2_common_3!I89,recreation_v2_common_2!I89,recreation_v2_common_1!I89)/COUNT(recreation_v2_common_5!I89,recreation_v2_common_4!I89,recreation_v2_common_3!I89,recreation_v2_common_2!I89,recreation_v2_common_1!I89),0),"NA")</f>
        <v>1</v>
      </c>
      <c r="J89">
        <f>IF($D89=0,"NA",ROUND(SUM(recreation_v2_common_5!J89,recreation_v2_common_4!J89,recreation_v2_common_3!J89,recreation_v2_common_2!J89,recreation_v2_common_1!J89)/COUNT(recreation_v2_common_5!J89,recreation_v2_common_4!J89,recreation_v2_common_3!J89,recreation_v2_common_2!J89,recreation_v2_common_1!J89),0))</f>
        <v>1</v>
      </c>
      <c r="K89">
        <f>IF($D89=0,"NA",ROUND(SUM(recreation_v2_common_5!K89,recreation_v2_common_4!K89,recreation_v2_common_3!K89,recreation_v2_common_2!K89,recreation_v2_common_1!K89)/COUNT(recreation_v2_common_5!K89,recreation_v2_common_4!K89,recreation_v2_common_3!K89,recreation_v2_common_2!K89,recreation_v2_common_1!K89),0))</f>
        <v>1</v>
      </c>
      <c r="L89">
        <f>IF($D89=0,"NA",ROUND(SUM(recreation_v2_common_5!L89,recreation_v2_common_4!L89,recreation_v2_common_3!L89,recreation_v2_common_2!L89,recreation_v2_common_1!L89)/COUNT(recreation_v2_common_5!L89,recreation_v2_common_4!L89,recreation_v2_common_3!L89,recreation_v2_common_2!L89,recreation_v2_common_1!L89),0))</f>
        <v>1</v>
      </c>
      <c r="M89">
        <f>IF($D89=0,"NA",ROUND(SUM(recreation_v2_common_5!M89,recreation_v2_common_4!M89,recreation_v2_common_3!M89,recreation_v2_common_2!M89,recreation_v2_common_1!M89)/COUNT(recreation_v2_common_5!M89,recreation_v2_common_4!M89,recreation_v2_common_3!M89,recreation_v2_common_2!M89,recreation_v2_common_1!M89),0))</f>
        <v>1</v>
      </c>
      <c r="N89">
        <f>IF($D89=0,"NA",ROUND(SUM(recreation_v2_common_5!N89,recreation_v2_common_4!N89,recreation_v2_common_3!N89,recreation_v2_common_2!N89,recreation_v2_common_1!N89)/COUNT(recreation_v2_common_5!N89,recreation_v2_common_4!N89,recreation_v2_common_3!N89,recreation_v2_common_2!N89,recreation_v2_common_1!N89),0))</f>
        <v>1</v>
      </c>
    </row>
    <row r="90" spans="1:14" x14ac:dyDescent="0.25">
      <c r="A90" t="s">
        <v>147</v>
      </c>
      <c r="B90">
        <v>0</v>
      </c>
      <c r="C90">
        <v>8.8891663551330566</v>
      </c>
      <c r="D90">
        <f>ROUND(SUM(recreation_v2_common_5!D90,recreation_v2_common_4!D90,recreation_v2_common_3!D90,recreation_v2_common_2!D90,recreation_v2_common_1!D90)/COUNT(recreation_v2_common_5!D90,recreation_v2_common_4!D90,recreation_v2_common_3!D90,recreation_v2_common_2!D90,recreation_v2_common_1!D90),0)</f>
        <v>1</v>
      </c>
      <c r="E90">
        <f>IF($D90=0,"NA",ROUND(SUM(recreation_v2_common_5!E90,recreation_v2_common_4!E90,recreation_v2_common_3!E90,recreation_v2_common_2!E90,recreation_v2_common_1!E90)/COUNT(recreation_v2_common_5!E90,recreation_v2_common_4!E90,recreation_v2_common_3!E90,recreation_v2_common_2!E90,recreation_v2_common_1!E90),0))</f>
        <v>1</v>
      </c>
      <c r="F90">
        <f>IF($D90=0,"NA",ROUND(SUM(recreation_v2_common_5!F90,recreation_v2_common_4!F90,recreation_v2_common_3!F90,recreation_v2_common_2!F90,recreation_v2_common_1!F90)/COUNT(recreation_v2_common_5!F90,recreation_v2_common_4!F90,recreation_v2_common_3!F90,recreation_v2_common_2!F90,recreation_v2_common_1!F90),0))</f>
        <v>1</v>
      </c>
      <c r="G90">
        <f>IF(AND(E90=1,F90=1),ROUND(SUM(recreation_v2_common_5!G90,recreation_v2_common_4!G90,recreation_v2_common_3!G90,recreation_v2_common_2!G90,recreation_v2_common_1!G90)/COUNT(recreation_v2_common_5!G90,recreation_v2_common_4!G90,recreation_v2_common_3!G90,recreation_v2_common_2!G90,recreation_v2_common_1!G90),0),"NA")</f>
        <v>1</v>
      </c>
      <c r="H90">
        <f>IF($D90=0,"NA",ROUND(SUM(recreation_v2_common_5!H90,recreation_v2_common_4!H90,recreation_v2_common_3!H90,recreation_v2_common_2!H90,recreation_v2_common_1!H90)/COUNT(recreation_v2_common_5!H90,recreation_v2_common_4!H90,recreation_v2_common_3!H90,recreation_v2_common_2!H90,recreation_v2_common_1!H90),0))</f>
        <v>1</v>
      </c>
      <c r="I90">
        <f>IF(E90=1,ROUND(SUM(recreation_v2_common_5!I90,recreation_v2_common_4!I90,recreation_v2_common_3!I90,recreation_v2_common_2!I90,recreation_v2_common_1!I90)/COUNT(recreation_v2_common_5!I90,recreation_v2_common_4!I90,recreation_v2_common_3!I90,recreation_v2_common_2!I90,recreation_v2_common_1!I90),0),"NA")</f>
        <v>1</v>
      </c>
      <c r="J90">
        <f>IF($D90=0,"NA",ROUND(SUM(recreation_v2_common_5!J90,recreation_v2_common_4!J90,recreation_v2_common_3!J90,recreation_v2_common_2!J90,recreation_v2_common_1!J90)/COUNT(recreation_v2_common_5!J90,recreation_v2_common_4!J90,recreation_v2_common_3!J90,recreation_v2_common_2!J90,recreation_v2_common_1!J90),0))</f>
        <v>1</v>
      </c>
      <c r="K90">
        <f>IF($D90=0,"NA",ROUND(SUM(recreation_v2_common_5!K90,recreation_v2_common_4!K90,recreation_v2_common_3!K90,recreation_v2_common_2!K90,recreation_v2_common_1!K90)/COUNT(recreation_v2_common_5!K90,recreation_v2_common_4!K90,recreation_v2_common_3!K90,recreation_v2_common_2!K90,recreation_v2_common_1!K90),0))</f>
        <v>1</v>
      </c>
      <c r="L90">
        <f>IF($D90=0,"NA",ROUND(SUM(recreation_v2_common_5!L90,recreation_v2_common_4!L90,recreation_v2_common_3!L90,recreation_v2_common_2!L90,recreation_v2_common_1!L90)/COUNT(recreation_v2_common_5!L90,recreation_v2_common_4!L90,recreation_v2_common_3!L90,recreation_v2_common_2!L90,recreation_v2_common_1!L90),0))</f>
        <v>1</v>
      </c>
      <c r="M90">
        <f>IF($D90=0,"NA",ROUND(SUM(recreation_v2_common_5!M90,recreation_v2_common_4!M90,recreation_v2_common_3!M90,recreation_v2_common_2!M90,recreation_v2_common_1!M90)/COUNT(recreation_v2_common_5!M90,recreation_v2_common_4!M90,recreation_v2_common_3!M90,recreation_v2_common_2!M90,recreation_v2_common_1!M90),0))</f>
        <v>1</v>
      </c>
      <c r="N90">
        <f>IF($D90=0,"NA",ROUND(SUM(recreation_v2_common_5!N90,recreation_v2_common_4!N90,recreation_v2_common_3!N90,recreation_v2_common_2!N90,recreation_v2_common_1!N90)/COUNT(recreation_v2_common_5!N90,recreation_v2_common_4!N90,recreation_v2_common_3!N90,recreation_v2_common_2!N90,recreation_v2_common_1!N90),0))</f>
        <v>1</v>
      </c>
    </row>
    <row r="91" spans="1:14" x14ac:dyDescent="0.25">
      <c r="A91" t="s">
        <v>149</v>
      </c>
      <c r="B91">
        <v>0</v>
      </c>
      <c r="C91">
        <v>2.7113273143768311</v>
      </c>
      <c r="D91">
        <f>ROUND(SUM(recreation_v2_common_5!D91,recreation_v2_common_4!D91,recreation_v2_common_3!D91,recreation_v2_common_2!D91,recreation_v2_common_1!D91)/COUNT(recreation_v2_common_5!D91,recreation_v2_common_4!D91,recreation_v2_common_3!D91,recreation_v2_common_2!D91,recreation_v2_common_1!D91),0)</f>
        <v>1</v>
      </c>
      <c r="E91">
        <f>IF($D91=0,"NA",ROUND(SUM(recreation_v2_common_5!E91,recreation_v2_common_4!E91,recreation_v2_common_3!E91,recreation_v2_common_2!E91,recreation_v2_common_1!E91)/COUNT(recreation_v2_common_5!E91,recreation_v2_common_4!E91,recreation_v2_common_3!E91,recreation_v2_common_2!E91,recreation_v2_common_1!E91),0))</f>
        <v>1</v>
      </c>
      <c r="F91">
        <f>IF($D91=0,"NA",ROUND(SUM(recreation_v2_common_5!F91,recreation_v2_common_4!F91,recreation_v2_common_3!F91,recreation_v2_common_2!F91,recreation_v2_common_1!F91)/COUNT(recreation_v2_common_5!F91,recreation_v2_common_4!F91,recreation_v2_common_3!F91,recreation_v2_common_2!F91,recreation_v2_common_1!F91),0))</f>
        <v>1</v>
      </c>
      <c r="G91">
        <f>IF(AND(E91=1,F91=1),ROUND(SUM(recreation_v2_common_5!G91,recreation_v2_common_4!G91,recreation_v2_common_3!G91,recreation_v2_common_2!G91,recreation_v2_common_1!G91)/COUNT(recreation_v2_common_5!G91,recreation_v2_common_4!G91,recreation_v2_common_3!G91,recreation_v2_common_2!G91,recreation_v2_common_1!G91),0),"NA")</f>
        <v>1</v>
      </c>
      <c r="H91">
        <f>IF($D91=0,"NA",ROUND(SUM(recreation_v2_common_5!H91,recreation_v2_common_4!H91,recreation_v2_common_3!H91,recreation_v2_common_2!H91,recreation_v2_common_1!H91)/COUNT(recreation_v2_common_5!H91,recreation_v2_common_4!H91,recreation_v2_common_3!H91,recreation_v2_common_2!H91,recreation_v2_common_1!H91),0))</f>
        <v>1</v>
      </c>
      <c r="I91">
        <f>IF(E91=1,ROUND(SUM(recreation_v2_common_5!I91,recreation_v2_common_4!I91,recreation_v2_common_3!I91,recreation_v2_common_2!I91,recreation_v2_common_1!I91)/COUNT(recreation_v2_common_5!I91,recreation_v2_common_4!I91,recreation_v2_common_3!I91,recreation_v2_common_2!I91,recreation_v2_common_1!I91),0),"NA")</f>
        <v>1</v>
      </c>
      <c r="J91">
        <f>IF($D91=0,"NA",ROUND(SUM(recreation_v2_common_5!J91,recreation_v2_common_4!J91,recreation_v2_common_3!J91,recreation_v2_common_2!J91,recreation_v2_common_1!J91)/COUNT(recreation_v2_common_5!J91,recreation_v2_common_4!J91,recreation_v2_common_3!J91,recreation_v2_common_2!J91,recreation_v2_common_1!J91),0))</f>
        <v>1</v>
      </c>
      <c r="K91">
        <f>IF($D91=0,"NA",ROUND(SUM(recreation_v2_common_5!K91,recreation_v2_common_4!K91,recreation_v2_common_3!K91,recreation_v2_common_2!K91,recreation_v2_common_1!K91)/COUNT(recreation_v2_common_5!K91,recreation_v2_common_4!K91,recreation_v2_common_3!K91,recreation_v2_common_2!K91,recreation_v2_common_1!K91),0))</f>
        <v>1</v>
      </c>
      <c r="L91">
        <f>IF($D91=0,"NA",ROUND(SUM(recreation_v2_common_5!L91,recreation_v2_common_4!L91,recreation_v2_common_3!L91,recreation_v2_common_2!L91,recreation_v2_common_1!L91)/COUNT(recreation_v2_common_5!L91,recreation_v2_common_4!L91,recreation_v2_common_3!L91,recreation_v2_common_2!L91,recreation_v2_common_1!L91),0))</f>
        <v>1</v>
      </c>
      <c r="M91">
        <f>IF($D91=0,"NA",ROUND(SUM(recreation_v2_common_5!M91,recreation_v2_common_4!M91,recreation_v2_common_3!M91,recreation_v2_common_2!M91,recreation_v2_common_1!M91)/COUNT(recreation_v2_common_5!M91,recreation_v2_common_4!M91,recreation_v2_common_3!M91,recreation_v2_common_2!M91,recreation_v2_common_1!M91),0))</f>
        <v>1</v>
      </c>
      <c r="N91">
        <f>IF($D91=0,"NA",ROUND(SUM(recreation_v2_common_5!N91,recreation_v2_common_4!N91,recreation_v2_common_3!N91,recreation_v2_common_2!N91,recreation_v2_common_1!N91)/COUNT(recreation_v2_common_5!N91,recreation_v2_common_4!N91,recreation_v2_common_3!N91,recreation_v2_common_2!N91,recreation_v2_common_1!N91),0))</f>
        <v>1</v>
      </c>
    </row>
    <row r="92" spans="1:14" x14ac:dyDescent="0.25">
      <c r="A92" t="s">
        <v>150</v>
      </c>
      <c r="B92">
        <v>0</v>
      </c>
      <c r="C92">
        <v>8.3278772830963135</v>
      </c>
      <c r="D92">
        <f>ROUND(SUM(recreation_v2_common_5!D92,recreation_v2_common_4!D92,recreation_v2_common_3!D92,recreation_v2_common_2!D92,recreation_v2_common_1!D92)/COUNT(recreation_v2_common_5!D92,recreation_v2_common_4!D92,recreation_v2_common_3!D92,recreation_v2_common_2!D92,recreation_v2_common_1!D92),0)</f>
        <v>1</v>
      </c>
      <c r="E92">
        <f>IF($D92=0,"NA",ROUND(SUM(recreation_v2_common_5!E92,recreation_v2_common_4!E92,recreation_v2_common_3!E92,recreation_v2_common_2!E92,recreation_v2_common_1!E92)/COUNT(recreation_v2_common_5!E92,recreation_v2_common_4!E92,recreation_v2_common_3!E92,recreation_v2_common_2!E92,recreation_v2_common_1!E92),0))</f>
        <v>1</v>
      </c>
      <c r="F92">
        <f>IF($D92=0,"NA",ROUND(SUM(recreation_v2_common_5!F92,recreation_v2_common_4!F92,recreation_v2_common_3!F92,recreation_v2_common_2!F92,recreation_v2_common_1!F92)/COUNT(recreation_v2_common_5!F92,recreation_v2_common_4!F92,recreation_v2_common_3!F92,recreation_v2_common_2!F92,recreation_v2_common_1!F92),0))</f>
        <v>1</v>
      </c>
      <c r="G92">
        <f>IF(AND(E92=1,F92=1),ROUND(SUM(recreation_v2_common_5!G92,recreation_v2_common_4!G92,recreation_v2_common_3!G92,recreation_v2_common_2!G92,recreation_v2_common_1!G92)/COUNT(recreation_v2_common_5!G92,recreation_v2_common_4!G92,recreation_v2_common_3!G92,recreation_v2_common_2!G92,recreation_v2_common_1!G92),0),"NA")</f>
        <v>1</v>
      </c>
      <c r="H92">
        <f>IF($D92=0,"NA",ROUND(SUM(recreation_v2_common_5!H92,recreation_v2_common_4!H92,recreation_v2_common_3!H92,recreation_v2_common_2!H92,recreation_v2_common_1!H92)/COUNT(recreation_v2_common_5!H92,recreation_v2_common_4!H92,recreation_v2_common_3!H92,recreation_v2_common_2!H92,recreation_v2_common_1!H92),0))</f>
        <v>1</v>
      </c>
      <c r="I92">
        <f>IF(E92=1,ROUND(SUM(recreation_v2_common_5!I92,recreation_v2_common_4!I92,recreation_v2_common_3!I92,recreation_v2_common_2!I92,recreation_v2_common_1!I92)/COUNT(recreation_v2_common_5!I92,recreation_v2_common_4!I92,recreation_v2_common_3!I92,recreation_v2_common_2!I92,recreation_v2_common_1!I92),0),"NA")</f>
        <v>1</v>
      </c>
      <c r="J92">
        <f>IF($D92=0,"NA",ROUND(SUM(recreation_v2_common_5!J92,recreation_v2_common_4!J92,recreation_v2_common_3!J92,recreation_v2_common_2!J92,recreation_v2_common_1!J92)/COUNT(recreation_v2_common_5!J92,recreation_v2_common_4!J92,recreation_v2_common_3!J92,recreation_v2_common_2!J92,recreation_v2_common_1!J92),0))</f>
        <v>1</v>
      </c>
      <c r="K92">
        <f>IF($D92=0,"NA",ROUND(SUM(recreation_v2_common_5!K92,recreation_v2_common_4!K92,recreation_v2_common_3!K92,recreation_v2_common_2!K92,recreation_v2_common_1!K92)/COUNT(recreation_v2_common_5!K92,recreation_v2_common_4!K92,recreation_v2_common_3!K92,recreation_v2_common_2!K92,recreation_v2_common_1!K92),0))</f>
        <v>1</v>
      </c>
      <c r="L92">
        <f>IF($D92=0,"NA",ROUND(SUM(recreation_v2_common_5!L92,recreation_v2_common_4!L92,recreation_v2_common_3!L92,recreation_v2_common_2!L92,recreation_v2_common_1!L92)/COUNT(recreation_v2_common_5!L92,recreation_v2_common_4!L92,recreation_v2_common_3!L92,recreation_v2_common_2!L92,recreation_v2_common_1!L92),0))</f>
        <v>1</v>
      </c>
      <c r="M92">
        <f>IF($D92=0,"NA",ROUND(SUM(recreation_v2_common_5!M92,recreation_v2_common_4!M92,recreation_v2_common_3!M92,recreation_v2_common_2!M92,recreation_v2_common_1!M92)/COUNT(recreation_v2_common_5!M92,recreation_v2_common_4!M92,recreation_v2_common_3!M92,recreation_v2_common_2!M92,recreation_v2_common_1!M92),0))</f>
        <v>1</v>
      </c>
      <c r="N92">
        <f>IF($D92=0,"NA",ROUND(SUM(recreation_v2_common_5!N92,recreation_v2_common_4!N92,recreation_v2_common_3!N92,recreation_v2_common_2!N92,recreation_v2_common_1!N92)/COUNT(recreation_v2_common_5!N92,recreation_v2_common_4!N92,recreation_v2_common_3!N92,recreation_v2_common_2!N92,recreation_v2_common_1!N92),0))</f>
        <v>1</v>
      </c>
    </row>
    <row r="93" spans="1:14" x14ac:dyDescent="0.25">
      <c r="A93" t="s">
        <v>151</v>
      </c>
      <c r="B93">
        <v>0</v>
      </c>
      <c r="C93">
        <v>2.7567310333251949</v>
      </c>
      <c r="D93">
        <f>ROUND(SUM(recreation_v2_common_5!D93,recreation_v2_common_4!D93,recreation_v2_common_3!D93,recreation_v2_common_2!D93,recreation_v2_common_1!D93)/COUNT(recreation_v2_common_5!D93,recreation_v2_common_4!D93,recreation_v2_common_3!D93,recreation_v2_common_2!D93,recreation_v2_common_1!D93),0)</f>
        <v>1</v>
      </c>
      <c r="E93">
        <f>IF($D93=0,"NA",ROUND(SUM(recreation_v2_common_5!E93,recreation_v2_common_4!E93,recreation_v2_common_3!E93,recreation_v2_common_2!E93,recreation_v2_common_1!E93)/COUNT(recreation_v2_common_5!E93,recreation_v2_common_4!E93,recreation_v2_common_3!E93,recreation_v2_common_2!E93,recreation_v2_common_1!E93),0))</f>
        <v>1</v>
      </c>
      <c r="F93">
        <f>IF($D93=0,"NA",ROUND(SUM(recreation_v2_common_5!F93,recreation_v2_common_4!F93,recreation_v2_common_3!F93,recreation_v2_common_2!F93,recreation_v2_common_1!F93)/COUNT(recreation_v2_common_5!F93,recreation_v2_common_4!F93,recreation_v2_common_3!F93,recreation_v2_common_2!F93,recreation_v2_common_1!F93),0))</f>
        <v>1</v>
      </c>
      <c r="G93">
        <f>IF(AND(E93=1,F93=1),ROUND(SUM(recreation_v2_common_5!G93,recreation_v2_common_4!G93,recreation_v2_common_3!G93,recreation_v2_common_2!G93,recreation_v2_common_1!G93)/COUNT(recreation_v2_common_5!G93,recreation_v2_common_4!G93,recreation_v2_common_3!G93,recreation_v2_common_2!G93,recreation_v2_common_1!G93),0),"NA")</f>
        <v>1</v>
      </c>
      <c r="H93">
        <f>IF($D93=0,"NA",ROUND(SUM(recreation_v2_common_5!H93,recreation_v2_common_4!H93,recreation_v2_common_3!H93,recreation_v2_common_2!H93,recreation_v2_common_1!H93)/COUNT(recreation_v2_common_5!H93,recreation_v2_common_4!H93,recreation_v2_common_3!H93,recreation_v2_common_2!H93,recreation_v2_common_1!H93),0))</f>
        <v>1</v>
      </c>
      <c r="I93">
        <f>IF(E93=1,ROUND(SUM(recreation_v2_common_5!I93,recreation_v2_common_4!I93,recreation_v2_common_3!I93,recreation_v2_common_2!I93,recreation_v2_common_1!I93)/COUNT(recreation_v2_common_5!I93,recreation_v2_common_4!I93,recreation_v2_common_3!I93,recreation_v2_common_2!I93,recreation_v2_common_1!I93),0),"NA")</f>
        <v>1</v>
      </c>
      <c r="J93">
        <f>IF($D93=0,"NA",ROUND(SUM(recreation_v2_common_5!J93,recreation_v2_common_4!J93,recreation_v2_common_3!J93,recreation_v2_common_2!J93,recreation_v2_common_1!J93)/COUNT(recreation_v2_common_5!J93,recreation_v2_common_4!J93,recreation_v2_common_3!J93,recreation_v2_common_2!J93,recreation_v2_common_1!J93),0))</f>
        <v>1</v>
      </c>
      <c r="K93">
        <f>IF($D93=0,"NA",ROUND(SUM(recreation_v2_common_5!K93,recreation_v2_common_4!K93,recreation_v2_common_3!K93,recreation_v2_common_2!K93,recreation_v2_common_1!K93)/COUNT(recreation_v2_common_5!K93,recreation_v2_common_4!K93,recreation_v2_common_3!K93,recreation_v2_common_2!K93,recreation_v2_common_1!K93),0))</f>
        <v>1</v>
      </c>
      <c r="L93">
        <f>IF($D93=0,"NA",ROUND(SUM(recreation_v2_common_5!L93,recreation_v2_common_4!L93,recreation_v2_common_3!L93,recreation_v2_common_2!L93,recreation_v2_common_1!L93)/COUNT(recreation_v2_common_5!L93,recreation_v2_common_4!L93,recreation_v2_common_3!L93,recreation_v2_common_2!L93,recreation_v2_common_1!L93),0))</f>
        <v>1</v>
      </c>
      <c r="M93">
        <f>IF($D93=0,"NA",ROUND(SUM(recreation_v2_common_5!M93,recreation_v2_common_4!M93,recreation_v2_common_3!M93,recreation_v2_common_2!M93,recreation_v2_common_1!M93)/COUNT(recreation_v2_common_5!M93,recreation_v2_common_4!M93,recreation_v2_common_3!M93,recreation_v2_common_2!M93,recreation_v2_common_1!M93),0))</f>
        <v>1</v>
      </c>
      <c r="N93">
        <f>IF($D93=0,"NA",ROUND(SUM(recreation_v2_common_5!N93,recreation_v2_common_4!N93,recreation_v2_common_3!N93,recreation_v2_common_2!N93,recreation_v2_common_1!N93)/COUNT(recreation_v2_common_5!N93,recreation_v2_common_4!N93,recreation_v2_common_3!N93,recreation_v2_common_2!N93,recreation_v2_common_1!N93),0))</f>
        <v>1</v>
      </c>
    </row>
    <row r="94" spans="1:14" x14ac:dyDescent="0.25">
      <c r="A94" t="s">
        <v>152</v>
      </c>
      <c r="B94">
        <v>0</v>
      </c>
      <c r="C94">
        <v>5.2310075759887704</v>
      </c>
      <c r="D94">
        <f>ROUND(SUM(recreation_v2_common_5!D94,recreation_v2_common_4!D94,recreation_v2_common_3!D94,recreation_v2_common_2!D94,recreation_v2_common_1!D94)/COUNT(recreation_v2_common_5!D94,recreation_v2_common_4!D94,recreation_v2_common_3!D94,recreation_v2_common_2!D94,recreation_v2_common_1!D94),0)</f>
        <v>1</v>
      </c>
      <c r="E94">
        <f>IF($D94=0,"NA",ROUND(SUM(recreation_v2_common_5!E94,recreation_v2_common_4!E94,recreation_v2_common_3!E94,recreation_v2_common_2!E94,recreation_v2_common_1!E94)/COUNT(recreation_v2_common_5!E94,recreation_v2_common_4!E94,recreation_v2_common_3!E94,recreation_v2_common_2!E94,recreation_v2_common_1!E94),0))</f>
        <v>1</v>
      </c>
      <c r="F94">
        <f>IF($D94=0,"NA",ROUND(SUM(recreation_v2_common_5!F94,recreation_v2_common_4!F94,recreation_v2_common_3!F94,recreation_v2_common_2!F94,recreation_v2_common_1!F94)/COUNT(recreation_v2_common_5!F94,recreation_v2_common_4!F94,recreation_v2_common_3!F94,recreation_v2_common_2!F94,recreation_v2_common_1!F94),0))</f>
        <v>1</v>
      </c>
      <c r="G94">
        <f>IF(AND(E94=1,F94=1),ROUND(SUM(recreation_v2_common_5!G94,recreation_v2_common_4!G94,recreation_v2_common_3!G94,recreation_v2_common_2!G94,recreation_v2_common_1!G94)/COUNT(recreation_v2_common_5!G94,recreation_v2_common_4!G94,recreation_v2_common_3!G94,recreation_v2_common_2!G94,recreation_v2_common_1!G94),0),"NA")</f>
        <v>0</v>
      </c>
      <c r="H94">
        <f>IF($D94=0,"NA",ROUND(SUM(recreation_v2_common_5!H94,recreation_v2_common_4!H94,recreation_v2_common_3!H94,recreation_v2_common_2!H94,recreation_v2_common_1!H94)/COUNT(recreation_v2_common_5!H94,recreation_v2_common_4!H94,recreation_v2_common_3!H94,recreation_v2_common_2!H94,recreation_v2_common_1!H94),0))</f>
        <v>1</v>
      </c>
      <c r="I94">
        <f>IF(E94=1,ROUND(SUM(recreation_v2_common_5!I94,recreation_v2_common_4!I94,recreation_v2_common_3!I94,recreation_v2_common_2!I94,recreation_v2_common_1!I94)/COUNT(recreation_v2_common_5!I94,recreation_v2_common_4!I94,recreation_v2_common_3!I94,recreation_v2_common_2!I94,recreation_v2_common_1!I94),0),"NA")</f>
        <v>1</v>
      </c>
      <c r="J94">
        <f>IF($D94=0,"NA",ROUND(SUM(recreation_v2_common_5!J94,recreation_v2_common_4!J94,recreation_v2_common_3!J94,recreation_v2_common_2!J94,recreation_v2_common_1!J94)/COUNT(recreation_v2_common_5!J94,recreation_v2_common_4!J94,recreation_v2_common_3!J94,recreation_v2_common_2!J94,recreation_v2_common_1!J94),0))</f>
        <v>1</v>
      </c>
      <c r="K94">
        <f>IF($D94=0,"NA",ROUND(SUM(recreation_v2_common_5!K94,recreation_v2_common_4!K94,recreation_v2_common_3!K94,recreation_v2_common_2!K94,recreation_v2_common_1!K94)/COUNT(recreation_v2_common_5!K94,recreation_v2_common_4!K94,recreation_v2_common_3!K94,recreation_v2_common_2!K94,recreation_v2_common_1!K94),0))</f>
        <v>1</v>
      </c>
      <c r="L94">
        <f>IF($D94=0,"NA",ROUND(SUM(recreation_v2_common_5!L94,recreation_v2_common_4!L94,recreation_v2_common_3!L94,recreation_v2_common_2!L94,recreation_v2_common_1!L94)/COUNT(recreation_v2_common_5!L94,recreation_v2_common_4!L94,recreation_v2_common_3!L94,recreation_v2_common_2!L94,recreation_v2_common_1!L94),0))</f>
        <v>1</v>
      </c>
      <c r="M94">
        <f>IF($D94=0,"NA",ROUND(SUM(recreation_v2_common_5!M94,recreation_v2_common_4!M94,recreation_v2_common_3!M94,recreation_v2_common_2!M94,recreation_v2_common_1!M94)/COUNT(recreation_v2_common_5!M94,recreation_v2_common_4!M94,recreation_v2_common_3!M94,recreation_v2_common_2!M94,recreation_v2_common_1!M94),0))</f>
        <v>1</v>
      </c>
      <c r="N94">
        <f>IF($D94=0,"NA",ROUND(SUM(recreation_v2_common_5!N94,recreation_v2_common_4!N94,recreation_v2_common_3!N94,recreation_v2_common_2!N94,recreation_v2_common_1!N94)/COUNT(recreation_v2_common_5!N94,recreation_v2_common_4!N94,recreation_v2_common_3!N94,recreation_v2_common_2!N94,recreation_v2_common_1!N94),0))</f>
        <v>1</v>
      </c>
    </row>
    <row r="95" spans="1:14" x14ac:dyDescent="0.25">
      <c r="A95" t="s">
        <v>153</v>
      </c>
      <c r="B95">
        <v>0</v>
      </c>
      <c r="C95">
        <v>10.39175820350647</v>
      </c>
      <c r="D95">
        <f>ROUND(SUM(recreation_v2_common_5!D95,recreation_v2_common_4!D95,recreation_v2_common_3!D95,recreation_v2_common_2!D95,recreation_v2_common_1!D95)/COUNT(recreation_v2_common_5!D95,recreation_v2_common_4!D95,recreation_v2_common_3!D95,recreation_v2_common_2!D95,recreation_v2_common_1!D95),0)</f>
        <v>1</v>
      </c>
      <c r="E95">
        <f>IF($D95=0,"NA",ROUND(SUM(recreation_v2_common_5!E95,recreation_v2_common_4!E95,recreation_v2_common_3!E95,recreation_v2_common_2!E95,recreation_v2_common_1!E95)/COUNT(recreation_v2_common_5!E95,recreation_v2_common_4!E95,recreation_v2_common_3!E95,recreation_v2_common_2!E95,recreation_v2_common_1!E95),0))</f>
        <v>1</v>
      </c>
      <c r="F95">
        <f>IF($D95=0,"NA",ROUND(SUM(recreation_v2_common_5!F95,recreation_v2_common_4!F95,recreation_v2_common_3!F95,recreation_v2_common_2!F95,recreation_v2_common_1!F95)/COUNT(recreation_v2_common_5!F95,recreation_v2_common_4!F95,recreation_v2_common_3!F95,recreation_v2_common_2!F95,recreation_v2_common_1!F95),0))</f>
        <v>1</v>
      </c>
      <c r="G95">
        <f>IF(AND(E95=1,F95=1),ROUND(SUM(recreation_v2_common_5!G95,recreation_v2_common_4!G95,recreation_v2_common_3!G95,recreation_v2_common_2!G95,recreation_v2_common_1!G95)/COUNT(recreation_v2_common_5!G95,recreation_v2_common_4!G95,recreation_v2_common_3!G95,recreation_v2_common_2!G95,recreation_v2_common_1!G95),0),"NA")</f>
        <v>0</v>
      </c>
      <c r="H95">
        <f>IF($D95=0,"NA",ROUND(SUM(recreation_v2_common_5!H95,recreation_v2_common_4!H95,recreation_v2_common_3!H95,recreation_v2_common_2!H95,recreation_v2_common_1!H95)/COUNT(recreation_v2_common_5!H95,recreation_v2_common_4!H95,recreation_v2_common_3!H95,recreation_v2_common_2!H95,recreation_v2_common_1!H95),0))</f>
        <v>1</v>
      </c>
      <c r="I95">
        <f>IF(E95=1,ROUND(SUM(recreation_v2_common_5!I95,recreation_v2_common_4!I95,recreation_v2_common_3!I95,recreation_v2_common_2!I95,recreation_v2_common_1!I95)/COUNT(recreation_v2_common_5!I95,recreation_v2_common_4!I95,recreation_v2_common_3!I95,recreation_v2_common_2!I95,recreation_v2_common_1!I95),0),"NA")</f>
        <v>1</v>
      </c>
      <c r="J95">
        <f>IF($D95=0,"NA",ROUND(SUM(recreation_v2_common_5!J95,recreation_v2_common_4!J95,recreation_v2_common_3!J95,recreation_v2_common_2!J95,recreation_v2_common_1!J95)/COUNT(recreation_v2_common_5!J95,recreation_v2_common_4!J95,recreation_v2_common_3!J95,recreation_v2_common_2!J95,recreation_v2_common_1!J95),0))</f>
        <v>1</v>
      </c>
      <c r="K95">
        <f>IF($D95=0,"NA",ROUND(SUM(recreation_v2_common_5!K95,recreation_v2_common_4!K95,recreation_v2_common_3!K95,recreation_v2_common_2!K95,recreation_v2_common_1!K95)/COUNT(recreation_v2_common_5!K95,recreation_v2_common_4!K95,recreation_v2_common_3!K95,recreation_v2_common_2!K95,recreation_v2_common_1!K95),0))</f>
        <v>1</v>
      </c>
      <c r="L95">
        <f>IF($D95=0,"NA",ROUND(SUM(recreation_v2_common_5!L95,recreation_v2_common_4!L95,recreation_v2_common_3!L95,recreation_v2_common_2!L95,recreation_v2_common_1!L95)/COUNT(recreation_v2_common_5!L95,recreation_v2_common_4!L95,recreation_v2_common_3!L95,recreation_v2_common_2!L95,recreation_v2_common_1!L95),0))</f>
        <v>1</v>
      </c>
      <c r="M95">
        <f>IF($D95=0,"NA",ROUND(SUM(recreation_v2_common_5!M95,recreation_v2_common_4!M95,recreation_v2_common_3!M95,recreation_v2_common_2!M95,recreation_v2_common_1!M95)/COUNT(recreation_v2_common_5!M95,recreation_v2_common_4!M95,recreation_v2_common_3!M95,recreation_v2_common_2!M95,recreation_v2_common_1!M95),0))</f>
        <v>1</v>
      </c>
      <c r="N95">
        <f>IF($D95=0,"NA",ROUND(SUM(recreation_v2_common_5!N95,recreation_v2_common_4!N95,recreation_v2_common_3!N95,recreation_v2_common_2!N95,recreation_v2_common_1!N95)/COUNT(recreation_v2_common_5!N95,recreation_v2_common_4!N95,recreation_v2_common_3!N95,recreation_v2_common_2!N95,recreation_v2_common_1!N95),0))</f>
        <v>1</v>
      </c>
    </row>
    <row r="96" spans="1:14" x14ac:dyDescent="0.25">
      <c r="A96" t="s">
        <v>155</v>
      </c>
      <c r="B96">
        <v>0</v>
      </c>
      <c r="C96">
        <v>5.524970531463623</v>
      </c>
      <c r="D96">
        <f>ROUND(SUM(recreation_v2_common_5!D96,recreation_v2_common_4!D96,recreation_v2_common_3!D96,recreation_v2_common_2!D96,recreation_v2_common_1!D96)/COUNT(recreation_v2_common_5!D96,recreation_v2_common_4!D96,recreation_v2_common_3!D96,recreation_v2_common_2!D96,recreation_v2_common_1!D96),0)</f>
        <v>0</v>
      </c>
      <c r="E96" t="str">
        <f>IF($D96=0,"NA",ROUND(SUM(recreation_v2_common_5!E96,recreation_v2_common_4!E96,recreation_v2_common_3!E96,recreation_v2_common_2!E96,recreation_v2_common_1!E96)/COUNT(recreation_v2_common_5!E96,recreation_v2_common_4!E96,recreation_v2_common_3!E96,recreation_v2_common_2!E96,recreation_v2_common_1!E96),0))</f>
        <v>NA</v>
      </c>
      <c r="F96" t="str">
        <f>IF($D96=0,"NA",ROUND(SUM(recreation_v2_common_5!F96,recreation_v2_common_4!F96,recreation_v2_common_3!F96,recreation_v2_common_2!F96,recreation_v2_common_1!F96)/COUNT(recreation_v2_common_5!F96,recreation_v2_common_4!F96,recreation_v2_common_3!F96,recreation_v2_common_2!F96,recreation_v2_common_1!F96),0))</f>
        <v>NA</v>
      </c>
      <c r="G96" t="str">
        <f>IF(AND(E96=1,F96=1),ROUND(SUM(recreation_v2_common_5!G96,recreation_v2_common_4!G96,recreation_v2_common_3!G96,recreation_v2_common_2!G96,recreation_v2_common_1!G96)/COUNT(recreation_v2_common_5!G96,recreation_v2_common_4!G96,recreation_v2_common_3!G96,recreation_v2_common_2!G96,recreation_v2_common_1!G96),0),"NA")</f>
        <v>NA</v>
      </c>
      <c r="H96" t="str">
        <f>IF($D96=0,"NA",ROUND(SUM(recreation_v2_common_5!H96,recreation_v2_common_4!H96,recreation_v2_common_3!H96,recreation_v2_common_2!H96,recreation_v2_common_1!H96)/COUNT(recreation_v2_common_5!H96,recreation_v2_common_4!H96,recreation_v2_common_3!H96,recreation_v2_common_2!H96,recreation_v2_common_1!H96),0))</f>
        <v>NA</v>
      </c>
      <c r="I96" t="str">
        <f>IF(E96=1,ROUND(SUM(recreation_v2_common_5!I96,recreation_v2_common_4!I96,recreation_v2_common_3!I96,recreation_v2_common_2!I96,recreation_v2_common_1!I96)/COUNT(recreation_v2_common_5!I96,recreation_v2_common_4!I96,recreation_v2_common_3!I96,recreation_v2_common_2!I96,recreation_v2_common_1!I96),0),"NA")</f>
        <v>NA</v>
      </c>
      <c r="J96" t="str">
        <f>IF($D96=0,"NA",ROUND(SUM(recreation_v2_common_5!J96,recreation_v2_common_4!J96,recreation_v2_common_3!J96,recreation_v2_common_2!J96,recreation_v2_common_1!J96)/COUNT(recreation_v2_common_5!J96,recreation_v2_common_4!J96,recreation_v2_common_3!J96,recreation_v2_common_2!J96,recreation_v2_common_1!J96),0))</f>
        <v>NA</v>
      </c>
      <c r="K96" t="str">
        <f>IF($D96=0,"NA",ROUND(SUM(recreation_v2_common_5!K96,recreation_v2_common_4!K96,recreation_v2_common_3!K96,recreation_v2_common_2!K96,recreation_v2_common_1!K96)/COUNT(recreation_v2_common_5!K96,recreation_v2_common_4!K96,recreation_v2_common_3!K96,recreation_v2_common_2!K96,recreation_v2_common_1!K96),0))</f>
        <v>NA</v>
      </c>
      <c r="L96" t="str">
        <f>IF($D96=0,"NA",ROUND(SUM(recreation_v2_common_5!L96,recreation_v2_common_4!L96,recreation_v2_common_3!L96,recreation_v2_common_2!L96,recreation_v2_common_1!L96)/COUNT(recreation_v2_common_5!L96,recreation_v2_common_4!L96,recreation_v2_common_3!L96,recreation_v2_common_2!L96,recreation_v2_common_1!L96),0))</f>
        <v>NA</v>
      </c>
      <c r="M96" t="str">
        <f>IF($D96=0,"NA",ROUND(SUM(recreation_v2_common_5!M96,recreation_v2_common_4!M96,recreation_v2_common_3!M96,recreation_v2_common_2!M96,recreation_v2_common_1!M96)/COUNT(recreation_v2_common_5!M96,recreation_v2_common_4!M96,recreation_v2_common_3!M96,recreation_v2_common_2!M96,recreation_v2_common_1!M96),0))</f>
        <v>NA</v>
      </c>
      <c r="N96" t="str">
        <f>IF($D96=0,"NA",ROUND(SUM(recreation_v2_common_5!N96,recreation_v2_common_4!N96,recreation_v2_common_3!N96,recreation_v2_common_2!N96,recreation_v2_common_1!N96)/COUNT(recreation_v2_common_5!N96,recreation_v2_common_4!N96,recreation_v2_common_3!N96,recreation_v2_common_2!N96,recreation_v2_common_1!N96),0))</f>
        <v>NA</v>
      </c>
    </row>
    <row r="97" spans="1:14" x14ac:dyDescent="0.25">
      <c r="A97" t="s">
        <v>157</v>
      </c>
      <c r="B97">
        <v>0</v>
      </c>
      <c r="C97">
        <v>11.63486433029175</v>
      </c>
      <c r="D97">
        <f>ROUND(SUM(recreation_v2_common_5!D97,recreation_v2_common_4!D97,recreation_v2_common_3!D97,recreation_v2_common_2!D97,recreation_v2_common_1!D97)/COUNT(recreation_v2_common_5!D97,recreation_v2_common_4!D97,recreation_v2_common_3!D97,recreation_v2_common_2!D97,recreation_v2_common_1!D97),0)</f>
        <v>1</v>
      </c>
      <c r="E97">
        <f>IF($D97=0,"NA",ROUND(SUM(recreation_v2_common_5!E97,recreation_v2_common_4!E97,recreation_v2_common_3!E97,recreation_v2_common_2!E97,recreation_v2_common_1!E97)/COUNT(recreation_v2_common_5!E97,recreation_v2_common_4!E97,recreation_v2_common_3!E97,recreation_v2_common_2!E97,recreation_v2_common_1!E97),0))</f>
        <v>1</v>
      </c>
      <c r="F97">
        <f>IF($D97=0,"NA",ROUND(SUM(recreation_v2_common_5!F97,recreation_v2_common_4!F97,recreation_v2_common_3!F97,recreation_v2_common_2!F97,recreation_v2_common_1!F97)/COUNT(recreation_v2_common_5!F97,recreation_v2_common_4!F97,recreation_v2_common_3!F97,recreation_v2_common_2!F97,recreation_v2_common_1!F97),0))</f>
        <v>1</v>
      </c>
      <c r="G97">
        <f>IF(AND(E97=1,F97=1),ROUND(SUM(recreation_v2_common_5!G97,recreation_v2_common_4!G97,recreation_v2_common_3!G97,recreation_v2_common_2!G97,recreation_v2_common_1!G97)/COUNT(recreation_v2_common_5!G97,recreation_v2_common_4!G97,recreation_v2_common_3!G97,recreation_v2_common_2!G97,recreation_v2_common_1!G97),0),"NA")</f>
        <v>1</v>
      </c>
      <c r="H97">
        <f>IF($D97=0,"NA",ROUND(SUM(recreation_v2_common_5!H97,recreation_v2_common_4!H97,recreation_v2_common_3!H97,recreation_v2_common_2!H97,recreation_v2_common_1!H97)/COUNT(recreation_v2_common_5!H97,recreation_v2_common_4!H97,recreation_v2_common_3!H97,recreation_v2_common_2!H97,recreation_v2_common_1!H97),0))</f>
        <v>1</v>
      </c>
      <c r="I97">
        <f>IF(E97=1,ROUND(SUM(recreation_v2_common_5!I97,recreation_v2_common_4!I97,recreation_v2_common_3!I97,recreation_v2_common_2!I97,recreation_v2_common_1!I97)/COUNT(recreation_v2_common_5!I97,recreation_v2_common_4!I97,recreation_v2_common_3!I97,recreation_v2_common_2!I97,recreation_v2_common_1!I97),0),"NA")</f>
        <v>0</v>
      </c>
      <c r="J97">
        <f>IF($D97=0,"NA",ROUND(SUM(recreation_v2_common_5!J97,recreation_v2_common_4!J97,recreation_v2_common_3!J97,recreation_v2_common_2!J97,recreation_v2_common_1!J97)/COUNT(recreation_v2_common_5!J97,recreation_v2_common_4!J97,recreation_v2_common_3!J97,recreation_v2_common_2!J97,recreation_v2_common_1!J97),0))</f>
        <v>1</v>
      </c>
      <c r="K97">
        <f>IF($D97=0,"NA",ROUND(SUM(recreation_v2_common_5!K97,recreation_v2_common_4!K97,recreation_v2_common_3!K97,recreation_v2_common_2!K97,recreation_v2_common_1!K97)/COUNT(recreation_v2_common_5!K97,recreation_v2_common_4!K97,recreation_v2_common_3!K97,recreation_v2_common_2!K97,recreation_v2_common_1!K97),0))</f>
        <v>1</v>
      </c>
      <c r="L97">
        <f>IF($D97=0,"NA",ROUND(SUM(recreation_v2_common_5!L97,recreation_v2_common_4!L97,recreation_v2_common_3!L97,recreation_v2_common_2!L97,recreation_v2_common_1!L97)/COUNT(recreation_v2_common_5!L97,recreation_v2_common_4!L97,recreation_v2_common_3!L97,recreation_v2_common_2!L97,recreation_v2_common_1!L97),0))</f>
        <v>1</v>
      </c>
      <c r="M97">
        <f>IF($D97=0,"NA",ROUND(SUM(recreation_v2_common_5!M97,recreation_v2_common_4!M97,recreation_v2_common_3!M97,recreation_v2_common_2!M97,recreation_v2_common_1!M97)/COUNT(recreation_v2_common_5!M97,recreation_v2_common_4!M97,recreation_v2_common_3!M97,recreation_v2_common_2!M97,recreation_v2_common_1!M97),0))</f>
        <v>1</v>
      </c>
      <c r="N97">
        <f>IF($D97=0,"NA",ROUND(SUM(recreation_v2_common_5!N97,recreation_v2_common_4!N97,recreation_v2_common_3!N97,recreation_v2_common_2!N97,recreation_v2_common_1!N97)/COUNT(recreation_v2_common_5!N97,recreation_v2_common_4!N97,recreation_v2_common_3!N97,recreation_v2_common_2!N97,recreation_v2_common_1!N97),0))</f>
        <v>1</v>
      </c>
    </row>
    <row r="98" spans="1:14" x14ac:dyDescent="0.25">
      <c r="A98" t="s">
        <v>159</v>
      </c>
      <c r="B98">
        <v>0</v>
      </c>
      <c r="C98">
        <v>6.3397622108459473</v>
      </c>
      <c r="D98">
        <f>ROUND(SUM(recreation_v2_common_5!D98,recreation_v2_common_4!D98,recreation_v2_common_3!D98,recreation_v2_common_2!D98,recreation_v2_common_1!D98)/COUNT(recreation_v2_common_5!D98,recreation_v2_common_4!D98,recreation_v2_common_3!D98,recreation_v2_common_2!D98,recreation_v2_common_1!D98),0)</f>
        <v>1</v>
      </c>
      <c r="E98">
        <f>IF($D98=0,"NA",ROUND(SUM(recreation_v2_common_5!E98,recreation_v2_common_4!E98,recreation_v2_common_3!E98,recreation_v2_common_2!E98,recreation_v2_common_1!E98)/COUNT(recreation_v2_common_5!E98,recreation_v2_common_4!E98,recreation_v2_common_3!E98,recreation_v2_common_2!E98,recreation_v2_common_1!E98),0))</f>
        <v>1</v>
      </c>
      <c r="F98">
        <f>IF($D98=0,"NA",ROUND(SUM(recreation_v2_common_5!F98,recreation_v2_common_4!F98,recreation_v2_common_3!F98,recreation_v2_common_2!F98,recreation_v2_common_1!F98)/COUNT(recreation_v2_common_5!F98,recreation_v2_common_4!F98,recreation_v2_common_3!F98,recreation_v2_common_2!F98,recreation_v2_common_1!F98),0))</f>
        <v>1</v>
      </c>
      <c r="G98">
        <f>IF(AND(E98=1,F98=1),ROUND(SUM(recreation_v2_common_5!G98,recreation_v2_common_4!G98,recreation_v2_common_3!G98,recreation_v2_common_2!G98,recreation_v2_common_1!G98)/COUNT(recreation_v2_common_5!G98,recreation_v2_common_4!G98,recreation_v2_common_3!G98,recreation_v2_common_2!G98,recreation_v2_common_1!G98),0),"NA")</f>
        <v>0</v>
      </c>
      <c r="H98">
        <f>IF($D98=0,"NA",ROUND(SUM(recreation_v2_common_5!H98,recreation_v2_common_4!H98,recreation_v2_common_3!H98,recreation_v2_common_2!H98,recreation_v2_common_1!H98)/COUNT(recreation_v2_common_5!H98,recreation_v2_common_4!H98,recreation_v2_common_3!H98,recreation_v2_common_2!H98,recreation_v2_common_1!H98),0))</f>
        <v>1</v>
      </c>
      <c r="I98">
        <f>IF(E98=1,ROUND(SUM(recreation_v2_common_5!I98,recreation_v2_common_4!I98,recreation_v2_common_3!I98,recreation_v2_common_2!I98,recreation_v2_common_1!I98)/COUNT(recreation_v2_common_5!I98,recreation_v2_common_4!I98,recreation_v2_common_3!I98,recreation_v2_common_2!I98,recreation_v2_common_1!I98),0),"NA")</f>
        <v>1</v>
      </c>
      <c r="J98">
        <f>IF($D98=0,"NA",ROUND(SUM(recreation_v2_common_5!J98,recreation_v2_common_4!J98,recreation_v2_common_3!J98,recreation_v2_common_2!J98,recreation_v2_common_1!J98)/COUNT(recreation_v2_common_5!J98,recreation_v2_common_4!J98,recreation_v2_common_3!J98,recreation_v2_common_2!J98,recreation_v2_common_1!J98),0))</f>
        <v>0</v>
      </c>
      <c r="K98">
        <f>IF($D98=0,"NA",ROUND(SUM(recreation_v2_common_5!K98,recreation_v2_common_4!K98,recreation_v2_common_3!K98,recreation_v2_common_2!K98,recreation_v2_common_1!K98)/COUNT(recreation_v2_common_5!K98,recreation_v2_common_4!K98,recreation_v2_common_3!K98,recreation_v2_common_2!K98,recreation_v2_common_1!K98),0))</f>
        <v>0</v>
      </c>
      <c r="L98">
        <f>IF($D98=0,"NA",ROUND(SUM(recreation_v2_common_5!L98,recreation_v2_common_4!L98,recreation_v2_common_3!L98,recreation_v2_common_2!L98,recreation_v2_common_1!L98)/COUNT(recreation_v2_common_5!L98,recreation_v2_common_4!L98,recreation_v2_common_3!L98,recreation_v2_common_2!L98,recreation_v2_common_1!L98),0))</f>
        <v>1</v>
      </c>
      <c r="M98">
        <f>IF($D98=0,"NA",ROUND(SUM(recreation_v2_common_5!M98,recreation_v2_common_4!M98,recreation_v2_common_3!M98,recreation_v2_common_2!M98,recreation_v2_common_1!M98)/COUNT(recreation_v2_common_5!M98,recreation_v2_common_4!M98,recreation_v2_common_3!M98,recreation_v2_common_2!M98,recreation_v2_common_1!M98),0))</f>
        <v>1</v>
      </c>
      <c r="N98">
        <f>IF($D98=0,"NA",ROUND(SUM(recreation_v2_common_5!N98,recreation_v2_common_4!N98,recreation_v2_common_3!N98,recreation_v2_common_2!N98,recreation_v2_common_1!N98)/COUNT(recreation_v2_common_5!N98,recreation_v2_common_4!N98,recreation_v2_common_3!N98,recreation_v2_common_2!N98,recreation_v2_common_1!N98),0))</f>
        <v>1</v>
      </c>
    </row>
    <row r="99" spans="1:14" x14ac:dyDescent="0.25">
      <c r="A99" t="s">
        <v>161</v>
      </c>
      <c r="B99">
        <v>0</v>
      </c>
      <c r="C99">
        <v>5.441978931427002</v>
      </c>
      <c r="D99">
        <f>ROUND(SUM(recreation_v2_common_5!D99,recreation_v2_common_4!D99,recreation_v2_common_3!D99,recreation_v2_common_2!D99,recreation_v2_common_1!D99)/COUNT(recreation_v2_common_5!D99,recreation_v2_common_4!D99,recreation_v2_common_3!D99,recreation_v2_common_2!D99,recreation_v2_common_1!D99),0)</f>
        <v>1</v>
      </c>
      <c r="E99">
        <f>IF($D99=0,"NA",ROUND(SUM(recreation_v2_common_5!E99,recreation_v2_common_4!E99,recreation_v2_common_3!E99,recreation_v2_common_2!E99,recreation_v2_common_1!E99)/COUNT(recreation_v2_common_5!E99,recreation_v2_common_4!E99,recreation_v2_common_3!E99,recreation_v2_common_2!E99,recreation_v2_common_1!E99),0))</f>
        <v>1</v>
      </c>
      <c r="F99">
        <f>IF($D99=0,"NA",ROUND(SUM(recreation_v2_common_5!F99,recreation_v2_common_4!F99,recreation_v2_common_3!F99,recreation_v2_common_2!F99,recreation_v2_common_1!F99)/COUNT(recreation_v2_common_5!F99,recreation_v2_common_4!F99,recreation_v2_common_3!F99,recreation_v2_common_2!F99,recreation_v2_common_1!F99),0))</f>
        <v>1</v>
      </c>
      <c r="G99">
        <f>IF(AND(E99=1,F99=1),ROUND(SUM(recreation_v2_common_5!G99,recreation_v2_common_4!G99,recreation_v2_common_3!G99,recreation_v2_common_2!G99,recreation_v2_common_1!G99)/COUNT(recreation_v2_common_5!G99,recreation_v2_common_4!G99,recreation_v2_common_3!G99,recreation_v2_common_2!G99,recreation_v2_common_1!G99),0),"NA")</f>
        <v>1</v>
      </c>
      <c r="H99">
        <f>IF($D99=0,"NA",ROUND(SUM(recreation_v2_common_5!H99,recreation_v2_common_4!H99,recreation_v2_common_3!H99,recreation_v2_common_2!H99,recreation_v2_common_1!H99)/COUNT(recreation_v2_common_5!H99,recreation_v2_common_4!H99,recreation_v2_common_3!H99,recreation_v2_common_2!H99,recreation_v2_common_1!H99),0))</f>
        <v>1</v>
      </c>
      <c r="I99">
        <f>IF(E99=1,ROUND(SUM(recreation_v2_common_5!I99,recreation_v2_common_4!I99,recreation_v2_common_3!I99,recreation_v2_common_2!I99,recreation_v2_common_1!I99)/COUNT(recreation_v2_common_5!I99,recreation_v2_common_4!I99,recreation_v2_common_3!I99,recreation_v2_common_2!I99,recreation_v2_common_1!I99),0),"NA")</f>
        <v>0</v>
      </c>
      <c r="J99">
        <f>IF($D99=0,"NA",ROUND(SUM(recreation_v2_common_5!J99,recreation_v2_common_4!J99,recreation_v2_common_3!J99,recreation_v2_common_2!J99,recreation_v2_common_1!J99)/COUNT(recreation_v2_common_5!J99,recreation_v2_common_4!J99,recreation_v2_common_3!J99,recreation_v2_common_2!J99,recreation_v2_common_1!J99),0))</f>
        <v>0</v>
      </c>
      <c r="K99">
        <f>IF($D99=0,"NA",ROUND(SUM(recreation_v2_common_5!K99,recreation_v2_common_4!K99,recreation_v2_common_3!K99,recreation_v2_common_2!K99,recreation_v2_common_1!K99)/COUNT(recreation_v2_common_5!K99,recreation_v2_common_4!K99,recreation_v2_common_3!K99,recreation_v2_common_2!K99,recreation_v2_common_1!K99),0))</f>
        <v>1</v>
      </c>
      <c r="L99">
        <f>IF($D99=0,"NA",ROUND(SUM(recreation_v2_common_5!L99,recreation_v2_common_4!L99,recreation_v2_common_3!L99,recreation_v2_common_2!L99,recreation_v2_common_1!L99)/COUNT(recreation_v2_common_5!L99,recreation_v2_common_4!L99,recreation_v2_common_3!L99,recreation_v2_common_2!L99,recreation_v2_common_1!L99),0))</f>
        <v>1</v>
      </c>
      <c r="M99">
        <f>IF($D99=0,"NA",ROUND(SUM(recreation_v2_common_5!M99,recreation_v2_common_4!M99,recreation_v2_common_3!M99,recreation_v2_common_2!M99,recreation_v2_common_1!M99)/COUNT(recreation_v2_common_5!M99,recreation_v2_common_4!M99,recreation_v2_common_3!M99,recreation_v2_common_2!M99,recreation_v2_common_1!M99),0))</f>
        <v>1</v>
      </c>
      <c r="N99">
        <f>IF($D99=0,"NA",ROUND(SUM(recreation_v2_common_5!N99,recreation_v2_common_4!N99,recreation_v2_common_3!N99,recreation_v2_common_2!N99,recreation_v2_common_1!N99)/COUNT(recreation_v2_common_5!N99,recreation_v2_common_4!N99,recreation_v2_common_3!N99,recreation_v2_common_2!N99,recreation_v2_common_1!N99),0))</f>
        <v>1</v>
      </c>
    </row>
    <row r="100" spans="1:14" x14ac:dyDescent="0.25">
      <c r="A100" t="s">
        <v>163</v>
      </c>
      <c r="B100">
        <v>0</v>
      </c>
      <c r="C100">
        <v>11.31982326507568</v>
      </c>
      <c r="D100">
        <f>ROUND(SUM(recreation_v2_common_5!D100,recreation_v2_common_4!D100,recreation_v2_common_3!D100,recreation_v2_common_2!D100,recreation_v2_common_1!D100)/COUNT(recreation_v2_common_5!D100,recreation_v2_common_4!D100,recreation_v2_common_3!D100,recreation_v2_common_2!D100,recreation_v2_common_1!D100),0)</f>
        <v>1</v>
      </c>
      <c r="E100">
        <f>IF($D100=0,"NA",ROUND(SUM(recreation_v2_common_5!E100,recreation_v2_common_4!E100,recreation_v2_common_3!E100,recreation_v2_common_2!E100,recreation_v2_common_1!E100)/COUNT(recreation_v2_common_5!E100,recreation_v2_common_4!E100,recreation_v2_common_3!E100,recreation_v2_common_2!E100,recreation_v2_common_1!E100),0))</f>
        <v>1</v>
      </c>
      <c r="F100">
        <f>IF($D100=0,"NA",ROUND(SUM(recreation_v2_common_5!F100,recreation_v2_common_4!F100,recreation_v2_common_3!F100,recreation_v2_common_2!F100,recreation_v2_common_1!F100)/COUNT(recreation_v2_common_5!F100,recreation_v2_common_4!F100,recreation_v2_common_3!F100,recreation_v2_common_2!F100,recreation_v2_common_1!F100),0))</f>
        <v>1</v>
      </c>
      <c r="G100">
        <f>IF(AND(E100=1,F100=1),ROUND(SUM(recreation_v2_common_5!G100,recreation_v2_common_4!G100,recreation_v2_common_3!G100,recreation_v2_common_2!G100,recreation_v2_common_1!G100)/COUNT(recreation_v2_common_5!G100,recreation_v2_common_4!G100,recreation_v2_common_3!G100,recreation_v2_common_2!G100,recreation_v2_common_1!G100),0),"NA")</f>
        <v>0</v>
      </c>
      <c r="H100">
        <f>IF($D100=0,"NA",ROUND(SUM(recreation_v2_common_5!H100,recreation_v2_common_4!H100,recreation_v2_common_3!H100,recreation_v2_common_2!H100,recreation_v2_common_1!H100)/COUNT(recreation_v2_common_5!H100,recreation_v2_common_4!H100,recreation_v2_common_3!H100,recreation_v2_common_2!H100,recreation_v2_common_1!H100),0))</f>
        <v>1</v>
      </c>
      <c r="I100">
        <f>IF(E100=1,ROUND(SUM(recreation_v2_common_5!I100,recreation_v2_common_4!I100,recreation_v2_common_3!I100,recreation_v2_common_2!I100,recreation_v2_common_1!I100)/COUNT(recreation_v2_common_5!I100,recreation_v2_common_4!I100,recreation_v2_common_3!I100,recreation_v2_common_2!I100,recreation_v2_common_1!I100),0),"NA")</f>
        <v>1</v>
      </c>
      <c r="J100">
        <f>IF($D100=0,"NA",ROUND(SUM(recreation_v2_common_5!J100,recreation_v2_common_4!J100,recreation_v2_common_3!J100,recreation_v2_common_2!J100,recreation_v2_common_1!J100)/COUNT(recreation_v2_common_5!J100,recreation_v2_common_4!J100,recreation_v2_common_3!J100,recreation_v2_common_2!J100,recreation_v2_common_1!J100),0))</f>
        <v>1</v>
      </c>
      <c r="K100">
        <f>IF($D100=0,"NA",ROUND(SUM(recreation_v2_common_5!K100,recreation_v2_common_4!K100,recreation_v2_common_3!K100,recreation_v2_common_2!K100,recreation_v2_common_1!K100)/COUNT(recreation_v2_common_5!K100,recreation_v2_common_4!K100,recreation_v2_common_3!K100,recreation_v2_common_2!K100,recreation_v2_common_1!K100),0))</f>
        <v>1</v>
      </c>
      <c r="L100">
        <f>IF($D100=0,"NA",ROUND(SUM(recreation_v2_common_5!L100,recreation_v2_common_4!L100,recreation_v2_common_3!L100,recreation_v2_common_2!L100,recreation_v2_common_1!L100)/COUNT(recreation_v2_common_5!L100,recreation_v2_common_4!L100,recreation_v2_common_3!L100,recreation_v2_common_2!L100,recreation_v2_common_1!L100),0))</f>
        <v>1</v>
      </c>
      <c r="M100">
        <f>IF($D100=0,"NA",ROUND(SUM(recreation_v2_common_5!M100,recreation_v2_common_4!M100,recreation_v2_common_3!M100,recreation_v2_common_2!M100,recreation_v2_common_1!M100)/COUNT(recreation_v2_common_5!M100,recreation_v2_common_4!M100,recreation_v2_common_3!M100,recreation_v2_common_2!M100,recreation_v2_common_1!M100),0))</f>
        <v>1</v>
      </c>
      <c r="N100">
        <f>IF($D100=0,"NA",ROUND(SUM(recreation_v2_common_5!N100,recreation_v2_common_4!N100,recreation_v2_common_3!N100,recreation_v2_common_2!N100,recreation_v2_common_1!N100)/COUNT(recreation_v2_common_5!N100,recreation_v2_common_4!N100,recreation_v2_common_3!N100,recreation_v2_common_2!N100,recreation_v2_common_1!N100),0))</f>
        <v>1</v>
      </c>
    </row>
    <row r="101" spans="1:14" x14ac:dyDescent="0.25">
      <c r="A101" t="s">
        <v>165</v>
      </c>
      <c r="B101">
        <v>0</v>
      </c>
      <c r="C101">
        <v>5.7301597595214844</v>
      </c>
      <c r="D101">
        <f>ROUND(SUM(recreation_v2_common_5!D101,recreation_v2_common_4!D101,recreation_v2_common_3!D101,recreation_v2_common_2!D101,recreation_v2_common_1!D101)/COUNT(recreation_v2_common_5!D101,recreation_v2_common_4!D101,recreation_v2_common_3!D101,recreation_v2_common_2!D101,recreation_v2_common_1!D101),0)</f>
        <v>0</v>
      </c>
      <c r="E101" t="str">
        <f>IF($D101=0,"NA",ROUND(SUM(recreation_v2_common_5!E101,recreation_v2_common_4!E101,recreation_v2_common_3!E101,recreation_v2_common_2!E101,recreation_v2_common_1!E101)/COUNT(recreation_v2_common_5!E101,recreation_v2_common_4!E101,recreation_v2_common_3!E101,recreation_v2_common_2!E101,recreation_v2_common_1!E101),0))</f>
        <v>NA</v>
      </c>
      <c r="F101" t="str">
        <f>IF($D101=0,"NA",ROUND(SUM(recreation_v2_common_5!F101,recreation_v2_common_4!F101,recreation_v2_common_3!F101,recreation_v2_common_2!F101,recreation_v2_common_1!F101)/COUNT(recreation_v2_common_5!F101,recreation_v2_common_4!F101,recreation_v2_common_3!F101,recreation_v2_common_2!F101,recreation_v2_common_1!F101),0))</f>
        <v>NA</v>
      </c>
      <c r="G101" t="str">
        <f>IF(AND(E101=1,F101=1),ROUND(SUM(recreation_v2_common_5!G101,recreation_v2_common_4!G101,recreation_v2_common_3!G101,recreation_v2_common_2!G101,recreation_v2_common_1!G101)/COUNT(recreation_v2_common_5!G101,recreation_v2_common_4!G101,recreation_v2_common_3!G101,recreation_v2_common_2!G101,recreation_v2_common_1!G101),0),"NA")</f>
        <v>NA</v>
      </c>
      <c r="H101" t="str">
        <f>IF($D101=0,"NA",ROUND(SUM(recreation_v2_common_5!H101,recreation_v2_common_4!H101,recreation_v2_common_3!H101,recreation_v2_common_2!H101,recreation_v2_common_1!H101)/COUNT(recreation_v2_common_5!H101,recreation_v2_common_4!H101,recreation_v2_common_3!H101,recreation_v2_common_2!H101,recreation_v2_common_1!H101),0))</f>
        <v>NA</v>
      </c>
      <c r="I101" t="str">
        <f>IF(E101=1,ROUND(SUM(recreation_v2_common_5!I101,recreation_v2_common_4!I101,recreation_v2_common_3!I101,recreation_v2_common_2!I101,recreation_v2_common_1!I101)/COUNT(recreation_v2_common_5!I101,recreation_v2_common_4!I101,recreation_v2_common_3!I101,recreation_v2_common_2!I101,recreation_v2_common_1!I101),0),"NA")</f>
        <v>NA</v>
      </c>
      <c r="J101" t="str">
        <f>IF($D101=0,"NA",ROUND(SUM(recreation_v2_common_5!J101,recreation_v2_common_4!J101,recreation_v2_common_3!J101,recreation_v2_common_2!J101,recreation_v2_common_1!J101)/COUNT(recreation_v2_common_5!J101,recreation_v2_common_4!J101,recreation_v2_common_3!J101,recreation_v2_common_2!J101,recreation_v2_common_1!J101),0))</f>
        <v>NA</v>
      </c>
      <c r="K101" t="str">
        <f>IF($D101=0,"NA",ROUND(SUM(recreation_v2_common_5!K101,recreation_v2_common_4!K101,recreation_v2_common_3!K101,recreation_v2_common_2!K101,recreation_v2_common_1!K101)/COUNT(recreation_v2_common_5!K101,recreation_v2_common_4!K101,recreation_v2_common_3!K101,recreation_v2_common_2!K101,recreation_v2_common_1!K101),0))</f>
        <v>NA</v>
      </c>
      <c r="L101" t="str">
        <f>IF($D101=0,"NA",ROUND(SUM(recreation_v2_common_5!L101,recreation_v2_common_4!L101,recreation_v2_common_3!L101,recreation_v2_common_2!L101,recreation_v2_common_1!L101)/COUNT(recreation_v2_common_5!L101,recreation_v2_common_4!L101,recreation_v2_common_3!L101,recreation_v2_common_2!L101,recreation_v2_common_1!L101),0))</f>
        <v>NA</v>
      </c>
      <c r="M101" t="str">
        <f>IF($D101=0,"NA",ROUND(SUM(recreation_v2_common_5!M101,recreation_v2_common_4!M101,recreation_v2_common_3!M101,recreation_v2_common_2!M101,recreation_v2_common_1!M101)/COUNT(recreation_v2_common_5!M101,recreation_v2_common_4!M101,recreation_v2_common_3!M101,recreation_v2_common_2!M101,recreation_v2_common_1!M101),0))</f>
        <v>NA</v>
      </c>
      <c r="N101" t="str">
        <f>IF($D101=0,"NA",ROUND(SUM(recreation_v2_common_5!N101,recreation_v2_common_4!N101,recreation_v2_common_3!N101,recreation_v2_common_2!N101,recreation_v2_common_1!N101)/COUNT(recreation_v2_common_5!N101,recreation_v2_common_4!N101,recreation_v2_common_3!N101,recreation_v2_common_2!N101,recreation_v2_common_1!N101),0))</f>
        <v>NA</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recreation_v2_common_1</vt:lpstr>
      <vt:lpstr>recreation_v2_common_2</vt:lpstr>
      <vt:lpstr>recreation_v2_common_3</vt:lpstr>
      <vt:lpstr>recreation_v2_common_4</vt:lpstr>
      <vt:lpstr>recreation_v2_common_5</vt:lpstr>
      <vt:lpstr>Compiled Vote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2025-07-22T03:09:12Z</dcterms:created>
  <dcterms:modified xsi:type="dcterms:W3CDTF">2025-07-22T04:00:58Z</dcterms:modified>
</cp:coreProperties>
</file>