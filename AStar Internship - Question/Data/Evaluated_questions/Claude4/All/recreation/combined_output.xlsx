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min\A-Star-AI-for-education\AStar Internship - Question\Data\Evaluated_questions\Claude4\All\recreation\"/>
    </mc:Choice>
  </mc:AlternateContent>
  <xr:revisionPtr revIDLastSave="0" documentId="13_ncr:1_{F999B1F4-F8AA-4412-9245-A18ADA6F6ADF}" xr6:coauthVersionLast="47" xr6:coauthVersionMax="47" xr10:uidLastSave="{00000000-0000-0000-0000-000000000000}"/>
  <bookViews>
    <workbookView xWindow="-108" yWindow="-108" windowWidth="23256" windowHeight="12456" firstSheet="1" activeTab="5" xr2:uid="{00000000-000D-0000-FFFF-FFFF00000000}"/>
  </bookViews>
  <sheets>
    <sheet name="recreation_v2_10" sheetId="1" r:id="rId1"/>
    <sheet name="recreation_v2_6" sheetId="2" r:id="rId2"/>
    <sheet name="recreation_v2_7" sheetId="3" r:id="rId3"/>
    <sheet name="recreation_v2_8" sheetId="4" r:id="rId4"/>
    <sheet name="recreation_v2_9" sheetId="5" r:id="rId5"/>
    <sheet name="Compiled Vot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F3" i="6"/>
  <c r="J3" i="6" s="1"/>
  <c r="G3" i="6"/>
  <c r="I3" i="6"/>
  <c r="K3" i="6"/>
  <c r="L3" i="6"/>
  <c r="M3" i="6"/>
  <c r="N3" i="6"/>
  <c r="O3" i="6"/>
  <c r="E4" i="6"/>
  <c r="G4" i="6"/>
  <c r="E5" i="6"/>
  <c r="F5" i="6"/>
  <c r="K5" i="6"/>
  <c r="N5" i="6"/>
  <c r="O5" i="6"/>
  <c r="E6" i="6"/>
  <c r="F6" i="6" s="1"/>
  <c r="G6" i="6"/>
  <c r="O6" i="6"/>
  <c r="E7" i="6"/>
  <c r="F7" i="6"/>
  <c r="G7" i="6"/>
  <c r="H7" i="6"/>
  <c r="J7" i="6"/>
  <c r="L7" i="6"/>
  <c r="M7" i="6"/>
  <c r="E8" i="6"/>
  <c r="F8" i="6" s="1"/>
  <c r="N8" i="6"/>
  <c r="E9" i="6"/>
  <c r="K9" i="6" s="1"/>
  <c r="F9" i="6"/>
  <c r="G9" i="6"/>
  <c r="I9" i="6"/>
  <c r="L9" i="6"/>
  <c r="M9" i="6"/>
  <c r="N9" i="6"/>
  <c r="O9" i="6"/>
  <c r="E10" i="6"/>
  <c r="F10" i="6"/>
  <c r="G10" i="6"/>
  <c r="H10" i="6"/>
  <c r="I10" i="6"/>
  <c r="J10" i="6"/>
  <c r="K10" i="6"/>
  <c r="L10" i="6"/>
  <c r="M10" i="6"/>
  <c r="N10" i="6"/>
  <c r="O10" i="6"/>
  <c r="E11" i="6"/>
  <c r="I11" i="6"/>
  <c r="K11" i="6"/>
  <c r="L11" i="6"/>
  <c r="N11" i="6"/>
  <c r="E12" i="6"/>
  <c r="O12" i="6"/>
  <c r="E13" i="6"/>
  <c r="O13" i="6" s="1"/>
  <c r="F13" i="6"/>
  <c r="G13" i="6"/>
  <c r="K13" i="6"/>
  <c r="L13" i="6"/>
  <c r="M13" i="6"/>
  <c r="N13" i="6"/>
  <c r="E14" i="6"/>
  <c r="G14" i="6" s="1"/>
  <c r="K14" i="6"/>
  <c r="L14" i="6"/>
  <c r="M14" i="6"/>
  <c r="E15" i="6"/>
  <c r="F15" i="6"/>
  <c r="J15" i="6" s="1"/>
  <c r="G15" i="6"/>
  <c r="H15" i="6"/>
  <c r="I15" i="6"/>
  <c r="K15" i="6"/>
  <c r="L15" i="6"/>
  <c r="M15" i="6"/>
  <c r="N15" i="6"/>
  <c r="O15" i="6"/>
  <c r="E16" i="6"/>
  <c r="G16" i="6" s="1"/>
  <c r="N16" i="6"/>
  <c r="E17" i="6"/>
  <c r="F17" i="6"/>
  <c r="J17" i="6" s="1"/>
  <c r="I17" i="6"/>
  <c r="N17" i="6"/>
  <c r="E18" i="6"/>
  <c r="F18" i="6"/>
  <c r="G18" i="6"/>
  <c r="I18" i="6"/>
  <c r="J18" i="6"/>
  <c r="K18" i="6"/>
  <c r="L18" i="6"/>
  <c r="O18" i="6"/>
  <c r="E19" i="6"/>
  <c r="F19" i="6" s="1"/>
  <c r="G19" i="6"/>
  <c r="L19" i="6"/>
  <c r="E20" i="6"/>
  <c r="O20" i="6" s="1"/>
  <c r="F20" i="6"/>
  <c r="J20" i="6" s="1"/>
  <c r="G20" i="6"/>
  <c r="I20" i="6"/>
  <c r="L20" i="6"/>
  <c r="E21" i="6"/>
  <c r="K21" i="6" s="1"/>
  <c r="F21" i="6"/>
  <c r="H21" i="6" s="1"/>
  <c r="G21" i="6"/>
  <c r="I21" i="6"/>
  <c r="J21" i="6"/>
  <c r="L21" i="6"/>
  <c r="M21" i="6"/>
  <c r="N21" i="6"/>
  <c r="O21" i="6"/>
  <c r="E22" i="6"/>
  <c r="F22" i="6"/>
  <c r="G22" i="6"/>
  <c r="H22" i="6"/>
  <c r="I22" i="6"/>
  <c r="J22" i="6"/>
  <c r="K22" i="6"/>
  <c r="L22" i="6"/>
  <c r="M22" i="6"/>
  <c r="N22" i="6"/>
  <c r="O22" i="6"/>
  <c r="E23" i="6"/>
  <c r="O23" i="6"/>
  <c r="E24" i="6"/>
  <c r="F24" i="6"/>
  <c r="I24" i="6"/>
  <c r="K24" i="6"/>
  <c r="E25" i="6"/>
  <c r="F25" i="6" s="1"/>
  <c r="J25" i="6"/>
  <c r="K25" i="6"/>
  <c r="L25" i="6"/>
  <c r="M25" i="6"/>
  <c r="E26" i="6"/>
  <c r="N26" i="6" s="1"/>
  <c r="E27" i="6"/>
  <c r="F27" i="6"/>
  <c r="J27" i="6" s="1"/>
  <c r="G27" i="6"/>
  <c r="H27" i="6"/>
  <c r="I27" i="6"/>
  <c r="K27" i="6"/>
  <c r="L27" i="6"/>
  <c r="M27" i="6"/>
  <c r="N27" i="6"/>
  <c r="O27" i="6"/>
  <c r="E28" i="6"/>
  <c r="G28" i="6"/>
  <c r="I28" i="6"/>
  <c r="M28" i="6"/>
  <c r="E29" i="6"/>
  <c r="F29" i="6"/>
  <c r="I29" i="6"/>
  <c r="J29" i="6"/>
  <c r="K29" i="6"/>
  <c r="N29" i="6"/>
  <c r="O29" i="6"/>
  <c r="E30" i="6"/>
  <c r="G30" i="6" s="1"/>
  <c r="F30" i="6"/>
  <c r="K30" i="6"/>
  <c r="O30" i="6"/>
  <c r="E31" i="6"/>
  <c r="G31" i="6" s="1"/>
  <c r="F31" i="6"/>
  <c r="J31" i="6" s="1"/>
  <c r="K31" i="6"/>
  <c r="E32" i="6"/>
  <c r="O32" i="6" s="1"/>
  <c r="F32" i="6"/>
  <c r="I32" i="6"/>
  <c r="K32" i="6"/>
  <c r="L32" i="6"/>
  <c r="M32" i="6"/>
  <c r="N32" i="6"/>
  <c r="E33" i="6"/>
  <c r="K33" i="6" s="1"/>
  <c r="F33" i="6"/>
  <c r="H33" i="6" s="1"/>
  <c r="G33" i="6"/>
  <c r="I33" i="6"/>
  <c r="L33" i="6"/>
  <c r="M33" i="6"/>
  <c r="N33" i="6"/>
  <c r="O33" i="6"/>
  <c r="E34" i="6"/>
  <c r="F34" i="6"/>
  <c r="G34" i="6"/>
  <c r="H34" i="6" s="1"/>
  <c r="I34" i="6"/>
  <c r="J34" i="6"/>
  <c r="K34" i="6"/>
  <c r="L34" i="6"/>
  <c r="M34" i="6"/>
  <c r="N34" i="6"/>
  <c r="O34" i="6"/>
  <c r="E35" i="6"/>
  <c r="O35" i="6" s="1"/>
  <c r="E36" i="6"/>
  <c r="F36" i="6"/>
  <c r="I36" i="6"/>
  <c r="J36" i="6"/>
  <c r="K36" i="6"/>
  <c r="L36" i="6"/>
  <c r="M36" i="6"/>
  <c r="O36" i="6"/>
  <c r="E37" i="6"/>
  <c r="O37" i="6" s="1"/>
  <c r="I37" i="6"/>
  <c r="K37" i="6"/>
  <c r="L37" i="6"/>
  <c r="M37" i="6"/>
  <c r="N37" i="6"/>
  <c r="E38" i="6"/>
  <c r="L38" i="6" s="1"/>
  <c r="G38" i="6"/>
  <c r="O38" i="6"/>
  <c r="E39" i="6"/>
  <c r="F39" i="6"/>
  <c r="G39" i="6"/>
  <c r="I39" i="6"/>
  <c r="K39" i="6"/>
  <c r="L39" i="6"/>
  <c r="M39" i="6"/>
  <c r="N39" i="6"/>
  <c r="O39" i="6"/>
  <c r="E40" i="6"/>
  <c r="F40" i="6"/>
  <c r="J40" i="6" s="1"/>
  <c r="G40" i="6"/>
  <c r="H40" i="6"/>
  <c r="I40" i="6"/>
  <c r="L40" i="6"/>
  <c r="E41" i="6"/>
  <c r="G41" i="6"/>
  <c r="I41" i="6"/>
  <c r="K41" i="6"/>
  <c r="N41" i="6"/>
  <c r="E42" i="6"/>
  <c r="M42" i="6" s="1"/>
  <c r="F42" i="6"/>
  <c r="G42" i="6"/>
  <c r="I42" i="6"/>
  <c r="J42" i="6"/>
  <c r="K42" i="6"/>
  <c r="L42" i="6"/>
  <c r="N42" i="6"/>
  <c r="O42" i="6"/>
  <c r="E43" i="6"/>
  <c r="K43" i="6" s="1"/>
  <c r="I43" i="6"/>
  <c r="M43" i="6"/>
  <c r="O43" i="6"/>
  <c r="E44" i="6"/>
  <c r="E45" i="6"/>
  <c r="I45" i="6" s="1"/>
  <c r="F45" i="6"/>
  <c r="G45" i="6"/>
  <c r="O45" i="6"/>
  <c r="E46" i="6"/>
  <c r="F46" i="6"/>
  <c r="H46" i="6" s="1"/>
  <c r="G46" i="6"/>
  <c r="I46" i="6"/>
  <c r="K46" i="6"/>
  <c r="L46" i="6"/>
  <c r="M46" i="6"/>
  <c r="N46" i="6"/>
  <c r="O46" i="6"/>
  <c r="E47" i="6"/>
  <c r="G47" i="6"/>
  <c r="E48" i="6"/>
  <c r="K48" i="6" s="1"/>
  <c r="I48" i="6"/>
  <c r="L48" i="6"/>
  <c r="N48" i="6"/>
  <c r="E49" i="6"/>
  <c r="F49" i="6"/>
  <c r="G49" i="6"/>
  <c r="I49" i="6"/>
  <c r="J49" i="6"/>
  <c r="K49" i="6"/>
  <c r="L49" i="6"/>
  <c r="M49" i="6"/>
  <c r="N49" i="6"/>
  <c r="O49" i="6"/>
  <c r="E50" i="6"/>
  <c r="L50" i="6"/>
  <c r="M50" i="6"/>
  <c r="N50" i="6"/>
  <c r="E51" i="6"/>
  <c r="G51" i="6"/>
  <c r="L51" i="6"/>
  <c r="N51" i="6"/>
  <c r="O51" i="6"/>
  <c r="E52" i="6"/>
  <c r="F52" i="6"/>
  <c r="J52" i="6" s="1"/>
  <c r="G52" i="6"/>
  <c r="H52" i="6"/>
  <c r="I52" i="6"/>
  <c r="N52" i="6"/>
  <c r="E53" i="6"/>
  <c r="F53" i="6"/>
  <c r="G53" i="6"/>
  <c r="H53" i="6"/>
  <c r="I53" i="6"/>
  <c r="J53" i="6"/>
  <c r="K53" i="6"/>
  <c r="E54" i="6"/>
  <c r="G54" i="6"/>
  <c r="I54" i="6"/>
  <c r="E55" i="6"/>
  <c r="N55" i="6" s="1"/>
  <c r="F55" i="6"/>
  <c r="G55" i="6"/>
  <c r="I55" i="6"/>
  <c r="J55" i="6"/>
  <c r="K55" i="6"/>
  <c r="L55" i="6"/>
  <c r="M55" i="6"/>
  <c r="O55" i="6"/>
  <c r="E56" i="6"/>
  <c r="I56" i="6"/>
  <c r="K56" i="6"/>
  <c r="L56" i="6"/>
  <c r="M56" i="6"/>
  <c r="N56" i="6"/>
  <c r="E57" i="6"/>
  <c r="F57" i="6"/>
  <c r="G57" i="6"/>
  <c r="K57" i="6"/>
  <c r="M57" i="6"/>
  <c r="N57" i="6"/>
  <c r="E58" i="6"/>
  <c r="F58" i="6"/>
  <c r="J58" i="6" s="1"/>
  <c r="G58" i="6"/>
  <c r="H58" i="6"/>
  <c r="I58" i="6"/>
  <c r="K58" i="6"/>
  <c r="L58" i="6"/>
  <c r="M58" i="6"/>
  <c r="N58" i="6"/>
  <c r="O58" i="6"/>
  <c r="E59" i="6"/>
  <c r="G59" i="6" s="1"/>
  <c r="E60" i="6"/>
  <c r="F60" i="6" s="1"/>
  <c r="K60" i="6"/>
  <c r="E61" i="6"/>
  <c r="G61" i="6"/>
  <c r="I61" i="6"/>
  <c r="K61" i="6"/>
  <c r="L61" i="6"/>
  <c r="M61" i="6"/>
  <c r="N61" i="6"/>
  <c r="E62" i="6"/>
  <c r="I62" i="6" s="1"/>
  <c r="F62" i="6"/>
  <c r="G62" i="6"/>
  <c r="J62" i="6"/>
  <c r="K62" i="6"/>
  <c r="L62" i="6"/>
  <c r="M62" i="6"/>
  <c r="N62" i="6"/>
  <c r="O62" i="6"/>
  <c r="E63" i="6"/>
  <c r="I63" i="6" s="1"/>
  <c r="N63" i="6"/>
  <c r="O63" i="6"/>
  <c r="E64" i="6"/>
  <c r="F64" i="6" s="1"/>
  <c r="E65" i="6"/>
  <c r="F65" i="6" s="1"/>
  <c r="I65" i="6"/>
  <c r="N65" i="6"/>
  <c r="E66" i="6"/>
  <c r="F66" i="6" s="1"/>
  <c r="K66" i="6"/>
  <c r="E67" i="6"/>
  <c r="G67" i="6"/>
  <c r="I67" i="6"/>
  <c r="K67" i="6"/>
  <c r="E68" i="6"/>
  <c r="O68" i="6" s="1"/>
  <c r="F68" i="6"/>
  <c r="G68" i="6"/>
  <c r="I68" i="6"/>
  <c r="J68" i="6"/>
  <c r="K68" i="6"/>
  <c r="L68" i="6"/>
  <c r="M68" i="6"/>
  <c r="N68" i="6"/>
  <c r="E69" i="6"/>
  <c r="I69" i="6" s="1"/>
  <c r="O69" i="6"/>
  <c r="E70" i="6"/>
  <c r="F70" i="6"/>
  <c r="H70" i="6" s="1"/>
  <c r="G70" i="6"/>
  <c r="I70" i="6"/>
  <c r="J70" i="6"/>
  <c r="K70" i="6"/>
  <c r="L70" i="6"/>
  <c r="M70" i="6"/>
  <c r="N70" i="6"/>
  <c r="O70" i="6"/>
  <c r="E71" i="6"/>
  <c r="I71" i="6" s="1"/>
  <c r="G71" i="6"/>
  <c r="L71" i="6"/>
  <c r="N71" i="6"/>
  <c r="O71" i="6"/>
  <c r="E72" i="6"/>
  <c r="F72" i="6" s="1"/>
  <c r="N72" i="6"/>
  <c r="E73" i="6"/>
  <c r="F73" i="6"/>
  <c r="G73" i="6"/>
  <c r="I73" i="6"/>
  <c r="J73" i="6"/>
  <c r="K73" i="6"/>
  <c r="E74" i="6"/>
  <c r="K74" i="6" s="1"/>
  <c r="G74" i="6"/>
  <c r="L74" i="6"/>
  <c r="M74" i="6"/>
  <c r="N74" i="6"/>
  <c r="O74" i="6"/>
  <c r="E75" i="6"/>
  <c r="F75" i="6"/>
  <c r="J75" i="6" s="1"/>
  <c r="G75" i="6"/>
  <c r="I75" i="6"/>
  <c r="K75" i="6"/>
  <c r="L75" i="6"/>
  <c r="M75" i="6"/>
  <c r="N75" i="6"/>
  <c r="O75" i="6"/>
  <c r="E76" i="6"/>
  <c r="F76" i="6"/>
  <c r="I76" i="6"/>
  <c r="E77" i="6"/>
  <c r="F77" i="6"/>
  <c r="J77" i="6" s="1"/>
  <c r="G77" i="6"/>
  <c r="K77" i="6"/>
  <c r="N77" i="6"/>
  <c r="O77" i="6"/>
  <c r="O2" i="6"/>
  <c r="N2" i="6"/>
  <c r="M2" i="6"/>
  <c r="L2" i="6"/>
  <c r="K2" i="6"/>
  <c r="J2" i="6"/>
  <c r="I2" i="6"/>
  <c r="F2" i="6"/>
  <c r="G2" i="6"/>
  <c r="H2" i="6" s="1"/>
  <c r="E2" i="6"/>
  <c r="J66" i="6" l="1"/>
  <c r="J60" i="6"/>
  <c r="H60" i="6"/>
  <c r="J65" i="6"/>
  <c r="H65" i="6"/>
  <c r="J72" i="6"/>
  <c r="J64" i="6"/>
  <c r="K76" i="6"/>
  <c r="G76" i="6"/>
  <c r="H76" i="6" s="1"/>
  <c r="M63" i="6"/>
  <c r="I60" i="6"/>
  <c r="F47" i="6"/>
  <c r="K47" i="6"/>
  <c r="M47" i="6"/>
  <c r="N47" i="6"/>
  <c r="O47" i="6"/>
  <c r="H42" i="6"/>
  <c r="F4" i="6"/>
  <c r="K4" i="6"/>
  <c r="L4" i="6"/>
  <c r="I4" i="6"/>
  <c r="M4" i="6"/>
  <c r="N4" i="6"/>
  <c r="O4" i="6"/>
  <c r="H73" i="6"/>
  <c r="G65" i="6"/>
  <c r="L63" i="6"/>
  <c r="H57" i="6"/>
  <c r="J57" i="6"/>
  <c r="M54" i="6"/>
  <c r="O54" i="6"/>
  <c r="F54" i="6"/>
  <c r="I50" i="6"/>
  <c r="F50" i="6"/>
  <c r="G50" i="6"/>
  <c r="K50" i="6"/>
  <c r="M45" i="6"/>
  <c r="L43" i="6"/>
  <c r="N38" i="6"/>
  <c r="H31" i="6"/>
  <c r="H19" i="6"/>
  <c r="J19" i="6"/>
  <c r="H13" i="6"/>
  <c r="J13" i="6"/>
  <c r="H77" i="6"/>
  <c r="N73" i="6"/>
  <c r="O73" i="6"/>
  <c r="N67" i="6"/>
  <c r="O67" i="6"/>
  <c r="F67" i="6"/>
  <c r="I57" i="6"/>
  <c r="L57" i="6"/>
  <c r="K52" i="6"/>
  <c r="L52" i="6"/>
  <c r="M52" i="6"/>
  <c r="O52" i="6"/>
  <c r="K40" i="6"/>
  <c r="M40" i="6"/>
  <c r="N40" i="6"/>
  <c r="O40" i="6"/>
  <c r="H29" i="6"/>
  <c r="O44" i="6"/>
  <c r="F44" i="6"/>
  <c r="I44" i="6"/>
  <c r="L44" i="6"/>
  <c r="F63" i="6"/>
  <c r="G63" i="6"/>
  <c r="K63" i="6"/>
  <c r="N69" i="6"/>
  <c r="N59" i="6"/>
  <c r="H9" i="6"/>
  <c r="J9" i="6"/>
  <c r="H6" i="6"/>
  <c r="J6" i="6"/>
  <c r="J32" i="6"/>
  <c r="J76" i="6"/>
  <c r="L65" i="6"/>
  <c r="K65" i="6"/>
  <c r="M65" i="6"/>
  <c r="O65" i="6"/>
  <c r="F71" i="6"/>
  <c r="K71" i="6"/>
  <c r="M71" i="6"/>
  <c r="H55" i="6"/>
  <c r="N43" i="6"/>
  <c r="F43" i="6"/>
  <c r="G43" i="6"/>
  <c r="N12" i="6"/>
  <c r="G12" i="6"/>
  <c r="F12" i="6"/>
  <c r="I12" i="6"/>
  <c r="K12" i="6"/>
  <c r="L12" i="6"/>
  <c r="M12" i="6"/>
  <c r="L77" i="6"/>
  <c r="I77" i="6"/>
  <c r="M77" i="6"/>
  <c r="M69" i="6"/>
  <c r="K45" i="6"/>
  <c r="L45" i="6"/>
  <c r="N45" i="6"/>
  <c r="H36" i="6"/>
  <c r="J24" i="6"/>
  <c r="N54" i="6"/>
  <c r="J46" i="6"/>
  <c r="N44" i="6"/>
  <c r="N76" i="6"/>
  <c r="K69" i="6"/>
  <c r="M67" i="6"/>
  <c r="G66" i="6"/>
  <c r="H66" i="6" s="1"/>
  <c r="G64" i="6"/>
  <c r="H64" i="6" s="1"/>
  <c r="L54" i="6"/>
  <c r="F51" i="6"/>
  <c r="I51" i="6"/>
  <c r="K51" i="6"/>
  <c r="M51" i="6"/>
  <c r="L47" i="6"/>
  <c r="M44" i="6"/>
  <c r="H30" i="6"/>
  <c r="J30" i="6"/>
  <c r="O26" i="6"/>
  <c r="H20" i="6"/>
  <c r="J8" i="6"/>
  <c r="H8" i="6"/>
  <c r="M35" i="6"/>
  <c r="F35" i="6"/>
  <c r="G35" i="6"/>
  <c r="I35" i="6"/>
  <c r="K35" i="6"/>
  <c r="L35" i="6"/>
  <c r="N35" i="6"/>
  <c r="G60" i="6"/>
  <c r="M60" i="6"/>
  <c r="N60" i="6"/>
  <c r="O60" i="6"/>
  <c r="K72" i="6"/>
  <c r="O64" i="6"/>
  <c r="H45" i="6"/>
  <c r="J45" i="6"/>
  <c r="I38" i="6"/>
  <c r="F38" i="6"/>
  <c r="K38" i="6"/>
  <c r="M38" i="6"/>
  <c r="I31" i="6"/>
  <c r="N31" i="6"/>
  <c r="O31" i="6"/>
  <c r="L31" i="6"/>
  <c r="M31" i="6"/>
  <c r="H68" i="6"/>
  <c r="I66" i="6"/>
  <c r="N64" i="6"/>
  <c r="O76" i="6"/>
  <c r="I74" i="6"/>
  <c r="F74" i="6"/>
  <c r="I72" i="6"/>
  <c r="L69" i="6"/>
  <c r="L64" i="6"/>
  <c r="I59" i="6"/>
  <c r="G48" i="6"/>
  <c r="M48" i="6"/>
  <c r="O48" i="6"/>
  <c r="F48" i="6"/>
  <c r="N24" i="6"/>
  <c r="G24" i="6"/>
  <c r="H24" i="6" s="1"/>
  <c r="L24" i="6"/>
  <c r="M24" i="6"/>
  <c r="O24" i="6"/>
  <c r="M73" i="6"/>
  <c r="M76" i="6"/>
  <c r="L73" i="6"/>
  <c r="L67" i="6"/>
  <c r="O61" i="6"/>
  <c r="F61" i="6"/>
  <c r="O57" i="6"/>
  <c r="O56" i="6"/>
  <c r="F56" i="6"/>
  <c r="G56" i="6"/>
  <c r="K54" i="6"/>
  <c r="L53" i="6"/>
  <c r="M53" i="6"/>
  <c r="N53" i="6"/>
  <c r="O53" i="6"/>
  <c r="O50" i="6"/>
  <c r="K44" i="6"/>
  <c r="L41" i="6"/>
  <c r="M41" i="6"/>
  <c r="O41" i="6"/>
  <c r="F41" i="6"/>
  <c r="F28" i="6"/>
  <c r="K28" i="6"/>
  <c r="L28" i="6"/>
  <c r="N28" i="6"/>
  <c r="O28" i="6"/>
  <c r="M23" i="6"/>
  <c r="F23" i="6"/>
  <c r="G23" i="6"/>
  <c r="I23" i="6"/>
  <c r="K23" i="6"/>
  <c r="L23" i="6"/>
  <c r="N23" i="6"/>
  <c r="J39" i="6"/>
  <c r="H39" i="6"/>
  <c r="H62" i="6"/>
  <c r="L76" i="6"/>
  <c r="G72" i="6"/>
  <c r="H72" i="6" s="1"/>
  <c r="L72" i="6"/>
  <c r="M72" i="6"/>
  <c r="O72" i="6"/>
  <c r="F69" i="6"/>
  <c r="G69" i="6"/>
  <c r="M66" i="6"/>
  <c r="L66" i="6"/>
  <c r="N66" i="6"/>
  <c r="O66" i="6"/>
  <c r="K64" i="6"/>
  <c r="I64" i="6"/>
  <c r="M64" i="6"/>
  <c r="L60" i="6"/>
  <c r="F59" i="6"/>
  <c r="K59" i="6"/>
  <c r="L59" i="6"/>
  <c r="M59" i="6"/>
  <c r="O59" i="6"/>
  <c r="I47" i="6"/>
  <c r="G44" i="6"/>
  <c r="I26" i="6"/>
  <c r="F26" i="6"/>
  <c r="G26" i="6"/>
  <c r="K26" i="6"/>
  <c r="L26" i="6"/>
  <c r="M26" i="6"/>
  <c r="H5" i="6"/>
  <c r="G25" i="6"/>
  <c r="H25" i="6" s="1"/>
  <c r="G17" i="6"/>
  <c r="H17" i="6" s="1"/>
  <c r="L17" i="6"/>
  <c r="M17" i="6"/>
  <c r="M8" i="6"/>
  <c r="J5" i="6"/>
  <c r="H75" i="6"/>
  <c r="N36" i="6"/>
  <c r="G36" i="6"/>
  <c r="J33" i="6"/>
  <c r="G32" i="6"/>
  <c r="H32" i="6" s="1"/>
  <c r="L30" i="6"/>
  <c r="M19" i="6"/>
  <c r="O16" i="6"/>
  <c r="M11" i="6"/>
  <c r="O11" i="6"/>
  <c r="F11" i="6"/>
  <c r="G11" i="6"/>
  <c r="K8" i="6"/>
  <c r="I7" i="6"/>
  <c r="K7" i="6"/>
  <c r="N7" i="6"/>
  <c r="O7" i="6"/>
  <c r="O25" i="6"/>
  <c r="I25" i="6"/>
  <c r="F14" i="6"/>
  <c r="I14" i="6"/>
  <c r="I8" i="6"/>
  <c r="H49" i="6"/>
  <c r="G37" i="6"/>
  <c r="G29" i="6"/>
  <c r="L29" i="6"/>
  <c r="M29" i="6"/>
  <c r="K19" i="6"/>
  <c r="H18" i="6"/>
  <c r="M16" i="6"/>
  <c r="L6" i="6"/>
  <c r="G5" i="6"/>
  <c r="I5" i="6"/>
  <c r="L5" i="6"/>
  <c r="M5" i="6"/>
  <c r="F37" i="6"/>
  <c r="I30" i="6"/>
  <c r="N20" i="6"/>
  <c r="M18" i="6"/>
  <c r="N18" i="6"/>
  <c r="G8" i="6"/>
  <c r="K6" i="6"/>
  <c r="M20" i="6"/>
  <c r="O17" i="6"/>
  <c r="I16" i="6"/>
  <c r="I6" i="6"/>
  <c r="H3" i="6"/>
  <c r="L8" i="6"/>
  <c r="O8" i="6"/>
  <c r="M30" i="6"/>
  <c r="N30" i="6"/>
  <c r="N25" i="6"/>
  <c r="K20" i="6"/>
  <c r="K17" i="6"/>
  <c r="O14" i="6"/>
  <c r="I19" i="6"/>
  <c r="N19" i="6"/>
  <c r="O19" i="6"/>
  <c r="F16" i="6"/>
  <c r="K16" i="6"/>
  <c r="L16" i="6"/>
  <c r="N14" i="6"/>
  <c r="M6" i="6"/>
  <c r="N6" i="6"/>
  <c r="I13" i="6"/>
  <c r="H61" i="6" l="1"/>
  <c r="J61" i="6"/>
  <c r="H23" i="6"/>
  <c r="J23" i="6"/>
  <c r="H4" i="6"/>
  <c r="J4" i="6"/>
  <c r="H43" i="6"/>
  <c r="J43" i="6"/>
  <c r="H69" i="6"/>
  <c r="J69" i="6"/>
  <c r="H12" i="6"/>
  <c r="J12" i="6"/>
  <c r="J54" i="6"/>
  <c r="H54" i="6"/>
  <c r="H59" i="6"/>
  <c r="J59" i="6"/>
  <c r="J63" i="6"/>
  <c r="H63" i="6"/>
  <c r="H44" i="6"/>
  <c r="J44" i="6"/>
  <c r="J26" i="6"/>
  <c r="H26" i="6"/>
  <c r="H37" i="6"/>
  <c r="J37" i="6"/>
  <c r="J74" i="6"/>
  <c r="H74" i="6"/>
  <c r="H67" i="6"/>
  <c r="J67" i="6"/>
  <c r="J51" i="6"/>
  <c r="H51" i="6"/>
  <c r="H11" i="6"/>
  <c r="J11" i="6"/>
  <c r="H56" i="6"/>
  <c r="J56" i="6"/>
  <c r="J71" i="6"/>
  <c r="H71" i="6"/>
  <c r="J16" i="6"/>
  <c r="H16" i="6"/>
  <c r="J28" i="6"/>
  <c r="H28" i="6"/>
  <c r="H38" i="6"/>
  <c r="J38" i="6"/>
  <c r="H41" i="6"/>
  <c r="J41" i="6"/>
  <c r="J47" i="6"/>
  <c r="H47" i="6"/>
  <c r="J14" i="6"/>
  <c r="H14" i="6"/>
  <c r="H48" i="6"/>
  <c r="J48" i="6"/>
  <c r="H35" i="6"/>
  <c r="J35" i="6"/>
  <c r="H50" i="6"/>
  <c r="J50" i="6"/>
</calcChain>
</file>

<file path=xl/sharedStrings.xml><?xml version="1.0" encoding="utf-8"?>
<sst xmlns="http://schemas.openxmlformats.org/spreadsheetml/2006/main" count="1756" uniqueCount="269">
  <si>
    <t>Evaluator</t>
  </si>
  <si>
    <t>Question</t>
  </si>
  <si>
    <t>status</t>
  </si>
  <si>
    <t>response_time</t>
  </si>
  <si>
    <t>answerability</t>
  </si>
  <si>
    <t>primary_kc_alignment</t>
  </si>
  <si>
    <t>secondary_kc_alignment</t>
  </si>
  <si>
    <t>synergy</t>
  </si>
  <si>
    <t>topic_alignment</t>
  </si>
  <si>
    <t>grade_alignment</t>
  </si>
  <si>
    <t>real_world_feasibility</t>
  </si>
  <si>
    <t>clarity</t>
  </si>
  <si>
    <t>conciseness_and_relevance</t>
  </si>
  <si>
    <t>language_quality</t>
  </si>
  <si>
    <t>content_appropriateness</t>
  </si>
  <si>
    <t>explanation</t>
  </si>
  <si>
    <t>TD</t>
  </si>
  <si>
    <t>Question 1</t>
  </si>
  <si>
    <t>Grade Alignment: The problem uses 4-digit numbers (1562, 738) and requires multi-step operations that are typically beyond Primary 3 level. Primary 3 students usually work with 3-digit numbers and simpler single-step or two-step problems.</t>
  </si>
  <si>
    <t>Question 2</t>
  </si>
  <si>
    <t>'NA</t>
  </si>
  <si>
    <t>Answerability: The problem cannot be solved as stated. To find average time per 10 metres, we need 202.457 / (500/10) = 202.457 / 50 = 4.04914 seconds. This requires division by 50, but the given information only allows division by whole numbers, not the result of 500/10. Primary KC Alignment: The problem requires 202.457 / 50 = 4.04914, which is division by 50. However, the intended primary KC is division by 10, 100, 1000 and their multiples. 50 is not 10, 100, 1000 or their multiples (multiples would be 20, 30, 200, 300, 2000, 3000, etc. but 50 is not among standard multiples typically covered).</t>
  </si>
  <si>
    <t>Question 3</t>
  </si>
  <si>
    <t>Primary KC Alignment: The problem requires dividing 12.000 by 10, but this is basic division by 10 which moves decimal point one place left. The intended primary KC specifies dividing decimals up to 3 decimal places by 10, 100, 1000 and their multiples, suggesting more complex operations with longer decimals or larger divisors. This problem only uses simple division by 10 with a result that has no decimal places after moving the decimal point.</t>
  </si>
  <si>
    <t>Question 4</t>
  </si>
  <si>
    <t>Question 5</t>
  </si>
  <si>
    <t>Question 6</t>
  </si>
  <si>
    <t>Question 7</t>
  </si>
  <si>
    <t>Real-world feasibility: The problem asks how many 45-minute dance routines can fit in 2 hours, which mathematically gives 2.67 routines. However, in reality, you cannot perform 2/3 of a dance routine - dance routines are complete performances that cannot be meaningfully fractioned. A dancer would only be able to perform 2 complete routines in 2 hours, making the mathematical answer unrealistic for the given context.</t>
  </si>
  <si>
    <t>Question 8</t>
  </si>
  <si>
    <t>Question 9</t>
  </si>
  <si>
    <t>Grade Alignment: Matrix operations are typically introduced at A-level or equivalent advanced secondary level, not O-level 3/4. O-level students typically study basic algebra, geometry, and statistics. Real-World Plausibility: The impact factor matrix M with values like 0.5 and 0.8 as weightage for sports activities lacks clear real-world meaning. What does multiplying hours by these arbitrary factors represent in practical terms? The explanation of what C x M represents is not intuitive or realistic in a sports club context.</t>
  </si>
  <si>
    <t>Question 10</t>
  </si>
  <si>
    <t>Question 11</t>
  </si>
  <si>
    <t>Real-world feasibility: Attending 5/3 sessions (approximately 1.67 sessions) is unrealistic - students typically attend complete sessions, not fractional portions of sessions.</t>
  </si>
  <si>
    <t>Question 12</t>
  </si>
  <si>
    <t>grade_alignment: The problem requires understanding of algebraic variables (x, n), algebraic expressions with variables, and algebraic manipulation which are typically introduced in Secondary 1/2 mathematics, not Primary 6. Primary 6 students in Singapore typically work with basic arithmetic and simple number patterns, not formal algebra with variables.</t>
  </si>
  <si>
    <t>Question 13</t>
  </si>
  <si>
    <t>Grade Alignment: The calculation 5.30 / 4 = 1.325 results in a 3-decimal place answer, which is beyond Primary 4 level expectations for decimal precision.</t>
  </si>
  <si>
    <t>Question 14</t>
  </si>
  <si>
    <t>Grade Alignment: The problem involves basic percentage calculation (15% increase) and simple subtraction, which are too elementary for Secondary O-level 1 students who should be working with advanced algebra, trigonometry, and complex mathematical concepts.</t>
  </si>
  <si>
    <t>Question 15</t>
  </si>
  <si>
    <t>The intended Secondary Knowledge Component is 'Finding mean deviation' which refers to calculating the average absolute deviation from the mean, but the problem only asks for calculating the mean in part (a). Mean deviation would require finding |xi - mean| for each value and then averaging those deviations.</t>
  </si>
  <si>
    <t>Question 16</t>
  </si>
  <si>
    <t>Answerability: Logical inconsistency - if 2.35 points were wrongly added to 17.5 earned points, displayed score should be 19.85, not 17.5. Primary KC Alignment: Problem does not require multiplying decimals by 10/100/1000 or multiples - only decimal subtraction is needed. Synergy: Primary and secondary knowledge components cannot work in tandem since primary KC is not needed for solution.</t>
  </si>
  <si>
    <t>Question 17</t>
  </si>
  <si>
    <t>The problem lacks essential information - the number of sessions Sarah attended last month is not provided. Without this information, it is impossible to calculate how many sessions she attended this month (5/3 times last month's sessions) and therefore impossible to determine the total paint used this month.</t>
  </si>
  <si>
    <t>Question 18</t>
  </si>
  <si>
    <t>Question 19</t>
  </si>
  <si>
    <t>Question 20</t>
  </si>
  <si>
    <t>Answerability: The problem assumes painting completion is proportional to time spent without stating this relationship explicitly, creating ambiguity about how to solve it mathematically. Real-world feasibility: The assumption that painting progress is directly proportional to time spent is unrealistic - factors like complexity of different sections, drying time, and painting technique affect progress. Clarity: The connection between time spent and fraction of painting completed is not clearly established, making the problem ambiguous.</t>
  </si>
  <si>
    <t>Question 21</t>
  </si>
  <si>
    <t>Question 22</t>
  </si>
  <si>
    <t>Primary KC alignment: Problem uses decimals with 3 decimal places (8.125, 8.085) but intended component specifies up to 2 decimal places only. Synergy: Part (a) calculates Mei's total score but this result is not used in part (b) which only compares final round scores - the two parts are independent rather than connected.</t>
  </si>
  <si>
    <t>Question 23</t>
  </si>
  <si>
    <t>Answerability: The problem is missing critical information - the number of practice days last month is not provided. Without this information, it is impossible to calculate the total hours each student spends practicing this month. The problem gives a ratio (9/5 times as many days) but no baseline number to multiply against.</t>
  </si>
  <si>
    <t>Question 24</t>
  </si>
  <si>
    <t>Grade alignment: Direct proportion is too advanced for Secondary O-level 2 students. Real-world feasibility: The ratio of 6 mats for 8 participants (0.75 mats per person) is unrealistic - fitness classes typically use 1 mat per participant.</t>
  </si>
  <si>
    <t>Question 25</t>
  </si>
  <si>
    <t>Minh</t>
  </si>
  <si>
    <t>Primary KC specifies adding decimals up to 2 decimal places, but the problem includes 1.797 which has 3 decimal places, exceeding the specified limit.</t>
  </si>
  <si>
    <t>Real-world feasibility fails because 0.125 hours / 1000 students = 0.0001125 hours per student, which equals approximately 0.4 seconds. This duration is too brief for meaningful piano practice and does not represent a realistic educational scenario.</t>
  </si>
  <si>
    <t>Grade Alignment: Matrix operations including scalar multiplication and matrix subtraction are typically taught at A-level Secondary 5/6 in Singapore syllabus, not at O-level 3/4. O-level mathematics covers arithmetic, algebra, geometry and basic statistics but not matrix algebra.</t>
  </si>
  <si>
    <t>Grade Alignment: The problem uses terminology like lower quartile Q1, median Q2, upper quartile Q3, and interquartile range which are typically introduced at Primary 6 level in Singapore math syllabus, not Secondary O-level 3/4. The complexity and mathematical concepts required are below the intended grade level.</t>
  </si>
  <si>
    <t>Answerability: Problem contains conflicting information - using 5/6 ratio gives 20 painting students but using 3/4:2 ratio gives 9 painting students, making problem unsolvable. Secondary KC Alignment: Solution only requires fraction multiplication and ratio solving, not fraction division as intended. Synergy: Since secondary KC (fraction division) is not needed, primary and secondary KCs do not work in tandem. Grade Alignment: Complex ratio problem with conflicting constraints too advanced for Secondary O-level 1 students aged 13-14.</t>
  </si>
  <si>
    <t>Synergy: The two parts are not connected - part (b) does not use results from part (a), they are independent questions sharing only context. Grade Alignment: The problem involves basic inverse proportion (4*120=6*x) and simple division (36/6=6) which are too elementary for Secondary O-level 2 students who should handle more complex mathematical concepts.</t>
  </si>
  <si>
    <t>The problem is not answerable because 183 / 4 = 45.75, meaning 183 children cannot be divided equally into 4 groups with whole numbers of children per group.</t>
  </si>
  <si>
    <t>Answerability: The problem contains conflicting information. The first part asks to write equations with variables x and y, but the second part provides specific values (3 hours, 5 rackets) that make the total cost $22, which contradicts the given total of $28. Primary KC Alignment: The problem does not require solving linear equations in two variables as the primary skill. The second question can be answered with simple arithmetic (4*3 + 2*5 = 22) without any equation solving. The main focus is on setting up equations rather than solving them. Synergy: The two parts of the problem are disconnected. The first part asks for equation setup while the second part is a simple calculation that does not use the equations from the first part, failing to demonstrate how both knowledge components work together.</t>
  </si>
  <si>
    <t>Secondary KC alignment: Problem only requires division (168/4=42, 42/6=7) but intended secondary KC is multiplication which is not needed. Synergy: No synergy exists since multiplication component is not utilized in the solution.</t>
  </si>
  <si>
    <t>Real-world feasibility: Playing football for 12 hours in one week and 18 hours in another week is unrealistic for a primary school student. This amounts to 1.7-2.6 hours daily which is excessive and unhealthy for children, not reflecting typical recreational football playing patterns.</t>
  </si>
  <si>
    <t>Secondary Knowledge Component Alignment: The problem does not require subtracting decimals to solve. The solution only needs division: 36.84 / 6 = 6.14 per week, then 6.14 * 2 = 12.28 for remaining weeks. Synergy: Since decimal subtraction is not needed, the primary and secondary knowledge components are not used in tandem to solve the problem.</t>
  </si>
  <si>
    <t>Topic Alignment: The problem context is about school clubs (Science Club, Music Club) which are academic/educational activities, not recreation activities like sports, games, exercises, music performance, movies, dancing, painting, or fishing. Grade Alignment: This problem requires formal set notation and set operations concepts that are typically introduced at higher secondary levels or pre-university mathematics, not at Secondary O-level 3/4 where basic arithmetic and algebra are the focus.</t>
  </si>
  <si>
    <t>synergy: The two parts (a) and (b) are independent calculations that do not require using the result from part (a) to solve part (b). There is no connection between the questions where one builds upon the other. grade_alignment: Finding median and mode are basic statistical concepts typically introduced in Primary 5-6 or Secondary 1 levels. This problem is too elementary for Secondary O-level 2 students, who should be working with more advanced statistical concepts like standard deviation, probability distributions, or hypothesis testing.</t>
  </si>
  <si>
    <t>Sarah</t>
  </si>
  <si>
    <t>grade_alignment: The problem is designed for Secondary O-level 2 but uses very basic linear inequality concepts that are typically introduced much earlier in Primary 6 or Secondary 1. The mathematical complexity (12n + 10 &lt;= 50) is too simple for O-level 2 students who should be handling more advanced algebraic concepts involving multiple variables, systems of inequalities, or quadratic relationships.</t>
  </si>
  <si>
    <t>Grade Alignment: This problem is too simple for Secondary O-level 3/4 students. It involves basic probability concepts (drawing cards and rolling dice) that are typically taught at primary or lower secondary levels. O-level 3/4 students would be expected to handle more complex probability scenarios involving conditional probability, permutations, combinations, or multi-step probability problems with more sophisticated mathematical reasoning.</t>
  </si>
  <si>
    <t>Real-world feasibility: If friends paint together and divide 3/4 hour equally among 3 people, Sarah leaving 1/6 hour early would affect everyone's time, not create individual time allocations. Clarity: Problem is ambiguous about whether painting is collaborative or individual, and part (b) question unclear about what comparison is requested.</t>
  </si>
  <si>
    <t>Grade alignment: Problem too simple for O-level students, involves basic percentage calculations suitable for primary level. Real-world feasibility: Piano exams typically use qualitative grades not numerical marks out of 100, scenario lacks realistic context. Clarity: Ambiguous whether 80% and 96 refer to percentage scores or absolute marks, relationship between different values unclear.</t>
  </si>
  <si>
    <t>Real-world feasibility: In table tennis, players do not hit the ball distances of 2+ metres as described. Table tennis is played on a table that is 2.74m long, so hitting the ball 2.35m, 2.171m, or 2.47m as consistent distances during practice does not reflect realistic table tennis gameplay where the ball travels back and forth across the net on the table surface.</t>
  </si>
  <si>
    <t>Grade alignment: This problem involves basic ratio concepts and decimal addition which are typically covered in primary grades (Primary 5-6), not Secondary O-level 1 which would require more advanced mathematical concepts. Real-world feasibility: Having 12.5 boys and 3.7 girls joining is unrealistic as you cannot have fractional people in real-world scenarios.</t>
  </si>
  <si>
    <t>Grade Alignment: This problem is too easy for Secondary O-level 1 students. Calculating percentage increase (150-120)/120 * 100 = 25% and converting 25% to fraction 1/4 are concepts typically mastered in primary grades 5-6. Secondary O-level 1 students would expect more complex percentage problems involving compound calculations, multiple steps, or advanced applications.</t>
  </si>
  <si>
    <t>Real-world plausibility issue: A student practicing 7/4 (175%) of planned time on Monday and then 5/3 of that amount on Tuesday does not reflect realistic practice scenarios. People typically practice within reasonable time limits, not exceeding planned time by such large margins.</t>
  </si>
  <si>
    <t>Grade Alignment: The problem is intended for Secondary O-level 1 but involves quadratic expressions (2x^2 + 3x + 5) which are typically introduced in later secondary grades, making it too advanced for the intended grade level. Real-World Plausibility: Mini-golf course booking costs following a quadratic function 2x^2 + 3x + 5 is unrealistic - actual hourly rates are typically linear or have fixed costs, not quadratic relationships where cost increases exponentially with time.</t>
  </si>
  <si>
    <t>Grade alignment: This problem involves basic ratio concepts with simple fractions that would typically be taught at Primary 5-6 level in Singapore math curriculum, not Secondary O-level 1. The complexity level is too low for Secondary O-level students who would be expected to handle more advanced algebraic ratios and complex fraction operations.</t>
  </si>
  <si>
    <t>Answerability: The problem lacks critical information - we cannot determine the remainder without knowing how many complete bottles were filled. The problem states bottles are filled with 0.100 litres each from 14.250 litres total, but doesn't specify how many bottles Sarah actually has available to fill. Primary KC Alignment: The intended primary knowledge component is dividing decimals by 10, 100, 1000 and their multiples, but the actual division required is 14.250 / 0.100 = 142.5, which involves dividing by 0.100 (a decimal), not by whole number multiples of 10, 100, or 1000. Synergy: Since the primary knowledge component alignment fails, the two knowledge components cannot work in proper tandem as intended.</t>
  </si>
  <si>
    <t>Primary KC alignment: The problem can be solved without addition of probabilities. Students who play at least one instrument = 30 - (students who play neither) = 30 - (30 - 18 - 15 + 6) = 27. Probability = 27/30 = 9/10. No probability addition required. Synergy: Since primary KC is not needed, primary and secondary KCs are not used in tandem. The problem only requires basic probability calculation of combined events, not addition of separate probabilities.</t>
  </si>
  <si>
    <t>Grade Alignment: The problem involves basic percentage calculation (15% of 120) and simple addition, which are typically mastered in Primary 5-6. For Secondary O-level 1 students, this content is too elementary and does not match the expected mathematical complexity for this grade level.</t>
  </si>
  <si>
    <t>Synergy: The two parts (a) and (b) are independent questions that can be solved separately without using results from one to solve the other. Grade Alignment: Finding median and range are basic statistical concepts typically taught at Primary 5-6 level, making this problem too elementary for Secondary O-level 2 students who should work with more advanced statistical analysis.</t>
  </si>
  <si>
    <t>Primary KC Alignment: The problem does not require multiplying decimals by 10, 100, 1000 or their multiples as specified. Part (b) involves 0.775 x 10 = 7.75 and part (c) involves 7.75 x 2 = 15.5, but the main computational focus is on decimal addition (0.125 + 0.25 + 0.4) rather than the intended primary knowledge component of multiplying by powers of 10.</t>
  </si>
  <si>
    <t>Question 26</t>
  </si>
  <si>
    <t>Answerability: Part (a) gives 12.450/10 = 1.245m per lap, but part (b) provides 10 different distances totaling 12.467m, creating conflicting information. Primary KC Alignment: Problem requires dividing 12.450 by 10, which is basic decimal division, not specifically dividing by multiples of 10, 100, 1000 as intended. Synergy: The logical inconsistency between parts (a) and (b) prevents the knowledge components from working together effectively.</t>
  </si>
  <si>
    <t>Grade alignment: The problem uses 4-digit numbers (1562) which is typically beyond Primary 3 level. Primary 3 students usually work with 3-digit numbers, while 4-digit operations are introduced in Primary 4.</t>
  </si>
  <si>
    <t>Primary KC alignment fails because the problem requires dividing 202.457 by 50, which is dividing a decimal by a whole number, not specifically by 10, 100, 1000 or their multiples as stated in the intended Primary Knowledge Component.</t>
  </si>
  <si>
    <t>Real-world feasibility: The scenario is unrealistic - Wei Lin swam only 2 days (Monday and Wednesday) but is asked to divide the distance among 10 days, which doesn't make practical sense for a training plan. Clarity: The problem is ambiguous about whether she should swim the average distance for 10 days total or as a daily routine, and the phrase 'that week' conflicts with the 10-day division. Conciseness: The phrase 'rounded to three decimal places' is unnecessary since 12.000/10 = 1.200 already has exactly 3 decimal places, and asking for rounding when no rounding is needed adds confusion.</t>
  </si>
  <si>
    <t>Real-world feasibility: The problem asks how many dance routines can be performed in 2 hours when each takes 3/4 hour. The mathematical answer is 8/3 = 2.67 routines, but in reality, you cannot perform 0.67 of a dance routine - you can only perform complete routines (2 full routines with 0.5 hours remaining). This creates a disconnect between the mathematical solution and real-world logic.</t>
  </si>
  <si>
    <t>Grade Alignment: The problem uses 0.755 km which has 3 decimal places. Primary 4 students typically work with decimals up to 2 decimal places only. The subtraction 3.83 - 0.755 requires skills beyond typical Primary 4 level.</t>
  </si>
  <si>
    <t>Grade Alignment: Matrix operations including matrix multiplication are typically taught at A-level or higher education level, not at Secondary O-level 3/4 which typically covers basic algebra, geometry, and elementary statistics. Real-World Plausibility: The use of impact factor weightage matrix M with values like 0.5 and 0.8 for different sports activities is not how coaches typically analyze or plan training in reality. Coaches usually work with direct time allocations, percentages, or simple ratios rather than matrix multiplication with decimal weightage factors.</t>
  </si>
  <si>
    <t>real_world_feasibility: Attending 5/3 sessions (approximately 1.67 sessions) is unrealistic as people typically attend complete sessions, not fractional parts of sessions.</t>
  </si>
  <si>
    <t>Grade Alignment: This problem requires algebraic expressions with variables (x, n) and algebraic manipulation which are typically introduced in Secondary 1-2, not Primary 6. Primary 6 students in Singapore typically work with basic algebra using simple letter representations but not complex algebraic expressions involving multiple variables and simplification at this level.</t>
  </si>
  <si>
    <t>Grade Alignment: The division 5.30 / 4 = 1.325 produces a result with 3 decimal places, which exceeds the typical Primary 4 curriculum that works with decimals up to 2 decimal places only.</t>
  </si>
  <si>
    <t>Grade Alignment: The problem difficulty is too low for Secondary O-level 1 students. Basic percentage increase (15%) and simple subtraction are typically mastered in primary grades 5-6. Secondary O-level 1 students require more complex percentage applications involving multiple steps, compound changes, or algebraic reasoning.</t>
  </si>
  <si>
    <t>The secondary KC specifies 'Finding mean deviation' but the problem only asks for calculating the mean, not the mean deviation. Mean deviation is a different statistical measure that involves finding the average of absolute deviations from the mean.</t>
  </si>
  <si>
    <t>Answerability: There is conflicting information - if Siti earned 17.5 points and her display shows 17.5 points, then 0 points were wrongly added, contradicting the stated 2.35 wrongly added points. The display should show 17.5 + 2.35 = 19.85 if 2.35 were wrongly added. Primary KC Alignment: The problem requires multiplying 0.175 x 100, which uses 100 exactly, not a multiple of 100 as specified in the intended primary knowledge component about multiples of 10, 100, 1000.</t>
  </si>
  <si>
    <t>Answerability: The problem cannot be solved because it lacks essential information - the number of sessions Sarah attended last month is not provided. Without knowing the baseline number of sessions, we cannot calculate 5/3 of that amount or determine the total paint used this month.</t>
  </si>
  <si>
    <t>Answerability: Problem requires assumption that painting completion is proportional to time spent, which is not explicitly stated. Real-world feasibility: The direct proportional relationship between time and painting completion is unrealistic as painting efficiency varies. Clarity: The relationship between time spent painting and fraction of painting completed is ambiguous.</t>
  </si>
  <si>
    <t>Primary KC alignment: Problem includes 3 decimal places (8.125, 8.085) but intended KC is up to 2 decimal places only. Synergy: Part (a) and (b) are independent - part (b) does not use results from part (a). Grade alignment: 3 decimal places may exceed Primary 4 level expectations in Singapore math curriculum.</t>
  </si>
  <si>
    <t>The problem cannot be solved because critical information is missing - the number of practice days last month is not provided. To find total hours this month, we need: (7/4 hours per day) × (9/5 × days last month), but days last month is unknown. Without this information, the multiplication of fractions 7/4 × 9/5 can be performed but cannot yield the final answer requested.</t>
  </si>
  <si>
    <t>Grade Alignment: Direct proportion is typically taught at Primary 6 level in Singapore math curriculum, making this problem too elementary for Secondary O-level 2 students who should be working with more advanced mathematical concepts.</t>
  </si>
  <si>
    <t>Primary KC alignment: The intended primary KC specifies adding decimals up to 2 decimal places, but the problem includes 1.797 which has 3 decimal places, exceeding the specified limit. Grade alignment: Using 3-decimal place numbers like 1.797 may be beyond typical Primary 4 level where students usually work with decimals up to 2 decimal places.</t>
  </si>
  <si>
    <t>Real-world feasibility: Dividing 0.125 hours (7.5 minutes) among 1000 students gives each student only 0.000125 hours (0.27 seconds) of practice time, which is unrealistic and impractical for actual music education.</t>
  </si>
  <si>
    <t>Grade Alignment: Matrix operations are too advanced for Primary 3/4 students who typically work with basic arithmetic on whole numbers, not matrices which are Secondary O-level concepts.</t>
  </si>
  <si>
    <t>Grade Alignment: The problem requires formal algebraic equation solving with variables, which is beyond Primary 6 level in Singapore curriculum. Primary 6 students typically solve such problems using arithmetic division (60 / 12 = 5) rather than algebraic methods with variables like n.</t>
  </si>
  <si>
    <t>Grade Alignment: The problem is designed for Secondary O-level 3/4 but quartiles and interquartile range are typically introduced earlier in most Singapore math curricula, around Secondary 1-2 level. The complexity and mathematical rigor expected at O-level 3/4 would typically involve more advanced statistical concepts beyond basic quartile calculations.</t>
  </si>
  <si>
    <t>Answerability: The problem contains conflicting information. From ratio 3/4:2 with 24 dancing students gives 9 painting students, but condition 5/6 as many painting as dancing gives 20 painting students. Secondary KC: No fraction division is required - only fraction multiplication (3/4 divided by 2, then multiply by 24, and 5/6 multiply by 24). Synergy: Since secondary KC fraction division is not actually needed, primary and secondary KCs are not used in tandem. Conciseness: The two conditions (ratio and proportional relationship) provide redundant/conflicting information rather than both being necessary.</t>
  </si>
  <si>
    <t>Synergy: The two parts (a) and (b) are independent problems that do not require results from part (a) to solve part (b). Part (a) uses inverse proportion while part (b) uses division, but they are not connected. Grade Alignment: This problem is too simple for Secondary O-level 2 students. Inverse proportion and basic division are typically covered in primary grades 5-6, not secondary level. Real-World Feasibility: Board games do not work with inverse proportion in reality. Adding more players typically increases game duration due to more turns and decisions, not decreases it proportionally as the problem suggests.</t>
  </si>
  <si>
    <t>Answerability: 183 / 4 = 45.75 children per group, which is impossible since you cannot have 0.75 of a child. Real-World Plausibility: Organizers would not attempt to divide children into fractional parts in real situations.</t>
  </si>
  <si>
    <t>Answerability: The problem contains conflicting information. It states the total amount paid was $28, but when calculated with the given values (3 hours at $4/hour = $12, plus 5 rackets at $2/racket = $10), the total is only $22, not $28. Primary KC Alignment: The problem does not require solving linear equations in two variables. The problem can be solved using simple arithmetic (4*3 + 2*5 = 22) without needing to solve a system of equations. The equations requested are for representation only, not for solving. Synergy: There is no synergy between the primary and secondary knowledge components since the primary KC (solving linear equations in two variables) is not actually needed to solve the problem.</t>
  </si>
  <si>
    <t>Secondary KC alignment: Problem only requires division (168/4=42, then 42/6=7). No multiplication needed. Synergy: Since multiplication is not required, there is no synergy between division and multiplication knowledge components.</t>
  </si>
  <si>
    <t>Real-world feasibility: Playing football for 12 hours in one week and 18 hours in another week is unrealistic. 12 hours per week equals about 1.7 hours per day, and 18 hours per week equals about 2.6 hours per day. While possible, this represents an extremely high amount of football playing for a primary school student during holidays, making the scenario implausible for typical real-world behavior.</t>
  </si>
  <si>
    <t>Topic Alignment: The problem context is about school clubs (Science Club, Music Club) which are educational/academic activities, not recreation activities like sports, games, exercises, music performance, movies, dancing, painting, fishing etc. School clubs for academic subjects do not fall under recreation. Grade Alignment: This problem requires formal set notation and set theory concepts which are typically introduced at higher secondary levels (Secondary 4/5 or pre-university), not at Secondary O-level 3/4 where students are usually 15-16 years old and focus on more basic mathematical concepts.</t>
  </si>
  <si>
    <t>Synergy: The two parts (a) and (b) are independent questions that can be solved separately using the same dataset. There is no connection where the result of part (a) is needed to solve part (b), so they are not used in tandem. Grade_alignment: This problem involves basic statistical concepts of finding median and mode from a simple dataset, which are typically introduced at Primary 5-6 level in Singapore math curriculum. For Secondary O-level 2 students, this problem is too elementary and does not match the expected complexity level which should involve more advanced statistical concepts like quartiles, standard deviation, or probability distributions.</t>
  </si>
  <si>
    <t>Clarity: The phrase 'the total possible points were multiplied by 2' is ambiguous - it could mean the second game has double the points of the first game, or that Sarah's potential score is doubled. This creates confusion about whether the second game offers 120 total points or some other amount.</t>
  </si>
  <si>
    <t>grade_alignment: The problem is designed for Secondary O-level 2 but uses primary-level arithmetic concepts. Linear inequalities with one variable are typically introduced in Secondary 1 or lower secondary levels. The problem involves simple calculations (50 - 10 = 40, 40 / 12 = 3.33) that are too elementary for O-level 2 students who should be tackling more complex algebraic concepts.</t>
  </si>
  <si>
    <t>Grade Alignment: This problem is too simple for Secondary O-level 3/4 students. It involves basic probability multiplication (5/12 * 3/6 = 5/24) which is typically covered in primary grades 5-6 or lower secondary levels. O-level 3/4 students would be expected to handle more complex probability problems involving conditional probability, permutations, combinations, or more sophisticated statistical concepts.</t>
  </si>
  <si>
    <t>Real-world feasibility: The scenario is illogical - if Sarah planned and divided the painting time equally among 3 people, the concept of her leaving early from a predetermined time allocation doesn't make practical sense. Clarity: The problem setup is confusing about how time division works when someone leaves early from their own planned activity.</t>
  </si>
  <si>
    <t>Grade Alignment: This problem requires advanced percentage concepts including reverse percentages and multi-step percentage calculations that are typically covered at higher secondary levels, not Secondary O-level 1. The complexity of working backwards from a percentage increase to find the original maximum mark exceeds the expected difficulty for first-year O-level students.</t>
  </si>
  <si>
    <t>Real-world feasibility: In table tennis, players do not hit the ball to travel specific distances like 2.35 metres as a measure of performance. Table tennis is played on a standard table (2.74m x 1.525m) where the ball travels back and forth between players. The concept of measuring how far a player hits the ball as a distance measurement does not reflect realistic table tennis practice or tournament scenarios.</t>
  </si>
  <si>
    <t>Grade Alignment: This problem is too basic for Secondary O-level 1 students. Decimal ratios and basic decimal addition are typically covered in primary grades (P5-P6), not secondary level. Real-World Feasibility: Having 12.5 boys and 3.7 girls joining is unrealistic as you cannot have fractional people in real life scenarios.</t>
  </si>
  <si>
    <t>Grade Alignment: This problem is too simple for Secondary O-level 1 students. The percentage calculation (150-120)/120 * 100 = 25% and converting 25% to 1/4 are concepts typically mastered in upper primary grades (Primary 5-6). Secondary O-level 1 students would be expected to handle more complex percentage problems involving compound calculations, multiple steps, or algebraic applications.</t>
  </si>
  <si>
    <t>Primary KC alignment (0): The problem context naturally leads to addition (7/4 + 5/3 = 41/12) for combined practice time, not multiplication of the two fractions as intended. The phrase 'both days combined' clearly indicates addition. Synergy (0): Since the primary KC (multiplication) is not naturally required by the problem setup, there is no proper synergy between multiplication and decimal conversion - they become disconnected operations rather than working in tandem. Clarity (0): The problem is ambiguous because the natural mathematical interpretation (addition for combined time) conflicts with the intended solution method (multiplication), creating confusion about what operation is actually required.</t>
  </si>
  <si>
    <t>Grade Alignment: The problem is intended for Secondary O-level 1 but involves quadratic expressions (2x^2 + 3x + 5) which are typically introduced in later secondary grades, not at the beginning level. Real-World Plausibility: Mini-golf course booking costs following a quadratic function 2x^2 + 3x + 5 is unrealistic. Real-world hourly rates are typically linear (fixed rate per hour) or have step functions, not quadratic relationships where costs increase exponentially.</t>
  </si>
  <si>
    <t>Grade Alignment: This problem involves basic ratio concepts with simple fractions that would typically be covered in Primary 5-6 level, not Secondary O-level 1. The ratio 2/3:1 and multiplication of fractions 2/3 * 3/4 are fundamental concepts below Secondary O-level standard which should involve more complex algebraic manipulation or advanced ratio applications.</t>
  </si>
  <si>
    <t>Answerability: The problem leads to a negative answer (-0.025 litres) which is mathematically impossible for a remaining quantity of liquid. After filling 142 bottles using 14.200 litres, only 0.050 litres remains, but Sarah drinks 0.075 litres which is more than available. Real-world feasibility: It is physically impossible to drink more liquid than what remains available, making this scenario unrealistic.</t>
  </si>
  <si>
    <t>Primary KC alignment fails because the problem does not require addition of probabilities - it uses set theory with inclusion-exclusion principle (27/30 = 18 + 15 - 6 divided by 30). Synergy fails because the primary KC is not actually used in solving the problem, so no tandem usage occurs between intended knowledge components.</t>
  </si>
  <si>
    <t>Grade alignment: The problem involves basic percentage increase (120 * 1.15 = 138) and simple addition (138 + 25 = 163), which are concepts typically mastered in Primary 5-6. For Secondary O-level 1 students, this problem is too elementary and does not match the expected difficulty level for that grade.</t>
  </si>
  <si>
    <t>Synergy: The two parts (a) and (b) are independent calculations that do not require using results from one part to solve the other part. Finding median and range can be done separately without connection. Grade Alignment: Finding median and range are basic statistical concepts typically introduced in Primary 5-6 or Secondary 1, which is below Secondary O-level 2 difficulty level.</t>
  </si>
  <si>
    <t>Primary KC alignment fails because the problem requires multiplying decimals by single/double digit numbers (0.125 + 0.25 + 0.4) * 10 * 2 = 15.5, but the intended primary KC is specifically about multiplying decimals by 10, 100, 1000 and their multiples. While 10 appears in the calculation, the main multiplication operations are (0.125 + 0.25 + 0.4) * 10 and then * 2, where multiplying by 2 is not a multiple of 10, 100, or 1000.</t>
  </si>
  <si>
    <t>Topic Alignment: The problem focuses on sharing chocolate at a picnic, which relates to food sharing and social activities rather than recreation activities like sports, games, exercises, music, movies, dancing, painting, or fishing.</t>
  </si>
  <si>
    <t>Answerability: Part (a) gives 12.450 / 10 = 1.245 metres per lap, but part (b) provides 10 individual lap distances that sum to 12.457 metres, creating conflicting information. Primary KC Alignment: Part (a) requires 12.450 / 10 which is basic decimal division, not division by multiples of 10/100/1000 as specified in the intended knowledge component. Synergy: The two knowledge components are used in separate parts (a) and (b)/(c) rather than in tandem - part (a) result is not used for parts (b) and (c). Real World Feasibility: Swimming lap distances varying by millimeters (1.240 to 1.250) is unrealistic for practical measurement in competitions. Conciseness and Relevance: The calculated answer from part (a) is not used in subsequent parts, making it irrelevant information.</t>
  </si>
  <si>
    <t>Primary KC alignment fails because the problem requires dividing 12.000 by 10, which is basic division by 10 (resulting in 1.200), not the intended more complex division of decimals by multiples of 10 that would demonstrate mastery of dividing decimals up to 3 decimal places by 10, 100, 1000 and their multiples.</t>
  </si>
  <si>
    <t>Grade alignment: Matrix operations are typically covered in Secondary 5/A-level or tertiary mathematics, not O-level 3/4. Real-world feasibility: The impact factor matrix M with values 1, 0.5, 0.8 and the resulting multiplication C x M producing weighted scores lacks clear real-world meaning in the sports club context. The scenario does not mirror typical sports club operations where such mathematical weightings would be applied.</t>
  </si>
  <si>
    <t>Real-world feasibility: Attending 5/3 sessions (approximately 1.67 sessions) is unrealistic as one cannot attend a partial session in practice.</t>
  </si>
  <si>
    <t>Grade Alignment: This problem requires algebraic expressions with variables (x, n) and algebraic manipulation which are typically introduced in Secondary 1-2, not Primary 6. Primary 6 students in Singapore math syllabus typically work with basic arithmetic and simple algebraic concepts but not complex variable expressions and simplification of linear expressions with multiple variables.</t>
  </si>
  <si>
    <t>Grade alignment: The problem results in 1.325 m per person, which has 3 decimal places. This exceeds Primary 4 level expectations and the primary KC specification of up to 2 decimal places.</t>
  </si>
  <si>
    <t>Grade Alignment: The problem is too simple for Secondary O-level 1 students. It involves basic percentage calculation (15% of 60 = 9) and simple subtraction (69 - 10 = 59), which are concepts typically mastered in primary school, not challenging enough for 15-16 year old students.</t>
  </si>
  <si>
    <t>Primary KC alignment fails because the problem only requires basic multiplication of 0.175 * 100 = 17.5, which is straightforward decimal multiplication by 100. The intended primary KC specifically targets multiplying by multiples of 10, 100, 1000 (like 20, 300, 4000), which would be more complex and is not demonstrated in this problem.</t>
  </si>
  <si>
    <t>The problem is missing critical information - the number of sessions Sarah attended last month. Without this information, it is impossible to determine how many sessions she attended this month (5/3 times an unknown number) and therefore impossible to calculate the total paint used this month.</t>
  </si>
  <si>
    <t>Answerability: The problem contains ambiguous information about how the additional 1/8 watermelon is distributed. It states Sarah adds 1/8 to what each person already has, but it's unclear if this means 1/8 total is divided among all 5 people or if each of the 5 people gets 1/8 additional watermelon. Clarity: The distribution method for the additional 1/8 watermelon is not clearly specified, making the problem ambiguous to solve.</t>
  </si>
  <si>
    <t>The problem assumes that spending 2/3 as much time painting directly results in completing 2/3 as much work. In reality, painting completion depends on factors beyond just time spent, such as painting complexity, technique, and efficiency. This creates an unrealistic direct proportional relationship between time and work output.</t>
  </si>
  <si>
    <t>Synergy: The two knowledge components work independently rather than in tandem - converting 15% to decimal (0.15) is separate from finding original price from 85% = $102. Grade alignment: Reverse percentage problems are typically too advanced for Secondary O-level 1 students (ages 13-14) and usually taught at higher secondary levels.</t>
  </si>
  <si>
    <t>Primary KC alignment: Problem uses 3 decimal places (8.125) but intended component specifies up to 2 decimal places only. Synergy: Part (b) does not use results from part (a) - the questions are independent rather than building upon each other. Grade alignment: 3 decimal place operations may exceed typical Primary 4 curriculum expectations.</t>
  </si>
  <si>
    <t>The problem cannot be solved because it is missing critical information - the number of practice days last month is not provided. To find total hours this month, we need: (7/4 hours per day) * (9/5 * days last month) * (days last month), but the value for days last month is not given.</t>
  </si>
  <si>
    <t>Grade Alignment: Direct proportion is typically taught at Primary 6 level in Singapore math curriculum, making this problem too easy for Secondary O-level 2 students who should be handling more advanced mathematical concepts.</t>
  </si>
  <si>
    <t>Primary KC alignment: The distance 1.797 km has 3 decimal places, exceeding the intended 2 decimal places limit. Grade alignment: Using 3 decimal places (1.797) may be too advanced for Primary 4 students when the intended primary KC specifies up to 2 decimal places only.</t>
  </si>
  <si>
    <t>Real-World Plausibility: Dividing 0.125 hours among 1000 students gives each student 0.0001125 hours or approximately 0.4 seconds, which is unrealistically short for piano practice.</t>
  </si>
  <si>
    <t>Grade alignment fails because matrix operations are typically taught at A-level or university level, not at Secondary O-level 3/4 where students are usually 15-16 years old and study basic algebra, geometry, and trigonometry.</t>
  </si>
  <si>
    <t>Grade Alignment: The problem requires formal algebraic methods with variables and equation solving that are typically taught in Secondary 1 of Singapore curriculum, not Primary 6. Primary 6 students typically solve such problems using arithmetic methods rather than algebraic equations with variables.</t>
  </si>
  <si>
    <t>Grade Alignment: The problem is designed for Secondary O-level 3/4 but quartiles and interquartile range are typically introduced at Primary 6 or Secondary 1/2 level in Singapore math syllabus. This makes the problem too elementary for the intended grade level of Secondary O-level 3/4 students.</t>
  </si>
  <si>
    <t>Answerability: Problem has conflicting constraints - ratio 3/4:2 with 24 dancing students gives 9 painting students, but 5/6 * 24 = 20 painting students. Secondary KC: No fraction division is required, only fraction multiplication and ratios. Synergy: Conflicting constraints prevent knowledge components from working together. Grade alignment: Complex fraction ratios too advanced for Secondary O-level 1. Clarity: Conflicting mathematical information makes problem confusing.</t>
  </si>
  <si>
    <t>Synergy: The two parts are connected by context but do not require tandem use of both knowledge components - part (a) uses only inverse proportion, part (b) uses only division. Grade Alignment: The mathematical concepts (120/4*6 and 36/6) are too elementary for Secondary O-level 2 students who should handle advanced algebra, trigonometry, or calculus. Real-World Feasibility: Board games typically have fixed completion times regardless of player count - more players do not reduce game duration.</t>
  </si>
  <si>
    <t>Answerability: The problem asks to divide 183 children equally into 4 groups, but 183 / 4 = 45 remainder 3, making equal division impossible. Real-world feasibility: An organizer would not expect to divide 183 children into exactly 4 equal groups as this is mathematically impossible, making the scenario unrealistic.</t>
  </si>
  <si>
    <t>Answerability: The problem has conflicting information - it states the total paid was $28, then asks to find total spending for 3 hours and 5 rackets, which would be 4*3 + 2*5 = $22, not $28. Primary KC Alignment: The problem does not require solving linear equations in two variables as the primary skill. The second part can be solved with simple arithmetic (4*3 + 2*5 = 22) without using the system of equations. Synergy: The two parts are disconnected - the equation-writing part and the calculation part do not work together, and the conflicting totals prevent proper synergy between primary and secondary knowledge components.</t>
  </si>
  <si>
    <t>Secondary KC alignment: The problem only requires division operations (168/4=42, then 42/6=7). No multiplication is needed to solve this problem. Synergy: Since multiplication is not required, there is no synergy between the primary division KC and secondary multiplication KC.</t>
  </si>
  <si>
    <t>Secondary KC Alignment: The problem mentions subtraction in the narrative but the actual solution does not require subtracting decimals - it only needs division 36.84/6=6.14 and multiplication 6.14*2=12.28. Synergy: Since decimal subtraction is not actually needed to solve the problem, there is no synergy between the primary KC (decimal division) and secondary KC (decimal subtraction).</t>
  </si>
  <si>
    <t>Topic Alignment: The problem context is about school clubs (Science Club, Music Club) which relates to academic activities rather than recreation activities like sports, games, exercises, music performance, movies, dancing, painting, or fishing. School clubs are educational/academic in nature, not recreational. Grade Alignment: This problem requires formal set notation and set theory operations which are typically introduced at higher secondary levels or pre-university mathematics, not at Secondary O-level 3/4 where basic arithmetic, algebra, and geometry are the focus.</t>
  </si>
  <si>
    <t>synergy: The two parts (a) and (b) are independent questions that can be solved separately using the same dataset. There is no connection where the result of part (a) is used to solve part (b) or vice versa. grade_alignment: This problem requires only basic understanding of median and mode concepts which are typically taught at primary or lower secondary levels. For Secondary O-level 2 students, this problem is too simple and does not match the expected complexity and sophistication of statistical concepts that should be covered at that grade level.</t>
  </si>
  <si>
    <t>Grade Alignment (0): This problem is too advanced for Secondary O-level 2 students. Linear inequalities with algebraic representation using variables like n are typically introduced in higher secondary grades (O-level 3-4). Secondary 2 students typically work with basic algebraic expressions and simple equations, not inequality formulation and solving.</t>
  </si>
  <si>
    <t>Grade Alignment: This problem is too simple for Secondary O-level 3/4 students. The probability calculation involves basic multiplication of simple probabilities (5/12 * 3/6 = 5/24) which is typically covered in primary or lower secondary levels. O-level 3/4 students would be expected to handle more complex probability scenarios involving conditional probability, permutations, combinations, or more sophisticated statistical concepts.</t>
  </si>
  <si>
    <t>Real-world feasibility: The scenario is unrealistic - friends painting together would not have one person dictate time division, and leaving early from pre-divided time creates logical inconsistency. Clarity: The problem setup is confusing about how Sarah can divide shared painting time and then leave early from that division, making the scenario unclear and ambiguous.</t>
  </si>
  <si>
    <t>Real-world feasibility: The wording 'this increase represents exactly 20% more than her score last month' is unnatural and contrived - people don't typically speak this way about score improvements. Clarity: The phrase 'this increase represents exactly 20% more than her score last month' is ambiguous - it's unclear what specific increase is being referenced, making the problem confusing to interpret.</t>
  </si>
  <si>
    <t>Real-world feasibility: Table tennis balls do not travel distances of 2+ meters in normal gameplay. The scenario of measuring how far players hit the ball does not reflect realistic table tennis activities.</t>
  </si>
  <si>
    <t>Grade alignment: This problem involves basic ratio concepts and decimal addition that are typically covered in primary grades (P5-P6), not secondary O-level 1 which requires more advanced mathematical concepts. Real-world feasibility: Having 12.5 boys and 3.7 girls joining is unrealistic as you cannot have fractional people in real-world scenarios.</t>
  </si>
  <si>
    <t>Grade Alignment: This problem is too simple for Secondary O-level 1 students. The calculations involve basic percentage comparison (150-120)/120 x 100% = 25% and converting 25% to 1/4, which are concepts typically mastered in Primary 5-6. Secondary O-level 1 students would be expected to handle more complex percentage problems involving compound calculations, multiple steps, or algebraic manipulation.</t>
  </si>
  <si>
    <t>Answerability: The phrase 'she managed to practise 5/3 of that time' is ambiguous - unclear if 'that time' refers to Monday's actual practice (7/4) or original planned time, leading to different solutions. Primary KC Alignment: The intended operation (multiplying improper fractions) is not clearly required due to ambiguous wording - could be interpreted as addition problem instead. Clarity: Ambiguous reference in 'that time' makes the problem unclear about which quantity Tuesday's practice should be calculated from.</t>
  </si>
  <si>
    <t>Grade Alignment: The problem is intended for Secondary O-level 1 but quadratic expressions (2x^2 + 3x + 5) are typically introduced in later secondary grades, making it too advanced for the intended grade level. Real-World Plausibility: Mini-golf booking costs following a quadratic function 2x^2 + 3x + 5 is unrealistic - real mini-golf venues typically charge flat hourly rates or have simpler linear pricing structures, not quadratic cost models.</t>
  </si>
  <si>
    <t>Grade alignment: This problem involves basic ratio concepts with simple fractions that are typically taught at Primary 5-6 level in Singapore math syllabus. Secondary O-level 1 students would find this problem too elementary as they should be working with more complex ratio problems involving algebraic expressions, simultaneous equations, or advanced proportional reasoning.</t>
  </si>
  <si>
    <t>Answerability: The problem contains conflicting information. After filling bottles, only 0.050 litres remain (14.250 - 14.200 = 0.050), but Sarah is said to drink 0.075 litres, which is more than what remains available. Real-World Plausibility: The scenario is unrealistic because a person cannot drink more liquid than what is actually available.</t>
  </si>
  <si>
    <t>Primary KC alignment: Problem uses inclusion-exclusion principle from set theory, not addition of probabilities. The solution involves |P union G| = |P| + |G| - |P intersect G| = 18 + 15 - 6 = 27, then P = 27/30, which does not require adding separate probability values. Synergy: Since primary KC is not needed, no synergy exists between intended knowledge components. Grade alignment: Set theory concepts like inclusion-exclusion principle typically taught at higher academic levels than O-level 3/4.</t>
  </si>
  <si>
    <t>Grade alignment: The problem involves basic percentage calculation (15% increase) and simple whole number addition, which are typically taught at Primary 5-6 level. For Secondary O-level 1 students, this problem would be too elementary and does not match the expected difficulty level for that grade.</t>
  </si>
  <si>
    <t>Synergy: The two questions (a) and (b) are independent calculations. Finding the median does not require the range, and finding the range does not require the median. The questions are not connected such that the result of one is used as input for the other.</t>
  </si>
  <si>
    <t>Primary KC Alignment: The intended primary knowledge component is multiplying decimals by 10, 100, 1000 and their multiples. However, the problem requires multiplying decimals by 10 (part b: multiply by 10 bags) and by 20 (part c: multiply by 20 total bags). While 10 is covered, 20 is not a multiple of 10, 100, or 1000 as specified in the primary KC. The problem also requires general decimal multiplication (0.125 + 0.25 + 0.4 = 0.775, then 0.775 x 10 and 0.775 x 20) rather than focusing specifically on multiples of 10, 100, 1000.</t>
  </si>
  <si>
    <t>Answerability: The problem contains conflicting information. Part (a) calculates 12.450 / 10 = 1.245 metres per lap, but the individual lap distances in part (b) sum to 12.457 metres, not 12.450 metres. Primary KC Alignment: The division in part (a) is simple decimal division by 10, not division by multiples of 10/100/1000 as specified in the primary knowledge component. The problem does not require the intended primary skill. Synergy: Parts (a) and (b) are disconnected - the calculated average from part (a) is not used in parts (b) and (c). The questions do not build upon each other as required. Real-world feasibility: Swimming laps of different distances in a competition is unrealistic - competitive swimming involves equal lap distances. Conciseness and relevance: The total distance of 12.450 metres from part (a) becomes irrelevant due to the conflicting individual lap distances, making this information unnecessary.</t>
  </si>
  <si>
    <t>Grade alignment: The problem involves 4-digit subtraction (1562 - 738) and 3-digit addition (824 + 247), which are typically taught in Primary 4, not Primary 3. Primary 3 students typically work with numbers up to 1000.</t>
  </si>
  <si>
    <t>Primary KC alignment fails because the problem requires dividing 202.457 by 50, but the intended primary KC is specifically about dividing decimals by 10, 100, 1000 and their multiples. The number 50 is not 10, 100, 1000 or their multiples (50 = 2 × 5 × 5, not 10^n × integer where the integer uses only factors of 10).</t>
  </si>
  <si>
    <t>Real-world feasibility: The problem states Wei Lin swam on Monday and Wednesday (2 days) but then asks to divide among 10 days for that week, which is illogical since a week has 7 days and she only swam 2 days. Clarity: The phrase 'that week' is ambiguous - it's unclear if this refers to the current week or a future training week. The connection between her actual swimming days and the 10-day division plan is confusing. Conciseness and relevance: The phrase 'rounded to three decimal places' is unnecessary since 12.000/10 = 1.200 exactly with no rounding needed, making this instruction irrelevant.</t>
  </si>
  <si>
    <t>Grade Alignment: Matrix operations including matrix multiplication are typically covered at A-level or higher secondary mathematics, not O-level 3/4. O-level mathematics usually covers basic algebra, geometry, and statistics but not advanced matrix operations. Real-World Feasibility: The concept of multiplying a matrix of hours by impact factors to get weighted scores is not a realistic scenario in actual sports club operations. Sports clubs typically track total hours or performance metrics directly rather than applying mathematical weightage matrices to training hours.</t>
  </si>
  <si>
    <t>The scenario describes attending 5/3 sessions which equals 1.67 sessions. In reality you cannot attend a partial session - you either attend a complete session or you do not attend at all.</t>
  </si>
  <si>
    <t>Grade Alignment: This problem requires knowledge of algebraic expressions with variables (x, n) and algebraic manipulation which is typically introduced in Secondary 1-2, not Primary 6. Primary 6 students in Singapore typically work with basic arithmetic and simple pre-algebraic concepts but not formal algebraic expressions with multiple variables.</t>
  </si>
  <si>
    <t>Grade alignment issue: The problem involves basic percentage calculation (15% increase) and simple whole number subtraction, which are typically Primary 5-6 level concepts in Singapore curriculum. Secondary O-level 1 students require more advanced mathematical concepts like algebra, geometry, or trigonometry.</t>
  </si>
  <si>
    <t>Answerability: Logical inconsistency - if Siti earns 0.175 points per note for 100 notes, she should earn exactly 17.5 points, but the problem states 17.5 includes 2.35 wrongly added points. Primary KC: The problem requires decimal subtraction (17.5 - 2.35), not multiplying decimals by 10/100/1000. Synergy: Since primary KC is not used, there is no synergy between intended knowledge components.</t>
  </si>
  <si>
    <t>Answerability: The problem cannot be solved because the number of sessions Sarah attended last month is not provided. Without this information, we cannot calculate how many sessions she attended this month (5/3 times an unknown number) or the total paint used. Conciseness and Relevance: The problem is missing essential information needed for solving, making it incomplete rather than concise.</t>
  </si>
  <si>
    <t>Real-world feasibility issue: The problem assumes that spending 2/3 as much time painting directly translates to completing 2/3 as much work, but this relationship is not established. In reality, painting completion depends on many factors beyond just time spent.</t>
  </si>
  <si>
    <t>Primary KC alignment: The problem includes decimals with 3 decimal places (8.125, 8.085) which exceeds the intended primary KC of adding decimals up to 2 decimal places only. Synergy: Part (a) only requires decimal addition while part (b) only requires decimal comparison - the results from part (a) are not used in part (b), so the two knowledge components are not used in tandem. Grade alignment: Primary 4 students typically work with decimals up to 2 decimal places, but this problem includes 3 decimal places (8.125, 8.085) which may be beyond the grade level.</t>
  </si>
  <si>
    <t>Answerability: The problem is missing critical information - the number of practice days last month is not provided. Without this information, it is impossible to calculate the total hours each student practices this month. The problem states there are 9/5 times as many practice days this month compared to last month, but does not specify how many days last month had.</t>
  </si>
  <si>
    <t>Grade alignment: The proportion calculation 6/8 * 30 = 22.5 mats creates fractional results that may be too complex for Secondary O-level 2 students in practical contexts. Real-world feasibility: Cannot have 22.5 physical exercise mats in reality - would need to round to whole number of mats.</t>
  </si>
  <si>
    <t>Primary KC alignment: The intended primary knowledge component specifies adding decimals up to 2 decimal places, but the problem includes 1.797 km which has 3 decimal places, exceeding the specified limit.</t>
  </si>
  <si>
    <t>Secondary Knowledge Component: The answer 3/4 / 3 = 1/4 is already in simplest form, so expressing a fraction in its simplest form is not actively required. Synergy: Since no simplification is needed, the primary and secondary knowledge components do not work together in solving the problem.</t>
  </si>
  <si>
    <t>Real-world feasibility: Dividing 0.125 hours among 1000 students gives each student 0.000125 hours = 0.45 seconds, which is not a realistic practice duration for music education.</t>
  </si>
  <si>
    <t>Grade Alignment: Matrix operations including scalar multiplication and matrix subtraction are typically taught at A-level or university level mathematics, not at Secondary O-level 3/4. This problem requires knowledge components that are too advanced for the intended grade level.</t>
  </si>
  <si>
    <t>Grade alignment fails because algebraic equations with variables are not taught in Singapore Primary 6 curriculum. Primary 6 students typically solve problems using arithmetic methods rather than algebraic notation with variables like n.</t>
  </si>
  <si>
    <t>Grade Alignment: The problem is designed for Secondary O-level 3/4 students but uses terminology and concepts (quartiles Q1, Q2, Q3, interquartile range) that are typically introduced in Primary 6 or Secondary 1/2 levels in Singapore math curriculum, making it too basic for the intended grade level.</t>
  </si>
  <si>
    <t>Answerability: The problem contains conflicting information. Given ratio 3/4 : 2 equals 3:8, but if dancing = 24 and painting = 5/6 * 24 = 20, then actual ratio is 20:24 = 5:6. These ratios 3:8 and 5:6 are inconsistent. Secondary KC Alignment: No fraction division operation is required to solve the problem. Synergy: Primary and secondary knowledge components do not work together since fraction division is not needed.</t>
  </si>
  <si>
    <t>Grade alignment issue: Inverse proportion problems requiring the conceptual understanding that gameplay time decreases as player count increases may be too advanced for Secondary O-level 2 students. This level of abstract proportional reasoning typically comes later in mathematical development.</t>
  </si>
  <si>
    <t>ANSWERABILITY: The problem cannot be solved as stated because 183 ÷ 4 = 45.75, which is not a whole number of children. The problem asks for equal groups but this is mathematically impossible with the given numbers. GRADE_ALIGNMENT: Primary 3 students typically work with division problems that result in whole numbers. A problem requiring decimal answers (45.75) or understanding of remainders in this context exceeds Primary 3 expectations. REAL_WORLD_FEASIBILITY: In reality, workshop organizers would not create groups with fractional children (45.75 per group). They would either form unequal groups or adjust the number of groups, making the premise unrealistic.</t>
  </si>
  <si>
    <t>Answerability: Conflicting information - total stated as $28 but calculation gives 4*3 + 2*5 = $22. Primary KC Alignment: Problem does not require solving linear equations in two variables as specific values x=3, y=5 are given directly. Synergy: Two parts can be solved independently - second part does not use equation from first part.</t>
  </si>
  <si>
    <t>Secondary KC alignment fails because solving requires 168/4=42 then 42/6=7, both division operations, but intended secondary KC is multiplication. Synergy fails because both operations are division rather than the intended primary division + secondary multiplication combination.</t>
  </si>
  <si>
    <t>Real-world feasibility: Playing football for 12 hours in one week and 18 hours in another week is unrealistic. This amounts to 1.7-2.6 hours per day which is excessive for a typical student during holidays and does not mirror realistic recreational activity patterns.</t>
  </si>
  <si>
    <t>Secondary KC alignment: Problem mentions subtraction but solution only requires 36.84/6*2=12.28, no subtraction needed. Synergy: No synergy since subtraction not required. Conciseness: Subtraction reference is misleading and irrelevant to actual solution.</t>
  </si>
  <si>
    <t>Topic Alignment: The problem context is about school clubs (Science Club, Music Club) which is educational/academic rather than recreation activities like sports, games, exercises, music performance, movie watching, dancing, painting, fishing. Grade Alignment: This problem requires formal set notation and set operations concepts that are typically introduced at Secondary O-level 1/2 or earlier, making it below the intended Secondary O-level 3/4 grade level which should involve more advanced mathematical concepts.</t>
  </si>
  <si>
    <t>Synergy: The two parts calculate median and mode independently from the same dataset - part (a) result is not used to solve part (b), lacking the required connection between questions. Grade Alignment: Finding median and mode are Primary 5-6 level concepts in Singapore curriculum, too basic for Secondary O-level 2 students who should be working with advanced statistics like standard deviation or probability distributions.</t>
  </si>
  <si>
    <t>Grade Alignment: The problem is designed for Secondary O-level 2 but involves basic linear inequalities that are typically introduced in Primary 6 or Secondary 1. The mathematical concepts (12n + 10 &lt;= 50, solving for n &lt;= 3.33, therefore n = 3) are too elementary for O-level 2 students who should be working with more complex algebraic concepts, systems of inequalities, or quadratic inequalities.</t>
  </si>
  <si>
    <t>Grade Alignment: This problem is too simple for Secondary O-level 3/4 students. It involves basic probability multiplication (5/12 * 3/6 = 5/24) which is typically covered in primary or lower secondary grades. O-level 3/4 students would be expected to handle more complex probability scenarios involving conditional probability, permutations, combinations, or multi-step probability trees.</t>
  </si>
  <si>
    <t>Clarity: The problem statement is ambiguous about what the 20% increase refers to. The phrase 'her score increased by a certain percentage' followed by 'this increase represents exactly 20% more than her score last month' creates confusion about whether 20% is the increase percentage or describes the relationship between scores.</t>
  </si>
  <si>
    <t>Real-world feasibility issue: In table tennis, players do not hit the ball specific distances like 2.35m consistently. Table tennis involves rallies across a 2.74m table, making the scenario of measuring how far players hit the ball unrealistic for this sport.</t>
  </si>
  <si>
    <t>Grade alignment: This problem is too basic for Secondary O-level 1 students as it only involves simple ratio calculations with decimals and basic decimal addition, which are typically covered in primary school. Real-world feasibility: Having 12.5 boys and 3.7 girls joining is unrealistic as you cannot have fractional people in real-world scenarios.</t>
  </si>
  <si>
    <t>Grade Alignment: This problem is too simple for Secondary O-level 1 students. Calculating percentage increase using (150-120)/120 * 100 = 25% and converting 25% to 1/4 are concepts typically mastered in Primary 5-6. Secondary O-level 1 students would expect more complex percentage problems involving compound calculations, multiple steps, or algebraic manipulation.</t>
  </si>
  <si>
    <t>Grade alignment: Problem involves fractions greater than 1 (7/4 = 1.75, 5/3 = 1.67) representing over 100% of practice time, and results in complex decimal 3.417, which may be too advanced for Primary 5. Real-world feasibility: Completing 175% and 167% of planned practice time on consecutive days is unrealistic. Clarity: The phrase 'of that time' creates ambiguity about whether to multiply 5/3 * 7/4 or add 7/4 + 5/3.</t>
  </si>
  <si>
    <t>Grade Alignment: The problem is designed for Secondary O-level 1 but involves quadratic expressions (2x^2 + 3x + 5) which are typically introduced in later secondary grades, not at the O-level 1 foundation level. Real-World Plausibility: Mini-golf course booking costs following a quadratic function 2x^2 + 3x + 5 is unrealistic - typical hourly rates are linear (fixed rate per hour), and the given function would result in $45 for 4 hours which is excessively expensive for mini-golf.</t>
  </si>
  <si>
    <t>Grade alignment: This problem involves basic ratio concepts with fraction arithmetic that would typically be covered in upper primary or lower secondary grades, making it too simple for Secondary O-level 1 students who should be working with more advanced mathematical concepts and complex problem-solving scenarios.</t>
  </si>
  <si>
    <t>Answerability: The problem creates an impossible scenario where Sarah drinks 0.075 litres when only 0.050 litres remains after filling bottles (14.250 - 142*0.100 = 0.050 litres remaining, but she drinks 0.075 litres). Real-World Plausibility: It is impossible to drink more liquid than what is available, making this scenario unrealistic.</t>
  </si>
  <si>
    <t>Primary KC alignment: Problem requires inclusion-exclusion principle with counting, not addition of probabilities. Solution involves adding counts (18 + 15 - 6 = 27) then finding probability (27/30), rather than adding probabilities directly. Synergy: Cannot achieve synergy when primary KC is not properly aligned with the problem requirements.</t>
  </si>
  <si>
    <t>Grade Alignment: This problem involves basic percentage calculations (15% increase) and simple addition, which are typically mastered in Primary 5-6. For Secondary O-level 1 students, this problem would be too elementary and does not match the complexity expected at that grade level. Secondary O-level 1 students would typically work with more complex percentage problems involving compound interest, percentage profit/loss, or multi-step percentage calculations.</t>
  </si>
  <si>
    <t>Synergy: The two parts (a) and (b) are independent calculations that do not require using results from one part to solve the other part. Finding median and range can be solved separately without connection. Grade Alignment: Finding median and range are basic statistical concepts typically introduced in Primary 5-6 or Secondary 1, which is below the Secondary O-level 2 standard. This grade level should involve more advanced statistical concepts like quartiles, standard deviation, or probability distributions.</t>
  </si>
  <si>
    <t>Primary KC alignment fails because the problem focuses more on decimal addition than on multiplying decimals by multiples of 10/100/1000. While multiplication by 10 and 20 occurs, it is not the main difficulty or emphasis of the problem.</t>
  </si>
  <si>
    <t>Answerability: Problem states 10 equal laps but then provides 10 different lap distances, creating conflicting information. Primary KC alignment: Problem only requires 12.450/10 = 1.245, which is basic division, not dividing by multiples of 10, 100, 1000. Synergy: Parts are disconnected due to contradictory information about equal vs different lap distances. Real-world feasibility: Swimming competitions measure time per lap, not distance per lap variations. Clarity: Contradictory statements about equal laps vs different distances create confusion. Conciseness: Total distance 12.450m becomes irrelevant after part a due to contradiction.</t>
  </si>
  <si>
    <t>Grade alignment: The problem uses 4-digit numbers (1562, 738, 247) which are typically introduced in Primary 4 or higher. Primary 3 students typically work with 3-digit numbers or smaller. The computational complexity of subtracting and adding 4-digit numbers exceeds Primary 3 level expectations.</t>
  </si>
  <si>
    <t>Primary KC alignment fails because the required calculation 202.457 / 50 cannot be solved using the intended method of dividing decimals by 10, 100, 1000 and their multiples. While 50 = 10 x 5, this division requires general decimal division algorithms rather than the place-value shifting method specific to powers of 10.</t>
  </si>
  <si>
    <t>The problem contains ambiguous language regarding the time frame. It states Wei Lin swam on Monday and Wednesday, then asks her to divide the total distance equally among 10 days as part of a training plan. It is unclear whether the 10 days refers to the current week (which would not make sense as a week has 7 days) or a future training period. This creates confusion about the context and timeline of the division task.</t>
  </si>
  <si>
    <t>Grade alignment failed because the problem uses 3.276 minutes which has 3 decimal places. Primary 4 students typically work with decimals up to 2 decimal places only according to Singapore math curriculum. The number 3.276 requires knowledge above Primary 4 level.</t>
  </si>
  <si>
    <t>Grade alignment: Matrix operations are typically taught at A-level or higher education, not O-level 3/4. Real-world feasibility: The impact factor matrix M with values like 0.5 and 0.8 as weightages for sports activities lacks clear real-world meaning - it is unclear what these decimal multipliers represent in the context of sports training hours or why basketball would have impact factor 1 while badminton has 0.5.</t>
  </si>
  <si>
    <t>Grade alignment: Attending 5/3 sessions is too abstract for Primary 5 students. Real-world feasibility: Attending 1.67 sessions is unrealistic in practice. Clarity: The phrase 5/3 of such sessions is confusing for the target grade level.</t>
  </si>
  <si>
    <t>Grade Alignment: This problem requires understanding of algebraic variables (x, n), algebraic expressions with variables, and algebraic manipulation which are typically introduced in Secondary 1-2, not Primary 6. Primary 6 students in Singapore math syllabus work with basic algebraic thinking but not formal algebraic expressions with multiple variables.</t>
  </si>
  <si>
    <t>Grade alignment: The problem involves basic 15% calculation (60 * 1.15 = 69) and simple subtraction (69 - 10 = 59), which are elementary-level skills inappropriate for Secondary O-level 1 students who should handle more complex mathematical concepts.</t>
  </si>
  <si>
    <t>Grade alignment issue: The problem contains a logical inconsistency. If Siti got every note correct at 0.175 points each for 100 notes, she should earn exactly 17.5 points. However, the problem states 2.35 points were wrongly added to give a displayed score of 17.5, which would mean she actually earned 17.5 - 2.35 = 15.15 points, contradicting the perfect performance setup. This inconsistency makes the problem confusing and inappropriate for Primary 5 students.</t>
  </si>
  <si>
    <t>The problem cannot be solved because it lacks essential information - the number of painting sessions Sarah attended last month is not provided. To find the total paint used this month, we need: (sessions last month) * (5/3) * (3/4), but the first value is missing.</t>
  </si>
  <si>
    <t>Real-world feasibility: The scenario where Sarah adds 1/8 watermelon from her lunchbox to each person individually (meaning she would need 4 * 1/8 = 1/2 watermelon total) is unrealistic. It would be more natural to add the 1/8 watermelon to the shared pool and redistribute equally among all 5 people, rather than having exactly enough additional watermelon to give each of the original 4 people the same additional amount.</t>
  </si>
  <si>
    <t>Answerability: The problem cannot be solved because it provides time spent (2/3 as much time) but asks for painting completed. Missing information about relationship between time and painting completion rate. Real-world feasibility: The problem assumes time spent directly equals fraction of painting completed, which is not realistic - painting speed can vary. Clarity: Ambiguous relationship between time spent painting and amount of painting completed creates confusion about what is being asked.</t>
  </si>
  <si>
    <t>Primary KC alignment: Problem requires adding decimals with 3 decimal places (8.125) but intended KC specifies up to 2 decimal places only. Synergy: Part (a) total score calculation is not used in part (b) comparison - the two parts are independent. Grade alignment: Adding 3-decimal place numbers exceeds typical Primary 4 curriculum expectations in Singapore math.</t>
  </si>
  <si>
    <t>The problem is missing essential information - the number of practice days last month is not provided. Without this information, we cannot calculate 9/5 times that number to determine this month's practice days, making the problem unsolvable.</t>
  </si>
  <si>
    <t>Grade Alignment: This problem is too simple for Secondary O-level 2 students. Direct proportion with simple whole number multiplication is typically covered in Primary 5-6 or Secondary 1 at most. O-level 2 students would be expected to handle more complex mathematical concepts like algebraic manipulation, quadratic equations, or advanced geometry. The mathematical demand does not match the cognitive level expected for this grade.</t>
  </si>
  <si>
    <t>Primary KC alignment fails because the problem requires adding decimals up to 3 decimal places (1.797) while the intended primary KC specifies adding decimals up to 2 decimal places only.</t>
  </si>
  <si>
    <t>Real-world feasibility fails because dividing a 0.125-hour song (7.5 minutes) among 1000 students gives each student 0.000125 hours (0.45 seconds) of practice time, which is completely impractical and unrealistic for meaningful piano practice or any educational purpose.</t>
  </si>
  <si>
    <t>The scenario lacks real-world plausibility because the principal's decision to double one team's practice hours and subtract another team's hours has no realistic educational or administrative justification. This mathematical operation does not reflect how practice time management would realistically work in a school music club setting.</t>
  </si>
  <si>
    <t>Grade Alignment: The problem requires formal algebraic equation solving (12n = 60) and explicit translation into algebraic expressions, which typically appears in Secondary 1 curriculum rather than Primary 6 in Singapore math syllabus.</t>
  </si>
  <si>
    <t>Grade Alignment: The problem is designed for Secondary O-level 3/4 but quartiles and interquartile range are typically introduced at Primary 6 or Secondary 1/2 level in Singapore math syllabus. This topic is below the expected difficulty for O-level 3/4 students who should be working with more advanced statistical concepts like standard deviation, probability distributions, or hypothesis testing.</t>
  </si>
  <si>
    <t>The problem contains conflicting information. From ratio 3/4 : 2 with 24 dancing students: painting = (3/4) * 12 = 9 students. But the fraction condition gives: painting = (5/6) * 24 = 20 students. Since 9 ≠ 20, the problem has no solution.</t>
  </si>
  <si>
    <t>Synergy: The two parts (a) and (b) are independent - part (b) does not use the result from part (a). Part (a) asks for game completion time with 6 players, but part (b) uses 6 players as given information, not as a result from part (a). Grade Alignment: This problem is too simple for Secondary O-level 2 students. The inverse proportion concept (4 players x 120 minutes = 6 players x t minutes, so t = 80 minutes) and basic division (36 / 6 = 6) are concepts typically mastered in primary grades, not secondary O-level. Real-World Feasibility: The assumption that game completion time is inversely proportional to number of players is unrealistic. In reality, board games have fixed rules and turns, so adding more players typically increases game duration rather than decreases it.</t>
  </si>
  <si>
    <t>The problem is not answerable because 183 / 4 = 45.75, meaning you cannot divide 183 children equally into 4 groups since you cannot have 0.75 of a child in a group.</t>
  </si>
  <si>
    <t>Answerability: The problem contains contradictory information. The setup asks for equations with variables x and y to represent the total cost of $28, but then asks for the total cost when x=3 and y=5, which should be calculated as 4*3 + 2*5 = $22, not $28. This creates conflicting information making the problem logically inconsistent. Primary KC Alignment: The problem does not require solving linear equations in two variables. The main task is translating the situation into equations and then performing simple substitution/calculation. No actual solving of a system of equations is needed. Synergy: There is no meaningful connection between the equation-writing task and the calculation task. The second part simply substitutes given values rather than requiring the use of both knowledge components together to solve a coherent problem.</t>
  </si>
  <si>
    <t>Secondary KC alignment: The problem only requires division operations (168/4=42, then 42/6=7). No multiplication is needed to solve the problem, so the intended Secondary Knowledge Component of multiplication is not utilized. Synergy: Since multiplication is not needed in the solution, there is no synergy between the Primary KC (division) and Secondary KC (multiplication) - they are not used in tandem to solve the problem.</t>
  </si>
  <si>
    <t>Secondary KC Alignment: The problem mentions subtraction but solving only requires division (36.84 / 6 = 6.14) and multiplication (6.14 * 2 = 12.28). Subtraction is not needed. Synergy: Since subtraction is not required for the solution, there is no synergy between the intended primary and secondary knowledge components.</t>
  </si>
  <si>
    <t>Topic Alignment: The problem context is about school clubs rather than recreation activities. While clubs may involve recreational elements, the focus is on academic/school organization rather than recreation activities like sports, games, exercises, music, movie, dancing, painting, fishing. Grade Alignment: This problem requires formal set notation and set theory concepts that are typically introduced at higher secondary levels or pre-university mathematics, not at O-level 3/4 where basic arithmetic and algebra are the focus.</t>
  </si>
  <si>
    <t>Synergy: The two parts (a) and (b) are independent calculations on the same dataset - finding median does not require the mode result or vice versa, so they are not used in tandem. Grade Alignment: Finding median and mode for a simple 9-number dataset is too basic for Secondary O-level 2 students (Grade 10 equivalent) - this content is typically appropriate for Grade 6-8 level.</t>
  </si>
  <si>
    <t>Grade Alignment: The problem is designed for Secondary O-level 2 but involves solving simple linear inequalities which is typically introduced in Primary 6 or Secondary 1 in Singapore math syllabus. The problem complexity (12n + 10 &lt;= 50, solving for n &lt;= 3.33, so n = 3) is too elementary for O-level 2 students who should be working with more complex algebraic concepts, simultaneous equations, or quadratic inequalities.</t>
  </si>
  <si>
    <t>Grade Alignment: This problem is too simple for Secondary O-level 3/4 students. It involves basic probability multiplication (5/12 * 3/6 = 5/24) which is typically taught at Primary 5-6 or lower Secondary levels. O-level 3/4 students would be expected to handle more complex probability scenarios involving conditional probability, combinations, or multi-step probability trees.</t>
  </si>
  <si>
    <t>Answerability: The phrase 'this increase represents exactly 20% more than her score last month' is ambiguous - unclear if 96 = 1.2 * last month score or if increase amount = 0.2 * last month score, leading to different solutions. Secondary KC Alignment: Converting 20% to fraction is only mentioned in instructions, not integral to solution method. Synergy: The two knowledge components are not used in tandem - fraction conversion is superficial add-on rather than essential part of reverse percentage calculation. Grade Alignment: Mathematical complexity and ambiguous wording too advanced for Secondary O-level 1 students (age 13-14). Clarity: Ambiguous mathematical relationship makes problem statement unclear.</t>
  </si>
  <si>
    <t>Real-world feasibility: In table tennis, players do not hit the ball across distances of 2+ metres as described. Table tennis involves hitting a ball back and forth across a net on a small table (2.74m x 1.525m), not hitting balls across open distances. The scenario does not reflect how table tennis is actually played in reality.</t>
  </si>
  <si>
    <t>Grade alignment: This problem involves basic ratio concepts with decimals and simple decimal addition, which are typically covered at Primary 5-6 level, not Secondary O-level 1 which requires more advanced mathematical concepts. Real-world feasibility: Having 12.5 boys and 3.7 girls joining is unrealistic as you cannot have fractional people in real-world scenarios.</t>
  </si>
  <si>
    <t>Grade Alignment: This problem is too elementary for Secondary O-level 1 students. Basic percentage calculations and fraction conversions are typically mastered in primary school (around Primary 5-6). O-level students would be expected to handle more complex percentage problems involving compound calculations, percentage change over time, or integration with advanced algebraic concepts.</t>
  </si>
  <si>
    <t>Answerability: The phrase 'that time' is ambiguous - unclear if it refers to planned practice time or Monday's actual practice time. Primary KC Alignment: Due to ambiguous wording, the problem could be solved with simple addition (7/4 + 5/3) rather than requiring multiplication of improper fractions. Real-world feasibility: Practicing 7/4 = 175% and 5/3 = 167% of planned time is unrealistic - people cannot typically exceed planned practice time by such large amounts. Clarity: The ambiguous reference 'that time' makes the problem unclear to solve definitively.</t>
  </si>
  <si>
    <t>Grade Alignment: The problem specifies Secondary O-level 1 but uses quadratic expressions (2x^2 + 3x + 5) which are typically introduced in later secondary years, not O-level 1. Real-World Plausibility: Mini-golf course booking costs represented by quadratic expressions like 2x^2 + 3x + 5 is unrealistic. Actual mini-golf venues typically charge fixed hourly rates or flat fees, not costs that increase quadratically with time.</t>
  </si>
  <si>
    <t>Grade alignment: This problem involves basic ratio concepts with simple fractions that would typically be taught at Primary 5-6 level in Singapore math curriculum, not Secondary O-level 1. The operations required (converting ratio to fraction form and multiplying fractions) are too elementary for Secondary O-level 1 students who should be working with more complex algebraic ratios, simultaneous equations, or advanced fraction applications.</t>
  </si>
  <si>
    <t>Answerability: Problem has illogical relationship - only 0.050 litres remain but Sarah drinks 0.075 litres, resulting in impossible negative amount (-0.025 litres). Primary KC Alignment: Division is by 0.100 litres, not by 10/100/1000 or their multiples as specified in primary knowledge component. Real-World Plausibility: Scenario impossible due to negative result - cannot drink more than what remains.</t>
  </si>
  <si>
    <t>Language Quality: Missing article - should be 'This represents 35% of the total number of students in THE school'</t>
  </si>
  <si>
    <t>Primary KC alignment: The problem can be solved directly using basic probability (9/30 = 3/10) without requiring addition of probabilities as the main solving method. The primary knowledge component should be the core difficulty driver. Synergy: Since addition of probabilities is not the primary solving approach, there is insufficient synergy between the intended primary and secondary knowledge components working in tandem. Grade alignment: This problem is too basic for Secondary O-level 3/4 students. Set theory concepts with Venn diagrams and basic probability calculations are typically covered in lower secondary levels (Secondary 1/2), not O-level 3/4 which requires more advanced probability concepts.</t>
  </si>
  <si>
    <t>Grade Alignment: This problem involves basic percentage calculations (15% increase) and simple addition, which are typically covered in Primary 5-6 or Secondary 1 at most basic level. For Secondary O-level 1 students, this problem is too elementary and does not challenge students appropriately for their grade level. O-level students should be working with more complex percentage problems involving compound changes, multiple percentage operations, or integration with algebraic concepts.</t>
  </si>
  <si>
    <t>Synergy: The two parts (a) and (b) are independent calculations that do not require using results from one part to solve the other part. Finding median and range are separate statistical measures that can be calculated independently from the same dataset. Grade Alignment: Finding median and range are basic statistical concepts typically introduced at Primary 5-6 or Secondary 1 level in Singapore math syllabus, which is below the Secondary O-level 2 grade level. This problem lacks the complexity and advanced statistical concepts expected for Secondary O-level 2 students.</t>
  </si>
  <si>
    <t>Primary KC Alignment: The intended primary knowledge component is multiplying decimals by 10, 100, 1000 and their multiples. However, the problem requires multiplying decimals by single-digit numbers (10 and 20), not specifically by 10, 100, 1000 as standalone multipliers. The multiplication 0.815 × 10 in part (b) aligns, but parts (a) and (c) involve multiplying by 20, which is not a direct application of the intended primary KC focus on 10, 100, 1000 and their standard multiples.</t>
  </si>
  <si>
    <t>Answerability: Part (a) gives 12.450 / 10 = 1.245 metres per lap, but part (b) provides 10 different individual lap distances that sum to 12.457 metres, not 12.450 metres. This creates conflicting information making the problem unsolvable as stated. Primary KC Alignment: The division required is 12.450 / 10 = 1.245, which is simple division by 10, not division by multiples of 10/100/1000 as specified in the intended knowledge component. Real-world feasibility: Swimming competitions measure lap times, not individual lap distances. Pool lanes have fixed distances, so each lap would be exactly the same distance. Measuring different distances per lap (1.240 to 1.250 metres) is unrealistic. Synergy: The two knowledge components are used in separate, disconnected parts rather than in tandem. Part (a) uses division while parts (b) and (c) use ordering, but the results don't connect meaningfully. Conciseness and relevance: The total distance of 12.450 metres from part (a) becomes irrelevant once individual lap distances are provided in part (b), creating redundant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</si>
</sst>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charset val="16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11.489271879196171</v>
      </c>
      <c r="E2">
        <v>1</v>
      </c>
      <c r="F2">
        <v>1</v>
      </c>
      <c r="G2">
        <v>1</v>
      </c>
      <c r="H2">
        <v>1</v>
      </c>
      <c r="I2">
        <v>1</v>
      </c>
      <c r="J2">
        <v>0</v>
      </c>
      <c r="K2">
        <v>1</v>
      </c>
      <c r="L2">
        <v>1</v>
      </c>
      <c r="M2">
        <v>1</v>
      </c>
      <c r="N2">
        <v>1</v>
      </c>
      <c r="O2">
        <v>1</v>
      </c>
      <c r="P2" t="s">
        <v>18</v>
      </c>
    </row>
    <row r="3" spans="1:16" x14ac:dyDescent="0.25">
      <c r="A3" t="s">
        <v>16</v>
      </c>
      <c r="B3" t="s">
        <v>19</v>
      </c>
      <c r="C3">
        <v>0</v>
      </c>
      <c r="D3">
        <v>7.3595857620239258</v>
      </c>
      <c r="E3">
        <v>0</v>
      </c>
      <c r="F3" t="s">
        <v>20</v>
      </c>
      <c r="G3" t="s">
        <v>20</v>
      </c>
      <c r="H3" t="s">
        <v>20</v>
      </c>
      <c r="I3" t="s">
        <v>20</v>
      </c>
      <c r="J3" t="s">
        <v>20</v>
      </c>
      <c r="K3" t="s">
        <v>20</v>
      </c>
      <c r="L3" t="s">
        <v>20</v>
      </c>
      <c r="M3" t="s">
        <v>20</v>
      </c>
      <c r="N3" t="s">
        <v>20</v>
      </c>
      <c r="O3" t="s">
        <v>20</v>
      </c>
      <c r="P3" t="s">
        <v>21</v>
      </c>
    </row>
    <row r="4" spans="1:16" x14ac:dyDescent="0.25">
      <c r="A4" t="s">
        <v>16</v>
      </c>
      <c r="B4" t="s">
        <v>22</v>
      </c>
      <c r="C4">
        <v>0</v>
      </c>
      <c r="D4">
        <v>5.4888598918914786</v>
      </c>
      <c r="E4">
        <v>1</v>
      </c>
      <c r="F4">
        <v>0</v>
      </c>
      <c r="G4">
        <v>1</v>
      </c>
      <c r="H4" t="s">
        <v>20</v>
      </c>
      <c r="I4">
        <v>1</v>
      </c>
      <c r="J4" t="s">
        <v>20</v>
      </c>
      <c r="K4">
        <v>1</v>
      </c>
      <c r="L4">
        <v>1</v>
      </c>
      <c r="M4">
        <v>1</v>
      </c>
      <c r="N4">
        <v>1</v>
      </c>
      <c r="O4">
        <v>1</v>
      </c>
      <c r="P4" t="s">
        <v>23</v>
      </c>
    </row>
    <row r="5" spans="1:16" x14ac:dyDescent="0.25">
      <c r="A5" t="s">
        <v>16</v>
      </c>
      <c r="B5" t="s">
        <v>24</v>
      </c>
      <c r="C5">
        <v>0</v>
      </c>
      <c r="D5">
        <v>2.7106244564056401</v>
      </c>
      <c r="E5">
        <v>1</v>
      </c>
      <c r="F5">
        <v>1</v>
      </c>
      <c r="G5">
        <v>1</v>
      </c>
      <c r="H5">
        <v>1</v>
      </c>
      <c r="I5">
        <v>1</v>
      </c>
      <c r="J5">
        <v>1</v>
      </c>
      <c r="K5">
        <v>1</v>
      </c>
      <c r="L5">
        <v>1</v>
      </c>
      <c r="M5">
        <v>1</v>
      </c>
      <c r="N5">
        <v>1</v>
      </c>
      <c r="O5">
        <v>1</v>
      </c>
    </row>
    <row r="6" spans="1:16" x14ac:dyDescent="0.25">
      <c r="A6" t="s">
        <v>16</v>
      </c>
      <c r="B6" t="s">
        <v>25</v>
      </c>
      <c r="C6">
        <v>0</v>
      </c>
      <c r="D6">
        <v>8.696774959564209</v>
      </c>
      <c r="E6">
        <v>1</v>
      </c>
      <c r="F6">
        <v>1</v>
      </c>
      <c r="G6">
        <v>1</v>
      </c>
      <c r="H6">
        <v>1</v>
      </c>
      <c r="I6">
        <v>1</v>
      </c>
      <c r="J6">
        <v>1</v>
      </c>
      <c r="K6">
        <v>1</v>
      </c>
      <c r="L6">
        <v>1</v>
      </c>
      <c r="M6">
        <v>1</v>
      </c>
      <c r="N6">
        <v>1</v>
      </c>
      <c r="O6">
        <v>1</v>
      </c>
    </row>
    <row r="7" spans="1:16" x14ac:dyDescent="0.25">
      <c r="A7" t="s">
        <v>16</v>
      </c>
      <c r="B7" t="s">
        <v>26</v>
      </c>
      <c r="C7">
        <v>0</v>
      </c>
      <c r="D7">
        <v>8.228726863861084</v>
      </c>
      <c r="E7">
        <v>1</v>
      </c>
      <c r="F7">
        <v>1</v>
      </c>
      <c r="G7">
        <v>1</v>
      </c>
      <c r="H7">
        <v>1</v>
      </c>
      <c r="I7">
        <v>1</v>
      </c>
      <c r="J7">
        <v>1</v>
      </c>
      <c r="K7">
        <v>1</v>
      </c>
      <c r="L7">
        <v>1</v>
      </c>
      <c r="M7">
        <v>1</v>
      </c>
      <c r="N7">
        <v>1</v>
      </c>
      <c r="O7">
        <v>1</v>
      </c>
    </row>
    <row r="8" spans="1:16" x14ac:dyDescent="0.25">
      <c r="A8" t="s">
        <v>16</v>
      </c>
      <c r="B8" t="s">
        <v>27</v>
      </c>
      <c r="C8">
        <v>0</v>
      </c>
      <c r="D8">
        <v>7.4001383781433114</v>
      </c>
      <c r="E8">
        <v>1</v>
      </c>
      <c r="F8">
        <v>1</v>
      </c>
      <c r="G8">
        <v>1</v>
      </c>
      <c r="H8">
        <v>1</v>
      </c>
      <c r="I8">
        <v>1</v>
      </c>
      <c r="J8">
        <v>1</v>
      </c>
      <c r="K8">
        <v>0</v>
      </c>
      <c r="L8">
        <v>1</v>
      </c>
      <c r="M8">
        <v>1</v>
      </c>
      <c r="N8">
        <v>1</v>
      </c>
      <c r="O8">
        <v>1</v>
      </c>
      <c r="P8" t="s">
        <v>28</v>
      </c>
    </row>
    <row r="9" spans="1:16" x14ac:dyDescent="0.25">
      <c r="A9" t="s">
        <v>16</v>
      </c>
      <c r="B9" t="s">
        <v>29</v>
      </c>
      <c r="C9">
        <v>0</v>
      </c>
      <c r="D9">
        <v>9.3756206035614014</v>
      </c>
      <c r="E9">
        <v>1</v>
      </c>
      <c r="F9">
        <v>1</v>
      </c>
      <c r="G9">
        <v>1</v>
      </c>
      <c r="H9">
        <v>1</v>
      </c>
      <c r="I9">
        <v>1</v>
      </c>
      <c r="J9">
        <v>1</v>
      </c>
      <c r="K9">
        <v>1</v>
      </c>
      <c r="L9">
        <v>1</v>
      </c>
      <c r="M9">
        <v>1</v>
      </c>
      <c r="N9">
        <v>1</v>
      </c>
      <c r="O9">
        <v>1</v>
      </c>
    </row>
    <row r="10" spans="1:16" x14ac:dyDescent="0.25">
      <c r="A10" t="s">
        <v>16</v>
      </c>
      <c r="B10" t="s">
        <v>30</v>
      </c>
      <c r="C10">
        <v>0</v>
      </c>
      <c r="D10">
        <v>5.9396984577178964</v>
      </c>
      <c r="E10">
        <v>1</v>
      </c>
      <c r="F10">
        <v>1</v>
      </c>
      <c r="G10">
        <v>1</v>
      </c>
      <c r="H10">
        <v>1</v>
      </c>
      <c r="I10">
        <v>1</v>
      </c>
      <c r="J10">
        <v>0</v>
      </c>
      <c r="K10">
        <v>0</v>
      </c>
      <c r="L10">
        <v>1</v>
      </c>
      <c r="M10">
        <v>1</v>
      </c>
      <c r="N10">
        <v>1</v>
      </c>
      <c r="O10">
        <v>1</v>
      </c>
      <c r="P10" t="s">
        <v>31</v>
      </c>
    </row>
    <row r="11" spans="1:16" x14ac:dyDescent="0.25">
      <c r="A11" t="s">
        <v>16</v>
      </c>
      <c r="B11" t="s">
        <v>32</v>
      </c>
      <c r="C11">
        <v>0</v>
      </c>
      <c r="D11">
        <v>9.7642333507537842</v>
      </c>
      <c r="E11">
        <v>1</v>
      </c>
      <c r="F11">
        <v>1</v>
      </c>
      <c r="G11">
        <v>1</v>
      </c>
      <c r="H11">
        <v>1</v>
      </c>
      <c r="I11">
        <v>1</v>
      </c>
      <c r="J11">
        <v>1</v>
      </c>
      <c r="K11">
        <v>1</v>
      </c>
      <c r="L11">
        <v>1</v>
      </c>
      <c r="M11">
        <v>1</v>
      </c>
      <c r="N11">
        <v>1</v>
      </c>
      <c r="O11">
        <v>1</v>
      </c>
    </row>
    <row r="12" spans="1:16" x14ac:dyDescent="0.25">
      <c r="A12" t="s">
        <v>16</v>
      </c>
      <c r="B12" t="s">
        <v>33</v>
      </c>
      <c r="C12">
        <v>0</v>
      </c>
      <c r="D12">
        <v>9.7050950527191162</v>
      </c>
      <c r="E12">
        <v>1</v>
      </c>
      <c r="F12">
        <v>1</v>
      </c>
      <c r="G12">
        <v>1</v>
      </c>
      <c r="H12">
        <v>1</v>
      </c>
      <c r="I12">
        <v>1</v>
      </c>
      <c r="J12">
        <v>1</v>
      </c>
      <c r="K12">
        <v>0</v>
      </c>
      <c r="L12">
        <v>1</v>
      </c>
      <c r="M12">
        <v>1</v>
      </c>
      <c r="N12">
        <v>1</v>
      </c>
      <c r="O12">
        <v>1</v>
      </c>
      <c r="P12" t="s">
        <v>34</v>
      </c>
    </row>
    <row r="13" spans="1:16" x14ac:dyDescent="0.25">
      <c r="A13" t="s">
        <v>16</v>
      </c>
      <c r="B13" t="s">
        <v>35</v>
      </c>
      <c r="C13">
        <v>0</v>
      </c>
      <c r="D13">
        <v>4.4945402145385742</v>
      </c>
      <c r="E13">
        <v>1</v>
      </c>
      <c r="F13">
        <v>1</v>
      </c>
      <c r="G13">
        <v>1</v>
      </c>
      <c r="H13">
        <v>1</v>
      </c>
      <c r="I13">
        <v>1</v>
      </c>
      <c r="J13">
        <v>0</v>
      </c>
      <c r="K13">
        <v>1</v>
      </c>
      <c r="L13">
        <v>1</v>
      </c>
      <c r="M13">
        <v>1</v>
      </c>
      <c r="N13">
        <v>1</v>
      </c>
      <c r="O13">
        <v>1</v>
      </c>
      <c r="P13" t="s">
        <v>36</v>
      </c>
    </row>
    <row r="14" spans="1:16" x14ac:dyDescent="0.25">
      <c r="A14" t="s">
        <v>16</v>
      </c>
      <c r="B14" t="s">
        <v>37</v>
      </c>
      <c r="C14">
        <v>0</v>
      </c>
      <c r="D14">
        <v>10.57014179229736</v>
      </c>
      <c r="E14">
        <v>1</v>
      </c>
      <c r="F14">
        <v>1</v>
      </c>
      <c r="G14">
        <v>1</v>
      </c>
      <c r="H14">
        <v>1</v>
      </c>
      <c r="I14">
        <v>1</v>
      </c>
      <c r="J14">
        <v>0</v>
      </c>
      <c r="K14">
        <v>1</v>
      </c>
      <c r="L14">
        <v>1</v>
      </c>
      <c r="M14">
        <v>1</v>
      </c>
      <c r="N14">
        <v>1</v>
      </c>
      <c r="O14">
        <v>1</v>
      </c>
      <c r="P14" t="s">
        <v>38</v>
      </c>
    </row>
    <row r="15" spans="1:16" x14ac:dyDescent="0.25">
      <c r="A15" t="s">
        <v>16</v>
      </c>
      <c r="B15" t="s">
        <v>39</v>
      </c>
      <c r="C15">
        <v>0</v>
      </c>
      <c r="D15">
        <v>10.282065391540529</v>
      </c>
      <c r="E15">
        <v>1</v>
      </c>
      <c r="F15">
        <v>1</v>
      </c>
      <c r="G15">
        <v>1</v>
      </c>
      <c r="H15">
        <v>1</v>
      </c>
      <c r="I15">
        <v>1</v>
      </c>
      <c r="J15">
        <v>0</v>
      </c>
      <c r="K15">
        <v>1</v>
      </c>
      <c r="L15">
        <v>1</v>
      </c>
      <c r="M15">
        <v>1</v>
      </c>
      <c r="N15">
        <v>1</v>
      </c>
      <c r="O15">
        <v>1</v>
      </c>
      <c r="P15" t="s">
        <v>40</v>
      </c>
    </row>
    <row r="16" spans="1:16" x14ac:dyDescent="0.25">
      <c r="A16" t="s">
        <v>16</v>
      </c>
      <c r="B16" t="s">
        <v>41</v>
      </c>
      <c r="C16">
        <v>0</v>
      </c>
      <c r="D16">
        <v>10.17117881774902</v>
      </c>
      <c r="E16">
        <v>1</v>
      </c>
      <c r="F16">
        <v>1</v>
      </c>
      <c r="G16">
        <v>0</v>
      </c>
      <c r="H16" t="s">
        <v>20</v>
      </c>
      <c r="I16">
        <v>1</v>
      </c>
      <c r="J16">
        <v>1</v>
      </c>
      <c r="K16">
        <v>1</v>
      </c>
      <c r="L16">
        <v>1</v>
      </c>
      <c r="M16">
        <v>1</v>
      </c>
      <c r="N16">
        <v>1</v>
      </c>
      <c r="O16">
        <v>1</v>
      </c>
      <c r="P16" t="s">
        <v>42</v>
      </c>
    </row>
    <row r="17" spans="1:16" x14ac:dyDescent="0.25">
      <c r="A17" t="s">
        <v>16</v>
      </c>
      <c r="B17" t="s">
        <v>43</v>
      </c>
      <c r="C17">
        <v>0</v>
      </c>
      <c r="D17">
        <v>10.17731142044067</v>
      </c>
      <c r="E17">
        <v>0</v>
      </c>
      <c r="F17" t="s">
        <v>20</v>
      </c>
      <c r="G17" t="s">
        <v>20</v>
      </c>
      <c r="H17" t="s">
        <v>20</v>
      </c>
      <c r="I17" t="s">
        <v>20</v>
      </c>
      <c r="J17" t="s">
        <v>20</v>
      </c>
      <c r="K17" t="s">
        <v>20</v>
      </c>
      <c r="L17" t="s">
        <v>20</v>
      </c>
      <c r="M17" t="s">
        <v>20</v>
      </c>
      <c r="N17" t="s">
        <v>20</v>
      </c>
      <c r="O17" t="s">
        <v>20</v>
      </c>
      <c r="P17" t="s">
        <v>44</v>
      </c>
    </row>
    <row r="18" spans="1:16" x14ac:dyDescent="0.25">
      <c r="A18" t="s">
        <v>16</v>
      </c>
      <c r="B18" t="s">
        <v>45</v>
      </c>
      <c r="C18">
        <v>0</v>
      </c>
      <c r="D18">
        <v>10.726846218109131</v>
      </c>
      <c r="E18">
        <v>0</v>
      </c>
      <c r="F18" t="s">
        <v>20</v>
      </c>
      <c r="G18" t="s">
        <v>20</v>
      </c>
      <c r="H18" t="s">
        <v>20</v>
      </c>
      <c r="I18" t="s">
        <v>20</v>
      </c>
      <c r="J18" t="s">
        <v>20</v>
      </c>
      <c r="K18" t="s">
        <v>20</v>
      </c>
      <c r="L18" t="s">
        <v>20</v>
      </c>
      <c r="M18" t="s">
        <v>20</v>
      </c>
      <c r="N18" t="s">
        <v>20</v>
      </c>
      <c r="O18" t="s">
        <v>20</v>
      </c>
      <c r="P18" t="s">
        <v>46</v>
      </c>
    </row>
    <row r="19" spans="1:16" x14ac:dyDescent="0.25">
      <c r="A19" t="s">
        <v>16</v>
      </c>
      <c r="B19" t="s">
        <v>47</v>
      </c>
      <c r="C19">
        <v>0</v>
      </c>
      <c r="D19">
        <v>11.28186130523682</v>
      </c>
      <c r="E19">
        <v>1</v>
      </c>
      <c r="F19">
        <v>1</v>
      </c>
      <c r="G19">
        <v>1</v>
      </c>
      <c r="H19">
        <v>1</v>
      </c>
      <c r="I19">
        <v>1</v>
      </c>
      <c r="J19">
        <v>1</v>
      </c>
      <c r="K19">
        <v>1</v>
      </c>
      <c r="L19">
        <v>1</v>
      </c>
      <c r="M19">
        <v>1</v>
      </c>
      <c r="N19">
        <v>1</v>
      </c>
      <c r="O19">
        <v>1</v>
      </c>
    </row>
    <row r="20" spans="1:16" x14ac:dyDescent="0.25">
      <c r="A20" t="s">
        <v>16</v>
      </c>
      <c r="B20" t="s">
        <v>48</v>
      </c>
      <c r="C20">
        <v>0</v>
      </c>
      <c r="D20">
        <v>9.4469039440155029</v>
      </c>
      <c r="E20">
        <v>1</v>
      </c>
      <c r="F20">
        <v>1</v>
      </c>
      <c r="G20">
        <v>1</v>
      </c>
      <c r="H20">
        <v>1</v>
      </c>
      <c r="I20">
        <v>1</v>
      </c>
      <c r="J20">
        <v>1</v>
      </c>
      <c r="K20">
        <v>1</v>
      </c>
      <c r="L20">
        <v>1</v>
      </c>
      <c r="M20">
        <v>1</v>
      </c>
      <c r="N20">
        <v>1</v>
      </c>
      <c r="O20">
        <v>1</v>
      </c>
    </row>
    <row r="21" spans="1:16" x14ac:dyDescent="0.25">
      <c r="A21" t="s">
        <v>16</v>
      </c>
      <c r="B21" t="s">
        <v>49</v>
      </c>
      <c r="C21">
        <v>0</v>
      </c>
      <c r="D21">
        <v>7.7633094787597656</v>
      </c>
      <c r="E21">
        <v>0</v>
      </c>
      <c r="F21" t="s">
        <v>20</v>
      </c>
      <c r="G21" t="s">
        <v>20</v>
      </c>
      <c r="H21" t="s">
        <v>20</v>
      </c>
      <c r="I21" t="s">
        <v>20</v>
      </c>
      <c r="J21" t="s">
        <v>20</v>
      </c>
      <c r="K21" t="s">
        <v>20</v>
      </c>
      <c r="L21" t="s">
        <v>20</v>
      </c>
      <c r="M21" t="s">
        <v>20</v>
      </c>
      <c r="N21" t="s">
        <v>20</v>
      </c>
      <c r="O21" t="s">
        <v>20</v>
      </c>
      <c r="P21" t="s">
        <v>50</v>
      </c>
    </row>
    <row r="22" spans="1:16" x14ac:dyDescent="0.25">
      <c r="A22" t="s">
        <v>16</v>
      </c>
      <c r="B22" t="s">
        <v>51</v>
      </c>
      <c r="C22">
        <v>0</v>
      </c>
      <c r="D22">
        <v>10.221833467483521</v>
      </c>
      <c r="E22">
        <v>1</v>
      </c>
      <c r="F22">
        <v>1</v>
      </c>
      <c r="G22">
        <v>1</v>
      </c>
      <c r="H22">
        <v>1</v>
      </c>
      <c r="I22">
        <v>1</v>
      </c>
      <c r="J22">
        <v>1</v>
      </c>
      <c r="K22">
        <v>1</v>
      </c>
      <c r="L22">
        <v>1</v>
      </c>
      <c r="M22">
        <v>1</v>
      </c>
      <c r="N22">
        <v>1</v>
      </c>
      <c r="O22">
        <v>1</v>
      </c>
    </row>
    <row r="23" spans="1:16" x14ac:dyDescent="0.25">
      <c r="A23" t="s">
        <v>16</v>
      </c>
      <c r="B23" t="s">
        <v>52</v>
      </c>
      <c r="C23">
        <v>0</v>
      </c>
      <c r="D23">
        <v>10.07233691215515</v>
      </c>
      <c r="E23">
        <v>1</v>
      </c>
      <c r="F23">
        <v>0</v>
      </c>
      <c r="G23">
        <v>1</v>
      </c>
      <c r="H23" t="s">
        <v>20</v>
      </c>
      <c r="I23">
        <v>1</v>
      </c>
      <c r="J23" t="s">
        <v>20</v>
      </c>
      <c r="K23">
        <v>1</v>
      </c>
      <c r="L23">
        <v>1</v>
      </c>
      <c r="M23">
        <v>1</v>
      </c>
      <c r="N23">
        <v>1</v>
      </c>
      <c r="O23">
        <v>1</v>
      </c>
      <c r="P23" t="s">
        <v>53</v>
      </c>
    </row>
    <row r="24" spans="1:16" x14ac:dyDescent="0.25">
      <c r="A24" t="s">
        <v>16</v>
      </c>
      <c r="B24" t="s">
        <v>54</v>
      </c>
      <c r="C24">
        <v>0</v>
      </c>
      <c r="D24">
        <v>6.6962919235229492</v>
      </c>
      <c r="E24">
        <v>0</v>
      </c>
      <c r="F24" t="s">
        <v>20</v>
      </c>
      <c r="G24" t="s">
        <v>20</v>
      </c>
      <c r="H24" t="s">
        <v>20</v>
      </c>
      <c r="I24" t="s">
        <v>20</v>
      </c>
      <c r="J24" t="s">
        <v>20</v>
      </c>
      <c r="K24" t="s">
        <v>20</v>
      </c>
      <c r="L24" t="s">
        <v>20</v>
      </c>
      <c r="M24" t="s">
        <v>20</v>
      </c>
      <c r="N24" t="s">
        <v>20</v>
      </c>
      <c r="O24" t="s">
        <v>20</v>
      </c>
      <c r="P24" t="s">
        <v>55</v>
      </c>
    </row>
    <row r="25" spans="1:16" x14ac:dyDescent="0.25">
      <c r="A25" t="s">
        <v>16</v>
      </c>
      <c r="B25" t="s">
        <v>56</v>
      </c>
      <c r="C25">
        <v>0</v>
      </c>
      <c r="D25">
        <v>11.90699291229248</v>
      </c>
      <c r="E25">
        <v>1</v>
      </c>
      <c r="F25">
        <v>1</v>
      </c>
      <c r="G25">
        <v>1</v>
      </c>
      <c r="H25">
        <v>1</v>
      </c>
      <c r="I25">
        <v>1</v>
      </c>
      <c r="J25">
        <v>0</v>
      </c>
      <c r="K25">
        <v>0</v>
      </c>
      <c r="L25">
        <v>1</v>
      </c>
      <c r="M25">
        <v>1</v>
      </c>
      <c r="N25">
        <v>1</v>
      </c>
      <c r="O25">
        <v>1</v>
      </c>
      <c r="P25" t="s">
        <v>57</v>
      </c>
    </row>
    <row r="26" spans="1:16" x14ac:dyDescent="0.25">
      <c r="A26" t="s">
        <v>16</v>
      </c>
      <c r="B26" t="s">
        <v>58</v>
      </c>
      <c r="C26">
        <v>0</v>
      </c>
      <c r="D26">
        <v>8.940035343170166</v>
      </c>
      <c r="E26">
        <v>1</v>
      </c>
      <c r="F26">
        <v>1</v>
      </c>
      <c r="G26">
        <v>1</v>
      </c>
      <c r="H26">
        <v>1</v>
      </c>
      <c r="I26">
        <v>1</v>
      </c>
      <c r="J26">
        <v>1</v>
      </c>
      <c r="K26">
        <v>1</v>
      </c>
      <c r="L26">
        <v>1</v>
      </c>
      <c r="M26">
        <v>1</v>
      </c>
      <c r="N26">
        <v>1</v>
      </c>
      <c r="O26">
        <v>1</v>
      </c>
    </row>
    <row r="27" spans="1:16" x14ac:dyDescent="0.25">
      <c r="A27" t="s">
        <v>59</v>
      </c>
      <c r="B27" t="s">
        <v>17</v>
      </c>
      <c r="C27">
        <v>0</v>
      </c>
      <c r="D27">
        <v>10.790107250213619</v>
      </c>
      <c r="E27">
        <v>1</v>
      </c>
      <c r="F27">
        <v>0</v>
      </c>
      <c r="G27">
        <v>1</v>
      </c>
      <c r="H27" t="s">
        <v>20</v>
      </c>
      <c r="I27">
        <v>1</v>
      </c>
      <c r="J27" t="s">
        <v>20</v>
      </c>
      <c r="K27">
        <v>1</v>
      </c>
      <c r="L27">
        <v>1</v>
      </c>
      <c r="M27">
        <v>1</v>
      </c>
      <c r="N27">
        <v>1</v>
      </c>
      <c r="O27">
        <v>1</v>
      </c>
      <c r="P27" t="s">
        <v>60</v>
      </c>
    </row>
    <row r="28" spans="1:16" x14ac:dyDescent="0.25">
      <c r="A28" t="s">
        <v>59</v>
      </c>
      <c r="B28" t="s">
        <v>19</v>
      </c>
      <c r="C28">
        <v>0</v>
      </c>
      <c r="D28">
        <v>9.1472687721252441</v>
      </c>
      <c r="E28">
        <v>1</v>
      </c>
      <c r="F28">
        <v>1</v>
      </c>
      <c r="G28">
        <v>1</v>
      </c>
      <c r="H28">
        <v>1</v>
      </c>
      <c r="I28">
        <v>1</v>
      </c>
      <c r="J28">
        <v>1</v>
      </c>
      <c r="K28">
        <v>1</v>
      </c>
      <c r="L28">
        <v>1</v>
      </c>
      <c r="M28">
        <v>1</v>
      </c>
      <c r="N28">
        <v>1</v>
      </c>
      <c r="O28">
        <v>1</v>
      </c>
    </row>
    <row r="29" spans="1:16" x14ac:dyDescent="0.25">
      <c r="A29" t="s">
        <v>59</v>
      </c>
      <c r="B29" t="s">
        <v>22</v>
      </c>
      <c r="C29">
        <v>0</v>
      </c>
      <c r="D29">
        <v>10.79023909568787</v>
      </c>
      <c r="E29">
        <v>1</v>
      </c>
      <c r="F29">
        <v>1</v>
      </c>
      <c r="G29">
        <v>1</v>
      </c>
      <c r="H29">
        <v>1</v>
      </c>
      <c r="I29">
        <v>1</v>
      </c>
      <c r="J29">
        <v>1</v>
      </c>
      <c r="K29">
        <v>0</v>
      </c>
      <c r="L29">
        <v>1</v>
      </c>
      <c r="M29">
        <v>1</v>
      </c>
      <c r="N29">
        <v>1</v>
      </c>
      <c r="O29">
        <v>1</v>
      </c>
      <c r="P29" t="s">
        <v>61</v>
      </c>
    </row>
    <row r="30" spans="1:16" x14ac:dyDescent="0.25">
      <c r="A30" t="s">
        <v>59</v>
      </c>
      <c r="B30" t="s">
        <v>24</v>
      </c>
      <c r="C30">
        <v>0</v>
      </c>
      <c r="D30">
        <v>12.33437609672546</v>
      </c>
      <c r="E30">
        <v>1</v>
      </c>
      <c r="F30">
        <v>1</v>
      </c>
      <c r="G30">
        <v>1</v>
      </c>
      <c r="H30">
        <v>1</v>
      </c>
      <c r="I30">
        <v>1</v>
      </c>
      <c r="J30">
        <v>0</v>
      </c>
      <c r="K30">
        <v>1</v>
      </c>
      <c r="L30">
        <v>1</v>
      </c>
      <c r="M30">
        <v>1</v>
      </c>
      <c r="N30">
        <v>1</v>
      </c>
      <c r="O30">
        <v>1</v>
      </c>
      <c r="P30" t="s">
        <v>62</v>
      </c>
    </row>
    <row r="31" spans="1:16" x14ac:dyDescent="0.25">
      <c r="A31" t="s">
        <v>59</v>
      </c>
      <c r="B31" t="s">
        <v>25</v>
      </c>
      <c r="C31">
        <v>0</v>
      </c>
      <c r="D31">
        <v>11.813533782958981</v>
      </c>
      <c r="E31">
        <v>1</v>
      </c>
      <c r="F31">
        <v>1</v>
      </c>
      <c r="G31">
        <v>1</v>
      </c>
      <c r="H31">
        <v>1</v>
      </c>
      <c r="I31">
        <v>1</v>
      </c>
      <c r="J31">
        <v>1</v>
      </c>
      <c r="K31">
        <v>1</v>
      </c>
      <c r="L31">
        <v>1</v>
      </c>
      <c r="M31">
        <v>1</v>
      </c>
      <c r="N31">
        <v>1</v>
      </c>
      <c r="O31">
        <v>1</v>
      </c>
    </row>
    <row r="32" spans="1:16" x14ac:dyDescent="0.25">
      <c r="A32" t="s">
        <v>59</v>
      </c>
      <c r="B32" t="s">
        <v>26</v>
      </c>
      <c r="C32">
        <v>0</v>
      </c>
      <c r="D32">
        <v>9.7078769207000732</v>
      </c>
      <c r="E32">
        <v>1</v>
      </c>
      <c r="F32">
        <v>1</v>
      </c>
      <c r="G32">
        <v>1</v>
      </c>
      <c r="H32">
        <v>1</v>
      </c>
      <c r="I32">
        <v>1</v>
      </c>
      <c r="J32">
        <v>1</v>
      </c>
      <c r="K32">
        <v>1</v>
      </c>
      <c r="L32">
        <v>1</v>
      </c>
      <c r="M32">
        <v>1</v>
      </c>
      <c r="N32">
        <v>1</v>
      </c>
      <c r="O32">
        <v>1</v>
      </c>
    </row>
    <row r="33" spans="1:16" x14ac:dyDescent="0.25">
      <c r="A33" t="s">
        <v>59</v>
      </c>
      <c r="B33" t="s">
        <v>27</v>
      </c>
      <c r="C33">
        <v>0</v>
      </c>
      <c r="D33">
        <v>9.7161986827850342</v>
      </c>
      <c r="E33">
        <v>1</v>
      </c>
      <c r="F33">
        <v>1</v>
      </c>
      <c r="G33">
        <v>1</v>
      </c>
      <c r="H33">
        <v>1</v>
      </c>
      <c r="I33">
        <v>1</v>
      </c>
      <c r="J33">
        <v>1</v>
      </c>
      <c r="K33">
        <v>1</v>
      </c>
      <c r="L33">
        <v>1</v>
      </c>
      <c r="M33">
        <v>1</v>
      </c>
      <c r="N33">
        <v>1</v>
      </c>
      <c r="O33">
        <v>1</v>
      </c>
    </row>
    <row r="34" spans="1:16" x14ac:dyDescent="0.25">
      <c r="A34" t="s">
        <v>59</v>
      </c>
      <c r="B34" t="s">
        <v>29</v>
      </c>
      <c r="C34">
        <v>0</v>
      </c>
      <c r="D34">
        <v>9.9181993007659912</v>
      </c>
      <c r="E34">
        <v>1</v>
      </c>
      <c r="F34">
        <v>1</v>
      </c>
      <c r="G34">
        <v>1</v>
      </c>
      <c r="H34">
        <v>1</v>
      </c>
      <c r="I34">
        <v>1</v>
      </c>
      <c r="J34">
        <v>1</v>
      </c>
      <c r="K34">
        <v>1</v>
      </c>
      <c r="L34">
        <v>1</v>
      </c>
      <c r="M34">
        <v>1</v>
      </c>
      <c r="N34">
        <v>1</v>
      </c>
      <c r="O34">
        <v>1</v>
      </c>
    </row>
    <row r="35" spans="1:16" x14ac:dyDescent="0.25">
      <c r="A35" t="s">
        <v>59</v>
      </c>
      <c r="B35" t="s">
        <v>30</v>
      </c>
      <c r="C35">
        <v>0</v>
      </c>
      <c r="D35">
        <v>9.9287774562835693</v>
      </c>
      <c r="E35">
        <v>1</v>
      </c>
      <c r="F35">
        <v>1</v>
      </c>
      <c r="G35">
        <v>1</v>
      </c>
      <c r="H35">
        <v>1</v>
      </c>
      <c r="I35">
        <v>1</v>
      </c>
      <c r="J35">
        <v>1</v>
      </c>
      <c r="K35">
        <v>1</v>
      </c>
      <c r="L35">
        <v>1</v>
      </c>
      <c r="M35">
        <v>1</v>
      </c>
      <c r="N35">
        <v>1</v>
      </c>
      <c r="O35">
        <v>1</v>
      </c>
    </row>
    <row r="36" spans="1:16" x14ac:dyDescent="0.25">
      <c r="A36" t="s">
        <v>59</v>
      </c>
      <c r="B36" t="s">
        <v>32</v>
      </c>
      <c r="C36">
        <v>0</v>
      </c>
      <c r="D36">
        <v>4.5193595886230469</v>
      </c>
      <c r="E36">
        <v>1</v>
      </c>
      <c r="F36">
        <v>1</v>
      </c>
      <c r="G36">
        <v>1</v>
      </c>
      <c r="H36">
        <v>1</v>
      </c>
      <c r="I36">
        <v>1</v>
      </c>
      <c r="J36">
        <v>0</v>
      </c>
      <c r="K36">
        <v>1</v>
      </c>
      <c r="L36">
        <v>1</v>
      </c>
      <c r="M36">
        <v>1</v>
      </c>
      <c r="N36">
        <v>1</v>
      </c>
      <c r="O36">
        <v>1</v>
      </c>
      <c r="P36" t="s">
        <v>63</v>
      </c>
    </row>
    <row r="37" spans="1:16" x14ac:dyDescent="0.25">
      <c r="A37" t="s">
        <v>59</v>
      </c>
      <c r="B37" t="s">
        <v>33</v>
      </c>
      <c r="C37">
        <v>0</v>
      </c>
      <c r="D37">
        <v>2.7414355278015141</v>
      </c>
      <c r="E37">
        <v>1</v>
      </c>
      <c r="F37">
        <v>1</v>
      </c>
      <c r="G37">
        <v>1</v>
      </c>
      <c r="H37">
        <v>1</v>
      </c>
      <c r="I37">
        <v>1</v>
      </c>
      <c r="J37">
        <v>1</v>
      </c>
      <c r="K37">
        <v>1</v>
      </c>
      <c r="L37">
        <v>1</v>
      </c>
      <c r="M37">
        <v>1</v>
      </c>
      <c r="N37">
        <v>1</v>
      </c>
      <c r="O37">
        <v>1</v>
      </c>
    </row>
    <row r="38" spans="1:16" x14ac:dyDescent="0.25">
      <c r="A38" t="s">
        <v>59</v>
      </c>
      <c r="B38" t="s">
        <v>35</v>
      </c>
      <c r="C38">
        <v>0</v>
      </c>
      <c r="D38">
        <v>12.432576656341549</v>
      </c>
      <c r="E38">
        <v>0</v>
      </c>
      <c r="F38" t="s">
        <v>20</v>
      </c>
      <c r="G38" t="s">
        <v>20</v>
      </c>
      <c r="H38" t="s">
        <v>20</v>
      </c>
      <c r="I38" t="s">
        <v>20</v>
      </c>
      <c r="J38" t="s">
        <v>20</v>
      </c>
      <c r="K38" t="s">
        <v>20</v>
      </c>
      <c r="L38" t="s">
        <v>20</v>
      </c>
      <c r="M38" t="s">
        <v>20</v>
      </c>
      <c r="N38" t="s">
        <v>20</v>
      </c>
      <c r="O38" t="s">
        <v>20</v>
      </c>
      <c r="P38" t="s">
        <v>64</v>
      </c>
    </row>
    <row r="39" spans="1:16" x14ac:dyDescent="0.25">
      <c r="A39" t="s">
        <v>59</v>
      </c>
      <c r="B39" t="s">
        <v>37</v>
      </c>
      <c r="C39">
        <v>0</v>
      </c>
      <c r="D39">
        <v>11.61105537414551</v>
      </c>
      <c r="E39">
        <v>1</v>
      </c>
      <c r="F39">
        <v>1</v>
      </c>
      <c r="G39">
        <v>1</v>
      </c>
      <c r="H39">
        <v>0</v>
      </c>
      <c r="I39">
        <v>1</v>
      </c>
      <c r="J39">
        <v>0</v>
      </c>
      <c r="K39">
        <v>1</v>
      </c>
      <c r="L39">
        <v>1</v>
      </c>
      <c r="M39">
        <v>1</v>
      </c>
      <c r="N39">
        <v>1</v>
      </c>
      <c r="O39">
        <v>1</v>
      </c>
      <c r="P39" t="s">
        <v>65</v>
      </c>
    </row>
    <row r="40" spans="1:16" x14ac:dyDescent="0.25">
      <c r="A40" t="s">
        <v>59</v>
      </c>
      <c r="B40" t="s">
        <v>39</v>
      </c>
      <c r="C40">
        <v>0</v>
      </c>
      <c r="D40">
        <v>10.52021265029907</v>
      </c>
      <c r="E40">
        <v>0</v>
      </c>
      <c r="F40" t="s">
        <v>20</v>
      </c>
      <c r="G40" t="s">
        <v>20</v>
      </c>
      <c r="H40" t="s">
        <v>20</v>
      </c>
      <c r="I40" t="s">
        <v>20</v>
      </c>
      <c r="J40" t="s">
        <v>20</v>
      </c>
      <c r="K40" t="s">
        <v>20</v>
      </c>
      <c r="L40" t="s">
        <v>20</v>
      </c>
      <c r="M40" t="s">
        <v>20</v>
      </c>
      <c r="N40" t="s">
        <v>20</v>
      </c>
      <c r="O40" t="s">
        <v>20</v>
      </c>
      <c r="P40" t="s">
        <v>66</v>
      </c>
    </row>
    <row r="41" spans="1:16" x14ac:dyDescent="0.25">
      <c r="A41" t="s">
        <v>59</v>
      </c>
      <c r="B41" t="s">
        <v>41</v>
      </c>
      <c r="C41">
        <v>0</v>
      </c>
      <c r="D41">
        <v>7.3544909954071036</v>
      </c>
      <c r="E41">
        <v>0</v>
      </c>
      <c r="F41" t="s">
        <v>20</v>
      </c>
      <c r="G41" t="s">
        <v>20</v>
      </c>
      <c r="H41" t="s">
        <v>20</v>
      </c>
      <c r="I41" t="s">
        <v>20</v>
      </c>
      <c r="J41" t="s">
        <v>20</v>
      </c>
      <c r="K41" t="s">
        <v>20</v>
      </c>
      <c r="L41" t="s">
        <v>20</v>
      </c>
      <c r="M41" t="s">
        <v>20</v>
      </c>
      <c r="N41" t="s">
        <v>20</v>
      </c>
      <c r="O41" t="s">
        <v>20</v>
      </c>
      <c r="P41" t="s">
        <v>67</v>
      </c>
    </row>
    <row r="42" spans="1:16" x14ac:dyDescent="0.25">
      <c r="A42" t="s">
        <v>59</v>
      </c>
      <c r="B42" t="s">
        <v>43</v>
      </c>
      <c r="C42">
        <v>0</v>
      </c>
      <c r="D42">
        <v>2.7689790725708008</v>
      </c>
      <c r="E42">
        <v>1</v>
      </c>
      <c r="F42">
        <v>1</v>
      </c>
      <c r="G42">
        <v>1</v>
      </c>
      <c r="H42">
        <v>1</v>
      </c>
      <c r="I42">
        <v>1</v>
      </c>
      <c r="J42">
        <v>1</v>
      </c>
      <c r="K42">
        <v>1</v>
      </c>
      <c r="L42">
        <v>1</v>
      </c>
      <c r="M42">
        <v>1</v>
      </c>
      <c r="N42">
        <v>1</v>
      </c>
      <c r="O42">
        <v>1</v>
      </c>
    </row>
    <row r="43" spans="1:16" x14ac:dyDescent="0.25">
      <c r="A43" t="s">
        <v>59</v>
      </c>
      <c r="B43" t="s">
        <v>45</v>
      </c>
      <c r="C43">
        <v>0</v>
      </c>
      <c r="D43">
        <v>10.49561977386475</v>
      </c>
      <c r="E43">
        <v>1</v>
      </c>
      <c r="F43">
        <v>1</v>
      </c>
      <c r="G43">
        <v>0</v>
      </c>
      <c r="H43" t="s">
        <v>20</v>
      </c>
      <c r="I43">
        <v>1</v>
      </c>
      <c r="J43">
        <v>1</v>
      </c>
      <c r="K43">
        <v>1</v>
      </c>
      <c r="L43">
        <v>1</v>
      </c>
      <c r="M43">
        <v>1</v>
      </c>
      <c r="N43">
        <v>1</v>
      </c>
      <c r="O43">
        <v>1</v>
      </c>
      <c r="P43" t="s">
        <v>68</v>
      </c>
    </row>
    <row r="44" spans="1:16" x14ac:dyDescent="0.25">
      <c r="A44" t="s">
        <v>59</v>
      </c>
      <c r="B44" t="s">
        <v>47</v>
      </c>
      <c r="C44">
        <v>0</v>
      </c>
      <c r="D44">
        <v>4.2926898002624512</v>
      </c>
      <c r="E44">
        <v>1</v>
      </c>
      <c r="F44">
        <v>1</v>
      </c>
      <c r="G44">
        <v>1</v>
      </c>
      <c r="H44">
        <v>1</v>
      </c>
      <c r="I44">
        <v>1</v>
      </c>
      <c r="J44">
        <v>1</v>
      </c>
      <c r="K44">
        <v>0</v>
      </c>
      <c r="L44">
        <v>1</v>
      </c>
      <c r="M44">
        <v>1</v>
      </c>
      <c r="N44">
        <v>1</v>
      </c>
      <c r="O44">
        <v>1</v>
      </c>
      <c r="P44" t="s">
        <v>69</v>
      </c>
    </row>
    <row r="45" spans="1:16" x14ac:dyDescent="0.25">
      <c r="A45" t="s">
        <v>59</v>
      </c>
      <c r="B45" t="s">
        <v>48</v>
      </c>
      <c r="C45">
        <v>0</v>
      </c>
      <c r="D45">
        <v>2.737506628036499</v>
      </c>
      <c r="E45">
        <v>1</v>
      </c>
      <c r="F45">
        <v>1</v>
      </c>
      <c r="G45">
        <v>1</v>
      </c>
      <c r="H45">
        <v>1</v>
      </c>
      <c r="I45">
        <v>1</v>
      </c>
      <c r="J45">
        <v>1</v>
      </c>
      <c r="K45">
        <v>1</v>
      </c>
      <c r="L45">
        <v>1</v>
      </c>
      <c r="M45">
        <v>1</v>
      </c>
      <c r="N45">
        <v>1</v>
      </c>
      <c r="O45">
        <v>1</v>
      </c>
    </row>
    <row r="46" spans="1:16" x14ac:dyDescent="0.25">
      <c r="A46" t="s">
        <v>59</v>
      </c>
      <c r="B46" t="s">
        <v>49</v>
      </c>
      <c r="C46">
        <v>0</v>
      </c>
      <c r="D46">
        <v>4.7758963108062744</v>
      </c>
      <c r="E46">
        <v>1</v>
      </c>
      <c r="F46">
        <v>1</v>
      </c>
      <c r="G46">
        <v>0</v>
      </c>
      <c r="H46" t="s">
        <v>20</v>
      </c>
      <c r="I46">
        <v>1</v>
      </c>
      <c r="J46">
        <v>1</v>
      </c>
      <c r="K46">
        <v>1</v>
      </c>
      <c r="L46">
        <v>1</v>
      </c>
      <c r="M46">
        <v>1</v>
      </c>
      <c r="N46">
        <v>1</v>
      </c>
      <c r="O46">
        <v>1</v>
      </c>
      <c r="P46" t="s">
        <v>70</v>
      </c>
    </row>
    <row r="47" spans="1:16" x14ac:dyDescent="0.25">
      <c r="A47" t="s">
        <v>59</v>
      </c>
      <c r="B47" t="s">
        <v>51</v>
      </c>
      <c r="C47">
        <v>0</v>
      </c>
      <c r="D47">
        <v>2.8554131984710689</v>
      </c>
      <c r="E47">
        <v>1</v>
      </c>
      <c r="F47">
        <v>1</v>
      </c>
      <c r="G47">
        <v>1</v>
      </c>
      <c r="H47">
        <v>1</v>
      </c>
      <c r="I47">
        <v>1</v>
      </c>
      <c r="J47">
        <v>1</v>
      </c>
      <c r="K47">
        <v>1</v>
      </c>
      <c r="L47">
        <v>1</v>
      </c>
      <c r="M47">
        <v>1</v>
      </c>
      <c r="N47">
        <v>1</v>
      </c>
      <c r="O47">
        <v>1</v>
      </c>
    </row>
    <row r="48" spans="1:16" x14ac:dyDescent="0.25">
      <c r="A48" t="s">
        <v>59</v>
      </c>
      <c r="B48" t="s">
        <v>52</v>
      </c>
      <c r="C48">
        <v>0</v>
      </c>
      <c r="D48">
        <v>9.6706643104553223</v>
      </c>
      <c r="E48">
        <v>1</v>
      </c>
      <c r="F48">
        <v>1</v>
      </c>
      <c r="G48">
        <v>1</v>
      </c>
      <c r="H48">
        <v>1</v>
      </c>
      <c r="I48">
        <v>1</v>
      </c>
      <c r="J48">
        <v>1</v>
      </c>
      <c r="K48">
        <v>1</v>
      </c>
      <c r="L48">
        <v>1</v>
      </c>
      <c r="M48">
        <v>1</v>
      </c>
      <c r="N48">
        <v>1</v>
      </c>
      <c r="O48">
        <v>1</v>
      </c>
    </row>
    <row r="49" spans="1:16" x14ac:dyDescent="0.25">
      <c r="A49" t="s">
        <v>59</v>
      </c>
      <c r="B49" t="s">
        <v>54</v>
      </c>
      <c r="C49">
        <v>0</v>
      </c>
      <c r="D49">
        <v>5.1535069942474374</v>
      </c>
      <c r="E49">
        <v>1</v>
      </c>
      <c r="F49">
        <v>1</v>
      </c>
      <c r="G49">
        <v>1</v>
      </c>
      <c r="H49">
        <v>1</v>
      </c>
      <c r="I49">
        <v>0</v>
      </c>
      <c r="J49">
        <v>0</v>
      </c>
      <c r="K49">
        <v>1</v>
      </c>
      <c r="L49">
        <v>1</v>
      </c>
      <c r="M49">
        <v>1</v>
      </c>
      <c r="N49">
        <v>1</v>
      </c>
      <c r="O49">
        <v>1</v>
      </c>
      <c r="P49" t="s">
        <v>71</v>
      </c>
    </row>
    <row r="50" spans="1:16" x14ac:dyDescent="0.25">
      <c r="A50" t="s">
        <v>59</v>
      </c>
      <c r="B50" t="s">
        <v>56</v>
      </c>
      <c r="C50">
        <v>0</v>
      </c>
      <c r="D50">
        <v>8.6996898651123047</v>
      </c>
      <c r="E50">
        <v>1</v>
      </c>
      <c r="F50">
        <v>1</v>
      </c>
      <c r="G50">
        <v>1</v>
      </c>
      <c r="H50">
        <v>1</v>
      </c>
      <c r="I50">
        <v>1</v>
      </c>
      <c r="J50">
        <v>1</v>
      </c>
      <c r="K50">
        <v>1</v>
      </c>
      <c r="L50">
        <v>1</v>
      </c>
      <c r="M50">
        <v>1</v>
      </c>
      <c r="N50">
        <v>1</v>
      </c>
      <c r="O50">
        <v>1</v>
      </c>
    </row>
    <row r="51" spans="1:16" x14ac:dyDescent="0.25">
      <c r="A51" t="s">
        <v>59</v>
      </c>
      <c r="B51" t="s">
        <v>58</v>
      </c>
      <c r="C51">
        <v>0</v>
      </c>
      <c r="D51">
        <v>5.5416696071624756</v>
      </c>
      <c r="E51">
        <v>1</v>
      </c>
      <c r="F51">
        <v>1</v>
      </c>
      <c r="G51">
        <v>1</v>
      </c>
      <c r="H51">
        <v>0</v>
      </c>
      <c r="I51">
        <v>1</v>
      </c>
      <c r="J51">
        <v>0</v>
      </c>
      <c r="K51">
        <v>1</v>
      </c>
      <c r="L51">
        <v>1</v>
      </c>
      <c r="M51">
        <v>1</v>
      </c>
      <c r="N51">
        <v>1</v>
      </c>
      <c r="O51">
        <v>1</v>
      </c>
      <c r="P51" t="s">
        <v>72</v>
      </c>
    </row>
    <row r="52" spans="1:16" x14ac:dyDescent="0.25">
      <c r="A52" t="s">
        <v>73</v>
      </c>
      <c r="B52" t="s">
        <v>17</v>
      </c>
      <c r="C52">
        <v>0</v>
      </c>
      <c r="D52">
        <v>9.0540766716003418</v>
      </c>
      <c r="E52">
        <v>1</v>
      </c>
      <c r="F52">
        <v>1</v>
      </c>
      <c r="G52">
        <v>1</v>
      </c>
      <c r="H52">
        <v>1</v>
      </c>
      <c r="I52">
        <v>1</v>
      </c>
      <c r="J52">
        <v>1</v>
      </c>
      <c r="K52">
        <v>1</v>
      </c>
      <c r="L52">
        <v>1</v>
      </c>
      <c r="M52">
        <v>1</v>
      </c>
      <c r="N52">
        <v>1</v>
      </c>
      <c r="O52">
        <v>1</v>
      </c>
    </row>
    <row r="53" spans="1:16" x14ac:dyDescent="0.25">
      <c r="A53" t="s">
        <v>73</v>
      </c>
      <c r="B53" t="s">
        <v>19</v>
      </c>
      <c r="C53">
        <v>0</v>
      </c>
      <c r="D53">
        <v>5.1160297393798828</v>
      </c>
      <c r="E53">
        <v>1</v>
      </c>
      <c r="F53">
        <v>1</v>
      </c>
      <c r="G53">
        <v>1</v>
      </c>
      <c r="H53">
        <v>1</v>
      </c>
      <c r="I53">
        <v>1</v>
      </c>
      <c r="J53">
        <v>0</v>
      </c>
      <c r="K53">
        <v>1</v>
      </c>
      <c r="L53">
        <v>1</v>
      </c>
      <c r="M53">
        <v>1</v>
      </c>
      <c r="N53">
        <v>1</v>
      </c>
      <c r="O53">
        <v>1</v>
      </c>
      <c r="P53" t="s">
        <v>74</v>
      </c>
    </row>
    <row r="54" spans="1:16" x14ac:dyDescent="0.25">
      <c r="A54" t="s">
        <v>73</v>
      </c>
      <c r="B54" t="s">
        <v>22</v>
      </c>
      <c r="C54">
        <v>0</v>
      </c>
      <c r="D54">
        <v>4.9281067848205566</v>
      </c>
      <c r="E54">
        <v>1</v>
      </c>
      <c r="F54">
        <v>1</v>
      </c>
      <c r="G54">
        <v>1</v>
      </c>
      <c r="H54">
        <v>1</v>
      </c>
      <c r="I54">
        <v>1</v>
      </c>
      <c r="J54">
        <v>0</v>
      </c>
      <c r="K54">
        <v>1</v>
      </c>
      <c r="L54">
        <v>1</v>
      </c>
      <c r="M54">
        <v>1</v>
      </c>
      <c r="N54">
        <v>1</v>
      </c>
      <c r="O54">
        <v>1</v>
      </c>
      <c r="P54" t="s">
        <v>75</v>
      </c>
    </row>
    <row r="55" spans="1:16" x14ac:dyDescent="0.25">
      <c r="A55" t="s">
        <v>73</v>
      </c>
      <c r="B55" t="s">
        <v>24</v>
      </c>
      <c r="C55">
        <v>0</v>
      </c>
      <c r="D55">
        <v>11.425700426101679</v>
      </c>
      <c r="E55">
        <v>1</v>
      </c>
      <c r="F55">
        <v>1</v>
      </c>
      <c r="G55">
        <v>1</v>
      </c>
      <c r="H55">
        <v>1</v>
      </c>
      <c r="I55">
        <v>1</v>
      </c>
      <c r="J55">
        <v>1</v>
      </c>
      <c r="K55">
        <v>0</v>
      </c>
      <c r="L55">
        <v>0</v>
      </c>
      <c r="M55">
        <v>1</v>
      </c>
      <c r="N55">
        <v>1</v>
      </c>
      <c r="O55">
        <v>1</v>
      </c>
      <c r="P55" t="s">
        <v>76</v>
      </c>
    </row>
    <row r="56" spans="1:16" x14ac:dyDescent="0.25">
      <c r="A56" t="s">
        <v>73</v>
      </c>
      <c r="B56" t="s">
        <v>25</v>
      </c>
      <c r="C56">
        <v>0</v>
      </c>
      <c r="D56">
        <v>14.068828821182249</v>
      </c>
      <c r="E56">
        <v>1</v>
      </c>
      <c r="F56">
        <v>1</v>
      </c>
      <c r="G56">
        <v>1</v>
      </c>
      <c r="H56">
        <v>1</v>
      </c>
      <c r="I56">
        <v>1</v>
      </c>
      <c r="J56">
        <v>0</v>
      </c>
      <c r="K56">
        <v>0</v>
      </c>
      <c r="L56">
        <v>0</v>
      </c>
      <c r="M56">
        <v>1</v>
      </c>
      <c r="N56">
        <v>1</v>
      </c>
      <c r="O56">
        <v>1</v>
      </c>
      <c r="P56" t="s">
        <v>77</v>
      </c>
    </row>
    <row r="57" spans="1:16" x14ac:dyDescent="0.25">
      <c r="A57" t="s">
        <v>73</v>
      </c>
      <c r="B57" t="s">
        <v>26</v>
      </c>
      <c r="C57">
        <v>0</v>
      </c>
      <c r="D57">
        <v>4.7569615840911874</v>
      </c>
      <c r="E57">
        <v>1</v>
      </c>
      <c r="F57">
        <v>1</v>
      </c>
      <c r="G57">
        <v>1</v>
      </c>
      <c r="H57">
        <v>1</v>
      </c>
      <c r="I57">
        <v>1</v>
      </c>
      <c r="J57">
        <v>1</v>
      </c>
      <c r="K57">
        <v>0</v>
      </c>
      <c r="L57">
        <v>1</v>
      </c>
      <c r="M57">
        <v>1</v>
      </c>
      <c r="N57">
        <v>1</v>
      </c>
      <c r="O57">
        <v>1</v>
      </c>
      <c r="P57" t="s">
        <v>78</v>
      </c>
    </row>
    <row r="58" spans="1:16" x14ac:dyDescent="0.25">
      <c r="A58" t="s">
        <v>73</v>
      </c>
      <c r="B58" t="s">
        <v>27</v>
      </c>
      <c r="C58">
        <v>0</v>
      </c>
      <c r="D58">
        <v>5.1005027294158944</v>
      </c>
      <c r="E58">
        <v>1</v>
      </c>
      <c r="F58">
        <v>1</v>
      </c>
      <c r="G58">
        <v>1</v>
      </c>
      <c r="H58">
        <v>1</v>
      </c>
      <c r="I58">
        <v>1</v>
      </c>
      <c r="J58">
        <v>0</v>
      </c>
      <c r="K58">
        <v>0</v>
      </c>
      <c r="L58">
        <v>1</v>
      </c>
      <c r="M58">
        <v>1</v>
      </c>
      <c r="N58">
        <v>1</v>
      </c>
      <c r="O58">
        <v>1</v>
      </c>
      <c r="P58" t="s">
        <v>79</v>
      </c>
    </row>
    <row r="59" spans="1:16" x14ac:dyDescent="0.25">
      <c r="A59" t="s">
        <v>73</v>
      </c>
      <c r="B59" t="s">
        <v>29</v>
      </c>
      <c r="C59">
        <v>0</v>
      </c>
      <c r="D59">
        <v>9.145681619644165</v>
      </c>
      <c r="E59">
        <v>1</v>
      </c>
      <c r="F59">
        <v>1</v>
      </c>
      <c r="G59">
        <v>1</v>
      </c>
      <c r="H59">
        <v>1</v>
      </c>
      <c r="I59">
        <v>1</v>
      </c>
      <c r="J59">
        <v>1</v>
      </c>
      <c r="K59">
        <v>1</v>
      </c>
      <c r="L59">
        <v>1</v>
      </c>
      <c r="M59">
        <v>1</v>
      </c>
      <c r="N59">
        <v>1</v>
      </c>
      <c r="O59">
        <v>1</v>
      </c>
    </row>
    <row r="60" spans="1:16" x14ac:dyDescent="0.25">
      <c r="A60" t="s">
        <v>73</v>
      </c>
      <c r="B60" t="s">
        <v>30</v>
      </c>
      <c r="C60">
        <v>0</v>
      </c>
      <c r="D60">
        <v>5.2248659133911133</v>
      </c>
      <c r="E60">
        <v>1</v>
      </c>
      <c r="F60">
        <v>1</v>
      </c>
      <c r="G60">
        <v>1</v>
      </c>
      <c r="H60">
        <v>1</v>
      </c>
      <c r="I60">
        <v>1</v>
      </c>
      <c r="J60">
        <v>0</v>
      </c>
      <c r="K60">
        <v>1</v>
      </c>
      <c r="L60">
        <v>1</v>
      </c>
      <c r="M60">
        <v>1</v>
      </c>
      <c r="N60">
        <v>1</v>
      </c>
      <c r="O60">
        <v>1</v>
      </c>
      <c r="P60" t="s">
        <v>80</v>
      </c>
    </row>
    <row r="61" spans="1:16" x14ac:dyDescent="0.25">
      <c r="A61" t="s">
        <v>73</v>
      </c>
      <c r="B61" t="s">
        <v>32</v>
      </c>
      <c r="C61">
        <v>0</v>
      </c>
      <c r="D61">
        <v>11.99337315559387</v>
      </c>
      <c r="E61">
        <v>1</v>
      </c>
      <c r="F61">
        <v>1</v>
      </c>
      <c r="G61">
        <v>1</v>
      </c>
      <c r="H61">
        <v>1</v>
      </c>
      <c r="I61">
        <v>1</v>
      </c>
      <c r="J61">
        <v>1</v>
      </c>
      <c r="K61">
        <v>0</v>
      </c>
      <c r="L61">
        <v>1</v>
      </c>
      <c r="M61">
        <v>1</v>
      </c>
      <c r="N61">
        <v>1</v>
      </c>
      <c r="O61">
        <v>1</v>
      </c>
      <c r="P61" t="s">
        <v>81</v>
      </c>
    </row>
    <row r="62" spans="1:16" x14ac:dyDescent="0.25">
      <c r="A62" t="s">
        <v>73</v>
      </c>
      <c r="B62" t="s">
        <v>33</v>
      </c>
      <c r="C62">
        <v>0</v>
      </c>
      <c r="D62">
        <v>10.62636494636536</v>
      </c>
      <c r="E62">
        <v>1</v>
      </c>
      <c r="F62">
        <v>1</v>
      </c>
      <c r="G62">
        <v>1</v>
      </c>
      <c r="H62">
        <v>1</v>
      </c>
      <c r="I62">
        <v>1</v>
      </c>
      <c r="J62">
        <v>1</v>
      </c>
      <c r="K62">
        <v>1</v>
      </c>
      <c r="L62">
        <v>1</v>
      </c>
      <c r="M62">
        <v>1</v>
      </c>
      <c r="N62">
        <v>1</v>
      </c>
      <c r="O62">
        <v>1</v>
      </c>
    </row>
    <row r="63" spans="1:16" x14ac:dyDescent="0.25">
      <c r="A63" t="s">
        <v>73</v>
      </c>
      <c r="B63" t="s">
        <v>35</v>
      </c>
      <c r="C63">
        <v>0</v>
      </c>
      <c r="D63">
        <v>5.4615137577056876</v>
      </c>
      <c r="E63">
        <v>1</v>
      </c>
      <c r="F63">
        <v>1</v>
      </c>
      <c r="G63">
        <v>1</v>
      </c>
      <c r="H63">
        <v>1</v>
      </c>
      <c r="I63">
        <v>1</v>
      </c>
      <c r="J63">
        <v>0</v>
      </c>
      <c r="K63">
        <v>0</v>
      </c>
      <c r="L63">
        <v>1</v>
      </c>
      <c r="M63">
        <v>1</v>
      </c>
      <c r="N63">
        <v>1</v>
      </c>
      <c r="O63">
        <v>1</v>
      </c>
      <c r="P63" t="s">
        <v>82</v>
      </c>
    </row>
    <row r="64" spans="1:16" x14ac:dyDescent="0.25">
      <c r="A64" t="s">
        <v>73</v>
      </c>
      <c r="B64" t="s">
        <v>37</v>
      </c>
      <c r="C64">
        <v>0</v>
      </c>
      <c r="D64">
        <v>9.4023849964141846</v>
      </c>
      <c r="E64">
        <v>1</v>
      </c>
      <c r="F64">
        <v>1</v>
      </c>
      <c r="G64">
        <v>1</v>
      </c>
      <c r="H64">
        <v>1</v>
      </c>
      <c r="I64">
        <v>1</v>
      </c>
      <c r="J64">
        <v>1</v>
      </c>
      <c r="K64">
        <v>1</v>
      </c>
      <c r="L64">
        <v>1</v>
      </c>
      <c r="M64">
        <v>1</v>
      </c>
      <c r="N64">
        <v>1</v>
      </c>
      <c r="O64">
        <v>1</v>
      </c>
    </row>
    <row r="65" spans="1:16" x14ac:dyDescent="0.25">
      <c r="A65" t="s">
        <v>73</v>
      </c>
      <c r="B65" t="s">
        <v>39</v>
      </c>
      <c r="C65">
        <v>0</v>
      </c>
      <c r="D65">
        <v>2.6679267883300781</v>
      </c>
      <c r="E65">
        <v>1</v>
      </c>
      <c r="F65">
        <v>1</v>
      </c>
      <c r="G65">
        <v>1</v>
      </c>
      <c r="H65">
        <v>1</v>
      </c>
      <c r="I65">
        <v>1</v>
      </c>
      <c r="J65">
        <v>1</v>
      </c>
      <c r="K65">
        <v>1</v>
      </c>
      <c r="L65">
        <v>1</v>
      </c>
      <c r="M65">
        <v>1</v>
      </c>
      <c r="N65">
        <v>1</v>
      </c>
      <c r="O65">
        <v>1</v>
      </c>
    </row>
    <row r="66" spans="1:16" x14ac:dyDescent="0.25">
      <c r="A66" t="s">
        <v>73</v>
      </c>
      <c r="B66" t="s">
        <v>41</v>
      </c>
      <c r="C66">
        <v>0</v>
      </c>
      <c r="D66">
        <v>4.7196543216705322</v>
      </c>
      <c r="E66">
        <v>1</v>
      </c>
      <c r="F66">
        <v>1</v>
      </c>
      <c r="G66">
        <v>1</v>
      </c>
      <c r="H66">
        <v>1</v>
      </c>
      <c r="I66">
        <v>1</v>
      </c>
      <c r="J66">
        <v>0</v>
      </c>
      <c r="K66">
        <v>1</v>
      </c>
      <c r="L66">
        <v>1</v>
      </c>
      <c r="M66">
        <v>1</v>
      </c>
      <c r="N66">
        <v>1</v>
      </c>
      <c r="O66">
        <v>1</v>
      </c>
      <c r="P66" t="s">
        <v>83</v>
      </c>
    </row>
    <row r="67" spans="1:16" x14ac:dyDescent="0.25">
      <c r="A67" t="s">
        <v>73</v>
      </c>
      <c r="B67" t="s">
        <v>43</v>
      </c>
      <c r="C67">
        <v>0</v>
      </c>
      <c r="D67">
        <v>10.272307157516479</v>
      </c>
      <c r="E67">
        <v>1</v>
      </c>
      <c r="F67">
        <v>1</v>
      </c>
      <c r="G67">
        <v>1</v>
      </c>
      <c r="H67">
        <v>1</v>
      </c>
      <c r="I67">
        <v>1</v>
      </c>
      <c r="J67">
        <v>1</v>
      </c>
      <c r="K67">
        <v>1</v>
      </c>
      <c r="L67">
        <v>1</v>
      </c>
      <c r="M67">
        <v>1</v>
      </c>
      <c r="N67">
        <v>1</v>
      </c>
      <c r="O67">
        <v>1</v>
      </c>
    </row>
    <row r="68" spans="1:16" x14ac:dyDescent="0.25">
      <c r="A68" t="s">
        <v>73</v>
      </c>
      <c r="B68" t="s">
        <v>45</v>
      </c>
      <c r="C68">
        <v>0</v>
      </c>
      <c r="D68">
        <v>6.6718971729278556</v>
      </c>
      <c r="E68">
        <v>0</v>
      </c>
      <c r="F68" t="s">
        <v>20</v>
      </c>
      <c r="G68" t="s">
        <v>20</v>
      </c>
      <c r="H68" t="s">
        <v>20</v>
      </c>
      <c r="I68" t="s">
        <v>20</v>
      </c>
      <c r="J68" t="s">
        <v>20</v>
      </c>
      <c r="K68" t="s">
        <v>20</v>
      </c>
      <c r="L68" t="s">
        <v>20</v>
      </c>
      <c r="M68" t="s">
        <v>20</v>
      </c>
      <c r="N68" t="s">
        <v>20</v>
      </c>
      <c r="O68" t="s">
        <v>20</v>
      </c>
      <c r="P68" t="s">
        <v>84</v>
      </c>
    </row>
    <row r="69" spans="1:16" x14ac:dyDescent="0.25">
      <c r="A69" t="s">
        <v>73</v>
      </c>
      <c r="B69" t="s">
        <v>47</v>
      </c>
      <c r="C69">
        <v>0</v>
      </c>
      <c r="D69">
        <v>9.4470522403717041</v>
      </c>
      <c r="E69">
        <v>1</v>
      </c>
      <c r="F69">
        <v>1</v>
      </c>
      <c r="G69">
        <v>1</v>
      </c>
      <c r="H69">
        <v>1</v>
      </c>
      <c r="I69">
        <v>1</v>
      </c>
      <c r="J69">
        <v>1</v>
      </c>
      <c r="K69">
        <v>1</v>
      </c>
      <c r="L69">
        <v>1</v>
      </c>
      <c r="M69">
        <v>1</v>
      </c>
      <c r="N69">
        <v>1</v>
      </c>
      <c r="O69">
        <v>1</v>
      </c>
    </row>
    <row r="70" spans="1:16" x14ac:dyDescent="0.25">
      <c r="A70" t="s">
        <v>73</v>
      </c>
      <c r="B70" t="s">
        <v>48</v>
      </c>
      <c r="C70">
        <v>0</v>
      </c>
      <c r="D70">
        <v>9.3639731407165527</v>
      </c>
      <c r="E70">
        <v>1</v>
      </c>
      <c r="F70">
        <v>1</v>
      </c>
      <c r="G70">
        <v>1</v>
      </c>
      <c r="H70">
        <v>1</v>
      </c>
      <c r="I70">
        <v>1</v>
      </c>
      <c r="J70">
        <v>1</v>
      </c>
      <c r="K70">
        <v>1</v>
      </c>
      <c r="L70">
        <v>1</v>
      </c>
      <c r="M70">
        <v>1</v>
      </c>
      <c r="N70">
        <v>1</v>
      </c>
      <c r="O70">
        <v>1</v>
      </c>
    </row>
    <row r="71" spans="1:16" x14ac:dyDescent="0.25">
      <c r="A71" t="s">
        <v>73</v>
      </c>
      <c r="B71" t="s">
        <v>49</v>
      </c>
      <c r="C71">
        <v>0</v>
      </c>
      <c r="D71">
        <v>5.5125753879547119</v>
      </c>
      <c r="E71">
        <v>1</v>
      </c>
      <c r="F71">
        <v>0</v>
      </c>
      <c r="G71">
        <v>1</v>
      </c>
      <c r="H71" t="s">
        <v>20</v>
      </c>
      <c r="I71">
        <v>1</v>
      </c>
      <c r="J71" t="s">
        <v>20</v>
      </c>
      <c r="K71">
        <v>1</v>
      </c>
      <c r="L71">
        <v>1</v>
      </c>
      <c r="M71">
        <v>1</v>
      </c>
      <c r="N71">
        <v>1</v>
      </c>
      <c r="O71">
        <v>1</v>
      </c>
      <c r="P71" t="s">
        <v>85</v>
      </c>
    </row>
    <row r="72" spans="1:16" x14ac:dyDescent="0.25">
      <c r="A72" t="s">
        <v>73</v>
      </c>
      <c r="B72" t="s">
        <v>51</v>
      </c>
      <c r="C72">
        <v>0</v>
      </c>
      <c r="D72">
        <v>10.79960465431213</v>
      </c>
      <c r="E72">
        <v>1</v>
      </c>
      <c r="F72">
        <v>1</v>
      </c>
      <c r="G72">
        <v>1</v>
      </c>
      <c r="H72">
        <v>1</v>
      </c>
      <c r="I72">
        <v>1</v>
      </c>
      <c r="J72">
        <v>0</v>
      </c>
      <c r="K72">
        <v>1</v>
      </c>
      <c r="L72">
        <v>1</v>
      </c>
      <c r="M72">
        <v>1</v>
      </c>
      <c r="N72">
        <v>1</v>
      </c>
      <c r="O72">
        <v>1</v>
      </c>
      <c r="P72" t="s">
        <v>86</v>
      </c>
    </row>
    <row r="73" spans="1:16" x14ac:dyDescent="0.25">
      <c r="A73" t="s">
        <v>73</v>
      </c>
      <c r="B73" t="s">
        <v>52</v>
      </c>
      <c r="C73">
        <v>0</v>
      </c>
      <c r="D73">
        <v>9.8867621421813965</v>
      </c>
      <c r="E73">
        <v>1</v>
      </c>
      <c r="F73">
        <v>1</v>
      </c>
      <c r="G73">
        <v>1</v>
      </c>
      <c r="H73">
        <v>1</v>
      </c>
      <c r="I73">
        <v>1</v>
      </c>
      <c r="J73">
        <v>1</v>
      </c>
      <c r="K73">
        <v>1</v>
      </c>
      <c r="L73">
        <v>1</v>
      </c>
      <c r="M73">
        <v>1</v>
      </c>
      <c r="N73">
        <v>1</v>
      </c>
      <c r="O73">
        <v>1</v>
      </c>
    </row>
    <row r="74" spans="1:16" x14ac:dyDescent="0.25">
      <c r="A74" t="s">
        <v>73</v>
      </c>
      <c r="B74" t="s">
        <v>54</v>
      </c>
      <c r="C74">
        <v>0</v>
      </c>
      <c r="D74">
        <v>11.688546180725099</v>
      </c>
      <c r="E74">
        <v>1</v>
      </c>
      <c r="F74">
        <v>1</v>
      </c>
      <c r="G74">
        <v>1</v>
      </c>
      <c r="H74">
        <v>0</v>
      </c>
      <c r="I74">
        <v>1</v>
      </c>
      <c r="J74">
        <v>0</v>
      </c>
      <c r="K74">
        <v>1</v>
      </c>
      <c r="L74">
        <v>1</v>
      </c>
      <c r="M74">
        <v>1</v>
      </c>
      <c r="N74">
        <v>1</v>
      </c>
      <c r="O74">
        <v>1</v>
      </c>
      <c r="P74" t="s">
        <v>87</v>
      </c>
    </row>
    <row r="75" spans="1:16" x14ac:dyDescent="0.25">
      <c r="A75" t="s">
        <v>73</v>
      </c>
      <c r="B75" t="s">
        <v>56</v>
      </c>
      <c r="C75">
        <v>0</v>
      </c>
      <c r="D75">
        <v>5.3393628597259521</v>
      </c>
      <c r="E75">
        <v>1</v>
      </c>
      <c r="F75">
        <v>0</v>
      </c>
      <c r="G75">
        <v>1</v>
      </c>
      <c r="H75" t="s">
        <v>20</v>
      </c>
      <c r="I75">
        <v>1</v>
      </c>
      <c r="J75" t="s">
        <v>20</v>
      </c>
      <c r="K75">
        <v>1</v>
      </c>
      <c r="L75">
        <v>1</v>
      </c>
      <c r="M75">
        <v>1</v>
      </c>
      <c r="N75">
        <v>1</v>
      </c>
      <c r="O75">
        <v>1</v>
      </c>
      <c r="P75" t="s">
        <v>88</v>
      </c>
    </row>
    <row r="76" spans="1:16" x14ac:dyDescent="0.25">
      <c r="A76" t="s">
        <v>73</v>
      </c>
      <c r="B76" t="s">
        <v>58</v>
      </c>
      <c r="C76">
        <v>0</v>
      </c>
      <c r="D76">
        <v>8.6489400863647461</v>
      </c>
      <c r="E76">
        <v>1</v>
      </c>
      <c r="F76">
        <v>1</v>
      </c>
      <c r="G76">
        <v>1</v>
      </c>
      <c r="H76">
        <v>1</v>
      </c>
      <c r="I76">
        <v>1</v>
      </c>
      <c r="J76">
        <v>1</v>
      </c>
      <c r="K76">
        <v>1</v>
      </c>
      <c r="L76">
        <v>1</v>
      </c>
      <c r="M76">
        <v>1</v>
      </c>
      <c r="N76">
        <v>1</v>
      </c>
      <c r="O76">
        <v>1</v>
      </c>
    </row>
    <row r="77" spans="1:16" x14ac:dyDescent="0.25">
      <c r="A77" t="s">
        <v>73</v>
      </c>
      <c r="B77" t="s">
        <v>89</v>
      </c>
      <c r="C77">
        <v>0</v>
      </c>
      <c r="D77">
        <v>12.725410938262939</v>
      </c>
      <c r="E77">
        <v>0</v>
      </c>
      <c r="F77" t="s">
        <v>20</v>
      </c>
      <c r="G77" t="s">
        <v>20</v>
      </c>
      <c r="H77" t="s">
        <v>20</v>
      </c>
      <c r="I77" t="s">
        <v>20</v>
      </c>
      <c r="J77" t="s">
        <v>20</v>
      </c>
      <c r="K77" t="s">
        <v>20</v>
      </c>
      <c r="L77" t="s">
        <v>20</v>
      </c>
      <c r="M77" t="s">
        <v>20</v>
      </c>
      <c r="N77" t="s">
        <v>20</v>
      </c>
      <c r="O77" t="s">
        <v>20</v>
      </c>
      <c r="P77" t="s">
        <v>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10.96677136421204</v>
      </c>
      <c r="E2">
        <v>1</v>
      </c>
      <c r="F2">
        <v>1</v>
      </c>
      <c r="G2">
        <v>1</v>
      </c>
      <c r="H2">
        <v>1</v>
      </c>
      <c r="I2">
        <v>1</v>
      </c>
      <c r="J2">
        <v>0</v>
      </c>
      <c r="K2">
        <v>1</v>
      </c>
      <c r="L2">
        <v>1</v>
      </c>
      <c r="M2">
        <v>1</v>
      </c>
      <c r="N2">
        <v>1</v>
      </c>
      <c r="O2">
        <v>1</v>
      </c>
      <c r="P2" t="s">
        <v>91</v>
      </c>
    </row>
    <row r="3" spans="1:16" x14ac:dyDescent="0.25">
      <c r="A3" t="s">
        <v>16</v>
      </c>
      <c r="B3" t="s">
        <v>19</v>
      </c>
      <c r="C3">
        <v>0</v>
      </c>
      <c r="D3">
        <v>12.90035963058472</v>
      </c>
      <c r="E3">
        <v>1</v>
      </c>
      <c r="F3">
        <v>0</v>
      </c>
      <c r="G3">
        <v>1</v>
      </c>
      <c r="H3" t="s">
        <v>20</v>
      </c>
      <c r="I3">
        <v>1</v>
      </c>
      <c r="J3" t="s">
        <v>20</v>
      </c>
      <c r="K3">
        <v>1</v>
      </c>
      <c r="L3">
        <v>1</v>
      </c>
      <c r="M3">
        <v>1</v>
      </c>
      <c r="N3">
        <v>1</v>
      </c>
      <c r="O3">
        <v>1</v>
      </c>
      <c r="P3" t="s">
        <v>92</v>
      </c>
    </row>
    <row r="4" spans="1:16" x14ac:dyDescent="0.25">
      <c r="A4" t="s">
        <v>16</v>
      </c>
      <c r="B4" t="s">
        <v>22</v>
      </c>
      <c r="C4">
        <v>0</v>
      </c>
      <c r="D4">
        <v>7.8134183883666992</v>
      </c>
      <c r="E4">
        <v>1</v>
      </c>
      <c r="F4">
        <v>1</v>
      </c>
      <c r="G4">
        <v>1</v>
      </c>
      <c r="H4">
        <v>1</v>
      </c>
      <c r="I4">
        <v>1</v>
      </c>
      <c r="J4">
        <v>1</v>
      </c>
      <c r="K4">
        <v>0</v>
      </c>
      <c r="L4">
        <v>0</v>
      </c>
      <c r="M4">
        <v>0</v>
      </c>
      <c r="N4">
        <v>1</v>
      </c>
      <c r="O4">
        <v>1</v>
      </c>
      <c r="P4" t="s">
        <v>93</v>
      </c>
    </row>
    <row r="5" spans="1:16" x14ac:dyDescent="0.25">
      <c r="A5" t="s">
        <v>16</v>
      </c>
      <c r="B5" t="s">
        <v>24</v>
      </c>
      <c r="C5">
        <v>0</v>
      </c>
      <c r="D5">
        <v>2.8851640224456792</v>
      </c>
      <c r="E5">
        <v>1</v>
      </c>
      <c r="F5">
        <v>1</v>
      </c>
      <c r="G5">
        <v>1</v>
      </c>
      <c r="H5">
        <v>1</v>
      </c>
      <c r="I5">
        <v>1</v>
      </c>
      <c r="J5">
        <v>1</v>
      </c>
      <c r="K5">
        <v>1</v>
      </c>
      <c r="L5">
        <v>1</v>
      </c>
      <c r="M5">
        <v>1</v>
      </c>
      <c r="N5">
        <v>1</v>
      </c>
      <c r="O5">
        <v>1</v>
      </c>
    </row>
    <row r="6" spans="1:16" x14ac:dyDescent="0.25">
      <c r="A6" t="s">
        <v>16</v>
      </c>
      <c r="B6" t="s">
        <v>25</v>
      </c>
      <c r="C6">
        <v>0</v>
      </c>
      <c r="D6">
        <v>2.7602148056030269</v>
      </c>
      <c r="E6">
        <v>1</v>
      </c>
      <c r="F6">
        <v>1</v>
      </c>
      <c r="G6">
        <v>1</v>
      </c>
      <c r="H6">
        <v>1</v>
      </c>
      <c r="I6">
        <v>1</v>
      </c>
      <c r="J6">
        <v>1</v>
      </c>
      <c r="K6">
        <v>1</v>
      </c>
      <c r="L6">
        <v>1</v>
      </c>
      <c r="M6">
        <v>1</v>
      </c>
      <c r="N6">
        <v>1</v>
      </c>
      <c r="O6">
        <v>1</v>
      </c>
    </row>
    <row r="7" spans="1:16" x14ac:dyDescent="0.25">
      <c r="A7" t="s">
        <v>16</v>
      </c>
      <c r="B7" t="s">
        <v>26</v>
      </c>
      <c r="C7">
        <v>0</v>
      </c>
      <c r="D7">
        <v>9.5751101970672607</v>
      </c>
      <c r="E7">
        <v>1</v>
      </c>
      <c r="F7">
        <v>1</v>
      </c>
      <c r="G7">
        <v>1</v>
      </c>
      <c r="H7">
        <v>1</v>
      </c>
      <c r="I7">
        <v>1</v>
      </c>
      <c r="J7">
        <v>1</v>
      </c>
      <c r="K7">
        <v>1</v>
      </c>
      <c r="L7">
        <v>1</v>
      </c>
      <c r="M7">
        <v>1</v>
      </c>
      <c r="N7">
        <v>1</v>
      </c>
      <c r="O7">
        <v>1</v>
      </c>
    </row>
    <row r="8" spans="1:16" x14ac:dyDescent="0.25">
      <c r="A8" t="s">
        <v>16</v>
      </c>
      <c r="B8" t="s">
        <v>27</v>
      </c>
      <c r="C8">
        <v>0</v>
      </c>
      <c r="D8">
        <v>7.8254947662353516</v>
      </c>
      <c r="E8">
        <v>1</v>
      </c>
      <c r="F8">
        <v>1</v>
      </c>
      <c r="G8">
        <v>1</v>
      </c>
      <c r="H8">
        <v>1</v>
      </c>
      <c r="I8">
        <v>1</v>
      </c>
      <c r="J8">
        <v>1</v>
      </c>
      <c r="K8">
        <v>0</v>
      </c>
      <c r="L8">
        <v>1</v>
      </c>
      <c r="M8">
        <v>1</v>
      </c>
      <c r="N8">
        <v>1</v>
      </c>
      <c r="O8">
        <v>1</v>
      </c>
      <c r="P8" t="s">
        <v>94</v>
      </c>
    </row>
    <row r="9" spans="1:16" x14ac:dyDescent="0.25">
      <c r="A9" t="s">
        <v>16</v>
      </c>
      <c r="B9" t="s">
        <v>29</v>
      </c>
      <c r="C9">
        <v>0</v>
      </c>
      <c r="D9">
        <v>12.194606304168699</v>
      </c>
      <c r="E9">
        <v>1</v>
      </c>
      <c r="F9">
        <v>1</v>
      </c>
      <c r="G9">
        <v>1</v>
      </c>
      <c r="H9">
        <v>1</v>
      </c>
      <c r="I9">
        <v>1</v>
      </c>
      <c r="J9">
        <v>0</v>
      </c>
      <c r="K9">
        <v>1</v>
      </c>
      <c r="L9">
        <v>1</v>
      </c>
      <c r="M9">
        <v>1</v>
      </c>
      <c r="N9">
        <v>1</v>
      </c>
      <c r="O9">
        <v>1</v>
      </c>
      <c r="P9" t="s">
        <v>95</v>
      </c>
    </row>
    <row r="10" spans="1:16" x14ac:dyDescent="0.25">
      <c r="A10" t="s">
        <v>16</v>
      </c>
      <c r="B10" t="s">
        <v>30</v>
      </c>
      <c r="C10">
        <v>0</v>
      </c>
      <c r="D10">
        <v>6.3747038841247559</v>
      </c>
      <c r="E10">
        <v>1</v>
      </c>
      <c r="F10">
        <v>1</v>
      </c>
      <c r="G10">
        <v>1</v>
      </c>
      <c r="H10">
        <v>1</v>
      </c>
      <c r="I10">
        <v>1</v>
      </c>
      <c r="J10">
        <v>0</v>
      </c>
      <c r="K10">
        <v>0</v>
      </c>
      <c r="L10">
        <v>1</v>
      </c>
      <c r="M10">
        <v>1</v>
      </c>
      <c r="N10">
        <v>1</v>
      </c>
      <c r="O10">
        <v>1</v>
      </c>
      <c r="P10" t="s">
        <v>96</v>
      </c>
    </row>
    <row r="11" spans="1:16" x14ac:dyDescent="0.25">
      <c r="A11" t="s">
        <v>16</v>
      </c>
      <c r="B11" t="s">
        <v>32</v>
      </c>
      <c r="C11">
        <v>0</v>
      </c>
      <c r="D11">
        <v>2.8708148002624512</v>
      </c>
      <c r="E11">
        <v>1</v>
      </c>
      <c r="F11">
        <v>1</v>
      </c>
      <c r="G11">
        <v>1</v>
      </c>
      <c r="H11">
        <v>1</v>
      </c>
      <c r="I11">
        <v>1</v>
      </c>
      <c r="J11">
        <v>1</v>
      </c>
      <c r="K11">
        <v>1</v>
      </c>
      <c r="L11">
        <v>1</v>
      </c>
      <c r="M11">
        <v>1</v>
      </c>
      <c r="N11">
        <v>1</v>
      </c>
      <c r="O11">
        <v>1</v>
      </c>
    </row>
    <row r="12" spans="1:16" x14ac:dyDescent="0.25">
      <c r="A12" t="s">
        <v>16</v>
      </c>
      <c r="B12" t="s">
        <v>33</v>
      </c>
      <c r="C12">
        <v>0</v>
      </c>
      <c r="D12">
        <v>9.4785137176513672</v>
      </c>
      <c r="E12">
        <v>1</v>
      </c>
      <c r="F12">
        <v>1</v>
      </c>
      <c r="G12">
        <v>1</v>
      </c>
      <c r="H12">
        <v>1</v>
      </c>
      <c r="I12">
        <v>1</v>
      </c>
      <c r="J12">
        <v>1</v>
      </c>
      <c r="K12">
        <v>0</v>
      </c>
      <c r="L12">
        <v>1</v>
      </c>
      <c r="M12">
        <v>1</v>
      </c>
      <c r="N12">
        <v>1</v>
      </c>
      <c r="O12">
        <v>1</v>
      </c>
      <c r="P12" t="s">
        <v>97</v>
      </c>
    </row>
    <row r="13" spans="1:16" x14ac:dyDescent="0.25">
      <c r="A13" t="s">
        <v>16</v>
      </c>
      <c r="B13" t="s">
        <v>35</v>
      </c>
      <c r="C13">
        <v>0</v>
      </c>
      <c r="D13">
        <v>4.7401688098907471</v>
      </c>
      <c r="E13">
        <v>1</v>
      </c>
      <c r="F13">
        <v>1</v>
      </c>
      <c r="G13">
        <v>1</v>
      </c>
      <c r="H13">
        <v>1</v>
      </c>
      <c r="I13">
        <v>1</v>
      </c>
      <c r="J13">
        <v>0</v>
      </c>
      <c r="K13">
        <v>1</v>
      </c>
      <c r="L13">
        <v>1</v>
      </c>
      <c r="M13">
        <v>1</v>
      </c>
      <c r="N13">
        <v>1</v>
      </c>
      <c r="O13">
        <v>1</v>
      </c>
      <c r="P13" t="s">
        <v>98</v>
      </c>
    </row>
    <row r="14" spans="1:16" x14ac:dyDescent="0.25">
      <c r="A14" t="s">
        <v>16</v>
      </c>
      <c r="B14" t="s">
        <v>37</v>
      </c>
      <c r="C14">
        <v>0</v>
      </c>
      <c r="D14">
        <v>12.01970195770264</v>
      </c>
      <c r="E14">
        <v>1</v>
      </c>
      <c r="F14">
        <v>1</v>
      </c>
      <c r="G14">
        <v>1</v>
      </c>
      <c r="H14">
        <v>1</v>
      </c>
      <c r="I14">
        <v>1</v>
      </c>
      <c r="J14">
        <v>0</v>
      </c>
      <c r="K14">
        <v>1</v>
      </c>
      <c r="L14">
        <v>1</v>
      </c>
      <c r="M14">
        <v>1</v>
      </c>
      <c r="N14">
        <v>1</v>
      </c>
      <c r="O14">
        <v>1</v>
      </c>
      <c r="P14" t="s">
        <v>99</v>
      </c>
    </row>
    <row r="15" spans="1:16" x14ac:dyDescent="0.25">
      <c r="A15" t="s">
        <v>16</v>
      </c>
      <c r="B15" t="s">
        <v>39</v>
      </c>
      <c r="C15">
        <v>0</v>
      </c>
      <c r="D15">
        <v>12.12131834030151</v>
      </c>
      <c r="E15">
        <v>1</v>
      </c>
      <c r="F15">
        <v>1</v>
      </c>
      <c r="G15">
        <v>1</v>
      </c>
      <c r="H15">
        <v>1</v>
      </c>
      <c r="I15">
        <v>1</v>
      </c>
      <c r="J15">
        <v>0</v>
      </c>
      <c r="K15">
        <v>1</v>
      </c>
      <c r="L15">
        <v>1</v>
      </c>
      <c r="M15">
        <v>1</v>
      </c>
      <c r="N15">
        <v>1</v>
      </c>
      <c r="O15">
        <v>1</v>
      </c>
      <c r="P15" t="s">
        <v>100</v>
      </c>
    </row>
    <row r="16" spans="1:16" x14ac:dyDescent="0.25">
      <c r="A16" t="s">
        <v>16</v>
      </c>
      <c r="B16" t="s">
        <v>41</v>
      </c>
      <c r="C16">
        <v>0</v>
      </c>
      <c r="D16">
        <v>10.79741334915161</v>
      </c>
      <c r="E16">
        <v>1</v>
      </c>
      <c r="F16">
        <v>1</v>
      </c>
      <c r="G16">
        <v>0</v>
      </c>
      <c r="H16" t="s">
        <v>20</v>
      </c>
      <c r="I16">
        <v>1</v>
      </c>
      <c r="J16">
        <v>1</v>
      </c>
      <c r="K16">
        <v>1</v>
      </c>
      <c r="L16">
        <v>1</v>
      </c>
      <c r="M16">
        <v>1</v>
      </c>
      <c r="N16">
        <v>1</v>
      </c>
      <c r="O16">
        <v>1</v>
      </c>
      <c r="P16" t="s">
        <v>101</v>
      </c>
    </row>
    <row r="17" spans="1:16" x14ac:dyDescent="0.25">
      <c r="A17" t="s">
        <v>16</v>
      </c>
      <c r="B17" t="s">
        <v>43</v>
      </c>
      <c r="C17">
        <v>0</v>
      </c>
      <c r="D17">
        <v>11.104953765869141</v>
      </c>
      <c r="E17">
        <v>0</v>
      </c>
      <c r="F17" t="s">
        <v>20</v>
      </c>
      <c r="G17" t="s">
        <v>20</v>
      </c>
      <c r="H17" t="s">
        <v>20</v>
      </c>
      <c r="I17" t="s">
        <v>20</v>
      </c>
      <c r="J17" t="s">
        <v>20</v>
      </c>
      <c r="K17" t="s">
        <v>20</v>
      </c>
      <c r="L17" t="s">
        <v>20</v>
      </c>
      <c r="M17" t="s">
        <v>20</v>
      </c>
      <c r="N17" t="s">
        <v>20</v>
      </c>
      <c r="O17" t="s">
        <v>20</v>
      </c>
      <c r="P17" t="s">
        <v>102</v>
      </c>
    </row>
    <row r="18" spans="1:16" x14ac:dyDescent="0.25">
      <c r="A18" t="s">
        <v>16</v>
      </c>
      <c r="B18" t="s">
        <v>45</v>
      </c>
      <c r="C18">
        <v>0</v>
      </c>
      <c r="D18">
        <v>10.181165456771851</v>
      </c>
      <c r="E18">
        <v>0</v>
      </c>
      <c r="F18" t="s">
        <v>20</v>
      </c>
      <c r="G18" t="s">
        <v>20</v>
      </c>
      <c r="H18" t="s">
        <v>20</v>
      </c>
      <c r="I18" t="s">
        <v>20</v>
      </c>
      <c r="J18" t="s">
        <v>20</v>
      </c>
      <c r="K18" t="s">
        <v>20</v>
      </c>
      <c r="L18" t="s">
        <v>20</v>
      </c>
      <c r="M18" t="s">
        <v>20</v>
      </c>
      <c r="N18" t="s">
        <v>20</v>
      </c>
      <c r="O18" t="s">
        <v>20</v>
      </c>
      <c r="P18" t="s">
        <v>103</v>
      </c>
    </row>
    <row r="19" spans="1:16" x14ac:dyDescent="0.25">
      <c r="A19" t="s">
        <v>16</v>
      </c>
      <c r="B19" t="s">
        <v>47</v>
      </c>
      <c r="C19">
        <v>0</v>
      </c>
      <c r="D19">
        <v>11.302903890609739</v>
      </c>
      <c r="E19">
        <v>1</v>
      </c>
      <c r="F19">
        <v>1</v>
      </c>
      <c r="G19">
        <v>1</v>
      </c>
      <c r="H19">
        <v>1</v>
      </c>
      <c r="I19">
        <v>1</v>
      </c>
      <c r="J19">
        <v>1</v>
      </c>
      <c r="K19">
        <v>1</v>
      </c>
      <c r="L19">
        <v>1</v>
      </c>
      <c r="M19">
        <v>1</v>
      </c>
      <c r="N19">
        <v>1</v>
      </c>
      <c r="O19">
        <v>1</v>
      </c>
    </row>
    <row r="20" spans="1:16" x14ac:dyDescent="0.25">
      <c r="A20" t="s">
        <v>16</v>
      </c>
      <c r="B20" t="s">
        <v>48</v>
      </c>
      <c r="C20">
        <v>0</v>
      </c>
      <c r="D20">
        <v>9.5451762676239014</v>
      </c>
      <c r="E20">
        <v>1</v>
      </c>
      <c r="F20">
        <v>1</v>
      </c>
      <c r="G20">
        <v>1</v>
      </c>
      <c r="H20">
        <v>1</v>
      </c>
      <c r="I20">
        <v>1</v>
      </c>
      <c r="J20">
        <v>1</v>
      </c>
      <c r="K20">
        <v>1</v>
      </c>
      <c r="L20">
        <v>1</v>
      </c>
      <c r="M20">
        <v>1</v>
      </c>
      <c r="N20">
        <v>1</v>
      </c>
      <c r="O20">
        <v>1</v>
      </c>
    </row>
    <row r="21" spans="1:16" x14ac:dyDescent="0.25">
      <c r="A21" t="s">
        <v>16</v>
      </c>
      <c r="B21" t="s">
        <v>49</v>
      </c>
      <c r="C21">
        <v>0</v>
      </c>
      <c r="D21">
        <v>12.94207763671875</v>
      </c>
      <c r="E21">
        <v>0</v>
      </c>
      <c r="F21" t="s">
        <v>20</v>
      </c>
      <c r="G21" t="s">
        <v>20</v>
      </c>
      <c r="H21" t="s">
        <v>20</v>
      </c>
      <c r="I21" t="s">
        <v>20</v>
      </c>
      <c r="J21" t="s">
        <v>20</v>
      </c>
      <c r="K21" t="s">
        <v>20</v>
      </c>
      <c r="L21" t="s">
        <v>20</v>
      </c>
      <c r="M21" t="s">
        <v>20</v>
      </c>
      <c r="N21" t="s">
        <v>20</v>
      </c>
      <c r="O21" t="s">
        <v>20</v>
      </c>
      <c r="P21" t="s">
        <v>104</v>
      </c>
    </row>
    <row r="22" spans="1:16" x14ac:dyDescent="0.25">
      <c r="A22" t="s">
        <v>16</v>
      </c>
      <c r="B22" t="s">
        <v>51</v>
      </c>
      <c r="C22">
        <v>0</v>
      </c>
      <c r="D22">
        <v>2.880387544631958</v>
      </c>
      <c r="E22">
        <v>1</v>
      </c>
      <c r="F22">
        <v>1</v>
      </c>
      <c r="G22">
        <v>1</v>
      </c>
      <c r="H22">
        <v>1</v>
      </c>
      <c r="I22">
        <v>1</v>
      </c>
      <c r="J22">
        <v>1</v>
      </c>
      <c r="K22">
        <v>1</v>
      </c>
      <c r="L22">
        <v>1</v>
      </c>
      <c r="M22">
        <v>1</v>
      </c>
      <c r="N22">
        <v>1</v>
      </c>
      <c r="O22">
        <v>1</v>
      </c>
    </row>
    <row r="23" spans="1:16" x14ac:dyDescent="0.25">
      <c r="A23" t="s">
        <v>16</v>
      </c>
      <c r="B23" t="s">
        <v>52</v>
      </c>
      <c r="C23">
        <v>0</v>
      </c>
      <c r="D23">
        <v>12.04306030273438</v>
      </c>
      <c r="E23">
        <v>1</v>
      </c>
      <c r="F23">
        <v>0</v>
      </c>
      <c r="G23">
        <v>1</v>
      </c>
      <c r="H23" t="s">
        <v>20</v>
      </c>
      <c r="I23">
        <v>1</v>
      </c>
      <c r="J23" t="s">
        <v>20</v>
      </c>
      <c r="K23">
        <v>1</v>
      </c>
      <c r="L23">
        <v>1</v>
      </c>
      <c r="M23">
        <v>1</v>
      </c>
      <c r="N23">
        <v>1</v>
      </c>
      <c r="O23">
        <v>1</v>
      </c>
      <c r="P23" t="s">
        <v>105</v>
      </c>
    </row>
    <row r="24" spans="1:16" x14ac:dyDescent="0.25">
      <c r="A24" t="s">
        <v>16</v>
      </c>
      <c r="B24" t="s">
        <v>54</v>
      </c>
      <c r="C24">
        <v>0</v>
      </c>
      <c r="D24">
        <v>7.6853599548339844</v>
      </c>
      <c r="E24">
        <v>0</v>
      </c>
      <c r="F24" t="s">
        <v>20</v>
      </c>
      <c r="G24" t="s">
        <v>20</v>
      </c>
      <c r="H24" t="s">
        <v>20</v>
      </c>
      <c r="I24" t="s">
        <v>20</v>
      </c>
      <c r="J24" t="s">
        <v>20</v>
      </c>
      <c r="K24" t="s">
        <v>20</v>
      </c>
      <c r="L24" t="s">
        <v>20</v>
      </c>
      <c r="M24" t="s">
        <v>20</v>
      </c>
      <c r="N24" t="s">
        <v>20</v>
      </c>
      <c r="O24" t="s">
        <v>20</v>
      </c>
      <c r="P24" t="s">
        <v>106</v>
      </c>
    </row>
    <row r="25" spans="1:16" x14ac:dyDescent="0.25">
      <c r="A25" t="s">
        <v>16</v>
      </c>
      <c r="B25" t="s">
        <v>56</v>
      </c>
      <c r="C25">
        <v>0</v>
      </c>
      <c r="D25">
        <v>10.48190402984619</v>
      </c>
      <c r="E25">
        <v>1</v>
      </c>
      <c r="F25">
        <v>1</v>
      </c>
      <c r="G25">
        <v>1</v>
      </c>
      <c r="H25">
        <v>1</v>
      </c>
      <c r="I25">
        <v>1</v>
      </c>
      <c r="J25">
        <v>0</v>
      </c>
      <c r="K25">
        <v>1</v>
      </c>
      <c r="L25">
        <v>1</v>
      </c>
      <c r="M25">
        <v>1</v>
      </c>
      <c r="N25">
        <v>1</v>
      </c>
      <c r="O25">
        <v>1</v>
      </c>
      <c r="P25" t="s">
        <v>107</v>
      </c>
    </row>
    <row r="26" spans="1:16" x14ac:dyDescent="0.25">
      <c r="A26" t="s">
        <v>16</v>
      </c>
      <c r="B26" t="s">
        <v>58</v>
      </c>
      <c r="C26">
        <v>0</v>
      </c>
      <c r="D26">
        <v>2.8732783794403081</v>
      </c>
      <c r="E26">
        <v>1</v>
      </c>
      <c r="F26">
        <v>1</v>
      </c>
      <c r="G26">
        <v>1</v>
      </c>
      <c r="H26">
        <v>1</v>
      </c>
      <c r="I26">
        <v>1</v>
      </c>
      <c r="J26">
        <v>1</v>
      </c>
      <c r="K26">
        <v>1</v>
      </c>
      <c r="L26">
        <v>1</v>
      </c>
      <c r="M26">
        <v>1</v>
      </c>
      <c r="N26">
        <v>1</v>
      </c>
      <c r="O26">
        <v>1</v>
      </c>
    </row>
    <row r="27" spans="1:16" x14ac:dyDescent="0.25">
      <c r="A27" t="s">
        <v>59</v>
      </c>
      <c r="B27" t="s">
        <v>17</v>
      </c>
      <c r="C27">
        <v>0</v>
      </c>
      <c r="D27">
        <v>12.361275672912599</v>
      </c>
      <c r="E27">
        <v>1</v>
      </c>
      <c r="F27">
        <v>0</v>
      </c>
      <c r="G27">
        <v>1</v>
      </c>
      <c r="H27" t="s">
        <v>20</v>
      </c>
      <c r="I27">
        <v>1</v>
      </c>
      <c r="J27" t="s">
        <v>20</v>
      </c>
      <c r="K27">
        <v>1</v>
      </c>
      <c r="L27">
        <v>1</v>
      </c>
      <c r="M27">
        <v>1</v>
      </c>
      <c r="N27">
        <v>1</v>
      </c>
      <c r="O27">
        <v>1</v>
      </c>
      <c r="P27" t="s">
        <v>108</v>
      </c>
    </row>
    <row r="28" spans="1:16" x14ac:dyDescent="0.25">
      <c r="A28" t="s">
        <v>59</v>
      </c>
      <c r="B28" t="s">
        <v>19</v>
      </c>
      <c r="C28">
        <v>0</v>
      </c>
      <c r="D28">
        <v>10.24775671958923</v>
      </c>
      <c r="E28">
        <v>1</v>
      </c>
      <c r="F28">
        <v>1</v>
      </c>
      <c r="G28">
        <v>1</v>
      </c>
      <c r="H28">
        <v>1</v>
      </c>
      <c r="I28">
        <v>1</v>
      </c>
      <c r="J28">
        <v>1</v>
      </c>
      <c r="K28">
        <v>1</v>
      </c>
      <c r="L28">
        <v>1</v>
      </c>
      <c r="M28">
        <v>1</v>
      </c>
      <c r="N28">
        <v>1</v>
      </c>
      <c r="O28">
        <v>1</v>
      </c>
    </row>
    <row r="29" spans="1:16" x14ac:dyDescent="0.25">
      <c r="A29" t="s">
        <v>59</v>
      </c>
      <c r="B29" t="s">
        <v>22</v>
      </c>
      <c r="C29">
        <v>0</v>
      </c>
      <c r="D29">
        <v>10.90976119041443</v>
      </c>
      <c r="E29">
        <v>1</v>
      </c>
      <c r="F29">
        <v>1</v>
      </c>
      <c r="G29">
        <v>1</v>
      </c>
      <c r="H29">
        <v>1</v>
      </c>
      <c r="I29">
        <v>1</v>
      </c>
      <c r="J29">
        <v>1</v>
      </c>
      <c r="K29">
        <v>0</v>
      </c>
      <c r="L29">
        <v>1</v>
      </c>
      <c r="M29">
        <v>1</v>
      </c>
      <c r="N29">
        <v>1</v>
      </c>
      <c r="O29">
        <v>1</v>
      </c>
      <c r="P29" t="s">
        <v>109</v>
      </c>
    </row>
    <row r="30" spans="1:16" x14ac:dyDescent="0.25">
      <c r="A30" t="s">
        <v>59</v>
      </c>
      <c r="B30" t="s">
        <v>24</v>
      </c>
      <c r="C30">
        <v>0</v>
      </c>
      <c r="D30">
        <v>12.445494413375849</v>
      </c>
      <c r="E30">
        <v>1</v>
      </c>
      <c r="F30">
        <v>1</v>
      </c>
      <c r="G30">
        <v>1</v>
      </c>
      <c r="H30">
        <v>1</v>
      </c>
      <c r="I30">
        <v>1</v>
      </c>
      <c r="J30">
        <v>0</v>
      </c>
      <c r="K30">
        <v>1</v>
      </c>
      <c r="L30">
        <v>1</v>
      </c>
      <c r="M30">
        <v>1</v>
      </c>
      <c r="N30">
        <v>1</v>
      </c>
      <c r="O30">
        <v>1</v>
      </c>
      <c r="P30" t="s">
        <v>110</v>
      </c>
    </row>
    <row r="31" spans="1:16" x14ac:dyDescent="0.25">
      <c r="A31" t="s">
        <v>59</v>
      </c>
      <c r="B31" t="s">
        <v>25</v>
      </c>
      <c r="C31">
        <v>0</v>
      </c>
      <c r="D31">
        <v>9.3443689346313477</v>
      </c>
      <c r="E31">
        <v>1</v>
      </c>
      <c r="F31">
        <v>1</v>
      </c>
      <c r="G31">
        <v>1</v>
      </c>
      <c r="H31">
        <v>1</v>
      </c>
      <c r="I31">
        <v>1</v>
      </c>
      <c r="J31">
        <v>1</v>
      </c>
      <c r="K31">
        <v>1</v>
      </c>
      <c r="L31">
        <v>1</v>
      </c>
      <c r="M31">
        <v>1</v>
      </c>
      <c r="N31">
        <v>1</v>
      </c>
      <c r="O31">
        <v>1</v>
      </c>
    </row>
    <row r="32" spans="1:16" x14ac:dyDescent="0.25">
      <c r="A32" t="s">
        <v>59</v>
      </c>
      <c r="B32" t="s">
        <v>26</v>
      </c>
      <c r="C32">
        <v>0</v>
      </c>
      <c r="D32">
        <v>2.8622868061065669</v>
      </c>
      <c r="E32">
        <v>1</v>
      </c>
      <c r="F32">
        <v>1</v>
      </c>
      <c r="G32">
        <v>1</v>
      </c>
      <c r="H32">
        <v>1</v>
      </c>
      <c r="I32">
        <v>1</v>
      </c>
      <c r="J32">
        <v>1</v>
      </c>
      <c r="K32">
        <v>1</v>
      </c>
      <c r="L32">
        <v>1</v>
      </c>
      <c r="M32">
        <v>1</v>
      </c>
      <c r="N32">
        <v>1</v>
      </c>
      <c r="O32">
        <v>1</v>
      </c>
    </row>
    <row r="33" spans="1:16" x14ac:dyDescent="0.25">
      <c r="A33" t="s">
        <v>59</v>
      </c>
      <c r="B33" t="s">
        <v>27</v>
      </c>
      <c r="C33">
        <v>0</v>
      </c>
      <c r="D33">
        <v>11.54658937454224</v>
      </c>
      <c r="E33">
        <v>1</v>
      </c>
      <c r="F33">
        <v>1</v>
      </c>
      <c r="G33">
        <v>1</v>
      </c>
      <c r="H33">
        <v>1</v>
      </c>
      <c r="I33">
        <v>1</v>
      </c>
      <c r="J33">
        <v>0</v>
      </c>
      <c r="K33">
        <v>1</v>
      </c>
      <c r="L33">
        <v>1</v>
      </c>
      <c r="M33">
        <v>1</v>
      </c>
      <c r="N33">
        <v>1</v>
      </c>
      <c r="O33">
        <v>1</v>
      </c>
      <c r="P33" t="s">
        <v>111</v>
      </c>
    </row>
    <row r="34" spans="1:16" x14ac:dyDescent="0.25">
      <c r="A34" t="s">
        <v>59</v>
      </c>
      <c r="B34" t="s">
        <v>29</v>
      </c>
      <c r="C34">
        <v>0</v>
      </c>
      <c r="D34">
        <v>9.621103048324585</v>
      </c>
      <c r="E34">
        <v>1</v>
      </c>
      <c r="F34">
        <v>1</v>
      </c>
      <c r="G34">
        <v>1</v>
      </c>
      <c r="H34">
        <v>1</v>
      </c>
      <c r="I34">
        <v>1</v>
      </c>
      <c r="J34">
        <v>1</v>
      </c>
      <c r="K34">
        <v>1</v>
      </c>
      <c r="L34">
        <v>1</v>
      </c>
      <c r="M34">
        <v>1</v>
      </c>
      <c r="N34">
        <v>1</v>
      </c>
      <c r="O34">
        <v>1</v>
      </c>
    </row>
    <row r="35" spans="1:16" x14ac:dyDescent="0.25">
      <c r="A35" t="s">
        <v>59</v>
      </c>
      <c r="B35" t="s">
        <v>30</v>
      </c>
      <c r="C35">
        <v>0</v>
      </c>
      <c r="D35">
        <v>3.0815038681030269</v>
      </c>
      <c r="E35">
        <v>1</v>
      </c>
      <c r="F35">
        <v>1</v>
      </c>
      <c r="G35">
        <v>1</v>
      </c>
      <c r="H35">
        <v>1</v>
      </c>
      <c r="I35">
        <v>1</v>
      </c>
      <c r="J35">
        <v>1</v>
      </c>
      <c r="K35">
        <v>1</v>
      </c>
      <c r="L35">
        <v>1</v>
      </c>
      <c r="M35">
        <v>1</v>
      </c>
      <c r="N35">
        <v>1</v>
      </c>
      <c r="O35">
        <v>1</v>
      </c>
    </row>
    <row r="36" spans="1:16" x14ac:dyDescent="0.25">
      <c r="A36" t="s">
        <v>59</v>
      </c>
      <c r="B36" t="s">
        <v>32</v>
      </c>
      <c r="C36">
        <v>0</v>
      </c>
      <c r="D36">
        <v>4.6287620067596444</v>
      </c>
      <c r="E36">
        <v>1</v>
      </c>
      <c r="F36">
        <v>1</v>
      </c>
      <c r="G36">
        <v>1</v>
      </c>
      <c r="H36">
        <v>1</v>
      </c>
      <c r="I36">
        <v>1</v>
      </c>
      <c r="J36">
        <v>0</v>
      </c>
      <c r="K36">
        <v>1</v>
      </c>
      <c r="L36">
        <v>1</v>
      </c>
      <c r="M36">
        <v>1</v>
      </c>
      <c r="N36">
        <v>1</v>
      </c>
      <c r="O36">
        <v>1</v>
      </c>
      <c r="P36" t="s">
        <v>112</v>
      </c>
    </row>
    <row r="37" spans="1:16" x14ac:dyDescent="0.25">
      <c r="A37" t="s">
        <v>59</v>
      </c>
      <c r="B37" t="s">
        <v>33</v>
      </c>
      <c r="C37">
        <v>0</v>
      </c>
      <c r="D37">
        <v>3.0786187648773189</v>
      </c>
      <c r="E37">
        <v>1</v>
      </c>
      <c r="F37">
        <v>1</v>
      </c>
      <c r="G37">
        <v>1</v>
      </c>
      <c r="H37">
        <v>1</v>
      </c>
      <c r="I37">
        <v>1</v>
      </c>
      <c r="J37">
        <v>1</v>
      </c>
      <c r="K37">
        <v>1</v>
      </c>
      <c r="L37">
        <v>1</v>
      </c>
      <c r="M37">
        <v>1</v>
      </c>
      <c r="N37">
        <v>1</v>
      </c>
      <c r="O37">
        <v>1</v>
      </c>
    </row>
    <row r="38" spans="1:16" x14ac:dyDescent="0.25">
      <c r="A38" t="s">
        <v>59</v>
      </c>
      <c r="B38" t="s">
        <v>35</v>
      </c>
      <c r="C38">
        <v>0</v>
      </c>
      <c r="D38">
        <v>10.39407348632812</v>
      </c>
      <c r="E38">
        <v>0</v>
      </c>
      <c r="F38" t="s">
        <v>20</v>
      </c>
      <c r="G38" t="s">
        <v>20</v>
      </c>
      <c r="H38" t="s">
        <v>20</v>
      </c>
      <c r="I38" t="s">
        <v>20</v>
      </c>
      <c r="J38" t="s">
        <v>20</v>
      </c>
      <c r="K38" t="s">
        <v>20</v>
      </c>
      <c r="L38" t="s">
        <v>20</v>
      </c>
      <c r="M38" t="s">
        <v>20</v>
      </c>
      <c r="N38" t="s">
        <v>20</v>
      </c>
      <c r="O38" t="s">
        <v>20</v>
      </c>
      <c r="P38" t="s">
        <v>113</v>
      </c>
    </row>
    <row r="39" spans="1:16" x14ac:dyDescent="0.25">
      <c r="A39" t="s">
        <v>59</v>
      </c>
      <c r="B39" t="s">
        <v>37</v>
      </c>
      <c r="C39">
        <v>0</v>
      </c>
      <c r="D39">
        <v>6.3774528503417969</v>
      </c>
      <c r="E39">
        <v>1</v>
      </c>
      <c r="F39">
        <v>1</v>
      </c>
      <c r="G39">
        <v>1</v>
      </c>
      <c r="H39">
        <v>0</v>
      </c>
      <c r="I39">
        <v>1</v>
      </c>
      <c r="J39">
        <v>0</v>
      </c>
      <c r="K39">
        <v>0</v>
      </c>
      <c r="L39">
        <v>1</v>
      </c>
      <c r="M39">
        <v>1</v>
      </c>
      <c r="N39">
        <v>1</v>
      </c>
      <c r="O39">
        <v>1</v>
      </c>
      <c r="P39" t="s">
        <v>114</v>
      </c>
    </row>
    <row r="40" spans="1:16" x14ac:dyDescent="0.25">
      <c r="A40" t="s">
        <v>59</v>
      </c>
      <c r="B40" t="s">
        <v>39</v>
      </c>
      <c r="C40">
        <v>0</v>
      </c>
      <c r="D40">
        <v>12.405884504318241</v>
      </c>
      <c r="E40">
        <v>0</v>
      </c>
      <c r="F40" t="s">
        <v>20</v>
      </c>
      <c r="G40" t="s">
        <v>20</v>
      </c>
      <c r="H40" t="s">
        <v>20</v>
      </c>
      <c r="I40" t="s">
        <v>20</v>
      </c>
      <c r="J40" t="s">
        <v>20</v>
      </c>
      <c r="K40" t="s">
        <v>20</v>
      </c>
      <c r="L40" t="s">
        <v>20</v>
      </c>
      <c r="M40" t="s">
        <v>20</v>
      </c>
      <c r="N40" t="s">
        <v>20</v>
      </c>
      <c r="O40" t="s">
        <v>20</v>
      </c>
      <c r="P40" t="s">
        <v>115</v>
      </c>
    </row>
    <row r="41" spans="1:16" x14ac:dyDescent="0.25">
      <c r="A41" t="s">
        <v>59</v>
      </c>
      <c r="B41" t="s">
        <v>41</v>
      </c>
      <c r="C41">
        <v>0</v>
      </c>
      <c r="D41">
        <v>6.7013542652130127</v>
      </c>
      <c r="E41">
        <v>0</v>
      </c>
      <c r="F41" t="s">
        <v>20</v>
      </c>
      <c r="G41" t="s">
        <v>20</v>
      </c>
      <c r="H41" t="s">
        <v>20</v>
      </c>
      <c r="I41" t="s">
        <v>20</v>
      </c>
      <c r="J41" t="s">
        <v>20</v>
      </c>
      <c r="K41" t="s">
        <v>20</v>
      </c>
      <c r="L41" t="s">
        <v>20</v>
      </c>
      <c r="M41" t="s">
        <v>20</v>
      </c>
      <c r="N41" t="s">
        <v>20</v>
      </c>
      <c r="O41" t="s">
        <v>20</v>
      </c>
      <c r="P41" t="s">
        <v>116</v>
      </c>
    </row>
    <row r="42" spans="1:16" x14ac:dyDescent="0.25">
      <c r="A42" t="s">
        <v>59</v>
      </c>
      <c r="B42" t="s">
        <v>43</v>
      </c>
      <c r="C42">
        <v>0</v>
      </c>
      <c r="D42">
        <v>10.38574004173279</v>
      </c>
      <c r="E42">
        <v>1</v>
      </c>
      <c r="F42">
        <v>1</v>
      </c>
      <c r="G42">
        <v>1</v>
      </c>
      <c r="H42">
        <v>1</v>
      </c>
      <c r="I42">
        <v>1</v>
      </c>
      <c r="J42">
        <v>1</v>
      </c>
      <c r="K42">
        <v>1</v>
      </c>
      <c r="L42">
        <v>1</v>
      </c>
      <c r="M42">
        <v>1</v>
      </c>
      <c r="N42">
        <v>1</v>
      </c>
      <c r="O42">
        <v>1</v>
      </c>
    </row>
    <row r="43" spans="1:16" x14ac:dyDescent="0.25">
      <c r="A43" t="s">
        <v>59</v>
      </c>
      <c r="B43" t="s">
        <v>45</v>
      </c>
      <c r="C43">
        <v>0</v>
      </c>
      <c r="D43">
        <v>10.58070015907288</v>
      </c>
      <c r="E43">
        <v>1</v>
      </c>
      <c r="F43">
        <v>1</v>
      </c>
      <c r="G43">
        <v>0</v>
      </c>
      <c r="H43" t="s">
        <v>20</v>
      </c>
      <c r="I43">
        <v>1</v>
      </c>
      <c r="J43">
        <v>1</v>
      </c>
      <c r="K43">
        <v>1</v>
      </c>
      <c r="L43">
        <v>1</v>
      </c>
      <c r="M43">
        <v>1</v>
      </c>
      <c r="N43">
        <v>1</v>
      </c>
      <c r="O43">
        <v>1</v>
      </c>
      <c r="P43" t="s">
        <v>117</v>
      </c>
    </row>
    <row r="44" spans="1:16" x14ac:dyDescent="0.25">
      <c r="A44" t="s">
        <v>59</v>
      </c>
      <c r="B44" t="s">
        <v>47</v>
      </c>
      <c r="C44">
        <v>0</v>
      </c>
      <c r="D44">
        <v>4.9252979755401611</v>
      </c>
      <c r="E44">
        <v>1</v>
      </c>
      <c r="F44">
        <v>1</v>
      </c>
      <c r="G44">
        <v>1</v>
      </c>
      <c r="H44">
        <v>1</v>
      </c>
      <c r="I44">
        <v>1</v>
      </c>
      <c r="J44">
        <v>1</v>
      </c>
      <c r="K44">
        <v>0</v>
      </c>
      <c r="L44">
        <v>1</v>
      </c>
      <c r="M44">
        <v>1</v>
      </c>
      <c r="N44">
        <v>1</v>
      </c>
      <c r="O44">
        <v>1</v>
      </c>
      <c r="P44" t="s">
        <v>118</v>
      </c>
    </row>
    <row r="45" spans="1:16" x14ac:dyDescent="0.25">
      <c r="A45" t="s">
        <v>59</v>
      </c>
      <c r="B45" t="s">
        <v>48</v>
      </c>
      <c r="C45">
        <v>0</v>
      </c>
      <c r="D45">
        <v>2.8755862712860112</v>
      </c>
      <c r="E45">
        <v>1</v>
      </c>
      <c r="F45">
        <v>1</v>
      </c>
      <c r="G45">
        <v>1</v>
      </c>
      <c r="H45">
        <v>1</v>
      </c>
      <c r="I45">
        <v>1</v>
      </c>
      <c r="J45">
        <v>1</v>
      </c>
      <c r="K45">
        <v>1</v>
      </c>
      <c r="L45">
        <v>1</v>
      </c>
      <c r="M45">
        <v>1</v>
      </c>
      <c r="N45">
        <v>1</v>
      </c>
      <c r="O45">
        <v>1</v>
      </c>
    </row>
    <row r="46" spans="1:16" x14ac:dyDescent="0.25">
      <c r="A46" t="s">
        <v>59</v>
      </c>
      <c r="B46" t="s">
        <v>49</v>
      </c>
      <c r="C46">
        <v>0</v>
      </c>
      <c r="D46">
        <v>10.30717658996582</v>
      </c>
      <c r="E46">
        <v>1</v>
      </c>
      <c r="F46">
        <v>1</v>
      </c>
      <c r="G46">
        <v>1</v>
      </c>
      <c r="H46">
        <v>1</v>
      </c>
      <c r="I46">
        <v>1</v>
      </c>
      <c r="J46">
        <v>1</v>
      </c>
      <c r="K46">
        <v>1</v>
      </c>
      <c r="L46">
        <v>1</v>
      </c>
      <c r="M46">
        <v>1</v>
      </c>
      <c r="N46">
        <v>1</v>
      </c>
      <c r="O46">
        <v>1</v>
      </c>
    </row>
    <row r="47" spans="1:16" x14ac:dyDescent="0.25">
      <c r="A47" t="s">
        <v>59</v>
      </c>
      <c r="B47" t="s">
        <v>51</v>
      </c>
      <c r="C47">
        <v>0</v>
      </c>
      <c r="D47">
        <v>2.9371998310089111</v>
      </c>
      <c r="E47">
        <v>1</v>
      </c>
      <c r="F47">
        <v>1</v>
      </c>
      <c r="G47">
        <v>1</v>
      </c>
      <c r="H47">
        <v>1</v>
      </c>
      <c r="I47">
        <v>1</v>
      </c>
      <c r="J47">
        <v>1</v>
      </c>
      <c r="K47">
        <v>1</v>
      </c>
      <c r="L47">
        <v>1</v>
      </c>
      <c r="M47">
        <v>1</v>
      </c>
      <c r="N47">
        <v>1</v>
      </c>
      <c r="O47">
        <v>1</v>
      </c>
    </row>
    <row r="48" spans="1:16" x14ac:dyDescent="0.25">
      <c r="A48" t="s">
        <v>59</v>
      </c>
      <c r="B48" t="s">
        <v>52</v>
      </c>
      <c r="C48">
        <v>0</v>
      </c>
      <c r="D48">
        <v>9.3467118740081787</v>
      </c>
      <c r="E48">
        <v>1</v>
      </c>
      <c r="F48">
        <v>1</v>
      </c>
      <c r="G48">
        <v>1</v>
      </c>
      <c r="H48">
        <v>1</v>
      </c>
      <c r="I48">
        <v>1</v>
      </c>
      <c r="J48">
        <v>1</v>
      </c>
      <c r="K48">
        <v>1</v>
      </c>
      <c r="L48">
        <v>1</v>
      </c>
      <c r="M48">
        <v>1</v>
      </c>
      <c r="N48">
        <v>1</v>
      </c>
      <c r="O48">
        <v>1</v>
      </c>
    </row>
    <row r="49" spans="1:16" x14ac:dyDescent="0.25">
      <c r="A49" t="s">
        <v>59</v>
      </c>
      <c r="B49" t="s">
        <v>54</v>
      </c>
      <c r="C49">
        <v>0</v>
      </c>
      <c r="D49">
        <v>6.368793249130249</v>
      </c>
      <c r="E49">
        <v>1</v>
      </c>
      <c r="F49">
        <v>1</v>
      </c>
      <c r="G49">
        <v>1</v>
      </c>
      <c r="H49">
        <v>1</v>
      </c>
      <c r="I49">
        <v>0</v>
      </c>
      <c r="J49">
        <v>0</v>
      </c>
      <c r="K49">
        <v>1</v>
      </c>
      <c r="L49">
        <v>1</v>
      </c>
      <c r="M49">
        <v>1</v>
      </c>
      <c r="N49">
        <v>1</v>
      </c>
      <c r="O49">
        <v>1</v>
      </c>
      <c r="P49" t="s">
        <v>119</v>
      </c>
    </row>
    <row r="50" spans="1:16" x14ac:dyDescent="0.25">
      <c r="A50" t="s">
        <v>59</v>
      </c>
      <c r="B50" t="s">
        <v>56</v>
      </c>
      <c r="C50">
        <v>0</v>
      </c>
      <c r="D50">
        <v>8.6307663917541504</v>
      </c>
      <c r="E50">
        <v>1</v>
      </c>
      <c r="F50">
        <v>1</v>
      </c>
      <c r="G50">
        <v>1</v>
      </c>
      <c r="H50">
        <v>1</v>
      </c>
      <c r="I50">
        <v>1</v>
      </c>
      <c r="J50">
        <v>1</v>
      </c>
      <c r="K50">
        <v>1</v>
      </c>
      <c r="L50">
        <v>1</v>
      </c>
      <c r="M50">
        <v>1</v>
      </c>
      <c r="N50">
        <v>1</v>
      </c>
      <c r="O50">
        <v>1</v>
      </c>
    </row>
    <row r="51" spans="1:16" x14ac:dyDescent="0.25">
      <c r="A51" t="s">
        <v>59</v>
      </c>
      <c r="B51" t="s">
        <v>58</v>
      </c>
      <c r="C51">
        <v>0</v>
      </c>
      <c r="D51">
        <v>6.6724879741668701</v>
      </c>
      <c r="E51">
        <v>1</v>
      </c>
      <c r="F51">
        <v>1</v>
      </c>
      <c r="G51">
        <v>1</v>
      </c>
      <c r="H51">
        <v>0</v>
      </c>
      <c r="I51">
        <v>1</v>
      </c>
      <c r="J51">
        <v>0</v>
      </c>
      <c r="K51">
        <v>1</v>
      </c>
      <c r="L51">
        <v>1</v>
      </c>
      <c r="M51">
        <v>1</v>
      </c>
      <c r="N51">
        <v>1</v>
      </c>
      <c r="O51">
        <v>1</v>
      </c>
      <c r="P51" t="s">
        <v>120</v>
      </c>
    </row>
    <row r="52" spans="1:16" x14ac:dyDescent="0.25">
      <c r="A52" t="s">
        <v>73</v>
      </c>
      <c r="B52" t="s">
        <v>17</v>
      </c>
      <c r="C52">
        <v>0</v>
      </c>
      <c r="D52">
        <v>7.089064359664917</v>
      </c>
      <c r="E52">
        <v>1</v>
      </c>
      <c r="F52">
        <v>1</v>
      </c>
      <c r="G52">
        <v>1</v>
      </c>
      <c r="H52">
        <v>1</v>
      </c>
      <c r="I52">
        <v>1</v>
      </c>
      <c r="J52">
        <v>1</v>
      </c>
      <c r="K52">
        <v>1</v>
      </c>
      <c r="L52">
        <v>0</v>
      </c>
      <c r="M52">
        <v>1</v>
      </c>
      <c r="N52">
        <v>1</v>
      </c>
      <c r="O52">
        <v>1</v>
      </c>
      <c r="P52" t="s">
        <v>121</v>
      </c>
    </row>
    <row r="53" spans="1:16" x14ac:dyDescent="0.25">
      <c r="A53" t="s">
        <v>73</v>
      </c>
      <c r="B53" t="s">
        <v>19</v>
      </c>
      <c r="C53">
        <v>0</v>
      </c>
      <c r="D53">
        <v>5.4811787605285636</v>
      </c>
      <c r="E53">
        <v>1</v>
      </c>
      <c r="F53">
        <v>1</v>
      </c>
      <c r="G53">
        <v>1</v>
      </c>
      <c r="H53">
        <v>1</v>
      </c>
      <c r="I53">
        <v>1</v>
      </c>
      <c r="J53">
        <v>0</v>
      </c>
      <c r="K53">
        <v>1</v>
      </c>
      <c r="L53">
        <v>1</v>
      </c>
      <c r="M53">
        <v>1</v>
      </c>
      <c r="N53">
        <v>1</v>
      </c>
      <c r="O53">
        <v>1</v>
      </c>
      <c r="P53" t="s">
        <v>122</v>
      </c>
    </row>
    <row r="54" spans="1:16" x14ac:dyDescent="0.25">
      <c r="A54" t="s">
        <v>73</v>
      </c>
      <c r="B54" t="s">
        <v>22</v>
      </c>
      <c r="C54">
        <v>0</v>
      </c>
      <c r="D54">
        <v>5.3052108287811279</v>
      </c>
      <c r="E54">
        <v>1</v>
      </c>
      <c r="F54">
        <v>1</v>
      </c>
      <c r="G54">
        <v>1</v>
      </c>
      <c r="H54">
        <v>1</v>
      </c>
      <c r="I54">
        <v>1</v>
      </c>
      <c r="J54">
        <v>0</v>
      </c>
      <c r="K54">
        <v>1</v>
      </c>
      <c r="L54">
        <v>1</v>
      </c>
      <c r="M54">
        <v>1</v>
      </c>
      <c r="N54">
        <v>1</v>
      </c>
      <c r="O54">
        <v>1</v>
      </c>
      <c r="P54" t="s">
        <v>123</v>
      </c>
    </row>
    <row r="55" spans="1:16" x14ac:dyDescent="0.25">
      <c r="A55" t="s">
        <v>73</v>
      </c>
      <c r="B55" t="s">
        <v>24</v>
      </c>
      <c r="C55">
        <v>0</v>
      </c>
      <c r="D55">
        <v>12.947980165481569</v>
      </c>
      <c r="E55">
        <v>1</v>
      </c>
      <c r="F55">
        <v>1</v>
      </c>
      <c r="G55">
        <v>1</v>
      </c>
      <c r="H55">
        <v>1</v>
      </c>
      <c r="I55">
        <v>1</v>
      </c>
      <c r="J55">
        <v>1</v>
      </c>
      <c r="K55">
        <v>0</v>
      </c>
      <c r="L55">
        <v>0</v>
      </c>
      <c r="M55">
        <v>1</v>
      </c>
      <c r="N55">
        <v>1</v>
      </c>
      <c r="O55">
        <v>1</v>
      </c>
      <c r="P55" t="s">
        <v>124</v>
      </c>
    </row>
    <row r="56" spans="1:16" x14ac:dyDescent="0.25">
      <c r="A56" t="s">
        <v>73</v>
      </c>
      <c r="B56" t="s">
        <v>25</v>
      </c>
      <c r="C56">
        <v>0</v>
      </c>
      <c r="D56">
        <v>8.6325767040252686</v>
      </c>
      <c r="E56">
        <v>1</v>
      </c>
      <c r="F56">
        <v>1</v>
      </c>
      <c r="G56">
        <v>1</v>
      </c>
      <c r="H56">
        <v>1</v>
      </c>
      <c r="I56">
        <v>1</v>
      </c>
      <c r="J56">
        <v>0</v>
      </c>
      <c r="K56">
        <v>1</v>
      </c>
      <c r="L56">
        <v>1</v>
      </c>
      <c r="M56">
        <v>1</v>
      </c>
      <c r="N56">
        <v>1</v>
      </c>
      <c r="O56">
        <v>1</v>
      </c>
      <c r="P56" t="s">
        <v>125</v>
      </c>
    </row>
    <row r="57" spans="1:16" x14ac:dyDescent="0.25">
      <c r="A57" t="s">
        <v>73</v>
      </c>
      <c r="B57" t="s">
        <v>26</v>
      </c>
      <c r="C57">
        <v>0</v>
      </c>
      <c r="D57">
        <v>5.3357529640197754</v>
      </c>
      <c r="E57">
        <v>1</v>
      </c>
      <c r="F57">
        <v>1</v>
      </c>
      <c r="G57">
        <v>1</v>
      </c>
      <c r="H57">
        <v>1</v>
      </c>
      <c r="I57">
        <v>1</v>
      </c>
      <c r="J57">
        <v>1</v>
      </c>
      <c r="K57">
        <v>0</v>
      </c>
      <c r="L57">
        <v>1</v>
      </c>
      <c r="M57">
        <v>1</v>
      </c>
      <c r="N57">
        <v>1</v>
      </c>
      <c r="O57">
        <v>1</v>
      </c>
      <c r="P57" t="s">
        <v>126</v>
      </c>
    </row>
    <row r="58" spans="1:16" x14ac:dyDescent="0.25">
      <c r="A58" t="s">
        <v>73</v>
      </c>
      <c r="B58" t="s">
        <v>27</v>
      </c>
      <c r="C58">
        <v>0</v>
      </c>
      <c r="D58">
        <v>5.0305383205413818</v>
      </c>
      <c r="E58">
        <v>1</v>
      </c>
      <c r="F58">
        <v>1</v>
      </c>
      <c r="G58">
        <v>1</v>
      </c>
      <c r="H58">
        <v>1</v>
      </c>
      <c r="I58">
        <v>1</v>
      </c>
      <c r="J58">
        <v>0</v>
      </c>
      <c r="K58">
        <v>0</v>
      </c>
      <c r="L58">
        <v>1</v>
      </c>
      <c r="M58">
        <v>1</v>
      </c>
      <c r="N58">
        <v>1</v>
      </c>
      <c r="O58">
        <v>1</v>
      </c>
      <c r="P58" t="s">
        <v>127</v>
      </c>
    </row>
    <row r="59" spans="1:16" x14ac:dyDescent="0.25">
      <c r="A59" t="s">
        <v>73</v>
      </c>
      <c r="B59" t="s">
        <v>29</v>
      </c>
      <c r="C59">
        <v>0</v>
      </c>
      <c r="D59">
        <v>7.6087625026702881</v>
      </c>
      <c r="E59">
        <v>1</v>
      </c>
      <c r="F59">
        <v>1</v>
      </c>
      <c r="G59">
        <v>1</v>
      </c>
      <c r="H59">
        <v>1</v>
      </c>
      <c r="I59">
        <v>1</v>
      </c>
      <c r="J59">
        <v>1</v>
      </c>
      <c r="K59">
        <v>1</v>
      </c>
      <c r="L59">
        <v>1</v>
      </c>
      <c r="M59">
        <v>1</v>
      </c>
      <c r="N59">
        <v>1</v>
      </c>
      <c r="O59">
        <v>1</v>
      </c>
    </row>
    <row r="60" spans="1:16" x14ac:dyDescent="0.25">
      <c r="A60" t="s">
        <v>73</v>
      </c>
      <c r="B60" t="s">
        <v>30</v>
      </c>
      <c r="C60">
        <v>0</v>
      </c>
      <c r="D60">
        <v>5.3601977825164786</v>
      </c>
      <c r="E60">
        <v>1</v>
      </c>
      <c r="F60">
        <v>1</v>
      </c>
      <c r="G60">
        <v>1</v>
      </c>
      <c r="H60">
        <v>1</v>
      </c>
      <c r="I60">
        <v>1</v>
      </c>
      <c r="J60">
        <v>0</v>
      </c>
      <c r="K60">
        <v>1</v>
      </c>
      <c r="L60">
        <v>1</v>
      </c>
      <c r="M60">
        <v>1</v>
      </c>
      <c r="N60">
        <v>1</v>
      </c>
      <c r="O60">
        <v>1</v>
      </c>
      <c r="P60" t="s">
        <v>128</v>
      </c>
    </row>
    <row r="61" spans="1:16" x14ac:dyDescent="0.25">
      <c r="A61" t="s">
        <v>73</v>
      </c>
      <c r="B61" t="s">
        <v>32</v>
      </c>
      <c r="C61">
        <v>0</v>
      </c>
      <c r="D61">
        <v>8.9240894317626953</v>
      </c>
      <c r="E61">
        <v>1</v>
      </c>
      <c r="F61">
        <v>0</v>
      </c>
      <c r="G61">
        <v>1</v>
      </c>
      <c r="H61" t="s">
        <v>20</v>
      </c>
      <c r="I61">
        <v>1</v>
      </c>
      <c r="J61" t="s">
        <v>20</v>
      </c>
      <c r="K61">
        <v>1</v>
      </c>
      <c r="L61">
        <v>0</v>
      </c>
      <c r="M61">
        <v>1</v>
      </c>
      <c r="N61">
        <v>1</v>
      </c>
      <c r="O61">
        <v>1</v>
      </c>
      <c r="P61" t="s">
        <v>129</v>
      </c>
    </row>
    <row r="62" spans="1:16" x14ac:dyDescent="0.25">
      <c r="A62" t="s">
        <v>73</v>
      </c>
      <c r="B62" t="s">
        <v>33</v>
      </c>
      <c r="C62">
        <v>0</v>
      </c>
      <c r="D62">
        <v>2.8578672409057622</v>
      </c>
      <c r="E62">
        <v>1</v>
      </c>
      <c r="F62">
        <v>1</v>
      </c>
      <c r="G62">
        <v>1</v>
      </c>
      <c r="H62">
        <v>1</v>
      </c>
      <c r="I62">
        <v>1</v>
      </c>
      <c r="J62">
        <v>1</v>
      </c>
      <c r="K62">
        <v>1</v>
      </c>
      <c r="L62">
        <v>1</v>
      </c>
      <c r="M62">
        <v>1</v>
      </c>
      <c r="N62">
        <v>1</v>
      </c>
      <c r="O62">
        <v>1</v>
      </c>
    </row>
    <row r="63" spans="1:16" x14ac:dyDescent="0.25">
      <c r="A63" t="s">
        <v>73</v>
      </c>
      <c r="B63" t="s">
        <v>35</v>
      </c>
      <c r="C63">
        <v>0</v>
      </c>
      <c r="D63">
        <v>5.8860454559326172</v>
      </c>
      <c r="E63">
        <v>1</v>
      </c>
      <c r="F63">
        <v>1</v>
      </c>
      <c r="G63">
        <v>1</v>
      </c>
      <c r="H63">
        <v>1</v>
      </c>
      <c r="I63">
        <v>1</v>
      </c>
      <c r="J63">
        <v>0</v>
      </c>
      <c r="K63">
        <v>0</v>
      </c>
      <c r="L63">
        <v>1</v>
      </c>
      <c r="M63">
        <v>1</v>
      </c>
      <c r="N63">
        <v>1</v>
      </c>
      <c r="O63">
        <v>1</v>
      </c>
      <c r="P63" t="s">
        <v>130</v>
      </c>
    </row>
    <row r="64" spans="1:16" x14ac:dyDescent="0.25">
      <c r="A64" t="s">
        <v>73</v>
      </c>
      <c r="B64" t="s">
        <v>37</v>
      </c>
      <c r="C64">
        <v>0</v>
      </c>
      <c r="D64">
        <v>9.4344050884246826</v>
      </c>
      <c r="E64">
        <v>1</v>
      </c>
      <c r="F64">
        <v>1</v>
      </c>
      <c r="G64">
        <v>1</v>
      </c>
      <c r="H64">
        <v>1</v>
      </c>
      <c r="I64">
        <v>1</v>
      </c>
      <c r="J64">
        <v>1</v>
      </c>
      <c r="K64">
        <v>1</v>
      </c>
      <c r="L64">
        <v>1</v>
      </c>
      <c r="M64">
        <v>1</v>
      </c>
      <c r="N64">
        <v>1</v>
      </c>
      <c r="O64">
        <v>1</v>
      </c>
    </row>
    <row r="65" spans="1:16" x14ac:dyDescent="0.25">
      <c r="A65" t="s">
        <v>73</v>
      </c>
      <c r="B65" t="s">
        <v>39</v>
      </c>
      <c r="C65">
        <v>0</v>
      </c>
      <c r="D65">
        <v>2.884353399276733</v>
      </c>
      <c r="E65">
        <v>1</v>
      </c>
      <c r="F65">
        <v>1</v>
      </c>
      <c r="G65">
        <v>1</v>
      </c>
      <c r="H65">
        <v>1</v>
      </c>
      <c r="I65">
        <v>1</v>
      </c>
      <c r="J65">
        <v>1</v>
      </c>
      <c r="K65">
        <v>1</v>
      </c>
      <c r="L65">
        <v>1</v>
      </c>
      <c r="M65">
        <v>1</v>
      </c>
      <c r="N65">
        <v>1</v>
      </c>
      <c r="O65">
        <v>1</v>
      </c>
    </row>
    <row r="66" spans="1:16" x14ac:dyDescent="0.25">
      <c r="A66" t="s">
        <v>73</v>
      </c>
      <c r="B66" t="s">
        <v>41</v>
      </c>
      <c r="C66">
        <v>0</v>
      </c>
      <c r="D66">
        <v>5.3161923885345459</v>
      </c>
      <c r="E66">
        <v>1</v>
      </c>
      <c r="F66">
        <v>1</v>
      </c>
      <c r="G66">
        <v>1</v>
      </c>
      <c r="H66">
        <v>1</v>
      </c>
      <c r="I66">
        <v>1</v>
      </c>
      <c r="J66">
        <v>0</v>
      </c>
      <c r="K66">
        <v>1</v>
      </c>
      <c r="L66">
        <v>1</v>
      </c>
      <c r="M66">
        <v>1</v>
      </c>
      <c r="N66">
        <v>1</v>
      </c>
      <c r="O66">
        <v>1</v>
      </c>
      <c r="P66" t="s">
        <v>131</v>
      </c>
    </row>
    <row r="67" spans="1:16" x14ac:dyDescent="0.25">
      <c r="A67" t="s">
        <v>73</v>
      </c>
      <c r="B67" t="s">
        <v>43</v>
      </c>
      <c r="C67">
        <v>0</v>
      </c>
      <c r="D67">
        <v>9.4465975761413574</v>
      </c>
      <c r="E67">
        <v>1</v>
      </c>
      <c r="F67">
        <v>1</v>
      </c>
      <c r="G67">
        <v>1</v>
      </c>
      <c r="H67">
        <v>1</v>
      </c>
      <c r="I67">
        <v>1</v>
      </c>
      <c r="J67">
        <v>1</v>
      </c>
      <c r="K67">
        <v>1</v>
      </c>
      <c r="L67">
        <v>1</v>
      </c>
      <c r="M67">
        <v>1</v>
      </c>
      <c r="N67">
        <v>1</v>
      </c>
      <c r="O67">
        <v>1</v>
      </c>
    </row>
    <row r="68" spans="1:16" x14ac:dyDescent="0.25">
      <c r="A68" t="s">
        <v>73</v>
      </c>
      <c r="B68" t="s">
        <v>45</v>
      </c>
      <c r="C68">
        <v>0</v>
      </c>
      <c r="D68">
        <v>8.3421401977539063</v>
      </c>
      <c r="E68">
        <v>0</v>
      </c>
      <c r="F68" t="s">
        <v>20</v>
      </c>
      <c r="G68" t="s">
        <v>20</v>
      </c>
      <c r="H68" t="s">
        <v>20</v>
      </c>
      <c r="I68" t="s">
        <v>20</v>
      </c>
      <c r="J68" t="s">
        <v>20</v>
      </c>
      <c r="K68" t="s">
        <v>20</v>
      </c>
      <c r="L68" t="s">
        <v>20</v>
      </c>
      <c r="M68" t="s">
        <v>20</v>
      </c>
      <c r="N68" t="s">
        <v>20</v>
      </c>
      <c r="O68" t="s">
        <v>20</v>
      </c>
      <c r="P68" t="s">
        <v>132</v>
      </c>
    </row>
    <row r="69" spans="1:16" x14ac:dyDescent="0.25">
      <c r="A69" t="s">
        <v>73</v>
      </c>
      <c r="B69" t="s">
        <v>47</v>
      </c>
      <c r="C69">
        <v>0</v>
      </c>
      <c r="D69">
        <v>9.7663030624389648</v>
      </c>
      <c r="E69">
        <v>1</v>
      </c>
      <c r="F69">
        <v>1</v>
      </c>
      <c r="G69">
        <v>1</v>
      </c>
      <c r="H69">
        <v>1</v>
      </c>
      <c r="I69">
        <v>1</v>
      </c>
      <c r="J69">
        <v>1</v>
      </c>
      <c r="K69">
        <v>1</v>
      </c>
      <c r="L69">
        <v>1</v>
      </c>
      <c r="M69">
        <v>1</v>
      </c>
      <c r="N69">
        <v>1</v>
      </c>
      <c r="O69">
        <v>1</v>
      </c>
    </row>
    <row r="70" spans="1:16" x14ac:dyDescent="0.25">
      <c r="A70" t="s">
        <v>73</v>
      </c>
      <c r="B70" t="s">
        <v>48</v>
      </c>
      <c r="C70">
        <v>0</v>
      </c>
      <c r="D70">
        <v>2.6430234909057622</v>
      </c>
      <c r="E70">
        <v>1</v>
      </c>
      <c r="F70">
        <v>1</v>
      </c>
      <c r="G70">
        <v>1</v>
      </c>
      <c r="H70">
        <v>1</v>
      </c>
      <c r="I70">
        <v>1</v>
      </c>
      <c r="J70">
        <v>1</v>
      </c>
      <c r="K70">
        <v>1</v>
      </c>
      <c r="L70">
        <v>1</v>
      </c>
      <c r="M70">
        <v>1</v>
      </c>
      <c r="N70">
        <v>1</v>
      </c>
      <c r="O70">
        <v>1</v>
      </c>
    </row>
    <row r="71" spans="1:16" x14ac:dyDescent="0.25">
      <c r="A71" t="s">
        <v>73</v>
      </c>
      <c r="B71" t="s">
        <v>49</v>
      </c>
      <c r="C71">
        <v>0</v>
      </c>
      <c r="D71">
        <v>11.81423592567444</v>
      </c>
      <c r="E71">
        <v>1</v>
      </c>
      <c r="F71">
        <v>0</v>
      </c>
      <c r="G71">
        <v>1</v>
      </c>
      <c r="H71" t="s">
        <v>20</v>
      </c>
      <c r="I71">
        <v>1</v>
      </c>
      <c r="J71" t="s">
        <v>20</v>
      </c>
      <c r="K71">
        <v>1</v>
      </c>
      <c r="L71">
        <v>1</v>
      </c>
      <c r="M71">
        <v>1</v>
      </c>
      <c r="N71">
        <v>1</v>
      </c>
      <c r="O71">
        <v>1</v>
      </c>
      <c r="P71" t="s">
        <v>133</v>
      </c>
    </row>
    <row r="72" spans="1:16" x14ac:dyDescent="0.25">
      <c r="A72" t="s">
        <v>73</v>
      </c>
      <c r="B72" t="s">
        <v>51</v>
      </c>
      <c r="C72">
        <v>0</v>
      </c>
      <c r="D72">
        <v>11.30341649055481</v>
      </c>
      <c r="E72">
        <v>1</v>
      </c>
      <c r="F72">
        <v>1</v>
      </c>
      <c r="G72">
        <v>1</v>
      </c>
      <c r="H72">
        <v>1</v>
      </c>
      <c r="I72">
        <v>1</v>
      </c>
      <c r="J72">
        <v>0</v>
      </c>
      <c r="K72">
        <v>1</v>
      </c>
      <c r="L72">
        <v>1</v>
      </c>
      <c r="M72">
        <v>1</v>
      </c>
      <c r="N72">
        <v>1</v>
      </c>
      <c r="O72">
        <v>1</v>
      </c>
      <c r="P72" t="s">
        <v>134</v>
      </c>
    </row>
    <row r="73" spans="1:16" x14ac:dyDescent="0.25">
      <c r="A73" t="s">
        <v>73</v>
      </c>
      <c r="B73" t="s">
        <v>52</v>
      </c>
      <c r="C73">
        <v>0</v>
      </c>
      <c r="D73">
        <v>2.8833143711090088</v>
      </c>
      <c r="E73">
        <v>1</v>
      </c>
      <c r="F73">
        <v>1</v>
      </c>
      <c r="G73">
        <v>1</v>
      </c>
      <c r="H73">
        <v>1</v>
      </c>
      <c r="I73">
        <v>1</v>
      </c>
      <c r="J73">
        <v>1</v>
      </c>
      <c r="K73">
        <v>1</v>
      </c>
      <c r="L73">
        <v>1</v>
      </c>
      <c r="M73">
        <v>1</v>
      </c>
      <c r="N73">
        <v>1</v>
      </c>
      <c r="O73">
        <v>1</v>
      </c>
    </row>
    <row r="74" spans="1:16" x14ac:dyDescent="0.25">
      <c r="A74" t="s">
        <v>73</v>
      </c>
      <c r="B74" t="s">
        <v>54</v>
      </c>
      <c r="C74">
        <v>0</v>
      </c>
      <c r="D74">
        <v>5.330996036529541</v>
      </c>
      <c r="E74">
        <v>1</v>
      </c>
      <c r="F74">
        <v>1</v>
      </c>
      <c r="G74">
        <v>1</v>
      </c>
      <c r="H74">
        <v>0</v>
      </c>
      <c r="I74">
        <v>1</v>
      </c>
      <c r="J74">
        <v>0</v>
      </c>
      <c r="K74">
        <v>1</v>
      </c>
      <c r="L74">
        <v>1</v>
      </c>
      <c r="M74">
        <v>1</v>
      </c>
      <c r="N74">
        <v>1</v>
      </c>
      <c r="O74">
        <v>1</v>
      </c>
      <c r="P74" t="s">
        <v>135</v>
      </c>
    </row>
    <row r="75" spans="1:16" x14ac:dyDescent="0.25">
      <c r="A75" t="s">
        <v>73</v>
      </c>
      <c r="B75" t="s">
        <v>56</v>
      </c>
      <c r="C75">
        <v>0</v>
      </c>
      <c r="D75">
        <v>6.1491265296936044</v>
      </c>
      <c r="E75">
        <v>1</v>
      </c>
      <c r="F75">
        <v>0</v>
      </c>
      <c r="G75">
        <v>1</v>
      </c>
      <c r="H75" t="s">
        <v>20</v>
      </c>
      <c r="I75">
        <v>1</v>
      </c>
      <c r="J75" t="s">
        <v>20</v>
      </c>
      <c r="K75">
        <v>1</v>
      </c>
      <c r="L75">
        <v>1</v>
      </c>
      <c r="M75">
        <v>1</v>
      </c>
      <c r="N75">
        <v>1</v>
      </c>
      <c r="O75">
        <v>1</v>
      </c>
      <c r="P75" t="s">
        <v>136</v>
      </c>
    </row>
    <row r="76" spans="1:16" x14ac:dyDescent="0.25">
      <c r="A76" t="s">
        <v>73</v>
      </c>
      <c r="B76" t="s">
        <v>58</v>
      </c>
      <c r="C76">
        <v>0</v>
      </c>
      <c r="D76">
        <v>11.506060361862181</v>
      </c>
      <c r="E76">
        <v>1</v>
      </c>
      <c r="F76">
        <v>1</v>
      </c>
      <c r="G76">
        <v>1</v>
      </c>
      <c r="H76">
        <v>1</v>
      </c>
      <c r="I76">
        <v>0</v>
      </c>
      <c r="J76">
        <v>1</v>
      </c>
      <c r="K76">
        <v>1</v>
      </c>
      <c r="L76">
        <v>1</v>
      </c>
      <c r="M76">
        <v>1</v>
      </c>
      <c r="N76">
        <v>1</v>
      </c>
      <c r="O76">
        <v>1</v>
      </c>
      <c r="P76" t="s">
        <v>137</v>
      </c>
    </row>
    <row r="77" spans="1:16" x14ac:dyDescent="0.25">
      <c r="A77" t="s">
        <v>73</v>
      </c>
      <c r="B77" t="s">
        <v>89</v>
      </c>
      <c r="C77">
        <v>0</v>
      </c>
      <c r="D77">
        <v>8.1180036067962646</v>
      </c>
      <c r="E77">
        <v>0</v>
      </c>
      <c r="F77" t="s">
        <v>20</v>
      </c>
      <c r="G77" t="s">
        <v>20</v>
      </c>
      <c r="H77" t="s">
        <v>20</v>
      </c>
      <c r="I77" t="s">
        <v>20</v>
      </c>
      <c r="J77" t="s">
        <v>20</v>
      </c>
      <c r="K77" t="s">
        <v>20</v>
      </c>
      <c r="L77" t="s">
        <v>20</v>
      </c>
      <c r="M77" t="s">
        <v>20</v>
      </c>
      <c r="N77" t="s">
        <v>20</v>
      </c>
      <c r="O77" t="s">
        <v>20</v>
      </c>
      <c r="P77" t="s">
        <v>138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8.8292281627655029</v>
      </c>
      <c r="E2">
        <v>1</v>
      </c>
      <c r="F2">
        <v>1</v>
      </c>
      <c r="G2">
        <v>1</v>
      </c>
      <c r="H2">
        <v>1</v>
      </c>
      <c r="I2">
        <v>1</v>
      </c>
      <c r="J2">
        <v>1</v>
      </c>
      <c r="K2">
        <v>1</v>
      </c>
      <c r="L2">
        <v>1</v>
      </c>
      <c r="M2">
        <v>1</v>
      </c>
      <c r="N2">
        <v>1</v>
      </c>
      <c r="O2">
        <v>1</v>
      </c>
    </row>
    <row r="3" spans="1:16" x14ac:dyDescent="0.25">
      <c r="A3" t="s">
        <v>16</v>
      </c>
      <c r="B3" t="s">
        <v>19</v>
      </c>
      <c r="C3">
        <v>0</v>
      </c>
      <c r="D3">
        <v>10.586419343948361</v>
      </c>
      <c r="E3">
        <v>1</v>
      </c>
      <c r="F3">
        <v>1</v>
      </c>
      <c r="G3">
        <v>1</v>
      </c>
      <c r="H3">
        <v>1</v>
      </c>
      <c r="I3">
        <v>1</v>
      </c>
      <c r="J3">
        <v>1</v>
      </c>
      <c r="K3">
        <v>1</v>
      </c>
      <c r="L3">
        <v>1</v>
      </c>
      <c r="M3">
        <v>1</v>
      </c>
      <c r="N3">
        <v>1</v>
      </c>
      <c r="O3">
        <v>1</v>
      </c>
    </row>
    <row r="4" spans="1:16" x14ac:dyDescent="0.25">
      <c r="A4" t="s">
        <v>16</v>
      </c>
      <c r="B4" t="s">
        <v>22</v>
      </c>
      <c r="C4">
        <v>0</v>
      </c>
      <c r="D4">
        <v>4.746476411819458</v>
      </c>
      <c r="E4">
        <v>1</v>
      </c>
      <c r="F4">
        <v>0</v>
      </c>
      <c r="G4">
        <v>1</v>
      </c>
      <c r="H4" t="s">
        <v>20</v>
      </c>
      <c r="I4">
        <v>1</v>
      </c>
      <c r="J4" t="s">
        <v>20</v>
      </c>
      <c r="K4">
        <v>1</v>
      </c>
      <c r="L4">
        <v>1</v>
      </c>
      <c r="M4">
        <v>1</v>
      </c>
      <c r="N4">
        <v>1</v>
      </c>
      <c r="O4">
        <v>1</v>
      </c>
      <c r="P4" t="s">
        <v>139</v>
      </c>
    </row>
    <row r="5" spans="1:16" x14ac:dyDescent="0.25">
      <c r="A5" t="s">
        <v>16</v>
      </c>
      <c r="B5" t="s">
        <v>24</v>
      </c>
      <c r="C5">
        <v>0</v>
      </c>
      <c r="D5">
        <v>2.9829742908477779</v>
      </c>
      <c r="E5">
        <v>1</v>
      </c>
      <c r="F5">
        <v>1</v>
      </c>
      <c r="G5">
        <v>1</v>
      </c>
      <c r="H5">
        <v>1</v>
      </c>
      <c r="I5">
        <v>1</v>
      </c>
      <c r="J5">
        <v>1</v>
      </c>
      <c r="K5">
        <v>1</v>
      </c>
      <c r="L5">
        <v>1</v>
      </c>
      <c r="M5">
        <v>1</v>
      </c>
      <c r="N5">
        <v>1</v>
      </c>
      <c r="O5">
        <v>1</v>
      </c>
    </row>
    <row r="6" spans="1:16" x14ac:dyDescent="0.25">
      <c r="A6" t="s">
        <v>16</v>
      </c>
      <c r="B6" t="s">
        <v>25</v>
      </c>
      <c r="C6">
        <v>0</v>
      </c>
      <c r="D6">
        <v>10.565943241119379</v>
      </c>
      <c r="E6">
        <v>1</v>
      </c>
      <c r="F6">
        <v>1</v>
      </c>
      <c r="G6">
        <v>1</v>
      </c>
      <c r="H6">
        <v>1</v>
      </c>
      <c r="I6">
        <v>1</v>
      </c>
      <c r="J6">
        <v>1</v>
      </c>
      <c r="K6">
        <v>1</v>
      </c>
      <c r="L6">
        <v>1</v>
      </c>
      <c r="M6">
        <v>1</v>
      </c>
      <c r="N6">
        <v>1</v>
      </c>
      <c r="O6">
        <v>1</v>
      </c>
    </row>
    <row r="7" spans="1:16" x14ac:dyDescent="0.25">
      <c r="A7" t="s">
        <v>16</v>
      </c>
      <c r="B7" t="s">
        <v>26</v>
      </c>
      <c r="C7">
        <v>0</v>
      </c>
      <c r="D7">
        <v>2.888214111328125</v>
      </c>
      <c r="E7">
        <v>1</v>
      </c>
      <c r="F7">
        <v>1</v>
      </c>
      <c r="G7">
        <v>1</v>
      </c>
      <c r="H7">
        <v>1</v>
      </c>
      <c r="I7">
        <v>1</v>
      </c>
      <c r="J7">
        <v>1</v>
      </c>
      <c r="K7">
        <v>1</v>
      </c>
      <c r="L7">
        <v>1</v>
      </c>
      <c r="M7">
        <v>1</v>
      </c>
      <c r="N7">
        <v>1</v>
      </c>
      <c r="O7">
        <v>1</v>
      </c>
    </row>
    <row r="8" spans="1:16" x14ac:dyDescent="0.25">
      <c r="A8" t="s">
        <v>16</v>
      </c>
      <c r="B8" t="s">
        <v>27</v>
      </c>
      <c r="C8">
        <v>0</v>
      </c>
      <c r="D8">
        <v>3.1747651100158691</v>
      </c>
      <c r="E8">
        <v>1</v>
      </c>
      <c r="F8">
        <v>1</v>
      </c>
      <c r="G8">
        <v>1</v>
      </c>
      <c r="H8">
        <v>1</v>
      </c>
      <c r="I8">
        <v>1</v>
      </c>
      <c r="J8">
        <v>1</v>
      </c>
      <c r="K8">
        <v>1</v>
      </c>
      <c r="L8">
        <v>1</v>
      </c>
      <c r="M8">
        <v>1</v>
      </c>
      <c r="N8">
        <v>1</v>
      </c>
      <c r="O8">
        <v>1</v>
      </c>
    </row>
    <row r="9" spans="1:16" x14ac:dyDescent="0.25">
      <c r="A9" t="s">
        <v>16</v>
      </c>
      <c r="B9" t="s">
        <v>29</v>
      </c>
      <c r="C9">
        <v>0</v>
      </c>
      <c r="D9">
        <v>2.9812383651733398</v>
      </c>
      <c r="E9">
        <v>1</v>
      </c>
      <c r="F9">
        <v>1</v>
      </c>
      <c r="G9">
        <v>1</v>
      </c>
      <c r="H9">
        <v>1</v>
      </c>
      <c r="I9">
        <v>1</v>
      </c>
      <c r="J9">
        <v>1</v>
      </c>
      <c r="K9">
        <v>1</v>
      </c>
      <c r="L9">
        <v>1</v>
      </c>
      <c r="M9">
        <v>1</v>
      </c>
      <c r="N9">
        <v>1</v>
      </c>
      <c r="O9">
        <v>1</v>
      </c>
    </row>
    <row r="10" spans="1:16" x14ac:dyDescent="0.25">
      <c r="A10" t="s">
        <v>16</v>
      </c>
      <c r="B10" t="s">
        <v>30</v>
      </c>
      <c r="C10">
        <v>0</v>
      </c>
      <c r="D10">
        <v>5.3422200679779053</v>
      </c>
      <c r="E10">
        <v>1</v>
      </c>
      <c r="F10">
        <v>1</v>
      </c>
      <c r="G10">
        <v>1</v>
      </c>
      <c r="H10">
        <v>1</v>
      </c>
      <c r="I10">
        <v>1</v>
      </c>
      <c r="J10">
        <v>0</v>
      </c>
      <c r="K10">
        <v>0</v>
      </c>
      <c r="L10">
        <v>1</v>
      </c>
      <c r="M10">
        <v>1</v>
      </c>
      <c r="N10">
        <v>1</v>
      </c>
      <c r="O10">
        <v>1</v>
      </c>
      <c r="P10" t="s">
        <v>140</v>
      </c>
    </row>
    <row r="11" spans="1:16" x14ac:dyDescent="0.25">
      <c r="A11" t="s">
        <v>16</v>
      </c>
      <c r="B11" t="s">
        <v>32</v>
      </c>
      <c r="C11">
        <v>0</v>
      </c>
      <c r="D11">
        <v>9.1759417057037354</v>
      </c>
      <c r="E11">
        <v>1</v>
      </c>
      <c r="F11">
        <v>1</v>
      </c>
      <c r="G11">
        <v>1</v>
      </c>
      <c r="H11">
        <v>1</v>
      </c>
      <c r="I11">
        <v>1</v>
      </c>
      <c r="J11">
        <v>1</v>
      </c>
      <c r="K11">
        <v>1</v>
      </c>
      <c r="L11">
        <v>1</v>
      </c>
      <c r="M11">
        <v>1</v>
      </c>
      <c r="N11">
        <v>1</v>
      </c>
      <c r="O11">
        <v>1</v>
      </c>
    </row>
    <row r="12" spans="1:16" x14ac:dyDescent="0.25">
      <c r="A12" t="s">
        <v>16</v>
      </c>
      <c r="B12" t="s">
        <v>33</v>
      </c>
      <c r="C12">
        <v>0</v>
      </c>
      <c r="D12">
        <v>10.049004077911381</v>
      </c>
      <c r="E12">
        <v>1</v>
      </c>
      <c r="F12">
        <v>1</v>
      </c>
      <c r="G12">
        <v>1</v>
      </c>
      <c r="H12">
        <v>1</v>
      </c>
      <c r="I12">
        <v>1</v>
      </c>
      <c r="J12">
        <v>1</v>
      </c>
      <c r="K12">
        <v>0</v>
      </c>
      <c r="L12">
        <v>1</v>
      </c>
      <c r="M12">
        <v>1</v>
      </c>
      <c r="N12">
        <v>1</v>
      </c>
      <c r="O12">
        <v>1</v>
      </c>
      <c r="P12" t="s">
        <v>141</v>
      </c>
    </row>
    <row r="13" spans="1:16" x14ac:dyDescent="0.25">
      <c r="A13" t="s">
        <v>16</v>
      </c>
      <c r="B13" t="s">
        <v>35</v>
      </c>
      <c r="C13">
        <v>0</v>
      </c>
      <c r="D13">
        <v>5.1484212875366211</v>
      </c>
      <c r="E13">
        <v>1</v>
      </c>
      <c r="F13">
        <v>1</v>
      </c>
      <c r="G13">
        <v>1</v>
      </c>
      <c r="H13">
        <v>1</v>
      </c>
      <c r="I13">
        <v>1</v>
      </c>
      <c r="J13">
        <v>0</v>
      </c>
      <c r="K13">
        <v>1</v>
      </c>
      <c r="L13">
        <v>1</v>
      </c>
      <c r="M13">
        <v>1</v>
      </c>
      <c r="N13">
        <v>1</v>
      </c>
      <c r="O13">
        <v>1</v>
      </c>
      <c r="P13" t="s">
        <v>142</v>
      </c>
    </row>
    <row r="14" spans="1:16" x14ac:dyDescent="0.25">
      <c r="A14" t="s">
        <v>16</v>
      </c>
      <c r="B14" t="s">
        <v>37</v>
      </c>
      <c r="C14">
        <v>0</v>
      </c>
      <c r="D14">
        <v>11.401763200759889</v>
      </c>
      <c r="E14">
        <v>1</v>
      </c>
      <c r="F14">
        <v>1</v>
      </c>
      <c r="G14">
        <v>1</v>
      </c>
      <c r="H14">
        <v>1</v>
      </c>
      <c r="I14">
        <v>1</v>
      </c>
      <c r="J14">
        <v>0</v>
      </c>
      <c r="K14">
        <v>1</v>
      </c>
      <c r="L14">
        <v>1</v>
      </c>
      <c r="M14">
        <v>1</v>
      </c>
      <c r="N14">
        <v>1</v>
      </c>
      <c r="O14">
        <v>1</v>
      </c>
      <c r="P14" t="s">
        <v>143</v>
      </c>
    </row>
    <row r="15" spans="1:16" x14ac:dyDescent="0.25">
      <c r="A15" t="s">
        <v>16</v>
      </c>
      <c r="B15" t="s">
        <v>39</v>
      </c>
      <c r="C15">
        <v>0</v>
      </c>
      <c r="D15">
        <v>11.103192567825319</v>
      </c>
      <c r="E15">
        <v>1</v>
      </c>
      <c r="F15">
        <v>1</v>
      </c>
      <c r="G15">
        <v>1</v>
      </c>
      <c r="H15">
        <v>1</v>
      </c>
      <c r="I15">
        <v>1</v>
      </c>
      <c r="J15">
        <v>0</v>
      </c>
      <c r="K15">
        <v>1</v>
      </c>
      <c r="L15">
        <v>1</v>
      </c>
      <c r="M15">
        <v>1</v>
      </c>
      <c r="N15">
        <v>1</v>
      </c>
      <c r="O15">
        <v>1</v>
      </c>
      <c r="P15" t="s">
        <v>144</v>
      </c>
    </row>
    <row r="16" spans="1:16" x14ac:dyDescent="0.25">
      <c r="A16" t="s">
        <v>16</v>
      </c>
      <c r="B16" t="s">
        <v>41</v>
      </c>
      <c r="C16">
        <v>0</v>
      </c>
      <c r="D16">
        <v>10.503005504608151</v>
      </c>
      <c r="E16">
        <v>1</v>
      </c>
      <c r="F16">
        <v>1</v>
      </c>
      <c r="G16">
        <v>1</v>
      </c>
      <c r="H16">
        <v>1</v>
      </c>
      <c r="I16">
        <v>1</v>
      </c>
      <c r="J16">
        <v>1</v>
      </c>
      <c r="K16">
        <v>1</v>
      </c>
      <c r="L16">
        <v>1</v>
      </c>
      <c r="M16">
        <v>1</v>
      </c>
      <c r="N16">
        <v>1</v>
      </c>
      <c r="O16">
        <v>1</v>
      </c>
    </row>
    <row r="17" spans="1:16" x14ac:dyDescent="0.25">
      <c r="A17" t="s">
        <v>16</v>
      </c>
      <c r="B17" t="s">
        <v>43</v>
      </c>
      <c r="C17">
        <v>0</v>
      </c>
      <c r="D17">
        <v>12.4193332195282</v>
      </c>
      <c r="E17">
        <v>1</v>
      </c>
      <c r="F17">
        <v>0</v>
      </c>
      <c r="G17">
        <v>1</v>
      </c>
      <c r="H17" t="s">
        <v>20</v>
      </c>
      <c r="I17">
        <v>1</v>
      </c>
      <c r="J17" t="s">
        <v>20</v>
      </c>
      <c r="K17">
        <v>1</v>
      </c>
      <c r="L17">
        <v>1</v>
      </c>
      <c r="M17">
        <v>1</v>
      </c>
      <c r="N17">
        <v>1</v>
      </c>
      <c r="O17">
        <v>1</v>
      </c>
      <c r="P17" t="s">
        <v>145</v>
      </c>
    </row>
    <row r="18" spans="1:16" x14ac:dyDescent="0.25">
      <c r="A18" t="s">
        <v>16</v>
      </c>
      <c r="B18" t="s">
        <v>45</v>
      </c>
      <c r="C18">
        <v>0</v>
      </c>
      <c r="D18">
        <v>8.2587127685546875</v>
      </c>
      <c r="E18">
        <v>0</v>
      </c>
      <c r="F18" t="s">
        <v>20</v>
      </c>
      <c r="G18" t="s">
        <v>20</v>
      </c>
      <c r="H18" t="s">
        <v>20</v>
      </c>
      <c r="I18" t="s">
        <v>20</v>
      </c>
      <c r="J18" t="s">
        <v>20</v>
      </c>
      <c r="K18" t="s">
        <v>20</v>
      </c>
      <c r="L18" t="s">
        <v>20</v>
      </c>
      <c r="M18" t="s">
        <v>20</v>
      </c>
      <c r="N18" t="s">
        <v>20</v>
      </c>
      <c r="O18" t="s">
        <v>20</v>
      </c>
      <c r="P18" t="s">
        <v>146</v>
      </c>
    </row>
    <row r="19" spans="1:16" x14ac:dyDescent="0.25">
      <c r="A19" t="s">
        <v>16</v>
      </c>
      <c r="B19" t="s">
        <v>47</v>
      </c>
      <c r="C19">
        <v>0</v>
      </c>
      <c r="D19">
        <v>10.13975024223328</v>
      </c>
      <c r="E19">
        <v>1</v>
      </c>
      <c r="F19">
        <v>1</v>
      </c>
      <c r="G19">
        <v>1</v>
      </c>
      <c r="H19">
        <v>1</v>
      </c>
      <c r="I19">
        <v>1</v>
      </c>
      <c r="J19">
        <v>1</v>
      </c>
      <c r="K19">
        <v>1</v>
      </c>
      <c r="L19">
        <v>1</v>
      </c>
      <c r="M19">
        <v>1</v>
      </c>
      <c r="N19">
        <v>1</v>
      </c>
      <c r="O19">
        <v>1</v>
      </c>
    </row>
    <row r="20" spans="1:16" x14ac:dyDescent="0.25">
      <c r="A20" t="s">
        <v>16</v>
      </c>
      <c r="B20" t="s">
        <v>48</v>
      </c>
      <c r="C20">
        <v>0</v>
      </c>
      <c r="D20">
        <v>5.5768537521362296</v>
      </c>
      <c r="E20">
        <v>0</v>
      </c>
      <c r="F20" t="s">
        <v>20</v>
      </c>
      <c r="G20" t="s">
        <v>20</v>
      </c>
      <c r="H20" t="s">
        <v>20</v>
      </c>
      <c r="I20" t="s">
        <v>20</v>
      </c>
      <c r="J20" t="s">
        <v>20</v>
      </c>
      <c r="K20" t="s">
        <v>20</v>
      </c>
      <c r="L20" t="s">
        <v>20</v>
      </c>
      <c r="M20" t="s">
        <v>20</v>
      </c>
      <c r="N20" t="s">
        <v>20</v>
      </c>
      <c r="O20" t="s">
        <v>20</v>
      </c>
      <c r="P20" t="s">
        <v>147</v>
      </c>
    </row>
    <row r="21" spans="1:16" x14ac:dyDescent="0.25">
      <c r="A21" t="s">
        <v>16</v>
      </c>
      <c r="B21" t="s">
        <v>49</v>
      </c>
      <c r="C21">
        <v>0</v>
      </c>
      <c r="D21">
        <v>10.665849685668951</v>
      </c>
      <c r="E21">
        <v>1</v>
      </c>
      <c r="F21">
        <v>1</v>
      </c>
      <c r="G21">
        <v>1</v>
      </c>
      <c r="H21">
        <v>1</v>
      </c>
      <c r="I21">
        <v>1</v>
      </c>
      <c r="J21">
        <v>1</v>
      </c>
      <c r="K21">
        <v>0</v>
      </c>
      <c r="L21">
        <v>1</v>
      </c>
      <c r="M21">
        <v>1</v>
      </c>
      <c r="N21">
        <v>1</v>
      </c>
      <c r="O21">
        <v>1</v>
      </c>
      <c r="P21" t="s">
        <v>148</v>
      </c>
    </row>
    <row r="22" spans="1:16" x14ac:dyDescent="0.25">
      <c r="A22" t="s">
        <v>16</v>
      </c>
      <c r="B22" t="s">
        <v>51</v>
      </c>
      <c r="C22">
        <v>0</v>
      </c>
      <c r="D22">
        <v>10.27676606178284</v>
      </c>
      <c r="E22">
        <v>1</v>
      </c>
      <c r="F22">
        <v>1</v>
      </c>
      <c r="G22">
        <v>1</v>
      </c>
      <c r="H22">
        <v>0</v>
      </c>
      <c r="I22">
        <v>1</v>
      </c>
      <c r="J22">
        <v>0</v>
      </c>
      <c r="K22">
        <v>1</v>
      </c>
      <c r="L22">
        <v>1</v>
      </c>
      <c r="M22">
        <v>1</v>
      </c>
      <c r="N22">
        <v>1</v>
      </c>
      <c r="O22">
        <v>1</v>
      </c>
      <c r="P22" t="s">
        <v>149</v>
      </c>
    </row>
    <row r="23" spans="1:16" x14ac:dyDescent="0.25">
      <c r="A23" t="s">
        <v>16</v>
      </c>
      <c r="B23" t="s">
        <v>52</v>
      </c>
      <c r="C23">
        <v>0</v>
      </c>
      <c r="D23">
        <v>11.924159049987789</v>
      </c>
      <c r="E23">
        <v>1</v>
      </c>
      <c r="F23">
        <v>0</v>
      </c>
      <c r="G23">
        <v>1</v>
      </c>
      <c r="H23" t="s">
        <v>20</v>
      </c>
      <c r="I23">
        <v>1</v>
      </c>
      <c r="J23" t="s">
        <v>20</v>
      </c>
      <c r="K23">
        <v>1</v>
      </c>
      <c r="L23">
        <v>1</v>
      </c>
      <c r="M23">
        <v>1</v>
      </c>
      <c r="N23">
        <v>1</v>
      </c>
      <c r="O23">
        <v>1</v>
      </c>
      <c r="P23" t="s">
        <v>150</v>
      </c>
    </row>
    <row r="24" spans="1:16" x14ac:dyDescent="0.25">
      <c r="A24" t="s">
        <v>16</v>
      </c>
      <c r="B24" t="s">
        <v>54</v>
      </c>
      <c r="C24">
        <v>0</v>
      </c>
      <c r="D24">
        <v>11.008697748184201</v>
      </c>
      <c r="E24">
        <v>0</v>
      </c>
      <c r="F24" t="s">
        <v>20</v>
      </c>
      <c r="G24" t="s">
        <v>20</v>
      </c>
      <c r="H24" t="s">
        <v>20</v>
      </c>
      <c r="I24" t="s">
        <v>20</v>
      </c>
      <c r="J24" t="s">
        <v>20</v>
      </c>
      <c r="K24" t="s">
        <v>20</v>
      </c>
      <c r="L24" t="s">
        <v>20</v>
      </c>
      <c r="M24" t="s">
        <v>20</v>
      </c>
      <c r="N24" t="s">
        <v>20</v>
      </c>
      <c r="O24" t="s">
        <v>20</v>
      </c>
      <c r="P24" t="s">
        <v>151</v>
      </c>
    </row>
    <row r="25" spans="1:16" x14ac:dyDescent="0.25">
      <c r="A25" t="s">
        <v>16</v>
      </c>
      <c r="B25" t="s">
        <v>56</v>
      </c>
      <c r="C25">
        <v>0</v>
      </c>
      <c r="D25">
        <v>11.50967168807983</v>
      </c>
      <c r="E25">
        <v>1</v>
      </c>
      <c r="F25">
        <v>1</v>
      </c>
      <c r="G25">
        <v>1</v>
      </c>
      <c r="H25">
        <v>1</v>
      </c>
      <c r="I25">
        <v>1</v>
      </c>
      <c r="J25">
        <v>0</v>
      </c>
      <c r="K25">
        <v>1</v>
      </c>
      <c r="L25">
        <v>1</v>
      </c>
      <c r="M25">
        <v>1</v>
      </c>
      <c r="N25">
        <v>1</v>
      </c>
      <c r="O25">
        <v>1</v>
      </c>
      <c r="P25" t="s">
        <v>152</v>
      </c>
    </row>
    <row r="26" spans="1:16" x14ac:dyDescent="0.25">
      <c r="A26" t="s">
        <v>16</v>
      </c>
      <c r="B26" t="s">
        <v>58</v>
      </c>
      <c r="C26">
        <v>0</v>
      </c>
      <c r="D26">
        <v>9.2698736190795898</v>
      </c>
      <c r="E26">
        <v>1</v>
      </c>
      <c r="F26">
        <v>1</v>
      </c>
      <c r="G26">
        <v>1</v>
      </c>
      <c r="H26">
        <v>1</v>
      </c>
      <c r="I26">
        <v>1</v>
      </c>
      <c r="J26">
        <v>1</v>
      </c>
      <c r="K26">
        <v>1</v>
      </c>
      <c r="L26">
        <v>1</v>
      </c>
      <c r="M26">
        <v>1</v>
      </c>
      <c r="N26">
        <v>1</v>
      </c>
      <c r="O26">
        <v>1</v>
      </c>
    </row>
    <row r="27" spans="1:16" x14ac:dyDescent="0.25">
      <c r="A27" t="s">
        <v>59</v>
      </c>
      <c r="B27" t="s">
        <v>17</v>
      </c>
      <c r="C27">
        <v>0</v>
      </c>
      <c r="D27">
        <v>12.20702910423279</v>
      </c>
      <c r="E27">
        <v>1</v>
      </c>
      <c r="F27">
        <v>0</v>
      </c>
      <c r="G27">
        <v>1</v>
      </c>
      <c r="H27" t="s">
        <v>20</v>
      </c>
      <c r="I27">
        <v>1</v>
      </c>
      <c r="J27" t="s">
        <v>20</v>
      </c>
      <c r="K27">
        <v>1</v>
      </c>
      <c r="L27">
        <v>1</v>
      </c>
      <c r="M27">
        <v>1</v>
      </c>
      <c r="N27">
        <v>1</v>
      </c>
      <c r="O27">
        <v>1</v>
      </c>
      <c r="P27" t="s">
        <v>153</v>
      </c>
    </row>
    <row r="28" spans="1:16" x14ac:dyDescent="0.25">
      <c r="A28" t="s">
        <v>59</v>
      </c>
      <c r="B28" t="s">
        <v>19</v>
      </c>
      <c r="C28">
        <v>0</v>
      </c>
      <c r="D28">
        <v>10.42805552482605</v>
      </c>
      <c r="E28">
        <v>1</v>
      </c>
      <c r="F28">
        <v>1</v>
      </c>
      <c r="G28">
        <v>1</v>
      </c>
      <c r="H28">
        <v>1</v>
      </c>
      <c r="I28">
        <v>1</v>
      </c>
      <c r="J28">
        <v>1</v>
      </c>
      <c r="K28">
        <v>1</v>
      </c>
      <c r="L28">
        <v>1</v>
      </c>
      <c r="M28">
        <v>1</v>
      </c>
      <c r="N28">
        <v>1</v>
      </c>
      <c r="O28">
        <v>1</v>
      </c>
    </row>
    <row r="29" spans="1:16" x14ac:dyDescent="0.25">
      <c r="A29" t="s">
        <v>59</v>
      </c>
      <c r="B29" t="s">
        <v>22</v>
      </c>
      <c r="C29">
        <v>0</v>
      </c>
      <c r="D29">
        <v>11.25865721702576</v>
      </c>
      <c r="E29">
        <v>1</v>
      </c>
      <c r="F29">
        <v>1</v>
      </c>
      <c r="G29">
        <v>1</v>
      </c>
      <c r="H29">
        <v>1</v>
      </c>
      <c r="I29">
        <v>1</v>
      </c>
      <c r="J29">
        <v>1</v>
      </c>
      <c r="K29">
        <v>0</v>
      </c>
      <c r="L29">
        <v>1</v>
      </c>
      <c r="M29">
        <v>1</v>
      </c>
      <c r="N29">
        <v>1</v>
      </c>
      <c r="O29">
        <v>1</v>
      </c>
      <c r="P29" t="s">
        <v>154</v>
      </c>
    </row>
    <row r="30" spans="1:16" x14ac:dyDescent="0.25">
      <c r="A30" t="s">
        <v>59</v>
      </c>
      <c r="B30" t="s">
        <v>24</v>
      </c>
      <c r="C30">
        <v>0</v>
      </c>
      <c r="D30">
        <v>12.3330762386322</v>
      </c>
      <c r="E30">
        <v>1</v>
      </c>
      <c r="F30">
        <v>1</v>
      </c>
      <c r="G30">
        <v>1</v>
      </c>
      <c r="H30">
        <v>1</v>
      </c>
      <c r="I30">
        <v>1</v>
      </c>
      <c r="J30">
        <v>0</v>
      </c>
      <c r="K30">
        <v>1</v>
      </c>
      <c r="L30">
        <v>1</v>
      </c>
      <c r="M30">
        <v>1</v>
      </c>
      <c r="N30">
        <v>1</v>
      </c>
      <c r="O30">
        <v>1</v>
      </c>
      <c r="P30" t="s">
        <v>155</v>
      </c>
    </row>
    <row r="31" spans="1:16" x14ac:dyDescent="0.25">
      <c r="A31" t="s">
        <v>59</v>
      </c>
      <c r="B31" t="s">
        <v>25</v>
      </c>
      <c r="C31">
        <v>0</v>
      </c>
      <c r="D31">
        <v>11.726675987243651</v>
      </c>
      <c r="E31">
        <v>1</v>
      </c>
      <c r="F31">
        <v>1</v>
      </c>
      <c r="G31">
        <v>1</v>
      </c>
      <c r="H31">
        <v>1</v>
      </c>
      <c r="I31">
        <v>1</v>
      </c>
      <c r="J31">
        <v>1</v>
      </c>
      <c r="K31">
        <v>1</v>
      </c>
      <c r="L31">
        <v>1</v>
      </c>
      <c r="M31">
        <v>1</v>
      </c>
      <c r="N31">
        <v>1</v>
      </c>
      <c r="O31">
        <v>1</v>
      </c>
    </row>
    <row r="32" spans="1:16" x14ac:dyDescent="0.25">
      <c r="A32" t="s">
        <v>59</v>
      </c>
      <c r="B32" t="s">
        <v>26</v>
      </c>
      <c r="C32">
        <v>0</v>
      </c>
      <c r="D32">
        <v>11.085870981216431</v>
      </c>
      <c r="E32">
        <v>1</v>
      </c>
      <c r="F32">
        <v>1</v>
      </c>
      <c r="G32">
        <v>1</v>
      </c>
      <c r="H32">
        <v>1</v>
      </c>
      <c r="I32">
        <v>1</v>
      </c>
      <c r="J32">
        <v>1</v>
      </c>
      <c r="K32">
        <v>1</v>
      </c>
      <c r="L32">
        <v>1</v>
      </c>
      <c r="M32">
        <v>1</v>
      </c>
      <c r="N32">
        <v>1</v>
      </c>
      <c r="O32">
        <v>1</v>
      </c>
    </row>
    <row r="33" spans="1:16" x14ac:dyDescent="0.25">
      <c r="A33" t="s">
        <v>59</v>
      </c>
      <c r="B33" t="s">
        <v>27</v>
      </c>
      <c r="C33">
        <v>0</v>
      </c>
      <c r="D33">
        <v>11.93829083442688</v>
      </c>
      <c r="E33">
        <v>1</v>
      </c>
      <c r="F33">
        <v>1</v>
      </c>
      <c r="G33">
        <v>1</v>
      </c>
      <c r="H33">
        <v>1</v>
      </c>
      <c r="I33">
        <v>1</v>
      </c>
      <c r="J33">
        <v>0</v>
      </c>
      <c r="K33">
        <v>1</v>
      </c>
      <c r="L33">
        <v>1</v>
      </c>
      <c r="M33">
        <v>1</v>
      </c>
      <c r="N33">
        <v>1</v>
      </c>
      <c r="O33">
        <v>1</v>
      </c>
      <c r="P33" t="s">
        <v>156</v>
      </c>
    </row>
    <row r="34" spans="1:16" x14ac:dyDescent="0.25">
      <c r="A34" t="s">
        <v>59</v>
      </c>
      <c r="B34" t="s">
        <v>29</v>
      </c>
      <c r="C34">
        <v>0</v>
      </c>
      <c r="D34">
        <v>11.07460355758667</v>
      </c>
      <c r="E34">
        <v>1</v>
      </c>
      <c r="F34">
        <v>1</v>
      </c>
      <c r="G34">
        <v>1</v>
      </c>
      <c r="H34">
        <v>1</v>
      </c>
      <c r="I34">
        <v>1</v>
      </c>
      <c r="J34">
        <v>1</v>
      </c>
      <c r="K34">
        <v>1</v>
      </c>
      <c r="L34">
        <v>1</v>
      </c>
      <c r="M34">
        <v>1</v>
      </c>
      <c r="N34">
        <v>1</v>
      </c>
      <c r="O34">
        <v>1</v>
      </c>
    </row>
    <row r="35" spans="1:16" x14ac:dyDescent="0.25">
      <c r="A35" t="s">
        <v>59</v>
      </c>
      <c r="B35" t="s">
        <v>30</v>
      </c>
      <c r="C35">
        <v>0</v>
      </c>
      <c r="D35">
        <v>10.286547899246219</v>
      </c>
      <c r="E35">
        <v>1</v>
      </c>
      <c r="F35">
        <v>1</v>
      </c>
      <c r="G35">
        <v>1</v>
      </c>
      <c r="H35">
        <v>1</v>
      </c>
      <c r="I35">
        <v>1</v>
      </c>
      <c r="J35">
        <v>1</v>
      </c>
      <c r="K35">
        <v>1</v>
      </c>
      <c r="L35">
        <v>1</v>
      </c>
      <c r="M35">
        <v>1</v>
      </c>
      <c r="N35">
        <v>1</v>
      </c>
      <c r="O35">
        <v>1</v>
      </c>
    </row>
    <row r="36" spans="1:16" x14ac:dyDescent="0.25">
      <c r="A36" t="s">
        <v>59</v>
      </c>
      <c r="B36" t="s">
        <v>32</v>
      </c>
      <c r="C36">
        <v>0</v>
      </c>
      <c r="D36">
        <v>4.8174362182617188</v>
      </c>
      <c r="E36">
        <v>1</v>
      </c>
      <c r="F36">
        <v>1</v>
      </c>
      <c r="G36">
        <v>1</v>
      </c>
      <c r="H36">
        <v>1</v>
      </c>
      <c r="I36">
        <v>1</v>
      </c>
      <c r="J36">
        <v>0</v>
      </c>
      <c r="K36">
        <v>1</v>
      </c>
      <c r="L36">
        <v>1</v>
      </c>
      <c r="M36">
        <v>1</v>
      </c>
      <c r="N36">
        <v>1</v>
      </c>
      <c r="O36">
        <v>1</v>
      </c>
      <c r="P36" t="s">
        <v>157</v>
      </c>
    </row>
    <row r="37" spans="1:16" x14ac:dyDescent="0.25">
      <c r="A37" t="s">
        <v>59</v>
      </c>
      <c r="B37" t="s">
        <v>33</v>
      </c>
      <c r="C37">
        <v>0</v>
      </c>
      <c r="D37">
        <v>2.975420475006104</v>
      </c>
      <c r="E37">
        <v>1</v>
      </c>
      <c r="F37">
        <v>1</v>
      </c>
      <c r="G37">
        <v>1</v>
      </c>
      <c r="H37">
        <v>1</v>
      </c>
      <c r="I37">
        <v>1</v>
      </c>
      <c r="J37">
        <v>1</v>
      </c>
      <c r="K37">
        <v>1</v>
      </c>
      <c r="L37">
        <v>1</v>
      </c>
      <c r="M37">
        <v>1</v>
      </c>
      <c r="N37">
        <v>1</v>
      </c>
      <c r="O37">
        <v>1</v>
      </c>
    </row>
    <row r="38" spans="1:16" x14ac:dyDescent="0.25">
      <c r="A38" t="s">
        <v>59</v>
      </c>
      <c r="B38" t="s">
        <v>35</v>
      </c>
      <c r="C38">
        <v>0</v>
      </c>
      <c r="D38">
        <v>14.602861642837521</v>
      </c>
      <c r="E38">
        <v>0</v>
      </c>
      <c r="F38" t="s">
        <v>20</v>
      </c>
      <c r="G38" t="s">
        <v>20</v>
      </c>
      <c r="H38" t="s">
        <v>20</v>
      </c>
      <c r="I38" t="s">
        <v>20</v>
      </c>
      <c r="J38" t="s">
        <v>20</v>
      </c>
      <c r="K38" t="s">
        <v>20</v>
      </c>
      <c r="L38" t="s">
        <v>20</v>
      </c>
      <c r="M38" t="s">
        <v>20</v>
      </c>
      <c r="N38" t="s">
        <v>20</v>
      </c>
      <c r="O38" t="s">
        <v>20</v>
      </c>
      <c r="P38" t="s">
        <v>158</v>
      </c>
    </row>
    <row r="39" spans="1:16" x14ac:dyDescent="0.25">
      <c r="A39" t="s">
        <v>59</v>
      </c>
      <c r="B39" t="s">
        <v>37</v>
      </c>
      <c r="C39">
        <v>0</v>
      </c>
      <c r="D39">
        <v>11.80574154853821</v>
      </c>
      <c r="E39">
        <v>1</v>
      </c>
      <c r="F39">
        <v>1</v>
      </c>
      <c r="G39">
        <v>1</v>
      </c>
      <c r="H39">
        <v>0</v>
      </c>
      <c r="I39">
        <v>1</v>
      </c>
      <c r="J39">
        <v>0</v>
      </c>
      <c r="K39">
        <v>0</v>
      </c>
      <c r="L39">
        <v>1</v>
      </c>
      <c r="M39">
        <v>1</v>
      </c>
      <c r="N39">
        <v>1</v>
      </c>
      <c r="O39">
        <v>1</v>
      </c>
      <c r="P39" t="s">
        <v>159</v>
      </c>
    </row>
    <row r="40" spans="1:16" x14ac:dyDescent="0.25">
      <c r="A40" t="s">
        <v>59</v>
      </c>
      <c r="B40" t="s">
        <v>39</v>
      </c>
      <c r="C40">
        <v>0</v>
      </c>
      <c r="D40">
        <v>7.709644079208374</v>
      </c>
      <c r="E40">
        <v>0</v>
      </c>
      <c r="F40" t="s">
        <v>20</v>
      </c>
      <c r="G40" t="s">
        <v>20</v>
      </c>
      <c r="H40" t="s">
        <v>20</v>
      </c>
      <c r="I40" t="s">
        <v>20</v>
      </c>
      <c r="J40" t="s">
        <v>20</v>
      </c>
      <c r="K40" t="s">
        <v>20</v>
      </c>
      <c r="L40" t="s">
        <v>20</v>
      </c>
      <c r="M40" t="s">
        <v>20</v>
      </c>
      <c r="N40" t="s">
        <v>20</v>
      </c>
      <c r="O40" t="s">
        <v>20</v>
      </c>
      <c r="P40" t="s">
        <v>160</v>
      </c>
    </row>
    <row r="41" spans="1:16" x14ac:dyDescent="0.25">
      <c r="A41" t="s">
        <v>59</v>
      </c>
      <c r="B41" t="s">
        <v>41</v>
      </c>
      <c r="C41">
        <v>0</v>
      </c>
      <c r="D41">
        <v>7.0107755661010742</v>
      </c>
      <c r="E41">
        <v>0</v>
      </c>
      <c r="F41" t="s">
        <v>20</v>
      </c>
      <c r="G41" t="s">
        <v>20</v>
      </c>
      <c r="H41" t="s">
        <v>20</v>
      </c>
      <c r="I41" t="s">
        <v>20</v>
      </c>
      <c r="J41" t="s">
        <v>20</v>
      </c>
      <c r="K41" t="s">
        <v>20</v>
      </c>
      <c r="L41" t="s">
        <v>20</v>
      </c>
      <c r="M41" t="s">
        <v>20</v>
      </c>
      <c r="N41" t="s">
        <v>20</v>
      </c>
      <c r="O41" t="s">
        <v>20</v>
      </c>
      <c r="P41" t="s">
        <v>161</v>
      </c>
    </row>
    <row r="42" spans="1:16" x14ac:dyDescent="0.25">
      <c r="A42" t="s">
        <v>59</v>
      </c>
      <c r="B42" t="s">
        <v>43</v>
      </c>
      <c r="C42">
        <v>0</v>
      </c>
      <c r="D42">
        <v>2.956682443618774</v>
      </c>
      <c r="E42">
        <v>1</v>
      </c>
      <c r="F42">
        <v>1</v>
      </c>
      <c r="G42">
        <v>1</v>
      </c>
      <c r="H42">
        <v>1</v>
      </c>
      <c r="I42">
        <v>1</v>
      </c>
      <c r="J42">
        <v>1</v>
      </c>
      <c r="K42">
        <v>1</v>
      </c>
      <c r="L42">
        <v>1</v>
      </c>
      <c r="M42">
        <v>1</v>
      </c>
      <c r="N42">
        <v>1</v>
      </c>
      <c r="O42">
        <v>1</v>
      </c>
    </row>
    <row r="43" spans="1:16" x14ac:dyDescent="0.25">
      <c r="A43" t="s">
        <v>59</v>
      </c>
      <c r="B43" t="s">
        <v>45</v>
      </c>
      <c r="C43">
        <v>0</v>
      </c>
      <c r="D43">
        <v>6.6009993553161621</v>
      </c>
      <c r="E43">
        <v>1</v>
      </c>
      <c r="F43">
        <v>1</v>
      </c>
      <c r="G43">
        <v>0</v>
      </c>
      <c r="H43" t="s">
        <v>20</v>
      </c>
      <c r="I43">
        <v>1</v>
      </c>
      <c r="J43">
        <v>1</v>
      </c>
      <c r="K43">
        <v>1</v>
      </c>
      <c r="L43">
        <v>1</v>
      </c>
      <c r="M43">
        <v>1</v>
      </c>
      <c r="N43">
        <v>1</v>
      </c>
      <c r="O43">
        <v>1</v>
      </c>
      <c r="P43" t="s">
        <v>162</v>
      </c>
    </row>
    <row r="44" spans="1:16" x14ac:dyDescent="0.25">
      <c r="A44" t="s">
        <v>59</v>
      </c>
      <c r="B44" t="s">
        <v>47</v>
      </c>
      <c r="C44">
        <v>0</v>
      </c>
      <c r="D44">
        <v>9.629084587097168</v>
      </c>
      <c r="E44">
        <v>1</v>
      </c>
      <c r="F44">
        <v>1</v>
      </c>
      <c r="G44">
        <v>1</v>
      </c>
      <c r="H44">
        <v>1</v>
      </c>
      <c r="I44">
        <v>1</v>
      </c>
      <c r="J44">
        <v>1</v>
      </c>
      <c r="K44">
        <v>1</v>
      </c>
      <c r="L44">
        <v>1</v>
      </c>
      <c r="M44">
        <v>1</v>
      </c>
      <c r="N44">
        <v>1</v>
      </c>
      <c r="O44">
        <v>1</v>
      </c>
    </row>
    <row r="45" spans="1:16" x14ac:dyDescent="0.25">
      <c r="A45" t="s">
        <v>59</v>
      </c>
      <c r="B45" t="s">
        <v>48</v>
      </c>
      <c r="C45">
        <v>0</v>
      </c>
      <c r="D45">
        <v>3.0940101146697998</v>
      </c>
      <c r="E45">
        <v>1</v>
      </c>
      <c r="F45">
        <v>1</v>
      </c>
      <c r="G45">
        <v>1</v>
      </c>
      <c r="H45">
        <v>1</v>
      </c>
      <c r="I45">
        <v>1</v>
      </c>
      <c r="J45">
        <v>1</v>
      </c>
      <c r="K45">
        <v>1</v>
      </c>
      <c r="L45">
        <v>1</v>
      </c>
      <c r="M45">
        <v>1</v>
      </c>
      <c r="N45">
        <v>1</v>
      </c>
      <c r="O45">
        <v>1</v>
      </c>
    </row>
    <row r="46" spans="1:16" x14ac:dyDescent="0.25">
      <c r="A46" t="s">
        <v>59</v>
      </c>
      <c r="B46" t="s">
        <v>49</v>
      </c>
      <c r="C46">
        <v>0</v>
      </c>
      <c r="D46">
        <v>7.3245415687561044</v>
      </c>
      <c r="E46">
        <v>1</v>
      </c>
      <c r="F46">
        <v>1</v>
      </c>
      <c r="G46">
        <v>0</v>
      </c>
      <c r="H46" t="s">
        <v>20</v>
      </c>
      <c r="I46">
        <v>1</v>
      </c>
      <c r="J46">
        <v>1</v>
      </c>
      <c r="K46">
        <v>1</v>
      </c>
      <c r="L46">
        <v>1</v>
      </c>
      <c r="M46">
        <v>1</v>
      </c>
      <c r="N46">
        <v>1</v>
      </c>
      <c r="O46">
        <v>1</v>
      </c>
      <c r="P46" t="s">
        <v>163</v>
      </c>
    </row>
    <row r="47" spans="1:16" x14ac:dyDescent="0.25">
      <c r="A47" t="s">
        <v>59</v>
      </c>
      <c r="B47" t="s">
        <v>51</v>
      </c>
      <c r="C47">
        <v>0</v>
      </c>
      <c r="D47">
        <v>2.9596738815307622</v>
      </c>
      <c r="E47">
        <v>1</v>
      </c>
      <c r="F47">
        <v>1</v>
      </c>
      <c r="G47">
        <v>1</v>
      </c>
      <c r="H47">
        <v>1</v>
      </c>
      <c r="I47">
        <v>1</v>
      </c>
      <c r="J47">
        <v>1</v>
      </c>
      <c r="K47">
        <v>1</v>
      </c>
      <c r="L47">
        <v>1</v>
      </c>
      <c r="M47">
        <v>1</v>
      </c>
      <c r="N47">
        <v>1</v>
      </c>
      <c r="O47">
        <v>1</v>
      </c>
    </row>
    <row r="48" spans="1:16" x14ac:dyDescent="0.25">
      <c r="A48" t="s">
        <v>59</v>
      </c>
      <c r="B48" t="s">
        <v>52</v>
      </c>
      <c r="C48">
        <v>0</v>
      </c>
      <c r="D48">
        <v>10.26240396499634</v>
      </c>
      <c r="E48">
        <v>1</v>
      </c>
      <c r="F48">
        <v>1</v>
      </c>
      <c r="G48">
        <v>1</v>
      </c>
      <c r="H48">
        <v>1</v>
      </c>
      <c r="I48">
        <v>1</v>
      </c>
      <c r="J48">
        <v>1</v>
      </c>
      <c r="K48">
        <v>1</v>
      </c>
      <c r="L48">
        <v>1</v>
      </c>
      <c r="M48">
        <v>1</v>
      </c>
      <c r="N48">
        <v>1</v>
      </c>
      <c r="O48">
        <v>1</v>
      </c>
    </row>
    <row r="49" spans="1:16" x14ac:dyDescent="0.25">
      <c r="A49" t="s">
        <v>59</v>
      </c>
      <c r="B49" t="s">
        <v>54</v>
      </c>
      <c r="C49">
        <v>0</v>
      </c>
      <c r="D49">
        <v>6.10304856300354</v>
      </c>
      <c r="E49">
        <v>1</v>
      </c>
      <c r="F49">
        <v>1</v>
      </c>
      <c r="G49">
        <v>1</v>
      </c>
      <c r="H49">
        <v>1</v>
      </c>
      <c r="I49">
        <v>0</v>
      </c>
      <c r="J49">
        <v>0</v>
      </c>
      <c r="K49">
        <v>1</v>
      </c>
      <c r="L49">
        <v>1</v>
      </c>
      <c r="M49">
        <v>1</v>
      </c>
      <c r="N49">
        <v>1</v>
      </c>
      <c r="O49">
        <v>1</v>
      </c>
      <c r="P49" t="s">
        <v>164</v>
      </c>
    </row>
    <row r="50" spans="1:16" x14ac:dyDescent="0.25">
      <c r="A50" t="s">
        <v>59</v>
      </c>
      <c r="B50" t="s">
        <v>56</v>
      </c>
      <c r="C50">
        <v>0</v>
      </c>
      <c r="D50">
        <v>9.7570517063140869</v>
      </c>
      <c r="E50">
        <v>1</v>
      </c>
      <c r="F50">
        <v>1</v>
      </c>
      <c r="G50">
        <v>1</v>
      </c>
      <c r="H50">
        <v>1</v>
      </c>
      <c r="I50">
        <v>1</v>
      </c>
      <c r="J50">
        <v>1</v>
      </c>
      <c r="K50">
        <v>1</v>
      </c>
      <c r="L50">
        <v>1</v>
      </c>
      <c r="M50">
        <v>1</v>
      </c>
      <c r="N50">
        <v>1</v>
      </c>
      <c r="O50">
        <v>1</v>
      </c>
    </row>
    <row r="51" spans="1:16" x14ac:dyDescent="0.25">
      <c r="A51" t="s">
        <v>59</v>
      </c>
      <c r="B51" t="s">
        <v>58</v>
      </c>
      <c r="C51">
        <v>0</v>
      </c>
      <c r="D51">
        <v>6.033116340637207</v>
      </c>
      <c r="E51">
        <v>1</v>
      </c>
      <c r="F51">
        <v>1</v>
      </c>
      <c r="G51">
        <v>1</v>
      </c>
      <c r="H51">
        <v>0</v>
      </c>
      <c r="I51">
        <v>1</v>
      </c>
      <c r="J51">
        <v>0</v>
      </c>
      <c r="K51">
        <v>1</v>
      </c>
      <c r="L51">
        <v>1</v>
      </c>
      <c r="M51">
        <v>1</v>
      </c>
      <c r="N51">
        <v>1</v>
      </c>
      <c r="O51">
        <v>1</v>
      </c>
      <c r="P51" t="s">
        <v>165</v>
      </c>
    </row>
    <row r="52" spans="1:16" x14ac:dyDescent="0.25">
      <c r="A52" t="s">
        <v>73</v>
      </c>
      <c r="B52" t="s">
        <v>17</v>
      </c>
      <c r="C52">
        <v>0</v>
      </c>
      <c r="D52">
        <v>9.5507755279541016</v>
      </c>
      <c r="E52">
        <v>1</v>
      </c>
      <c r="F52">
        <v>1</v>
      </c>
      <c r="G52">
        <v>1</v>
      </c>
      <c r="H52">
        <v>1</v>
      </c>
      <c r="I52">
        <v>1</v>
      </c>
      <c r="J52">
        <v>1</v>
      </c>
      <c r="K52">
        <v>1</v>
      </c>
      <c r="L52">
        <v>1</v>
      </c>
      <c r="M52">
        <v>1</v>
      </c>
      <c r="N52">
        <v>1</v>
      </c>
      <c r="O52">
        <v>1</v>
      </c>
    </row>
    <row r="53" spans="1:16" x14ac:dyDescent="0.25">
      <c r="A53" t="s">
        <v>73</v>
      </c>
      <c r="B53" t="s">
        <v>19</v>
      </c>
      <c r="C53">
        <v>0</v>
      </c>
      <c r="D53">
        <v>5.0470013618469238</v>
      </c>
      <c r="E53">
        <v>1</v>
      </c>
      <c r="F53">
        <v>1</v>
      </c>
      <c r="G53">
        <v>1</v>
      </c>
      <c r="H53">
        <v>1</v>
      </c>
      <c r="I53">
        <v>1</v>
      </c>
      <c r="J53">
        <v>0</v>
      </c>
      <c r="K53">
        <v>1</v>
      </c>
      <c r="L53">
        <v>1</v>
      </c>
      <c r="M53">
        <v>1</v>
      </c>
      <c r="N53">
        <v>1</v>
      </c>
      <c r="O53">
        <v>1</v>
      </c>
      <c r="P53" t="s">
        <v>166</v>
      </c>
    </row>
    <row r="54" spans="1:16" x14ac:dyDescent="0.25">
      <c r="A54" t="s">
        <v>73</v>
      </c>
      <c r="B54" t="s">
        <v>22</v>
      </c>
      <c r="C54">
        <v>0</v>
      </c>
      <c r="D54">
        <v>5.9397170543670654</v>
      </c>
      <c r="E54">
        <v>1</v>
      </c>
      <c r="F54">
        <v>1</v>
      </c>
      <c r="G54">
        <v>1</v>
      </c>
      <c r="H54">
        <v>1</v>
      </c>
      <c r="I54">
        <v>1</v>
      </c>
      <c r="J54">
        <v>0</v>
      </c>
      <c r="K54">
        <v>1</v>
      </c>
      <c r="L54">
        <v>1</v>
      </c>
      <c r="M54">
        <v>1</v>
      </c>
      <c r="N54">
        <v>1</v>
      </c>
      <c r="O54">
        <v>1</v>
      </c>
      <c r="P54" t="s">
        <v>167</v>
      </c>
    </row>
    <row r="55" spans="1:16" x14ac:dyDescent="0.25">
      <c r="A55" t="s">
        <v>73</v>
      </c>
      <c r="B55" t="s">
        <v>24</v>
      </c>
      <c r="C55">
        <v>0</v>
      </c>
      <c r="D55">
        <v>13.263376235961911</v>
      </c>
      <c r="E55">
        <v>1</v>
      </c>
      <c r="F55">
        <v>1</v>
      </c>
      <c r="G55">
        <v>1</v>
      </c>
      <c r="H55">
        <v>1</v>
      </c>
      <c r="I55">
        <v>1</v>
      </c>
      <c r="J55">
        <v>1</v>
      </c>
      <c r="K55">
        <v>0</v>
      </c>
      <c r="L55">
        <v>0</v>
      </c>
      <c r="M55">
        <v>1</v>
      </c>
      <c r="N55">
        <v>1</v>
      </c>
      <c r="O55">
        <v>1</v>
      </c>
      <c r="P55" t="s">
        <v>168</v>
      </c>
    </row>
    <row r="56" spans="1:16" x14ac:dyDescent="0.25">
      <c r="A56" t="s">
        <v>73</v>
      </c>
      <c r="B56" t="s">
        <v>25</v>
      </c>
      <c r="C56">
        <v>0</v>
      </c>
      <c r="D56">
        <v>14.170376300811769</v>
      </c>
      <c r="E56">
        <v>1</v>
      </c>
      <c r="F56">
        <v>1</v>
      </c>
      <c r="G56">
        <v>1</v>
      </c>
      <c r="H56">
        <v>1</v>
      </c>
      <c r="I56">
        <v>1</v>
      </c>
      <c r="J56">
        <v>1</v>
      </c>
      <c r="K56">
        <v>0</v>
      </c>
      <c r="L56">
        <v>0</v>
      </c>
      <c r="M56">
        <v>1</v>
      </c>
      <c r="N56">
        <v>1</v>
      </c>
      <c r="O56">
        <v>1</v>
      </c>
      <c r="P56" t="s">
        <v>169</v>
      </c>
    </row>
    <row r="57" spans="1:16" x14ac:dyDescent="0.25">
      <c r="A57" t="s">
        <v>73</v>
      </c>
      <c r="B57" t="s">
        <v>26</v>
      </c>
      <c r="C57">
        <v>0</v>
      </c>
      <c r="D57">
        <v>10.492910861968991</v>
      </c>
      <c r="E57">
        <v>1</v>
      </c>
      <c r="F57">
        <v>1</v>
      </c>
      <c r="G57">
        <v>1</v>
      </c>
      <c r="H57">
        <v>1</v>
      </c>
      <c r="I57">
        <v>1</v>
      </c>
      <c r="J57">
        <v>1</v>
      </c>
      <c r="K57">
        <v>0</v>
      </c>
      <c r="L57">
        <v>1</v>
      </c>
      <c r="M57">
        <v>1</v>
      </c>
      <c r="N57">
        <v>1</v>
      </c>
      <c r="O57">
        <v>1</v>
      </c>
      <c r="P57" t="s">
        <v>170</v>
      </c>
    </row>
    <row r="58" spans="1:16" x14ac:dyDescent="0.25">
      <c r="A58" t="s">
        <v>73</v>
      </c>
      <c r="B58" t="s">
        <v>27</v>
      </c>
      <c r="C58">
        <v>0</v>
      </c>
      <c r="D58">
        <v>5.0305304527282706</v>
      </c>
      <c r="E58">
        <v>1</v>
      </c>
      <c r="F58">
        <v>1</v>
      </c>
      <c r="G58">
        <v>1</v>
      </c>
      <c r="H58">
        <v>1</v>
      </c>
      <c r="I58">
        <v>1</v>
      </c>
      <c r="J58">
        <v>0</v>
      </c>
      <c r="K58">
        <v>0</v>
      </c>
      <c r="L58">
        <v>1</v>
      </c>
      <c r="M58">
        <v>1</v>
      </c>
      <c r="N58">
        <v>1</v>
      </c>
      <c r="O58">
        <v>1</v>
      </c>
      <c r="P58" t="s">
        <v>171</v>
      </c>
    </row>
    <row r="59" spans="1:16" x14ac:dyDescent="0.25">
      <c r="A59" t="s">
        <v>73</v>
      </c>
      <c r="B59" t="s">
        <v>29</v>
      </c>
      <c r="C59">
        <v>0</v>
      </c>
      <c r="D59">
        <v>9.4401206970214844</v>
      </c>
      <c r="E59">
        <v>1</v>
      </c>
      <c r="F59">
        <v>1</v>
      </c>
      <c r="G59">
        <v>1</v>
      </c>
      <c r="H59">
        <v>1</v>
      </c>
      <c r="I59">
        <v>1</v>
      </c>
      <c r="J59">
        <v>1</v>
      </c>
      <c r="K59">
        <v>1</v>
      </c>
      <c r="L59">
        <v>1</v>
      </c>
      <c r="M59">
        <v>1</v>
      </c>
      <c r="N59">
        <v>1</v>
      </c>
      <c r="O59">
        <v>1</v>
      </c>
    </row>
    <row r="60" spans="1:16" x14ac:dyDescent="0.25">
      <c r="A60" t="s">
        <v>73</v>
      </c>
      <c r="B60" t="s">
        <v>30</v>
      </c>
      <c r="C60">
        <v>0</v>
      </c>
      <c r="D60">
        <v>5.2350046634674072</v>
      </c>
      <c r="E60">
        <v>1</v>
      </c>
      <c r="F60">
        <v>1</v>
      </c>
      <c r="G60">
        <v>1</v>
      </c>
      <c r="H60">
        <v>1</v>
      </c>
      <c r="I60">
        <v>1</v>
      </c>
      <c r="J60">
        <v>0</v>
      </c>
      <c r="K60">
        <v>1</v>
      </c>
      <c r="L60">
        <v>1</v>
      </c>
      <c r="M60">
        <v>1</v>
      </c>
      <c r="N60">
        <v>1</v>
      </c>
      <c r="O60">
        <v>1</v>
      </c>
      <c r="P60" t="s">
        <v>172</v>
      </c>
    </row>
    <row r="61" spans="1:16" x14ac:dyDescent="0.25">
      <c r="A61" t="s">
        <v>73</v>
      </c>
      <c r="B61" t="s">
        <v>32</v>
      </c>
      <c r="C61">
        <v>0</v>
      </c>
      <c r="D61">
        <v>14.10125041007996</v>
      </c>
      <c r="E61">
        <v>0</v>
      </c>
      <c r="F61" t="s">
        <v>20</v>
      </c>
      <c r="G61" t="s">
        <v>20</v>
      </c>
      <c r="H61" t="s">
        <v>20</v>
      </c>
      <c r="I61" t="s">
        <v>20</v>
      </c>
      <c r="J61" t="s">
        <v>20</v>
      </c>
      <c r="K61" t="s">
        <v>20</v>
      </c>
      <c r="L61" t="s">
        <v>20</v>
      </c>
      <c r="M61" t="s">
        <v>20</v>
      </c>
      <c r="N61" t="s">
        <v>20</v>
      </c>
      <c r="O61" t="s">
        <v>20</v>
      </c>
      <c r="P61" t="s">
        <v>173</v>
      </c>
    </row>
    <row r="62" spans="1:16" x14ac:dyDescent="0.25">
      <c r="A62" t="s">
        <v>73</v>
      </c>
      <c r="B62" t="s">
        <v>33</v>
      </c>
      <c r="C62">
        <v>0</v>
      </c>
      <c r="D62">
        <v>2.988778829574585</v>
      </c>
      <c r="E62">
        <v>1</v>
      </c>
      <c r="F62">
        <v>1</v>
      </c>
      <c r="G62">
        <v>1</v>
      </c>
      <c r="H62">
        <v>1</v>
      </c>
      <c r="I62">
        <v>1</v>
      </c>
      <c r="J62">
        <v>1</v>
      </c>
      <c r="K62">
        <v>1</v>
      </c>
      <c r="L62">
        <v>1</v>
      </c>
      <c r="M62">
        <v>1</v>
      </c>
      <c r="N62">
        <v>1</v>
      </c>
      <c r="O62">
        <v>1</v>
      </c>
    </row>
    <row r="63" spans="1:16" x14ac:dyDescent="0.25">
      <c r="A63" t="s">
        <v>73</v>
      </c>
      <c r="B63" t="s">
        <v>35</v>
      </c>
      <c r="C63">
        <v>0</v>
      </c>
      <c r="D63">
        <v>5.5075390338897714</v>
      </c>
      <c r="E63">
        <v>1</v>
      </c>
      <c r="F63">
        <v>1</v>
      </c>
      <c r="G63">
        <v>1</v>
      </c>
      <c r="H63">
        <v>1</v>
      </c>
      <c r="I63">
        <v>1</v>
      </c>
      <c r="J63">
        <v>0</v>
      </c>
      <c r="K63">
        <v>0</v>
      </c>
      <c r="L63">
        <v>1</v>
      </c>
      <c r="M63">
        <v>1</v>
      </c>
      <c r="N63">
        <v>1</v>
      </c>
      <c r="O63">
        <v>1</v>
      </c>
      <c r="P63" t="s">
        <v>174</v>
      </c>
    </row>
    <row r="64" spans="1:16" x14ac:dyDescent="0.25">
      <c r="A64" t="s">
        <v>73</v>
      </c>
      <c r="B64" t="s">
        <v>37</v>
      </c>
      <c r="C64">
        <v>0</v>
      </c>
      <c r="D64">
        <v>9.8732242584228516</v>
      </c>
      <c r="E64">
        <v>1</v>
      </c>
      <c r="F64">
        <v>1</v>
      </c>
      <c r="G64">
        <v>1</v>
      </c>
      <c r="H64">
        <v>1</v>
      </c>
      <c r="I64">
        <v>1</v>
      </c>
      <c r="J64">
        <v>1</v>
      </c>
      <c r="K64">
        <v>1</v>
      </c>
      <c r="L64">
        <v>1</v>
      </c>
      <c r="M64">
        <v>1</v>
      </c>
      <c r="N64">
        <v>1</v>
      </c>
      <c r="O64">
        <v>1</v>
      </c>
    </row>
    <row r="65" spans="1:16" x14ac:dyDescent="0.25">
      <c r="A65" t="s">
        <v>73</v>
      </c>
      <c r="B65" t="s">
        <v>39</v>
      </c>
      <c r="C65">
        <v>0</v>
      </c>
      <c r="D65">
        <v>2.6745648384094238</v>
      </c>
      <c r="E65">
        <v>1</v>
      </c>
      <c r="F65">
        <v>1</v>
      </c>
      <c r="G65">
        <v>1</v>
      </c>
      <c r="H65">
        <v>1</v>
      </c>
      <c r="I65">
        <v>1</v>
      </c>
      <c r="J65">
        <v>1</v>
      </c>
      <c r="K65">
        <v>1</v>
      </c>
      <c r="L65">
        <v>1</v>
      </c>
      <c r="M65">
        <v>1</v>
      </c>
      <c r="N65">
        <v>1</v>
      </c>
      <c r="O65">
        <v>1</v>
      </c>
    </row>
    <row r="66" spans="1:16" x14ac:dyDescent="0.25">
      <c r="A66" t="s">
        <v>73</v>
      </c>
      <c r="B66" t="s">
        <v>41</v>
      </c>
      <c r="C66">
        <v>0</v>
      </c>
      <c r="D66">
        <v>5.3362052440643311</v>
      </c>
      <c r="E66">
        <v>1</v>
      </c>
      <c r="F66">
        <v>1</v>
      </c>
      <c r="G66">
        <v>1</v>
      </c>
      <c r="H66">
        <v>1</v>
      </c>
      <c r="I66">
        <v>1</v>
      </c>
      <c r="J66">
        <v>0</v>
      </c>
      <c r="K66">
        <v>1</v>
      </c>
      <c r="L66">
        <v>1</v>
      </c>
      <c r="M66">
        <v>1</v>
      </c>
      <c r="N66">
        <v>1</v>
      </c>
      <c r="O66">
        <v>1</v>
      </c>
      <c r="P66" t="s">
        <v>175</v>
      </c>
    </row>
    <row r="67" spans="1:16" x14ac:dyDescent="0.25">
      <c r="A67" t="s">
        <v>73</v>
      </c>
      <c r="B67" t="s">
        <v>43</v>
      </c>
      <c r="C67">
        <v>0</v>
      </c>
      <c r="D67">
        <v>8.7432360649108887</v>
      </c>
      <c r="E67">
        <v>1</v>
      </c>
      <c r="F67">
        <v>1</v>
      </c>
      <c r="G67">
        <v>1</v>
      </c>
      <c r="H67">
        <v>1</v>
      </c>
      <c r="I67">
        <v>1</v>
      </c>
      <c r="J67">
        <v>1</v>
      </c>
      <c r="K67">
        <v>1</v>
      </c>
      <c r="L67">
        <v>1</v>
      </c>
      <c r="M67">
        <v>1</v>
      </c>
      <c r="N67">
        <v>1</v>
      </c>
      <c r="O67">
        <v>1</v>
      </c>
    </row>
    <row r="68" spans="1:16" x14ac:dyDescent="0.25">
      <c r="A68" t="s">
        <v>73</v>
      </c>
      <c r="B68" t="s">
        <v>45</v>
      </c>
      <c r="C68">
        <v>0</v>
      </c>
      <c r="D68">
        <v>12.89253997802734</v>
      </c>
      <c r="E68">
        <v>0</v>
      </c>
      <c r="F68" t="s">
        <v>20</v>
      </c>
      <c r="G68" t="s">
        <v>20</v>
      </c>
      <c r="H68" t="s">
        <v>20</v>
      </c>
      <c r="I68" t="s">
        <v>20</v>
      </c>
      <c r="J68" t="s">
        <v>20</v>
      </c>
      <c r="K68" t="s">
        <v>20</v>
      </c>
      <c r="L68" t="s">
        <v>20</v>
      </c>
      <c r="M68" t="s">
        <v>20</v>
      </c>
      <c r="N68" t="s">
        <v>20</v>
      </c>
      <c r="O68" t="s">
        <v>20</v>
      </c>
      <c r="P68" t="s">
        <v>176</v>
      </c>
    </row>
    <row r="69" spans="1:16" x14ac:dyDescent="0.25">
      <c r="A69" t="s">
        <v>73</v>
      </c>
      <c r="B69" t="s">
        <v>47</v>
      </c>
      <c r="C69">
        <v>0</v>
      </c>
      <c r="D69">
        <v>9.3951072692871094</v>
      </c>
      <c r="E69">
        <v>1</v>
      </c>
      <c r="F69">
        <v>1</v>
      </c>
      <c r="G69">
        <v>1</v>
      </c>
      <c r="H69">
        <v>1</v>
      </c>
      <c r="I69">
        <v>1</v>
      </c>
      <c r="J69">
        <v>1</v>
      </c>
      <c r="K69">
        <v>1</v>
      </c>
      <c r="L69">
        <v>1</v>
      </c>
      <c r="M69">
        <v>1</v>
      </c>
      <c r="N69">
        <v>1</v>
      </c>
      <c r="O69">
        <v>1</v>
      </c>
    </row>
    <row r="70" spans="1:16" x14ac:dyDescent="0.25">
      <c r="A70" t="s">
        <v>73</v>
      </c>
      <c r="B70" t="s">
        <v>48</v>
      </c>
      <c r="C70">
        <v>0</v>
      </c>
      <c r="D70">
        <v>2.857000589370728</v>
      </c>
      <c r="E70">
        <v>1</v>
      </c>
      <c r="F70">
        <v>1</v>
      </c>
      <c r="G70">
        <v>1</v>
      </c>
      <c r="H70">
        <v>1</v>
      </c>
      <c r="I70">
        <v>1</v>
      </c>
      <c r="J70">
        <v>1</v>
      </c>
      <c r="K70">
        <v>1</v>
      </c>
      <c r="L70">
        <v>1</v>
      </c>
      <c r="M70">
        <v>1</v>
      </c>
      <c r="N70">
        <v>1</v>
      </c>
      <c r="O70">
        <v>1</v>
      </c>
    </row>
    <row r="71" spans="1:16" x14ac:dyDescent="0.25">
      <c r="A71" t="s">
        <v>73</v>
      </c>
      <c r="B71" t="s">
        <v>49</v>
      </c>
      <c r="C71">
        <v>0</v>
      </c>
      <c r="D71">
        <v>14.711528062820429</v>
      </c>
      <c r="E71">
        <v>1</v>
      </c>
      <c r="F71">
        <v>0</v>
      </c>
      <c r="G71">
        <v>1</v>
      </c>
      <c r="H71" t="s">
        <v>20</v>
      </c>
      <c r="I71">
        <v>1</v>
      </c>
      <c r="J71" t="s">
        <v>20</v>
      </c>
      <c r="K71">
        <v>1</v>
      </c>
      <c r="L71">
        <v>1</v>
      </c>
      <c r="M71">
        <v>1</v>
      </c>
      <c r="N71">
        <v>1</v>
      </c>
      <c r="O71">
        <v>1</v>
      </c>
      <c r="P71" t="s">
        <v>177</v>
      </c>
    </row>
    <row r="72" spans="1:16" x14ac:dyDescent="0.25">
      <c r="A72" t="s">
        <v>73</v>
      </c>
      <c r="B72" t="s">
        <v>51</v>
      </c>
      <c r="C72">
        <v>0</v>
      </c>
      <c r="D72">
        <v>10.87335991859436</v>
      </c>
      <c r="E72">
        <v>1</v>
      </c>
      <c r="F72">
        <v>1</v>
      </c>
      <c r="G72">
        <v>1</v>
      </c>
      <c r="H72">
        <v>1</v>
      </c>
      <c r="I72">
        <v>1</v>
      </c>
      <c r="J72">
        <v>0</v>
      </c>
      <c r="K72">
        <v>1</v>
      </c>
      <c r="L72">
        <v>1</v>
      </c>
      <c r="M72">
        <v>1</v>
      </c>
      <c r="N72">
        <v>1</v>
      </c>
      <c r="O72">
        <v>1</v>
      </c>
      <c r="P72" t="s">
        <v>178</v>
      </c>
    </row>
    <row r="73" spans="1:16" x14ac:dyDescent="0.25">
      <c r="A73" t="s">
        <v>73</v>
      </c>
      <c r="B73" t="s">
        <v>52</v>
      </c>
      <c r="C73">
        <v>0</v>
      </c>
      <c r="D73">
        <v>2.9872069358825679</v>
      </c>
      <c r="E73">
        <v>1</v>
      </c>
      <c r="F73">
        <v>1</v>
      </c>
      <c r="G73">
        <v>1</v>
      </c>
      <c r="H73">
        <v>1</v>
      </c>
      <c r="I73">
        <v>1</v>
      </c>
      <c r="J73">
        <v>1</v>
      </c>
      <c r="K73">
        <v>1</v>
      </c>
      <c r="L73">
        <v>1</v>
      </c>
      <c r="M73">
        <v>1</v>
      </c>
      <c r="N73">
        <v>1</v>
      </c>
      <c r="O73">
        <v>1</v>
      </c>
    </row>
    <row r="74" spans="1:16" x14ac:dyDescent="0.25">
      <c r="A74" t="s">
        <v>73</v>
      </c>
      <c r="B74" t="s">
        <v>54</v>
      </c>
      <c r="C74">
        <v>0</v>
      </c>
      <c r="D74">
        <v>11.59377598762512</v>
      </c>
      <c r="E74">
        <v>1</v>
      </c>
      <c r="F74">
        <v>1</v>
      </c>
      <c r="G74">
        <v>1</v>
      </c>
      <c r="H74">
        <v>0</v>
      </c>
      <c r="I74">
        <v>1</v>
      </c>
      <c r="J74">
        <v>1</v>
      </c>
      <c r="K74">
        <v>1</v>
      </c>
      <c r="L74">
        <v>1</v>
      </c>
      <c r="M74">
        <v>1</v>
      </c>
      <c r="N74">
        <v>1</v>
      </c>
      <c r="O74">
        <v>1</v>
      </c>
      <c r="P74" t="s">
        <v>179</v>
      </c>
    </row>
    <row r="75" spans="1:16" x14ac:dyDescent="0.25">
      <c r="A75" t="s">
        <v>73</v>
      </c>
      <c r="B75" t="s">
        <v>56</v>
      </c>
      <c r="C75">
        <v>0</v>
      </c>
      <c r="D75">
        <v>6.7762930393218994</v>
      </c>
      <c r="E75">
        <v>1</v>
      </c>
      <c r="F75">
        <v>0</v>
      </c>
      <c r="G75">
        <v>1</v>
      </c>
      <c r="H75" t="s">
        <v>20</v>
      </c>
      <c r="I75">
        <v>1</v>
      </c>
      <c r="J75" t="s">
        <v>20</v>
      </c>
      <c r="K75">
        <v>1</v>
      </c>
      <c r="L75">
        <v>1</v>
      </c>
      <c r="M75">
        <v>1</v>
      </c>
      <c r="N75">
        <v>1</v>
      </c>
      <c r="O75">
        <v>1</v>
      </c>
      <c r="P75" t="s">
        <v>180</v>
      </c>
    </row>
    <row r="76" spans="1:16" x14ac:dyDescent="0.25">
      <c r="A76" t="s">
        <v>73</v>
      </c>
      <c r="B76" t="s">
        <v>58</v>
      </c>
      <c r="C76">
        <v>0</v>
      </c>
      <c r="D76">
        <v>9.8904316425323486</v>
      </c>
      <c r="E76">
        <v>1</v>
      </c>
      <c r="F76">
        <v>1</v>
      </c>
      <c r="G76">
        <v>1</v>
      </c>
      <c r="H76">
        <v>1</v>
      </c>
      <c r="I76">
        <v>1</v>
      </c>
      <c r="J76">
        <v>1</v>
      </c>
      <c r="K76">
        <v>1</v>
      </c>
      <c r="L76">
        <v>1</v>
      </c>
      <c r="M76">
        <v>1</v>
      </c>
      <c r="N76">
        <v>1</v>
      </c>
      <c r="O76">
        <v>1</v>
      </c>
    </row>
    <row r="77" spans="1:16" x14ac:dyDescent="0.25">
      <c r="A77" t="s">
        <v>73</v>
      </c>
      <c r="B77" t="s">
        <v>89</v>
      </c>
      <c r="C77">
        <v>0</v>
      </c>
      <c r="D77">
        <v>8.0015759468078613</v>
      </c>
      <c r="E77">
        <v>0</v>
      </c>
      <c r="F77" t="s">
        <v>20</v>
      </c>
      <c r="G77" t="s">
        <v>20</v>
      </c>
      <c r="H77" t="s">
        <v>20</v>
      </c>
      <c r="I77" t="s">
        <v>20</v>
      </c>
      <c r="J77" t="s">
        <v>20</v>
      </c>
      <c r="K77" t="s">
        <v>20</v>
      </c>
      <c r="L77" t="s">
        <v>20</v>
      </c>
      <c r="M77" t="s">
        <v>20</v>
      </c>
      <c r="N77" t="s">
        <v>20</v>
      </c>
      <c r="O77" t="s">
        <v>20</v>
      </c>
      <c r="P77" t="s">
        <v>181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4.2545022964477539</v>
      </c>
      <c r="E2">
        <v>1</v>
      </c>
      <c r="F2">
        <v>1</v>
      </c>
      <c r="G2">
        <v>1</v>
      </c>
      <c r="H2">
        <v>1</v>
      </c>
      <c r="I2">
        <v>1</v>
      </c>
      <c r="J2">
        <v>0</v>
      </c>
      <c r="K2">
        <v>1</v>
      </c>
      <c r="L2">
        <v>1</v>
      </c>
      <c r="M2">
        <v>1</v>
      </c>
      <c r="N2">
        <v>1</v>
      </c>
      <c r="O2">
        <v>1</v>
      </c>
      <c r="P2" t="s">
        <v>182</v>
      </c>
    </row>
    <row r="3" spans="1:16" x14ac:dyDescent="0.25">
      <c r="A3" t="s">
        <v>16</v>
      </c>
      <c r="B3" t="s">
        <v>19</v>
      </c>
      <c r="C3">
        <v>0</v>
      </c>
      <c r="D3">
        <v>7.5306346416473389</v>
      </c>
      <c r="E3">
        <v>1</v>
      </c>
      <c r="F3">
        <v>0</v>
      </c>
      <c r="G3">
        <v>1</v>
      </c>
      <c r="H3" t="s">
        <v>20</v>
      </c>
      <c r="I3">
        <v>1</v>
      </c>
      <c r="J3" t="s">
        <v>20</v>
      </c>
      <c r="K3">
        <v>1</v>
      </c>
      <c r="L3">
        <v>1</v>
      </c>
      <c r="M3">
        <v>1</v>
      </c>
      <c r="N3">
        <v>1</v>
      </c>
      <c r="O3">
        <v>1</v>
      </c>
      <c r="P3" t="s">
        <v>183</v>
      </c>
    </row>
    <row r="4" spans="1:16" x14ac:dyDescent="0.25">
      <c r="A4" t="s">
        <v>16</v>
      </c>
      <c r="B4" t="s">
        <v>22</v>
      </c>
      <c r="C4">
        <v>0</v>
      </c>
      <c r="D4">
        <v>7.383570671081543</v>
      </c>
      <c r="E4">
        <v>1</v>
      </c>
      <c r="F4">
        <v>1</v>
      </c>
      <c r="G4">
        <v>1</v>
      </c>
      <c r="H4">
        <v>1</v>
      </c>
      <c r="I4">
        <v>1</v>
      </c>
      <c r="J4">
        <v>1</v>
      </c>
      <c r="K4">
        <v>0</v>
      </c>
      <c r="L4">
        <v>0</v>
      </c>
      <c r="M4">
        <v>0</v>
      </c>
      <c r="N4">
        <v>1</v>
      </c>
      <c r="O4">
        <v>1</v>
      </c>
      <c r="P4" t="s">
        <v>184</v>
      </c>
    </row>
    <row r="5" spans="1:16" x14ac:dyDescent="0.25">
      <c r="A5" t="s">
        <v>16</v>
      </c>
      <c r="B5" t="s">
        <v>24</v>
      </c>
      <c r="C5">
        <v>0</v>
      </c>
      <c r="D5">
        <v>2.963280200958252</v>
      </c>
      <c r="E5">
        <v>1</v>
      </c>
      <c r="F5">
        <v>1</v>
      </c>
      <c r="G5">
        <v>1</v>
      </c>
      <c r="H5">
        <v>1</v>
      </c>
      <c r="I5">
        <v>1</v>
      </c>
      <c r="J5">
        <v>1</v>
      </c>
      <c r="K5">
        <v>1</v>
      </c>
      <c r="L5">
        <v>1</v>
      </c>
      <c r="M5">
        <v>1</v>
      </c>
      <c r="N5">
        <v>1</v>
      </c>
      <c r="O5">
        <v>1</v>
      </c>
    </row>
    <row r="6" spans="1:16" x14ac:dyDescent="0.25">
      <c r="A6" t="s">
        <v>16</v>
      </c>
      <c r="B6" t="s">
        <v>25</v>
      </c>
      <c r="C6">
        <v>0</v>
      </c>
      <c r="D6">
        <v>9.1602857112884521</v>
      </c>
      <c r="E6">
        <v>1</v>
      </c>
      <c r="F6">
        <v>1</v>
      </c>
      <c r="G6">
        <v>1</v>
      </c>
      <c r="H6">
        <v>1</v>
      </c>
      <c r="I6">
        <v>1</v>
      </c>
      <c r="J6">
        <v>1</v>
      </c>
      <c r="K6">
        <v>1</v>
      </c>
      <c r="L6">
        <v>1</v>
      </c>
      <c r="M6">
        <v>1</v>
      </c>
      <c r="N6">
        <v>1</v>
      </c>
      <c r="O6">
        <v>1</v>
      </c>
    </row>
    <row r="7" spans="1:16" x14ac:dyDescent="0.25">
      <c r="A7" t="s">
        <v>16</v>
      </c>
      <c r="B7" t="s">
        <v>26</v>
      </c>
      <c r="C7">
        <v>0</v>
      </c>
      <c r="D7">
        <v>8.9367771148681641</v>
      </c>
      <c r="E7">
        <v>1</v>
      </c>
      <c r="F7">
        <v>1</v>
      </c>
      <c r="G7">
        <v>1</v>
      </c>
      <c r="H7">
        <v>1</v>
      </c>
      <c r="I7">
        <v>1</v>
      </c>
      <c r="J7">
        <v>1</v>
      </c>
      <c r="K7">
        <v>1</v>
      </c>
      <c r="L7">
        <v>1</v>
      </c>
      <c r="M7">
        <v>1</v>
      </c>
      <c r="N7">
        <v>1</v>
      </c>
      <c r="O7">
        <v>1</v>
      </c>
    </row>
    <row r="8" spans="1:16" x14ac:dyDescent="0.25">
      <c r="A8" t="s">
        <v>16</v>
      </c>
      <c r="B8" t="s">
        <v>27</v>
      </c>
      <c r="C8">
        <v>0</v>
      </c>
      <c r="D8">
        <v>2.953766822814941</v>
      </c>
      <c r="E8">
        <v>1</v>
      </c>
      <c r="F8">
        <v>1</v>
      </c>
      <c r="G8">
        <v>1</v>
      </c>
      <c r="H8">
        <v>1</v>
      </c>
      <c r="I8">
        <v>1</v>
      </c>
      <c r="J8">
        <v>1</v>
      </c>
      <c r="K8">
        <v>1</v>
      </c>
      <c r="L8">
        <v>1</v>
      </c>
      <c r="M8">
        <v>1</v>
      </c>
      <c r="N8">
        <v>1</v>
      </c>
      <c r="O8">
        <v>1</v>
      </c>
    </row>
    <row r="9" spans="1:16" x14ac:dyDescent="0.25">
      <c r="A9" t="s">
        <v>16</v>
      </c>
      <c r="B9" t="s">
        <v>29</v>
      </c>
      <c r="C9">
        <v>0</v>
      </c>
      <c r="D9">
        <v>2.8304398059844971</v>
      </c>
      <c r="E9">
        <v>1</v>
      </c>
      <c r="F9">
        <v>1</v>
      </c>
      <c r="G9">
        <v>1</v>
      </c>
      <c r="H9">
        <v>1</v>
      </c>
      <c r="I9">
        <v>1</v>
      </c>
      <c r="J9">
        <v>1</v>
      </c>
      <c r="K9">
        <v>1</v>
      </c>
      <c r="L9">
        <v>1</v>
      </c>
      <c r="M9">
        <v>1</v>
      </c>
      <c r="N9">
        <v>1</v>
      </c>
      <c r="O9">
        <v>1</v>
      </c>
    </row>
    <row r="10" spans="1:16" x14ac:dyDescent="0.25">
      <c r="A10" t="s">
        <v>16</v>
      </c>
      <c r="B10" t="s">
        <v>30</v>
      </c>
      <c r="C10">
        <v>0</v>
      </c>
      <c r="D10">
        <v>5.7178175449371338</v>
      </c>
      <c r="E10">
        <v>1</v>
      </c>
      <c r="F10">
        <v>1</v>
      </c>
      <c r="G10">
        <v>1</v>
      </c>
      <c r="H10">
        <v>1</v>
      </c>
      <c r="I10">
        <v>1</v>
      </c>
      <c r="J10">
        <v>0</v>
      </c>
      <c r="K10">
        <v>0</v>
      </c>
      <c r="L10">
        <v>1</v>
      </c>
      <c r="M10">
        <v>1</v>
      </c>
      <c r="N10">
        <v>1</v>
      </c>
      <c r="O10">
        <v>1</v>
      </c>
      <c r="P10" t="s">
        <v>185</v>
      </c>
    </row>
    <row r="11" spans="1:16" x14ac:dyDescent="0.25">
      <c r="A11" t="s">
        <v>16</v>
      </c>
      <c r="B11" t="s">
        <v>32</v>
      </c>
      <c r="C11">
        <v>0</v>
      </c>
      <c r="D11">
        <v>9.8642568588256836</v>
      </c>
      <c r="E11">
        <v>1</v>
      </c>
      <c r="F11">
        <v>1</v>
      </c>
      <c r="G11">
        <v>1</v>
      </c>
      <c r="H11">
        <v>1</v>
      </c>
      <c r="I11">
        <v>1</v>
      </c>
      <c r="J11">
        <v>1</v>
      </c>
      <c r="K11">
        <v>1</v>
      </c>
      <c r="L11">
        <v>1</v>
      </c>
      <c r="M11">
        <v>1</v>
      </c>
      <c r="N11">
        <v>1</v>
      </c>
      <c r="O11">
        <v>1</v>
      </c>
    </row>
    <row r="12" spans="1:16" x14ac:dyDescent="0.25">
      <c r="A12" t="s">
        <v>16</v>
      </c>
      <c r="B12" t="s">
        <v>33</v>
      </c>
      <c r="C12">
        <v>0</v>
      </c>
      <c r="D12">
        <v>9.4567780494689941</v>
      </c>
      <c r="E12">
        <v>1</v>
      </c>
      <c r="F12">
        <v>1</v>
      </c>
      <c r="G12">
        <v>1</v>
      </c>
      <c r="H12">
        <v>1</v>
      </c>
      <c r="I12">
        <v>1</v>
      </c>
      <c r="J12">
        <v>1</v>
      </c>
      <c r="K12">
        <v>0</v>
      </c>
      <c r="L12">
        <v>1</v>
      </c>
      <c r="M12">
        <v>1</v>
      </c>
      <c r="N12">
        <v>1</v>
      </c>
      <c r="O12">
        <v>1</v>
      </c>
      <c r="P12" t="s">
        <v>186</v>
      </c>
    </row>
    <row r="13" spans="1:16" x14ac:dyDescent="0.25">
      <c r="A13" t="s">
        <v>16</v>
      </c>
      <c r="B13" t="s">
        <v>35</v>
      </c>
      <c r="C13">
        <v>0</v>
      </c>
      <c r="D13">
        <v>4.616863489151001</v>
      </c>
      <c r="E13">
        <v>1</v>
      </c>
      <c r="F13">
        <v>1</v>
      </c>
      <c r="G13">
        <v>1</v>
      </c>
      <c r="H13">
        <v>1</v>
      </c>
      <c r="I13">
        <v>1</v>
      </c>
      <c r="J13">
        <v>0</v>
      </c>
      <c r="K13">
        <v>1</v>
      </c>
      <c r="L13">
        <v>1</v>
      </c>
      <c r="M13">
        <v>1</v>
      </c>
      <c r="N13">
        <v>1</v>
      </c>
      <c r="O13">
        <v>1</v>
      </c>
      <c r="P13" t="s">
        <v>187</v>
      </c>
    </row>
    <row r="14" spans="1:16" x14ac:dyDescent="0.25">
      <c r="A14" t="s">
        <v>16</v>
      </c>
      <c r="B14" t="s">
        <v>37</v>
      </c>
      <c r="C14">
        <v>0</v>
      </c>
      <c r="D14">
        <v>9.66713547706604</v>
      </c>
      <c r="E14">
        <v>1</v>
      </c>
      <c r="F14">
        <v>1</v>
      </c>
      <c r="G14">
        <v>1</v>
      </c>
      <c r="H14">
        <v>1</v>
      </c>
      <c r="I14">
        <v>1</v>
      </c>
      <c r="J14">
        <v>1</v>
      </c>
      <c r="K14">
        <v>1</v>
      </c>
      <c r="L14">
        <v>1</v>
      </c>
      <c r="M14">
        <v>1</v>
      </c>
      <c r="N14">
        <v>1</v>
      </c>
      <c r="O14">
        <v>1</v>
      </c>
    </row>
    <row r="15" spans="1:16" x14ac:dyDescent="0.25">
      <c r="A15" t="s">
        <v>16</v>
      </c>
      <c r="B15" t="s">
        <v>39</v>
      </c>
      <c r="C15">
        <v>0</v>
      </c>
      <c r="D15">
        <v>11.507887125015261</v>
      </c>
      <c r="E15">
        <v>1</v>
      </c>
      <c r="F15">
        <v>1</v>
      </c>
      <c r="G15">
        <v>1</v>
      </c>
      <c r="H15">
        <v>1</v>
      </c>
      <c r="I15">
        <v>1</v>
      </c>
      <c r="J15">
        <v>0</v>
      </c>
      <c r="K15">
        <v>1</v>
      </c>
      <c r="L15">
        <v>1</v>
      </c>
      <c r="M15">
        <v>1</v>
      </c>
      <c r="N15">
        <v>1</v>
      </c>
      <c r="O15">
        <v>1</v>
      </c>
      <c r="P15" t="s">
        <v>188</v>
      </c>
    </row>
    <row r="16" spans="1:16" x14ac:dyDescent="0.25">
      <c r="A16" t="s">
        <v>16</v>
      </c>
      <c r="B16" t="s">
        <v>41</v>
      </c>
      <c r="C16">
        <v>0</v>
      </c>
      <c r="D16">
        <v>9.5587496757507324</v>
      </c>
      <c r="E16">
        <v>1</v>
      </c>
      <c r="F16">
        <v>1</v>
      </c>
      <c r="G16">
        <v>1</v>
      </c>
      <c r="H16">
        <v>1</v>
      </c>
      <c r="I16">
        <v>1</v>
      </c>
      <c r="J16">
        <v>1</v>
      </c>
      <c r="K16">
        <v>1</v>
      </c>
      <c r="L16">
        <v>1</v>
      </c>
      <c r="M16">
        <v>1</v>
      </c>
      <c r="N16">
        <v>1</v>
      </c>
      <c r="O16">
        <v>1</v>
      </c>
    </row>
    <row r="17" spans="1:16" x14ac:dyDescent="0.25">
      <c r="A17" t="s">
        <v>16</v>
      </c>
      <c r="B17" t="s">
        <v>43</v>
      </c>
      <c r="C17">
        <v>0</v>
      </c>
      <c r="D17">
        <v>12.023425340652469</v>
      </c>
      <c r="E17">
        <v>0</v>
      </c>
      <c r="F17" t="s">
        <v>20</v>
      </c>
      <c r="G17" t="s">
        <v>20</v>
      </c>
      <c r="H17" t="s">
        <v>20</v>
      </c>
      <c r="I17" t="s">
        <v>20</v>
      </c>
      <c r="J17" t="s">
        <v>20</v>
      </c>
      <c r="K17" t="s">
        <v>20</v>
      </c>
      <c r="L17" t="s">
        <v>20</v>
      </c>
      <c r="M17" t="s">
        <v>20</v>
      </c>
      <c r="N17" t="s">
        <v>20</v>
      </c>
      <c r="O17" t="s">
        <v>20</v>
      </c>
      <c r="P17" t="s">
        <v>189</v>
      </c>
    </row>
    <row r="18" spans="1:16" x14ac:dyDescent="0.25">
      <c r="A18" t="s">
        <v>16</v>
      </c>
      <c r="B18" t="s">
        <v>45</v>
      </c>
      <c r="C18">
        <v>0</v>
      </c>
      <c r="D18">
        <v>11.198776960372919</v>
      </c>
      <c r="E18">
        <v>0</v>
      </c>
      <c r="F18" t="s">
        <v>20</v>
      </c>
      <c r="G18" t="s">
        <v>20</v>
      </c>
      <c r="H18" t="s">
        <v>20</v>
      </c>
      <c r="I18" t="s">
        <v>20</v>
      </c>
      <c r="J18" t="s">
        <v>20</v>
      </c>
      <c r="K18" t="s">
        <v>20</v>
      </c>
      <c r="L18" t="s">
        <v>20</v>
      </c>
      <c r="M18" t="s">
        <v>20</v>
      </c>
      <c r="N18" t="s">
        <v>20</v>
      </c>
      <c r="O18" t="s">
        <v>20</v>
      </c>
      <c r="P18" t="s">
        <v>190</v>
      </c>
    </row>
    <row r="19" spans="1:16" x14ac:dyDescent="0.25">
      <c r="A19" t="s">
        <v>16</v>
      </c>
      <c r="B19" t="s">
        <v>47</v>
      </c>
      <c r="C19">
        <v>0</v>
      </c>
      <c r="D19">
        <v>2.719601154327393</v>
      </c>
      <c r="E19">
        <v>1</v>
      </c>
      <c r="F19">
        <v>1</v>
      </c>
      <c r="G19">
        <v>1</v>
      </c>
      <c r="H19">
        <v>1</v>
      </c>
      <c r="I19">
        <v>1</v>
      </c>
      <c r="J19">
        <v>1</v>
      </c>
      <c r="K19">
        <v>1</v>
      </c>
      <c r="L19">
        <v>1</v>
      </c>
      <c r="M19">
        <v>1</v>
      </c>
      <c r="N19">
        <v>1</v>
      </c>
      <c r="O19">
        <v>1</v>
      </c>
    </row>
    <row r="20" spans="1:16" x14ac:dyDescent="0.25">
      <c r="A20" t="s">
        <v>16</v>
      </c>
      <c r="B20" t="s">
        <v>48</v>
      </c>
      <c r="C20">
        <v>0</v>
      </c>
      <c r="D20">
        <v>11.1526198387146</v>
      </c>
      <c r="E20">
        <v>1</v>
      </c>
      <c r="F20">
        <v>1</v>
      </c>
      <c r="G20">
        <v>1</v>
      </c>
      <c r="H20">
        <v>1</v>
      </c>
      <c r="I20">
        <v>1</v>
      </c>
      <c r="J20">
        <v>1</v>
      </c>
      <c r="K20">
        <v>1</v>
      </c>
      <c r="L20">
        <v>1</v>
      </c>
      <c r="M20">
        <v>1</v>
      </c>
      <c r="N20">
        <v>1</v>
      </c>
      <c r="O20">
        <v>1</v>
      </c>
    </row>
    <row r="21" spans="1:16" x14ac:dyDescent="0.25">
      <c r="A21" t="s">
        <v>16</v>
      </c>
      <c r="B21" t="s">
        <v>49</v>
      </c>
      <c r="C21">
        <v>0</v>
      </c>
      <c r="D21">
        <v>12.73903179168701</v>
      </c>
      <c r="E21">
        <v>1</v>
      </c>
      <c r="F21">
        <v>1</v>
      </c>
      <c r="G21">
        <v>1</v>
      </c>
      <c r="H21">
        <v>1</v>
      </c>
      <c r="I21">
        <v>1</v>
      </c>
      <c r="J21">
        <v>1</v>
      </c>
      <c r="K21">
        <v>0</v>
      </c>
      <c r="L21">
        <v>1</v>
      </c>
      <c r="M21">
        <v>1</v>
      </c>
      <c r="N21">
        <v>1</v>
      </c>
      <c r="O21">
        <v>1</v>
      </c>
      <c r="P21" t="s">
        <v>191</v>
      </c>
    </row>
    <row r="22" spans="1:16" x14ac:dyDescent="0.25">
      <c r="A22" t="s">
        <v>16</v>
      </c>
      <c r="B22" t="s">
        <v>51</v>
      </c>
      <c r="C22">
        <v>0</v>
      </c>
      <c r="D22">
        <v>2.6960146427154541</v>
      </c>
      <c r="E22">
        <v>1</v>
      </c>
      <c r="F22">
        <v>1</v>
      </c>
      <c r="G22">
        <v>1</v>
      </c>
      <c r="H22">
        <v>1</v>
      </c>
      <c r="I22">
        <v>1</v>
      </c>
      <c r="J22">
        <v>1</v>
      </c>
      <c r="K22">
        <v>1</v>
      </c>
      <c r="L22">
        <v>1</v>
      </c>
      <c r="M22">
        <v>1</v>
      </c>
      <c r="N22">
        <v>1</v>
      </c>
      <c r="O22">
        <v>1</v>
      </c>
    </row>
    <row r="23" spans="1:16" x14ac:dyDescent="0.25">
      <c r="A23" t="s">
        <v>16</v>
      </c>
      <c r="B23" t="s">
        <v>52</v>
      </c>
      <c r="C23">
        <v>0</v>
      </c>
      <c r="D23">
        <v>6.2342090606689453</v>
      </c>
      <c r="E23">
        <v>1</v>
      </c>
      <c r="F23">
        <v>0</v>
      </c>
      <c r="G23">
        <v>1</v>
      </c>
      <c r="H23" t="s">
        <v>20</v>
      </c>
      <c r="I23">
        <v>1</v>
      </c>
      <c r="J23" t="s">
        <v>20</v>
      </c>
      <c r="K23">
        <v>1</v>
      </c>
      <c r="L23">
        <v>1</v>
      </c>
      <c r="M23">
        <v>1</v>
      </c>
      <c r="N23">
        <v>1</v>
      </c>
      <c r="O23">
        <v>1</v>
      </c>
      <c r="P23" t="s">
        <v>192</v>
      </c>
    </row>
    <row r="24" spans="1:16" x14ac:dyDescent="0.25">
      <c r="A24" t="s">
        <v>16</v>
      </c>
      <c r="B24" t="s">
        <v>54</v>
      </c>
      <c r="C24">
        <v>0</v>
      </c>
      <c r="D24">
        <v>6.695758581161499</v>
      </c>
      <c r="E24">
        <v>0</v>
      </c>
      <c r="F24" t="s">
        <v>20</v>
      </c>
      <c r="G24" t="s">
        <v>20</v>
      </c>
      <c r="H24" t="s">
        <v>20</v>
      </c>
      <c r="I24" t="s">
        <v>20</v>
      </c>
      <c r="J24" t="s">
        <v>20</v>
      </c>
      <c r="K24" t="s">
        <v>20</v>
      </c>
      <c r="L24" t="s">
        <v>20</v>
      </c>
      <c r="M24" t="s">
        <v>20</v>
      </c>
      <c r="N24" t="s">
        <v>20</v>
      </c>
      <c r="O24" t="s">
        <v>20</v>
      </c>
      <c r="P24" t="s">
        <v>193</v>
      </c>
    </row>
    <row r="25" spans="1:16" x14ac:dyDescent="0.25">
      <c r="A25" t="s">
        <v>16</v>
      </c>
      <c r="B25" t="s">
        <v>56</v>
      </c>
      <c r="C25">
        <v>0</v>
      </c>
      <c r="D25">
        <v>12.74342846870422</v>
      </c>
      <c r="E25">
        <v>1</v>
      </c>
      <c r="F25">
        <v>1</v>
      </c>
      <c r="G25">
        <v>1</v>
      </c>
      <c r="H25">
        <v>1</v>
      </c>
      <c r="I25">
        <v>1</v>
      </c>
      <c r="J25">
        <v>0</v>
      </c>
      <c r="K25">
        <v>0</v>
      </c>
      <c r="L25">
        <v>1</v>
      </c>
      <c r="M25">
        <v>1</v>
      </c>
      <c r="N25">
        <v>1</v>
      </c>
      <c r="O25">
        <v>1</v>
      </c>
      <c r="P25" t="s">
        <v>194</v>
      </c>
    </row>
    <row r="26" spans="1:16" x14ac:dyDescent="0.25">
      <c r="A26" t="s">
        <v>16</v>
      </c>
      <c r="B26" t="s">
        <v>58</v>
      </c>
      <c r="C26">
        <v>0</v>
      </c>
      <c r="D26">
        <v>9.8424313068389893</v>
      </c>
      <c r="E26">
        <v>1</v>
      </c>
      <c r="F26">
        <v>1</v>
      </c>
      <c r="G26">
        <v>1</v>
      </c>
      <c r="H26">
        <v>1</v>
      </c>
      <c r="I26">
        <v>1</v>
      </c>
      <c r="J26">
        <v>1</v>
      </c>
      <c r="K26">
        <v>1</v>
      </c>
      <c r="L26">
        <v>1</v>
      </c>
      <c r="M26">
        <v>1</v>
      </c>
      <c r="N26">
        <v>1</v>
      </c>
      <c r="O26">
        <v>1</v>
      </c>
    </row>
    <row r="27" spans="1:16" x14ac:dyDescent="0.25">
      <c r="A27" t="s">
        <v>59</v>
      </c>
      <c r="B27" t="s">
        <v>17</v>
      </c>
      <c r="C27">
        <v>0</v>
      </c>
      <c r="D27">
        <v>9.977424144744873</v>
      </c>
      <c r="E27">
        <v>1</v>
      </c>
      <c r="F27">
        <v>0</v>
      </c>
      <c r="G27">
        <v>1</v>
      </c>
      <c r="H27" t="s">
        <v>20</v>
      </c>
      <c r="I27">
        <v>1</v>
      </c>
      <c r="J27" t="s">
        <v>20</v>
      </c>
      <c r="K27">
        <v>1</v>
      </c>
      <c r="L27">
        <v>1</v>
      </c>
      <c r="M27">
        <v>1</v>
      </c>
      <c r="N27">
        <v>1</v>
      </c>
      <c r="O27">
        <v>1</v>
      </c>
      <c r="P27" t="s">
        <v>195</v>
      </c>
    </row>
    <row r="28" spans="1:16" x14ac:dyDescent="0.25">
      <c r="A28" t="s">
        <v>59</v>
      </c>
      <c r="B28" t="s">
        <v>19</v>
      </c>
      <c r="C28">
        <v>0</v>
      </c>
      <c r="D28">
        <v>9.9582581520080566</v>
      </c>
      <c r="E28">
        <v>1</v>
      </c>
      <c r="F28">
        <v>1</v>
      </c>
      <c r="G28">
        <v>0</v>
      </c>
      <c r="H28" t="s">
        <v>20</v>
      </c>
      <c r="I28">
        <v>1</v>
      </c>
      <c r="J28">
        <v>1</v>
      </c>
      <c r="K28">
        <v>1</v>
      </c>
      <c r="L28">
        <v>1</v>
      </c>
      <c r="M28">
        <v>1</v>
      </c>
      <c r="N28">
        <v>1</v>
      </c>
      <c r="O28">
        <v>1</v>
      </c>
      <c r="P28" t="s">
        <v>196</v>
      </c>
    </row>
    <row r="29" spans="1:16" x14ac:dyDescent="0.25">
      <c r="A29" t="s">
        <v>59</v>
      </c>
      <c r="B29" t="s">
        <v>22</v>
      </c>
      <c r="C29">
        <v>0</v>
      </c>
      <c r="D29">
        <v>10.27862548828125</v>
      </c>
      <c r="E29">
        <v>1</v>
      </c>
      <c r="F29">
        <v>1</v>
      </c>
      <c r="G29">
        <v>1</v>
      </c>
      <c r="H29">
        <v>1</v>
      </c>
      <c r="I29">
        <v>1</v>
      </c>
      <c r="J29">
        <v>1</v>
      </c>
      <c r="K29">
        <v>0</v>
      </c>
      <c r="L29">
        <v>1</v>
      </c>
      <c r="M29">
        <v>1</v>
      </c>
      <c r="N29">
        <v>1</v>
      </c>
      <c r="O29">
        <v>1</v>
      </c>
      <c r="P29" t="s">
        <v>197</v>
      </c>
    </row>
    <row r="30" spans="1:16" x14ac:dyDescent="0.25">
      <c r="A30" t="s">
        <v>59</v>
      </c>
      <c r="B30" t="s">
        <v>24</v>
      </c>
      <c r="C30">
        <v>0</v>
      </c>
      <c r="D30">
        <v>11.838458776474001</v>
      </c>
      <c r="E30">
        <v>1</v>
      </c>
      <c r="F30">
        <v>1</v>
      </c>
      <c r="G30">
        <v>1</v>
      </c>
      <c r="H30">
        <v>1</v>
      </c>
      <c r="I30">
        <v>1</v>
      </c>
      <c r="J30">
        <v>0</v>
      </c>
      <c r="K30">
        <v>1</v>
      </c>
      <c r="L30">
        <v>1</v>
      </c>
      <c r="M30">
        <v>1</v>
      </c>
      <c r="N30">
        <v>1</v>
      </c>
      <c r="O30">
        <v>1</v>
      </c>
      <c r="P30" t="s">
        <v>198</v>
      </c>
    </row>
    <row r="31" spans="1:16" x14ac:dyDescent="0.25">
      <c r="A31" t="s">
        <v>59</v>
      </c>
      <c r="B31" t="s">
        <v>25</v>
      </c>
      <c r="C31">
        <v>0</v>
      </c>
      <c r="D31">
        <v>11.456225633621219</v>
      </c>
      <c r="E31">
        <v>1</v>
      </c>
      <c r="F31">
        <v>1</v>
      </c>
      <c r="G31">
        <v>1</v>
      </c>
      <c r="H31">
        <v>1</v>
      </c>
      <c r="I31">
        <v>1</v>
      </c>
      <c r="J31">
        <v>1</v>
      </c>
      <c r="K31">
        <v>1</v>
      </c>
      <c r="L31">
        <v>1</v>
      </c>
      <c r="M31">
        <v>1</v>
      </c>
      <c r="N31">
        <v>1</v>
      </c>
      <c r="O31">
        <v>1</v>
      </c>
    </row>
    <row r="32" spans="1:16" x14ac:dyDescent="0.25">
      <c r="A32" t="s">
        <v>59</v>
      </c>
      <c r="B32" t="s">
        <v>26</v>
      </c>
      <c r="C32">
        <v>0</v>
      </c>
      <c r="D32">
        <v>2.7895133495330811</v>
      </c>
      <c r="E32">
        <v>1</v>
      </c>
      <c r="F32">
        <v>1</v>
      </c>
      <c r="G32">
        <v>1</v>
      </c>
      <c r="H32">
        <v>1</v>
      </c>
      <c r="I32">
        <v>1</v>
      </c>
      <c r="J32">
        <v>1</v>
      </c>
      <c r="K32">
        <v>1</v>
      </c>
      <c r="L32">
        <v>1</v>
      </c>
      <c r="M32">
        <v>1</v>
      </c>
      <c r="N32">
        <v>1</v>
      </c>
      <c r="O32">
        <v>1</v>
      </c>
    </row>
    <row r="33" spans="1:16" x14ac:dyDescent="0.25">
      <c r="A33" t="s">
        <v>59</v>
      </c>
      <c r="B33" t="s">
        <v>27</v>
      </c>
      <c r="C33">
        <v>0</v>
      </c>
      <c r="D33">
        <v>11.53154444694519</v>
      </c>
      <c r="E33">
        <v>1</v>
      </c>
      <c r="F33">
        <v>1</v>
      </c>
      <c r="G33">
        <v>1</v>
      </c>
      <c r="H33">
        <v>1</v>
      </c>
      <c r="I33">
        <v>1</v>
      </c>
      <c r="J33">
        <v>0</v>
      </c>
      <c r="K33">
        <v>1</v>
      </c>
      <c r="L33">
        <v>1</v>
      </c>
      <c r="M33">
        <v>1</v>
      </c>
      <c r="N33">
        <v>1</v>
      </c>
      <c r="O33">
        <v>1</v>
      </c>
      <c r="P33" t="s">
        <v>199</v>
      </c>
    </row>
    <row r="34" spans="1:16" x14ac:dyDescent="0.25">
      <c r="A34" t="s">
        <v>59</v>
      </c>
      <c r="B34" t="s">
        <v>29</v>
      </c>
      <c r="C34">
        <v>0</v>
      </c>
      <c r="D34">
        <v>2.807996273040771</v>
      </c>
      <c r="E34">
        <v>1</v>
      </c>
      <c r="F34">
        <v>1</v>
      </c>
      <c r="G34">
        <v>1</v>
      </c>
      <c r="H34">
        <v>1</v>
      </c>
      <c r="I34">
        <v>1</v>
      </c>
      <c r="J34">
        <v>1</v>
      </c>
      <c r="K34">
        <v>1</v>
      </c>
      <c r="L34">
        <v>1</v>
      </c>
      <c r="M34">
        <v>1</v>
      </c>
      <c r="N34">
        <v>1</v>
      </c>
      <c r="O34">
        <v>1</v>
      </c>
    </row>
    <row r="35" spans="1:16" x14ac:dyDescent="0.25">
      <c r="A35" t="s">
        <v>59</v>
      </c>
      <c r="B35" t="s">
        <v>30</v>
      </c>
      <c r="C35">
        <v>0</v>
      </c>
      <c r="D35">
        <v>2.805621862411499</v>
      </c>
      <c r="E35">
        <v>1</v>
      </c>
      <c r="F35">
        <v>1</v>
      </c>
      <c r="G35">
        <v>1</v>
      </c>
      <c r="H35">
        <v>1</v>
      </c>
      <c r="I35">
        <v>1</v>
      </c>
      <c r="J35">
        <v>1</v>
      </c>
      <c r="K35">
        <v>1</v>
      </c>
      <c r="L35">
        <v>1</v>
      </c>
      <c r="M35">
        <v>1</v>
      </c>
      <c r="N35">
        <v>1</v>
      </c>
      <c r="O35">
        <v>1</v>
      </c>
    </row>
    <row r="36" spans="1:16" x14ac:dyDescent="0.25">
      <c r="A36" t="s">
        <v>59</v>
      </c>
      <c r="B36" t="s">
        <v>32</v>
      </c>
      <c r="C36">
        <v>0</v>
      </c>
      <c r="D36">
        <v>4.5168464183807373</v>
      </c>
      <c r="E36">
        <v>1</v>
      </c>
      <c r="F36">
        <v>1</v>
      </c>
      <c r="G36">
        <v>1</v>
      </c>
      <c r="H36">
        <v>1</v>
      </c>
      <c r="I36">
        <v>1</v>
      </c>
      <c r="J36">
        <v>0</v>
      </c>
      <c r="K36">
        <v>1</v>
      </c>
      <c r="L36">
        <v>1</v>
      </c>
      <c r="M36">
        <v>1</v>
      </c>
      <c r="N36">
        <v>1</v>
      </c>
      <c r="O36">
        <v>1</v>
      </c>
      <c r="P36" t="s">
        <v>200</v>
      </c>
    </row>
    <row r="37" spans="1:16" x14ac:dyDescent="0.25">
      <c r="A37" t="s">
        <v>59</v>
      </c>
      <c r="B37" t="s">
        <v>33</v>
      </c>
      <c r="C37">
        <v>0</v>
      </c>
      <c r="D37">
        <v>2.8709714412689209</v>
      </c>
      <c r="E37">
        <v>1</v>
      </c>
      <c r="F37">
        <v>1</v>
      </c>
      <c r="G37">
        <v>1</v>
      </c>
      <c r="H37">
        <v>1</v>
      </c>
      <c r="I37">
        <v>1</v>
      </c>
      <c r="J37">
        <v>1</v>
      </c>
      <c r="K37">
        <v>1</v>
      </c>
      <c r="L37">
        <v>1</v>
      </c>
      <c r="M37">
        <v>1</v>
      </c>
      <c r="N37">
        <v>1</v>
      </c>
      <c r="O37">
        <v>1</v>
      </c>
    </row>
    <row r="38" spans="1:16" x14ac:dyDescent="0.25">
      <c r="A38" t="s">
        <v>59</v>
      </c>
      <c r="B38" t="s">
        <v>35</v>
      </c>
      <c r="C38">
        <v>0</v>
      </c>
      <c r="D38">
        <v>12.464844942092901</v>
      </c>
      <c r="E38">
        <v>0</v>
      </c>
      <c r="F38" t="s">
        <v>20</v>
      </c>
      <c r="G38" t="s">
        <v>20</v>
      </c>
      <c r="H38" t="s">
        <v>20</v>
      </c>
      <c r="I38" t="s">
        <v>20</v>
      </c>
      <c r="J38" t="s">
        <v>20</v>
      </c>
      <c r="K38" t="s">
        <v>20</v>
      </c>
      <c r="L38" t="s">
        <v>20</v>
      </c>
      <c r="M38" t="s">
        <v>20</v>
      </c>
      <c r="N38" t="s">
        <v>20</v>
      </c>
      <c r="O38" t="s">
        <v>20</v>
      </c>
      <c r="P38" t="s">
        <v>201</v>
      </c>
    </row>
    <row r="39" spans="1:16" x14ac:dyDescent="0.25">
      <c r="A39" t="s">
        <v>59</v>
      </c>
      <c r="B39" t="s">
        <v>37</v>
      </c>
      <c r="C39">
        <v>0</v>
      </c>
      <c r="D39">
        <v>11.00863027572632</v>
      </c>
      <c r="E39">
        <v>1</v>
      </c>
      <c r="F39">
        <v>1</v>
      </c>
      <c r="G39">
        <v>1</v>
      </c>
      <c r="H39">
        <v>1</v>
      </c>
      <c r="I39">
        <v>1</v>
      </c>
      <c r="J39">
        <v>0</v>
      </c>
      <c r="K39">
        <v>1</v>
      </c>
      <c r="L39">
        <v>1</v>
      </c>
      <c r="M39">
        <v>1</v>
      </c>
      <c r="N39">
        <v>1</v>
      </c>
      <c r="O39">
        <v>1</v>
      </c>
      <c r="P39" t="s">
        <v>202</v>
      </c>
    </row>
    <row r="40" spans="1:16" x14ac:dyDescent="0.25">
      <c r="A40" t="s">
        <v>59</v>
      </c>
      <c r="B40" t="s">
        <v>39</v>
      </c>
      <c r="C40">
        <v>0</v>
      </c>
      <c r="D40">
        <v>8.9232654571533203</v>
      </c>
      <c r="E40">
        <v>0</v>
      </c>
      <c r="F40" t="s">
        <v>20</v>
      </c>
      <c r="G40" t="s">
        <v>20</v>
      </c>
      <c r="H40" t="s">
        <v>20</v>
      </c>
      <c r="I40" t="s">
        <v>20</v>
      </c>
      <c r="J40" t="s">
        <v>20</v>
      </c>
      <c r="K40" t="s">
        <v>20</v>
      </c>
      <c r="L40" t="s">
        <v>20</v>
      </c>
      <c r="M40" t="s">
        <v>20</v>
      </c>
      <c r="N40" t="s">
        <v>20</v>
      </c>
      <c r="O40" t="s">
        <v>20</v>
      </c>
      <c r="P40" t="s">
        <v>203</v>
      </c>
    </row>
    <row r="41" spans="1:16" x14ac:dyDescent="0.25">
      <c r="A41" t="s">
        <v>59</v>
      </c>
      <c r="B41" t="s">
        <v>41</v>
      </c>
      <c r="C41">
        <v>0</v>
      </c>
      <c r="D41">
        <v>14.240126371383671</v>
      </c>
      <c r="E41">
        <v>0</v>
      </c>
      <c r="F41" t="s">
        <v>20</v>
      </c>
      <c r="G41" t="s">
        <v>20</v>
      </c>
      <c r="H41" t="s">
        <v>20</v>
      </c>
      <c r="I41" t="s">
        <v>20</v>
      </c>
      <c r="J41" t="s">
        <v>20</v>
      </c>
      <c r="K41" t="s">
        <v>20</v>
      </c>
      <c r="L41" t="s">
        <v>20</v>
      </c>
      <c r="M41" t="s">
        <v>20</v>
      </c>
      <c r="N41" t="s">
        <v>20</v>
      </c>
      <c r="O41" t="s">
        <v>20</v>
      </c>
      <c r="P41" t="s">
        <v>204</v>
      </c>
    </row>
    <row r="42" spans="1:16" x14ac:dyDescent="0.25">
      <c r="A42" t="s">
        <v>59</v>
      </c>
      <c r="B42" t="s">
        <v>43</v>
      </c>
      <c r="C42">
        <v>0</v>
      </c>
      <c r="D42">
        <v>2.460174560546875</v>
      </c>
      <c r="E42">
        <v>1</v>
      </c>
      <c r="F42">
        <v>1</v>
      </c>
      <c r="G42">
        <v>1</v>
      </c>
      <c r="H42">
        <v>1</v>
      </c>
      <c r="I42">
        <v>1</v>
      </c>
      <c r="J42">
        <v>1</v>
      </c>
      <c r="K42">
        <v>1</v>
      </c>
      <c r="L42">
        <v>1</v>
      </c>
      <c r="M42">
        <v>1</v>
      </c>
      <c r="N42">
        <v>1</v>
      </c>
      <c r="O42">
        <v>1</v>
      </c>
    </row>
    <row r="43" spans="1:16" x14ac:dyDescent="0.25">
      <c r="A43" t="s">
        <v>59</v>
      </c>
      <c r="B43" t="s">
        <v>45</v>
      </c>
      <c r="C43">
        <v>0</v>
      </c>
      <c r="D43">
        <v>10.52012300491333</v>
      </c>
      <c r="E43">
        <v>1</v>
      </c>
      <c r="F43">
        <v>1</v>
      </c>
      <c r="G43">
        <v>0</v>
      </c>
      <c r="H43" t="s">
        <v>20</v>
      </c>
      <c r="I43">
        <v>1</v>
      </c>
      <c r="J43">
        <v>1</v>
      </c>
      <c r="K43">
        <v>1</v>
      </c>
      <c r="L43">
        <v>1</v>
      </c>
      <c r="M43">
        <v>1</v>
      </c>
      <c r="N43">
        <v>1</v>
      </c>
      <c r="O43">
        <v>1</v>
      </c>
      <c r="P43" t="s">
        <v>205</v>
      </c>
    </row>
    <row r="44" spans="1:16" x14ac:dyDescent="0.25">
      <c r="A44" t="s">
        <v>59</v>
      </c>
      <c r="B44" t="s">
        <v>47</v>
      </c>
      <c r="C44">
        <v>0</v>
      </c>
      <c r="D44">
        <v>4.0865874290466309</v>
      </c>
      <c r="E44">
        <v>1</v>
      </c>
      <c r="F44">
        <v>1</v>
      </c>
      <c r="G44">
        <v>1</v>
      </c>
      <c r="H44">
        <v>1</v>
      </c>
      <c r="I44">
        <v>1</v>
      </c>
      <c r="J44">
        <v>1</v>
      </c>
      <c r="K44">
        <v>0</v>
      </c>
      <c r="L44">
        <v>1</v>
      </c>
      <c r="M44">
        <v>1</v>
      </c>
      <c r="N44">
        <v>1</v>
      </c>
      <c r="O44">
        <v>1</v>
      </c>
      <c r="P44" t="s">
        <v>206</v>
      </c>
    </row>
    <row r="45" spans="1:16" x14ac:dyDescent="0.25">
      <c r="A45" t="s">
        <v>59</v>
      </c>
      <c r="B45" t="s">
        <v>48</v>
      </c>
      <c r="C45">
        <v>0</v>
      </c>
      <c r="D45">
        <v>2.867524147033691</v>
      </c>
      <c r="E45">
        <v>1</v>
      </c>
      <c r="F45">
        <v>1</v>
      </c>
      <c r="G45">
        <v>1</v>
      </c>
      <c r="H45">
        <v>1</v>
      </c>
      <c r="I45">
        <v>1</v>
      </c>
      <c r="J45">
        <v>1</v>
      </c>
      <c r="K45">
        <v>1</v>
      </c>
      <c r="L45">
        <v>1</v>
      </c>
      <c r="M45">
        <v>1</v>
      </c>
      <c r="N45">
        <v>1</v>
      </c>
      <c r="O45">
        <v>1</v>
      </c>
    </row>
    <row r="46" spans="1:16" x14ac:dyDescent="0.25">
      <c r="A46" t="s">
        <v>59</v>
      </c>
      <c r="B46" t="s">
        <v>49</v>
      </c>
      <c r="C46">
        <v>0</v>
      </c>
      <c r="D46">
        <v>11.586026191711429</v>
      </c>
      <c r="E46">
        <v>1</v>
      </c>
      <c r="F46">
        <v>1</v>
      </c>
      <c r="G46">
        <v>0</v>
      </c>
      <c r="H46" t="s">
        <v>20</v>
      </c>
      <c r="I46">
        <v>1</v>
      </c>
      <c r="J46">
        <v>1</v>
      </c>
      <c r="K46">
        <v>1</v>
      </c>
      <c r="L46">
        <v>1</v>
      </c>
      <c r="M46">
        <v>0</v>
      </c>
      <c r="N46">
        <v>1</v>
      </c>
      <c r="O46">
        <v>1</v>
      </c>
      <c r="P46" t="s">
        <v>207</v>
      </c>
    </row>
    <row r="47" spans="1:16" x14ac:dyDescent="0.25">
      <c r="A47" t="s">
        <v>59</v>
      </c>
      <c r="B47" t="s">
        <v>51</v>
      </c>
      <c r="C47">
        <v>0</v>
      </c>
      <c r="D47">
        <v>2.6819474697113042</v>
      </c>
      <c r="E47">
        <v>1</v>
      </c>
      <c r="F47">
        <v>1</v>
      </c>
      <c r="G47">
        <v>1</v>
      </c>
      <c r="H47">
        <v>1</v>
      </c>
      <c r="I47">
        <v>1</v>
      </c>
      <c r="J47">
        <v>1</v>
      </c>
      <c r="K47">
        <v>1</v>
      </c>
      <c r="L47">
        <v>1</v>
      </c>
      <c r="M47">
        <v>1</v>
      </c>
      <c r="N47">
        <v>1</v>
      </c>
      <c r="O47">
        <v>1</v>
      </c>
    </row>
    <row r="48" spans="1:16" x14ac:dyDescent="0.25">
      <c r="A48" t="s">
        <v>59</v>
      </c>
      <c r="B48" t="s">
        <v>52</v>
      </c>
      <c r="C48">
        <v>0</v>
      </c>
      <c r="D48">
        <v>9.1961550712585449</v>
      </c>
      <c r="E48">
        <v>1</v>
      </c>
      <c r="F48">
        <v>1</v>
      </c>
      <c r="G48">
        <v>1</v>
      </c>
      <c r="H48">
        <v>1</v>
      </c>
      <c r="I48">
        <v>1</v>
      </c>
      <c r="J48">
        <v>1</v>
      </c>
      <c r="K48">
        <v>1</v>
      </c>
      <c r="L48">
        <v>1</v>
      </c>
      <c r="M48">
        <v>1</v>
      </c>
      <c r="N48">
        <v>1</v>
      </c>
      <c r="O48">
        <v>1</v>
      </c>
    </row>
    <row r="49" spans="1:16" x14ac:dyDescent="0.25">
      <c r="A49" t="s">
        <v>59</v>
      </c>
      <c r="B49" t="s">
        <v>54</v>
      </c>
      <c r="C49">
        <v>0</v>
      </c>
      <c r="D49">
        <v>5.6182448863983154</v>
      </c>
      <c r="E49">
        <v>1</v>
      </c>
      <c r="F49">
        <v>1</v>
      </c>
      <c r="G49">
        <v>1</v>
      </c>
      <c r="H49">
        <v>1</v>
      </c>
      <c r="I49">
        <v>0</v>
      </c>
      <c r="J49">
        <v>0</v>
      </c>
      <c r="K49">
        <v>1</v>
      </c>
      <c r="L49">
        <v>1</v>
      </c>
      <c r="M49">
        <v>1</v>
      </c>
      <c r="N49">
        <v>1</v>
      </c>
      <c r="O49">
        <v>1</v>
      </c>
      <c r="P49" t="s">
        <v>208</v>
      </c>
    </row>
    <row r="50" spans="1:16" x14ac:dyDescent="0.25">
      <c r="A50" t="s">
        <v>59</v>
      </c>
      <c r="B50" t="s">
        <v>56</v>
      </c>
      <c r="C50">
        <v>0</v>
      </c>
      <c r="D50">
        <v>2.785754919052124</v>
      </c>
      <c r="E50">
        <v>1</v>
      </c>
      <c r="F50">
        <v>1</v>
      </c>
      <c r="G50">
        <v>1</v>
      </c>
      <c r="H50">
        <v>1</v>
      </c>
      <c r="I50">
        <v>1</v>
      </c>
      <c r="J50">
        <v>1</v>
      </c>
      <c r="K50">
        <v>1</v>
      </c>
      <c r="L50">
        <v>1</v>
      </c>
      <c r="M50">
        <v>1</v>
      </c>
      <c r="N50">
        <v>1</v>
      </c>
      <c r="O50">
        <v>1</v>
      </c>
    </row>
    <row r="51" spans="1:16" x14ac:dyDescent="0.25">
      <c r="A51" t="s">
        <v>59</v>
      </c>
      <c r="B51" t="s">
        <v>58</v>
      </c>
      <c r="C51">
        <v>0</v>
      </c>
      <c r="D51">
        <v>12.526393890380859</v>
      </c>
      <c r="E51">
        <v>1</v>
      </c>
      <c r="F51">
        <v>1</v>
      </c>
      <c r="G51">
        <v>1</v>
      </c>
      <c r="H51">
        <v>0</v>
      </c>
      <c r="I51">
        <v>1</v>
      </c>
      <c r="J51">
        <v>0</v>
      </c>
      <c r="K51">
        <v>1</v>
      </c>
      <c r="L51">
        <v>1</v>
      </c>
      <c r="M51">
        <v>1</v>
      </c>
      <c r="N51">
        <v>1</v>
      </c>
      <c r="O51">
        <v>1</v>
      </c>
      <c r="P51" t="s">
        <v>209</v>
      </c>
    </row>
    <row r="52" spans="1:16" x14ac:dyDescent="0.25">
      <c r="A52" t="s">
        <v>73</v>
      </c>
      <c r="B52" t="s">
        <v>17</v>
      </c>
      <c r="C52">
        <v>0</v>
      </c>
      <c r="D52">
        <v>10.434022188186651</v>
      </c>
      <c r="E52">
        <v>1</v>
      </c>
      <c r="F52">
        <v>1</v>
      </c>
      <c r="G52">
        <v>1</v>
      </c>
      <c r="H52">
        <v>1</v>
      </c>
      <c r="I52">
        <v>1</v>
      </c>
      <c r="J52">
        <v>1</v>
      </c>
      <c r="K52">
        <v>1</v>
      </c>
      <c r="L52">
        <v>1</v>
      </c>
      <c r="M52">
        <v>1</v>
      </c>
      <c r="N52">
        <v>1</v>
      </c>
      <c r="O52">
        <v>1</v>
      </c>
    </row>
    <row r="53" spans="1:16" x14ac:dyDescent="0.25">
      <c r="A53" t="s">
        <v>73</v>
      </c>
      <c r="B53" t="s">
        <v>19</v>
      </c>
      <c r="C53">
        <v>0</v>
      </c>
      <c r="D53">
        <v>5.5664489269256592</v>
      </c>
      <c r="E53">
        <v>1</v>
      </c>
      <c r="F53">
        <v>1</v>
      </c>
      <c r="G53">
        <v>1</v>
      </c>
      <c r="H53">
        <v>1</v>
      </c>
      <c r="I53">
        <v>1</v>
      </c>
      <c r="J53">
        <v>0</v>
      </c>
      <c r="K53">
        <v>1</v>
      </c>
      <c r="L53">
        <v>1</v>
      </c>
      <c r="M53">
        <v>1</v>
      </c>
      <c r="N53">
        <v>1</v>
      </c>
      <c r="O53">
        <v>1</v>
      </c>
      <c r="P53" t="s">
        <v>210</v>
      </c>
    </row>
    <row r="54" spans="1:16" x14ac:dyDescent="0.25">
      <c r="A54" t="s">
        <v>73</v>
      </c>
      <c r="B54" t="s">
        <v>22</v>
      </c>
      <c r="C54">
        <v>0</v>
      </c>
      <c r="D54">
        <v>5.0407612323760986</v>
      </c>
      <c r="E54">
        <v>1</v>
      </c>
      <c r="F54">
        <v>1</v>
      </c>
      <c r="G54">
        <v>1</v>
      </c>
      <c r="H54">
        <v>1</v>
      </c>
      <c r="I54">
        <v>1</v>
      </c>
      <c r="J54">
        <v>0</v>
      </c>
      <c r="K54">
        <v>1</v>
      </c>
      <c r="L54">
        <v>1</v>
      </c>
      <c r="M54">
        <v>1</v>
      </c>
      <c r="N54">
        <v>1</v>
      </c>
      <c r="O54">
        <v>1</v>
      </c>
      <c r="P54" t="s">
        <v>211</v>
      </c>
    </row>
    <row r="55" spans="1:16" x14ac:dyDescent="0.25">
      <c r="A55" t="s">
        <v>73</v>
      </c>
      <c r="B55" t="s">
        <v>24</v>
      </c>
      <c r="C55">
        <v>0</v>
      </c>
      <c r="D55">
        <v>9.8067231178283691</v>
      </c>
      <c r="E55">
        <v>1</v>
      </c>
      <c r="F55">
        <v>1</v>
      </c>
      <c r="G55">
        <v>1</v>
      </c>
      <c r="H55">
        <v>1</v>
      </c>
      <c r="I55">
        <v>1</v>
      </c>
      <c r="J55">
        <v>1</v>
      </c>
      <c r="K55">
        <v>1</v>
      </c>
      <c r="L55">
        <v>1</v>
      </c>
      <c r="M55">
        <v>1</v>
      </c>
      <c r="N55">
        <v>1</v>
      </c>
      <c r="O55">
        <v>1</v>
      </c>
    </row>
    <row r="56" spans="1:16" x14ac:dyDescent="0.25">
      <c r="A56" t="s">
        <v>73</v>
      </c>
      <c r="B56" t="s">
        <v>25</v>
      </c>
      <c r="C56">
        <v>0</v>
      </c>
      <c r="D56">
        <v>7.8694994449615479</v>
      </c>
      <c r="E56">
        <v>1</v>
      </c>
      <c r="F56">
        <v>1</v>
      </c>
      <c r="G56">
        <v>1</v>
      </c>
      <c r="H56">
        <v>1</v>
      </c>
      <c r="I56">
        <v>1</v>
      </c>
      <c r="J56">
        <v>1</v>
      </c>
      <c r="K56">
        <v>1</v>
      </c>
      <c r="L56">
        <v>0</v>
      </c>
      <c r="M56">
        <v>1</v>
      </c>
      <c r="N56">
        <v>1</v>
      </c>
      <c r="O56">
        <v>1</v>
      </c>
      <c r="P56" t="s">
        <v>212</v>
      </c>
    </row>
    <row r="57" spans="1:16" x14ac:dyDescent="0.25">
      <c r="A57" t="s">
        <v>73</v>
      </c>
      <c r="B57" t="s">
        <v>26</v>
      </c>
      <c r="C57">
        <v>0</v>
      </c>
      <c r="D57">
        <v>11.79335570335388</v>
      </c>
      <c r="E57">
        <v>1</v>
      </c>
      <c r="F57">
        <v>1</v>
      </c>
      <c r="G57">
        <v>1</v>
      </c>
      <c r="H57">
        <v>1</v>
      </c>
      <c r="I57">
        <v>1</v>
      </c>
      <c r="J57">
        <v>1</v>
      </c>
      <c r="K57">
        <v>0</v>
      </c>
      <c r="L57">
        <v>1</v>
      </c>
      <c r="M57">
        <v>1</v>
      </c>
      <c r="N57">
        <v>1</v>
      </c>
      <c r="O57">
        <v>1</v>
      </c>
      <c r="P57" t="s">
        <v>213</v>
      </c>
    </row>
    <row r="58" spans="1:16" x14ac:dyDescent="0.25">
      <c r="A58" t="s">
        <v>73</v>
      </c>
      <c r="B58" t="s">
        <v>27</v>
      </c>
      <c r="C58">
        <v>0</v>
      </c>
      <c r="D58">
        <v>5.1629366874694824</v>
      </c>
      <c r="E58">
        <v>1</v>
      </c>
      <c r="F58">
        <v>1</v>
      </c>
      <c r="G58">
        <v>1</v>
      </c>
      <c r="H58">
        <v>1</v>
      </c>
      <c r="I58">
        <v>1</v>
      </c>
      <c r="J58">
        <v>0</v>
      </c>
      <c r="K58">
        <v>0</v>
      </c>
      <c r="L58">
        <v>1</v>
      </c>
      <c r="M58">
        <v>1</v>
      </c>
      <c r="N58">
        <v>1</v>
      </c>
      <c r="O58">
        <v>1</v>
      </c>
      <c r="P58" t="s">
        <v>214</v>
      </c>
    </row>
    <row r="59" spans="1:16" x14ac:dyDescent="0.25">
      <c r="A59" t="s">
        <v>73</v>
      </c>
      <c r="B59" t="s">
        <v>29</v>
      </c>
      <c r="C59">
        <v>0</v>
      </c>
      <c r="D59">
        <v>2.8968358039855961</v>
      </c>
      <c r="E59">
        <v>1</v>
      </c>
      <c r="F59">
        <v>1</v>
      </c>
      <c r="G59">
        <v>1</v>
      </c>
      <c r="H59">
        <v>1</v>
      </c>
      <c r="I59">
        <v>1</v>
      </c>
      <c r="J59">
        <v>1</v>
      </c>
      <c r="K59">
        <v>1</v>
      </c>
      <c r="L59">
        <v>1</v>
      </c>
      <c r="M59">
        <v>1</v>
      </c>
      <c r="N59">
        <v>1</v>
      </c>
      <c r="O59">
        <v>1</v>
      </c>
    </row>
    <row r="60" spans="1:16" x14ac:dyDescent="0.25">
      <c r="A60" t="s">
        <v>73</v>
      </c>
      <c r="B60" t="s">
        <v>30</v>
      </c>
      <c r="C60">
        <v>0</v>
      </c>
      <c r="D60">
        <v>5.4091417789459229</v>
      </c>
      <c r="E60">
        <v>1</v>
      </c>
      <c r="F60">
        <v>1</v>
      </c>
      <c r="G60">
        <v>1</v>
      </c>
      <c r="H60">
        <v>1</v>
      </c>
      <c r="I60">
        <v>1</v>
      </c>
      <c r="J60">
        <v>0</v>
      </c>
      <c r="K60">
        <v>1</v>
      </c>
      <c r="L60">
        <v>1</v>
      </c>
      <c r="M60">
        <v>1</v>
      </c>
      <c r="N60">
        <v>1</v>
      </c>
      <c r="O60">
        <v>1</v>
      </c>
      <c r="P60" t="s">
        <v>215</v>
      </c>
    </row>
    <row r="61" spans="1:16" x14ac:dyDescent="0.25">
      <c r="A61" t="s">
        <v>73</v>
      </c>
      <c r="B61" t="s">
        <v>32</v>
      </c>
      <c r="C61">
        <v>0</v>
      </c>
      <c r="D61">
        <v>14.04901909828186</v>
      </c>
      <c r="E61">
        <v>1</v>
      </c>
      <c r="F61">
        <v>1</v>
      </c>
      <c r="G61">
        <v>1</v>
      </c>
      <c r="H61">
        <v>1</v>
      </c>
      <c r="I61">
        <v>1</v>
      </c>
      <c r="J61">
        <v>0</v>
      </c>
      <c r="K61">
        <v>0</v>
      </c>
      <c r="L61">
        <v>0</v>
      </c>
      <c r="M61">
        <v>1</v>
      </c>
      <c r="N61">
        <v>1</v>
      </c>
      <c r="O61">
        <v>1</v>
      </c>
      <c r="P61" t="s">
        <v>216</v>
      </c>
    </row>
    <row r="62" spans="1:16" x14ac:dyDescent="0.25">
      <c r="A62" t="s">
        <v>73</v>
      </c>
      <c r="B62" t="s">
        <v>33</v>
      </c>
      <c r="C62">
        <v>0</v>
      </c>
      <c r="D62">
        <v>9.8667218685150146</v>
      </c>
      <c r="E62">
        <v>1</v>
      </c>
      <c r="F62">
        <v>1</v>
      </c>
      <c r="G62">
        <v>1</v>
      </c>
      <c r="H62">
        <v>1</v>
      </c>
      <c r="I62">
        <v>1</v>
      </c>
      <c r="J62">
        <v>1</v>
      </c>
      <c r="K62">
        <v>1</v>
      </c>
      <c r="L62">
        <v>1</v>
      </c>
      <c r="M62">
        <v>1</v>
      </c>
      <c r="N62">
        <v>1</v>
      </c>
      <c r="O62">
        <v>1</v>
      </c>
    </row>
    <row r="63" spans="1:16" x14ac:dyDescent="0.25">
      <c r="A63" t="s">
        <v>73</v>
      </c>
      <c r="B63" t="s">
        <v>35</v>
      </c>
      <c r="C63">
        <v>0</v>
      </c>
      <c r="D63">
        <v>5.762371301651001</v>
      </c>
      <c r="E63">
        <v>1</v>
      </c>
      <c r="F63">
        <v>1</v>
      </c>
      <c r="G63">
        <v>1</v>
      </c>
      <c r="H63">
        <v>1</v>
      </c>
      <c r="I63">
        <v>1</v>
      </c>
      <c r="J63">
        <v>0</v>
      </c>
      <c r="K63">
        <v>0</v>
      </c>
      <c r="L63">
        <v>1</v>
      </c>
      <c r="M63">
        <v>1</v>
      </c>
      <c r="N63">
        <v>1</v>
      </c>
      <c r="O63">
        <v>1</v>
      </c>
      <c r="P63" t="s">
        <v>217</v>
      </c>
    </row>
    <row r="64" spans="1:16" x14ac:dyDescent="0.25">
      <c r="A64" t="s">
        <v>73</v>
      </c>
      <c r="B64" t="s">
        <v>37</v>
      </c>
      <c r="C64">
        <v>0</v>
      </c>
      <c r="D64">
        <v>11.80872821807861</v>
      </c>
      <c r="E64">
        <v>1</v>
      </c>
      <c r="F64">
        <v>1</v>
      </c>
      <c r="G64">
        <v>1</v>
      </c>
      <c r="H64">
        <v>1</v>
      </c>
      <c r="I64">
        <v>1</v>
      </c>
      <c r="J64">
        <v>1</v>
      </c>
      <c r="K64">
        <v>1</v>
      </c>
      <c r="L64">
        <v>1</v>
      </c>
      <c r="M64">
        <v>1</v>
      </c>
      <c r="N64">
        <v>1</v>
      </c>
      <c r="O64">
        <v>1</v>
      </c>
    </row>
    <row r="65" spans="1:16" x14ac:dyDescent="0.25">
      <c r="A65" t="s">
        <v>73</v>
      </c>
      <c r="B65" t="s">
        <v>39</v>
      </c>
      <c r="C65">
        <v>0</v>
      </c>
      <c r="D65">
        <v>3.0104761123657231</v>
      </c>
      <c r="E65">
        <v>1</v>
      </c>
      <c r="F65">
        <v>1</v>
      </c>
      <c r="G65">
        <v>1</v>
      </c>
      <c r="H65">
        <v>1</v>
      </c>
      <c r="I65">
        <v>1</v>
      </c>
      <c r="J65">
        <v>1</v>
      </c>
      <c r="K65">
        <v>1</v>
      </c>
      <c r="L65">
        <v>1</v>
      </c>
      <c r="M65">
        <v>1</v>
      </c>
      <c r="N65">
        <v>1</v>
      </c>
      <c r="O65">
        <v>1</v>
      </c>
    </row>
    <row r="66" spans="1:16" x14ac:dyDescent="0.25">
      <c r="A66" t="s">
        <v>73</v>
      </c>
      <c r="B66" t="s">
        <v>41</v>
      </c>
      <c r="C66">
        <v>0</v>
      </c>
      <c r="D66">
        <v>4.4842283725738534</v>
      </c>
      <c r="E66">
        <v>1</v>
      </c>
      <c r="F66">
        <v>1</v>
      </c>
      <c r="G66">
        <v>1</v>
      </c>
      <c r="H66">
        <v>1</v>
      </c>
      <c r="I66">
        <v>1</v>
      </c>
      <c r="J66">
        <v>0</v>
      </c>
      <c r="K66">
        <v>1</v>
      </c>
      <c r="L66">
        <v>1</v>
      </c>
      <c r="M66">
        <v>1</v>
      </c>
      <c r="N66">
        <v>1</v>
      </c>
      <c r="O66">
        <v>1</v>
      </c>
      <c r="P66" t="s">
        <v>218</v>
      </c>
    </row>
    <row r="67" spans="1:16" x14ac:dyDescent="0.25">
      <c r="A67" t="s">
        <v>73</v>
      </c>
      <c r="B67" t="s">
        <v>43</v>
      </c>
      <c r="C67">
        <v>0</v>
      </c>
      <c r="D67">
        <v>8.4116828441619873</v>
      </c>
      <c r="E67">
        <v>1</v>
      </c>
      <c r="F67">
        <v>1</v>
      </c>
      <c r="G67">
        <v>1</v>
      </c>
      <c r="H67">
        <v>1</v>
      </c>
      <c r="I67">
        <v>1</v>
      </c>
      <c r="J67">
        <v>1</v>
      </c>
      <c r="K67">
        <v>1</v>
      </c>
      <c r="L67">
        <v>1</v>
      </c>
      <c r="M67">
        <v>1</v>
      </c>
      <c r="N67">
        <v>1</v>
      </c>
      <c r="O67">
        <v>1</v>
      </c>
    </row>
    <row r="68" spans="1:16" x14ac:dyDescent="0.25">
      <c r="A68" t="s">
        <v>73</v>
      </c>
      <c r="B68" t="s">
        <v>45</v>
      </c>
      <c r="C68">
        <v>0</v>
      </c>
      <c r="D68">
        <v>12.51349902153015</v>
      </c>
      <c r="E68">
        <v>0</v>
      </c>
      <c r="F68" t="s">
        <v>20</v>
      </c>
      <c r="G68" t="s">
        <v>20</v>
      </c>
      <c r="H68" t="s">
        <v>20</v>
      </c>
      <c r="I68" t="s">
        <v>20</v>
      </c>
      <c r="J68" t="s">
        <v>20</v>
      </c>
      <c r="K68" t="s">
        <v>20</v>
      </c>
      <c r="L68" t="s">
        <v>20</v>
      </c>
      <c r="M68" t="s">
        <v>20</v>
      </c>
      <c r="N68" t="s">
        <v>20</v>
      </c>
      <c r="O68" t="s">
        <v>20</v>
      </c>
      <c r="P68" t="s">
        <v>219</v>
      </c>
    </row>
    <row r="69" spans="1:16" x14ac:dyDescent="0.25">
      <c r="A69" t="s">
        <v>73</v>
      </c>
      <c r="B69" t="s">
        <v>47</v>
      </c>
      <c r="C69">
        <v>0</v>
      </c>
      <c r="D69">
        <v>9.63232421875</v>
      </c>
      <c r="E69">
        <v>1</v>
      </c>
      <c r="F69">
        <v>1</v>
      </c>
      <c r="G69">
        <v>1</v>
      </c>
      <c r="H69">
        <v>1</v>
      </c>
      <c r="I69">
        <v>1</v>
      </c>
      <c r="J69">
        <v>1</v>
      </c>
      <c r="K69">
        <v>1</v>
      </c>
      <c r="L69">
        <v>1</v>
      </c>
      <c r="M69">
        <v>1</v>
      </c>
      <c r="N69">
        <v>1</v>
      </c>
      <c r="O69">
        <v>1</v>
      </c>
    </row>
    <row r="70" spans="1:16" x14ac:dyDescent="0.25">
      <c r="A70" t="s">
        <v>73</v>
      </c>
      <c r="B70" t="s">
        <v>48</v>
      </c>
      <c r="C70">
        <v>0</v>
      </c>
      <c r="D70">
        <v>2.6867790222167969</v>
      </c>
      <c r="E70">
        <v>1</v>
      </c>
      <c r="F70">
        <v>1</v>
      </c>
      <c r="G70">
        <v>1</v>
      </c>
      <c r="H70">
        <v>1</v>
      </c>
      <c r="I70">
        <v>1</v>
      </c>
      <c r="J70">
        <v>1</v>
      </c>
      <c r="K70">
        <v>1</v>
      </c>
      <c r="L70">
        <v>1</v>
      </c>
      <c r="M70">
        <v>1</v>
      </c>
      <c r="N70">
        <v>1</v>
      </c>
      <c r="O70">
        <v>1</v>
      </c>
    </row>
    <row r="71" spans="1:16" x14ac:dyDescent="0.25">
      <c r="A71" t="s">
        <v>73</v>
      </c>
      <c r="B71" t="s">
        <v>49</v>
      </c>
      <c r="C71">
        <v>0</v>
      </c>
      <c r="D71">
        <v>12.789876937866209</v>
      </c>
      <c r="E71">
        <v>1</v>
      </c>
      <c r="F71">
        <v>0</v>
      </c>
      <c r="G71">
        <v>1</v>
      </c>
      <c r="H71" t="s">
        <v>20</v>
      </c>
      <c r="I71">
        <v>1</v>
      </c>
      <c r="J71" t="s">
        <v>20</v>
      </c>
      <c r="K71">
        <v>1</v>
      </c>
      <c r="L71">
        <v>1</v>
      </c>
      <c r="M71">
        <v>1</v>
      </c>
      <c r="N71">
        <v>1</v>
      </c>
      <c r="O71">
        <v>1</v>
      </c>
      <c r="P71" t="s">
        <v>220</v>
      </c>
    </row>
    <row r="72" spans="1:16" x14ac:dyDescent="0.25">
      <c r="A72" t="s">
        <v>73</v>
      </c>
      <c r="B72" t="s">
        <v>51</v>
      </c>
      <c r="C72">
        <v>0</v>
      </c>
      <c r="D72">
        <v>4.7444355487823486</v>
      </c>
      <c r="E72">
        <v>1</v>
      </c>
      <c r="F72">
        <v>1</v>
      </c>
      <c r="G72">
        <v>1</v>
      </c>
      <c r="H72">
        <v>1</v>
      </c>
      <c r="I72">
        <v>1</v>
      </c>
      <c r="J72">
        <v>0</v>
      </c>
      <c r="K72">
        <v>1</v>
      </c>
      <c r="L72">
        <v>1</v>
      </c>
      <c r="M72">
        <v>1</v>
      </c>
      <c r="N72">
        <v>1</v>
      </c>
      <c r="O72">
        <v>1</v>
      </c>
      <c r="P72" t="s">
        <v>221</v>
      </c>
    </row>
    <row r="73" spans="1:16" x14ac:dyDescent="0.25">
      <c r="A73" t="s">
        <v>73</v>
      </c>
      <c r="B73" t="s">
        <v>52</v>
      </c>
      <c r="C73">
        <v>0</v>
      </c>
      <c r="D73">
        <v>8.5699305534362793</v>
      </c>
      <c r="E73">
        <v>1</v>
      </c>
      <c r="F73">
        <v>1</v>
      </c>
      <c r="G73">
        <v>1</v>
      </c>
      <c r="H73">
        <v>1</v>
      </c>
      <c r="I73">
        <v>1</v>
      </c>
      <c r="J73">
        <v>1</v>
      </c>
      <c r="K73">
        <v>1</v>
      </c>
      <c r="L73">
        <v>1</v>
      </c>
      <c r="M73">
        <v>1</v>
      </c>
      <c r="N73">
        <v>1</v>
      </c>
      <c r="O73">
        <v>1</v>
      </c>
    </row>
    <row r="74" spans="1:16" x14ac:dyDescent="0.25">
      <c r="A74" t="s">
        <v>73</v>
      </c>
      <c r="B74" t="s">
        <v>54</v>
      </c>
      <c r="C74">
        <v>0</v>
      </c>
      <c r="D74">
        <v>5.7699315547943124</v>
      </c>
      <c r="E74">
        <v>1</v>
      </c>
      <c r="F74">
        <v>1</v>
      </c>
      <c r="G74">
        <v>1</v>
      </c>
      <c r="H74">
        <v>0</v>
      </c>
      <c r="I74">
        <v>1</v>
      </c>
      <c r="J74">
        <v>0</v>
      </c>
      <c r="K74">
        <v>1</v>
      </c>
      <c r="L74">
        <v>1</v>
      </c>
      <c r="M74">
        <v>1</v>
      </c>
      <c r="N74">
        <v>1</v>
      </c>
      <c r="O74">
        <v>1</v>
      </c>
      <c r="P74" t="s">
        <v>222</v>
      </c>
    </row>
    <row r="75" spans="1:16" x14ac:dyDescent="0.25">
      <c r="A75" t="s">
        <v>73</v>
      </c>
      <c r="B75" t="s">
        <v>56</v>
      </c>
      <c r="C75">
        <v>0</v>
      </c>
      <c r="D75">
        <v>10.38391900062561</v>
      </c>
      <c r="E75">
        <v>1</v>
      </c>
      <c r="F75">
        <v>0</v>
      </c>
      <c r="G75">
        <v>1</v>
      </c>
      <c r="H75" t="s">
        <v>20</v>
      </c>
      <c r="I75">
        <v>1</v>
      </c>
      <c r="J75" t="s">
        <v>20</v>
      </c>
      <c r="K75">
        <v>1</v>
      </c>
      <c r="L75">
        <v>1</v>
      </c>
      <c r="M75">
        <v>1</v>
      </c>
      <c r="N75">
        <v>1</v>
      </c>
      <c r="O75">
        <v>1</v>
      </c>
      <c r="P75" t="s">
        <v>223</v>
      </c>
    </row>
    <row r="76" spans="1:16" x14ac:dyDescent="0.25">
      <c r="A76" t="s">
        <v>73</v>
      </c>
      <c r="B76" t="s">
        <v>58</v>
      </c>
      <c r="C76">
        <v>0</v>
      </c>
      <c r="D76">
        <v>9.5701949596405029</v>
      </c>
      <c r="E76">
        <v>1</v>
      </c>
      <c r="F76">
        <v>1</v>
      </c>
      <c r="G76">
        <v>1</v>
      </c>
      <c r="H76">
        <v>1</v>
      </c>
      <c r="I76">
        <v>1</v>
      </c>
      <c r="J76">
        <v>1</v>
      </c>
      <c r="K76">
        <v>1</v>
      </c>
      <c r="L76">
        <v>1</v>
      </c>
      <c r="M76">
        <v>1</v>
      </c>
      <c r="N76">
        <v>1</v>
      </c>
      <c r="O76">
        <v>1</v>
      </c>
    </row>
    <row r="77" spans="1:16" x14ac:dyDescent="0.25">
      <c r="A77" t="s">
        <v>73</v>
      </c>
      <c r="B77" t="s">
        <v>89</v>
      </c>
      <c r="C77">
        <v>0</v>
      </c>
      <c r="D77">
        <v>13.212273836135861</v>
      </c>
      <c r="E77">
        <v>0</v>
      </c>
      <c r="F77" t="s">
        <v>20</v>
      </c>
      <c r="G77" t="s">
        <v>20</v>
      </c>
      <c r="H77" t="s">
        <v>20</v>
      </c>
      <c r="I77" t="s">
        <v>20</v>
      </c>
      <c r="J77" t="s">
        <v>20</v>
      </c>
      <c r="K77" t="s">
        <v>20</v>
      </c>
      <c r="L77" t="s">
        <v>20</v>
      </c>
      <c r="M77" t="s">
        <v>20</v>
      </c>
      <c r="N77" t="s">
        <v>20</v>
      </c>
      <c r="O77" t="s">
        <v>20</v>
      </c>
      <c r="P77" t="s">
        <v>224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7"/>
  <sheetViews>
    <sheetView workbookViewId="0"/>
  </sheetViews>
  <sheetFormatPr defaultRowHeight="13.8"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t="s">
        <v>16</v>
      </c>
      <c r="B2" t="s">
        <v>17</v>
      </c>
      <c r="C2">
        <v>0</v>
      </c>
      <c r="D2">
        <v>4.3597924709320068</v>
      </c>
      <c r="E2">
        <v>1</v>
      </c>
      <c r="F2">
        <v>1</v>
      </c>
      <c r="G2">
        <v>1</v>
      </c>
      <c r="H2">
        <v>1</v>
      </c>
      <c r="I2">
        <v>1</v>
      </c>
      <c r="J2">
        <v>0</v>
      </c>
      <c r="K2">
        <v>1</v>
      </c>
      <c r="L2">
        <v>1</v>
      </c>
      <c r="M2">
        <v>1</v>
      </c>
      <c r="N2">
        <v>1</v>
      </c>
      <c r="O2">
        <v>1</v>
      </c>
      <c r="P2" t="s">
        <v>225</v>
      </c>
    </row>
    <row r="3" spans="1:16" x14ac:dyDescent="0.25">
      <c r="A3" t="s">
        <v>16</v>
      </c>
      <c r="B3" t="s">
        <v>19</v>
      </c>
      <c r="C3">
        <v>0</v>
      </c>
      <c r="D3">
        <v>10.840834379196171</v>
      </c>
      <c r="E3">
        <v>1</v>
      </c>
      <c r="F3">
        <v>0</v>
      </c>
      <c r="G3">
        <v>1</v>
      </c>
      <c r="H3" t="s">
        <v>20</v>
      </c>
      <c r="I3">
        <v>1</v>
      </c>
      <c r="J3" t="s">
        <v>20</v>
      </c>
      <c r="K3">
        <v>1</v>
      </c>
      <c r="L3">
        <v>1</v>
      </c>
      <c r="M3">
        <v>1</v>
      </c>
      <c r="N3">
        <v>1</v>
      </c>
      <c r="O3">
        <v>1</v>
      </c>
      <c r="P3" t="s">
        <v>226</v>
      </c>
    </row>
    <row r="4" spans="1:16" x14ac:dyDescent="0.25">
      <c r="A4" t="s">
        <v>16</v>
      </c>
      <c r="B4" t="s">
        <v>22</v>
      </c>
      <c r="C4">
        <v>0</v>
      </c>
      <c r="D4">
        <v>7.0765118598937988</v>
      </c>
      <c r="E4">
        <v>1</v>
      </c>
      <c r="F4">
        <v>1</v>
      </c>
      <c r="G4">
        <v>1</v>
      </c>
      <c r="H4">
        <v>1</v>
      </c>
      <c r="I4">
        <v>1</v>
      </c>
      <c r="J4">
        <v>1</v>
      </c>
      <c r="K4">
        <v>1</v>
      </c>
      <c r="L4">
        <v>0</v>
      </c>
      <c r="M4">
        <v>1</v>
      </c>
      <c r="N4">
        <v>1</v>
      </c>
      <c r="O4">
        <v>1</v>
      </c>
      <c r="P4" t="s">
        <v>227</v>
      </c>
    </row>
    <row r="5" spans="1:16" x14ac:dyDescent="0.25">
      <c r="A5" t="s">
        <v>16</v>
      </c>
      <c r="B5" t="s">
        <v>24</v>
      </c>
      <c r="C5">
        <v>0</v>
      </c>
      <c r="D5">
        <v>2.7348113059997559</v>
      </c>
      <c r="E5">
        <v>1</v>
      </c>
      <c r="F5">
        <v>1</v>
      </c>
      <c r="G5">
        <v>1</v>
      </c>
      <c r="H5">
        <v>1</v>
      </c>
      <c r="I5">
        <v>1</v>
      </c>
      <c r="J5">
        <v>1</v>
      </c>
      <c r="K5">
        <v>1</v>
      </c>
      <c r="L5">
        <v>1</v>
      </c>
      <c r="M5">
        <v>1</v>
      </c>
      <c r="N5">
        <v>1</v>
      </c>
      <c r="O5">
        <v>1</v>
      </c>
    </row>
    <row r="6" spans="1:16" x14ac:dyDescent="0.25">
      <c r="A6" t="s">
        <v>16</v>
      </c>
      <c r="B6" t="s">
        <v>25</v>
      </c>
      <c r="C6">
        <v>0</v>
      </c>
      <c r="D6">
        <v>11.20219135284424</v>
      </c>
      <c r="E6">
        <v>1</v>
      </c>
      <c r="F6">
        <v>1</v>
      </c>
      <c r="G6">
        <v>1</v>
      </c>
      <c r="H6">
        <v>1</v>
      </c>
      <c r="I6">
        <v>1</v>
      </c>
      <c r="J6">
        <v>0</v>
      </c>
      <c r="K6">
        <v>1</v>
      </c>
      <c r="L6">
        <v>1</v>
      </c>
      <c r="M6">
        <v>1</v>
      </c>
      <c r="N6">
        <v>1</v>
      </c>
      <c r="O6">
        <v>1</v>
      </c>
      <c r="P6" t="s">
        <v>228</v>
      </c>
    </row>
    <row r="7" spans="1:16" x14ac:dyDescent="0.25">
      <c r="A7" t="s">
        <v>16</v>
      </c>
      <c r="B7" t="s">
        <v>26</v>
      </c>
      <c r="C7">
        <v>0</v>
      </c>
      <c r="D7">
        <v>6.7938976287841797</v>
      </c>
      <c r="E7">
        <v>1</v>
      </c>
      <c r="F7">
        <v>1</v>
      </c>
      <c r="G7">
        <v>1</v>
      </c>
      <c r="H7">
        <v>1</v>
      </c>
      <c r="I7">
        <v>1</v>
      </c>
      <c r="J7">
        <v>1</v>
      </c>
      <c r="K7">
        <v>1</v>
      </c>
      <c r="L7">
        <v>1</v>
      </c>
      <c r="M7">
        <v>1</v>
      </c>
      <c r="N7">
        <v>1</v>
      </c>
      <c r="O7">
        <v>1</v>
      </c>
    </row>
    <row r="8" spans="1:16" x14ac:dyDescent="0.25">
      <c r="A8" t="s">
        <v>16</v>
      </c>
      <c r="B8" t="s">
        <v>27</v>
      </c>
      <c r="C8">
        <v>0</v>
      </c>
      <c r="D8">
        <v>2.7297005653381352</v>
      </c>
      <c r="E8">
        <v>1</v>
      </c>
      <c r="F8">
        <v>1</v>
      </c>
      <c r="G8">
        <v>1</v>
      </c>
      <c r="H8">
        <v>1</v>
      </c>
      <c r="I8">
        <v>1</v>
      </c>
      <c r="J8">
        <v>1</v>
      </c>
      <c r="K8">
        <v>1</v>
      </c>
      <c r="L8">
        <v>1</v>
      </c>
      <c r="M8">
        <v>1</v>
      </c>
      <c r="N8">
        <v>1</v>
      </c>
      <c r="O8">
        <v>1</v>
      </c>
    </row>
    <row r="9" spans="1:16" x14ac:dyDescent="0.25">
      <c r="A9" t="s">
        <v>16</v>
      </c>
      <c r="B9" t="s">
        <v>29</v>
      </c>
      <c r="C9">
        <v>0</v>
      </c>
      <c r="D9">
        <v>2.7378590106964111</v>
      </c>
      <c r="E9">
        <v>1</v>
      </c>
      <c r="F9">
        <v>1</v>
      </c>
      <c r="G9">
        <v>1</v>
      </c>
      <c r="H9">
        <v>1</v>
      </c>
      <c r="I9">
        <v>1</v>
      </c>
      <c r="J9">
        <v>1</v>
      </c>
      <c r="K9">
        <v>1</v>
      </c>
      <c r="L9">
        <v>1</v>
      </c>
      <c r="M9">
        <v>1</v>
      </c>
      <c r="N9">
        <v>1</v>
      </c>
      <c r="O9">
        <v>1</v>
      </c>
    </row>
    <row r="10" spans="1:16" x14ac:dyDescent="0.25">
      <c r="A10" t="s">
        <v>16</v>
      </c>
      <c r="B10" t="s">
        <v>30</v>
      </c>
      <c r="C10">
        <v>0</v>
      </c>
      <c r="D10">
        <v>5.2020807266235352</v>
      </c>
      <c r="E10">
        <v>1</v>
      </c>
      <c r="F10">
        <v>1</v>
      </c>
      <c r="G10">
        <v>1</v>
      </c>
      <c r="H10">
        <v>1</v>
      </c>
      <c r="I10">
        <v>1</v>
      </c>
      <c r="J10">
        <v>0</v>
      </c>
      <c r="K10">
        <v>0</v>
      </c>
      <c r="L10">
        <v>1</v>
      </c>
      <c r="M10">
        <v>1</v>
      </c>
      <c r="N10">
        <v>1</v>
      </c>
      <c r="O10">
        <v>1</v>
      </c>
      <c r="P10" t="s">
        <v>229</v>
      </c>
    </row>
    <row r="11" spans="1:16" x14ac:dyDescent="0.25">
      <c r="A11" t="s">
        <v>16</v>
      </c>
      <c r="B11" t="s">
        <v>32</v>
      </c>
      <c r="C11">
        <v>0</v>
      </c>
      <c r="D11">
        <v>2.81718921661377</v>
      </c>
      <c r="E11">
        <v>1</v>
      </c>
      <c r="F11">
        <v>1</v>
      </c>
      <c r="G11">
        <v>1</v>
      </c>
      <c r="H11">
        <v>1</v>
      </c>
      <c r="I11">
        <v>1</v>
      </c>
      <c r="J11">
        <v>1</v>
      </c>
      <c r="K11">
        <v>1</v>
      </c>
      <c r="L11">
        <v>1</v>
      </c>
      <c r="M11">
        <v>1</v>
      </c>
      <c r="N11">
        <v>1</v>
      </c>
      <c r="O11">
        <v>1</v>
      </c>
    </row>
    <row r="12" spans="1:16" x14ac:dyDescent="0.25">
      <c r="A12" t="s">
        <v>16</v>
      </c>
      <c r="B12" t="s">
        <v>33</v>
      </c>
      <c r="C12">
        <v>0</v>
      </c>
      <c r="D12">
        <v>12.2861762046814</v>
      </c>
      <c r="E12">
        <v>1</v>
      </c>
      <c r="F12">
        <v>1</v>
      </c>
      <c r="G12">
        <v>1</v>
      </c>
      <c r="H12">
        <v>1</v>
      </c>
      <c r="I12">
        <v>1</v>
      </c>
      <c r="J12">
        <v>0</v>
      </c>
      <c r="K12">
        <v>0</v>
      </c>
      <c r="L12">
        <v>0</v>
      </c>
      <c r="M12">
        <v>1</v>
      </c>
      <c r="N12">
        <v>1</v>
      </c>
      <c r="O12">
        <v>1</v>
      </c>
      <c r="P12" t="s">
        <v>230</v>
      </c>
    </row>
    <row r="13" spans="1:16" x14ac:dyDescent="0.25">
      <c r="A13" t="s">
        <v>16</v>
      </c>
      <c r="B13" t="s">
        <v>35</v>
      </c>
      <c r="C13">
        <v>0</v>
      </c>
      <c r="D13">
        <v>4.7259776592254639</v>
      </c>
      <c r="E13">
        <v>1</v>
      </c>
      <c r="F13">
        <v>1</v>
      </c>
      <c r="G13">
        <v>1</v>
      </c>
      <c r="H13">
        <v>1</v>
      </c>
      <c r="I13">
        <v>1</v>
      </c>
      <c r="J13">
        <v>0</v>
      </c>
      <c r="K13">
        <v>1</v>
      </c>
      <c r="L13">
        <v>1</v>
      </c>
      <c r="M13">
        <v>1</v>
      </c>
      <c r="N13">
        <v>1</v>
      </c>
      <c r="O13">
        <v>1</v>
      </c>
      <c r="P13" t="s">
        <v>231</v>
      </c>
    </row>
    <row r="14" spans="1:16" x14ac:dyDescent="0.25">
      <c r="A14" t="s">
        <v>16</v>
      </c>
      <c r="B14" t="s">
        <v>37</v>
      </c>
      <c r="C14">
        <v>0</v>
      </c>
      <c r="D14">
        <v>9.4775893688201904</v>
      </c>
      <c r="E14">
        <v>1</v>
      </c>
      <c r="F14">
        <v>1</v>
      </c>
      <c r="G14">
        <v>1</v>
      </c>
      <c r="H14">
        <v>1</v>
      </c>
      <c r="I14">
        <v>1</v>
      </c>
      <c r="J14">
        <v>1</v>
      </c>
      <c r="K14">
        <v>1</v>
      </c>
      <c r="L14">
        <v>1</v>
      </c>
      <c r="M14">
        <v>1</v>
      </c>
      <c r="N14">
        <v>1</v>
      </c>
      <c r="O14">
        <v>1</v>
      </c>
    </row>
    <row r="15" spans="1:16" x14ac:dyDescent="0.25">
      <c r="A15" t="s">
        <v>16</v>
      </c>
      <c r="B15" t="s">
        <v>39</v>
      </c>
      <c r="C15">
        <v>0</v>
      </c>
      <c r="D15">
        <v>10.66402316093445</v>
      </c>
      <c r="E15">
        <v>1</v>
      </c>
      <c r="F15">
        <v>1</v>
      </c>
      <c r="G15">
        <v>1</v>
      </c>
      <c r="H15">
        <v>1</v>
      </c>
      <c r="I15">
        <v>1</v>
      </c>
      <c r="J15">
        <v>0</v>
      </c>
      <c r="K15">
        <v>1</v>
      </c>
      <c r="L15">
        <v>1</v>
      </c>
      <c r="M15">
        <v>1</v>
      </c>
      <c r="N15">
        <v>1</v>
      </c>
      <c r="O15">
        <v>1</v>
      </c>
      <c r="P15" t="s">
        <v>232</v>
      </c>
    </row>
    <row r="16" spans="1:16" x14ac:dyDescent="0.25">
      <c r="A16" t="s">
        <v>16</v>
      </c>
      <c r="B16" t="s">
        <v>41</v>
      </c>
      <c r="C16">
        <v>0</v>
      </c>
      <c r="D16">
        <v>9.2475149631500244</v>
      </c>
      <c r="E16">
        <v>1</v>
      </c>
      <c r="F16">
        <v>1</v>
      </c>
      <c r="G16">
        <v>1</v>
      </c>
      <c r="H16">
        <v>1</v>
      </c>
      <c r="I16">
        <v>1</v>
      </c>
      <c r="J16">
        <v>1</v>
      </c>
      <c r="K16">
        <v>1</v>
      </c>
      <c r="L16">
        <v>1</v>
      </c>
      <c r="M16">
        <v>1</v>
      </c>
      <c r="N16">
        <v>1</v>
      </c>
      <c r="O16">
        <v>1</v>
      </c>
    </row>
    <row r="17" spans="1:16" x14ac:dyDescent="0.25">
      <c r="A17" t="s">
        <v>16</v>
      </c>
      <c r="B17" t="s">
        <v>43</v>
      </c>
      <c r="C17">
        <v>0</v>
      </c>
      <c r="D17">
        <v>13.58118748664856</v>
      </c>
      <c r="E17">
        <v>1</v>
      </c>
      <c r="F17">
        <v>1</v>
      </c>
      <c r="G17">
        <v>1</v>
      </c>
      <c r="H17">
        <v>1</v>
      </c>
      <c r="I17">
        <v>1</v>
      </c>
      <c r="J17">
        <v>0</v>
      </c>
      <c r="K17">
        <v>1</v>
      </c>
      <c r="L17">
        <v>1</v>
      </c>
      <c r="M17">
        <v>1</v>
      </c>
      <c r="N17">
        <v>1</v>
      </c>
      <c r="O17">
        <v>1</v>
      </c>
      <c r="P17" t="s">
        <v>233</v>
      </c>
    </row>
    <row r="18" spans="1:16" x14ac:dyDescent="0.25">
      <c r="A18" t="s">
        <v>16</v>
      </c>
      <c r="B18" t="s">
        <v>45</v>
      </c>
      <c r="C18">
        <v>0</v>
      </c>
      <c r="D18">
        <v>9.7507212162017822</v>
      </c>
      <c r="E18">
        <v>0</v>
      </c>
      <c r="F18" t="s">
        <v>20</v>
      </c>
      <c r="G18" t="s">
        <v>20</v>
      </c>
      <c r="H18" t="s">
        <v>20</v>
      </c>
      <c r="I18" t="s">
        <v>20</v>
      </c>
      <c r="J18" t="s">
        <v>20</v>
      </c>
      <c r="K18" t="s">
        <v>20</v>
      </c>
      <c r="L18" t="s">
        <v>20</v>
      </c>
      <c r="M18" t="s">
        <v>20</v>
      </c>
      <c r="N18" t="s">
        <v>20</v>
      </c>
      <c r="O18" t="s">
        <v>20</v>
      </c>
      <c r="P18" t="s">
        <v>234</v>
      </c>
    </row>
    <row r="19" spans="1:16" x14ac:dyDescent="0.25">
      <c r="A19" t="s">
        <v>16</v>
      </c>
      <c r="B19" t="s">
        <v>47</v>
      </c>
      <c r="C19">
        <v>0</v>
      </c>
      <c r="D19">
        <v>11.10043954849243</v>
      </c>
      <c r="E19">
        <v>1</v>
      </c>
      <c r="F19">
        <v>1</v>
      </c>
      <c r="G19">
        <v>1</v>
      </c>
      <c r="H19">
        <v>1</v>
      </c>
      <c r="I19">
        <v>1</v>
      </c>
      <c r="J19">
        <v>1</v>
      </c>
      <c r="K19">
        <v>1</v>
      </c>
      <c r="L19">
        <v>1</v>
      </c>
      <c r="M19">
        <v>1</v>
      </c>
      <c r="N19">
        <v>1</v>
      </c>
      <c r="O19">
        <v>1</v>
      </c>
    </row>
    <row r="20" spans="1:16" x14ac:dyDescent="0.25">
      <c r="A20" t="s">
        <v>16</v>
      </c>
      <c r="B20" t="s">
        <v>48</v>
      </c>
      <c r="C20">
        <v>0</v>
      </c>
      <c r="D20">
        <v>7.6954135894775391</v>
      </c>
      <c r="E20">
        <v>1</v>
      </c>
      <c r="F20">
        <v>1</v>
      </c>
      <c r="G20">
        <v>1</v>
      </c>
      <c r="H20">
        <v>1</v>
      </c>
      <c r="I20">
        <v>1</v>
      </c>
      <c r="J20">
        <v>1</v>
      </c>
      <c r="K20">
        <v>0</v>
      </c>
      <c r="L20">
        <v>1</v>
      </c>
      <c r="M20">
        <v>1</v>
      </c>
      <c r="N20">
        <v>1</v>
      </c>
      <c r="O20">
        <v>1</v>
      </c>
      <c r="P20" t="s">
        <v>235</v>
      </c>
    </row>
    <row r="21" spans="1:16" x14ac:dyDescent="0.25">
      <c r="A21" t="s">
        <v>16</v>
      </c>
      <c r="B21" t="s">
        <v>49</v>
      </c>
      <c r="C21">
        <v>0</v>
      </c>
      <c r="D21">
        <v>9.0421702861785889</v>
      </c>
      <c r="E21">
        <v>0</v>
      </c>
      <c r="F21" t="s">
        <v>20</v>
      </c>
      <c r="G21" t="s">
        <v>20</v>
      </c>
      <c r="H21" t="s">
        <v>20</v>
      </c>
      <c r="I21" t="s">
        <v>20</v>
      </c>
      <c r="J21" t="s">
        <v>20</v>
      </c>
      <c r="K21" t="s">
        <v>20</v>
      </c>
      <c r="L21" t="s">
        <v>20</v>
      </c>
      <c r="M21" t="s">
        <v>20</v>
      </c>
      <c r="N21" t="s">
        <v>20</v>
      </c>
      <c r="O21" t="s">
        <v>20</v>
      </c>
      <c r="P21" t="s">
        <v>236</v>
      </c>
    </row>
    <row r="22" spans="1:16" x14ac:dyDescent="0.25">
      <c r="A22" t="s">
        <v>16</v>
      </c>
      <c r="B22" t="s">
        <v>51</v>
      </c>
      <c r="C22">
        <v>0</v>
      </c>
      <c r="D22">
        <v>9.5771338939666748</v>
      </c>
      <c r="E22">
        <v>1</v>
      </c>
      <c r="F22">
        <v>1</v>
      </c>
      <c r="G22">
        <v>1</v>
      </c>
      <c r="H22">
        <v>1</v>
      </c>
      <c r="I22">
        <v>1</v>
      </c>
      <c r="J22">
        <v>1</v>
      </c>
      <c r="K22">
        <v>1</v>
      </c>
      <c r="L22">
        <v>1</v>
      </c>
      <c r="M22">
        <v>1</v>
      </c>
      <c r="N22">
        <v>1</v>
      </c>
      <c r="O22">
        <v>1</v>
      </c>
    </row>
    <row r="23" spans="1:16" x14ac:dyDescent="0.25">
      <c r="A23" t="s">
        <v>16</v>
      </c>
      <c r="B23" t="s">
        <v>52</v>
      </c>
      <c r="C23">
        <v>0</v>
      </c>
      <c r="D23">
        <v>11.48645114898682</v>
      </c>
      <c r="E23">
        <v>1</v>
      </c>
      <c r="F23">
        <v>0</v>
      </c>
      <c r="G23">
        <v>1</v>
      </c>
      <c r="H23" t="s">
        <v>20</v>
      </c>
      <c r="I23">
        <v>1</v>
      </c>
      <c r="J23" t="s">
        <v>20</v>
      </c>
      <c r="K23">
        <v>1</v>
      </c>
      <c r="L23">
        <v>1</v>
      </c>
      <c r="M23">
        <v>1</v>
      </c>
      <c r="N23">
        <v>1</v>
      </c>
      <c r="O23">
        <v>1</v>
      </c>
      <c r="P23" t="s">
        <v>237</v>
      </c>
    </row>
    <row r="24" spans="1:16" x14ac:dyDescent="0.25">
      <c r="A24" t="s">
        <v>16</v>
      </c>
      <c r="B24" t="s">
        <v>54</v>
      </c>
      <c r="C24">
        <v>0</v>
      </c>
      <c r="D24">
        <v>9.0407834053039551</v>
      </c>
      <c r="E24">
        <v>0</v>
      </c>
      <c r="F24" t="s">
        <v>20</v>
      </c>
      <c r="G24" t="s">
        <v>20</v>
      </c>
      <c r="H24" t="s">
        <v>20</v>
      </c>
      <c r="I24" t="s">
        <v>20</v>
      </c>
      <c r="J24" t="s">
        <v>20</v>
      </c>
      <c r="K24" t="s">
        <v>20</v>
      </c>
      <c r="L24" t="s">
        <v>20</v>
      </c>
      <c r="M24" t="s">
        <v>20</v>
      </c>
      <c r="N24" t="s">
        <v>20</v>
      </c>
      <c r="O24" t="s">
        <v>20</v>
      </c>
      <c r="P24" t="s">
        <v>238</v>
      </c>
    </row>
    <row r="25" spans="1:16" x14ac:dyDescent="0.25">
      <c r="A25" t="s">
        <v>16</v>
      </c>
      <c r="B25" t="s">
        <v>56</v>
      </c>
      <c r="C25">
        <v>0</v>
      </c>
      <c r="D25">
        <v>6.1641569137573242</v>
      </c>
      <c r="E25">
        <v>1</v>
      </c>
      <c r="F25">
        <v>1</v>
      </c>
      <c r="G25">
        <v>1</v>
      </c>
      <c r="H25">
        <v>1</v>
      </c>
      <c r="I25">
        <v>1</v>
      </c>
      <c r="J25">
        <v>0</v>
      </c>
      <c r="K25">
        <v>1</v>
      </c>
      <c r="L25">
        <v>1</v>
      </c>
      <c r="M25">
        <v>1</v>
      </c>
      <c r="N25">
        <v>1</v>
      </c>
      <c r="O25">
        <v>1</v>
      </c>
      <c r="P25" t="s">
        <v>239</v>
      </c>
    </row>
    <row r="26" spans="1:16" x14ac:dyDescent="0.25">
      <c r="A26" t="s">
        <v>16</v>
      </c>
      <c r="B26" t="s">
        <v>58</v>
      </c>
      <c r="C26">
        <v>0</v>
      </c>
      <c r="D26">
        <v>2.827497005462646</v>
      </c>
      <c r="E26">
        <v>1</v>
      </c>
      <c r="F26">
        <v>1</v>
      </c>
      <c r="G26">
        <v>1</v>
      </c>
      <c r="H26">
        <v>1</v>
      </c>
      <c r="I26">
        <v>1</v>
      </c>
      <c r="J26">
        <v>1</v>
      </c>
      <c r="K26">
        <v>1</v>
      </c>
      <c r="L26">
        <v>1</v>
      </c>
      <c r="M26">
        <v>1</v>
      </c>
      <c r="N26">
        <v>1</v>
      </c>
      <c r="O26">
        <v>1</v>
      </c>
    </row>
    <row r="27" spans="1:16" x14ac:dyDescent="0.25">
      <c r="A27" t="s">
        <v>59</v>
      </c>
      <c r="B27" t="s">
        <v>17</v>
      </c>
      <c r="C27">
        <v>0</v>
      </c>
      <c r="D27">
        <v>10.66746997833252</v>
      </c>
      <c r="E27">
        <v>1</v>
      </c>
      <c r="F27">
        <v>0</v>
      </c>
      <c r="G27">
        <v>1</v>
      </c>
      <c r="H27" t="s">
        <v>20</v>
      </c>
      <c r="I27">
        <v>1</v>
      </c>
      <c r="J27" t="s">
        <v>20</v>
      </c>
      <c r="K27">
        <v>1</v>
      </c>
      <c r="L27">
        <v>1</v>
      </c>
      <c r="M27">
        <v>1</v>
      </c>
      <c r="N27">
        <v>1</v>
      </c>
      <c r="O27">
        <v>1</v>
      </c>
      <c r="P27" t="s">
        <v>240</v>
      </c>
    </row>
    <row r="28" spans="1:16" x14ac:dyDescent="0.25">
      <c r="A28" t="s">
        <v>59</v>
      </c>
      <c r="B28" t="s">
        <v>19</v>
      </c>
      <c r="C28">
        <v>0</v>
      </c>
      <c r="D28">
        <v>8.6111702919006348</v>
      </c>
      <c r="E28">
        <v>1</v>
      </c>
      <c r="F28">
        <v>1</v>
      </c>
      <c r="G28">
        <v>1</v>
      </c>
      <c r="H28">
        <v>1</v>
      </c>
      <c r="I28">
        <v>1</v>
      </c>
      <c r="J28">
        <v>1</v>
      </c>
      <c r="K28">
        <v>1</v>
      </c>
      <c r="L28">
        <v>1</v>
      </c>
      <c r="M28">
        <v>1</v>
      </c>
      <c r="N28">
        <v>1</v>
      </c>
      <c r="O28">
        <v>1</v>
      </c>
    </row>
    <row r="29" spans="1:16" x14ac:dyDescent="0.25">
      <c r="A29" t="s">
        <v>59</v>
      </c>
      <c r="B29" t="s">
        <v>22</v>
      </c>
      <c r="C29">
        <v>0</v>
      </c>
      <c r="D29">
        <v>7.1908156871795654</v>
      </c>
      <c r="E29">
        <v>1</v>
      </c>
      <c r="F29">
        <v>1</v>
      </c>
      <c r="G29">
        <v>1</v>
      </c>
      <c r="H29">
        <v>1</v>
      </c>
      <c r="I29">
        <v>1</v>
      </c>
      <c r="J29">
        <v>1</v>
      </c>
      <c r="K29">
        <v>0</v>
      </c>
      <c r="L29">
        <v>1</v>
      </c>
      <c r="M29">
        <v>1</v>
      </c>
      <c r="N29">
        <v>1</v>
      </c>
      <c r="O29">
        <v>1</v>
      </c>
      <c r="P29" t="s">
        <v>241</v>
      </c>
    </row>
    <row r="30" spans="1:16" x14ac:dyDescent="0.25">
      <c r="A30" t="s">
        <v>59</v>
      </c>
      <c r="B30" t="s">
        <v>24</v>
      </c>
      <c r="C30">
        <v>0</v>
      </c>
      <c r="D30">
        <v>11.29082584381104</v>
      </c>
      <c r="E30">
        <v>1</v>
      </c>
      <c r="F30">
        <v>1</v>
      </c>
      <c r="G30">
        <v>1</v>
      </c>
      <c r="H30">
        <v>1</v>
      </c>
      <c r="I30">
        <v>1</v>
      </c>
      <c r="J30">
        <v>1</v>
      </c>
      <c r="K30">
        <v>0</v>
      </c>
      <c r="L30">
        <v>1</v>
      </c>
      <c r="M30">
        <v>1</v>
      </c>
      <c r="N30">
        <v>1</v>
      </c>
      <c r="O30">
        <v>1</v>
      </c>
      <c r="P30" t="s">
        <v>242</v>
      </c>
    </row>
    <row r="31" spans="1:16" x14ac:dyDescent="0.25">
      <c r="A31" t="s">
        <v>59</v>
      </c>
      <c r="B31" t="s">
        <v>25</v>
      </c>
      <c r="C31">
        <v>0</v>
      </c>
      <c r="D31">
        <v>10.489296913146971</v>
      </c>
      <c r="E31">
        <v>1</v>
      </c>
      <c r="F31">
        <v>1</v>
      </c>
      <c r="G31">
        <v>1</v>
      </c>
      <c r="H31">
        <v>1</v>
      </c>
      <c r="I31">
        <v>1</v>
      </c>
      <c r="J31">
        <v>1</v>
      </c>
      <c r="K31">
        <v>1</v>
      </c>
      <c r="L31">
        <v>1</v>
      </c>
      <c r="M31">
        <v>1</v>
      </c>
      <c r="N31">
        <v>1</v>
      </c>
      <c r="O31">
        <v>1</v>
      </c>
    </row>
    <row r="32" spans="1:16" x14ac:dyDescent="0.25">
      <c r="A32" t="s">
        <v>59</v>
      </c>
      <c r="B32" t="s">
        <v>26</v>
      </c>
      <c r="C32">
        <v>0</v>
      </c>
      <c r="D32">
        <v>10.564195394515989</v>
      </c>
      <c r="E32">
        <v>1</v>
      </c>
      <c r="F32">
        <v>1</v>
      </c>
      <c r="G32">
        <v>1</v>
      </c>
      <c r="H32">
        <v>1</v>
      </c>
      <c r="I32">
        <v>1</v>
      </c>
      <c r="J32">
        <v>1</v>
      </c>
      <c r="K32">
        <v>1</v>
      </c>
      <c r="L32">
        <v>1</v>
      </c>
      <c r="M32">
        <v>1</v>
      </c>
      <c r="N32">
        <v>1</v>
      </c>
      <c r="O32">
        <v>1</v>
      </c>
    </row>
    <row r="33" spans="1:16" x14ac:dyDescent="0.25">
      <c r="A33" t="s">
        <v>59</v>
      </c>
      <c r="B33" t="s">
        <v>27</v>
      </c>
      <c r="C33">
        <v>0</v>
      </c>
      <c r="D33">
        <v>13.254077196121219</v>
      </c>
      <c r="E33">
        <v>1</v>
      </c>
      <c r="F33">
        <v>1</v>
      </c>
      <c r="G33">
        <v>1</v>
      </c>
      <c r="H33">
        <v>1</v>
      </c>
      <c r="I33">
        <v>1</v>
      </c>
      <c r="J33">
        <v>0</v>
      </c>
      <c r="K33">
        <v>1</v>
      </c>
      <c r="L33">
        <v>1</v>
      </c>
      <c r="M33">
        <v>1</v>
      </c>
      <c r="N33">
        <v>1</v>
      </c>
      <c r="O33">
        <v>1</v>
      </c>
      <c r="P33" t="s">
        <v>243</v>
      </c>
    </row>
    <row r="34" spans="1:16" x14ac:dyDescent="0.25">
      <c r="A34" t="s">
        <v>59</v>
      </c>
      <c r="B34" t="s">
        <v>29</v>
      </c>
      <c r="C34">
        <v>0</v>
      </c>
      <c r="D34">
        <v>2.7060718536376949</v>
      </c>
      <c r="E34">
        <v>1</v>
      </c>
      <c r="F34">
        <v>1</v>
      </c>
      <c r="G34">
        <v>1</v>
      </c>
      <c r="H34">
        <v>1</v>
      </c>
      <c r="I34">
        <v>1</v>
      </c>
      <c r="J34">
        <v>1</v>
      </c>
      <c r="K34">
        <v>1</v>
      </c>
      <c r="L34">
        <v>1</v>
      </c>
      <c r="M34">
        <v>1</v>
      </c>
      <c r="N34">
        <v>1</v>
      </c>
      <c r="O34">
        <v>1</v>
      </c>
    </row>
    <row r="35" spans="1:16" x14ac:dyDescent="0.25">
      <c r="A35" t="s">
        <v>59</v>
      </c>
      <c r="B35" t="s">
        <v>30</v>
      </c>
      <c r="C35">
        <v>0</v>
      </c>
      <c r="D35">
        <v>2.6291100978851318</v>
      </c>
      <c r="E35">
        <v>1</v>
      </c>
      <c r="F35">
        <v>1</v>
      </c>
      <c r="G35">
        <v>1</v>
      </c>
      <c r="H35">
        <v>1</v>
      </c>
      <c r="I35">
        <v>1</v>
      </c>
      <c r="J35">
        <v>1</v>
      </c>
      <c r="K35">
        <v>1</v>
      </c>
      <c r="L35">
        <v>1</v>
      </c>
      <c r="M35">
        <v>1</v>
      </c>
      <c r="N35">
        <v>1</v>
      </c>
      <c r="O35">
        <v>1</v>
      </c>
    </row>
    <row r="36" spans="1:16" x14ac:dyDescent="0.25">
      <c r="A36" t="s">
        <v>59</v>
      </c>
      <c r="B36" t="s">
        <v>32</v>
      </c>
      <c r="C36">
        <v>0</v>
      </c>
      <c r="D36">
        <v>4.9354152679443359</v>
      </c>
      <c r="E36">
        <v>1</v>
      </c>
      <c r="F36">
        <v>1</v>
      </c>
      <c r="G36">
        <v>1</v>
      </c>
      <c r="H36">
        <v>1</v>
      </c>
      <c r="I36">
        <v>1</v>
      </c>
      <c r="J36">
        <v>0</v>
      </c>
      <c r="K36">
        <v>1</v>
      </c>
      <c r="L36">
        <v>1</v>
      </c>
      <c r="M36">
        <v>1</v>
      </c>
      <c r="N36">
        <v>1</v>
      </c>
      <c r="O36">
        <v>1</v>
      </c>
      <c r="P36" t="s">
        <v>244</v>
      </c>
    </row>
    <row r="37" spans="1:16" x14ac:dyDescent="0.25">
      <c r="A37" t="s">
        <v>59</v>
      </c>
      <c r="B37" t="s">
        <v>33</v>
      </c>
      <c r="C37">
        <v>0</v>
      </c>
      <c r="D37">
        <v>2.678523063659668</v>
      </c>
      <c r="E37">
        <v>1</v>
      </c>
      <c r="F37">
        <v>1</v>
      </c>
      <c r="G37">
        <v>1</v>
      </c>
      <c r="H37">
        <v>1</v>
      </c>
      <c r="I37">
        <v>1</v>
      </c>
      <c r="J37">
        <v>1</v>
      </c>
      <c r="K37">
        <v>1</v>
      </c>
      <c r="L37">
        <v>1</v>
      </c>
      <c r="M37">
        <v>1</v>
      </c>
      <c r="N37">
        <v>1</v>
      </c>
      <c r="O37">
        <v>1</v>
      </c>
    </row>
    <row r="38" spans="1:16" x14ac:dyDescent="0.25">
      <c r="A38" t="s">
        <v>59</v>
      </c>
      <c r="B38" t="s">
        <v>35</v>
      </c>
      <c r="C38">
        <v>0</v>
      </c>
      <c r="D38">
        <v>12.00939416885376</v>
      </c>
      <c r="E38">
        <v>0</v>
      </c>
      <c r="F38" t="s">
        <v>20</v>
      </c>
      <c r="G38" t="s">
        <v>20</v>
      </c>
      <c r="H38" t="s">
        <v>20</v>
      </c>
      <c r="I38" t="s">
        <v>20</v>
      </c>
      <c r="J38" t="s">
        <v>20</v>
      </c>
      <c r="K38" t="s">
        <v>20</v>
      </c>
      <c r="L38" t="s">
        <v>20</v>
      </c>
      <c r="M38" t="s">
        <v>20</v>
      </c>
      <c r="N38" t="s">
        <v>20</v>
      </c>
      <c r="O38" t="s">
        <v>20</v>
      </c>
      <c r="P38" t="s">
        <v>245</v>
      </c>
    </row>
    <row r="39" spans="1:16" x14ac:dyDescent="0.25">
      <c r="A39" t="s">
        <v>59</v>
      </c>
      <c r="B39" t="s">
        <v>37</v>
      </c>
      <c r="C39">
        <v>0</v>
      </c>
      <c r="D39">
        <v>6.9903669357299796</v>
      </c>
      <c r="E39">
        <v>1</v>
      </c>
      <c r="F39">
        <v>1</v>
      </c>
      <c r="G39">
        <v>1</v>
      </c>
      <c r="H39">
        <v>0</v>
      </c>
      <c r="I39">
        <v>1</v>
      </c>
      <c r="J39">
        <v>0</v>
      </c>
      <c r="K39">
        <v>0</v>
      </c>
      <c r="L39">
        <v>1</v>
      </c>
      <c r="M39">
        <v>1</v>
      </c>
      <c r="N39">
        <v>1</v>
      </c>
      <c r="O39">
        <v>1</v>
      </c>
      <c r="P39" t="s">
        <v>246</v>
      </c>
    </row>
    <row r="40" spans="1:16" x14ac:dyDescent="0.25">
      <c r="A40" t="s">
        <v>59</v>
      </c>
      <c r="B40" t="s">
        <v>39</v>
      </c>
      <c r="C40">
        <v>0</v>
      </c>
      <c r="D40">
        <v>10.164790391922001</v>
      </c>
      <c r="E40">
        <v>0</v>
      </c>
      <c r="F40" t="s">
        <v>20</v>
      </c>
      <c r="G40" t="s">
        <v>20</v>
      </c>
      <c r="H40" t="s">
        <v>20</v>
      </c>
      <c r="I40" t="s">
        <v>20</v>
      </c>
      <c r="J40" t="s">
        <v>20</v>
      </c>
      <c r="K40" t="s">
        <v>20</v>
      </c>
      <c r="L40" t="s">
        <v>20</v>
      </c>
      <c r="M40" t="s">
        <v>20</v>
      </c>
      <c r="N40" t="s">
        <v>20</v>
      </c>
      <c r="O40" t="s">
        <v>20</v>
      </c>
      <c r="P40" t="s">
        <v>247</v>
      </c>
    </row>
    <row r="41" spans="1:16" x14ac:dyDescent="0.25">
      <c r="A41" t="s">
        <v>59</v>
      </c>
      <c r="B41" t="s">
        <v>41</v>
      </c>
      <c r="C41">
        <v>0</v>
      </c>
      <c r="D41">
        <v>6.9974699020385742</v>
      </c>
      <c r="E41">
        <v>0</v>
      </c>
      <c r="F41" t="s">
        <v>20</v>
      </c>
      <c r="G41" t="s">
        <v>20</v>
      </c>
      <c r="H41" t="s">
        <v>20</v>
      </c>
      <c r="I41" t="s">
        <v>20</v>
      </c>
      <c r="J41" t="s">
        <v>20</v>
      </c>
      <c r="K41" t="s">
        <v>20</v>
      </c>
      <c r="L41" t="s">
        <v>20</v>
      </c>
      <c r="M41" t="s">
        <v>20</v>
      </c>
      <c r="N41" t="s">
        <v>20</v>
      </c>
      <c r="O41" t="s">
        <v>20</v>
      </c>
      <c r="P41" t="s">
        <v>248</v>
      </c>
    </row>
    <row r="42" spans="1:16" x14ac:dyDescent="0.25">
      <c r="A42" t="s">
        <v>59</v>
      </c>
      <c r="B42" t="s">
        <v>43</v>
      </c>
      <c r="C42">
        <v>0</v>
      </c>
      <c r="D42">
        <v>9.4465625286102295</v>
      </c>
      <c r="E42">
        <v>1</v>
      </c>
      <c r="F42">
        <v>1</v>
      </c>
      <c r="G42">
        <v>1</v>
      </c>
      <c r="H42">
        <v>1</v>
      </c>
      <c r="I42">
        <v>1</v>
      </c>
      <c r="J42">
        <v>1</v>
      </c>
      <c r="K42">
        <v>1</v>
      </c>
      <c r="L42">
        <v>1</v>
      </c>
      <c r="M42">
        <v>1</v>
      </c>
      <c r="N42">
        <v>1</v>
      </c>
      <c r="O42">
        <v>1</v>
      </c>
    </row>
    <row r="43" spans="1:16" x14ac:dyDescent="0.25">
      <c r="A43" t="s">
        <v>59</v>
      </c>
      <c r="B43" t="s">
        <v>45</v>
      </c>
      <c r="C43">
        <v>0</v>
      </c>
      <c r="D43">
        <v>6.9719469547271729</v>
      </c>
      <c r="E43">
        <v>1</v>
      </c>
      <c r="F43">
        <v>1</v>
      </c>
      <c r="G43">
        <v>0</v>
      </c>
      <c r="H43" t="s">
        <v>20</v>
      </c>
      <c r="I43">
        <v>1</v>
      </c>
      <c r="J43">
        <v>1</v>
      </c>
      <c r="K43">
        <v>1</v>
      </c>
      <c r="L43">
        <v>1</v>
      </c>
      <c r="M43">
        <v>1</v>
      </c>
      <c r="N43">
        <v>1</v>
      </c>
      <c r="O43">
        <v>1</v>
      </c>
      <c r="P43" t="s">
        <v>249</v>
      </c>
    </row>
    <row r="44" spans="1:16" x14ac:dyDescent="0.25">
      <c r="A44" t="s">
        <v>59</v>
      </c>
      <c r="B44" t="s">
        <v>47</v>
      </c>
      <c r="C44">
        <v>0</v>
      </c>
      <c r="D44">
        <v>10.68581056594849</v>
      </c>
      <c r="E44">
        <v>1</v>
      </c>
      <c r="F44">
        <v>1</v>
      </c>
      <c r="G44">
        <v>1</v>
      </c>
      <c r="H44">
        <v>1</v>
      </c>
      <c r="I44">
        <v>1</v>
      </c>
      <c r="J44">
        <v>1</v>
      </c>
      <c r="K44">
        <v>1</v>
      </c>
      <c r="L44">
        <v>1</v>
      </c>
      <c r="M44">
        <v>1</v>
      </c>
      <c r="N44">
        <v>1</v>
      </c>
      <c r="O44">
        <v>1</v>
      </c>
    </row>
    <row r="45" spans="1:16" x14ac:dyDescent="0.25">
      <c r="A45" t="s">
        <v>59</v>
      </c>
      <c r="B45" t="s">
        <v>48</v>
      </c>
      <c r="C45">
        <v>0</v>
      </c>
      <c r="D45">
        <v>3.73729395866394</v>
      </c>
      <c r="E45">
        <v>1</v>
      </c>
      <c r="F45">
        <v>1</v>
      </c>
      <c r="G45">
        <v>1</v>
      </c>
      <c r="H45">
        <v>1</v>
      </c>
      <c r="I45">
        <v>1</v>
      </c>
      <c r="J45">
        <v>1</v>
      </c>
      <c r="K45">
        <v>1</v>
      </c>
      <c r="L45">
        <v>1</v>
      </c>
      <c r="M45">
        <v>1</v>
      </c>
      <c r="N45">
        <v>1</v>
      </c>
      <c r="O45">
        <v>1</v>
      </c>
    </row>
    <row r="46" spans="1:16" x14ac:dyDescent="0.25">
      <c r="A46" t="s">
        <v>59</v>
      </c>
      <c r="B46" t="s">
        <v>49</v>
      </c>
      <c r="C46">
        <v>0</v>
      </c>
      <c r="D46">
        <v>11.15756034851074</v>
      </c>
      <c r="E46">
        <v>1</v>
      </c>
      <c r="F46">
        <v>1</v>
      </c>
      <c r="G46">
        <v>0</v>
      </c>
      <c r="H46" t="s">
        <v>20</v>
      </c>
      <c r="I46">
        <v>1</v>
      </c>
      <c r="J46">
        <v>1</v>
      </c>
      <c r="K46">
        <v>1</v>
      </c>
      <c r="L46">
        <v>1</v>
      </c>
      <c r="M46">
        <v>1</v>
      </c>
      <c r="N46">
        <v>1</v>
      </c>
      <c r="O46">
        <v>1</v>
      </c>
      <c r="P46" t="s">
        <v>250</v>
      </c>
    </row>
    <row r="47" spans="1:16" x14ac:dyDescent="0.25">
      <c r="A47" t="s">
        <v>59</v>
      </c>
      <c r="B47" t="s">
        <v>51</v>
      </c>
      <c r="C47">
        <v>0</v>
      </c>
      <c r="D47">
        <v>2.779304027557373</v>
      </c>
      <c r="E47">
        <v>1</v>
      </c>
      <c r="F47">
        <v>1</v>
      </c>
      <c r="G47">
        <v>1</v>
      </c>
      <c r="H47">
        <v>1</v>
      </c>
      <c r="I47">
        <v>1</v>
      </c>
      <c r="J47">
        <v>1</v>
      </c>
      <c r="K47">
        <v>1</v>
      </c>
      <c r="L47">
        <v>1</v>
      </c>
      <c r="M47">
        <v>1</v>
      </c>
      <c r="N47">
        <v>1</v>
      </c>
      <c r="O47">
        <v>1</v>
      </c>
    </row>
    <row r="48" spans="1:16" x14ac:dyDescent="0.25">
      <c r="A48" t="s">
        <v>59</v>
      </c>
      <c r="B48" t="s">
        <v>52</v>
      </c>
      <c r="C48">
        <v>0</v>
      </c>
      <c r="D48">
        <v>8.9234051704406738</v>
      </c>
      <c r="E48">
        <v>1</v>
      </c>
      <c r="F48">
        <v>1</v>
      </c>
      <c r="G48">
        <v>1</v>
      </c>
      <c r="H48">
        <v>1</v>
      </c>
      <c r="I48">
        <v>1</v>
      </c>
      <c r="J48">
        <v>1</v>
      </c>
      <c r="K48">
        <v>1</v>
      </c>
      <c r="L48">
        <v>1</v>
      </c>
      <c r="M48">
        <v>1</v>
      </c>
      <c r="N48">
        <v>1</v>
      </c>
      <c r="O48">
        <v>1</v>
      </c>
    </row>
    <row r="49" spans="1:16" x14ac:dyDescent="0.25">
      <c r="A49" t="s">
        <v>59</v>
      </c>
      <c r="B49" t="s">
        <v>54</v>
      </c>
      <c r="C49">
        <v>0</v>
      </c>
      <c r="D49">
        <v>5.3345861434936523</v>
      </c>
      <c r="E49">
        <v>1</v>
      </c>
      <c r="F49">
        <v>1</v>
      </c>
      <c r="G49">
        <v>1</v>
      </c>
      <c r="H49">
        <v>1</v>
      </c>
      <c r="I49">
        <v>0</v>
      </c>
      <c r="J49">
        <v>0</v>
      </c>
      <c r="K49">
        <v>1</v>
      </c>
      <c r="L49">
        <v>1</v>
      </c>
      <c r="M49">
        <v>1</v>
      </c>
      <c r="N49">
        <v>1</v>
      </c>
      <c r="O49">
        <v>1</v>
      </c>
      <c r="P49" t="s">
        <v>251</v>
      </c>
    </row>
    <row r="50" spans="1:16" x14ac:dyDescent="0.25">
      <c r="A50" t="s">
        <v>59</v>
      </c>
      <c r="B50" t="s">
        <v>56</v>
      </c>
      <c r="C50">
        <v>0</v>
      </c>
      <c r="D50">
        <v>9.8924736976623535</v>
      </c>
      <c r="E50">
        <v>1</v>
      </c>
      <c r="F50">
        <v>1</v>
      </c>
      <c r="G50">
        <v>1</v>
      </c>
      <c r="H50">
        <v>1</v>
      </c>
      <c r="I50">
        <v>1</v>
      </c>
      <c r="J50">
        <v>1</v>
      </c>
      <c r="K50">
        <v>1</v>
      </c>
      <c r="L50">
        <v>1</v>
      </c>
      <c r="M50">
        <v>1</v>
      </c>
      <c r="N50">
        <v>1</v>
      </c>
      <c r="O50">
        <v>1</v>
      </c>
    </row>
    <row r="51" spans="1:16" x14ac:dyDescent="0.25">
      <c r="A51" t="s">
        <v>59</v>
      </c>
      <c r="B51" t="s">
        <v>58</v>
      </c>
      <c r="C51">
        <v>0</v>
      </c>
      <c r="D51">
        <v>12.01100015640259</v>
      </c>
      <c r="E51">
        <v>1</v>
      </c>
      <c r="F51">
        <v>1</v>
      </c>
      <c r="G51">
        <v>1</v>
      </c>
      <c r="H51">
        <v>0</v>
      </c>
      <c r="I51">
        <v>1</v>
      </c>
      <c r="J51">
        <v>0</v>
      </c>
      <c r="K51">
        <v>1</v>
      </c>
      <c r="L51">
        <v>1</v>
      </c>
      <c r="M51">
        <v>1</v>
      </c>
      <c r="N51">
        <v>1</v>
      </c>
      <c r="O51">
        <v>1</v>
      </c>
      <c r="P51" t="s">
        <v>252</v>
      </c>
    </row>
    <row r="52" spans="1:16" x14ac:dyDescent="0.25">
      <c r="A52" t="s">
        <v>73</v>
      </c>
      <c r="B52" t="s">
        <v>17</v>
      </c>
      <c r="C52">
        <v>0</v>
      </c>
      <c r="D52">
        <v>9.308018684387207</v>
      </c>
      <c r="E52">
        <v>1</v>
      </c>
      <c r="F52">
        <v>1</v>
      </c>
      <c r="G52">
        <v>1</v>
      </c>
      <c r="H52">
        <v>1</v>
      </c>
      <c r="I52">
        <v>1</v>
      </c>
      <c r="J52">
        <v>1</v>
      </c>
      <c r="K52">
        <v>1</v>
      </c>
      <c r="L52">
        <v>1</v>
      </c>
      <c r="M52">
        <v>1</v>
      </c>
      <c r="N52">
        <v>1</v>
      </c>
      <c r="O52">
        <v>1</v>
      </c>
    </row>
    <row r="53" spans="1:16" x14ac:dyDescent="0.25">
      <c r="A53" t="s">
        <v>73</v>
      </c>
      <c r="B53" t="s">
        <v>19</v>
      </c>
      <c r="C53">
        <v>0</v>
      </c>
      <c r="D53">
        <v>5.3532516956329346</v>
      </c>
      <c r="E53">
        <v>1</v>
      </c>
      <c r="F53">
        <v>1</v>
      </c>
      <c r="G53">
        <v>1</v>
      </c>
      <c r="H53">
        <v>1</v>
      </c>
      <c r="I53">
        <v>1</v>
      </c>
      <c r="J53">
        <v>0</v>
      </c>
      <c r="K53">
        <v>1</v>
      </c>
      <c r="L53">
        <v>1</v>
      </c>
      <c r="M53">
        <v>1</v>
      </c>
      <c r="N53">
        <v>1</v>
      </c>
      <c r="O53">
        <v>1</v>
      </c>
      <c r="P53" t="s">
        <v>253</v>
      </c>
    </row>
    <row r="54" spans="1:16" x14ac:dyDescent="0.25">
      <c r="A54" t="s">
        <v>73</v>
      </c>
      <c r="B54" t="s">
        <v>22</v>
      </c>
      <c r="C54">
        <v>0</v>
      </c>
      <c r="D54">
        <v>5.1352615356445313</v>
      </c>
      <c r="E54">
        <v>1</v>
      </c>
      <c r="F54">
        <v>1</v>
      </c>
      <c r="G54">
        <v>1</v>
      </c>
      <c r="H54">
        <v>1</v>
      </c>
      <c r="I54">
        <v>1</v>
      </c>
      <c r="J54">
        <v>0</v>
      </c>
      <c r="K54">
        <v>1</v>
      </c>
      <c r="L54">
        <v>1</v>
      </c>
      <c r="M54">
        <v>1</v>
      </c>
      <c r="N54">
        <v>1</v>
      </c>
      <c r="O54">
        <v>1</v>
      </c>
      <c r="P54" t="s">
        <v>254</v>
      </c>
    </row>
    <row r="55" spans="1:16" x14ac:dyDescent="0.25">
      <c r="A55" t="s">
        <v>73</v>
      </c>
      <c r="B55" t="s">
        <v>24</v>
      </c>
      <c r="C55">
        <v>0</v>
      </c>
      <c r="D55">
        <v>9.6598236560821533</v>
      </c>
      <c r="E55">
        <v>1</v>
      </c>
      <c r="F55">
        <v>1</v>
      </c>
      <c r="G55">
        <v>1</v>
      </c>
      <c r="H55">
        <v>1</v>
      </c>
      <c r="I55">
        <v>1</v>
      </c>
      <c r="J55">
        <v>1</v>
      </c>
      <c r="K55">
        <v>1</v>
      </c>
      <c r="L55">
        <v>1</v>
      </c>
      <c r="M55">
        <v>1</v>
      </c>
      <c r="N55">
        <v>1</v>
      </c>
      <c r="O55">
        <v>1</v>
      </c>
    </row>
    <row r="56" spans="1:16" x14ac:dyDescent="0.25">
      <c r="A56" t="s">
        <v>73</v>
      </c>
      <c r="B56" t="s">
        <v>25</v>
      </c>
      <c r="C56">
        <v>0</v>
      </c>
      <c r="D56">
        <v>12.324697971343991</v>
      </c>
      <c r="E56">
        <v>0</v>
      </c>
      <c r="F56" t="s">
        <v>20</v>
      </c>
      <c r="G56" t="s">
        <v>20</v>
      </c>
      <c r="H56" t="s">
        <v>20</v>
      </c>
      <c r="I56" t="s">
        <v>20</v>
      </c>
      <c r="J56" t="s">
        <v>20</v>
      </c>
      <c r="K56" t="s">
        <v>20</v>
      </c>
      <c r="L56" t="s">
        <v>20</v>
      </c>
      <c r="M56" t="s">
        <v>20</v>
      </c>
      <c r="N56" t="s">
        <v>20</v>
      </c>
      <c r="O56" t="s">
        <v>20</v>
      </c>
      <c r="P56" t="s">
        <v>255</v>
      </c>
    </row>
    <row r="57" spans="1:16" x14ac:dyDescent="0.25">
      <c r="A57" t="s">
        <v>73</v>
      </c>
      <c r="B57" t="s">
        <v>26</v>
      </c>
      <c r="C57">
        <v>0</v>
      </c>
      <c r="D57">
        <v>4.4525837898254386</v>
      </c>
      <c r="E57">
        <v>1</v>
      </c>
      <c r="F57">
        <v>1</v>
      </c>
      <c r="G57">
        <v>1</v>
      </c>
      <c r="H57">
        <v>1</v>
      </c>
      <c r="I57">
        <v>1</v>
      </c>
      <c r="J57">
        <v>1</v>
      </c>
      <c r="K57">
        <v>0</v>
      </c>
      <c r="L57">
        <v>1</v>
      </c>
      <c r="M57">
        <v>1</v>
      </c>
      <c r="N57">
        <v>1</v>
      </c>
      <c r="O57">
        <v>1</v>
      </c>
      <c r="P57" t="s">
        <v>256</v>
      </c>
    </row>
    <row r="58" spans="1:16" x14ac:dyDescent="0.25">
      <c r="A58" t="s">
        <v>73</v>
      </c>
      <c r="B58" t="s">
        <v>27</v>
      </c>
      <c r="C58">
        <v>0</v>
      </c>
      <c r="D58">
        <v>5.0736181735992432</v>
      </c>
      <c r="E58">
        <v>1</v>
      </c>
      <c r="F58">
        <v>1</v>
      </c>
      <c r="G58">
        <v>1</v>
      </c>
      <c r="H58">
        <v>1</v>
      </c>
      <c r="I58">
        <v>1</v>
      </c>
      <c r="J58">
        <v>0</v>
      </c>
      <c r="K58">
        <v>0</v>
      </c>
      <c r="L58">
        <v>1</v>
      </c>
      <c r="M58">
        <v>1</v>
      </c>
      <c r="N58">
        <v>1</v>
      </c>
      <c r="O58">
        <v>1</v>
      </c>
      <c r="P58" t="s">
        <v>257</v>
      </c>
    </row>
    <row r="59" spans="1:16" x14ac:dyDescent="0.25">
      <c r="A59" t="s">
        <v>73</v>
      </c>
      <c r="B59" t="s">
        <v>29</v>
      </c>
      <c r="C59">
        <v>0</v>
      </c>
      <c r="D59">
        <v>9.2630355358123779</v>
      </c>
      <c r="E59">
        <v>1</v>
      </c>
      <c r="F59">
        <v>1</v>
      </c>
      <c r="G59">
        <v>1</v>
      </c>
      <c r="H59">
        <v>1</v>
      </c>
      <c r="I59">
        <v>1</v>
      </c>
      <c r="J59">
        <v>1</v>
      </c>
      <c r="K59">
        <v>1</v>
      </c>
      <c r="L59">
        <v>1</v>
      </c>
      <c r="M59">
        <v>1</v>
      </c>
      <c r="N59">
        <v>1</v>
      </c>
      <c r="O59">
        <v>1</v>
      </c>
    </row>
    <row r="60" spans="1:16" x14ac:dyDescent="0.25">
      <c r="A60" t="s">
        <v>73</v>
      </c>
      <c r="B60" t="s">
        <v>30</v>
      </c>
      <c r="C60">
        <v>0</v>
      </c>
      <c r="D60">
        <v>4.523517370223999</v>
      </c>
      <c r="E60">
        <v>1</v>
      </c>
      <c r="F60">
        <v>1</v>
      </c>
      <c r="G60">
        <v>1</v>
      </c>
      <c r="H60">
        <v>1</v>
      </c>
      <c r="I60">
        <v>1</v>
      </c>
      <c r="J60">
        <v>0</v>
      </c>
      <c r="K60">
        <v>1</v>
      </c>
      <c r="L60">
        <v>1</v>
      </c>
      <c r="M60">
        <v>1</v>
      </c>
      <c r="N60">
        <v>1</v>
      </c>
      <c r="O60">
        <v>1</v>
      </c>
      <c r="P60" t="s">
        <v>258</v>
      </c>
    </row>
    <row r="61" spans="1:16" x14ac:dyDescent="0.25">
      <c r="A61" t="s">
        <v>73</v>
      </c>
      <c r="B61" t="s">
        <v>32</v>
      </c>
      <c r="C61">
        <v>0</v>
      </c>
      <c r="D61">
        <v>10.67812538146973</v>
      </c>
      <c r="E61">
        <v>0</v>
      </c>
      <c r="F61" t="s">
        <v>20</v>
      </c>
      <c r="G61" t="s">
        <v>20</v>
      </c>
      <c r="H61" t="s">
        <v>20</v>
      </c>
      <c r="I61" t="s">
        <v>20</v>
      </c>
      <c r="J61" t="s">
        <v>20</v>
      </c>
      <c r="K61" t="s">
        <v>20</v>
      </c>
      <c r="L61" t="s">
        <v>20</v>
      </c>
      <c r="M61" t="s">
        <v>20</v>
      </c>
      <c r="N61" t="s">
        <v>20</v>
      </c>
      <c r="O61" t="s">
        <v>20</v>
      </c>
      <c r="P61" t="s">
        <v>259</v>
      </c>
    </row>
    <row r="62" spans="1:16" x14ac:dyDescent="0.25">
      <c r="A62" t="s">
        <v>73</v>
      </c>
      <c r="B62" t="s">
        <v>33</v>
      </c>
      <c r="C62">
        <v>0</v>
      </c>
      <c r="D62">
        <v>9.9704163074493408</v>
      </c>
      <c r="E62">
        <v>1</v>
      </c>
      <c r="F62">
        <v>1</v>
      </c>
      <c r="G62">
        <v>1</v>
      </c>
      <c r="H62">
        <v>1</v>
      </c>
      <c r="I62">
        <v>1</v>
      </c>
      <c r="J62">
        <v>1</v>
      </c>
      <c r="K62">
        <v>1</v>
      </c>
      <c r="L62">
        <v>1</v>
      </c>
      <c r="M62">
        <v>1</v>
      </c>
      <c r="N62">
        <v>1</v>
      </c>
      <c r="O62">
        <v>1</v>
      </c>
    </row>
    <row r="63" spans="1:16" x14ac:dyDescent="0.25">
      <c r="A63" t="s">
        <v>73</v>
      </c>
      <c r="B63" t="s">
        <v>35</v>
      </c>
      <c r="C63">
        <v>0</v>
      </c>
      <c r="D63">
        <v>5.2519850730895996</v>
      </c>
      <c r="E63">
        <v>1</v>
      </c>
      <c r="F63">
        <v>1</v>
      </c>
      <c r="G63">
        <v>1</v>
      </c>
      <c r="H63">
        <v>1</v>
      </c>
      <c r="I63">
        <v>1</v>
      </c>
      <c r="J63">
        <v>0</v>
      </c>
      <c r="K63">
        <v>0</v>
      </c>
      <c r="L63">
        <v>1</v>
      </c>
      <c r="M63">
        <v>1</v>
      </c>
      <c r="N63">
        <v>1</v>
      </c>
      <c r="O63">
        <v>1</v>
      </c>
      <c r="P63" t="s">
        <v>260</v>
      </c>
    </row>
    <row r="64" spans="1:16" x14ac:dyDescent="0.25">
      <c r="A64" t="s">
        <v>73</v>
      </c>
      <c r="B64" t="s">
        <v>37</v>
      </c>
      <c r="C64">
        <v>0</v>
      </c>
      <c r="D64">
        <v>9.4419152736663818</v>
      </c>
      <c r="E64">
        <v>1</v>
      </c>
      <c r="F64">
        <v>1</v>
      </c>
      <c r="G64">
        <v>1</v>
      </c>
      <c r="H64">
        <v>1</v>
      </c>
      <c r="I64">
        <v>1</v>
      </c>
      <c r="J64">
        <v>1</v>
      </c>
      <c r="K64">
        <v>1</v>
      </c>
      <c r="L64">
        <v>1</v>
      </c>
      <c r="M64">
        <v>1</v>
      </c>
      <c r="N64">
        <v>1</v>
      </c>
      <c r="O64">
        <v>1</v>
      </c>
    </row>
    <row r="65" spans="1:16" x14ac:dyDescent="0.25">
      <c r="A65" t="s">
        <v>73</v>
      </c>
      <c r="B65" t="s">
        <v>39</v>
      </c>
      <c r="C65">
        <v>0</v>
      </c>
      <c r="D65">
        <v>2.7431545257568359</v>
      </c>
      <c r="E65">
        <v>1</v>
      </c>
      <c r="F65">
        <v>1</v>
      </c>
      <c r="G65">
        <v>1</v>
      </c>
      <c r="H65">
        <v>1</v>
      </c>
      <c r="I65">
        <v>1</v>
      </c>
      <c r="J65">
        <v>1</v>
      </c>
      <c r="K65">
        <v>1</v>
      </c>
      <c r="L65">
        <v>1</v>
      </c>
      <c r="M65">
        <v>1</v>
      </c>
      <c r="N65">
        <v>1</v>
      </c>
      <c r="O65">
        <v>1</v>
      </c>
    </row>
    <row r="66" spans="1:16" x14ac:dyDescent="0.25">
      <c r="A66" t="s">
        <v>73</v>
      </c>
      <c r="B66" t="s">
        <v>41</v>
      </c>
      <c r="C66">
        <v>0</v>
      </c>
      <c r="D66">
        <v>5.1635518074035636</v>
      </c>
      <c r="E66">
        <v>1</v>
      </c>
      <c r="F66">
        <v>1</v>
      </c>
      <c r="G66">
        <v>1</v>
      </c>
      <c r="H66">
        <v>1</v>
      </c>
      <c r="I66">
        <v>1</v>
      </c>
      <c r="J66">
        <v>0</v>
      </c>
      <c r="K66">
        <v>1</v>
      </c>
      <c r="L66">
        <v>1</v>
      </c>
      <c r="M66">
        <v>1</v>
      </c>
      <c r="N66">
        <v>1</v>
      </c>
      <c r="O66">
        <v>1</v>
      </c>
      <c r="P66" t="s">
        <v>261</v>
      </c>
    </row>
    <row r="67" spans="1:16" x14ac:dyDescent="0.25">
      <c r="A67" t="s">
        <v>73</v>
      </c>
      <c r="B67" t="s">
        <v>43</v>
      </c>
      <c r="C67">
        <v>0</v>
      </c>
      <c r="D67">
        <v>9.3248615264892578</v>
      </c>
      <c r="E67">
        <v>1</v>
      </c>
      <c r="F67">
        <v>1</v>
      </c>
      <c r="G67">
        <v>1</v>
      </c>
      <c r="H67">
        <v>1</v>
      </c>
      <c r="I67">
        <v>1</v>
      </c>
      <c r="J67">
        <v>1</v>
      </c>
      <c r="K67">
        <v>1</v>
      </c>
      <c r="L67">
        <v>1</v>
      </c>
      <c r="M67">
        <v>1</v>
      </c>
      <c r="N67">
        <v>1</v>
      </c>
      <c r="O67">
        <v>1</v>
      </c>
    </row>
    <row r="68" spans="1:16" x14ac:dyDescent="0.25">
      <c r="A68" t="s">
        <v>73</v>
      </c>
      <c r="B68" t="s">
        <v>45</v>
      </c>
      <c r="C68">
        <v>0</v>
      </c>
      <c r="D68">
        <v>12.93442964553833</v>
      </c>
      <c r="E68">
        <v>0</v>
      </c>
      <c r="F68" t="s">
        <v>20</v>
      </c>
      <c r="G68" t="s">
        <v>20</v>
      </c>
      <c r="H68" t="s">
        <v>20</v>
      </c>
      <c r="I68" t="s">
        <v>20</v>
      </c>
      <c r="J68" t="s">
        <v>20</v>
      </c>
      <c r="K68" t="s">
        <v>20</v>
      </c>
      <c r="L68" t="s">
        <v>20</v>
      </c>
      <c r="M68" t="s">
        <v>20</v>
      </c>
      <c r="N68" t="s">
        <v>20</v>
      </c>
      <c r="O68" t="s">
        <v>20</v>
      </c>
      <c r="P68" t="s">
        <v>262</v>
      </c>
    </row>
    <row r="69" spans="1:16" x14ac:dyDescent="0.25">
      <c r="A69" t="s">
        <v>73</v>
      </c>
      <c r="B69" t="s">
        <v>47</v>
      </c>
      <c r="C69">
        <v>0</v>
      </c>
      <c r="D69">
        <v>10.700333595275881</v>
      </c>
      <c r="E69">
        <v>1</v>
      </c>
      <c r="F69">
        <v>1</v>
      </c>
      <c r="G69">
        <v>1</v>
      </c>
      <c r="H69">
        <v>1</v>
      </c>
      <c r="I69">
        <v>1</v>
      </c>
      <c r="J69">
        <v>1</v>
      </c>
      <c r="K69">
        <v>1</v>
      </c>
      <c r="L69">
        <v>1</v>
      </c>
      <c r="M69">
        <v>1</v>
      </c>
      <c r="N69">
        <v>0</v>
      </c>
      <c r="O69">
        <v>1</v>
      </c>
      <c r="P69" t="s">
        <v>263</v>
      </c>
    </row>
    <row r="70" spans="1:16" x14ac:dyDescent="0.25">
      <c r="A70" t="s">
        <v>73</v>
      </c>
      <c r="B70" t="s">
        <v>48</v>
      </c>
      <c r="C70">
        <v>0</v>
      </c>
      <c r="D70">
        <v>2.6512436866760249</v>
      </c>
      <c r="E70">
        <v>1</v>
      </c>
      <c r="F70">
        <v>1</v>
      </c>
      <c r="G70">
        <v>1</v>
      </c>
      <c r="H70">
        <v>1</v>
      </c>
      <c r="I70">
        <v>1</v>
      </c>
      <c r="J70">
        <v>1</v>
      </c>
      <c r="K70">
        <v>1</v>
      </c>
      <c r="L70">
        <v>1</v>
      </c>
      <c r="M70">
        <v>1</v>
      </c>
      <c r="N70">
        <v>1</v>
      </c>
      <c r="O70">
        <v>1</v>
      </c>
    </row>
    <row r="71" spans="1:16" x14ac:dyDescent="0.25">
      <c r="A71" t="s">
        <v>73</v>
      </c>
      <c r="B71" t="s">
        <v>49</v>
      </c>
      <c r="C71">
        <v>0</v>
      </c>
      <c r="D71">
        <v>6.2599444389343262</v>
      </c>
      <c r="E71">
        <v>1</v>
      </c>
      <c r="F71">
        <v>0</v>
      </c>
      <c r="G71">
        <v>1</v>
      </c>
      <c r="H71" t="s">
        <v>20</v>
      </c>
      <c r="I71">
        <v>1</v>
      </c>
      <c r="J71" t="s">
        <v>20</v>
      </c>
      <c r="K71">
        <v>1</v>
      </c>
      <c r="L71">
        <v>1</v>
      </c>
      <c r="M71">
        <v>1</v>
      </c>
      <c r="N71">
        <v>1</v>
      </c>
      <c r="O71">
        <v>1</v>
      </c>
      <c r="P71" t="s">
        <v>264</v>
      </c>
    </row>
    <row r="72" spans="1:16" x14ac:dyDescent="0.25">
      <c r="A72" t="s">
        <v>73</v>
      </c>
      <c r="B72" t="s">
        <v>51</v>
      </c>
      <c r="C72">
        <v>0</v>
      </c>
      <c r="D72">
        <v>5.3412446975708008</v>
      </c>
      <c r="E72">
        <v>1</v>
      </c>
      <c r="F72">
        <v>1</v>
      </c>
      <c r="G72">
        <v>1</v>
      </c>
      <c r="H72">
        <v>1</v>
      </c>
      <c r="I72">
        <v>1</v>
      </c>
      <c r="J72">
        <v>0</v>
      </c>
      <c r="K72">
        <v>1</v>
      </c>
      <c r="L72">
        <v>1</v>
      </c>
      <c r="M72">
        <v>1</v>
      </c>
      <c r="N72">
        <v>1</v>
      </c>
      <c r="O72">
        <v>1</v>
      </c>
      <c r="P72" t="s">
        <v>265</v>
      </c>
    </row>
    <row r="73" spans="1:16" x14ac:dyDescent="0.25">
      <c r="A73" t="s">
        <v>73</v>
      </c>
      <c r="B73" t="s">
        <v>52</v>
      </c>
      <c r="C73">
        <v>0</v>
      </c>
      <c r="D73">
        <v>9.3305220603942871</v>
      </c>
      <c r="E73">
        <v>1</v>
      </c>
      <c r="F73">
        <v>1</v>
      </c>
      <c r="G73">
        <v>1</v>
      </c>
      <c r="H73">
        <v>1</v>
      </c>
      <c r="I73">
        <v>1</v>
      </c>
      <c r="J73">
        <v>1</v>
      </c>
      <c r="K73">
        <v>1</v>
      </c>
      <c r="L73">
        <v>1</v>
      </c>
      <c r="M73">
        <v>1</v>
      </c>
      <c r="N73">
        <v>1</v>
      </c>
      <c r="O73">
        <v>1</v>
      </c>
    </row>
    <row r="74" spans="1:16" x14ac:dyDescent="0.25">
      <c r="A74" t="s">
        <v>73</v>
      </c>
      <c r="B74" t="s">
        <v>54</v>
      </c>
      <c r="C74">
        <v>0</v>
      </c>
      <c r="D74">
        <v>6.0656611919403076</v>
      </c>
      <c r="E74">
        <v>1</v>
      </c>
      <c r="F74">
        <v>1</v>
      </c>
      <c r="G74">
        <v>1</v>
      </c>
      <c r="H74">
        <v>0</v>
      </c>
      <c r="I74">
        <v>1</v>
      </c>
      <c r="J74">
        <v>0</v>
      </c>
      <c r="K74">
        <v>1</v>
      </c>
      <c r="L74">
        <v>1</v>
      </c>
      <c r="M74">
        <v>1</v>
      </c>
      <c r="N74">
        <v>1</v>
      </c>
      <c r="O74">
        <v>1</v>
      </c>
      <c r="P74" t="s">
        <v>266</v>
      </c>
    </row>
    <row r="75" spans="1:16" x14ac:dyDescent="0.25">
      <c r="A75" t="s">
        <v>73</v>
      </c>
      <c r="B75" t="s">
        <v>56</v>
      </c>
      <c r="C75">
        <v>0</v>
      </c>
      <c r="D75">
        <v>5.8493928909301758</v>
      </c>
      <c r="E75">
        <v>1</v>
      </c>
      <c r="F75">
        <v>0</v>
      </c>
      <c r="G75">
        <v>1</v>
      </c>
      <c r="H75" t="s">
        <v>20</v>
      </c>
      <c r="I75">
        <v>1</v>
      </c>
      <c r="J75" t="s">
        <v>20</v>
      </c>
      <c r="K75">
        <v>1</v>
      </c>
      <c r="L75">
        <v>1</v>
      </c>
      <c r="M75">
        <v>1</v>
      </c>
      <c r="N75">
        <v>1</v>
      </c>
      <c r="O75">
        <v>1</v>
      </c>
      <c r="P75" t="s">
        <v>267</v>
      </c>
    </row>
    <row r="76" spans="1:16" x14ac:dyDescent="0.25">
      <c r="A76" t="s">
        <v>73</v>
      </c>
      <c r="B76" t="s">
        <v>58</v>
      </c>
      <c r="C76">
        <v>0</v>
      </c>
      <c r="D76">
        <v>11.308775424957281</v>
      </c>
      <c r="E76">
        <v>1</v>
      </c>
      <c r="F76">
        <v>1</v>
      </c>
      <c r="G76">
        <v>1</v>
      </c>
      <c r="H76">
        <v>1</v>
      </c>
      <c r="I76">
        <v>1</v>
      </c>
      <c r="J76">
        <v>1</v>
      </c>
      <c r="K76">
        <v>1</v>
      </c>
      <c r="L76">
        <v>1</v>
      </c>
      <c r="M76">
        <v>1</v>
      </c>
      <c r="N76">
        <v>1</v>
      </c>
      <c r="O76">
        <v>1</v>
      </c>
    </row>
    <row r="77" spans="1:16" x14ac:dyDescent="0.25">
      <c r="A77" t="s">
        <v>73</v>
      </c>
      <c r="B77" t="s">
        <v>89</v>
      </c>
      <c r="C77">
        <v>0</v>
      </c>
      <c r="D77">
        <v>9.2338697910308838</v>
      </c>
      <c r="E77">
        <v>0</v>
      </c>
      <c r="F77" t="s">
        <v>20</v>
      </c>
      <c r="G77" t="s">
        <v>20</v>
      </c>
      <c r="H77" t="s">
        <v>20</v>
      </c>
      <c r="I77" t="s">
        <v>20</v>
      </c>
      <c r="J77" t="s">
        <v>20</v>
      </c>
      <c r="K77" t="s">
        <v>20</v>
      </c>
      <c r="L77" t="s">
        <v>20</v>
      </c>
      <c r="M77" t="s">
        <v>20</v>
      </c>
      <c r="N77" t="s">
        <v>20</v>
      </c>
      <c r="O77" t="s">
        <v>20</v>
      </c>
      <c r="P77" t="s">
        <v>268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2B5A-B074-4953-83CE-07C940173145}">
  <dimension ref="A1:O77"/>
  <sheetViews>
    <sheetView tabSelected="1" workbookViewId="0">
      <selection activeCell="E2" sqref="E2"/>
    </sheetView>
  </sheetViews>
  <sheetFormatPr defaultRowHeight="13.8"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16</v>
      </c>
      <c r="B2" t="s">
        <v>17</v>
      </c>
      <c r="C2">
        <v>0</v>
      </c>
      <c r="D2">
        <v>4.3597924709320068</v>
      </c>
      <c r="E2">
        <f>ROUND(SUM(recreation_v2_6!E2,recreation_v2_7!E2,recreation_v2_8!E2,recreation_v2_9!E2,recreation_v2_10!E2)/COUNT(recreation_v2_6!E2,recreation_v2_7!E2,recreation_v2_8!E2,recreation_v2_9!E2,recreation_v2_10!E2),0)</f>
        <v>1</v>
      </c>
      <c r="F2">
        <f>IF($E2=0, "NA", ROUND(SUM(recreation_v2_6!F2,recreation_v2_7!F2,recreation_v2_8!F2,recreation_v2_9!F2,recreation_v2_10!F2)/COUNT(recreation_v2_6!F2,recreation_v2_7!F2,recreation_v2_8!F2,recreation_v2_9!F2,recreation_v2_10!F2),0))</f>
        <v>1</v>
      </c>
      <c r="G2">
        <f>IF($E2=0,"NA",ROUND(SUM(recreation_v2_6!G2,recreation_v2_7!G2,recreation_v2_8!G2,recreation_v2_9!G2,recreation_v2_10!G2)/COUNT(recreation_v2_6!G2,recreation_v2_7!G2,recreation_v2_8!G2,recreation_v2_9!G2,recreation_v2_10!G2),0))</f>
        <v>1</v>
      </c>
      <c r="H2">
        <f>IF(AND(F2=1, G2=1),ROUND(SUM(recreation_v2_6!H2,recreation_v2_7!H2,recreation_v2_8!H2,recreation_v2_9!H2,recreation_v2_10!H2)/COUNT(recreation_v2_6!H2,recreation_v2_7!H2,recreation_v2_8!H2,recreation_v2_9!H2,recreation_v2_10!H2),0),"NA")</f>
        <v>1</v>
      </c>
      <c r="I2">
        <f>IF($E2=0, "NA", ROUND(SUM(recreation_v2_6!I2,recreation_v2_7!I2,recreation_v2_8!I2,recreation_v2_9!I2,recreation_v2_10!I2)/COUNT(recreation_v2_6!I2,recreation_v2_7!I2,recreation_v2_8!I2,recreation_v2_9!I2,recreation_v2_10!I2),0))</f>
        <v>1</v>
      </c>
      <c r="J2">
        <f>IF(F2=1,ROUND(SUM(recreation_v2_6!J2,recreation_v2_7!J2,recreation_v2_8!J2,recreation_v2_9!J2,recreation_v2_10!J2)/COUNT(recreation_v2_6!J2,recreation_v2_7!J2,recreation_v2_8!J2,recreation_v2_9!J2,recreation_v2_10!J2),0),"NA")</f>
        <v>0</v>
      </c>
      <c r="K2">
        <f>IF($E2=0, "NA", ROUND(SUM(recreation_v2_6!K2,recreation_v2_7!K2,recreation_v2_8!K2,recreation_v2_9!K2,recreation_v2_10!K2)/COUNT(recreation_v2_6!K2,recreation_v2_7!K2,recreation_v2_8!K2,recreation_v2_9!K2,recreation_v2_10!K2),0))</f>
        <v>1</v>
      </c>
      <c r="L2">
        <f>IF($E2=0,"NA",ROUND(SUM(recreation_v2_6!L2,recreation_v2_7!L2,recreation_v2_8!L2,recreation_v2_9!L2,recreation_v2_10!L2)/COUNT(recreation_v2_6!L2,recreation_v2_7!L2,recreation_v2_8!L2,recreation_v2_9!L2,recreation_v2_10!L2),0))</f>
        <v>1</v>
      </c>
      <c r="M2">
        <f>IF($E2=0, "NA", ROUND(SUM(recreation_v2_6!M2,recreation_v2_7!M2,recreation_v2_8!M2,recreation_v2_9!M2,recreation_v2_10!M2)/COUNT(recreation_v2_6!M2,recreation_v2_7!M2,recreation_v2_8!M2,recreation_v2_9!M2,recreation_v2_10!M2),0))</f>
        <v>1</v>
      </c>
      <c r="N2">
        <f>IF($E2=0,"NA",ROUND(SUM(recreation_v2_6!N2,recreation_v2_7!N2,recreation_v2_8!N2,recreation_v2_9!N2,recreation_v2_10!N2)/COUNT(recreation_v2_6!N2,recreation_v2_7!N2,recreation_v2_8!N2,recreation_v2_9!N2,recreation_v2_10!N2),0))</f>
        <v>1</v>
      </c>
      <c r="O2">
        <f>IF($E2=0, "NA", ROUND(SUM(recreation_v2_6!O2,recreation_v2_7!O2,recreation_v2_8!O2,recreation_v2_9!O2,recreation_v2_10!O2)/COUNT(recreation_v2_6!O2,recreation_v2_7!O2,recreation_v2_8!O2,recreation_v2_9!O2,recreation_v2_10!O2),0))</f>
        <v>1</v>
      </c>
    </row>
    <row r="3" spans="1:15" x14ac:dyDescent="0.25">
      <c r="A3" t="s">
        <v>16</v>
      </c>
      <c r="B3" t="s">
        <v>19</v>
      </c>
      <c r="C3">
        <v>0</v>
      </c>
      <c r="D3">
        <v>10.840834379196171</v>
      </c>
      <c r="E3">
        <f>ROUND(SUM(recreation_v2_6!E3,recreation_v2_7!E3,recreation_v2_8!E3,recreation_v2_9!E3,recreation_v2_10!E3)/COUNT(recreation_v2_6!E3,recreation_v2_7!E3,recreation_v2_8!E3,recreation_v2_9!E3,recreation_v2_10!E3),0)</f>
        <v>1</v>
      </c>
      <c r="F3">
        <f>IF($E3=0, "NA", ROUND(SUM(recreation_v2_6!F3,recreation_v2_7!F3,recreation_v2_8!F3,recreation_v2_9!F3,recreation_v2_10!F3)/COUNT(recreation_v2_6!F3,recreation_v2_7!F3,recreation_v2_8!F3,recreation_v2_9!F3,recreation_v2_10!F3),0))</f>
        <v>0</v>
      </c>
      <c r="G3">
        <f>IF($E3=0,"NA",ROUND(SUM(recreation_v2_6!G3,recreation_v2_7!G3,recreation_v2_8!G3,recreation_v2_9!G3,recreation_v2_10!G3)/COUNT(recreation_v2_6!G3,recreation_v2_7!G3,recreation_v2_8!G3,recreation_v2_9!G3,recreation_v2_10!G3),0))</f>
        <v>1</v>
      </c>
      <c r="H3" t="str">
        <f>IF(AND(F3=1, G3=1),ROUND(SUM(recreation_v2_6!H3,recreation_v2_7!H3,recreation_v2_8!H3,recreation_v2_9!H3,recreation_v2_10!H3)/COUNT(recreation_v2_6!H3,recreation_v2_7!H3,recreation_v2_8!H3,recreation_v2_9!H3,recreation_v2_10!H3),0),"NA")</f>
        <v>NA</v>
      </c>
      <c r="I3">
        <f>IF($E3=0, "NA", ROUND(SUM(recreation_v2_6!I3,recreation_v2_7!I3,recreation_v2_8!I3,recreation_v2_9!I3,recreation_v2_10!I3)/COUNT(recreation_v2_6!I3,recreation_v2_7!I3,recreation_v2_8!I3,recreation_v2_9!I3,recreation_v2_10!I3),0))</f>
        <v>1</v>
      </c>
      <c r="J3" t="str">
        <f>IF(F3=1,ROUND(SUM(recreation_v2_6!J3,recreation_v2_7!J3,recreation_v2_8!J3,recreation_v2_9!J3,recreation_v2_10!J3)/COUNT(recreation_v2_6!J3,recreation_v2_7!J3,recreation_v2_8!J3,recreation_v2_9!J3,recreation_v2_10!J3),0),"NA")</f>
        <v>NA</v>
      </c>
      <c r="K3">
        <f>IF($E3=0, "NA", ROUND(SUM(recreation_v2_6!K3,recreation_v2_7!K3,recreation_v2_8!K3,recreation_v2_9!K3,recreation_v2_10!K3)/COUNT(recreation_v2_6!K3,recreation_v2_7!K3,recreation_v2_8!K3,recreation_v2_9!K3,recreation_v2_10!K3),0))</f>
        <v>1</v>
      </c>
      <c r="L3">
        <f>IF($E3=0,"NA",ROUND(SUM(recreation_v2_6!L3,recreation_v2_7!L3,recreation_v2_8!L3,recreation_v2_9!L3,recreation_v2_10!L3)/COUNT(recreation_v2_6!L3,recreation_v2_7!L3,recreation_v2_8!L3,recreation_v2_9!L3,recreation_v2_10!L3),0))</f>
        <v>1</v>
      </c>
      <c r="M3">
        <f>IF($E3=0, "NA", ROUND(SUM(recreation_v2_6!M3,recreation_v2_7!M3,recreation_v2_8!M3,recreation_v2_9!M3,recreation_v2_10!M3)/COUNT(recreation_v2_6!M3,recreation_v2_7!M3,recreation_v2_8!M3,recreation_v2_9!M3,recreation_v2_10!M3),0))</f>
        <v>1</v>
      </c>
      <c r="N3">
        <f>IF($E3=0,"NA",ROUND(SUM(recreation_v2_6!N3,recreation_v2_7!N3,recreation_v2_8!N3,recreation_v2_9!N3,recreation_v2_10!N3)/COUNT(recreation_v2_6!N3,recreation_v2_7!N3,recreation_v2_8!N3,recreation_v2_9!N3,recreation_v2_10!N3),0))</f>
        <v>1</v>
      </c>
      <c r="O3">
        <f>IF($E3=0, "NA", ROUND(SUM(recreation_v2_6!O3,recreation_v2_7!O3,recreation_v2_8!O3,recreation_v2_9!O3,recreation_v2_10!O3)/COUNT(recreation_v2_6!O3,recreation_v2_7!O3,recreation_v2_8!O3,recreation_v2_9!O3,recreation_v2_10!O3),0))</f>
        <v>1</v>
      </c>
    </row>
    <row r="4" spans="1:15" x14ac:dyDescent="0.25">
      <c r="A4" t="s">
        <v>16</v>
      </c>
      <c r="B4" t="s">
        <v>22</v>
      </c>
      <c r="C4">
        <v>0</v>
      </c>
      <c r="D4">
        <v>7.0765118598937988</v>
      </c>
      <c r="E4">
        <f>ROUND(SUM(recreation_v2_6!E4,recreation_v2_7!E4,recreation_v2_8!E4,recreation_v2_9!E4,recreation_v2_10!E4)/COUNT(recreation_v2_6!E4,recreation_v2_7!E4,recreation_v2_8!E4,recreation_v2_9!E4,recreation_v2_10!E4),0)</f>
        <v>1</v>
      </c>
      <c r="F4">
        <f>IF($E4=0, "NA", ROUND(SUM(recreation_v2_6!F4,recreation_v2_7!F4,recreation_v2_8!F4,recreation_v2_9!F4,recreation_v2_10!F4)/COUNT(recreation_v2_6!F4,recreation_v2_7!F4,recreation_v2_8!F4,recreation_v2_9!F4,recreation_v2_10!F4),0))</f>
        <v>1</v>
      </c>
      <c r="G4">
        <f>IF($E4=0,"NA",ROUND(SUM(recreation_v2_6!G4,recreation_v2_7!G4,recreation_v2_8!G4,recreation_v2_9!G4,recreation_v2_10!G4)/COUNT(recreation_v2_6!G4,recreation_v2_7!G4,recreation_v2_8!G4,recreation_v2_9!G4,recreation_v2_10!G4),0))</f>
        <v>1</v>
      </c>
      <c r="H4">
        <f>IF(AND(F4=1, G4=1),ROUND(SUM(recreation_v2_6!H4,recreation_v2_7!H4,recreation_v2_8!H4,recreation_v2_9!H4,recreation_v2_10!H4)/COUNT(recreation_v2_6!H4,recreation_v2_7!H4,recreation_v2_8!H4,recreation_v2_9!H4,recreation_v2_10!H4),0),"NA")</f>
        <v>1</v>
      </c>
      <c r="I4">
        <f>IF($E4=0, "NA", ROUND(SUM(recreation_v2_6!I4,recreation_v2_7!I4,recreation_v2_8!I4,recreation_v2_9!I4,recreation_v2_10!I4)/COUNT(recreation_v2_6!I4,recreation_v2_7!I4,recreation_v2_8!I4,recreation_v2_9!I4,recreation_v2_10!I4),0))</f>
        <v>1</v>
      </c>
      <c r="J4">
        <f>IF(F4=1,ROUND(SUM(recreation_v2_6!J4,recreation_v2_7!J4,recreation_v2_8!J4,recreation_v2_9!J4,recreation_v2_10!J4)/COUNT(recreation_v2_6!J4,recreation_v2_7!J4,recreation_v2_8!J4,recreation_v2_9!J4,recreation_v2_10!J4),0),"NA")</f>
        <v>1</v>
      </c>
      <c r="K4">
        <f>IF($E4=0, "NA", ROUND(SUM(recreation_v2_6!K4,recreation_v2_7!K4,recreation_v2_8!K4,recreation_v2_9!K4,recreation_v2_10!K4)/COUNT(recreation_v2_6!K4,recreation_v2_7!K4,recreation_v2_8!K4,recreation_v2_9!K4,recreation_v2_10!K4),0))</f>
        <v>1</v>
      </c>
      <c r="L4">
        <f>IF($E4=0,"NA",ROUND(SUM(recreation_v2_6!L4,recreation_v2_7!L4,recreation_v2_8!L4,recreation_v2_9!L4,recreation_v2_10!L4)/COUNT(recreation_v2_6!L4,recreation_v2_7!L4,recreation_v2_8!L4,recreation_v2_9!L4,recreation_v2_10!L4),0))</f>
        <v>0</v>
      </c>
      <c r="M4">
        <f>IF($E4=0, "NA", ROUND(SUM(recreation_v2_6!M4,recreation_v2_7!M4,recreation_v2_8!M4,recreation_v2_9!M4,recreation_v2_10!M4)/COUNT(recreation_v2_6!M4,recreation_v2_7!M4,recreation_v2_8!M4,recreation_v2_9!M4,recreation_v2_10!M4),0))</f>
        <v>1</v>
      </c>
      <c r="N4">
        <f>IF($E4=0,"NA",ROUND(SUM(recreation_v2_6!N4,recreation_v2_7!N4,recreation_v2_8!N4,recreation_v2_9!N4,recreation_v2_10!N4)/COUNT(recreation_v2_6!N4,recreation_v2_7!N4,recreation_v2_8!N4,recreation_v2_9!N4,recreation_v2_10!N4),0))</f>
        <v>1</v>
      </c>
      <c r="O4">
        <f>IF($E4=0, "NA", ROUND(SUM(recreation_v2_6!O4,recreation_v2_7!O4,recreation_v2_8!O4,recreation_v2_9!O4,recreation_v2_10!O4)/COUNT(recreation_v2_6!O4,recreation_v2_7!O4,recreation_v2_8!O4,recreation_v2_9!O4,recreation_v2_10!O4),0))</f>
        <v>1</v>
      </c>
    </row>
    <row r="5" spans="1:15" x14ac:dyDescent="0.25">
      <c r="A5" t="s">
        <v>16</v>
      </c>
      <c r="B5" t="s">
        <v>24</v>
      </c>
      <c r="C5">
        <v>0</v>
      </c>
      <c r="D5">
        <v>2.7348113059997559</v>
      </c>
      <c r="E5">
        <f>ROUND(SUM(recreation_v2_6!E5,recreation_v2_7!E5,recreation_v2_8!E5,recreation_v2_9!E5,recreation_v2_10!E5)/COUNT(recreation_v2_6!E5,recreation_v2_7!E5,recreation_v2_8!E5,recreation_v2_9!E5,recreation_v2_10!E5),0)</f>
        <v>1</v>
      </c>
      <c r="F5">
        <f>IF($E5=0, "NA", ROUND(SUM(recreation_v2_6!F5,recreation_v2_7!F5,recreation_v2_8!F5,recreation_v2_9!F5,recreation_v2_10!F5)/COUNT(recreation_v2_6!F5,recreation_v2_7!F5,recreation_v2_8!F5,recreation_v2_9!F5,recreation_v2_10!F5),0))</f>
        <v>1</v>
      </c>
      <c r="G5">
        <f>IF($E5=0,"NA",ROUND(SUM(recreation_v2_6!G5,recreation_v2_7!G5,recreation_v2_8!G5,recreation_v2_9!G5,recreation_v2_10!G5)/COUNT(recreation_v2_6!G5,recreation_v2_7!G5,recreation_v2_8!G5,recreation_v2_9!G5,recreation_v2_10!G5),0))</f>
        <v>1</v>
      </c>
      <c r="H5">
        <f>IF(AND(F5=1, G5=1),ROUND(SUM(recreation_v2_6!H5,recreation_v2_7!H5,recreation_v2_8!H5,recreation_v2_9!H5,recreation_v2_10!H5)/COUNT(recreation_v2_6!H5,recreation_v2_7!H5,recreation_v2_8!H5,recreation_v2_9!H5,recreation_v2_10!H5),0),"NA")</f>
        <v>1</v>
      </c>
      <c r="I5">
        <f>IF($E5=0, "NA", ROUND(SUM(recreation_v2_6!I5,recreation_v2_7!I5,recreation_v2_8!I5,recreation_v2_9!I5,recreation_v2_10!I5)/COUNT(recreation_v2_6!I5,recreation_v2_7!I5,recreation_v2_8!I5,recreation_v2_9!I5,recreation_v2_10!I5),0))</f>
        <v>1</v>
      </c>
      <c r="J5">
        <f>IF(F5=1,ROUND(SUM(recreation_v2_6!J5,recreation_v2_7!J5,recreation_v2_8!J5,recreation_v2_9!J5,recreation_v2_10!J5)/COUNT(recreation_v2_6!J5,recreation_v2_7!J5,recreation_v2_8!J5,recreation_v2_9!J5,recreation_v2_10!J5),0),"NA")</f>
        <v>1</v>
      </c>
      <c r="K5">
        <f>IF($E5=0, "NA", ROUND(SUM(recreation_v2_6!K5,recreation_v2_7!K5,recreation_v2_8!K5,recreation_v2_9!K5,recreation_v2_10!K5)/COUNT(recreation_v2_6!K5,recreation_v2_7!K5,recreation_v2_8!K5,recreation_v2_9!K5,recreation_v2_10!K5),0))</f>
        <v>1</v>
      </c>
      <c r="L5">
        <f>IF($E5=0,"NA",ROUND(SUM(recreation_v2_6!L5,recreation_v2_7!L5,recreation_v2_8!L5,recreation_v2_9!L5,recreation_v2_10!L5)/COUNT(recreation_v2_6!L5,recreation_v2_7!L5,recreation_v2_8!L5,recreation_v2_9!L5,recreation_v2_10!L5),0))</f>
        <v>1</v>
      </c>
      <c r="M5">
        <f>IF($E5=0, "NA", ROUND(SUM(recreation_v2_6!M5,recreation_v2_7!M5,recreation_v2_8!M5,recreation_v2_9!M5,recreation_v2_10!M5)/COUNT(recreation_v2_6!M5,recreation_v2_7!M5,recreation_v2_8!M5,recreation_v2_9!M5,recreation_v2_10!M5),0))</f>
        <v>1</v>
      </c>
      <c r="N5">
        <f>IF($E5=0,"NA",ROUND(SUM(recreation_v2_6!N5,recreation_v2_7!N5,recreation_v2_8!N5,recreation_v2_9!N5,recreation_v2_10!N5)/COUNT(recreation_v2_6!N5,recreation_v2_7!N5,recreation_v2_8!N5,recreation_v2_9!N5,recreation_v2_10!N5),0))</f>
        <v>1</v>
      </c>
      <c r="O5">
        <f>IF($E5=0, "NA", ROUND(SUM(recreation_v2_6!O5,recreation_v2_7!O5,recreation_v2_8!O5,recreation_v2_9!O5,recreation_v2_10!O5)/COUNT(recreation_v2_6!O5,recreation_v2_7!O5,recreation_v2_8!O5,recreation_v2_9!O5,recreation_v2_10!O5),0))</f>
        <v>1</v>
      </c>
    </row>
    <row r="6" spans="1:15" x14ac:dyDescent="0.25">
      <c r="A6" t="s">
        <v>16</v>
      </c>
      <c r="B6" t="s">
        <v>25</v>
      </c>
      <c r="C6">
        <v>0</v>
      </c>
      <c r="D6">
        <v>11.20219135284424</v>
      </c>
      <c r="E6">
        <f>ROUND(SUM(recreation_v2_6!E6,recreation_v2_7!E6,recreation_v2_8!E6,recreation_v2_9!E6,recreation_v2_10!E6)/COUNT(recreation_v2_6!E6,recreation_v2_7!E6,recreation_v2_8!E6,recreation_v2_9!E6,recreation_v2_10!E6),0)</f>
        <v>1</v>
      </c>
      <c r="F6">
        <f>IF($E6=0, "NA", ROUND(SUM(recreation_v2_6!F6,recreation_v2_7!F6,recreation_v2_8!F6,recreation_v2_9!F6,recreation_v2_10!F6)/COUNT(recreation_v2_6!F6,recreation_v2_7!F6,recreation_v2_8!F6,recreation_v2_9!F6,recreation_v2_10!F6),0))</f>
        <v>1</v>
      </c>
      <c r="G6">
        <f>IF($E6=0,"NA",ROUND(SUM(recreation_v2_6!G6,recreation_v2_7!G6,recreation_v2_8!G6,recreation_v2_9!G6,recreation_v2_10!G6)/COUNT(recreation_v2_6!G6,recreation_v2_7!G6,recreation_v2_8!G6,recreation_v2_9!G6,recreation_v2_10!G6),0))</f>
        <v>1</v>
      </c>
      <c r="H6">
        <f>IF(AND(F6=1, G6=1),ROUND(SUM(recreation_v2_6!H6,recreation_v2_7!H6,recreation_v2_8!H6,recreation_v2_9!H6,recreation_v2_10!H6)/COUNT(recreation_v2_6!H6,recreation_v2_7!H6,recreation_v2_8!H6,recreation_v2_9!H6,recreation_v2_10!H6),0),"NA")</f>
        <v>1</v>
      </c>
      <c r="I6">
        <f>IF($E6=0, "NA", ROUND(SUM(recreation_v2_6!I6,recreation_v2_7!I6,recreation_v2_8!I6,recreation_v2_9!I6,recreation_v2_10!I6)/COUNT(recreation_v2_6!I6,recreation_v2_7!I6,recreation_v2_8!I6,recreation_v2_9!I6,recreation_v2_10!I6),0))</f>
        <v>1</v>
      </c>
      <c r="J6">
        <f>IF(F6=1,ROUND(SUM(recreation_v2_6!J6,recreation_v2_7!J6,recreation_v2_8!J6,recreation_v2_9!J6,recreation_v2_10!J6)/COUNT(recreation_v2_6!J6,recreation_v2_7!J6,recreation_v2_8!J6,recreation_v2_9!J6,recreation_v2_10!J6),0),"NA")</f>
        <v>1</v>
      </c>
      <c r="K6">
        <f>IF($E6=0, "NA", ROUND(SUM(recreation_v2_6!K6,recreation_v2_7!K6,recreation_v2_8!K6,recreation_v2_9!K6,recreation_v2_10!K6)/COUNT(recreation_v2_6!K6,recreation_v2_7!K6,recreation_v2_8!K6,recreation_v2_9!K6,recreation_v2_10!K6),0))</f>
        <v>1</v>
      </c>
      <c r="L6">
        <f>IF($E6=0,"NA",ROUND(SUM(recreation_v2_6!L6,recreation_v2_7!L6,recreation_v2_8!L6,recreation_v2_9!L6,recreation_v2_10!L6)/COUNT(recreation_v2_6!L6,recreation_v2_7!L6,recreation_v2_8!L6,recreation_v2_9!L6,recreation_v2_10!L6),0))</f>
        <v>1</v>
      </c>
      <c r="M6">
        <f>IF($E6=0, "NA", ROUND(SUM(recreation_v2_6!M6,recreation_v2_7!M6,recreation_v2_8!M6,recreation_v2_9!M6,recreation_v2_10!M6)/COUNT(recreation_v2_6!M6,recreation_v2_7!M6,recreation_v2_8!M6,recreation_v2_9!M6,recreation_v2_10!M6),0))</f>
        <v>1</v>
      </c>
      <c r="N6">
        <f>IF($E6=0,"NA",ROUND(SUM(recreation_v2_6!N6,recreation_v2_7!N6,recreation_v2_8!N6,recreation_v2_9!N6,recreation_v2_10!N6)/COUNT(recreation_v2_6!N6,recreation_v2_7!N6,recreation_v2_8!N6,recreation_v2_9!N6,recreation_v2_10!N6),0))</f>
        <v>1</v>
      </c>
      <c r="O6">
        <f>IF($E6=0, "NA", ROUND(SUM(recreation_v2_6!O6,recreation_v2_7!O6,recreation_v2_8!O6,recreation_v2_9!O6,recreation_v2_10!O6)/COUNT(recreation_v2_6!O6,recreation_v2_7!O6,recreation_v2_8!O6,recreation_v2_9!O6,recreation_v2_10!O6),0))</f>
        <v>1</v>
      </c>
    </row>
    <row r="7" spans="1:15" x14ac:dyDescent="0.25">
      <c r="A7" t="s">
        <v>16</v>
      </c>
      <c r="B7" t="s">
        <v>26</v>
      </c>
      <c r="C7">
        <v>0</v>
      </c>
      <c r="D7">
        <v>6.7938976287841797</v>
      </c>
      <c r="E7">
        <f>ROUND(SUM(recreation_v2_6!E7,recreation_v2_7!E7,recreation_v2_8!E7,recreation_v2_9!E7,recreation_v2_10!E7)/COUNT(recreation_v2_6!E7,recreation_v2_7!E7,recreation_v2_8!E7,recreation_v2_9!E7,recreation_v2_10!E7),0)</f>
        <v>1</v>
      </c>
      <c r="F7">
        <f>IF($E7=0, "NA", ROUND(SUM(recreation_v2_6!F7,recreation_v2_7!F7,recreation_v2_8!F7,recreation_v2_9!F7,recreation_v2_10!F7)/COUNT(recreation_v2_6!F7,recreation_v2_7!F7,recreation_v2_8!F7,recreation_v2_9!F7,recreation_v2_10!F7),0))</f>
        <v>1</v>
      </c>
      <c r="G7">
        <f>IF($E7=0,"NA",ROUND(SUM(recreation_v2_6!G7,recreation_v2_7!G7,recreation_v2_8!G7,recreation_v2_9!G7,recreation_v2_10!G7)/COUNT(recreation_v2_6!G7,recreation_v2_7!G7,recreation_v2_8!G7,recreation_v2_9!G7,recreation_v2_10!G7),0))</f>
        <v>1</v>
      </c>
      <c r="H7">
        <f>IF(AND(F7=1, G7=1),ROUND(SUM(recreation_v2_6!H7,recreation_v2_7!H7,recreation_v2_8!H7,recreation_v2_9!H7,recreation_v2_10!H7)/COUNT(recreation_v2_6!H7,recreation_v2_7!H7,recreation_v2_8!H7,recreation_v2_9!H7,recreation_v2_10!H7),0),"NA")</f>
        <v>1</v>
      </c>
      <c r="I7">
        <f>IF($E7=0, "NA", ROUND(SUM(recreation_v2_6!I7,recreation_v2_7!I7,recreation_v2_8!I7,recreation_v2_9!I7,recreation_v2_10!I7)/COUNT(recreation_v2_6!I7,recreation_v2_7!I7,recreation_v2_8!I7,recreation_v2_9!I7,recreation_v2_10!I7),0))</f>
        <v>1</v>
      </c>
      <c r="J7">
        <f>IF(F7=1,ROUND(SUM(recreation_v2_6!J7,recreation_v2_7!J7,recreation_v2_8!J7,recreation_v2_9!J7,recreation_v2_10!J7)/COUNT(recreation_v2_6!J7,recreation_v2_7!J7,recreation_v2_8!J7,recreation_v2_9!J7,recreation_v2_10!J7),0),"NA")</f>
        <v>1</v>
      </c>
      <c r="K7">
        <f>IF($E7=0, "NA", ROUND(SUM(recreation_v2_6!K7,recreation_v2_7!K7,recreation_v2_8!K7,recreation_v2_9!K7,recreation_v2_10!K7)/COUNT(recreation_v2_6!K7,recreation_v2_7!K7,recreation_v2_8!K7,recreation_v2_9!K7,recreation_v2_10!K7),0))</f>
        <v>1</v>
      </c>
      <c r="L7">
        <f>IF($E7=0,"NA",ROUND(SUM(recreation_v2_6!L7,recreation_v2_7!L7,recreation_v2_8!L7,recreation_v2_9!L7,recreation_v2_10!L7)/COUNT(recreation_v2_6!L7,recreation_v2_7!L7,recreation_v2_8!L7,recreation_v2_9!L7,recreation_v2_10!L7),0))</f>
        <v>1</v>
      </c>
      <c r="M7">
        <f>IF($E7=0, "NA", ROUND(SUM(recreation_v2_6!M7,recreation_v2_7!M7,recreation_v2_8!M7,recreation_v2_9!M7,recreation_v2_10!M7)/COUNT(recreation_v2_6!M7,recreation_v2_7!M7,recreation_v2_8!M7,recreation_v2_9!M7,recreation_v2_10!M7),0))</f>
        <v>1</v>
      </c>
      <c r="N7">
        <f>IF($E7=0,"NA",ROUND(SUM(recreation_v2_6!N7,recreation_v2_7!N7,recreation_v2_8!N7,recreation_v2_9!N7,recreation_v2_10!N7)/COUNT(recreation_v2_6!N7,recreation_v2_7!N7,recreation_v2_8!N7,recreation_v2_9!N7,recreation_v2_10!N7),0))</f>
        <v>1</v>
      </c>
      <c r="O7">
        <f>IF($E7=0, "NA", ROUND(SUM(recreation_v2_6!O7,recreation_v2_7!O7,recreation_v2_8!O7,recreation_v2_9!O7,recreation_v2_10!O7)/COUNT(recreation_v2_6!O7,recreation_v2_7!O7,recreation_v2_8!O7,recreation_v2_9!O7,recreation_v2_10!O7),0))</f>
        <v>1</v>
      </c>
    </row>
    <row r="8" spans="1:15" x14ac:dyDescent="0.25">
      <c r="A8" t="s">
        <v>16</v>
      </c>
      <c r="B8" t="s">
        <v>27</v>
      </c>
      <c r="C8">
        <v>0</v>
      </c>
      <c r="D8">
        <v>2.7297005653381352</v>
      </c>
      <c r="E8">
        <f>ROUND(SUM(recreation_v2_6!E8,recreation_v2_7!E8,recreation_v2_8!E8,recreation_v2_9!E8,recreation_v2_10!E8)/COUNT(recreation_v2_6!E8,recreation_v2_7!E8,recreation_v2_8!E8,recreation_v2_9!E8,recreation_v2_10!E8),0)</f>
        <v>1</v>
      </c>
      <c r="F8">
        <f>IF($E8=0, "NA", ROUND(SUM(recreation_v2_6!F8,recreation_v2_7!F8,recreation_v2_8!F8,recreation_v2_9!F8,recreation_v2_10!F8)/COUNT(recreation_v2_6!F8,recreation_v2_7!F8,recreation_v2_8!F8,recreation_v2_9!F8,recreation_v2_10!F8),0))</f>
        <v>1</v>
      </c>
      <c r="G8">
        <f>IF($E8=0,"NA",ROUND(SUM(recreation_v2_6!G8,recreation_v2_7!G8,recreation_v2_8!G8,recreation_v2_9!G8,recreation_v2_10!G8)/COUNT(recreation_v2_6!G8,recreation_v2_7!G8,recreation_v2_8!G8,recreation_v2_9!G8,recreation_v2_10!G8),0))</f>
        <v>1</v>
      </c>
      <c r="H8">
        <f>IF(AND(F8=1, G8=1),ROUND(SUM(recreation_v2_6!H8,recreation_v2_7!H8,recreation_v2_8!H8,recreation_v2_9!H8,recreation_v2_10!H8)/COUNT(recreation_v2_6!H8,recreation_v2_7!H8,recreation_v2_8!H8,recreation_v2_9!H8,recreation_v2_10!H8),0),"NA")</f>
        <v>1</v>
      </c>
      <c r="I8">
        <f>IF($E8=0, "NA", ROUND(SUM(recreation_v2_6!I8,recreation_v2_7!I8,recreation_v2_8!I8,recreation_v2_9!I8,recreation_v2_10!I8)/COUNT(recreation_v2_6!I8,recreation_v2_7!I8,recreation_v2_8!I8,recreation_v2_9!I8,recreation_v2_10!I8),0))</f>
        <v>1</v>
      </c>
      <c r="J8">
        <f>IF(F8=1,ROUND(SUM(recreation_v2_6!J8,recreation_v2_7!J8,recreation_v2_8!J8,recreation_v2_9!J8,recreation_v2_10!J8)/COUNT(recreation_v2_6!J8,recreation_v2_7!J8,recreation_v2_8!J8,recreation_v2_9!J8,recreation_v2_10!J8),0),"NA")</f>
        <v>1</v>
      </c>
      <c r="K8">
        <f>IF($E8=0, "NA", ROUND(SUM(recreation_v2_6!K8,recreation_v2_7!K8,recreation_v2_8!K8,recreation_v2_9!K8,recreation_v2_10!K8)/COUNT(recreation_v2_6!K8,recreation_v2_7!K8,recreation_v2_8!K8,recreation_v2_9!K8,recreation_v2_10!K8),0))</f>
        <v>1</v>
      </c>
      <c r="L8">
        <f>IF($E8=0,"NA",ROUND(SUM(recreation_v2_6!L8,recreation_v2_7!L8,recreation_v2_8!L8,recreation_v2_9!L8,recreation_v2_10!L8)/COUNT(recreation_v2_6!L8,recreation_v2_7!L8,recreation_v2_8!L8,recreation_v2_9!L8,recreation_v2_10!L8),0))</f>
        <v>1</v>
      </c>
      <c r="M8">
        <f>IF($E8=0, "NA", ROUND(SUM(recreation_v2_6!M8,recreation_v2_7!M8,recreation_v2_8!M8,recreation_v2_9!M8,recreation_v2_10!M8)/COUNT(recreation_v2_6!M8,recreation_v2_7!M8,recreation_v2_8!M8,recreation_v2_9!M8,recreation_v2_10!M8),0))</f>
        <v>1</v>
      </c>
      <c r="N8">
        <f>IF($E8=0,"NA",ROUND(SUM(recreation_v2_6!N8,recreation_v2_7!N8,recreation_v2_8!N8,recreation_v2_9!N8,recreation_v2_10!N8)/COUNT(recreation_v2_6!N8,recreation_v2_7!N8,recreation_v2_8!N8,recreation_v2_9!N8,recreation_v2_10!N8),0))</f>
        <v>1</v>
      </c>
      <c r="O8">
        <f>IF($E8=0, "NA", ROUND(SUM(recreation_v2_6!O8,recreation_v2_7!O8,recreation_v2_8!O8,recreation_v2_9!O8,recreation_v2_10!O8)/COUNT(recreation_v2_6!O8,recreation_v2_7!O8,recreation_v2_8!O8,recreation_v2_9!O8,recreation_v2_10!O8),0))</f>
        <v>1</v>
      </c>
    </row>
    <row r="9" spans="1:15" x14ac:dyDescent="0.25">
      <c r="A9" t="s">
        <v>16</v>
      </c>
      <c r="B9" t="s">
        <v>29</v>
      </c>
      <c r="C9">
        <v>0</v>
      </c>
      <c r="D9">
        <v>2.7378590106964111</v>
      </c>
      <c r="E9">
        <f>ROUND(SUM(recreation_v2_6!E9,recreation_v2_7!E9,recreation_v2_8!E9,recreation_v2_9!E9,recreation_v2_10!E9)/COUNT(recreation_v2_6!E9,recreation_v2_7!E9,recreation_v2_8!E9,recreation_v2_9!E9,recreation_v2_10!E9),0)</f>
        <v>1</v>
      </c>
      <c r="F9">
        <f>IF($E9=0, "NA", ROUND(SUM(recreation_v2_6!F9,recreation_v2_7!F9,recreation_v2_8!F9,recreation_v2_9!F9,recreation_v2_10!F9)/COUNT(recreation_v2_6!F9,recreation_v2_7!F9,recreation_v2_8!F9,recreation_v2_9!F9,recreation_v2_10!F9),0))</f>
        <v>1</v>
      </c>
      <c r="G9">
        <f>IF($E9=0,"NA",ROUND(SUM(recreation_v2_6!G9,recreation_v2_7!G9,recreation_v2_8!G9,recreation_v2_9!G9,recreation_v2_10!G9)/COUNT(recreation_v2_6!G9,recreation_v2_7!G9,recreation_v2_8!G9,recreation_v2_9!G9,recreation_v2_10!G9),0))</f>
        <v>1</v>
      </c>
      <c r="H9">
        <f>IF(AND(F9=1, G9=1),ROUND(SUM(recreation_v2_6!H9,recreation_v2_7!H9,recreation_v2_8!H9,recreation_v2_9!H9,recreation_v2_10!H9)/COUNT(recreation_v2_6!H9,recreation_v2_7!H9,recreation_v2_8!H9,recreation_v2_9!H9,recreation_v2_10!H9),0),"NA")</f>
        <v>1</v>
      </c>
      <c r="I9">
        <f>IF($E9=0, "NA", ROUND(SUM(recreation_v2_6!I9,recreation_v2_7!I9,recreation_v2_8!I9,recreation_v2_9!I9,recreation_v2_10!I9)/COUNT(recreation_v2_6!I9,recreation_v2_7!I9,recreation_v2_8!I9,recreation_v2_9!I9,recreation_v2_10!I9),0))</f>
        <v>1</v>
      </c>
      <c r="J9">
        <f>IF(F9=1,ROUND(SUM(recreation_v2_6!J9,recreation_v2_7!J9,recreation_v2_8!J9,recreation_v2_9!J9,recreation_v2_10!J9)/COUNT(recreation_v2_6!J9,recreation_v2_7!J9,recreation_v2_8!J9,recreation_v2_9!J9,recreation_v2_10!J9),0),"NA")</f>
        <v>1</v>
      </c>
      <c r="K9">
        <f>IF($E9=0, "NA", ROUND(SUM(recreation_v2_6!K9,recreation_v2_7!K9,recreation_v2_8!K9,recreation_v2_9!K9,recreation_v2_10!K9)/COUNT(recreation_v2_6!K9,recreation_v2_7!K9,recreation_v2_8!K9,recreation_v2_9!K9,recreation_v2_10!K9),0))</f>
        <v>1</v>
      </c>
      <c r="L9">
        <f>IF($E9=0,"NA",ROUND(SUM(recreation_v2_6!L9,recreation_v2_7!L9,recreation_v2_8!L9,recreation_v2_9!L9,recreation_v2_10!L9)/COUNT(recreation_v2_6!L9,recreation_v2_7!L9,recreation_v2_8!L9,recreation_v2_9!L9,recreation_v2_10!L9),0))</f>
        <v>1</v>
      </c>
      <c r="M9">
        <f>IF($E9=0, "NA", ROUND(SUM(recreation_v2_6!M9,recreation_v2_7!M9,recreation_v2_8!M9,recreation_v2_9!M9,recreation_v2_10!M9)/COUNT(recreation_v2_6!M9,recreation_v2_7!M9,recreation_v2_8!M9,recreation_v2_9!M9,recreation_v2_10!M9),0))</f>
        <v>1</v>
      </c>
      <c r="N9">
        <f>IF($E9=0,"NA",ROUND(SUM(recreation_v2_6!N9,recreation_v2_7!N9,recreation_v2_8!N9,recreation_v2_9!N9,recreation_v2_10!N9)/COUNT(recreation_v2_6!N9,recreation_v2_7!N9,recreation_v2_8!N9,recreation_v2_9!N9,recreation_v2_10!N9),0))</f>
        <v>1</v>
      </c>
      <c r="O9">
        <f>IF($E9=0, "NA", ROUND(SUM(recreation_v2_6!O9,recreation_v2_7!O9,recreation_v2_8!O9,recreation_v2_9!O9,recreation_v2_10!O9)/COUNT(recreation_v2_6!O9,recreation_v2_7!O9,recreation_v2_8!O9,recreation_v2_9!O9,recreation_v2_10!O9),0))</f>
        <v>1</v>
      </c>
    </row>
    <row r="10" spans="1:15" x14ac:dyDescent="0.25">
      <c r="A10" t="s">
        <v>16</v>
      </c>
      <c r="B10" t="s">
        <v>30</v>
      </c>
      <c r="C10">
        <v>0</v>
      </c>
      <c r="D10">
        <v>5.2020807266235352</v>
      </c>
      <c r="E10">
        <f>ROUND(SUM(recreation_v2_6!E10,recreation_v2_7!E10,recreation_v2_8!E10,recreation_v2_9!E10,recreation_v2_10!E10)/COUNT(recreation_v2_6!E10,recreation_v2_7!E10,recreation_v2_8!E10,recreation_v2_9!E10,recreation_v2_10!E10),0)</f>
        <v>1</v>
      </c>
      <c r="F10">
        <f>IF($E10=0, "NA", ROUND(SUM(recreation_v2_6!F10,recreation_v2_7!F10,recreation_v2_8!F10,recreation_v2_9!F10,recreation_v2_10!F10)/COUNT(recreation_v2_6!F10,recreation_v2_7!F10,recreation_v2_8!F10,recreation_v2_9!F10,recreation_v2_10!F10),0))</f>
        <v>1</v>
      </c>
      <c r="G10">
        <f>IF($E10=0,"NA",ROUND(SUM(recreation_v2_6!G10,recreation_v2_7!G10,recreation_v2_8!G10,recreation_v2_9!G10,recreation_v2_10!G10)/COUNT(recreation_v2_6!G10,recreation_v2_7!G10,recreation_v2_8!G10,recreation_v2_9!G10,recreation_v2_10!G10),0))</f>
        <v>1</v>
      </c>
      <c r="H10">
        <f>IF(AND(F10=1, G10=1),ROUND(SUM(recreation_v2_6!H10,recreation_v2_7!H10,recreation_v2_8!H10,recreation_v2_9!H10,recreation_v2_10!H10)/COUNT(recreation_v2_6!H10,recreation_v2_7!H10,recreation_v2_8!H10,recreation_v2_9!H10,recreation_v2_10!H10),0),"NA")</f>
        <v>1</v>
      </c>
      <c r="I10">
        <f>IF($E10=0, "NA", ROUND(SUM(recreation_v2_6!I10,recreation_v2_7!I10,recreation_v2_8!I10,recreation_v2_9!I10,recreation_v2_10!I10)/COUNT(recreation_v2_6!I10,recreation_v2_7!I10,recreation_v2_8!I10,recreation_v2_9!I10,recreation_v2_10!I10),0))</f>
        <v>1</v>
      </c>
      <c r="J10">
        <f>IF(F10=1,ROUND(SUM(recreation_v2_6!J10,recreation_v2_7!J10,recreation_v2_8!J10,recreation_v2_9!J10,recreation_v2_10!J10)/COUNT(recreation_v2_6!J10,recreation_v2_7!J10,recreation_v2_8!J10,recreation_v2_9!J10,recreation_v2_10!J10),0),"NA")</f>
        <v>0</v>
      </c>
      <c r="K10">
        <f>IF($E10=0, "NA", ROUND(SUM(recreation_v2_6!K10,recreation_v2_7!K10,recreation_v2_8!K10,recreation_v2_9!K10,recreation_v2_10!K10)/COUNT(recreation_v2_6!K10,recreation_v2_7!K10,recreation_v2_8!K10,recreation_v2_9!K10,recreation_v2_10!K10),0))</f>
        <v>0</v>
      </c>
      <c r="L10">
        <f>IF($E10=0,"NA",ROUND(SUM(recreation_v2_6!L10,recreation_v2_7!L10,recreation_v2_8!L10,recreation_v2_9!L10,recreation_v2_10!L10)/COUNT(recreation_v2_6!L10,recreation_v2_7!L10,recreation_v2_8!L10,recreation_v2_9!L10,recreation_v2_10!L10),0))</f>
        <v>1</v>
      </c>
      <c r="M10">
        <f>IF($E10=0, "NA", ROUND(SUM(recreation_v2_6!M10,recreation_v2_7!M10,recreation_v2_8!M10,recreation_v2_9!M10,recreation_v2_10!M10)/COUNT(recreation_v2_6!M10,recreation_v2_7!M10,recreation_v2_8!M10,recreation_v2_9!M10,recreation_v2_10!M10),0))</f>
        <v>1</v>
      </c>
      <c r="N10">
        <f>IF($E10=0,"NA",ROUND(SUM(recreation_v2_6!N10,recreation_v2_7!N10,recreation_v2_8!N10,recreation_v2_9!N10,recreation_v2_10!N10)/COUNT(recreation_v2_6!N10,recreation_v2_7!N10,recreation_v2_8!N10,recreation_v2_9!N10,recreation_v2_10!N10),0))</f>
        <v>1</v>
      </c>
      <c r="O10">
        <f>IF($E10=0, "NA", ROUND(SUM(recreation_v2_6!O10,recreation_v2_7!O10,recreation_v2_8!O10,recreation_v2_9!O10,recreation_v2_10!O10)/COUNT(recreation_v2_6!O10,recreation_v2_7!O10,recreation_v2_8!O10,recreation_v2_9!O10,recreation_v2_10!O10),0))</f>
        <v>1</v>
      </c>
    </row>
    <row r="11" spans="1:15" x14ac:dyDescent="0.25">
      <c r="A11" t="s">
        <v>16</v>
      </c>
      <c r="B11" t="s">
        <v>32</v>
      </c>
      <c r="C11">
        <v>0</v>
      </c>
      <c r="D11">
        <v>2.81718921661377</v>
      </c>
      <c r="E11">
        <f>ROUND(SUM(recreation_v2_6!E11,recreation_v2_7!E11,recreation_v2_8!E11,recreation_v2_9!E11,recreation_v2_10!E11)/COUNT(recreation_v2_6!E11,recreation_v2_7!E11,recreation_v2_8!E11,recreation_v2_9!E11,recreation_v2_10!E11),0)</f>
        <v>1</v>
      </c>
      <c r="F11">
        <f>IF($E11=0, "NA", ROUND(SUM(recreation_v2_6!F11,recreation_v2_7!F11,recreation_v2_8!F11,recreation_v2_9!F11,recreation_v2_10!F11)/COUNT(recreation_v2_6!F11,recreation_v2_7!F11,recreation_v2_8!F11,recreation_v2_9!F11,recreation_v2_10!F11),0))</f>
        <v>1</v>
      </c>
      <c r="G11">
        <f>IF($E11=0,"NA",ROUND(SUM(recreation_v2_6!G11,recreation_v2_7!G11,recreation_v2_8!G11,recreation_v2_9!G11,recreation_v2_10!G11)/COUNT(recreation_v2_6!G11,recreation_v2_7!G11,recreation_v2_8!G11,recreation_v2_9!G11,recreation_v2_10!G11),0))</f>
        <v>1</v>
      </c>
      <c r="H11">
        <f>IF(AND(F11=1, G11=1),ROUND(SUM(recreation_v2_6!H11,recreation_v2_7!H11,recreation_v2_8!H11,recreation_v2_9!H11,recreation_v2_10!H11)/COUNT(recreation_v2_6!H11,recreation_v2_7!H11,recreation_v2_8!H11,recreation_v2_9!H11,recreation_v2_10!H11),0),"NA")</f>
        <v>1</v>
      </c>
      <c r="I11">
        <f>IF($E11=0, "NA", ROUND(SUM(recreation_v2_6!I11,recreation_v2_7!I11,recreation_v2_8!I11,recreation_v2_9!I11,recreation_v2_10!I11)/COUNT(recreation_v2_6!I11,recreation_v2_7!I11,recreation_v2_8!I11,recreation_v2_9!I11,recreation_v2_10!I11),0))</f>
        <v>1</v>
      </c>
      <c r="J11">
        <f>IF(F11=1,ROUND(SUM(recreation_v2_6!J11,recreation_v2_7!J11,recreation_v2_8!J11,recreation_v2_9!J11,recreation_v2_10!J11)/COUNT(recreation_v2_6!J11,recreation_v2_7!J11,recreation_v2_8!J11,recreation_v2_9!J11,recreation_v2_10!J11),0),"NA")</f>
        <v>1</v>
      </c>
      <c r="K11">
        <f>IF($E11=0, "NA", ROUND(SUM(recreation_v2_6!K11,recreation_v2_7!K11,recreation_v2_8!K11,recreation_v2_9!K11,recreation_v2_10!K11)/COUNT(recreation_v2_6!K11,recreation_v2_7!K11,recreation_v2_8!K11,recreation_v2_9!K11,recreation_v2_10!K11),0))</f>
        <v>1</v>
      </c>
      <c r="L11">
        <f>IF($E11=0,"NA",ROUND(SUM(recreation_v2_6!L11,recreation_v2_7!L11,recreation_v2_8!L11,recreation_v2_9!L11,recreation_v2_10!L11)/COUNT(recreation_v2_6!L11,recreation_v2_7!L11,recreation_v2_8!L11,recreation_v2_9!L11,recreation_v2_10!L11),0))</f>
        <v>1</v>
      </c>
      <c r="M11">
        <f>IF($E11=0, "NA", ROUND(SUM(recreation_v2_6!M11,recreation_v2_7!M11,recreation_v2_8!M11,recreation_v2_9!M11,recreation_v2_10!M11)/COUNT(recreation_v2_6!M11,recreation_v2_7!M11,recreation_v2_8!M11,recreation_v2_9!M11,recreation_v2_10!M11),0))</f>
        <v>1</v>
      </c>
      <c r="N11">
        <f>IF($E11=0,"NA",ROUND(SUM(recreation_v2_6!N11,recreation_v2_7!N11,recreation_v2_8!N11,recreation_v2_9!N11,recreation_v2_10!N11)/COUNT(recreation_v2_6!N11,recreation_v2_7!N11,recreation_v2_8!N11,recreation_v2_9!N11,recreation_v2_10!N11),0))</f>
        <v>1</v>
      </c>
      <c r="O11">
        <f>IF($E11=0, "NA", ROUND(SUM(recreation_v2_6!O11,recreation_v2_7!O11,recreation_v2_8!O11,recreation_v2_9!O11,recreation_v2_10!O11)/COUNT(recreation_v2_6!O11,recreation_v2_7!O11,recreation_v2_8!O11,recreation_v2_9!O11,recreation_v2_10!O11),0))</f>
        <v>1</v>
      </c>
    </row>
    <row r="12" spans="1:15" x14ac:dyDescent="0.25">
      <c r="A12" t="s">
        <v>16</v>
      </c>
      <c r="B12" t="s">
        <v>33</v>
      </c>
      <c r="C12">
        <v>0</v>
      </c>
      <c r="D12">
        <v>12.2861762046814</v>
      </c>
      <c r="E12">
        <f>ROUND(SUM(recreation_v2_6!E12,recreation_v2_7!E12,recreation_v2_8!E12,recreation_v2_9!E12,recreation_v2_10!E12)/COUNT(recreation_v2_6!E12,recreation_v2_7!E12,recreation_v2_8!E12,recreation_v2_9!E12,recreation_v2_10!E12),0)</f>
        <v>1</v>
      </c>
      <c r="F12">
        <f>IF($E12=0, "NA", ROUND(SUM(recreation_v2_6!F12,recreation_v2_7!F12,recreation_v2_8!F12,recreation_v2_9!F12,recreation_v2_10!F12)/COUNT(recreation_v2_6!F12,recreation_v2_7!F12,recreation_v2_8!F12,recreation_v2_9!F12,recreation_v2_10!F12),0))</f>
        <v>1</v>
      </c>
      <c r="G12">
        <f>IF($E12=0,"NA",ROUND(SUM(recreation_v2_6!G12,recreation_v2_7!G12,recreation_v2_8!G12,recreation_v2_9!G12,recreation_v2_10!G12)/COUNT(recreation_v2_6!G12,recreation_v2_7!G12,recreation_v2_8!G12,recreation_v2_9!G12,recreation_v2_10!G12),0))</f>
        <v>1</v>
      </c>
      <c r="H12">
        <f>IF(AND(F12=1, G12=1),ROUND(SUM(recreation_v2_6!H12,recreation_v2_7!H12,recreation_v2_8!H12,recreation_v2_9!H12,recreation_v2_10!H12)/COUNT(recreation_v2_6!H12,recreation_v2_7!H12,recreation_v2_8!H12,recreation_v2_9!H12,recreation_v2_10!H12),0),"NA")</f>
        <v>1</v>
      </c>
      <c r="I12">
        <f>IF($E12=0, "NA", ROUND(SUM(recreation_v2_6!I12,recreation_v2_7!I12,recreation_v2_8!I12,recreation_v2_9!I12,recreation_v2_10!I12)/COUNT(recreation_v2_6!I12,recreation_v2_7!I12,recreation_v2_8!I12,recreation_v2_9!I12,recreation_v2_10!I12),0))</f>
        <v>1</v>
      </c>
      <c r="J12">
        <f>IF(F12=1,ROUND(SUM(recreation_v2_6!J12,recreation_v2_7!J12,recreation_v2_8!J12,recreation_v2_9!J12,recreation_v2_10!J12)/COUNT(recreation_v2_6!J12,recreation_v2_7!J12,recreation_v2_8!J12,recreation_v2_9!J12,recreation_v2_10!J12),0),"NA")</f>
        <v>1</v>
      </c>
      <c r="K12">
        <f>IF($E12=0, "NA", ROUND(SUM(recreation_v2_6!K12,recreation_v2_7!K12,recreation_v2_8!K12,recreation_v2_9!K12,recreation_v2_10!K12)/COUNT(recreation_v2_6!K12,recreation_v2_7!K12,recreation_v2_8!K12,recreation_v2_9!K12,recreation_v2_10!K12),0))</f>
        <v>0</v>
      </c>
      <c r="L12">
        <f>IF($E12=0,"NA",ROUND(SUM(recreation_v2_6!L12,recreation_v2_7!L12,recreation_v2_8!L12,recreation_v2_9!L12,recreation_v2_10!L12)/COUNT(recreation_v2_6!L12,recreation_v2_7!L12,recreation_v2_8!L12,recreation_v2_9!L12,recreation_v2_10!L12),0))</f>
        <v>1</v>
      </c>
      <c r="M12">
        <f>IF($E12=0, "NA", ROUND(SUM(recreation_v2_6!M12,recreation_v2_7!M12,recreation_v2_8!M12,recreation_v2_9!M12,recreation_v2_10!M12)/COUNT(recreation_v2_6!M12,recreation_v2_7!M12,recreation_v2_8!M12,recreation_v2_9!M12,recreation_v2_10!M12),0))</f>
        <v>1</v>
      </c>
      <c r="N12">
        <f>IF($E12=0,"NA",ROUND(SUM(recreation_v2_6!N12,recreation_v2_7!N12,recreation_v2_8!N12,recreation_v2_9!N12,recreation_v2_10!N12)/COUNT(recreation_v2_6!N12,recreation_v2_7!N12,recreation_v2_8!N12,recreation_v2_9!N12,recreation_v2_10!N12),0))</f>
        <v>1</v>
      </c>
      <c r="O12">
        <f>IF($E12=0, "NA", ROUND(SUM(recreation_v2_6!O12,recreation_v2_7!O12,recreation_v2_8!O12,recreation_v2_9!O12,recreation_v2_10!O12)/COUNT(recreation_v2_6!O12,recreation_v2_7!O12,recreation_v2_8!O12,recreation_v2_9!O12,recreation_v2_10!O12),0))</f>
        <v>1</v>
      </c>
    </row>
    <row r="13" spans="1:15" x14ac:dyDescent="0.25">
      <c r="A13" t="s">
        <v>16</v>
      </c>
      <c r="B13" t="s">
        <v>35</v>
      </c>
      <c r="C13">
        <v>0</v>
      </c>
      <c r="D13">
        <v>4.7259776592254639</v>
      </c>
      <c r="E13">
        <f>ROUND(SUM(recreation_v2_6!E13,recreation_v2_7!E13,recreation_v2_8!E13,recreation_v2_9!E13,recreation_v2_10!E13)/COUNT(recreation_v2_6!E13,recreation_v2_7!E13,recreation_v2_8!E13,recreation_v2_9!E13,recreation_v2_10!E13),0)</f>
        <v>1</v>
      </c>
      <c r="F13">
        <f>IF($E13=0, "NA", ROUND(SUM(recreation_v2_6!F13,recreation_v2_7!F13,recreation_v2_8!F13,recreation_v2_9!F13,recreation_v2_10!F13)/COUNT(recreation_v2_6!F13,recreation_v2_7!F13,recreation_v2_8!F13,recreation_v2_9!F13,recreation_v2_10!F13),0))</f>
        <v>1</v>
      </c>
      <c r="G13">
        <f>IF($E13=0,"NA",ROUND(SUM(recreation_v2_6!G13,recreation_v2_7!G13,recreation_v2_8!G13,recreation_v2_9!G13,recreation_v2_10!G13)/COUNT(recreation_v2_6!G13,recreation_v2_7!G13,recreation_v2_8!G13,recreation_v2_9!G13,recreation_v2_10!G13),0))</f>
        <v>1</v>
      </c>
      <c r="H13">
        <f>IF(AND(F13=1, G13=1),ROUND(SUM(recreation_v2_6!H13,recreation_v2_7!H13,recreation_v2_8!H13,recreation_v2_9!H13,recreation_v2_10!H13)/COUNT(recreation_v2_6!H13,recreation_v2_7!H13,recreation_v2_8!H13,recreation_v2_9!H13,recreation_v2_10!H13),0),"NA")</f>
        <v>1</v>
      </c>
      <c r="I13">
        <f>IF($E13=0, "NA", ROUND(SUM(recreation_v2_6!I13,recreation_v2_7!I13,recreation_v2_8!I13,recreation_v2_9!I13,recreation_v2_10!I13)/COUNT(recreation_v2_6!I13,recreation_v2_7!I13,recreation_v2_8!I13,recreation_v2_9!I13,recreation_v2_10!I13),0))</f>
        <v>1</v>
      </c>
      <c r="J13">
        <f>IF(F13=1,ROUND(SUM(recreation_v2_6!J13,recreation_v2_7!J13,recreation_v2_8!J13,recreation_v2_9!J13,recreation_v2_10!J13)/COUNT(recreation_v2_6!J13,recreation_v2_7!J13,recreation_v2_8!J13,recreation_v2_9!J13,recreation_v2_10!J13),0),"NA")</f>
        <v>0</v>
      </c>
      <c r="K13">
        <f>IF($E13=0, "NA", ROUND(SUM(recreation_v2_6!K13,recreation_v2_7!K13,recreation_v2_8!K13,recreation_v2_9!K13,recreation_v2_10!K13)/COUNT(recreation_v2_6!K13,recreation_v2_7!K13,recreation_v2_8!K13,recreation_v2_9!K13,recreation_v2_10!K13),0))</f>
        <v>1</v>
      </c>
      <c r="L13">
        <f>IF($E13=0,"NA",ROUND(SUM(recreation_v2_6!L13,recreation_v2_7!L13,recreation_v2_8!L13,recreation_v2_9!L13,recreation_v2_10!L13)/COUNT(recreation_v2_6!L13,recreation_v2_7!L13,recreation_v2_8!L13,recreation_v2_9!L13,recreation_v2_10!L13),0))</f>
        <v>1</v>
      </c>
      <c r="M13">
        <f>IF($E13=0, "NA", ROUND(SUM(recreation_v2_6!M13,recreation_v2_7!M13,recreation_v2_8!M13,recreation_v2_9!M13,recreation_v2_10!M13)/COUNT(recreation_v2_6!M13,recreation_v2_7!M13,recreation_v2_8!M13,recreation_v2_9!M13,recreation_v2_10!M13),0))</f>
        <v>1</v>
      </c>
      <c r="N13">
        <f>IF($E13=0,"NA",ROUND(SUM(recreation_v2_6!N13,recreation_v2_7!N13,recreation_v2_8!N13,recreation_v2_9!N13,recreation_v2_10!N13)/COUNT(recreation_v2_6!N13,recreation_v2_7!N13,recreation_v2_8!N13,recreation_v2_9!N13,recreation_v2_10!N13),0))</f>
        <v>1</v>
      </c>
      <c r="O13">
        <f>IF($E13=0, "NA", ROUND(SUM(recreation_v2_6!O13,recreation_v2_7!O13,recreation_v2_8!O13,recreation_v2_9!O13,recreation_v2_10!O13)/COUNT(recreation_v2_6!O13,recreation_v2_7!O13,recreation_v2_8!O13,recreation_v2_9!O13,recreation_v2_10!O13),0))</f>
        <v>1</v>
      </c>
    </row>
    <row r="14" spans="1:15" x14ac:dyDescent="0.25">
      <c r="A14" t="s">
        <v>16</v>
      </c>
      <c r="B14" t="s">
        <v>37</v>
      </c>
      <c r="C14">
        <v>0</v>
      </c>
      <c r="D14">
        <v>9.4775893688201904</v>
      </c>
      <c r="E14">
        <f>ROUND(SUM(recreation_v2_6!E14,recreation_v2_7!E14,recreation_v2_8!E14,recreation_v2_9!E14,recreation_v2_10!E14)/COUNT(recreation_v2_6!E14,recreation_v2_7!E14,recreation_v2_8!E14,recreation_v2_9!E14,recreation_v2_10!E14),0)</f>
        <v>1</v>
      </c>
      <c r="F14">
        <f>IF($E14=0, "NA", ROUND(SUM(recreation_v2_6!F14,recreation_v2_7!F14,recreation_v2_8!F14,recreation_v2_9!F14,recreation_v2_10!F14)/COUNT(recreation_v2_6!F14,recreation_v2_7!F14,recreation_v2_8!F14,recreation_v2_9!F14,recreation_v2_10!F14),0))</f>
        <v>1</v>
      </c>
      <c r="G14">
        <f>IF($E14=0,"NA",ROUND(SUM(recreation_v2_6!G14,recreation_v2_7!G14,recreation_v2_8!G14,recreation_v2_9!G14,recreation_v2_10!G14)/COUNT(recreation_v2_6!G14,recreation_v2_7!G14,recreation_v2_8!G14,recreation_v2_9!G14,recreation_v2_10!G14),0))</f>
        <v>1</v>
      </c>
      <c r="H14">
        <f>IF(AND(F14=1, G14=1),ROUND(SUM(recreation_v2_6!H14,recreation_v2_7!H14,recreation_v2_8!H14,recreation_v2_9!H14,recreation_v2_10!H14)/COUNT(recreation_v2_6!H14,recreation_v2_7!H14,recreation_v2_8!H14,recreation_v2_9!H14,recreation_v2_10!H14),0),"NA")</f>
        <v>1</v>
      </c>
      <c r="I14">
        <f>IF($E14=0, "NA", ROUND(SUM(recreation_v2_6!I14,recreation_v2_7!I14,recreation_v2_8!I14,recreation_v2_9!I14,recreation_v2_10!I14)/COUNT(recreation_v2_6!I14,recreation_v2_7!I14,recreation_v2_8!I14,recreation_v2_9!I14,recreation_v2_10!I14),0))</f>
        <v>1</v>
      </c>
      <c r="J14">
        <f>IF(F14=1,ROUND(SUM(recreation_v2_6!J14,recreation_v2_7!J14,recreation_v2_8!J14,recreation_v2_9!J14,recreation_v2_10!J14)/COUNT(recreation_v2_6!J14,recreation_v2_7!J14,recreation_v2_8!J14,recreation_v2_9!J14,recreation_v2_10!J14),0),"NA")</f>
        <v>0</v>
      </c>
      <c r="K14">
        <f>IF($E14=0, "NA", ROUND(SUM(recreation_v2_6!K14,recreation_v2_7!K14,recreation_v2_8!K14,recreation_v2_9!K14,recreation_v2_10!K14)/COUNT(recreation_v2_6!K14,recreation_v2_7!K14,recreation_v2_8!K14,recreation_v2_9!K14,recreation_v2_10!K14),0))</f>
        <v>1</v>
      </c>
      <c r="L14">
        <f>IF($E14=0,"NA",ROUND(SUM(recreation_v2_6!L14,recreation_v2_7!L14,recreation_v2_8!L14,recreation_v2_9!L14,recreation_v2_10!L14)/COUNT(recreation_v2_6!L14,recreation_v2_7!L14,recreation_v2_8!L14,recreation_v2_9!L14,recreation_v2_10!L14),0))</f>
        <v>1</v>
      </c>
      <c r="M14">
        <f>IF($E14=0, "NA", ROUND(SUM(recreation_v2_6!M14,recreation_v2_7!M14,recreation_v2_8!M14,recreation_v2_9!M14,recreation_v2_10!M14)/COUNT(recreation_v2_6!M14,recreation_v2_7!M14,recreation_v2_8!M14,recreation_v2_9!M14,recreation_v2_10!M14),0))</f>
        <v>1</v>
      </c>
      <c r="N14">
        <f>IF($E14=0,"NA",ROUND(SUM(recreation_v2_6!N14,recreation_v2_7!N14,recreation_v2_8!N14,recreation_v2_9!N14,recreation_v2_10!N14)/COUNT(recreation_v2_6!N14,recreation_v2_7!N14,recreation_v2_8!N14,recreation_v2_9!N14,recreation_v2_10!N14),0))</f>
        <v>1</v>
      </c>
      <c r="O14">
        <f>IF($E14=0, "NA", ROUND(SUM(recreation_v2_6!O14,recreation_v2_7!O14,recreation_v2_8!O14,recreation_v2_9!O14,recreation_v2_10!O14)/COUNT(recreation_v2_6!O14,recreation_v2_7!O14,recreation_v2_8!O14,recreation_v2_9!O14,recreation_v2_10!O14),0))</f>
        <v>1</v>
      </c>
    </row>
    <row r="15" spans="1:15" x14ac:dyDescent="0.25">
      <c r="A15" t="s">
        <v>16</v>
      </c>
      <c r="B15" t="s">
        <v>39</v>
      </c>
      <c r="C15">
        <v>0</v>
      </c>
      <c r="D15">
        <v>10.66402316093445</v>
      </c>
      <c r="E15">
        <f>ROUND(SUM(recreation_v2_6!E15,recreation_v2_7!E15,recreation_v2_8!E15,recreation_v2_9!E15,recreation_v2_10!E15)/COUNT(recreation_v2_6!E15,recreation_v2_7!E15,recreation_v2_8!E15,recreation_v2_9!E15,recreation_v2_10!E15),0)</f>
        <v>1</v>
      </c>
      <c r="F15">
        <f>IF($E15=0, "NA", ROUND(SUM(recreation_v2_6!F15,recreation_v2_7!F15,recreation_v2_8!F15,recreation_v2_9!F15,recreation_v2_10!F15)/COUNT(recreation_v2_6!F15,recreation_v2_7!F15,recreation_v2_8!F15,recreation_v2_9!F15,recreation_v2_10!F15),0))</f>
        <v>1</v>
      </c>
      <c r="G15">
        <f>IF($E15=0,"NA",ROUND(SUM(recreation_v2_6!G15,recreation_v2_7!G15,recreation_v2_8!G15,recreation_v2_9!G15,recreation_v2_10!G15)/COUNT(recreation_v2_6!G15,recreation_v2_7!G15,recreation_v2_8!G15,recreation_v2_9!G15,recreation_v2_10!G15),0))</f>
        <v>1</v>
      </c>
      <c r="H15">
        <f>IF(AND(F15=1, G15=1),ROUND(SUM(recreation_v2_6!H15,recreation_v2_7!H15,recreation_v2_8!H15,recreation_v2_9!H15,recreation_v2_10!H15)/COUNT(recreation_v2_6!H15,recreation_v2_7!H15,recreation_v2_8!H15,recreation_v2_9!H15,recreation_v2_10!H15),0),"NA")</f>
        <v>1</v>
      </c>
      <c r="I15">
        <f>IF($E15=0, "NA", ROUND(SUM(recreation_v2_6!I15,recreation_v2_7!I15,recreation_v2_8!I15,recreation_v2_9!I15,recreation_v2_10!I15)/COUNT(recreation_v2_6!I15,recreation_v2_7!I15,recreation_v2_8!I15,recreation_v2_9!I15,recreation_v2_10!I15),0))</f>
        <v>1</v>
      </c>
      <c r="J15">
        <f>IF(F15=1,ROUND(SUM(recreation_v2_6!J15,recreation_v2_7!J15,recreation_v2_8!J15,recreation_v2_9!J15,recreation_v2_10!J15)/COUNT(recreation_v2_6!J15,recreation_v2_7!J15,recreation_v2_8!J15,recreation_v2_9!J15,recreation_v2_10!J15),0),"NA")</f>
        <v>0</v>
      </c>
      <c r="K15">
        <f>IF($E15=0, "NA", ROUND(SUM(recreation_v2_6!K15,recreation_v2_7!K15,recreation_v2_8!K15,recreation_v2_9!K15,recreation_v2_10!K15)/COUNT(recreation_v2_6!K15,recreation_v2_7!K15,recreation_v2_8!K15,recreation_v2_9!K15,recreation_v2_10!K15),0))</f>
        <v>1</v>
      </c>
      <c r="L15">
        <f>IF($E15=0,"NA",ROUND(SUM(recreation_v2_6!L15,recreation_v2_7!L15,recreation_v2_8!L15,recreation_v2_9!L15,recreation_v2_10!L15)/COUNT(recreation_v2_6!L15,recreation_v2_7!L15,recreation_v2_8!L15,recreation_v2_9!L15,recreation_v2_10!L15),0))</f>
        <v>1</v>
      </c>
      <c r="M15">
        <f>IF($E15=0, "NA", ROUND(SUM(recreation_v2_6!M15,recreation_v2_7!M15,recreation_v2_8!M15,recreation_v2_9!M15,recreation_v2_10!M15)/COUNT(recreation_v2_6!M15,recreation_v2_7!M15,recreation_v2_8!M15,recreation_v2_9!M15,recreation_v2_10!M15),0))</f>
        <v>1</v>
      </c>
      <c r="N15">
        <f>IF($E15=0,"NA",ROUND(SUM(recreation_v2_6!N15,recreation_v2_7!N15,recreation_v2_8!N15,recreation_v2_9!N15,recreation_v2_10!N15)/COUNT(recreation_v2_6!N15,recreation_v2_7!N15,recreation_v2_8!N15,recreation_v2_9!N15,recreation_v2_10!N15),0))</f>
        <v>1</v>
      </c>
      <c r="O15">
        <f>IF($E15=0, "NA", ROUND(SUM(recreation_v2_6!O15,recreation_v2_7!O15,recreation_v2_8!O15,recreation_v2_9!O15,recreation_v2_10!O15)/COUNT(recreation_v2_6!O15,recreation_v2_7!O15,recreation_v2_8!O15,recreation_v2_9!O15,recreation_v2_10!O15),0))</f>
        <v>1</v>
      </c>
    </row>
    <row r="16" spans="1:15" x14ac:dyDescent="0.25">
      <c r="A16" t="s">
        <v>16</v>
      </c>
      <c r="B16" t="s">
        <v>41</v>
      </c>
      <c r="C16">
        <v>0</v>
      </c>
      <c r="D16">
        <v>9.2475149631500244</v>
      </c>
      <c r="E16">
        <f>ROUND(SUM(recreation_v2_6!E16,recreation_v2_7!E16,recreation_v2_8!E16,recreation_v2_9!E16,recreation_v2_10!E16)/COUNT(recreation_v2_6!E16,recreation_v2_7!E16,recreation_v2_8!E16,recreation_v2_9!E16,recreation_v2_10!E16),0)</f>
        <v>1</v>
      </c>
      <c r="F16">
        <f>IF($E16=0, "NA", ROUND(SUM(recreation_v2_6!F16,recreation_v2_7!F16,recreation_v2_8!F16,recreation_v2_9!F16,recreation_v2_10!F16)/COUNT(recreation_v2_6!F16,recreation_v2_7!F16,recreation_v2_8!F16,recreation_v2_9!F16,recreation_v2_10!F16),0))</f>
        <v>1</v>
      </c>
      <c r="G16">
        <f>IF($E16=0,"NA",ROUND(SUM(recreation_v2_6!G16,recreation_v2_7!G16,recreation_v2_8!G16,recreation_v2_9!G16,recreation_v2_10!G16)/COUNT(recreation_v2_6!G16,recreation_v2_7!G16,recreation_v2_8!G16,recreation_v2_9!G16,recreation_v2_10!G16),0))</f>
        <v>1</v>
      </c>
      <c r="H16">
        <f>IF(AND(F16=1, G16=1),ROUND(SUM(recreation_v2_6!H16,recreation_v2_7!H16,recreation_v2_8!H16,recreation_v2_9!H16,recreation_v2_10!H16)/COUNT(recreation_v2_6!H16,recreation_v2_7!H16,recreation_v2_8!H16,recreation_v2_9!H16,recreation_v2_10!H16),0),"NA")</f>
        <v>1</v>
      </c>
      <c r="I16">
        <f>IF($E16=0, "NA", ROUND(SUM(recreation_v2_6!I16,recreation_v2_7!I16,recreation_v2_8!I16,recreation_v2_9!I16,recreation_v2_10!I16)/COUNT(recreation_v2_6!I16,recreation_v2_7!I16,recreation_v2_8!I16,recreation_v2_9!I16,recreation_v2_10!I16),0))</f>
        <v>1</v>
      </c>
      <c r="J16">
        <f>IF(F16=1,ROUND(SUM(recreation_v2_6!J16,recreation_v2_7!J16,recreation_v2_8!J16,recreation_v2_9!J16,recreation_v2_10!J16)/COUNT(recreation_v2_6!J16,recreation_v2_7!J16,recreation_v2_8!J16,recreation_v2_9!J16,recreation_v2_10!J16),0),"NA")</f>
        <v>1</v>
      </c>
      <c r="K16">
        <f>IF($E16=0, "NA", ROUND(SUM(recreation_v2_6!K16,recreation_v2_7!K16,recreation_v2_8!K16,recreation_v2_9!K16,recreation_v2_10!K16)/COUNT(recreation_v2_6!K16,recreation_v2_7!K16,recreation_v2_8!K16,recreation_v2_9!K16,recreation_v2_10!K16),0))</f>
        <v>1</v>
      </c>
      <c r="L16">
        <f>IF($E16=0,"NA",ROUND(SUM(recreation_v2_6!L16,recreation_v2_7!L16,recreation_v2_8!L16,recreation_v2_9!L16,recreation_v2_10!L16)/COUNT(recreation_v2_6!L16,recreation_v2_7!L16,recreation_v2_8!L16,recreation_v2_9!L16,recreation_v2_10!L16),0))</f>
        <v>1</v>
      </c>
      <c r="M16">
        <f>IF($E16=0, "NA", ROUND(SUM(recreation_v2_6!M16,recreation_v2_7!M16,recreation_v2_8!M16,recreation_v2_9!M16,recreation_v2_10!M16)/COUNT(recreation_v2_6!M16,recreation_v2_7!M16,recreation_v2_8!M16,recreation_v2_9!M16,recreation_v2_10!M16),0))</f>
        <v>1</v>
      </c>
      <c r="N16">
        <f>IF($E16=0,"NA",ROUND(SUM(recreation_v2_6!N16,recreation_v2_7!N16,recreation_v2_8!N16,recreation_v2_9!N16,recreation_v2_10!N16)/COUNT(recreation_v2_6!N16,recreation_v2_7!N16,recreation_v2_8!N16,recreation_v2_9!N16,recreation_v2_10!N16),0))</f>
        <v>1</v>
      </c>
      <c r="O16">
        <f>IF($E16=0, "NA", ROUND(SUM(recreation_v2_6!O16,recreation_v2_7!O16,recreation_v2_8!O16,recreation_v2_9!O16,recreation_v2_10!O16)/COUNT(recreation_v2_6!O16,recreation_v2_7!O16,recreation_v2_8!O16,recreation_v2_9!O16,recreation_v2_10!O16),0))</f>
        <v>1</v>
      </c>
    </row>
    <row r="17" spans="1:15" x14ac:dyDescent="0.25">
      <c r="A17" t="s">
        <v>16</v>
      </c>
      <c r="B17" t="s">
        <v>43</v>
      </c>
      <c r="C17">
        <v>0</v>
      </c>
      <c r="D17">
        <v>13.58118748664856</v>
      </c>
      <c r="E17">
        <f>ROUND(SUM(recreation_v2_6!E17,recreation_v2_7!E17,recreation_v2_8!E17,recreation_v2_9!E17,recreation_v2_10!E17)/COUNT(recreation_v2_6!E17,recreation_v2_7!E17,recreation_v2_8!E17,recreation_v2_9!E17,recreation_v2_10!E17),0)</f>
        <v>0</v>
      </c>
      <c r="F17" t="str">
        <f>IF($E17=0, "NA", ROUND(SUM(recreation_v2_6!F17,recreation_v2_7!F17,recreation_v2_8!F17,recreation_v2_9!F17,recreation_v2_10!F17)/COUNT(recreation_v2_6!F17,recreation_v2_7!F17,recreation_v2_8!F17,recreation_v2_9!F17,recreation_v2_10!F17),0))</f>
        <v>NA</v>
      </c>
      <c r="G17" t="str">
        <f>IF($E17=0,"NA",ROUND(SUM(recreation_v2_6!G17,recreation_v2_7!G17,recreation_v2_8!G17,recreation_v2_9!G17,recreation_v2_10!G17)/COUNT(recreation_v2_6!G17,recreation_v2_7!G17,recreation_v2_8!G17,recreation_v2_9!G17,recreation_v2_10!G17),0))</f>
        <v>NA</v>
      </c>
      <c r="H17" t="str">
        <f>IF(AND(F17=1, G17=1),ROUND(SUM(recreation_v2_6!H17,recreation_v2_7!H17,recreation_v2_8!H17,recreation_v2_9!H17,recreation_v2_10!H17)/COUNT(recreation_v2_6!H17,recreation_v2_7!H17,recreation_v2_8!H17,recreation_v2_9!H17,recreation_v2_10!H17),0),"NA")</f>
        <v>NA</v>
      </c>
      <c r="I17" t="str">
        <f>IF($E17=0, "NA", ROUND(SUM(recreation_v2_6!I17,recreation_v2_7!I17,recreation_v2_8!I17,recreation_v2_9!I17,recreation_v2_10!I17)/COUNT(recreation_v2_6!I17,recreation_v2_7!I17,recreation_v2_8!I17,recreation_v2_9!I17,recreation_v2_10!I17),0))</f>
        <v>NA</v>
      </c>
      <c r="J17" t="str">
        <f>IF(F17=1,ROUND(SUM(recreation_v2_6!J17,recreation_v2_7!J17,recreation_v2_8!J17,recreation_v2_9!J17,recreation_v2_10!J17)/COUNT(recreation_v2_6!J17,recreation_v2_7!J17,recreation_v2_8!J17,recreation_v2_9!J17,recreation_v2_10!J17),0),"NA")</f>
        <v>NA</v>
      </c>
      <c r="K17" t="str">
        <f>IF($E17=0, "NA", ROUND(SUM(recreation_v2_6!K17,recreation_v2_7!K17,recreation_v2_8!K17,recreation_v2_9!K17,recreation_v2_10!K17)/COUNT(recreation_v2_6!K17,recreation_v2_7!K17,recreation_v2_8!K17,recreation_v2_9!K17,recreation_v2_10!K17),0))</f>
        <v>NA</v>
      </c>
      <c r="L17" t="str">
        <f>IF($E17=0,"NA",ROUND(SUM(recreation_v2_6!L17,recreation_v2_7!L17,recreation_v2_8!L17,recreation_v2_9!L17,recreation_v2_10!L17)/COUNT(recreation_v2_6!L17,recreation_v2_7!L17,recreation_v2_8!L17,recreation_v2_9!L17,recreation_v2_10!L17),0))</f>
        <v>NA</v>
      </c>
      <c r="M17" t="str">
        <f>IF($E17=0, "NA", ROUND(SUM(recreation_v2_6!M17,recreation_v2_7!M17,recreation_v2_8!M17,recreation_v2_9!M17,recreation_v2_10!M17)/COUNT(recreation_v2_6!M17,recreation_v2_7!M17,recreation_v2_8!M17,recreation_v2_9!M17,recreation_v2_10!M17),0))</f>
        <v>NA</v>
      </c>
      <c r="N17" t="str">
        <f>IF($E17=0,"NA",ROUND(SUM(recreation_v2_6!N17,recreation_v2_7!N17,recreation_v2_8!N17,recreation_v2_9!N17,recreation_v2_10!N17)/COUNT(recreation_v2_6!N17,recreation_v2_7!N17,recreation_v2_8!N17,recreation_v2_9!N17,recreation_v2_10!N17),0))</f>
        <v>NA</v>
      </c>
      <c r="O17" t="str">
        <f>IF($E17=0, "NA", ROUND(SUM(recreation_v2_6!O17,recreation_v2_7!O17,recreation_v2_8!O17,recreation_v2_9!O17,recreation_v2_10!O17)/COUNT(recreation_v2_6!O17,recreation_v2_7!O17,recreation_v2_8!O17,recreation_v2_9!O17,recreation_v2_10!O17),0))</f>
        <v>NA</v>
      </c>
    </row>
    <row r="18" spans="1:15" x14ac:dyDescent="0.25">
      <c r="A18" t="s">
        <v>16</v>
      </c>
      <c r="B18" t="s">
        <v>45</v>
      </c>
      <c r="C18">
        <v>0</v>
      </c>
      <c r="D18">
        <v>9.7507212162017822</v>
      </c>
      <c r="E18">
        <f>ROUND(SUM(recreation_v2_6!E18,recreation_v2_7!E18,recreation_v2_8!E18,recreation_v2_9!E18,recreation_v2_10!E18)/COUNT(recreation_v2_6!E18,recreation_v2_7!E18,recreation_v2_8!E18,recreation_v2_9!E18,recreation_v2_10!E18),0)</f>
        <v>0</v>
      </c>
      <c r="F18" t="str">
        <f>IF($E18=0, "NA", ROUND(SUM(recreation_v2_6!F18,recreation_v2_7!F18,recreation_v2_8!F18,recreation_v2_9!F18,recreation_v2_10!F18)/COUNT(recreation_v2_6!F18,recreation_v2_7!F18,recreation_v2_8!F18,recreation_v2_9!F18,recreation_v2_10!F18),0))</f>
        <v>NA</v>
      </c>
      <c r="G18" t="str">
        <f>IF($E18=0,"NA",ROUND(SUM(recreation_v2_6!G18,recreation_v2_7!G18,recreation_v2_8!G18,recreation_v2_9!G18,recreation_v2_10!G18)/COUNT(recreation_v2_6!G18,recreation_v2_7!G18,recreation_v2_8!G18,recreation_v2_9!G18,recreation_v2_10!G18),0))</f>
        <v>NA</v>
      </c>
      <c r="H18" t="str">
        <f>IF(AND(F18=1, G18=1),ROUND(SUM(recreation_v2_6!H18,recreation_v2_7!H18,recreation_v2_8!H18,recreation_v2_9!H18,recreation_v2_10!H18)/COUNT(recreation_v2_6!H18,recreation_v2_7!H18,recreation_v2_8!H18,recreation_v2_9!H18,recreation_v2_10!H18),0),"NA")</f>
        <v>NA</v>
      </c>
      <c r="I18" t="str">
        <f>IF($E18=0, "NA", ROUND(SUM(recreation_v2_6!I18,recreation_v2_7!I18,recreation_v2_8!I18,recreation_v2_9!I18,recreation_v2_10!I18)/COUNT(recreation_v2_6!I18,recreation_v2_7!I18,recreation_v2_8!I18,recreation_v2_9!I18,recreation_v2_10!I18),0))</f>
        <v>NA</v>
      </c>
      <c r="J18" t="str">
        <f>IF(F18=1,ROUND(SUM(recreation_v2_6!J18,recreation_v2_7!J18,recreation_v2_8!J18,recreation_v2_9!J18,recreation_v2_10!J18)/COUNT(recreation_v2_6!J18,recreation_v2_7!J18,recreation_v2_8!J18,recreation_v2_9!J18,recreation_v2_10!J18),0),"NA")</f>
        <v>NA</v>
      </c>
      <c r="K18" t="str">
        <f>IF($E18=0, "NA", ROUND(SUM(recreation_v2_6!K18,recreation_v2_7!K18,recreation_v2_8!K18,recreation_v2_9!K18,recreation_v2_10!K18)/COUNT(recreation_v2_6!K18,recreation_v2_7!K18,recreation_v2_8!K18,recreation_v2_9!K18,recreation_v2_10!K18),0))</f>
        <v>NA</v>
      </c>
      <c r="L18" t="str">
        <f>IF($E18=0,"NA",ROUND(SUM(recreation_v2_6!L18,recreation_v2_7!L18,recreation_v2_8!L18,recreation_v2_9!L18,recreation_v2_10!L18)/COUNT(recreation_v2_6!L18,recreation_v2_7!L18,recreation_v2_8!L18,recreation_v2_9!L18,recreation_v2_10!L18),0))</f>
        <v>NA</v>
      </c>
      <c r="M18" t="str">
        <f>IF($E18=0, "NA", ROUND(SUM(recreation_v2_6!M18,recreation_v2_7!M18,recreation_v2_8!M18,recreation_v2_9!M18,recreation_v2_10!M18)/COUNT(recreation_v2_6!M18,recreation_v2_7!M18,recreation_v2_8!M18,recreation_v2_9!M18,recreation_v2_10!M18),0))</f>
        <v>NA</v>
      </c>
      <c r="N18" t="str">
        <f>IF($E18=0,"NA",ROUND(SUM(recreation_v2_6!N18,recreation_v2_7!N18,recreation_v2_8!N18,recreation_v2_9!N18,recreation_v2_10!N18)/COUNT(recreation_v2_6!N18,recreation_v2_7!N18,recreation_v2_8!N18,recreation_v2_9!N18,recreation_v2_10!N18),0))</f>
        <v>NA</v>
      </c>
      <c r="O18" t="str">
        <f>IF($E18=0, "NA", ROUND(SUM(recreation_v2_6!O18,recreation_v2_7!O18,recreation_v2_8!O18,recreation_v2_9!O18,recreation_v2_10!O18)/COUNT(recreation_v2_6!O18,recreation_v2_7!O18,recreation_v2_8!O18,recreation_v2_9!O18,recreation_v2_10!O18),0))</f>
        <v>NA</v>
      </c>
    </row>
    <row r="19" spans="1:15" x14ac:dyDescent="0.25">
      <c r="A19" t="s">
        <v>16</v>
      </c>
      <c r="B19" t="s">
        <v>47</v>
      </c>
      <c r="C19">
        <v>0</v>
      </c>
      <c r="D19">
        <v>11.10043954849243</v>
      </c>
      <c r="E19">
        <f>ROUND(SUM(recreation_v2_6!E19,recreation_v2_7!E19,recreation_v2_8!E19,recreation_v2_9!E19,recreation_v2_10!E19)/COUNT(recreation_v2_6!E19,recreation_v2_7!E19,recreation_v2_8!E19,recreation_v2_9!E19,recreation_v2_10!E19),0)</f>
        <v>1</v>
      </c>
      <c r="F19">
        <f>IF($E19=0, "NA", ROUND(SUM(recreation_v2_6!F19,recreation_v2_7!F19,recreation_v2_8!F19,recreation_v2_9!F19,recreation_v2_10!F19)/COUNT(recreation_v2_6!F19,recreation_v2_7!F19,recreation_v2_8!F19,recreation_v2_9!F19,recreation_v2_10!F19),0))</f>
        <v>1</v>
      </c>
      <c r="G19">
        <f>IF($E19=0,"NA",ROUND(SUM(recreation_v2_6!G19,recreation_v2_7!G19,recreation_v2_8!G19,recreation_v2_9!G19,recreation_v2_10!G19)/COUNT(recreation_v2_6!G19,recreation_v2_7!G19,recreation_v2_8!G19,recreation_v2_9!G19,recreation_v2_10!G19),0))</f>
        <v>1</v>
      </c>
      <c r="H19">
        <f>IF(AND(F19=1, G19=1),ROUND(SUM(recreation_v2_6!H19,recreation_v2_7!H19,recreation_v2_8!H19,recreation_v2_9!H19,recreation_v2_10!H19)/COUNT(recreation_v2_6!H19,recreation_v2_7!H19,recreation_v2_8!H19,recreation_v2_9!H19,recreation_v2_10!H19),0),"NA")</f>
        <v>1</v>
      </c>
      <c r="I19">
        <f>IF($E19=0, "NA", ROUND(SUM(recreation_v2_6!I19,recreation_v2_7!I19,recreation_v2_8!I19,recreation_v2_9!I19,recreation_v2_10!I19)/COUNT(recreation_v2_6!I19,recreation_v2_7!I19,recreation_v2_8!I19,recreation_v2_9!I19,recreation_v2_10!I19),0))</f>
        <v>1</v>
      </c>
      <c r="J19">
        <f>IF(F19=1,ROUND(SUM(recreation_v2_6!J19,recreation_v2_7!J19,recreation_v2_8!J19,recreation_v2_9!J19,recreation_v2_10!J19)/COUNT(recreation_v2_6!J19,recreation_v2_7!J19,recreation_v2_8!J19,recreation_v2_9!J19,recreation_v2_10!J19),0),"NA")</f>
        <v>1</v>
      </c>
      <c r="K19">
        <f>IF($E19=0, "NA", ROUND(SUM(recreation_v2_6!K19,recreation_v2_7!K19,recreation_v2_8!K19,recreation_v2_9!K19,recreation_v2_10!K19)/COUNT(recreation_v2_6!K19,recreation_v2_7!K19,recreation_v2_8!K19,recreation_v2_9!K19,recreation_v2_10!K19),0))</f>
        <v>1</v>
      </c>
      <c r="L19">
        <f>IF($E19=0,"NA",ROUND(SUM(recreation_v2_6!L19,recreation_v2_7!L19,recreation_v2_8!L19,recreation_v2_9!L19,recreation_v2_10!L19)/COUNT(recreation_v2_6!L19,recreation_v2_7!L19,recreation_v2_8!L19,recreation_v2_9!L19,recreation_v2_10!L19),0))</f>
        <v>1</v>
      </c>
      <c r="M19">
        <f>IF($E19=0, "NA", ROUND(SUM(recreation_v2_6!M19,recreation_v2_7!M19,recreation_v2_8!M19,recreation_v2_9!M19,recreation_v2_10!M19)/COUNT(recreation_v2_6!M19,recreation_v2_7!M19,recreation_v2_8!M19,recreation_v2_9!M19,recreation_v2_10!M19),0))</f>
        <v>1</v>
      </c>
      <c r="N19">
        <f>IF($E19=0,"NA",ROUND(SUM(recreation_v2_6!N19,recreation_v2_7!N19,recreation_v2_8!N19,recreation_v2_9!N19,recreation_v2_10!N19)/COUNT(recreation_v2_6!N19,recreation_v2_7!N19,recreation_v2_8!N19,recreation_v2_9!N19,recreation_v2_10!N19),0))</f>
        <v>1</v>
      </c>
      <c r="O19">
        <f>IF($E19=0, "NA", ROUND(SUM(recreation_v2_6!O19,recreation_v2_7!O19,recreation_v2_8!O19,recreation_v2_9!O19,recreation_v2_10!O19)/COUNT(recreation_v2_6!O19,recreation_v2_7!O19,recreation_v2_8!O19,recreation_v2_9!O19,recreation_v2_10!O19),0))</f>
        <v>1</v>
      </c>
    </row>
    <row r="20" spans="1:15" x14ac:dyDescent="0.25">
      <c r="A20" t="s">
        <v>16</v>
      </c>
      <c r="B20" t="s">
        <v>48</v>
      </c>
      <c r="C20">
        <v>0</v>
      </c>
      <c r="D20">
        <v>7.6954135894775391</v>
      </c>
      <c r="E20">
        <f>ROUND(SUM(recreation_v2_6!E20,recreation_v2_7!E20,recreation_v2_8!E20,recreation_v2_9!E20,recreation_v2_10!E20)/COUNT(recreation_v2_6!E20,recreation_v2_7!E20,recreation_v2_8!E20,recreation_v2_9!E20,recreation_v2_10!E20),0)</f>
        <v>1</v>
      </c>
      <c r="F20">
        <f>IF($E20=0, "NA", ROUND(SUM(recreation_v2_6!F20,recreation_v2_7!F20,recreation_v2_8!F20,recreation_v2_9!F20,recreation_v2_10!F20)/COUNT(recreation_v2_6!F20,recreation_v2_7!F20,recreation_v2_8!F20,recreation_v2_9!F20,recreation_v2_10!F20),0))</f>
        <v>1</v>
      </c>
      <c r="G20">
        <f>IF($E20=0,"NA",ROUND(SUM(recreation_v2_6!G20,recreation_v2_7!G20,recreation_v2_8!G20,recreation_v2_9!G20,recreation_v2_10!G20)/COUNT(recreation_v2_6!G20,recreation_v2_7!G20,recreation_v2_8!G20,recreation_v2_9!G20,recreation_v2_10!G20),0))</f>
        <v>1</v>
      </c>
      <c r="H20">
        <f>IF(AND(F20=1, G20=1),ROUND(SUM(recreation_v2_6!H20,recreation_v2_7!H20,recreation_v2_8!H20,recreation_v2_9!H20,recreation_v2_10!H20)/COUNT(recreation_v2_6!H20,recreation_v2_7!H20,recreation_v2_8!H20,recreation_v2_9!H20,recreation_v2_10!H20),0),"NA")</f>
        <v>1</v>
      </c>
      <c r="I20">
        <f>IF($E20=0, "NA", ROUND(SUM(recreation_v2_6!I20,recreation_v2_7!I20,recreation_v2_8!I20,recreation_v2_9!I20,recreation_v2_10!I20)/COUNT(recreation_v2_6!I20,recreation_v2_7!I20,recreation_v2_8!I20,recreation_v2_9!I20,recreation_v2_10!I20),0))</f>
        <v>1</v>
      </c>
      <c r="J20">
        <f>IF(F20=1,ROUND(SUM(recreation_v2_6!J20,recreation_v2_7!J20,recreation_v2_8!J20,recreation_v2_9!J20,recreation_v2_10!J20)/COUNT(recreation_v2_6!J20,recreation_v2_7!J20,recreation_v2_8!J20,recreation_v2_9!J20,recreation_v2_10!J20),0),"NA")</f>
        <v>1</v>
      </c>
      <c r="K20">
        <f>IF($E20=0, "NA", ROUND(SUM(recreation_v2_6!K20,recreation_v2_7!K20,recreation_v2_8!K20,recreation_v2_9!K20,recreation_v2_10!K20)/COUNT(recreation_v2_6!K20,recreation_v2_7!K20,recreation_v2_8!K20,recreation_v2_9!K20,recreation_v2_10!K20),0))</f>
        <v>1</v>
      </c>
      <c r="L20">
        <f>IF($E20=0,"NA",ROUND(SUM(recreation_v2_6!L20,recreation_v2_7!L20,recreation_v2_8!L20,recreation_v2_9!L20,recreation_v2_10!L20)/COUNT(recreation_v2_6!L20,recreation_v2_7!L20,recreation_v2_8!L20,recreation_v2_9!L20,recreation_v2_10!L20),0))</f>
        <v>1</v>
      </c>
      <c r="M20">
        <f>IF($E20=0, "NA", ROUND(SUM(recreation_v2_6!M20,recreation_v2_7!M20,recreation_v2_8!M20,recreation_v2_9!M20,recreation_v2_10!M20)/COUNT(recreation_v2_6!M20,recreation_v2_7!M20,recreation_v2_8!M20,recreation_v2_9!M20,recreation_v2_10!M20),0))</f>
        <v>1</v>
      </c>
      <c r="N20">
        <f>IF($E20=0,"NA",ROUND(SUM(recreation_v2_6!N20,recreation_v2_7!N20,recreation_v2_8!N20,recreation_v2_9!N20,recreation_v2_10!N20)/COUNT(recreation_v2_6!N20,recreation_v2_7!N20,recreation_v2_8!N20,recreation_v2_9!N20,recreation_v2_10!N20),0))</f>
        <v>1</v>
      </c>
      <c r="O20">
        <f>IF($E20=0, "NA", ROUND(SUM(recreation_v2_6!O20,recreation_v2_7!O20,recreation_v2_8!O20,recreation_v2_9!O20,recreation_v2_10!O20)/COUNT(recreation_v2_6!O20,recreation_v2_7!O20,recreation_v2_8!O20,recreation_v2_9!O20,recreation_v2_10!O20),0))</f>
        <v>1</v>
      </c>
    </row>
    <row r="21" spans="1:15" x14ac:dyDescent="0.25">
      <c r="A21" t="s">
        <v>16</v>
      </c>
      <c r="B21" t="s">
        <v>49</v>
      </c>
      <c r="C21">
        <v>0</v>
      </c>
      <c r="D21">
        <v>9.0421702861785889</v>
      </c>
      <c r="E21">
        <f>ROUND(SUM(recreation_v2_6!E21,recreation_v2_7!E21,recreation_v2_8!E21,recreation_v2_9!E21,recreation_v2_10!E21)/COUNT(recreation_v2_6!E21,recreation_v2_7!E21,recreation_v2_8!E21,recreation_v2_9!E21,recreation_v2_10!E21),0)</f>
        <v>0</v>
      </c>
      <c r="F21" t="str">
        <f>IF($E21=0, "NA", ROUND(SUM(recreation_v2_6!F21,recreation_v2_7!F21,recreation_v2_8!F21,recreation_v2_9!F21,recreation_v2_10!F21)/COUNT(recreation_v2_6!F21,recreation_v2_7!F21,recreation_v2_8!F21,recreation_v2_9!F21,recreation_v2_10!F21),0))</f>
        <v>NA</v>
      </c>
      <c r="G21" t="str">
        <f>IF($E21=0,"NA",ROUND(SUM(recreation_v2_6!G21,recreation_v2_7!G21,recreation_v2_8!G21,recreation_v2_9!G21,recreation_v2_10!G21)/COUNT(recreation_v2_6!G21,recreation_v2_7!G21,recreation_v2_8!G21,recreation_v2_9!G21,recreation_v2_10!G21),0))</f>
        <v>NA</v>
      </c>
      <c r="H21" t="str">
        <f>IF(AND(F21=1, G21=1),ROUND(SUM(recreation_v2_6!H21,recreation_v2_7!H21,recreation_v2_8!H21,recreation_v2_9!H21,recreation_v2_10!H21)/COUNT(recreation_v2_6!H21,recreation_v2_7!H21,recreation_v2_8!H21,recreation_v2_9!H21,recreation_v2_10!H21),0),"NA")</f>
        <v>NA</v>
      </c>
      <c r="I21" t="str">
        <f>IF($E21=0, "NA", ROUND(SUM(recreation_v2_6!I21,recreation_v2_7!I21,recreation_v2_8!I21,recreation_v2_9!I21,recreation_v2_10!I21)/COUNT(recreation_v2_6!I21,recreation_v2_7!I21,recreation_v2_8!I21,recreation_v2_9!I21,recreation_v2_10!I21),0))</f>
        <v>NA</v>
      </c>
      <c r="J21" t="str">
        <f>IF(F21=1,ROUND(SUM(recreation_v2_6!J21,recreation_v2_7!J21,recreation_v2_8!J21,recreation_v2_9!J21,recreation_v2_10!J21)/COUNT(recreation_v2_6!J21,recreation_v2_7!J21,recreation_v2_8!J21,recreation_v2_9!J21,recreation_v2_10!J21),0),"NA")</f>
        <v>NA</v>
      </c>
      <c r="K21" t="str">
        <f>IF($E21=0, "NA", ROUND(SUM(recreation_v2_6!K21,recreation_v2_7!K21,recreation_v2_8!K21,recreation_v2_9!K21,recreation_v2_10!K21)/COUNT(recreation_v2_6!K21,recreation_v2_7!K21,recreation_v2_8!K21,recreation_v2_9!K21,recreation_v2_10!K21),0))</f>
        <v>NA</v>
      </c>
      <c r="L21" t="str">
        <f>IF($E21=0,"NA",ROUND(SUM(recreation_v2_6!L21,recreation_v2_7!L21,recreation_v2_8!L21,recreation_v2_9!L21,recreation_v2_10!L21)/COUNT(recreation_v2_6!L21,recreation_v2_7!L21,recreation_v2_8!L21,recreation_v2_9!L21,recreation_v2_10!L21),0))</f>
        <v>NA</v>
      </c>
      <c r="M21" t="str">
        <f>IF($E21=0, "NA", ROUND(SUM(recreation_v2_6!M21,recreation_v2_7!M21,recreation_v2_8!M21,recreation_v2_9!M21,recreation_v2_10!M21)/COUNT(recreation_v2_6!M21,recreation_v2_7!M21,recreation_v2_8!M21,recreation_v2_9!M21,recreation_v2_10!M21),0))</f>
        <v>NA</v>
      </c>
      <c r="N21" t="str">
        <f>IF($E21=0,"NA",ROUND(SUM(recreation_v2_6!N21,recreation_v2_7!N21,recreation_v2_8!N21,recreation_v2_9!N21,recreation_v2_10!N21)/COUNT(recreation_v2_6!N21,recreation_v2_7!N21,recreation_v2_8!N21,recreation_v2_9!N21,recreation_v2_10!N21),0))</f>
        <v>NA</v>
      </c>
      <c r="O21" t="str">
        <f>IF($E21=0, "NA", ROUND(SUM(recreation_v2_6!O21,recreation_v2_7!O21,recreation_v2_8!O21,recreation_v2_9!O21,recreation_v2_10!O21)/COUNT(recreation_v2_6!O21,recreation_v2_7!O21,recreation_v2_8!O21,recreation_v2_9!O21,recreation_v2_10!O21),0))</f>
        <v>NA</v>
      </c>
    </row>
    <row r="22" spans="1:15" x14ac:dyDescent="0.25">
      <c r="A22" t="s">
        <v>16</v>
      </c>
      <c r="B22" t="s">
        <v>51</v>
      </c>
      <c r="C22">
        <v>0</v>
      </c>
      <c r="D22">
        <v>9.5771338939666748</v>
      </c>
      <c r="E22">
        <f>ROUND(SUM(recreation_v2_6!E22,recreation_v2_7!E22,recreation_v2_8!E22,recreation_v2_9!E22,recreation_v2_10!E22)/COUNT(recreation_v2_6!E22,recreation_v2_7!E22,recreation_v2_8!E22,recreation_v2_9!E22,recreation_v2_10!E22),0)</f>
        <v>1</v>
      </c>
      <c r="F22">
        <f>IF($E22=0, "NA", ROUND(SUM(recreation_v2_6!F22,recreation_v2_7!F22,recreation_v2_8!F22,recreation_v2_9!F22,recreation_v2_10!F22)/COUNT(recreation_v2_6!F22,recreation_v2_7!F22,recreation_v2_8!F22,recreation_v2_9!F22,recreation_v2_10!F22),0))</f>
        <v>1</v>
      </c>
      <c r="G22">
        <f>IF($E22=0,"NA",ROUND(SUM(recreation_v2_6!G22,recreation_v2_7!G22,recreation_v2_8!G22,recreation_v2_9!G22,recreation_v2_10!G22)/COUNT(recreation_v2_6!G22,recreation_v2_7!G22,recreation_v2_8!G22,recreation_v2_9!G22,recreation_v2_10!G22),0))</f>
        <v>1</v>
      </c>
      <c r="H22">
        <f>IF(AND(F22=1, G22=1),ROUND(SUM(recreation_v2_6!H22,recreation_v2_7!H22,recreation_v2_8!H22,recreation_v2_9!H22,recreation_v2_10!H22)/COUNT(recreation_v2_6!H22,recreation_v2_7!H22,recreation_v2_8!H22,recreation_v2_9!H22,recreation_v2_10!H22),0),"NA")</f>
        <v>1</v>
      </c>
      <c r="I22">
        <f>IF($E22=0, "NA", ROUND(SUM(recreation_v2_6!I22,recreation_v2_7!I22,recreation_v2_8!I22,recreation_v2_9!I22,recreation_v2_10!I22)/COUNT(recreation_v2_6!I22,recreation_v2_7!I22,recreation_v2_8!I22,recreation_v2_9!I22,recreation_v2_10!I22),0))</f>
        <v>1</v>
      </c>
      <c r="J22">
        <f>IF(F22=1,ROUND(SUM(recreation_v2_6!J22,recreation_v2_7!J22,recreation_v2_8!J22,recreation_v2_9!J22,recreation_v2_10!J22)/COUNT(recreation_v2_6!J22,recreation_v2_7!J22,recreation_v2_8!J22,recreation_v2_9!J22,recreation_v2_10!J22),0),"NA")</f>
        <v>1</v>
      </c>
      <c r="K22">
        <f>IF($E22=0, "NA", ROUND(SUM(recreation_v2_6!K22,recreation_v2_7!K22,recreation_v2_8!K22,recreation_v2_9!K22,recreation_v2_10!K22)/COUNT(recreation_v2_6!K22,recreation_v2_7!K22,recreation_v2_8!K22,recreation_v2_9!K22,recreation_v2_10!K22),0))</f>
        <v>1</v>
      </c>
      <c r="L22">
        <f>IF($E22=0,"NA",ROUND(SUM(recreation_v2_6!L22,recreation_v2_7!L22,recreation_v2_8!L22,recreation_v2_9!L22,recreation_v2_10!L22)/COUNT(recreation_v2_6!L22,recreation_v2_7!L22,recreation_v2_8!L22,recreation_v2_9!L22,recreation_v2_10!L22),0))</f>
        <v>1</v>
      </c>
      <c r="M22">
        <f>IF($E22=0, "NA", ROUND(SUM(recreation_v2_6!M22,recreation_v2_7!M22,recreation_v2_8!M22,recreation_v2_9!M22,recreation_v2_10!M22)/COUNT(recreation_v2_6!M22,recreation_v2_7!M22,recreation_v2_8!M22,recreation_v2_9!M22,recreation_v2_10!M22),0))</f>
        <v>1</v>
      </c>
      <c r="N22">
        <f>IF($E22=0,"NA",ROUND(SUM(recreation_v2_6!N22,recreation_v2_7!N22,recreation_v2_8!N22,recreation_v2_9!N22,recreation_v2_10!N22)/COUNT(recreation_v2_6!N22,recreation_v2_7!N22,recreation_v2_8!N22,recreation_v2_9!N22,recreation_v2_10!N22),0))</f>
        <v>1</v>
      </c>
      <c r="O22">
        <f>IF($E22=0, "NA", ROUND(SUM(recreation_v2_6!O22,recreation_v2_7!O22,recreation_v2_8!O22,recreation_v2_9!O22,recreation_v2_10!O22)/COUNT(recreation_v2_6!O22,recreation_v2_7!O22,recreation_v2_8!O22,recreation_v2_9!O22,recreation_v2_10!O22),0))</f>
        <v>1</v>
      </c>
    </row>
    <row r="23" spans="1:15" x14ac:dyDescent="0.25">
      <c r="A23" t="s">
        <v>16</v>
      </c>
      <c r="B23" t="s">
        <v>52</v>
      </c>
      <c r="C23">
        <v>0</v>
      </c>
      <c r="D23">
        <v>11.48645114898682</v>
      </c>
      <c r="E23">
        <f>ROUND(SUM(recreation_v2_6!E23,recreation_v2_7!E23,recreation_v2_8!E23,recreation_v2_9!E23,recreation_v2_10!E23)/COUNT(recreation_v2_6!E23,recreation_v2_7!E23,recreation_v2_8!E23,recreation_v2_9!E23,recreation_v2_10!E23),0)</f>
        <v>1</v>
      </c>
      <c r="F23">
        <f>IF($E23=0, "NA", ROUND(SUM(recreation_v2_6!F23,recreation_v2_7!F23,recreation_v2_8!F23,recreation_v2_9!F23,recreation_v2_10!F23)/COUNT(recreation_v2_6!F23,recreation_v2_7!F23,recreation_v2_8!F23,recreation_v2_9!F23,recreation_v2_10!F23),0))</f>
        <v>0</v>
      </c>
      <c r="G23">
        <f>IF($E23=0,"NA",ROUND(SUM(recreation_v2_6!G23,recreation_v2_7!G23,recreation_v2_8!G23,recreation_v2_9!G23,recreation_v2_10!G23)/COUNT(recreation_v2_6!G23,recreation_v2_7!G23,recreation_v2_8!G23,recreation_v2_9!G23,recreation_v2_10!G23),0))</f>
        <v>1</v>
      </c>
      <c r="H23" t="str">
        <f>IF(AND(F23=1, G23=1),ROUND(SUM(recreation_v2_6!H23,recreation_v2_7!H23,recreation_v2_8!H23,recreation_v2_9!H23,recreation_v2_10!H23)/COUNT(recreation_v2_6!H23,recreation_v2_7!H23,recreation_v2_8!H23,recreation_v2_9!H23,recreation_v2_10!H23),0),"NA")</f>
        <v>NA</v>
      </c>
      <c r="I23">
        <f>IF($E23=0, "NA", ROUND(SUM(recreation_v2_6!I23,recreation_v2_7!I23,recreation_v2_8!I23,recreation_v2_9!I23,recreation_v2_10!I23)/COUNT(recreation_v2_6!I23,recreation_v2_7!I23,recreation_v2_8!I23,recreation_v2_9!I23,recreation_v2_10!I23),0))</f>
        <v>1</v>
      </c>
      <c r="J23" t="str">
        <f>IF(F23=1,ROUND(SUM(recreation_v2_6!J23,recreation_v2_7!J23,recreation_v2_8!J23,recreation_v2_9!J23,recreation_v2_10!J23)/COUNT(recreation_v2_6!J23,recreation_v2_7!J23,recreation_v2_8!J23,recreation_v2_9!J23,recreation_v2_10!J23),0),"NA")</f>
        <v>NA</v>
      </c>
      <c r="K23">
        <f>IF($E23=0, "NA", ROUND(SUM(recreation_v2_6!K23,recreation_v2_7!K23,recreation_v2_8!K23,recreation_v2_9!K23,recreation_v2_10!K23)/COUNT(recreation_v2_6!K23,recreation_v2_7!K23,recreation_v2_8!K23,recreation_v2_9!K23,recreation_v2_10!K23),0))</f>
        <v>1</v>
      </c>
      <c r="L23">
        <f>IF($E23=0,"NA",ROUND(SUM(recreation_v2_6!L23,recreation_v2_7!L23,recreation_v2_8!L23,recreation_v2_9!L23,recreation_v2_10!L23)/COUNT(recreation_v2_6!L23,recreation_v2_7!L23,recreation_v2_8!L23,recreation_v2_9!L23,recreation_v2_10!L23),0))</f>
        <v>1</v>
      </c>
      <c r="M23">
        <f>IF($E23=0, "NA", ROUND(SUM(recreation_v2_6!M23,recreation_v2_7!M23,recreation_v2_8!M23,recreation_v2_9!M23,recreation_v2_10!M23)/COUNT(recreation_v2_6!M23,recreation_v2_7!M23,recreation_v2_8!M23,recreation_v2_9!M23,recreation_v2_10!M23),0))</f>
        <v>1</v>
      </c>
      <c r="N23">
        <f>IF($E23=0,"NA",ROUND(SUM(recreation_v2_6!N23,recreation_v2_7!N23,recreation_v2_8!N23,recreation_v2_9!N23,recreation_v2_10!N23)/COUNT(recreation_v2_6!N23,recreation_v2_7!N23,recreation_v2_8!N23,recreation_v2_9!N23,recreation_v2_10!N23),0))</f>
        <v>1</v>
      </c>
      <c r="O23">
        <f>IF($E23=0, "NA", ROUND(SUM(recreation_v2_6!O23,recreation_v2_7!O23,recreation_v2_8!O23,recreation_v2_9!O23,recreation_v2_10!O23)/COUNT(recreation_v2_6!O23,recreation_v2_7!O23,recreation_v2_8!O23,recreation_v2_9!O23,recreation_v2_10!O23),0))</f>
        <v>1</v>
      </c>
    </row>
    <row r="24" spans="1:15" x14ac:dyDescent="0.25">
      <c r="A24" t="s">
        <v>16</v>
      </c>
      <c r="B24" t="s">
        <v>54</v>
      </c>
      <c r="C24">
        <v>0</v>
      </c>
      <c r="D24">
        <v>9.0407834053039551</v>
      </c>
      <c r="E24">
        <f>ROUND(SUM(recreation_v2_6!E24,recreation_v2_7!E24,recreation_v2_8!E24,recreation_v2_9!E24,recreation_v2_10!E24)/COUNT(recreation_v2_6!E24,recreation_v2_7!E24,recreation_v2_8!E24,recreation_v2_9!E24,recreation_v2_10!E24),0)</f>
        <v>0</v>
      </c>
      <c r="F24" t="str">
        <f>IF($E24=0, "NA", ROUND(SUM(recreation_v2_6!F24,recreation_v2_7!F24,recreation_v2_8!F24,recreation_v2_9!F24,recreation_v2_10!F24)/COUNT(recreation_v2_6!F24,recreation_v2_7!F24,recreation_v2_8!F24,recreation_v2_9!F24,recreation_v2_10!F24),0))</f>
        <v>NA</v>
      </c>
      <c r="G24" t="str">
        <f>IF($E24=0,"NA",ROUND(SUM(recreation_v2_6!G24,recreation_v2_7!G24,recreation_v2_8!G24,recreation_v2_9!G24,recreation_v2_10!G24)/COUNT(recreation_v2_6!G24,recreation_v2_7!G24,recreation_v2_8!G24,recreation_v2_9!G24,recreation_v2_10!G24),0))</f>
        <v>NA</v>
      </c>
      <c r="H24" t="str">
        <f>IF(AND(F24=1, G24=1),ROUND(SUM(recreation_v2_6!H24,recreation_v2_7!H24,recreation_v2_8!H24,recreation_v2_9!H24,recreation_v2_10!H24)/COUNT(recreation_v2_6!H24,recreation_v2_7!H24,recreation_v2_8!H24,recreation_v2_9!H24,recreation_v2_10!H24),0),"NA")</f>
        <v>NA</v>
      </c>
      <c r="I24" t="str">
        <f>IF($E24=0, "NA", ROUND(SUM(recreation_v2_6!I24,recreation_v2_7!I24,recreation_v2_8!I24,recreation_v2_9!I24,recreation_v2_10!I24)/COUNT(recreation_v2_6!I24,recreation_v2_7!I24,recreation_v2_8!I24,recreation_v2_9!I24,recreation_v2_10!I24),0))</f>
        <v>NA</v>
      </c>
      <c r="J24" t="str">
        <f>IF(F24=1,ROUND(SUM(recreation_v2_6!J24,recreation_v2_7!J24,recreation_v2_8!J24,recreation_v2_9!J24,recreation_v2_10!J24)/COUNT(recreation_v2_6!J24,recreation_v2_7!J24,recreation_v2_8!J24,recreation_v2_9!J24,recreation_v2_10!J24),0),"NA")</f>
        <v>NA</v>
      </c>
      <c r="K24" t="str">
        <f>IF($E24=0, "NA", ROUND(SUM(recreation_v2_6!K24,recreation_v2_7!K24,recreation_v2_8!K24,recreation_v2_9!K24,recreation_v2_10!K24)/COUNT(recreation_v2_6!K24,recreation_v2_7!K24,recreation_v2_8!K24,recreation_v2_9!K24,recreation_v2_10!K24),0))</f>
        <v>NA</v>
      </c>
      <c r="L24" t="str">
        <f>IF($E24=0,"NA",ROUND(SUM(recreation_v2_6!L24,recreation_v2_7!L24,recreation_v2_8!L24,recreation_v2_9!L24,recreation_v2_10!L24)/COUNT(recreation_v2_6!L24,recreation_v2_7!L24,recreation_v2_8!L24,recreation_v2_9!L24,recreation_v2_10!L24),0))</f>
        <v>NA</v>
      </c>
      <c r="M24" t="str">
        <f>IF($E24=0, "NA", ROUND(SUM(recreation_v2_6!M24,recreation_v2_7!M24,recreation_v2_8!M24,recreation_v2_9!M24,recreation_v2_10!M24)/COUNT(recreation_v2_6!M24,recreation_v2_7!M24,recreation_v2_8!M24,recreation_v2_9!M24,recreation_v2_10!M24),0))</f>
        <v>NA</v>
      </c>
      <c r="N24" t="str">
        <f>IF($E24=0,"NA",ROUND(SUM(recreation_v2_6!N24,recreation_v2_7!N24,recreation_v2_8!N24,recreation_v2_9!N24,recreation_v2_10!N24)/COUNT(recreation_v2_6!N24,recreation_v2_7!N24,recreation_v2_8!N24,recreation_v2_9!N24,recreation_v2_10!N24),0))</f>
        <v>NA</v>
      </c>
      <c r="O24" t="str">
        <f>IF($E24=0, "NA", ROUND(SUM(recreation_v2_6!O24,recreation_v2_7!O24,recreation_v2_8!O24,recreation_v2_9!O24,recreation_v2_10!O24)/COUNT(recreation_v2_6!O24,recreation_v2_7!O24,recreation_v2_8!O24,recreation_v2_9!O24,recreation_v2_10!O24),0))</f>
        <v>NA</v>
      </c>
    </row>
    <row r="25" spans="1:15" x14ac:dyDescent="0.25">
      <c r="A25" t="s">
        <v>16</v>
      </c>
      <c r="B25" t="s">
        <v>56</v>
      </c>
      <c r="C25">
        <v>0</v>
      </c>
      <c r="D25">
        <v>6.1641569137573242</v>
      </c>
      <c r="E25">
        <f>ROUND(SUM(recreation_v2_6!E25,recreation_v2_7!E25,recreation_v2_8!E25,recreation_v2_9!E25,recreation_v2_10!E25)/COUNT(recreation_v2_6!E25,recreation_v2_7!E25,recreation_v2_8!E25,recreation_v2_9!E25,recreation_v2_10!E25),0)</f>
        <v>1</v>
      </c>
      <c r="F25">
        <f>IF($E25=0, "NA", ROUND(SUM(recreation_v2_6!F25,recreation_v2_7!F25,recreation_v2_8!F25,recreation_v2_9!F25,recreation_v2_10!F25)/COUNT(recreation_v2_6!F25,recreation_v2_7!F25,recreation_v2_8!F25,recreation_v2_9!F25,recreation_v2_10!F25),0))</f>
        <v>1</v>
      </c>
      <c r="G25">
        <f>IF($E25=0,"NA",ROUND(SUM(recreation_v2_6!G25,recreation_v2_7!G25,recreation_v2_8!G25,recreation_v2_9!G25,recreation_v2_10!G25)/COUNT(recreation_v2_6!G25,recreation_v2_7!G25,recreation_v2_8!G25,recreation_v2_9!G25,recreation_v2_10!G25),0))</f>
        <v>1</v>
      </c>
      <c r="H25">
        <f>IF(AND(F25=1, G25=1),ROUND(SUM(recreation_v2_6!H25,recreation_v2_7!H25,recreation_v2_8!H25,recreation_v2_9!H25,recreation_v2_10!H25)/COUNT(recreation_v2_6!H25,recreation_v2_7!H25,recreation_v2_8!H25,recreation_v2_9!H25,recreation_v2_10!H25),0),"NA")</f>
        <v>1</v>
      </c>
      <c r="I25">
        <f>IF($E25=0, "NA", ROUND(SUM(recreation_v2_6!I25,recreation_v2_7!I25,recreation_v2_8!I25,recreation_v2_9!I25,recreation_v2_10!I25)/COUNT(recreation_v2_6!I25,recreation_v2_7!I25,recreation_v2_8!I25,recreation_v2_9!I25,recreation_v2_10!I25),0))</f>
        <v>1</v>
      </c>
      <c r="J25">
        <f>IF(F25=1,ROUND(SUM(recreation_v2_6!J25,recreation_v2_7!J25,recreation_v2_8!J25,recreation_v2_9!J25,recreation_v2_10!J25)/COUNT(recreation_v2_6!J25,recreation_v2_7!J25,recreation_v2_8!J25,recreation_v2_9!J25,recreation_v2_10!J25),0),"NA")</f>
        <v>0</v>
      </c>
      <c r="K25">
        <f>IF($E25=0, "NA", ROUND(SUM(recreation_v2_6!K25,recreation_v2_7!K25,recreation_v2_8!K25,recreation_v2_9!K25,recreation_v2_10!K25)/COUNT(recreation_v2_6!K25,recreation_v2_7!K25,recreation_v2_8!K25,recreation_v2_9!K25,recreation_v2_10!K25),0))</f>
        <v>1</v>
      </c>
      <c r="L25">
        <f>IF($E25=0,"NA",ROUND(SUM(recreation_v2_6!L25,recreation_v2_7!L25,recreation_v2_8!L25,recreation_v2_9!L25,recreation_v2_10!L25)/COUNT(recreation_v2_6!L25,recreation_v2_7!L25,recreation_v2_8!L25,recreation_v2_9!L25,recreation_v2_10!L25),0))</f>
        <v>1</v>
      </c>
      <c r="M25">
        <f>IF($E25=0, "NA", ROUND(SUM(recreation_v2_6!M25,recreation_v2_7!M25,recreation_v2_8!M25,recreation_v2_9!M25,recreation_v2_10!M25)/COUNT(recreation_v2_6!M25,recreation_v2_7!M25,recreation_v2_8!M25,recreation_v2_9!M25,recreation_v2_10!M25),0))</f>
        <v>1</v>
      </c>
      <c r="N25">
        <f>IF($E25=0,"NA",ROUND(SUM(recreation_v2_6!N25,recreation_v2_7!N25,recreation_v2_8!N25,recreation_v2_9!N25,recreation_v2_10!N25)/COUNT(recreation_v2_6!N25,recreation_v2_7!N25,recreation_v2_8!N25,recreation_v2_9!N25,recreation_v2_10!N25),0))</f>
        <v>1</v>
      </c>
      <c r="O25">
        <f>IF($E25=0, "NA", ROUND(SUM(recreation_v2_6!O25,recreation_v2_7!O25,recreation_v2_8!O25,recreation_v2_9!O25,recreation_v2_10!O25)/COUNT(recreation_v2_6!O25,recreation_v2_7!O25,recreation_v2_8!O25,recreation_v2_9!O25,recreation_v2_10!O25),0))</f>
        <v>1</v>
      </c>
    </row>
    <row r="26" spans="1:15" x14ac:dyDescent="0.25">
      <c r="A26" t="s">
        <v>16</v>
      </c>
      <c r="B26" t="s">
        <v>58</v>
      </c>
      <c r="C26">
        <v>0</v>
      </c>
      <c r="D26">
        <v>2.827497005462646</v>
      </c>
      <c r="E26">
        <f>ROUND(SUM(recreation_v2_6!E26,recreation_v2_7!E26,recreation_v2_8!E26,recreation_v2_9!E26,recreation_v2_10!E26)/COUNT(recreation_v2_6!E26,recreation_v2_7!E26,recreation_v2_8!E26,recreation_v2_9!E26,recreation_v2_10!E26),0)</f>
        <v>1</v>
      </c>
      <c r="F26">
        <f>IF($E26=0, "NA", ROUND(SUM(recreation_v2_6!F26,recreation_v2_7!F26,recreation_v2_8!F26,recreation_v2_9!F26,recreation_v2_10!F26)/COUNT(recreation_v2_6!F26,recreation_v2_7!F26,recreation_v2_8!F26,recreation_v2_9!F26,recreation_v2_10!F26),0))</f>
        <v>1</v>
      </c>
      <c r="G26">
        <f>IF($E26=0,"NA",ROUND(SUM(recreation_v2_6!G26,recreation_v2_7!G26,recreation_v2_8!G26,recreation_v2_9!G26,recreation_v2_10!G26)/COUNT(recreation_v2_6!G26,recreation_v2_7!G26,recreation_v2_8!G26,recreation_v2_9!G26,recreation_v2_10!G26),0))</f>
        <v>1</v>
      </c>
      <c r="H26">
        <f>IF(AND(F26=1, G26=1),ROUND(SUM(recreation_v2_6!H26,recreation_v2_7!H26,recreation_v2_8!H26,recreation_v2_9!H26,recreation_v2_10!H26)/COUNT(recreation_v2_6!H26,recreation_v2_7!H26,recreation_v2_8!H26,recreation_v2_9!H26,recreation_v2_10!H26),0),"NA")</f>
        <v>1</v>
      </c>
      <c r="I26">
        <f>IF($E26=0, "NA", ROUND(SUM(recreation_v2_6!I26,recreation_v2_7!I26,recreation_v2_8!I26,recreation_v2_9!I26,recreation_v2_10!I26)/COUNT(recreation_v2_6!I26,recreation_v2_7!I26,recreation_v2_8!I26,recreation_v2_9!I26,recreation_v2_10!I26),0))</f>
        <v>1</v>
      </c>
      <c r="J26">
        <f>IF(F26=1,ROUND(SUM(recreation_v2_6!J26,recreation_v2_7!J26,recreation_v2_8!J26,recreation_v2_9!J26,recreation_v2_10!J26)/COUNT(recreation_v2_6!J26,recreation_v2_7!J26,recreation_v2_8!J26,recreation_v2_9!J26,recreation_v2_10!J26),0),"NA")</f>
        <v>1</v>
      </c>
      <c r="K26">
        <f>IF($E26=0, "NA", ROUND(SUM(recreation_v2_6!K26,recreation_v2_7!K26,recreation_v2_8!K26,recreation_v2_9!K26,recreation_v2_10!K26)/COUNT(recreation_v2_6!K26,recreation_v2_7!K26,recreation_v2_8!K26,recreation_v2_9!K26,recreation_v2_10!K26),0))</f>
        <v>1</v>
      </c>
      <c r="L26">
        <f>IF($E26=0,"NA",ROUND(SUM(recreation_v2_6!L26,recreation_v2_7!L26,recreation_v2_8!L26,recreation_v2_9!L26,recreation_v2_10!L26)/COUNT(recreation_v2_6!L26,recreation_v2_7!L26,recreation_v2_8!L26,recreation_v2_9!L26,recreation_v2_10!L26),0))</f>
        <v>1</v>
      </c>
      <c r="M26">
        <f>IF($E26=0, "NA", ROUND(SUM(recreation_v2_6!M26,recreation_v2_7!M26,recreation_v2_8!M26,recreation_v2_9!M26,recreation_v2_10!M26)/COUNT(recreation_v2_6!M26,recreation_v2_7!M26,recreation_v2_8!M26,recreation_v2_9!M26,recreation_v2_10!M26),0))</f>
        <v>1</v>
      </c>
      <c r="N26">
        <f>IF($E26=0,"NA",ROUND(SUM(recreation_v2_6!N26,recreation_v2_7!N26,recreation_v2_8!N26,recreation_v2_9!N26,recreation_v2_10!N26)/COUNT(recreation_v2_6!N26,recreation_v2_7!N26,recreation_v2_8!N26,recreation_v2_9!N26,recreation_v2_10!N26),0))</f>
        <v>1</v>
      </c>
      <c r="O26">
        <f>IF($E26=0, "NA", ROUND(SUM(recreation_v2_6!O26,recreation_v2_7!O26,recreation_v2_8!O26,recreation_v2_9!O26,recreation_v2_10!O26)/COUNT(recreation_v2_6!O26,recreation_v2_7!O26,recreation_v2_8!O26,recreation_v2_9!O26,recreation_v2_10!O26),0))</f>
        <v>1</v>
      </c>
    </row>
    <row r="27" spans="1:15" x14ac:dyDescent="0.25">
      <c r="A27" t="s">
        <v>59</v>
      </c>
      <c r="B27" t="s">
        <v>17</v>
      </c>
      <c r="C27">
        <v>0</v>
      </c>
      <c r="D27">
        <v>10.66746997833252</v>
      </c>
      <c r="E27">
        <f>ROUND(SUM(recreation_v2_6!E27,recreation_v2_7!E27,recreation_v2_8!E27,recreation_v2_9!E27,recreation_v2_10!E27)/COUNT(recreation_v2_6!E27,recreation_v2_7!E27,recreation_v2_8!E27,recreation_v2_9!E27,recreation_v2_10!E27),0)</f>
        <v>1</v>
      </c>
      <c r="F27">
        <f>IF($E27=0, "NA", ROUND(SUM(recreation_v2_6!F27,recreation_v2_7!F27,recreation_v2_8!F27,recreation_v2_9!F27,recreation_v2_10!F27)/COUNT(recreation_v2_6!F27,recreation_v2_7!F27,recreation_v2_8!F27,recreation_v2_9!F27,recreation_v2_10!F27),0))</f>
        <v>0</v>
      </c>
      <c r="G27">
        <f>IF($E27=0,"NA",ROUND(SUM(recreation_v2_6!G27,recreation_v2_7!G27,recreation_v2_8!G27,recreation_v2_9!G27,recreation_v2_10!G27)/COUNT(recreation_v2_6!G27,recreation_v2_7!G27,recreation_v2_8!G27,recreation_v2_9!G27,recreation_v2_10!G27),0))</f>
        <v>1</v>
      </c>
      <c r="H27" t="str">
        <f>IF(AND(F27=1, G27=1),ROUND(SUM(recreation_v2_6!H27,recreation_v2_7!H27,recreation_v2_8!H27,recreation_v2_9!H27,recreation_v2_10!H27)/COUNT(recreation_v2_6!H27,recreation_v2_7!H27,recreation_v2_8!H27,recreation_v2_9!H27,recreation_v2_10!H27),0),"NA")</f>
        <v>NA</v>
      </c>
      <c r="I27">
        <f>IF($E27=0, "NA", ROUND(SUM(recreation_v2_6!I27,recreation_v2_7!I27,recreation_v2_8!I27,recreation_v2_9!I27,recreation_v2_10!I27)/COUNT(recreation_v2_6!I27,recreation_v2_7!I27,recreation_v2_8!I27,recreation_v2_9!I27,recreation_v2_10!I27),0))</f>
        <v>1</v>
      </c>
      <c r="J27" t="str">
        <f>IF(F27=1,ROUND(SUM(recreation_v2_6!J27,recreation_v2_7!J27,recreation_v2_8!J27,recreation_v2_9!J27,recreation_v2_10!J27)/COUNT(recreation_v2_6!J27,recreation_v2_7!J27,recreation_v2_8!J27,recreation_v2_9!J27,recreation_v2_10!J27),0),"NA")</f>
        <v>NA</v>
      </c>
      <c r="K27">
        <f>IF($E27=0, "NA", ROUND(SUM(recreation_v2_6!K27,recreation_v2_7!K27,recreation_v2_8!K27,recreation_v2_9!K27,recreation_v2_10!K27)/COUNT(recreation_v2_6!K27,recreation_v2_7!K27,recreation_v2_8!K27,recreation_v2_9!K27,recreation_v2_10!K27),0))</f>
        <v>1</v>
      </c>
      <c r="L27">
        <f>IF($E27=0,"NA",ROUND(SUM(recreation_v2_6!L27,recreation_v2_7!L27,recreation_v2_8!L27,recreation_v2_9!L27,recreation_v2_10!L27)/COUNT(recreation_v2_6!L27,recreation_v2_7!L27,recreation_v2_8!L27,recreation_v2_9!L27,recreation_v2_10!L27),0))</f>
        <v>1</v>
      </c>
      <c r="M27">
        <f>IF($E27=0, "NA", ROUND(SUM(recreation_v2_6!M27,recreation_v2_7!M27,recreation_v2_8!M27,recreation_v2_9!M27,recreation_v2_10!M27)/COUNT(recreation_v2_6!M27,recreation_v2_7!M27,recreation_v2_8!M27,recreation_v2_9!M27,recreation_v2_10!M27),0))</f>
        <v>1</v>
      </c>
      <c r="N27">
        <f>IF($E27=0,"NA",ROUND(SUM(recreation_v2_6!N27,recreation_v2_7!N27,recreation_v2_8!N27,recreation_v2_9!N27,recreation_v2_10!N27)/COUNT(recreation_v2_6!N27,recreation_v2_7!N27,recreation_v2_8!N27,recreation_v2_9!N27,recreation_v2_10!N27),0))</f>
        <v>1</v>
      </c>
      <c r="O27">
        <f>IF($E27=0, "NA", ROUND(SUM(recreation_v2_6!O27,recreation_v2_7!O27,recreation_v2_8!O27,recreation_v2_9!O27,recreation_v2_10!O27)/COUNT(recreation_v2_6!O27,recreation_v2_7!O27,recreation_v2_8!O27,recreation_v2_9!O27,recreation_v2_10!O27),0))</f>
        <v>1</v>
      </c>
    </row>
    <row r="28" spans="1:15" x14ac:dyDescent="0.25">
      <c r="A28" t="s">
        <v>59</v>
      </c>
      <c r="B28" t="s">
        <v>19</v>
      </c>
      <c r="C28">
        <v>0</v>
      </c>
      <c r="D28">
        <v>8.6111702919006348</v>
      </c>
      <c r="E28">
        <f>ROUND(SUM(recreation_v2_6!E28,recreation_v2_7!E28,recreation_v2_8!E28,recreation_v2_9!E28,recreation_v2_10!E28)/COUNT(recreation_v2_6!E28,recreation_v2_7!E28,recreation_v2_8!E28,recreation_v2_9!E28,recreation_v2_10!E28),0)</f>
        <v>1</v>
      </c>
      <c r="F28">
        <f>IF($E28=0, "NA", ROUND(SUM(recreation_v2_6!F28,recreation_v2_7!F28,recreation_v2_8!F28,recreation_v2_9!F28,recreation_v2_10!F28)/COUNT(recreation_v2_6!F28,recreation_v2_7!F28,recreation_v2_8!F28,recreation_v2_9!F28,recreation_v2_10!F28),0))</f>
        <v>1</v>
      </c>
      <c r="G28">
        <f>IF($E28=0,"NA",ROUND(SUM(recreation_v2_6!G28,recreation_v2_7!G28,recreation_v2_8!G28,recreation_v2_9!G28,recreation_v2_10!G28)/COUNT(recreation_v2_6!G28,recreation_v2_7!G28,recreation_v2_8!G28,recreation_v2_9!G28,recreation_v2_10!G28),0))</f>
        <v>1</v>
      </c>
      <c r="H28">
        <f>IF(AND(F28=1, G28=1),ROUND(SUM(recreation_v2_6!H28,recreation_v2_7!H28,recreation_v2_8!H28,recreation_v2_9!H28,recreation_v2_10!H28)/COUNT(recreation_v2_6!H28,recreation_v2_7!H28,recreation_v2_8!H28,recreation_v2_9!H28,recreation_v2_10!H28),0),"NA")</f>
        <v>1</v>
      </c>
      <c r="I28">
        <f>IF($E28=0, "NA", ROUND(SUM(recreation_v2_6!I28,recreation_v2_7!I28,recreation_v2_8!I28,recreation_v2_9!I28,recreation_v2_10!I28)/COUNT(recreation_v2_6!I28,recreation_v2_7!I28,recreation_v2_8!I28,recreation_v2_9!I28,recreation_v2_10!I28),0))</f>
        <v>1</v>
      </c>
      <c r="J28">
        <f>IF(F28=1,ROUND(SUM(recreation_v2_6!J28,recreation_v2_7!J28,recreation_v2_8!J28,recreation_v2_9!J28,recreation_v2_10!J28)/COUNT(recreation_v2_6!J28,recreation_v2_7!J28,recreation_v2_8!J28,recreation_v2_9!J28,recreation_v2_10!J28),0),"NA")</f>
        <v>1</v>
      </c>
      <c r="K28">
        <f>IF($E28=0, "NA", ROUND(SUM(recreation_v2_6!K28,recreation_v2_7!K28,recreation_v2_8!K28,recreation_v2_9!K28,recreation_v2_10!K28)/COUNT(recreation_v2_6!K28,recreation_v2_7!K28,recreation_v2_8!K28,recreation_v2_9!K28,recreation_v2_10!K28),0))</f>
        <v>1</v>
      </c>
      <c r="L28">
        <f>IF($E28=0,"NA",ROUND(SUM(recreation_v2_6!L28,recreation_v2_7!L28,recreation_v2_8!L28,recreation_v2_9!L28,recreation_v2_10!L28)/COUNT(recreation_v2_6!L28,recreation_v2_7!L28,recreation_v2_8!L28,recreation_v2_9!L28,recreation_v2_10!L28),0))</f>
        <v>1</v>
      </c>
      <c r="M28">
        <f>IF($E28=0, "NA", ROUND(SUM(recreation_v2_6!M28,recreation_v2_7!M28,recreation_v2_8!M28,recreation_v2_9!M28,recreation_v2_10!M28)/COUNT(recreation_v2_6!M28,recreation_v2_7!M28,recreation_v2_8!M28,recreation_v2_9!M28,recreation_v2_10!M28),0))</f>
        <v>1</v>
      </c>
      <c r="N28">
        <f>IF($E28=0,"NA",ROUND(SUM(recreation_v2_6!N28,recreation_v2_7!N28,recreation_v2_8!N28,recreation_v2_9!N28,recreation_v2_10!N28)/COUNT(recreation_v2_6!N28,recreation_v2_7!N28,recreation_v2_8!N28,recreation_v2_9!N28,recreation_v2_10!N28),0))</f>
        <v>1</v>
      </c>
      <c r="O28">
        <f>IF($E28=0, "NA", ROUND(SUM(recreation_v2_6!O28,recreation_v2_7!O28,recreation_v2_8!O28,recreation_v2_9!O28,recreation_v2_10!O28)/COUNT(recreation_v2_6!O28,recreation_v2_7!O28,recreation_v2_8!O28,recreation_v2_9!O28,recreation_v2_10!O28),0))</f>
        <v>1</v>
      </c>
    </row>
    <row r="29" spans="1:15" x14ac:dyDescent="0.25">
      <c r="A29" t="s">
        <v>59</v>
      </c>
      <c r="B29" t="s">
        <v>22</v>
      </c>
      <c r="C29">
        <v>0</v>
      </c>
      <c r="D29">
        <v>7.1908156871795654</v>
      </c>
      <c r="E29">
        <f>ROUND(SUM(recreation_v2_6!E29,recreation_v2_7!E29,recreation_v2_8!E29,recreation_v2_9!E29,recreation_v2_10!E29)/COUNT(recreation_v2_6!E29,recreation_v2_7!E29,recreation_v2_8!E29,recreation_v2_9!E29,recreation_v2_10!E29),0)</f>
        <v>1</v>
      </c>
      <c r="F29">
        <f>IF($E29=0, "NA", ROUND(SUM(recreation_v2_6!F29,recreation_v2_7!F29,recreation_v2_8!F29,recreation_v2_9!F29,recreation_v2_10!F29)/COUNT(recreation_v2_6!F29,recreation_v2_7!F29,recreation_v2_8!F29,recreation_v2_9!F29,recreation_v2_10!F29),0))</f>
        <v>1</v>
      </c>
      <c r="G29">
        <f>IF($E29=0,"NA",ROUND(SUM(recreation_v2_6!G29,recreation_v2_7!G29,recreation_v2_8!G29,recreation_v2_9!G29,recreation_v2_10!G29)/COUNT(recreation_v2_6!G29,recreation_v2_7!G29,recreation_v2_8!G29,recreation_v2_9!G29,recreation_v2_10!G29),0))</f>
        <v>1</v>
      </c>
      <c r="H29">
        <f>IF(AND(F29=1, G29=1),ROUND(SUM(recreation_v2_6!H29,recreation_v2_7!H29,recreation_v2_8!H29,recreation_v2_9!H29,recreation_v2_10!H29)/COUNT(recreation_v2_6!H29,recreation_v2_7!H29,recreation_v2_8!H29,recreation_v2_9!H29,recreation_v2_10!H29),0),"NA")</f>
        <v>1</v>
      </c>
      <c r="I29">
        <f>IF($E29=0, "NA", ROUND(SUM(recreation_v2_6!I29,recreation_v2_7!I29,recreation_v2_8!I29,recreation_v2_9!I29,recreation_v2_10!I29)/COUNT(recreation_v2_6!I29,recreation_v2_7!I29,recreation_v2_8!I29,recreation_v2_9!I29,recreation_v2_10!I29),0))</f>
        <v>1</v>
      </c>
      <c r="J29">
        <f>IF(F29=1,ROUND(SUM(recreation_v2_6!J29,recreation_v2_7!J29,recreation_v2_8!J29,recreation_v2_9!J29,recreation_v2_10!J29)/COUNT(recreation_v2_6!J29,recreation_v2_7!J29,recreation_v2_8!J29,recreation_v2_9!J29,recreation_v2_10!J29),0),"NA")</f>
        <v>1</v>
      </c>
      <c r="K29">
        <f>IF($E29=0, "NA", ROUND(SUM(recreation_v2_6!K29,recreation_v2_7!K29,recreation_v2_8!K29,recreation_v2_9!K29,recreation_v2_10!K29)/COUNT(recreation_v2_6!K29,recreation_v2_7!K29,recreation_v2_8!K29,recreation_v2_9!K29,recreation_v2_10!K29),0))</f>
        <v>0</v>
      </c>
      <c r="L29">
        <f>IF($E29=0,"NA",ROUND(SUM(recreation_v2_6!L29,recreation_v2_7!L29,recreation_v2_8!L29,recreation_v2_9!L29,recreation_v2_10!L29)/COUNT(recreation_v2_6!L29,recreation_v2_7!L29,recreation_v2_8!L29,recreation_v2_9!L29,recreation_v2_10!L29),0))</f>
        <v>1</v>
      </c>
      <c r="M29">
        <f>IF($E29=0, "NA", ROUND(SUM(recreation_v2_6!M29,recreation_v2_7!M29,recreation_v2_8!M29,recreation_v2_9!M29,recreation_v2_10!M29)/COUNT(recreation_v2_6!M29,recreation_v2_7!M29,recreation_v2_8!M29,recreation_v2_9!M29,recreation_v2_10!M29),0))</f>
        <v>1</v>
      </c>
      <c r="N29">
        <f>IF($E29=0,"NA",ROUND(SUM(recreation_v2_6!N29,recreation_v2_7!N29,recreation_v2_8!N29,recreation_v2_9!N29,recreation_v2_10!N29)/COUNT(recreation_v2_6!N29,recreation_v2_7!N29,recreation_v2_8!N29,recreation_v2_9!N29,recreation_v2_10!N29),0))</f>
        <v>1</v>
      </c>
      <c r="O29">
        <f>IF($E29=0, "NA", ROUND(SUM(recreation_v2_6!O29,recreation_v2_7!O29,recreation_v2_8!O29,recreation_v2_9!O29,recreation_v2_10!O29)/COUNT(recreation_v2_6!O29,recreation_v2_7!O29,recreation_v2_8!O29,recreation_v2_9!O29,recreation_v2_10!O29),0))</f>
        <v>1</v>
      </c>
    </row>
    <row r="30" spans="1:15" x14ac:dyDescent="0.25">
      <c r="A30" t="s">
        <v>59</v>
      </c>
      <c r="B30" t="s">
        <v>24</v>
      </c>
      <c r="C30">
        <v>0</v>
      </c>
      <c r="D30">
        <v>11.29082584381104</v>
      </c>
      <c r="E30">
        <f>ROUND(SUM(recreation_v2_6!E30,recreation_v2_7!E30,recreation_v2_8!E30,recreation_v2_9!E30,recreation_v2_10!E30)/COUNT(recreation_v2_6!E30,recreation_v2_7!E30,recreation_v2_8!E30,recreation_v2_9!E30,recreation_v2_10!E30),0)</f>
        <v>1</v>
      </c>
      <c r="F30">
        <f>IF($E30=0, "NA", ROUND(SUM(recreation_v2_6!F30,recreation_v2_7!F30,recreation_v2_8!F30,recreation_v2_9!F30,recreation_v2_10!F30)/COUNT(recreation_v2_6!F30,recreation_v2_7!F30,recreation_v2_8!F30,recreation_v2_9!F30,recreation_v2_10!F30),0))</f>
        <v>1</v>
      </c>
      <c r="G30">
        <f>IF($E30=0,"NA",ROUND(SUM(recreation_v2_6!G30,recreation_v2_7!G30,recreation_v2_8!G30,recreation_v2_9!G30,recreation_v2_10!G30)/COUNT(recreation_v2_6!G30,recreation_v2_7!G30,recreation_v2_8!G30,recreation_v2_9!G30,recreation_v2_10!G30),0))</f>
        <v>1</v>
      </c>
      <c r="H30">
        <f>IF(AND(F30=1, G30=1),ROUND(SUM(recreation_v2_6!H30,recreation_v2_7!H30,recreation_v2_8!H30,recreation_v2_9!H30,recreation_v2_10!H30)/COUNT(recreation_v2_6!H30,recreation_v2_7!H30,recreation_v2_8!H30,recreation_v2_9!H30,recreation_v2_10!H30),0),"NA")</f>
        <v>1</v>
      </c>
      <c r="I30">
        <f>IF($E30=0, "NA", ROUND(SUM(recreation_v2_6!I30,recreation_v2_7!I30,recreation_v2_8!I30,recreation_v2_9!I30,recreation_v2_10!I30)/COUNT(recreation_v2_6!I30,recreation_v2_7!I30,recreation_v2_8!I30,recreation_v2_9!I30,recreation_v2_10!I30),0))</f>
        <v>1</v>
      </c>
      <c r="J30">
        <f>IF(F30=1,ROUND(SUM(recreation_v2_6!J30,recreation_v2_7!J30,recreation_v2_8!J30,recreation_v2_9!J30,recreation_v2_10!J30)/COUNT(recreation_v2_6!J30,recreation_v2_7!J30,recreation_v2_8!J30,recreation_v2_9!J30,recreation_v2_10!J30),0),"NA")</f>
        <v>0</v>
      </c>
      <c r="K30">
        <f>IF($E30=0, "NA", ROUND(SUM(recreation_v2_6!K30,recreation_v2_7!K30,recreation_v2_8!K30,recreation_v2_9!K30,recreation_v2_10!K30)/COUNT(recreation_v2_6!K30,recreation_v2_7!K30,recreation_v2_8!K30,recreation_v2_9!K30,recreation_v2_10!K30),0))</f>
        <v>1</v>
      </c>
      <c r="L30">
        <f>IF($E30=0,"NA",ROUND(SUM(recreation_v2_6!L30,recreation_v2_7!L30,recreation_v2_8!L30,recreation_v2_9!L30,recreation_v2_10!L30)/COUNT(recreation_v2_6!L30,recreation_v2_7!L30,recreation_v2_8!L30,recreation_v2_9!L30,recreation_v2_10!L30),0))</f>
        <v>1</v>
      </c>
      <c r="M30">
        <f>IF($E30=0, "NA", ROUND(SUM(recreation_v2_6!M30,recreation_v2_7!M30,recreation_v2_8!M30,recreation_v2_9!M30,recreation_v2_10!M30)/COUNT(recreation_v2_6!M30,recreation_v2_7!M30,recreation_v2_8!M30,recreation_v2_9!M30,recreation_v2_10!M30),0))</f>
        <v>1</v>
      </c>
      <c r="N30">
        <f>IF($E30=0,"NA",ROUND(SUM(recreation_v2_6!N30,recreation_v2_7!N30,recreation_v2_8!N30,recreation_v2_9!N30,recreation_v2_10!N30)/COUNT(recreation_v2_6!N30,recreation_v2_7!N30,recreation_v2_8!N30,recreation_v2_9!N30,recreation_v2_10!N30),0))</f>
        <v>1</v>
      </c>
      <c r="O30">
        <f>IF($E30=0, "NA", ROUND(SUM(recreation_v2_6!O30,recreation_v2_7!O30,recreation_v2_8!O30,recreation_v2_9!O30,recreation_v2_10!O30)/COUNT(recreation_v2_6!O30,recreation_v2_7!O30,recreation_v2_8!O30,recreation_v2_9!O30,recreation_v2_10!O30),0))</f>
        <v>1</v>
      </c>
    </row>
    <row r="31" spans="1:15" x14ac:dyDescent="0.25">
      <c r="A31" t="s">
        <v>59</v>
      </c>
      <c r="B31" t="s">
        <v>25</v>
      </c>
      <c r="C31">
        <v>0</v>
      </c>
      <c r="D31">
        <v>10.489296913146971</v>
      </c>
      <c r="E31">
        <f>ROUND(SUM(recreation_v2_6!E31,recreation_v2_7!E31,recreation_v2_8!E31,recreation_v2_9!E31,recreation_v2_10!E31)/COUNT(recreation_v2_6!E31,recreation_v2_7!E31,recreation_v2_8!E31,recreation_v2_9!E31,recreation_v2_10!E31),0)</f>
        <v>1</v>
      </c>
      <c r="F31">
        <f>IF($E31=0, "NA", ROUND(SUM(recreation_v2_6!F31,recreation_v2_7!F31,recreation_v2_8!F31,recreation_v2_9!F31,recreation_v2_10!F31)/COUNT(recreation_v2_6!F31,recreation_v2_7!F31,recreation_v2_8!F31,recreation_v2_9!F31,recreation_v2_10!F31),0))</f>
        <v>1</v>
      </c>
      <c r="G31">
        <f>IF($E31=0,"NA",ROUND(SUM(recreation_v2_6!G31,recreation_v2_7!G31,recreation_v2_8!G31,recreation_v2_9!G31,recreation_v2_10!G31)/COUNT(recreation_v2_6!G31,recreation_v2_7!G31,recreation_v2_8!G31,recreation_v2_9!G31,recreation_v2_10!G31),0))</f>
        <v>1</v>
      </c>
      <c r="H31">
        <f>IF(AND(F31=1, G31=1),ROUND(SUM(recreation_v2_6!H31,recreation_v2_7!H31,recreation_v2_8!H31,recreation_v2_9!H31,recreation_v2_10!H31)/COUNT(recreation_v2_6!H31,recreation_v2_7!H31,recreation_v2_8!H31,recreation_v2_9!H31,recreation_v2_10!H31),0),"NA")</f>
        <v>1</v>
      </c>
      <c r="I31">
        <f>IF($E31=0, "NA", ROUND(SUM(recreation_v2_6!I31,recreation_v2_7!I31,recreation_v2_8!I31,recreation_v2_9!I31,recreation_v2_10!I31)/COUNT(recreation_v2_6!I31,recreation_v2_7!I31,recreation_v2_8!I31,recreation_v2_9!I31,recreation_v2_10!I31),0))</f>
        <v>1</v>
      </c>
      <c r="J31">
        <f>IF(F31=1,ROUND(SUM(recreation_v2_6!J31,recreation_v2_7!J31,recreation_v2_8!J31,recreation_v2_9!J31,recreation_v2_10!J31)/COUNT(recreation_v2_6!J31,recreation_v2_7!J31,recreation_v2_8!J31,recreation_v2_9!J31,recreation_v2_10!J31),0),"NA")</f>
        <v>1</v>
      </c>
      <c r="K31">
        <f>IF($E31=0, "NA", ROUND(SUM(recreation_v2_6!K31,recreation_v2_7!K31,recreation_v2_8!K31,recreation_v2_9!K31,recreation_v2_10!K31)/COUNT(recreation_v2_6!K31,recreation_v2_7!K31,recreation_v2_8!K31,recreation_v2_9!K31,recreation_v2_10!K31),0))</f>
        <v>1</v>
      </c>
      <c r="L31">
        <f>IF($E31=0,"NA",ROUND(SUM(recreation_v2_6!L31,recreation_v2_7!L31,recreation_v2_8!L31,recreation_v2_9!L31,recreation_v2_10!L31)/COUNT(recreation_v2_6!L31,recreation_v2_7!L31,recreation_v2_8!L31,recreation_v2_9!L31,recreation_v2_10!L31),0))</f>
        <v>1</v>
      </c>
      <c r="M31">
        <f>IF($E31=0, "NA", ROUND(SUM(recreation_v2_6!M31,recreation_v2_7!M31,recreation_v2_8!M31,recreation_v2_9!M31,recreation_v2_10!M31)/COUNT(recreation_v2_6!M31,recreation_v2_7!M31,recreation_v2_8!M31,recreation_v2_9!M31,recreation_v2_10!M31),0))</f>
        <v>1</v>
      </c>
      <c r="N31">
        <f>IF($E31=0,"NA",ROUND(SUM(recreation_v2_6!N31,recreation_v2_7!N31,recreation_v2_8!N31,recreation_v2_9!N31,recreation_v2_10!N31)/COUNT(recreation_v2_6!N31,recreation_v2_7!N31,recreation_v2_8!N31,recreation_v2_9!N31,recreation_v2_10!N31),0))</f>
        <v>1</v>
      </c>
      <c r="O31">
        <f>IF($E31=0, "NA", ROUND(SUM(recreation_v2_6!O31,recreation_v2_7!O31,recreation_v2_8!O31,recreation_v2_9!O31,recreation_v2_10!O31)/COUNT(recreation_v2_6!O31,recreation_v2_7!O31,recreation_v2_8!O31,recreation_v2_9!O31,recreation_v2_10!O31),0))</f>
        <v>1</v>
      </c>
    </row>
    <row r="32" spans="1:15" x14ac:dyDescent="0.25">
      <c r="A32" t="s">
        <v>59</v>
      </c>
      <c r="B32" t="s">
        <v>26</v>
      </c>
      <c r="C32">
        <v>0</v>
      </c>
      <c r="D32">
        <v>10.564195394515989</v>
      </c>
      <c r="E32">
        <f>ROUND(SUM(recreation_v2_6!E32,recreation_v2_7!E32,recreation_v2_8!E32,recreation_v2_9!E32,recreation_v2_10!E32)/COUNT(recreation_v2_6!E32,recreation_v2_7!E32,recreation_v2_8!E32,recreation_v2_9!E32,recreation_v2_10!E32),0)</f>
        <v>1</v>
      </c>
      <c r="F32">
        <f>IF($E32=0, "NA", ROUND(SUM(recreation_v2_6!F32,recreation_v2_7!F32,recreation_v2_8!F32,recreation_v2_9!F32,recreation_v2_10!F32)/COUNT(recreation_v2_6!F32,recreation_v2_7!F32,recreation_v2_8!F32,recreation_v2_9!F32,recreation_v2_10!F32),0))</f>
        <v>1</v>
      </c>
      <c r="G32">
        <f>IF($E32=0,"NA",ROUND(SUM(recreation_v2_6!G32,recreation_v2_7!G32,recreation_v2_8!G32,recreation_v2_9!G32,recreation_v2_10!G32)/COUNT(recreation_v2_6!G32,recreation_v2_7!G32,recreation_v2_8!G32,recreation_v2_9!G32,recreation_v2_10!G32),0))</f>
        <v>1</v>
      </c>
      <c r="H32">
        <f>IF(AND(F32=1, G32=1),ROUND(SUM(recreation_v2_6!H32,recreation_v2_7!H32,recreation_v2_8!H32,recreation_v2_9!H32,recreation_v2_10!H32)/COUNT(recreation_v2_6!H32,recreation_v2_7!H32,recreation_v2_8!H32,recreation_v2_9!H32,recreation_v2_10!H32),0),"NA")</f>
        <v>1</v>
      </c>
      <c r="I32">
        <f>IF($E32=0, "NA", ROUND(SUM(recreation_v2_6!I32,recreation_v2_7!I32,recreation_v2_8!I32,recreation_v2_9!I32,recreation_v2_10!I32)/COUNT(recreation_v2_6!I32,recreation_v2_7!I32,recreation_v2_8!I32,recreation_v2_9!I32,recreation_v2_10!I32),0))</f>
        <v>1</v>
      </c>
      <c r="J32">
        <f>IF(F32=1,ROUND(SUM(recreation_v2_6!J32,recreation_v2_7!J32,recreation_v2_8!J32,recreation_v2_9!J32,recreation_v2_10!J32)/COUNT(recreation_v2_6!J32,recreation_v2_7!J32,recreation_v2_8!J32,recreation_v2_9!J32,recreation_v2_10!J32),0),"NA")</f>
        <v>1</v>
      </c>
      <c r="K32">
        <f>IF($E32=0, "NA", ROUND(SUM(recreation_v2_6!K32,recreation_v2_7!K32,recreation_v2_8!K32,recreation_v2_9!K32,recreation_v2_10!K32)/COUNT(recreation_v2_6!K32,recreation_v2_7!K32,recreation_v2_8!K32,recreation_v2_9!K32,recreation_v2_10!K32),0))</f>
        <v>1</v>
      </c>
      <c r="L32">
        <f>IF($E32=0,"NA",ROUND(SUM(recreation_v2_6!L32,recreation_v2_7!L32,recreation_v2_8!L32,recreation_v2_9!L32,recreation_v2_10!L32)/COUNT(recreation_v2_6!L32,recreation_v2_7!L32,recreation_v2_8!L32,recreation_v2_9!L32,recreation_v2_10!L32),0))</f>
        <v>1</v>
      </c>
      <c r="M32">
        <f>IF($E32=0, "NA", ROUND(SUM(recreation_v2_6!M32,recreation_v2_7!M32,recreation_v2_8!M32,recreation_v2_9!M32,recreation_v2_10!M32)/COUNT(recreation_v2_6!M32,recreation_v2_7!M32,recreation_v2_8!M32,recreation_v2_9!M32,recreation_v2_10!M32),0))</f>
        <v>1</v>
      </c>
      <c r="N32">
        <f>IF($E32=0,"NA",ROUND(SUM(recreation_v2_6!N32,recreation_v2_7!N32,recreation_v2_8!N32,recreation_v2_9!N32,recreation_v2_10!N32)/COUNT(recreation_v2_6!N32,recreation_v2_7!N32,recreation_v2_8!N32,recreation_v2_9!N32,recreation_v2_10!N32),0))</f>
        <v>1</v>
      </c>
      <c r="O32">
        <f>IF($E32=0, "NA", ROUND(SUM(recreation_v2_6!O32,recreation_v2_7!O32,recreation_v2_8!O32,recreation_v2_9!O32,recreation_v2_10!O32)/COUNT(recreation_v2_6!O32,recreation_v2_7!O32,recreation_v2_8!O32,recreation_v2_9!O32,recreation_v2_10!O32),0))</f>
        <v>1</v>
      </c>
    </row>
    <row r="33" spans="1:15" x14ac:dyDescent="0.25">
      <c r="A33" t="s">
        <v>59</v>
      </c>
      <c r="B33" t="s">
        <v>27</v>
      </c>
      <c r="C33">
        <v>0</v>
      </c>
      <c r="D33">
        <v>13.254077196121219</v>
      </c>
      <c r="E33">
        <f>ROUND(SUM(recreation_v2_6!E33,recreation_v2_7!E33,recreation_v2_8!E33,recreation_v2_9!E33,recreation_v2_10!E33)/COUNT(recreation_v2_6!E33,recreation_v2_7!E33,recreation_v2_8!E33,recreation_v2_9!E33,recreation_v2_10!E33),0)</f>
        <v>1</v>
      </c>
      <c r="F33">
        <f>IF($E33=0, "NA", ROUND(SUM(recreation_v2_6!F33,recreation_v2_7!F33,recreation_v2_8!F33,recreation_v2_9!F33,recreation_v2_10!F33)/COUNT(recreation_v2_6!F33,recreation_v2_7!F33,recreation_v2_8!F33,recreation_v2_9!F33,recreation_v2_10!F33),0))</f>
        <v>1</v>
      </c>
      <c r="G33">
        <f>IF($E33=0,"NA",ROUND(SUM(recreation_v2_6!G33,recreation_v2_7!G33,recreation_v2_8!G33,recreation_v2_9!G33,recreation_v2_10!G33)/COUNT(recreation_v2_6!G33,recreation_v2_7!G33,recreation_v2_8!G33,recreation_v2_9!G33,recreation_v2_10!G33),0))</f>
        <v>1</v>
      </c>
      <c r="H33">
        <f>IF(AND(F33=1, G33=1),ROUND(SUM(recreation_v2_6!H33,recreation_v2_7!H33,recreation_v2_8!H33,recreation_v2_9!H33,recreation_v2_10!H33)/COUNT(recreation_v2_6!H33,recreation_v2_7!H33,recreation_v2_8!H33,recreation_v2_9!H33,recreation_v2_10!H33),0),"NA")</f>
        <v>1</v>
      </c>
      <c r="I33">
        <f>IF($E33=0, "NA", ROUND(SUM(recreation_v2_6!I33,recreation_v2_7!I33,recreation_v2_8!I33,recreation_v2_9!I33,recreation_v2_10!I33)/COUNT(recreation_v2_6!I33,recreation_v2_7!I33,recreation_v2_8!I33,recreation_v2_9!I33,recreation_v2_10!I33),0))</f>
        <v>1</v>
      </c>
      <c r="J33">
        <f>IF(F33=1,ROUND(SUM(recreation_v2_6!J33,recreation_v2_7!J33,recreation_v2_8!J33,recreation_v2_9!J33,recreation_v2_10!J33)/COUNT(recreation_v2_6!J33,recreation_v2_7!J33,recreation_v2_8!J33,recreation_v2_9!J33,recreation_v2_10!J33),0),"NA")</f>
        <v>0</v>
      </c>
      <c r="K33">
        <f>IF($E33=0, "NA", ROUND(SUM(recreation_v2_6!K33,recreation_v2_7!K33,recreation_v2_8!K33,recreation_v2_9!K33,recreation_v2_10!K33)/COUNT(recreation_v2_6!K33,recreation_v2_7!K33,recreation_v2_8!K33,recreation_v2_9!K33,recreation_v2_10!K33),0))</f>
        <v>1</v>
      </c>
      <c r="L33">
        <f>IF($E33=0,"NA",ROUND(SUM(recreation_v2_6!L33,recreation_v2_7!L33,recreation_v2_8!L33,recreation_v2_9!L33,recreation_v2_10!L33)/COUNT(recreation_v2_6!L33,recreation_v2_7!L33,recreation_v2_8!L33,recreation_v2_9!L33,recreation_v2_10!L33),0))</f>
        <v>1</v>
      </c>
      <c r="M33">
        <f>IF($E33=0, "NA", ROUND(SUM(recreation_v2_6!M33,recreation_v2_7!M33,recreation_v2_8!M33,recreation_v2_9!M33,recreation_v2_10!M33)/COUNT(recreation_v2_6!M33,recreation_v2_7!M33,recreation_v2_8!M33,recreation_v2_9!M33,recreation_v2_10!M33),0))</f>
        <v>1</v>
      </c>
      <c r="N33">
        <f>IF($E33=0,"NA",ROUND(SUM(recreation_v2_6!N33,recreation_v2_7!N33,recreation_v2_8!N33,recreation_v2_9!N33,recreation_v2_10!N33)/COUNT(recreation_v2_6!N33,recreation_v2_7!N33,recreation_v2_8!N33,recreation_v2_9!N33,recreation_v2_10!N33),0))</f>
        <v>1</v>
      </c>
      <c r="O33">
        <f>IF($E33=0, "NA", ROUND(SUM(recreation_v2_6!O33,recreation_v2_7!O33,recreation_v2_8!O33,recreation_v2_9!O33,recreation_v2_10!O33)/COUNT(recreation_v2_6!O33,recreation_v2_7!O33,recreation_v2_8!O33,recreation_v2_9!O33,recreation_v2_10!O33),0))</f>
        <v>1</v>
      </c>
    </row>
    <row r="34" spans="1:15" x14ac:dyDescent="0.25">
      <c r="A34" t="s">
        <v>59</v>
      </c>
      <c r="B34" t="s">
        <v>29</v>
      </c>
      <c r="C34">
        <v>0</v>
      </c>
      <c r="D34">
        <v>2.7060718536376949</v>
      </c>
      <c r="E34">
        <f>ROUND(SUM(recreation_v2_6!E34,recreation_v2_7!E34,recreation_v2_8!E34,recreation_v2_9!E34,recreation_v2_10!E34)/COUNT(recreation_v2_6!E34,recreation_v2_7!E34,recreation_v2_8!E34,recreation_v2_9!E34,recreation_v2_10!E34),0)</f>
        <v>1</v>
      </c>
      <c r="F34">
        <f>IF($E34=0, "NA", ROUND(SUM(recreation_v2_6!F34,recreation_v2_7!F34,recreation_v2_8!F34,recreation_v2_9!F34,recreation_v2_10!F34)/COUNT(recreation_v2_6!F34,recreation_v2_7!F34,recreation_v2_8!F34,recreation_v2_9!F34,recreation_v2_10!F34),0))</f>
        <v>1</v>
      </c>
      <c r="G34">
        <f>IF($E34=0,"NA",ROUND(SUM(recreation_v2_6!G34,recreation_v2_7!G34,recreation_v2_8!G34,recreation_v2_9!G34,recreation_v2_10!G34)/COUNT(recreation_v2_6!G34,recreation_v2_7!G34,recreation_v2_8!G34,recreation_v2_9!G34,recreation_v2_10!G34),0))</f>
        <v>1</v>
      </c>
      <c r="H34">
        <f>IF(AND(F34=1, G34=1),ROUND(SUM(recreation_v2_6!H34,recreation_v2_7!H34,recreation_v2_8!H34,recreation_v2_9!H34,recreation_v2_10!H34)/COUNT(recreation_v2_6!H34,recreation_v2_7!H34,recreation_v2_8!H34,recreation_v2_9!H34,recreation_v2_10!H34),0),"NA")</f>
        <v>1</v>
      </c>
      <c r="I34">
        <f>IF($E34=0, "NA", ROUND(SUM(recreation_v2_6!I34,recreation_v2_7!I34,recreation_v2_8!I34,recreation_v2_9!I34,recreation_v2_10!I34)/COUNT(recreation_v2_6!I34,recreation_v2_7!I34,recreation_v2_8!I34,recreation_v2_9!I34,recreation_v2_10!I34),0))</f>
        <v>1</v>
      </c>
      <c r="J34">
        <f>IF(F34=1,ROUND(SUM(recreation_v2_6!J34,recreation_v2_7!J34,recreation_v2_8!J34,recreation_v2_9!J34,recreation_v2_10!J34)/COUNT(recreation_v2_6!J34,recreation_v2_7!J34,recreation_v2_8!J34,recreation_v2_9!J34,recreation_v2_10!J34),0),"NA")</f>
        <v>1</v>
      </c>
      <c r="K34">
        <f>IF($E34=0, "NA", ROUND(SUM(recreation_v2_6!K34,recreation_v2_7!K34,recreation_v2_8!K34,recreation_v2_9!K34,recreation_v2_10!K34)/COUNT(recreation_v2_6!K34,recreation_v2_7!K34,recreation_v2_8!K34,recreation_v2_9!K34,recreation_v2_10!K34),0))</f>
        <v>1</v>
      </c>
      <c r="L34">
        <f>IF($E34=0,"NA",ROUND(SUM(recreation_v2_6!L34,recreation_v2_7!L34,recreation_v2_8!L34,recreation_v2_9!L34,recreation_v2_10!L34)/COUNT(recreation_v2_6!L34,recreation_v2_7!L34,recreation_v2_8!L34,recreation_v2_9!L34,recreation_v2_10!L34),0))</f>
        <v>1</v>
      </c>
      <c r="M34">
        <f>IF($E34=0, "NA", ROUND(SUM(recreation_v2_6!M34,recreation_v2_7!M34,recreation_v2_8!M34,recreation_v2_9!M34,recreation_v2_10!M34)/COUNT(recreation_v2_6!M34,recreation_v2_7!M34,recreation_v2_8!M34,recreation_v2_9!M34,recreation_v2_10!M34),0))</f>
        <v>1</v>
      </c>
      <c r="N34">
        <f>IF($E34=0,"NA",ROUND(SUM(recreation_v2_6!N34,recreation_v2_7!N34,recreation_v2_8!N34,recreation_v2_9!N34,recreation_v2_10!N34)/COUNT(recreation_v2_6!N34,recreation_v2_7!N34,recreation_v2_8!N34,recreation_v2_9!N34,recreation_v2_10!N34),0))</f>
        <v>1</v>
      </c>
      <c r="O34">
        <f>IF($E34=0, "NA", ROUND(SUM(recreation_v2_6!O34,recreation_v2_7!O34,recreation_v2_8!O34,recreation_v2_9!O34,recreation_v2_10!O34)/COUNT(recreation_v2_6!O34,recreation_v2_7!O34,recreation_v2_8!O34,recreation_v2_9!O34,recreation_v2_10!O34),0))</f>
        <v>1</v>
      </c>
    </row>
    <row r="35" spans="1:15" x14ac:dyDescent="0.25">
      <c r="A35" t="s">
        <v>59</v>
      </c>
      <c r="B35" t="s">
        <v>30</v>
      </c>
      <c r="C35">
        <v>0</v>
      </c>
      <c r="D35">
        <v>2.6291100978851318</v>
      </c>
      <c r="E35">
        <f>ROUND(SUM(recreation_v2_6!E35,recreation_v2_7!E35,recreation_v2_8!E35,recreation_v2_9!E35,recreation_v2_10!E35)/COUNT(recreation_v2_6!E35,recreation_v2_7!E35,recreation_v2_8!E35,recreation_v2_9!E35,recreation_v2_10!E35),0)</f>
        <v>1</v>
      </c>
      <c r="F35">
        <f>IF($E35=0, "NA", ROUND(SUM(recreation_v2_6!F35,recreation_v2_7!F35,recreation_v2_8!F35,recreation_v2_9!F35,recreation_v2_10!F35)/COUNT(recreation_v2_6!F35,recreation_v2_7!F35,recreation_v2_8!F35,recreation_v2_9!F35,recreation_v2_10!F35),0))</f>
        <v>1</v>
      </c>
      <c r="G35">
        <f>IF($E35=0,"NA",ROUND(SUM(recreation_v2_6!G35,recreation_v2_7!G35,recreation_v2_8!G35,recreation_v2_9!G35,recreation_v2_10!G35)/COUNT(recreation_v2_6!G35,recreation_v2_7!G35,recreation_v2_8!G35,recreation_v2_9!G35,recreation_v2_10!G35),0))</f>
        <v>1</v>
      </c>
      <c r="H35">
        <f>IF(AND(F35=1, G35=1),ROUND(SUM(recreation_v2_6!H35,recreation_v2_7!H35,recreation_v2_8!H35,recreation_v2_9!H35,recreation_v2_10!H35)/COUNT(recreation_v2_6!H35,recreation_v2_7!H35,recreation_v2_8!H35,recreation_v2_9!H35,recreation_v2_10!H35),0),"NA")</f>
        <v>1</v>
      </c>
      <c r="I35">
        <f>IF($E35=0, "NA", ROUND(SUM(recreation_v2_6!I35,recreation_v2_7!I35,recreation_v2_8!I35,recreation_v2_9!I35,recreation_v2_10!I35)/COUNT(recreation_v2_6!I35,recreation_v2_7!I35,recreation_v2_8!I35,recreation_v2_9!I35,recreation_v2_10!I35),0))</f>
        <v>1</v>
      </c>
      <c r="J35">
        <f>IF(F35=1,ROUND(SUM(recreation_v2_6!J35,recreation_v2_7!J35,recreation_v2_8!J35,recreation_v2_9!J35,recreation_v2_10!J35)/COUNT(recreation_v2_6!J35,recreation_v2_7!J35,recreation_v2_8!J35,recreation_v2_9!J35,recreation_v2_10!J35),0),"NA")</f>
        <v>1</v>
      </c>
      <c r="K35">
        <f>IF($E35=0, "NA", ROUND(SUM(recreation_v2_6!K35,recreation_v2_7!K35,recreation_v2_8!K35,recreation_v2_9!K35,recreation_v2_10!K35)/COUNT(recreation_v2_6!K35,recreation_v2_7!K35,recreation_v2_8!K35,recreation_v2_9!K35,recreation_v2_10!K35),0))</f>
        <v>1</v>
      </c>
      <c r="L35">
        <f>IF($E35=0,"NA",ROUND(SUM(recreation_v2_6!L35,recreation_v2_7!L35,recreation_v2_8!L35,recreation_v2_9!L35,recreation_v2_10!L35)/COUNT(recreation_v2_6!L35,recreation_v2_7!L35,recreation_v2_8!L35,recreation_v2_9!L35,recreation_v2_10!L35),0))</f>
        <v>1</v>
      </c>
      <c r="M35">
        <f>IF($E35=0, "NA", ROUND(SUM(recreation_v2_6!M35,recreation_v2_7!M35,recreation_v2_8!M35,recreation_v2_9!M35,recreation_v2_10!M35)/COUNT(recreation_v2_6!M35,recreation_v2_7!M35,recreation_v2_8!M35,recreation_v2_9!M35,recreation_v2_10!M35),0))</f>
        <v>1</v>
      </c>
      <c r="N35">
        <f>IF($E35=0,"NA",ROUND(SUM(recreation_v2_6!N35,recreation_v2_7!N35,recreation_v2_8!N35,recreation_v2_9!N35,recreation_v2_10!N35)/COUNT(recreation_v2_6!N35,recreation_v2_7!N35,recreation_v2_8!N35,recreation_v2_9!N35,recreation_v2_10!N35),0))</f>
        <v>1</v>
      </c>
      <c r="O35">
        <f>IF($E35=0, "NA", ROUND(SUM(recreation_v2_6!O35,recreation_v2_7!O35,recreation_v2_8!O35,recreation_v2_9!O35,recreation_v2_10!O35)/COUNT(recreation_v2_6!O35,recreation_v2_7!O35,recreation_v2_8!O35,recreation_v2_9!O35,recreation_v2_10!O35),0))</f>
        <v>1</v>
      </c>
    </row>
    <row r="36" spans="1:15" x14ac:dyDescent="0.25">
      <c r="A36" t="s">
        <v>59</v>
      </c>
      <c r="B36" t="s">
        <v>32</v>
      </c>
      <c r="C36">
        <v>0</v>
      </c>
      <c r="D36">
        <v>4.9354152679443359</v>
      </c>
      <c r="E36">
        <f>ROUND(SUM(recreation_v2_6!E36,recreation_v2_7!E36,recreation_v2_8!E36,recreation_v2_9!E36,recreation_v2_10!E36)/COUNT(recreation_v2_6!E36,recreation_v2_7!E36,recreation_v2_8!E36,recreation_v2_9!E36,recreation_v2_10!E36),0)</f>
        <v>1</v>
      </c>
      <c r="F36">
        <f>IF($E36=0, "NA", ROUND(SUM(recreation_v2_6!F36,recreation_v2_7!F36,recreation_v2_8!F36,recreation_v2_9!F36,recreation_v2_10!F36)/COUNT(recreation_v2_6!F36,recreation_v2_7!F36,recreation_v2_8!F36,recreation_v2_9!F36,recreation_v2_10!F36),0))</f>
        <v>1</v>
      </c>
      <c r="G36">
        <f>IF($E36=0,"NA",ROUND(SUM(recreation_v2_6!G36,recreation_v2_7!G36,recreation_v2_8!G36,recreation_v2_9!G36,recreation_v2_10!G36)/COUNT(recreation_v2_6!G36,recreation_v2_7!G36,recreation_v2_8!G36,recreation_v2_9!G36,recreation_v2_10!G36),0))</f>
        <v>1</v>
      </c>
      <c r="H36">
        <f>IF(AND(F36=1, G36=1),ROUND(SUM(recreation_v2_6!H36,recreation_v2_7!H36,recreation_v2_8!H36,recreation_v2_9!H36,recreation_v2_10!H36)/COUNT(recreation_v2_6!H36,recreation_v2_7!H36,recreation_v2_8!H36,recreation_v2_9!H36,recreation_v2_10!H36),0),"NA")</f>
        <v>1</v>
      </c>
      <c r="I36">
        <f>IF($E36=0, "NA", ROUND(SUM(recreation_v2_6!I36,recreation_v2_7!I36,recreation_v2_8!I36,recreation_v2_9!I36,recreation_v2_10!I36)/COUNT(recreation_v2_6!I36,recreation_v2_7!I36,recreation_v2_8!I36,recreation_v2_9!I36,recreation_v2_10!I36),0))</f>
        <v>1</v>
      </c>
      <c r="J36">
        <f>IF(F36=1,ROUND(SUM(recreation_v2_6!J36,recreation_v2_7!J36,recreation_v2_8!J36,recreation_v2_9!J36,recreation_v2_10!J36)/COUNT(recreation_v2_6!J36,recreation_v2_7!J36,recreation_v2_8!J36,recreation_v2_9!J36,recreation_v2_10!J36),0),"NA")</f>
        <v>0</v>
      </c>
      <c r="K36">
        <f>IF($E36=0, "NA", ROUND(SUM(recreation_v2_6!K36,recreation_v2_7!K36,recreation_v2_8!K36,recreation_v2_9!K36,recreation_v2_10!K36)/COUNT(recreation_v2_6!K36,recreation_v2_7!K36,recreation_v2_8!K36,recreation_v2_9!K36,recreation_v2_10!K36),0))</f>
        <v>1</v>
      </c>
      <c r="L36">
        <f>IF($E36=0,"NA",ROUND(SUM(recreation_v2_6!L36,recreation_v2_7!L36,recreation_v2_8!L36,recreation_v2_9!L36,recreation_v2_10!L36)/COUNT(recreation_v2_6!L36,recreation_v2_7!L36,recreation_v2_8!L36,recreation_v2_9!L36,recreation_v2_10!L36),0))</f>
        <v>1</v>
      </c>
      <c r="M36">
        <f>IF($E36=0, "NA", ROUND(SUM(recreation_v2_6!M36,recreation_v2_7!M36,recreation_v2_8!M36,recreation_v2_9!M36,recreation_v2_10!M36)/COUNT(recreation_v2_6!M36,recreation_v2_7!M36,recreation_v2_8!M36,recreation_v2_9!M36,recreation_v2_10!M36),0))</f>
        <v>1</v>
      </c>
      <c r="N36">
        <f>IF($E36=0,"NA",ROUND(SUM(recreation_v2_6!N36,recreation_v2_7!N36,recreation_v2_8!N36,recreation_v2_9!N36,recreation_v2_10!N36)/COUNT(recreation_v2_6!N36,recreation_v2_7!N36,recreation_v2_8!N36,recreation_v2_9!N36,recreation_v2_10!N36),0))</f>
        <v>1</v>
      </c>
      <c r="O36">
        <f>IF($E36=0, "NA", ROUND(SUM(recreation_v2_6!O36,recreation_v2_7!O36,recreation_v2_8!O36,recreation_v2_9!O36,recreation_v2_10!O36)/COUNT(recreation_v2_6!O36,recreation_v2_7!O36,recreation_v2_8!O36,recreation_v2_9!O36,recreation_v2_10!O36),0))</f>
        <v>1</v>
      </c>
    </row>
    <row r="37" spans="1:15" x14ac:dyDescent="0.25">
      <c r="A37" t="s">
        <v>59</v>
      </c>
      <c r="B37" t="s">
        <v>33</v>
      </c>
      <c r="C37">
        <v>0</v>
      </c>
      <c r="D37">
        <v>2.678523063659668</v>
      </c>
      <c r="E37">
        <f>ROUND(SUM(recreation_v2_6!E37,recreation_v2_7!E37,recreation_v2_8!E37,recreation_v2_9!E37,recreation_v2_10!E37)/COUNT(recreation_v2_6!E37,recreation_v2_7!E37,recreation_v2_8!E37,recreation_v2_9!E37,recreation_v2_10!E37),0)</f>
        <v>1</v>
      </c>
      <c r="F37">
        <f>IF($E37=0, "NA", ROUND(SUM(recreation_v2_6!F37,recreation_v2_7!F37,recreation_v2_8!F37,recreation_v2_9!F37,recreation_v2_10!F37)/COUNT(recreation_v2_6!F37,recreation_v2_7!F37,recreation_v2_8!F37,recreation_v2_9!F37,recreation_v2_10!F37),0))</f>
        <v>1</v>
      </c>
      <c r="G37">
        <f>IF($E37=0,"NA",ROUND(SUM(recreation_v2_6!G37,recreation_v2_7!G37,recreation_v2_8!G37,recreation_v2_9!G37,recreation_v2_10!G37)/COUNT(recreation_v2_6!G37,recreation_v2_7!G37,recreation_v2_8!G37,recreation_v2_9!G37,recreation_v2_10!G37),0))</f>
        <v>1</v>
      </c>
      <c r="H37">
        <f>IF(AND(F37=1, G37=1),ROUND(SUM(recreation_v2_6!H37,recreation_v2_7!H37,recreation_v2_8!H37,recreation_v2_9!H37,recreation_v2_10!H37)/COUNT(recreation_v2_6!H37,recreation_v2_7!H37,recreation_v2_8!H37,recreation_v2_9!H37,recreation_v2_10!H37),0),"NA")</f>
        <v>1</v>
      </c>
      <c r="I37">
        <f>IF($E37=0, "NA", ROUND(SUM(recreation_v2_6!I37,recreation_v2_7!I37,recreation_v2_8!I37,recreation_v2_9!I37,recreation_v2_10!I37)/COUNT(recreation_v2_6!I37,recreation_v2_7!I37,recreation_v2_8!I37,recreation_v2_9!I37,recreation_v2_10!I37),0))</f>
        <v>1</v>
      </c>
      <c r="J37">
        <f>IF(F37=1,ROUND(SUM(recreation_v2_6!J37,recreation_v2_7!J37,recreation_v2_8!J37,recreation_v2_9!J37,recreation_v2_10!J37)/COUNT(recreation_v2_6!J37,recreation_v2_7!J37,recreation_v2_8!J37,recreation_v2_9!J37,recreation_v2_10!J37),0),"NA")</f>
        <v>1</v>
      </c>
      <c r="K37">
        <f>IF($E37=0, "NA", ROUND(SUM(recreation_v2_6!K37,recreation_v2_7!K37,recreation_v2_8!K37,recreation_v2_9!K37,recreation_v2_10!K37)/COUNT(recreation_v2_6!K37,recreation_v2_7!K37,recreation_v2_8!K37,recreation_v2_9!K37,recreation_v2_10!K37),0))</f>
        <v>1</v>
      </c>
      <c r="L37">
        <f>IF($E37=0,"NA",ROUND(SUM(recreation_v2_6!L37,recreation_v2_7!L37,recreation_v2_8!L37,recreation_v2_9!L37,recreation_v2_10!L37)/COUNT(recreation_v2_6!L37,recreation_v2_7!L37,recreation_v2_8!L37,recreation_v2_9!L37,recreation_v2_10!L37),0))</f>
        <v>1</v>
      </c>
      <c r="M37">
        <f>IF($E37=0, "NA", ROUND(SUM(recreation_v2_6!M37,recreation_v2_7!M37,recreation_v2_8!M37,recreation_v2_9!M37,recreation_v2_10!M37)/COUNT(recreation_v2_6!M37,recreation_v2_7!M37,recreation_v2_8!M37,recreation_v2_9!M37,recreation_v2_10!M37),0))</f>
        <v>1</v>
      </c>
      <c r="N37">
        <f>IF($E37=0,"NA",ROUND(SUM(recreation_v2_6!N37,recreation_v2_7!N37,recreation_v2_8!N37,recreation_v2_9!N37,recreation_v2_10!N37)/COUNT(recreation_v2_6!N37,recreation_v2_7!N37,recreation_v2_8!N37,recreation_v2_9!N37,recreation_v2_10!N37),0))</f>
        <v>1</v>
      </c>
      <c r="O37">
        <f>IF($E37=0, "NA", ROUND(SUM(recreation_v2_6!O37,recreation_v2_7!O37,recreation_v2_8!O37,recreation_v2_9!O37,recreation_v2_10!O37)/COUNT(recreation_v2_6!O37,recreation_v2_7!O37,recreation_v2_8!O37,recreation_v2_9!O37,recreation_v2_10!O37),0))</f>
        <v>1</v>
      </c>
    </row>
    <row r="38" spans="1:15" x14ac:dyDescent="0.25">
      <c r="A38" t="s">
        <v>59</v>
      </c>
      <c r="B38" t="s">
        <v>35</v>
      </c>
      <c r="C38">
        <v>0</v>
      </c>
      <c r="D38">
        <v>12.00939416885376</v>
      </c>
      <c r="E38">
        <f>ROUND(SUM(recreation_v2_6!E38,recreation_v2_7!E38,recreation_v2_8!E38,recreation_v2_9!E38,recreation_v2_10!E38)/COUNT(recreation_v2_6!E38,recreation_v2_7!E38,recreation_v2_8!E38,recreation_v2_9!E38,recreation_v2_10!E38),0)</f>
        <v>0</v>
      </c>
      <c r="F38" t="str">
        <f>IF($E38=0, "NA", ROUND(SUM(recreation_v2_6!F38,recreation_v2_7!F38,recreation_v2_8!F38,recreation_v2_9!F38,recreation_v2_10!F38)/COUNT(recreation_v2_6!F38,recreation_v2_7!F38,recreation_v2_8!F38,recreation_v2_9!F38,recreation_v2_10!F38),0))</f>
        <v>NA</v>
      </c>
      <c r="G38" t="str">
        <f>IF($E38=0,"NA",ROUND(SUM(recreation_v2_6!G38,recreation_v2_7!G38,recreation_v2_8!G38,recreation_v2_9!G38,recreation_v2_10!G38)/COUNT(recreation_v2_6!G38,recreation_v2_7!G38,recreation_v2_8!G38,recreation_v2_9!G38,recreation_v2_10!G38),0))</f>
        <v>NA</v>
      </c>
      <c r="H38" t="str">
        <f>IF(AND(F38=1, G38=1),ROUND(SUM(recreation_v2_6!H38,recreation_v2_7!H38,recreation_v2_8!H38,recreation_v2_9!H38,recreation_v2_10!H38)/COUNT(recreation_v2_6!H38,recreation_v2_7!H38,recreation_v2_8!H38,recreation_v2_9!H38,recreation_v2_10!H38),0),"NA")</f>
        <v>NA</v>
      </c>
      <c r="I38" t="str">
        <f>IF($E38=0, "NA", ROUND(SUM(recreation_v2_6!I38,recreation_v2_7!I38,recreation_v2_8!I38,recreation_v2_9!I38,recreation_v2_10!I38)/COUNT(recreation_v2_6!I38,recreation_v2_7!I38,recreation_v2_8!I38,recreation_v2_9!I38,recreation_v2_10!I38),0))</f>
        <v>NA</v>
      </c>
      <c r="J38" t="str">
        <f>IF(F38=1,ROUND(SUM(recreation_v2_6!J38,recreation_v2_7!J38,recreation_v2_8!J38,recreation_v2_9!J38,recreation_v2_10!J38)/COUNT(recreation_v2_6!J38,recreation_v2_7!J38,recreation_v2_8!J38,recreation_v2_9!J38,recreation_v2_10!J38),0),"NA")</f>
        <v>NA</v>
      </c>
      <c r="K38" t="str">
        <f>IF($E38=0, "NA", ROUND(SUM(recreation_v2_6!K38,recreation_v2_7!K38,recreation_v2_8!K38,recreation_v2_9!K38,recreation_v2_10!K38)/COUNT(recreation_v2_6!K38,recreation_v2_7!K38,recreation_v2_8!K38,recreation_v2_9!K38,recreation_v2_10!K38),0))</f>
        <v>NA</v>
      </c>
      <c r="L38" t="str">
        <f>IF($E38=0,"NA",ROUND(SUM(recreation_v2_6!L38,recreation_v2_7!L38,recreation_v2_8!L38,recreation_v2_9!L38,recreation_v2_10!L38)/COUNT(recreation_v2_6!L38,recreation_v2_7!L38,recreation_v2_8!L38,recreation_v2_9!L38,recreation_v2_10!L38),0))</f>
        <v>NA</v>
      </c>
      <c r="M38" t="str">
        <f>IF($E38=0, "NA", ROUND(SUM(recreation_v2_6!M38,recreation_v2_7!M38,recreation_v2_8!M38,recreation_v2_9!M38,recreation_v2_10!M38)/COUNT(recreation_v2_6!M38,recreation_v2_7!M38,recreation_v2_8!M38,recreation_v2_9!M38,recreation_v2_10!M38),0))</f>
        <v>NA</v>
      </c>
      <c r="N38" t="str">
        <f>IF($E38=0,"NA",ROUND(SUM(recreation_v2_6!N38,recreation_v2_7!N38,recreation_v2_8!N38,recreation_v2_9!N38,recreation_v2_10!N38)/COUNT(recreation_v2_6!N38,recreation_v2_7!N38,recreation_v2_8!N38,recreation_v2_9!N38,recreation_v2_10!N38),0))</f>
        <v>NA</v>
      </c>
      <c r="O38" t="str">
        <f>IF($E38=0, "NA", ROUND(SUM(recreation_v2_6!O38,recreation_v2_7!O38,recreation_v2_8!O38,recreation_v2_9!O38,recreation_v2_10!O38)/COUNT(recreation_v2_6!O38,recreation_v2_7!O38,recreation_v2_8!O38,recreation_v2_9!O38,recreation_v2_10!O38),0))</f>
        <v>NA</v>
      </c>
    </row>
    <row r="39" spans="1:15" x14ac:dyDescent="0.25">
      <c r="A39" t="s">
        <v>59</v>
      </c>
      <c r="B39" t="s">
        <v>37</v>
      </c>
      <c r="C39">
        <v>0</v>
      </c>
      <c r="D39">
        <v>6.9903669357299796</v>
      </c>
      <c r="E39">
        <f>ROUND(SUM(recreation_v2_6!E39,recreation_v2_7!E39,recreation_v2_8!E39,recreation_v2_9!E39,recreation_v2_10!E39)/COUNT(recreation_v2_6!E39,recreation_v2_7!E39,recreation_v2_8!E39,recreation_v2_9!E39,recreation_v2_10!E39),0)</f>
        <v>1</v>
      </c>
      <c r="F39">
        <f>IF($E39=0, "NA", ROUND(SUM(recreation_v2_6!F39,recreation_v2_7!F39,recreation_v2_8!F39,recreation_v2_9!F39,recreation_v2_10!F39)/COUNT(recreation_v2_6!F39,recreation_v2_7!F39,recreation_v2_8!F39,recreation_v2_9!F39,recreation_v2_10!F39),0))</f>
        <v>1</v>
      </c>
      <c r="G39">
        <f>IF($E39=0,"NA",ROUND(SUM(recreation_v2_6!G39,recreation_v2_7!G39,recreation_v2_8!G39,recreation_v2_9!G39,recreation_v2_10!G39)/COUNT(recreation_v2_6!G39,recreation_v2_7!G39,recreation_v2_8!G39,recreation_v2_9!G39,recreation_v2_10!G39),0))</f>
        <v>1</v>
      </c>
      <c r="H39">
        <f>IF(AND(F39=1, G39=1),ROUND(SUM(recreation_v2_6!H39,recreation_v2_7!H39,recreation_v2_8!H39,recreation_v2_9!H39,recreation_v2_10!H39)/COUNT(recreation_v2_6!H39,recreation_v2_7!H39,recreation_v2_8!H39,recreation_v2_9!H39,recreation_v2_10!H39),0),"NA")</f>
        <v>0</v>
      </c>
      <c r="I39">
        <f>IF($E39=0, "NA", ROUND(SUM(recreation_v2_6!I39,recreation_v2_7!I39,recreation_v2_8!I39,recreation_v2_9!I39,recreation_v2_10!I39)/COUNT(recreation_v2_6!I39,recreation_v2_7!I39,recreation_v2_8!I39,recreation_v2_9!I39,recreation_v2_10!I39),0))</f>
        <v>1</v>
      </c>
      <c r="J39">
        <f>IF(F39=1,ROUND(SUM(recreation_v2_6!J39,recreation_v2_7!J39,recreation_v2_8!J39,recreation_v2_9!J39,recreation_v2_10!J39)/COUNT(recreation_v2_6!J39,recreation_v2_7!J39,recreation_v2_8!J39,recreation_v2_9!J39,recreation_v2_10!J39),0),"NA")</f>
        <v>0</v>
      </c>
      <c r="K39">
        <f>IF($E39=0, "NA", ROUND(SUM(recreation_v2_6!K39,recreation_v2_7!K39,recreation_v2_8!K39,recreation_v2_9!K39,recreation_v2_10!K39)/COUNT(recreation_v2_6!K39,recreation_v2_7!K39,recreation_v2_8!K39,recreation_v2_9!K39,recreation_v2_10!K39),0))</f>
        <v>0</v>
      </c>
      <c r="L39">
        <f>IF($E39=0,"NA",ROUND(SUM(recreation_v2_6!L39,recreation_v2_7!L39,recreation_v2_8!L39,recreation_v2_9!L39,recreation_v2_10!L39)/COUNT(recreation_v2_6!L39,recreation_v2_7!L39,recreation_v2_8!L39,recreation_v2_9!L39,recreation_v2_10!L39),0))</f>
        <v>1</v>
      </c>
      <c r="M39">
        <f>IF($E39=0, "NA", ROUND(SUM(recreation_v2_6!M39,recreation_v2_7!M39,recreation_v2_8!M39,recreation_v2_9!M39,recreation_v2_10!M39)/COUNT(recreation_v2_6!M39,recreation_v2_7!M39,recreation_v2_8!M39,recreation_v2_9!M39,recreation_v2_10!M39),0))</f>
        <v>1</v>
      </c>
      <c r="N39">
        <f>IF($E39=0,"NA",ROUND(SUM(recreation_v2_6!N39,recreation_v2_7!N39,recreation_v2_8!N39,recreation_v2_9!N39,recreation_v2_10!N39)/COUNT(recreation_v2_6!N39,recreation_v2_7!N39,recreation_v2_8!N39,recreation_v2_9!N39,recreation_v2_10!N39),0))</f>
        <v>1</v>
      </c>
      <c r="O39">
        <f>IF($E39=0, "NA", ROUND(SUM(recreation_v2_6!O39,recreation_v2_7!O39,recreation_v2_8!O39,recreation_v2_9!O39,recreation_v2_10!O39)/COUNT(recreation_v2_6!O39,recreation_v2_7!O39,recreation_v2_8!O39,recreation_v2_9!O39,recreation_v2_10!O39),0))</f>
        <v>1</v>
      </c>
    </row>
    <row r="40" spans="1:15" x14ac:dyDescent="0.25">
      <c r="A40" t="s">
        <v>59</v>
      </c>
      <c r="B40" t="s">
        <v>39</v>
      </c>
      <c r="C40">
        <v>0</v>
      </c>
      <c r="D40">
        <v>10.164790391922001</v>
      </c>
      <c r="E40">
        <f>ROUND(SUM(recreation_v2_6!E40,recreation_v2_7!E40,recreation_v2_8!E40,recreation_v2_9!E40,recreation_v2_10!E40)/COUNT(recreation_v2_6!E40,recreation_v2_7!E40,recreation_v2_8!E40,recreation_v2_9!E40,recreation_v2_10!E40),0)</f>
        <v>0</v>
      </c>
      <c r="F40" t="str">
        <f>IF($E40=0, "NA", ROUND(SUM(recreation_v2_6!F40,recreation_v2_7!F40,recreation_v2_8!F40,recreation_v2_9!F40,recreation_v2_10!F40)/COUNT(recreation_v2_6!F40,recreation_v2_7!F40,recreation_v2_8!F40,recreation_v2_9!F40,recreation_v2_10!F40),0))</f>
        <v>NA</v>
      </c>
      <c r="G40" t="str">
        <f>IF($E40=0,"NA",ROUND(SUM(recreation_v2_6!G40,recreation_v2_7!G40,recreation_v2_8!G40,recreation_v2_9!G40,recreation_v2_10!G40)/COUNT(recreation_v2_6!G40,recreation_v2_7!G40,recreation_v2_8!G40,recreation_v2_9!G40,recreation_v2_10!G40),0))</f>
        <v>NA</v>
      </c>
      <c r="H40" t="str">
        <f>IF(AND(F40=1, G40=1),ROUND(SUM(recreation_v2_6!H40,recreation_v2_7!H40,recreation_v2_8!H40,recreation_v2_9!H40,recreation_v2_10!H40)/COUNT(recreation_v2_6!H40,recreation_v2_7!H40,recreation_v2_8!H40,recreation_v2_9!H40,recreation_v2_10!H40),0),"NA")</f>
        <v>NA</v>
      </c>
      <c r="I40" t="str">
        <f>IF($E40=0, "NA", ROUND(SUM(recreation_v2_6!I40,recreation_v2_7!I40,recreation_v2_8!I40,recreation_v2_9!I40,recreation_v2_10!I40)/COUNT(recreation_v2_6!I40,recreation_v2_7!I40,recreation_v2_8!I40,recreation_v2_9!I40,recreation_v2_10!I40),0))</f>
        <v>NA</v>
      </c>
      <c r="J40" t="str">
        <f>IF(F40=1,ROUND(SUM(recreation_v2_6!J40,recreation_v2_7!J40,recreation_v2_8!J40,recreation_v2_9!J40,recreation_v2_10!J40)/COUNT(recreation_v2_6!J40,recreation_v2_7!J40,recreation_v2_8!J40,recreation_v2_9!J40,recreation_v2_10!J40),0),"NA")</f>
        <v>NA</v>
      </c>
      <c r="K40" t="str">
        <f>IF($E40=0, "NA", ROUND(SUM(recreation_v2_6!K40,recreation_v2_7!K40,recreation_v2_8!K40,recreation_v2_9!K40,recreation_v2_10!K40)/COUNT(recreation_v2_6!K40,recreation_v2_7!K40,recreation_v2_8!K40,recreation_v2_9!K40,recreation_v2_10!K40),0))</f>
        <v>NA</v>
      </c>
      <c r="L40" t="str">
        <f>IF($E40=0,"NA",ROUND(SUM(recreation_v2_6!L40,recreation_v2_7!L40,recreation_v2_8!L40,recreation_v2_9!L40,recreation_v2_10!L40)/COUNT(recreation_v2_6!L40,recreation_v2_7!L40,recreation_v2_8!L40,recreation_v2_9!L40,recreation_v2_10!L40),0))</f>
        <v>NA</v>
      </c>
      <c r="M40" t="str">
        <f>IF($E40=0, "NA", ROUND(SUM(recreation_v2_6!M40,recreation_v2_7!M40,recreation_v2_8!M40,recreation_v2_9!M40,recreation_v2_10!M40)/COUNT(recreation_v2_6!M40,recreation_v2_7!M40,recreation_v2_8!M40,recreation_v2_9!M40,recreation_v2_10!M40),0))</f>
        <v>NA</v>
      </c>
      <c r="N40" t="str">
        <f>IF($E40=0,"NA",ROUND(SUM(recreation_v2_6!N40,recreation_v2_7!N40,recreation_v2_8!N40,recreation_v2_9!N40,recreation_v2_10!N40)/COUNT(recreation_v2_6!N40,recreation_v2_7!N40,recreation_v2_8!N40,recreation_v2_9!N40,recreation_v2_10!N40),0))</f>
        <v>NA</v>
      </c>
      <c r="O40" t="str">
        <f>IF($E40=0, "NA", ROUND(SUM(recreation_v2_6!O40,recreation_v2_7!O40,recreation_v2_8!O40,recreation_v2_9!O40,recreation_v2_10!O40)/COUNT(recreation_v2_6!O40,recreation_v2_7!O40,recreation_v2_8!O40,recreation_v2_9!O40,recreation_v2_10!O40),0))</f>
        <v>NA</v>
      </c>
    </row>
    <row r="41" spans="1:15" x14ac:dyDescent="0.25">
      <c r="A41" t="s">
        <v>59</v>
      </c>
      <c r="B41" t="s">
        <v>41</v>
      </c>
      <c r="C41">
        <v>0</v>
      </c>
      <c r="D41">
        <v>6.9974699020385742</v>
      </c>
      <c r="E41">
        <f>ROUND(SUM(recreation_v2_6!E41,recreation_v2_7!E41,recreation_v2_8!E41,recreation_v2_9!E41,recreation_v2_10!E41)/COUNT(recreation_v2_6!E41,recreation_v2_7!E41,recreation_v2_8!E41,recreation_v2_9!E41,recreation_v2_10!E41),0)</f>
        <v>0</v>
      </c>
      <c r="F41" t="str">
        <f>IF($E41=0, "NA", ROUND(SUM(recreation_v2_6!F41,recreation_v2_7!F41,recreation_v2_8!F41,recreation_v2_9!F41,recreation_v2_10!F41)/COUNT(recreation_v2_6!F41,recreation_v2_7!F41,recreation_v2_8!F41,recreation_v2_9!F41,recreation_v2_10!F41),0))</f>
        <v>NA</v>
      </c>
      <c r="G41" t="str">
        <f>IF($E41=0,"NA",ROUND(SUM(recreation_v2_6!G41,recreation_v2_7!G41,recreation_v2_8!G41,recreation_v2_9!G41,recreation_v2_10!G41)/COUNT(recreation_v2_6!G41,recreation_v2_7!G41,recreation_v2_8!G41,recreation_v2_9!G41,recreation_v2_10!G41),0))</f>
        <v>NA</v>
      </c>
      <c r="H41" t="str">
        <f>IF(AND(F41=1, G41=1),ROUND(SUM(recreation_v2_6!H41,recreation_v2_7!H41,recreation_v2_8!H41,recreation_v2_9!H41,recreation_v2_10!H41)/COUNT(recreation_v2_6!H41,recreation_v2_7!H41,recreation_v2_8!H41,recreation_v2_9!H41,recreation_v2_10!H41),0),"NA")</f>
        <v>NA</v>
      </c>
      <c r="I41" t="str">
        <f>IF($E41=0, "NA", ROUND(SUM(recreation_v2_6!I41,recreation_v2_7!I41,recreation_v2_8!I41,recreation_v2_9!I41,recreation_v2_10!I41)/COUNT(recreation_v2_6!I41,recreation_v2_7!I41,recreation_v2_8!I41,recreation_v2_9!I41,recreation_v2_10!I41),0))</f>
        <v>NA</v>
      </c>
      <c r="J41" t="str">
        <f>IF(F41=1,ROUND(SUM(recreation_v2_6!J41,recreation_v2_7!J41,recreation_v2_8!J41,recreation_v2_9!J41,recreation_v2_10!J41)/COUNT(recreation_v2_6!J41,recreation_v2_7!J41,recreation_v2_8!J41,recreation_v2_9!J41,recreation_v2_10!J41),0),"NA")</f>
        <v>NA</v>
      </c>
      <c r="K41" t="str">
        <f>IF($E41=0, "NA", ROUND(SUM(recreation_v2_6!K41,recreation_v2_7!K41,recreation_v2_8!K41,recreation_v2_9!K41,recreation_v2_10!K41)/COUNT(recreation_v2_6!K41,recreation_v2_7!K41,recreation_v2_8!K41,recreation_v2_9!K41,recreation_v2_10!K41),0))</f>
        <v>NA</v>
      </c>
      <c r="L41" t="str">
        <f>IF($E41=0,"NA",ROUND(SUM(recreation_v2_6!L41,recreation_v2_7!L41,recreation_v2_8!L41,recreation_v2_9!L41,recreation_v2_10!L41)/COUNT(recreation_v2_6!L41,recreation_v2_7!L41,recreation_v2_8!L41,recreation_v2_9!L41,recreation_v2_10!L41),0))</f>
        <v>NA</v>
      </c>
      <c r="M41" t="str">
        <f>IF($E41=0, "NA", ROUND(SUM(recreation_v2_6!M41,recreation_v2_7!M41,recreation_v2_8!M41,recreation_v2_9!M41,recreation_v2_10!M41)/COUNT(recreation_v2_6!M41,recreation_v2_7!M41,recreation_v2_8!M41,recreation_v2_9!M41,recreation_v2_10!M41),0))</f>
        <v>NA</v>
      </c>
      <c r="N41" t="str">
        <f>IF($E41=0,"NA",ROUND(SUM(recreation_v2_6!N41,recreation_v2_7!N41,recreation_v2_8!N41,recreation_v2_9!N41,recreation_v2_10!N41)/COUNT(recreation_v2_6!N41,recreation_v2_7!N41,recreation_v2_8!N41,recreation_v2_9!N41,recreation_v2_10!N41),0))</f>
        <v>NA</v>
      </c>
      <c r="O41" t="str">
        <f>IF($E41=0, "NA", ROUND(SUM(recreation_v2_6!O41,recreation_v2_7!O41,recreation_v2_8!O41,recreation_v2_9!O41,recreation_v2_10!O41)/COUNT(recreation_v2_6!O41,recreation_v2_7!O41,recreation_v2_8!O41,recreation_v2_9!O41,recreation_v2_10!O41),0))</f>
        <v>NA</v>
      </c>
    </row>
    <row r="42" spans="1:15" x14ac:dyDescent="0.25">
      <c r="A42" t="s">
        <v>59</v>
      </c>
      <c r="B42" t="s">
        <v>43</v>
      </c>
      <c r="C42">
        <v>0</v>
      </c>
      <c r="D42">
        <v>9.4465625286102295</v>
      </c>
      <c r="E42">
        <f>ROUND(SUM(recreation_v2_6!E42,recreation_v2_7!E42,recreation_v2_8!E42,recreation_v2_9!E42,recreation_v2_10!E42)/COUNT(recreation_v2_6!E42,recreation_v2_7!E42,recreation_v2_8!E42,recreation_v2_9!E42,recreation_v2_10!E42),0)</f>
        <v>1</v>
      </c>
      <c r="F42">
        <f>IF($E42=0, "NA", ROUND(SUM(recreation_v2_6!F42,recreation_v2_7!F42,recreation_v2_8!F42,recreation_v2_9!F42,recreation_v2_10!F42)/COUNT(recreation_v2_6!F42,recreation_v2_7!F42,recreation_v2_8!F42,recreation_v2_9!F42,recreation_v2_10!F42),0))</f>
        <v>1</v>
      </c>
      <c r="G42">
        <f>IF($E42=0,"NA",ROUND(SUM(recreation_v2_6!G42,recreation_v2_7!G42,recreation_v2_8!G42,recreation_v2_9!G42,recreation_v2_10!G42)/COUNT(recreation_v2_6!G42,recreation_v2_7!G42,recreation_v2_8!G42,recreation_v2_9!G42,recreation_v2_10!G42),0))</f>
        <v>1</v>
      </c>
      <c r="H42">
        <f>IF(AND(F42=1, G42=1),ROUND(SUM(recreation_v2_6!H42,recreation_v2_7!H42,recreation_v2_8!H42,recreation_v2_9!H42,recreation_v2_10!H42)/COUNT(recreation_v2_6!H42,recreation_v2_7!H42,recreation_v2_8!H42,recreation_v2_9!H42,recreation_v2_10!H42),0),"NA")</f>
        <v>1</v>
      </c>
      <c r="I42">
        <f>IF($E42=0, "NA", ROUND(SUM(recreation_v2_6!I42,recreation_v2_7!I42,recreation_v2_8!I42,recreation_v2_9!I42,recreation_v2_10!I42)/COUNT(recreation_v2_6!I42,recreation_v2_7!I42,recreation_v2_8!I42,recreation_v2_9!I42,recreation_v2_10!I42),0))</f>
        <v>1</v>
      </c>
      <c r="J42">
        <f>IF(F42=1,ROUND(SUM(recreation_v2_6!J42,recreation_v2_7!J42,recreation_v2_8!J42,recreation_v2_9!J42,recreation_v2_10!J42)/COUNT(recreation_v2_6!J42,recreation_v2_7!J42,recreation_v2_8!J42,recreation_v2_9!J42,recreation_v2_10!J42),0),"NA")</f>
        <v>1</v>
      </c>
      <c r="K42">
        <f>IF($E42=0, "NA", ROUND(SUM(recreation_v2_6!K42,recreation_v2_7!K42,recreation_v2_8!K42,recreation_v2_9!K42,recreation_v2_10!K42)/COUNT(recreation_v2_6!K42,recreation_v2_7!K42,recreation_v2_8!K42,recreation_v2_9!K42,recreation_v2_10!K42),0))</f>
        <v>1</v>
      </c>
      <c r="L42">
        <f>IF($E42=0,"NA",ROUND(SUM(recreation_v2_6!L42,recreation_v2_7!L42,recreation_v2_8!L42,recreation_v2_9!L42,recreation_v2_10!L42)/COUNT(recreation_v2_6!L42,recreation_v2_7!L42,recreation_v2_8!L42,recreation_v2_9!L42,recreation_v2_10!L42),0))</f>
        <v>1</v>
      </c>
      <c r="M42">
        <f>IF($E42=0, "NA", ROUND(SUM(recreation_v2_6!M42,recreation_v2_7!M42,recreation_v2_8!M42,recreation_v2_9!M42,recreation_v2_10!M42)/COUNT(recreation_v2_6!M42,recreation_v2_7!M42,recreation_v2_8!M42,recreation_v2_9!M42,recreation_v2_10!M42),0))</f>
        <v>1</v>
      </c>
      <c r="N42">
        <f>IF($E42=0,"NA",ROUND(SUM(recreation_v2_6!N42,recreation_v2_7!N42,recreation_v2_8!N42,recreation_v2_9!N42,recreation_v2_10!N42)/COUNT(recreation_v2_6!N42,recreation_v2_7!N42,recreation_v2_8!N42,recreation_v2_9!N42,recreation_v2_10!N42),0))</f>
        <v>1</v>
      </c>
      <c r="O42">
        <f>IF($E42=0, "NA", ROUND(SUM(recreation_v2_6!O42,recreation_v2_7!O42,recreation_v2_8!O42,recreation_v2_9!O42,recreation_v2_10!O42)/COUNT(recreation_v2_6!O42,recreation_v2_7!O42,recreation_v2_8!O42,recreation_v2_9!O42,recreation_v2_10!O42),0))</f>
        <v>1</v>
      </c>
    </row>
    <row r="43" spans="1:15" x14ac:dyDescent="0.25">
      <c r="A43" t="s">
        <v>59</v>
      </c>
      <c r="B43" t="s">
        <v>45</v>
      </c>
      <c r="C43">
        <v>0</v>
      </c>
      <c r="D43">
        <v>6.9719469547271729</v>
      </c>
      <c r="E43">
        <f>ROUND(SUM(recreation_v2_6!E43,recreation_v2_7!E43,recreation_v2_8!E43,recreation_v2_9!E43,recreation_v2_10!E43)/COUNT(recreation_v2_6!E43,recreation_v2_7!E43,recreation_v2_8!E43,recreation_v2_9!E43,recreation_v2_10!E43),0)</f>
        <v>1</v>
      </c>
      <c r="F43">
        <f>IF($E43=0, "NA", ROUND(SUM(recreation_v2_6!F43,recreation_v2_7!F43,recreation_v2_8!F43,recreation_v2_9!F43,recreation_v2_10!F43)/COUNT(recreation_v2_6!F43,recreation_v2_7!F43,recreation_v2_8!F43,recreation_v2_9!F43,recreation_v2_10!F43),0))</f>
        <v>1</v>
      </c>
      <c r="G43">
        <f>IF($E43=0,"NA",ROUND(SUM(recreation_v2_6!G43,recreation_v2_7!G43,recreation_v2_8!G43,recreation_v2_9!G43,recreation_v2_10!G43)/COUNT(recreation_v2_6!G43,recreation_v2_7!G43,recreation_v2_8!G43,recreation_v2_9!G43,recreation_v2_10!G43),0))</f>
        <v>0</v>
      </c>
      <c r="H43" t="str">
        <f>IF(AND(F43=1, G43=1),ROUND(SUM(recreation_v2_6!H43,recreation_v2_7!H43,recreation_v2_8!H43,recreation_v2_9!H43,recreation_v2_10!H43)/COUNT(recreation_v2_6!H43,recreation_v2_7!H43,recreation_v2_8!H43,recreation_v2_9!H43,recreation_v2_10!H43),0),"NA")</f>
        <v>NA</v>
      </c>
      <c r="I43">
        <f>IF($E43=0, "NA", ROUND(SUM(recreation_v2_6!I43,recreation_v2_7!I43,recreation_v2_8!I43,recreation_v2_9!I43,recreation_v2_10!I43)/COUNT(recreation_v2_6!I43,recreation_v2_7!I43,recreation_v2_8!I43,recreation_v2_9!I43,recreation_v2_10!I43),0))</f>
        <v>1</v>
      </c>
      <c r="J43">
        <f>IF(F43=1,ROUND(SUM(recreation_v2_6!J43,recreation_v2_7!J43,recreation_v2_8!J43,recreation_v2_9!J43,recreation_v2_10!J43)/COUNT(recreation_v2_6!J43,recreation_v2_7!J43,recreation_v2_8!J43,recreation_v2_9!J43,recreation_v2_10!J43),0),"NA")</f>
        <v>1</v>
      </c>
      <c r="K43">
        <f>IF($E43=0, "NA", ROUND(SUM(recreation_v2_6!K43,recreation_v2_7!K43,recreation_v2_8!K43,recreation_v2_9!K43,recreation_v2_10!K43)/COUNT(recreation_v2_6!K43,recreation_v2_7!K43,recreation_v2_8!K43,recreation_v2_9!K43,recreation_v2_10!K43),0))</f>
        <v>1</v>
      </c>
      <c r="L43">
        <f>IF($E43=0,"NA",ROUND(SUM(recreation_v2_6!L43,recreation_v2_7!L43,recreation_v2_8!L43,recreation_v2_9!L43,recreation_v2_10!L43)/COUNT(recreation_v2_6!L43,recreation_v2_7!L43,recreation_v2_8!L43,recreation_v2_9!L43,recreation_v2_10!L43),0))</f>
        <v>1</v>
      </c>
      <c r="M43">
        <f>IF($E43=0, "NA", ROUND(SUM(recreation_v2_6!M43,recreation_v2_7!M43,recreation_v2_8!M43,recreation_v2_9!M43,recreation_v2_10!M43)/COUNT(recreation_v2_6!M43,recreation_v2_7!M43,recreation_v2_8!M43,recreation_v2_9!M43,recreation_v2_10!M43),0))</f>
        <v>1</v>
      </c>
      <c r="N43">
        <f>IF($E43=0,"NA",ROUND(SUM(recreation_v2_6!N43,recreation_v2_7!N43,recreation_v2_8!N43,recreation_v2_9!N43,recreation_v2_10!N43)/COUNT(recreation_v2_6!N43,recreation_v2_7!N43,recreation_v2_8!N43,recreation_v2_9!N43,recreation_v2_10!N43),0))</f>
        <v>1</v>
      </c>
      <c r="O43">
        <f>IF($E43=0, "NA", ROUND(SUM(recreation_v2_6!O43,recreation_v2_7!O43,recreation_v2_8!O43,recreation_v2_9!O43,recreation_v2_10!O43)/COUNT(recreation_v2_6!O43,recreation_v2_7!O43,recreation_v2_8!O43,recreation_v2_9!O43,recreation_v2_10!O43),0))</f>
        <v>1</v>
      </c>
    </row>
    <row r="44" spans="1:15" x14ac:dyDescent="0.25">
      <c r="A44" t="s">
        <v>59</v>
      </c>
      <c r="B44" t="s">
        <v>47</v>
      </c>
      <c r="C44">
        <v>0</v>
      </c>
      <c r="D44">
        <v>10.68581056594849</v>
      </c>
      <c r="E44">
        <f>ROUND(SUM(recreation_v2_6!E44,recreation_v2_7!E44,recreation_v2_8!E44,recreation_v2_9!E44,recreation_v2_10!E44)/COUNT(recreation_v2_6!E44,recreation_v2_7!E44,recreation_v2_8!E44,recreation_v2_9!E44,recreation_v2_10!E44),0)</f>
        <v>1</v>
      </c>
      <c r="F44">
        <f>IF($E44=0, "NA", ROUND(SUM(recreation_v2_6!F44,recreation_v2_7!F44,recreation_v2_8!F44,recreation_v2_9!F44,recreation_v2_10!F44)/COUNT(recreation_v2_6!F44,recreation_v2_7!F44,recreation_v2_8!F44,recreation_v2_9!F44,recreation_v2_10!F44),0))</f>
        <v>1</v>
      </c>
      <c r="G44">
        <f>IF($E44=0,"NA",ROUND(SUM(recreation_v2_6!G44,recreation_v2_7!G44,recreation_v2_8!G44,recreation_v2_9!G44,recreation_v2_10!G44)/COUNT(recreation_v2_6!G44,recreation_v2_7!G44,recreation_v2_8!G44,recreation_v2_9!G44,recreation_v2_10!G44),0))</f>
        <v>1</v>
      </c>
      <c r="H44">
        <f>IF(AND(F44=1, G44=1),ROUND(SUM(recreation_v2_6!H44,recreation_v2_7!H44,recreation_v2_8!H44,recreation_v2_9!H44,recreation_v2_10!H44)/COUNT(recreation_v2_6!H44,recreation_v2_7!H44,recreation_v2_8!H44,recreation_v2_9!H44,recreation_v2_10!H44),0),"NA")</f>
        <v>1</v>
      </c>
      <c r="I44">
        <f>IF($E44=0, "NA", ROUND(SUM(recreation_v2_6!I44,recreation_v2_7!I44,recreation_v2_8!I44,recreation_v2_9!I44,recreation_v2_10!I44)/COUNT(recreation_v2_6!I44,recreation_v2_7!I44,recreation_v2_8!I44,recreation_v2_9!I44,recreation_v2_10!I44),0))</f>
        <v>1</v>
      </c>
      <c r="J44">
        <f>IF(F44=1,ROUND(SUM(recreation_v2_6!J44,recreation_v2_7!J44,recreation_v2_8!J44,recreation_v2_9!J44,recreation_v2_10!J44)/COUNT(recreation_v2_6!J44,recreation_v2_7!J44,recreation_v2_8!J44,recreation_v2_9!J44,recreation_v2_10!J44),0),"NA")</f>
        <v>1</v>
      </c>
      <c r="K44">
        <f>IF($E44=0, "NA", ROUND(SUM(recreation_v2_6!K44,recreation_v2_7!K44,recreation_v2_8!K44,recreation_v2_9!K44,recreation_v2_10!K44)/COUNT(recreation_v2_6!K44,recreation_v2_7!K44,recreation_v2_8!K44,recreation_v2_9!K44,recreation_v2_10!K44),0))</f>
        <v>0</v>
      </c>
      <c r="L44">
        <f>IF($E44=0,"NA",ROUND(SUM(recreation_v2_6!L44,recreation_v2_7!L44,recreation_v2_8!L44,recreation_v2_9!L44,recreation_v2_10!L44)/COUNT(recreation_v2_6!L44,recreation_v2_7!L44,recreation_v2_8!L44,recreation_v2_9!L44,recreation_v2_10!L44),0))</f>
        <v>1</v>
      </c>
      <c r="M44">
        <f>IF($E44=0, "NA", ROUND(SUM(recreation_v2_6!M44,recreation_v2_7!M44,recreation_v2_8!M44,recreation_v2_9!M44,recreation_v2_10!M44)/COUNT(recreation_v2_6!M44,recreation_v2_7!M44,recreation_v2_8!M44,recreation_v2_9!M44,recreation_v2_10!M44),0))</f>
        <v>1</v>
      </c>
      <c r="N44">
        <f>IF($E44=0,"NA",ROUND(SUM(recreation_v2_6!N44,recreation_v2_7!N44,recreation_v2_8!N44,recreation_v2_9!N44,recreation_v2_10!N44)/COUNT(recreation_v2_6!N44,recreation_v2_7!N44,recreation_v2_8!N44,recreation_v2_9!N44,recreation_v2_10!N44),0))</f>
        <v>1</v>
      </c>
      <c r="O44">
        <f>IF($E44=0, "NA", ROUND(SUM(recreation_v2_6!O44,recreation_v2_7!O44,recreation_v2_8!O44,recreation_v2_9!O44,recreation_v2_10!O44)/COUNT(recreation_v2_6!O44,recreation_v2_7!O44,recreation_v2_8!O44,recreation_v2_9!O44,recreation_v2_10!O44),0))</f>
        <v>1</v>
      </c>
    </row>
    <row r="45" spans="1:15" x14ac:dyDescent="0.25">
      <c r="A45" t="s">
        <v>59</v>
      </c>
      <c r="B45" t="s">
        <v>48</v>
      </c>
      <c r="C45">
        <v>0</v>
      </c>
      <c r="D45">
        <v>3.73729395866394</v>
      </c>
      <c r="E45">
        <f>ROUND(SUM(recreation_v2_6!E45,recreation_v2_7!E45,recreation_v2_8!E45,recreation_v2_9!E45,recreation_v2_10!E45)/COUNT(recreation_v2_6!E45,recreation_v2_7!E45,recreation_v2_8!E45,recreation_v2_9!E45,recreation_v2_10!E45),0)</f>
        <v>1</v>
      </c>
      <c r="F45">
        <f>IF($E45=0, "NA", ROUND(SUM(recreation_v2_6!F45,recreation_v2_7!F45,recreation_v2_8!F45,recreation_v2_9!F45,recreation_v2_10!F45)/COUNT(recreation_v2_6!F45,recreation_v2_7!F45,recreation_v2_8!F45,recreation_v2_9!F45,recreation_v2_10!F45),0))</f>
        <v>1</v>
      </c>
      <c r="G45">
        <f>IF($E45=0,"NA",ROUND(SUM(recreation_v2_6!G45,recreation_v2_7!G45,recreation_v2_8!G45,recreation_v2_9!G45,recreation_v2_10!G45)/COUNT(recreation_v2_6!G45,recreation_v2_7!G45,recreation_v2_8!G45,recreation_v2_9!G45,recreation_v2_10!G45),0))</f>
        <v>1</v>
      </c>
      <c r="H45">
        <f>IF(AND(F45=1, G45=1),ROUND(SUM(recreation_v2_6!H45,recreation_v2_7!H45,recreation_v2_8!H45,recreation_v2_9!H45,recreation_v2_10!H45)/COUNT(recreation_v2_6!H45,recreation_v2_7!H45,recreation_v2_8!H45,recreation_v2_9!H45,recreation_v2_10!H45),0),"NA")</f>
        <v>1</v>
      </c>
      <c r="I45">
        <f>IF($E45=0, "NA", ROUND(SUM(recreation_v2_6!I45,recreation_v2_7!I45,recreation_v2_8!I45,recreation_v2_9!I45,recreation_v2_10!I45)/COUNT(recreation_v2_6!I45,recreation_v2_7!I45,recreation_v2_8!I45,recreation_v2_9!I45,recreation_v2_10!I45),0))</f>
        <v>1</v>
      </c>
      <c r="J45">
        <f>IF(F45=1,ROUND(SUM(recreation_v2_6!J45,recreation_v2_7!J45,recreation_v2_8!J45,recreation_v2_9!J45,recreation_v2_10!J45)/COUNT(recreation_v2_6!J45,recreation_v2_7!J45,recreation_v2_8!J45,recreation_v2_9!J45,recreation_v2_10!J45),0),"NA")</f>
        <v>1</v>
      </c>
      <c r="K45">
        <f>IF($E45=0, "NA", ROUND(SUM(recreation_v2_6!K45,recreation_v2_7!K45,recreation_v2_8!K45,recreation_v2_9!K45,recreation_v2_10!K45)/COUNT(recreation_v2_6!K45,recreation_v2_7!K45,recreation_v2_8!K45,recreation_v2_9!K45,recreation_v2_10!K45),0))</f>
        <v>1</v>
      </c>
      <c r="L45">
        <f>IF($E45=0,"NA",ROUND(SUM(recreation_v2_6!L45,recreation_v2_7!L45,recreation_v2_8!L45,recreation_v2_9!L45,recreation_v2_10!L45)/COUNT(recreation_v2_6!L45,recreation_v2_7!L45,recreation_v2_8!L45,recreation_v2_9!L45,recreation_v2_10!L45),0))</f>
        <v>1</v>
      </c>
      <c r="M45">
        <f>IF($E45=0, "NA", ROUND(SUM(recreation_v2_6!M45,recreation_v2_7!M45,recreation_v2_8!M45,recreation_v2_9!M45,recreation_v2_10!M45)/COUNT(recreation_v2_6!M45,recreation_v2_7!M45,recreation_v2_8!M45,recreation_v2_9!M45,recreation_v2_10!M45),0))</f>
        <v>1</v>
      </c>
      <c r="N45">
        <f>IF($E45=0,"NA",ROUND(SUM(recreation_v2_6!N45,recreation_v2_7!N45,recreation_v2_8!N45,recreation_v2_9!N45,recreation_v2_10!N45)/COUNT(recreation_v2_6!N45,recreation_v2_7!N45,recreation_v2_8!N45,recreation_v2_9!N45,recreation_v2_10!N45),0))</f>
        <v>1</v>
      </c>
      <c r="O45">
        <f>IF($E45=0, "NA", ROUND(SUM(recreation_v2_6!O45,recreation_v2_7!O45,recreation_v2_8!O45,recreation_v2_9!O45,recreation_v2_10!O45)/COUNT(recreation_v2_6!O45,recreation_v2_7!O45,recreation_v2_8!O45,recreation_v2_9!O45,recreation_v2_10!O45),0))</f>
        <v>1</v>
      </c>
    </row>
    <row r="46" spans="1:15" x14ac:dyDescent="0.25">
      <c r="A46" t="s">
        <v>59</v>
      </c>
      <c r="B46" t="s">
        <v>49</v>
      </c>
      <c r="C46">
        <v>0</v>
      </c>
      <c r="D46">
        <v>11.15756034851074</v>
      </c>
      <c r="E46">
        <f>ROUND(SUM(recreation_v2_6!E46,recreation_v2_7!E46,recreation_v2_8!E46,recreation_v2_9!E46,recreation_v2_10!E46)/COUNT(recreation_v2_6!E46,recreation_v2_7!E46,recreation_v2_8!E46,recreation_v2_9!E46,recreation_v2_10!E46),0)</f>
        <v>1</v>
      </c>
      <c r="F46">
        <f>IF($E46=0, "NA", ROUND(SUM(recreation_v2_6!F46,recreation_v2_7!F46,recreation_v2_8!F46,recreation_v2_9!F46,recreation_v2_10!F46)/COUNT(recreation_v2_6!F46,recreation_v2_7!F46,recreation_v2_8!F46,recreation_v2_9!F46,recreation_v2_10!F46),0))</f>
        <v>1</v>
      </c>
      <c r="G46">
        <f>IF($E46=0,"NA",ROUND(SUM(recreation_v2_6!G46,recreation_v2_7!G46,recreation_v2_8!G46,recreation_v2_9!G46,recreation_v2_10!G46)/COUNT(recreation_v2_6!G46,recreation_v2_7!G46,recreation_v2_8!G46,recreation_v2_9!G46,recreation_v2_10!G46),0))</f>
        <v>0</v>
      </c>
      <c r="H46" t="str">
        <f>IF(AND(F46=1, G46=1),ROUND(SUM(recreation_v2_6!H46,recreation_v2_7!H46,recreation_v2_8!H46,recreation_v2_9!H46,recreation_v2_10!H46)/COUNT(recreation_v2_6!H46,recreation_v2_7!H46,recreation_v2_8!H46,recreation_v2_9!H46,recreation_v2_10!H46),0),"NA")</f>
        <v>NA</v>
      </c>
      <c r="I46">
        <f>IF($E46=0, "NA", ROUND(SUM(recreation_v2_6!I46,recreation_v2_7!I46,recreation_v2_8!I46,recreation_v2_9!I46,recreation_v2_10!I46)/COUNT(recreation_v2_6!I46,recreation_v2_7!I46,recreation_v2_8!I46,recreation_v2_9!I46,recreation_v2_10!I46),0))</f>
        <v>1</v>
      </c>
      <c r="J46">
        <f>IF(F46=1,ROUND(SUM(recreation_v2_6!J46,recreation_v2_7!J46,recreation_v2_8!J46,recreation_v2_9!J46,recreation_v2_10!J46)/COUNT(recreation_v2_6!J46,recreation_v2_7!J46,recreation_v2_8!J46,recreation_v2_9!J46,recreation_v2_10!J46),0),"NA")</f>
        <v>1</v>
      </c>
      <c r="K46">
        <f>IF($E46=0, "NA", ROUND(SUM(recreation_v2_6!K46,recreation_v2_7!K46,recreation_v2_8!K46,recreation_v2_9!K46,recreation_v2_10!K46)/COUNT(recreation_v2_6!K46,recreation_v2_7!K46,recreation_v2_8!K46,recreation_v2_9!K46,recreation_v2_10!K46),0))</f>
        <v>1</v>
      </c>
      <c r="L46">
        <f>IF($E46=0,"NA",ROUND(SUM(recreation_v2_6!L46,recreation_v2_7!L46,recreation_v2_8!L46,recreation_v2_9!L46,recreation_v2_10!L46)/COUNT(recreation_v2_6!L46,recreation_v2_7!L46,recreation_v2_8!L46,recreation_v2_9!L46,recreation_v2_10!L46),0))</f>
        <v>1</v>
      </c>
      <c r="M46">
        <f>IF($E46=0, "NA", ROUND(SUM(recreation_v2_6!M46,recreation_v2_7!M46,recreation_v2_8!M46,recreation_v2_9!M46,recreation_v2_10!M46)/COUNT(recreation_v2_6!M46,recreation_v2_7!M46,recreation_v2_8!M46,recreation_v2_9!M46,recreation_v2_10!M46),0))</f>
        <v>1</v>
      </c>
      <c r="N46">
        <f>IF($E46=0,"NA",ROUND(SUM(recreation_v2_6!N46,recreation_v2_7!N46,recreation_v2_8!N46,recreation_v2_9!N46,recreation_v2_10!N46)/COUNT(recreation_v2_6!N46,recreation_v2_7!N46,recreation_v2_8!N46,recreation_v2_9!N46,recreation_v2_10!N46),0))</f>
        <v>1</v>
      </c>
      <c r="O46">
        <f>IF($E46=0, "NA", ROUND(SUM(recreation_v2_6!O46,recreation_v2_7!O46,recreation_v2_8!O46,recreation_v2_9!O46,recreation_v2_10!O46)/COUNT(recreation_v2_6!O46,recreation_v2_7!O46,recreation_v2_8!O46,recreation_v2_9!O46,recreation_v2_10!O46),0))</f>
        <v>1</v>
      </c>
    </row>
    <row r="47" spans="1:15" x14ac:dyDescent="0.25">
      <c r="A47" t="s">
        <v>59</v>
      </c>
      <c r="B47" t="s">
        <v>51</v>
      </c>
      <c r="C47">
        <v>0</v>
      </c>
      <c r="D47">
        <v>2.779304027557373</v>
      </c>
      <c r="E47">
        <f>ROUND(SUM(recreation_v2_6!E47,recreation_v2_7!E47,recreation_v2_8!E47,recreation_v2_9!E47,recreation_v2_10!E47)/COUNT(recreation_v2_6!E47,recreation_v2_7!E47,recreation_v2_8!E47,recreation_v2_9!E47,recreation_v2_10!E47),0)</f>
        <v>1</v>
      </c>
      <c r="F47">
        <f>IF($E47=0, "NA", ROUND(SUM(recreation_v2_6!F47,recreation_v2_7!F47,recreation_v2_8!F47,recreation_v2_9!F47,recreation_v2_10!F47)/COUNT(recreation_v2_6!F47,recreation_v2_7!F47,recreation_v2_8!F47,recreation_v2_9!F47,recreation_v2_10!F47),0))</f>
        <v>1</v>
      </c>
      <c r="G47">
        <f>IF($E47=0,"NA",ROUND(SUM(recreation_v2_6!G47,recreation_v2_7!G47,recreation_v2_8!G47,recreation_v2_9!G47,recreation_v2_10!G47)/COUNT(recreation_v2_6!G47,recreation_v2_7!G47,recreation_v2_8!G47,recreation_v2_9!G47,recreation_v2_10!G47),0))</f>
        <v>1</v>
      </c>
      <c r="H47">
        <f>IF(AND(F47=1, G47=1),ROUND(SUM(recreation_v2_6!H47,recreation_v2_7!H47,recreation_v2_8!H47,recreation_v2_9!H47,recreation_v2_10!H47)/COUNT(recreation_v2_6!H47,recreation_v2_7!H47,recreation_v2_8!H47,recreation_v2_9!H47,recreation_v2_10!H47),0),"NA")</f>
        <v>1</v>
      </c>
      <c r="I47">
        <f>IF($E47=0, "NA", ROUND(SUM(recreation_v2_6!I47,recreation_v2_7!I47,recreation_v2_8!I47,recreation_v2_9!I47,recreation_v2_10!I47)/COUNT(recreation_v2_6!I47,recreation_v2_7!I47,recreation_v2_8!I47,recreation_v2_9!I47,recreation_v2_10!I47),0))</f>
        <v>1</v>
      </c>
      <c r="J47">
        <f>IF(F47=1,ROUND(SUM(recreation_v2_6!J47,recreation_v2_7!J47,recreation_v2_8!J47,recreation_v2_9!J47,recreation_v2_10!J47)/COUNT(recreation_v2_6!J47,recreation_v2_7!J47,recreation_v2_8!J47,recreation_v2_9!J47,recreation_v2_10!J47),0),"NA")</f>
        <v>1</v>
      </c>
      <c r="K47">
        <f>IF($E47=0, "NA", ROUND(SUM(recreation_v2_6!K47,recreation_v2_7!K47,recreation_v2_8!K47,recreation_v2_9!K47,recreation_v2_10!K47)/COUNT(recreation_v2_6!K47,recreation_v2_7!K47,recreation_v2_8!K47,recreation_v2_9!K47,recreation_v2_10!K47),0))</f>
        <v>1</v>
      </c>
      <c r="L47">
        <f>IF($E47=0,"NA",ROUND(SUM(recreation_v2_6!L47,recreation_v2_7!L47,recreation_v2_8!L47,recreation_v2_9!L47,recreation_v2_10!L47)/COUNT(recreation_v2_6!L47,recreation_v2_7!L47,recreation_v2_8!L47,recreation_v2_9!L47,recreation_v2_10!L47),0))</f>
        <v>1</v>
      </c>
      <c r="M47">
        <f>IF($E47=0, "NA", ROUND(SUM(recreation_v2_6!M47,recreation_v2_7!M47,recreation_v2_8!M47,recreation_v2_9!M47,recreation_v2_10!M47)/COUNT(recreation_v2_6!M47,recreation_v2_7!M47,recreation_v2_8!M47,recreation_v2_9!M47,recreation_v2_10!M47),0))</f>
        <v>1</v>
      </c>
      <c r="N47">
        <f>IF($E47=0,"NA",ROUND(SUM(recreation_v2_6!N47,recreation_v2_7!N47,recreation_v2_8!N47,recreation_v2_9!N47,recreation_v2_10!N47)/COUNT(recreation_v2_6!N47,recreation_v2_7!N47,recreation_v2_8!N47,recreation_v2_9!N47,recreation_v2_10!N47),0))</f>
        <v>1</v>
      </c>
      <c r="O47">
        <f>IF($E47=0, "NA", ROUND(SUM(recreation_v2_6!O47,recreation_v2_7!O47,recreation_v2_8!O47,recreation_v2_9!O47,recreation_v2_10!O47)/COUNT(recreation_v2_6!O47,recreation_v2_7!O47,recreation_v2_8!O47,recreation_v2_9!O47,recreation_v2_10!O47),0))</f>
        <v>1</v>
      </c>
    </row>
    <row r="48" spans="1:15" x14ac:dyDescent="0.25">
      <c r="A48" t="s">
        <v>59</v>
      </c>
      <c r="B48" t="s">
        <v>52</v>
      </c>
      <c r="C48">
        <v>0</v>
      </c>
      <c r="D48">
        <v>8.9234051704406738</v>
      </c>
      <c r="E48">
        <f>ROUND(SUM(recreation_v2_6!E48,recreation_v2_7!E48,recreation_v2_8!E48,recreation_v2_9!E48,recreation_v2_10!E48)/COUNT(recreation_v2_6!E48,recreation_v2_7!E48,recreation_v2_8!E48,recreation_v2_9!E48,recreation_v2_10!E48),0)</f>
        <v>1</v>
      </c>
      <c r="F48">
        <f>IF($E48=0, "NA", ROUND(SUM(recreation_v2_6!F48,recreation_v2_7!F48,recreation_v2_8!F48,recreation_v2_9!F48,recreation_v2_10!F48)/COUNT(recreation_v2_6!F48,recreation_v2_7!F48,recreation_v2_8!F48,recreation_v2_9!F48,recreation_v2_10!F48),0))</f>
        <v>1</v>
      </c>
      <c r="G48">
        <f>IF($E48=0,"NA",ROUND(SUM(recreation_v2_6!G48,recreation_v2_7!G48,recreation_v2_8!G48,recreation_v2_9!G48,recreation_v2_10!G48)/COUNT(recreation_v2_6!G48,recreation_v2_7!G48,recreation_v2_8!G48,recreation_v2_9!G48,recreation_v2_10!G48),0))</f>
        <v>1</v>
      </c>
      <c r="H48">
        <f>IF(AND(F48=1, G48=1),ROUND(SUM(recreation_v2_6!H48,recreation_v2_7!H48,recreation_v2_8!H48,recreation_v2_9!H48,recreation_v2_10!H48)/COUNT(recreation_v2_6!H48,recreation_v2_7!H48,recreation_v2_8!H48,recreation_v2_9!H48,recreation_v2_10!H48),0),"NA")</f>
        <v>1</v>
      </c>
      <c r="I48">
        <f>IF($E48=0, "NA", ROUND(SUM(recreation_v2_6!I48,recreation_v2_7!I48,recreation_v2_8!I48,recreation_v2_9!I48,recreation_v2_10!I48)/COUNT(recreation_v2_6!I48,recreation_v2_7!I48,recreation_v2_8!I48,recreation_v2_9!I48,recreation_v2_10!I48),0))</f>
        <v>1</v>
      </c>
      <c r="J48">
        <f>IF(F48=1,ROUND(SUM(recreation_v2_6!J48,recreation_v2_7!J48,recreation_v2_8!J48,recreation_v2_9!J48,recreation_v2_10!J48)/COUNT(recreation_v2_6!J48,recreation_v2_7!J48,recreation_v2_8!J48,recreation_v2_9!J48,recreation_v2_10!J48),0),"NA")</f>
        <v>1</v>
      </c>
      <c r="K48">
        <f>IF($E48=0, "NA", ROUND(SUM(recreation_v2_6!K48,recreation_v2_7!K48,recreation_v2_8!K48,recreation_v2_9!K48,recreation_v2_10!K48)/COUNT(recreation_v2_6!K48,recreation_v2_7!K48,recreation_v2_8!K48,recreation_v2_9!K48,recreation_v2_10!K48),0))</f>
        <v>1</v>
      </c>
      <c r="L48">
        <f>IF($E48=0,"NA",ROUND(SUM(recreation_v2_6!L48,recreation_v2_7!L48,recreation_v2_8!L48,recreation_v2_9!L48,recreation_v2_10!L48)/COUNT(recreation_v2_6!L48,recreation_v2_7!L48,recreation_v2_8!L48,recreation_v2_9!L48,recreation_v2_10!L48),0))</f>
        <v>1</v>
      </c>
      <c r="M48">
        <f>IF($E48=0, "NA", ROUND(SUM(recreation_v2_6!M48,recreation_v2_7!M48,recreation_v2_8!M48,recreation_v2_9!M48,recreation_v2_10!M48)/COUNT(recreation_v2_6!M48,recreation_v2_7!M48,recreation_v2_8!M48,recreation_v2_9!M48,recreation_v2_10!M48),0))</f>
        <v>1</v>
      </c>
      <c r="N48">
        <f>IF($E48=0,"NA",ROUND(SUM(recreation_v2_6!N48,recreation_v2_7!N48,recreation_v2_8!N48,recreation_v2_9!N48,recreation_v2_10!N48)/COUNT(recreation_v2_6!N48,recreation_v2_7!N48,recreation_v2_8!N48,recreation_v2_9!N48,recreation_v2_10!N48),0))</f>
        <v>1</v>
      </c>
      <c r="O48">
        <f>IF($E48=0, "NA", ROUND(SUM(recreation_v2_6!O48,recreation_v2_7!O48,recreation_v2_8!O48,recreation_v2_9!O48,recreation_v2_10!O48)/COUNT(recreation_v2_6!O48,recreation_v2_7!O48,recreation_v2_8!O48,recreation_v2_9!O48,recreation_v2_10!O48),0))</f>
        <v>1</v>
      </c>
    </row>
    <row r="49" spans="1:15" x14ac:dyDescent="0.25">
      <c r="A49" t="s">
        <v>59</v>
      </c>
      <c r="B49" t="s">
        <v>54</v>
      </c>
      <c r="C49">
        <v>0</v>
      </c>
      <c r="D49">
        <v>5.3345861434936523</v>
      </c>
      <c r="E49">
        <f>ROUND(SUM(recreation_v2_6!E49,recreation_v2_7!E49,recreation_v2_8!E49,recreation_v2_9!E49,recreation_v2_10!E49)/COUNT(recreation_v2_6!E49,recreation_v2_7!E49,recreation_v2_8!E49,recreation_v2_9!E49,recreation_v2_10!E49),0)</f>
        <v>1</v>
      </c>
      <c r="F49">
        <f>IF($E49=0, "NA", ROUND(SUM(recreation_v2_6!F49,recreation_v2_7!F49,recreation_v2_8!F49,recreation_v2_9!F49,recreation_v2_10!F49)/COUNT(recreation_v2_6!F49,recreation_v2_7!F49,recreation_v2_8!F49,recreation_v2_9!F49,recreation_v2_10!F49),0))</f>
        <v>1</v>
      </c>
      <c r="G49">
        <f>IF($E49=0,"NA",ROUND(SUM(recreation_v2_6!G49,recreation_v2_7!G49,recreation_v2_8!G49,recreation_v2_9!G49,recreation_v2_10!G49)/COUNT(recreation_v2_6!G49,recreation_v2_7!G49,recreation_v2_8!G49,recreation_v2_9!G49,recreation_v2_10!G49),0))</f>
        <v>1</v>
      </c>
      <c r="H49">
        <f>IF(AND(F49=1, G49=1),ROUND(SUM(recreation_v2_6!H49,recreation_v2_7!H49,recreation_v2_8!H49,recreation_v2_9!H49,recreation_v2_10!H49)/COUNT(recreation_v2_6!H49,recreation_v2_7!H49,recreation_v2_8!H49,recreation_v2_9!H49,recreation_v2_10!H49),0),"NA")</f>
        <v>1</v>
      </c>
      <c r="I49">
        <f>IF($E49=0, "NA", ROUND(SUM(recreation_v2_6!I49,recreation_v2_7!I49,recreation_v2_8!I49,recreation_v2_9!I49,recreation_v2_10!I49)/COUNT(recreation_v2_6!I49,recreation_v2_7!I49,recreation_v2_8!I49,recreation_v2_9!I49,recreation_v2_10!I49),0))</f>
        <v>0</v>
      </c>
      <c r="J49">
        <f>IF(F49=1,ROUND(SUM(recreation_v2_6!J49,recreation_v2_7!J49,recreation_v2_8!J49,recreation_v2_9!J49,recreation_v2_10!J49)/COUNT(recreation_v2_6!J49,recreation_v2_7!J49,recreation_v2_8!J49,recreation_v2_9!J49,recreation_v2_10!J49),0),"NA")</f>
        <v>0</v>
      </c>
      <c r="K49">
        <f>IF($E49=0, "NA", ROUND(SUM(recreation_v2_6!K49,recreation_v2_7!K49,recreation_v2_8!K49,recreation_v2_9!K49,recreation_v2_10!K49)/COUNT(recreation_v2_6!K49,recreation_v2_7!K49,recreation_v2_8!K49,recreation_v2_9!K49,recreation_v2_10!K49),0))</f>
        <v>1</v>
      </c>
      <c r="L49">
        <f>IF($E49=0,"NA",ROUND(SUM(recreation_v2_6!L49,recreation_v2_7!L49,recreation_v2_8!L49,recreation_v2_9!L49,recreation_v2_10!L49)/COUNT(recreation_v2_6!L49,recreation_v2_7!L49,recreation_v2_8!L49,recreation_v2_9!L49,recreation_v2_10!L49),0))</f>
        <v>1</v>
      </c>
      <c r="M49">
        <f>IF($E49=0, "NA", ROUND(SUM(recreation_v2_6!M49,recreation_v2_7!M49,recreation_v2_8!M49,recreation_v2_9!M49,recreation_v2_10!M49)/COUNT(recreation_v2_6!M49,recreation_v2_7!M49,recreation_v2_8!M49,recreation_v2_9!M49,recreation_v2_10!M49),0))</f>
        <v>1</v>
      </c>
      <c r="N49">
        <f>IF($E49=0,"NA",ROUND(SUM(recreation_v2_6!N49,recreation_v2_7!N49,recreation_v2_8!N49,recreation_v2_9!N49,recreation_v2_10!N49)/COUNT(recreation_v2_6!N49,recreation_v2_7!N49,recreation_v2_8!N49,recreation_v2_9!N49,recreation_v2_10!N49),0))</f>
        <v>1</v>
      </c>
      <c r="O49">
        <f>IF($E49=0, "NA", ROUND(SUM(recreation_v2_6!O49,recreation_v2_7!O49,recreation_v2_8!O49,recreation_v2_9!O49,recreation_v2_10!O49)/COUNT(recreation_v2_6!O49,recreation_v2_7!O49,recreation_v2_8!O49,recreation_v2_9!O49,recreation_v2_10!O49),0))</f>
        <v>1</v>
      </c>
    </row>
    <row r="50" spans="1:15" x14ac:dyDescent="0.25">
      <c r="A50" t="s">
        <v>59</v>
      </c>
      <c r="B50" t="s">
        <v>56</v>
      </c>
      <c r="C50">
        <v>0</v>
      </c>
      <c r="D50">
        <v>9.8924736976623535</v>
      </c>
      <c r="E50">
        <f>ROUND(SUM(recreation_v2_6!E50,recreation_v2_7!E50,recreation_v2_8!E50,recreation_v2_9!E50,recreation_v2_10!E50)/COUNT(recreation_v2_6!E50,recreation_v2_7!E50,recreation_v2_8!E50,recreation_v2_9!E50,recreation_v2_10!E50),0)</f>
        <v>1</v>
      </c>
      <c r="F50">
        <f>IF($E50=0, "NA", ROUND(SUM(recreation_v2_6!F50,recreation_v2_7!F50,recreation_v2_8!F50,recreation_v2_9!F50,recreation_v2_10!F50)/COUNT(recreation_v2_6!F50,recreation_v2_7!F50,recreation_v2_8!F50,recreation_v2_9!F50,recreation_v2_10!F50),0))</f>
        <v>1</v>
      </c>
      <c r="G50">
        <f>IF($E50=0,"NA",ROUND(SUM(recreation_v2_6!G50,recreation_v2_7!G50,recreation_v2_8!G50,recreation_v2_9!G50,recreation_v2_10!G50)/COUNT(recreation_v2_6!G50,recreation_v2_7!G50,recreation_v2_8!G50,recreation_v2_9!G50,recreation_v2_10!G50),0))</f>
        <v>1</v>
      </c>
      <c r="H50">
        <f>IF(AND(F50=1, G50=1),ROUND(SUM(recreation_v2_6!H50,recreation_v2_7!H50,recreation_v2_8!H50,recreation_v2_9!H50,recreation_v2_10!H50)/COUNT(recreation_v2_6!H50,recreation_v2_7!H50,recreation_v2_8!H50,recreation_v2_9!H50,recreation_v2_10!H50),0),"NA")</f>
        <v>1</v>
      </c>
      <c r="I50">
        <f>IF($E50=0, "NA", ROUND(SUM(recreation_v2_6!I50,recreation_v2_7!I50,recreation_v2_8!I50,recreation_v2_9!I50,recreation_v2_10!I50)/COUNT(recreation_v2_6!I50,recreation_v2_7!I50,recreation_v2_8!I50,recreation_v2_9!I50,recreation_v2_10!I50),0))</f>
        <v>1</v>
      </c>
      <c r="J50">
        <f>IF(F50=1,ROUND(SUM(recreation_v2_6!J50,recreation_v2_7!J50,recreation_v2_8!J50,recreation_v2_9!J50,recreation_v2_10!J50)/COUNT(recreation_v2_6!J50,recreation_v2_7!J50,recreation_v2_8!J50,recreation_v2_9!J50,recreation_v2_10!J50),0),"NA")</f>
        <v>1</v>
      </c>
      <c r="K50">
        <f>IF($E50=0, "NA", ROUND(SUM(recreation_v2_6!K50,recreation_v2_7!K50,recreation_v2_8!K50,recreation_v2_9!K50,recreation_v2_10!K50)/COUNT(recreation_v2_6!K50,recreation_v2_7!K50,recreation_v2_8!K50,recreation_v2_9!K50,recreation_v2_10!K50),0))</f>
        <v>1</v>
      </c>
      <c r="L50">
        <f>IF($E50=0,"NA",ROUND(SUM(recreation_v2_6!L50,recreation_v2_7!L50,recreation_v2_8!L50,recreation_v2_9!L50,recreation_v2_10!L50)/COUNT(recreation_v2_6!L50,recreation_v2_7!L50,recreation_v2_8!L50,recreation_v2_9!L50,recreation_v2_10!L50),0))</f>
        <v>1</v>
      </c>
      <c r="M50">
        <f>IF($E50=0, "NA", ROUND(SUM(recreation_v2_6!M50,recreation_v2_7!M50,recreation_v2_8!M50,recreation_v2_9!M50,recreation_v2_10!M50)/COUNT(recreation_v2_6!M50,recreation_v2_7!M50,recreation_v2_8!M50,recreation_v2_9!M50,recreation_v2_10!M50),0))</f>
        <v>1</v>
      </c>
      <c r="N50">
        <f>IF($E50=0,"NA",ROUND(SUM(recreation_v2_6!N50,recreation_v2_7!N50,recreation_v2_8!N50,recreation_v2_9!N50,recreation_v2_10!N50)/COUNT(recreation_v2_6!N50,recreation_v2_7!N50,recreation_v2_8!N50,recreation_v2_9!N50,recreation_v2_10!N50),0))</f>
        <v>1</v>
      </c>
      <c r="O50">
        <f>IF($E50=0, "NA", ROUND(SUM(recreation_v2_6!O50,recreation_v2_7!O50,recreation_v2_8!O50,recreation_v2_9!O50,recreation_v2_10!O50)/COUNT(recreation_v2_6!O50,recreation_v2_7!O50,recreation_v2_8!O50,recreation_v2_9!O50,recreation_v2_10!O50),0))</f>
        <v>1</v>
      </c>
    </row>
    <row r="51" spans="1:15" x14ac:dyDescent="0.25">
      <c r="A51" t="s">
        <v>59</v>
      </c>
      <c r="B51" t="s">
        <v>58</v>
      </c>
      <c r="C51">
        <v>0</v>
      </c>
      <c r="D51">
        <v>12.01100015640259</v>
      </c>
      <c r="E51">
        <f>ROUND(SUM(recreation_v2_6!E51,recreation_v2_7!E51,recreation_v2_8!E51,recreation_v2_9!E51,recreation_v2_10!E51)/COUNT(recreation_v2_6!E51,recreation_v2_7!E51,recreation_v2_8!E51,recreation_v2_9!E51,recreation_v2_10!E51),0)</f>
        <v>1</v>
      </c>
      <c r="F51">
        <f>IF($E51=0, "NA", ROUND(SUM(recreation_v2_6!F51,recreation_v2_7!F51,recreation_v2_8!F51,recreation_v2_9!F51,recreation_v2_10!F51)/COUNT(recreation_v2_6!F51,recreation_v2_7!F51,recreation_v2_8!F51,recreation_v2_9!F51,recreation_v2_10!F51),0))</f>
        <v>1</v>
      </c>
      <c r="G51">
        <f>IF($E51=0,"NA",ROUND(SUM(recreation_v2_6!G51,recreation_v2_7!G51,recreation_v2_8!G51,recreation_v2_9!G51,recreation_v2_10!G51)/COUNT(recreation_v2_6!G51,recreation_v2_7!G51,recreation_v2_8!G51,recreation_v2_9!G51,recreation_v2_10!G51),0))</f>
        <v>1</v>
      </c>
      <c r="H51">
        <f>IF(AND(F51=1, G51=1),ROUND(SUM(recreation_v2_6!H51,recreation_v2_7!H51,recreation_v2_8!H51,recreation_v2_9!H51,recreation_v2_10!H51)/COUNT(recreation_v2_6!H51,recreation_v2_7!H51,recreation_v2_8!H51,recreation_v2_9!H51,recreation_v2_10!H51),0),"NA")</f>
        <v>0</v>
      </c>
      <c r="I51">
        <f>IF($E51=0, "NA", ROUND(SUM(recreation_v2_6!I51,recreation_v2_7!I51,recreation_v2_8!I51,recreation_v2_9!I51,recreation_v2_10!I51)/COUNT(recreation_v2_6!I51,recreation_v2_7!I51,recreation_v2_8!I51,recreation_v2_9!I51,recreation_v2_10!I51),0))</f>
        <v>1</v>
      </c>
      <c r="J51">
        <f>IF(F51=1,ROUND(SUM(recreation_v2_6!J51,recreation_v2_7!J51,recreation_v2_8!J51,recreation_v2_9!J51,recreation_v2_10!J51)/COUNT(recreation_v2_6!J51,recreation_v2_7!J51,recreation_v2_8!J51,recreation_v2_9!J51,recreation_v2_10!J51),0),"NA")</f>
        <v>0</v>
      </c>
      <c r="K51">
        <f>IF($E51=0, "NA", ROUND(SUM(recreation_v2_6!K51,recreation_v2_7!K51,recreation_v2_8!K51,recreation_v2_9!K51,recreation_v2_10!K51)/COUNT(recreation_v2_6!K51,recreation_v2_7!K51,recreation_v2_8!K51,recreation_v2_9!K51,recreation_v2_10!K51),0))</f>
        <v>1</v>
      </c>
      <c r="L51">
        <f>IF($E51=0,"NA",ROUND(SUM(recreation_v2_6!L51,recreation_v2_7!L51,recreation_v2_8!L51,recreation_v2_9!L51,recreation_v2_10!L51)/COUNT(recreation_v2_6!L51,recreation_v2_7!L51,recreation_v2_8!L51,recreation_v2_9!L51,recreation_v2_10!L51),0))</f>
        <v>1</v>
      </c>
      <c r="M51">
        <f>IF($E51=0, "NA", ROUND(SUM(recreation_v2_6!M51,recreation_v2_7!M51,recreation_v2_8!M51,recreation_v2_9!M51,recreation_v2_10!M51)/COUNT(recreation_v2_6!M51,recreation_v2_7!M51,recreation_v2_8!M51,recreation_v2_9!M51,recreation_v2_10!M51),0))</f>
        <v>1</v>
      </c>
      <c r="N51">
        <f>IF($E51=0,"NA",ROUND(SUM(recreation_v2_6!N51,recreation_v2_7!N51,recreation_v2_8!N51,recreation_v2_9!N51,recreation_v2_10!N51)/COUNT(recreation_v2_6!N51,recreation_v2_7!N51,recreation_v2_8!N51,recreation_v2_9!N51,recreation_v2_10!N51),0))</f>
        <v>1</v>
      </c>
      <c r="O51">
        <f>IF($E51=0, "NA", ROUND(SUM(recreation_v2_6!O51,recreation_v2_7!O51,recreation_v2_8!O51,recreation_v2_9!O51,recreation_v2_10!O51)/COUNT(recreation_v2_6!O51,recreation_v2_7!O51,recreation_v2_8!O51,recreation_v2_9!O51,recreation_v2_10!O51),0))</f>
        <v>1</v>
      </c>
    </row>
    <row r="52" spans="1:15" x14ac:dyDescent="0.25">
      <c r="A52" t="s">
        <v>73</v>
      </c>
      <c r="B52" t="s">
        <v>17</v>
      </c>
      <c r="C52">
        <v>0</v>
      </c>
      <c r="D52">
        <v>9.308018684387207</v>
      </c>
      <c r="E52">
        <f>ROUND(SUM(recreation_v2_6!E52,recreation_v2_7!E52,recreation_v2_8!E52,recreation_v2_9!E52,recreation_v2_10!E52)/COUNT(recreation_v2_6!E52,recreation_v2_7!E52,recreation_v2_8!E52,recreation_v2_9!E52,recreation_v2_10!E52),0)</f>
        <v>1</v>
      </c>
      <c r="F52">
        <f>IF($E52=0, "NA", ROUND(SUM(recreation_v2_6!F52,recreation_v2_7!F52,recreation_v2_8!F52,recreation_v2_9!F52,recreation_v2_10!F52)/COUNT(recreation_v2_6!F52,recreation_v2_7!F52,recreation_v2_8!F52,recreation_v2_9!F52,recreation_v2_10!F52),0))</f>
        <v>1</v>
      </c>
      <c r="G52">
        <f>IF($E52=0,"NA",ROUND(SUM(recreation_v2_6!G52,recreation_v2_7!G52,recreation_v2_8!G52,recreation_v2_9!G52,recreation_v2_10!G52)/COUNT(recreation_v2_6!G52,recreation_v2_7!G52,recreation_v2_8!G52,recreation_v2_9!G52,recreation_v2_10!G52),0))</f>
        <v>1</v>
      </c>
      <c r="H52">
        <f>IF(AND(F52=1, G52=1),ROUND(SUM(recreation_v2_6!H52,recreation_v2_7!H52,recreation_v2_8!H52,recreation_v2_9!H52,recreation_v2_10!H52)/COUNT(recreation_v2_6!H52,recreation_v2_7!H52,recreation_v2_8!H52,recreation_v2_9!H52,recreation_v2_10!H52),0),"NA")</f>
        <v>1</v>
      </c>
      <c r="I52">
        <f>IF($E52=0, "NA", ROUND(SUM(recreation_v2_6!I52,recreation_v2_7!I52,recreation_v2_8!I52,recreation_v2_9!I52,recreation_v2_10!I52)/COUNT(recreation_v2_6!I52,recreation_v2_7!I52,recreation_v2_8!I52,recreation_v2_9!I52,recreation_v2_10!I52),0))</f>
        <v>1</v>
      </c>
      <c r="J52">
        <f>IF(F52=1,ROUND(SUM(recreation_v2_6!J52,recreation_v2_7!J52,recreation_v2_8!J52,recreation_v2_9!J52,recreation_v2_10!J52)/COUNT(recreation_v2_6!J52,recreation_v2_7!J52,recreation_v2_8!J52,recreation_v2_9!J52,recreation_v2_10!J52),0),"NA")</f>
        <v>1</v>
      </c>
      <c r="K52">
        <f>IF($E52=0, "NA", ROUND(SUM(recreation_v2_6!K52,recreation_v2_7!K52,recreation_v2_8!K52,recreation_v2_9!K52,recreation_v2_10!K52)/COUNT(recreation_v2_6!K52,recreation_v2_7!K52,recreation_v2_8!K52,recreation_v2_9!K52,recreation_v2_10!K52),0))</f>
        <v>1</v>
      </c>
      <c r="L52">
        <f>IF($E52=0,"NA",ROUND(SUM(recreation_v2_6!L52,recreation_v2_7!L52,recreation_v2_8!L52,recreation_v2_9!L52,recreation_v2_10!L52)/COUNT(recreation_v2_6!L52,recreation_v2_7!L52,recreation_v2_8!L52,recreation_v2_9!L52,recreation_v2_10!L52),0))</f>
        <v>1</v>
      </c>
      <c r="M52">
        <f>IF($E52=0, "NA", ROUND(SUM(recreation_v2_6!M52,recreation_v2_7!M52,recreation_v2_8!M52,recreation_v2_9!M52,recreation_v2_10!M52)/COUNT(recreation_v2_6!M52,recreation_v2_7!M52,recreation_v2_8!M52,recreation_v2_9!M52,recreation_v2_10!M52),0))</f>
        <v>1</v>
      </c>
      <c r="N52">
        <f>IF($E52=0,"NA",ROUND(SUM(recreation_v2_6!N52,recreation_v2_7!N52,recreation_v2_8!N52,recreation_v2_9!N52,recreation_v2_10!N52)/COUNT(recreation_v2_6!N52,recreation_v2_7!N52,recreation_v2_8!N52,recreation_v2_9!N52,recreation_v2_10!N52),0))</f>
        <v>1</v>
      </c>
      <c r="O52">
        <f>IF($E52=0, "NA", ROUND(SUM(recreation_v2_6!O52,recreation_v2_7!O52,recreation_v2_8!O52,recreation_v2_9!O52,recreation_v2_10!O52)/COUNT(recreation_v2_6!O52,recreation_v2_7!O52,recreation_v2_8!O52,recreation_v2_9!O52,recreation_v2_10!O52),0))</f>
        <v>1</v>
      </c>
    </row>
    <row r="53" spans="1:15" x14ac:dyDescent="0.25">
      <c r="A53" t="s">
        <v>73</v>
      </c>
      <c r="B53" t="s">
        <v>19</v>
      </c>
      <c r="C53">
        <v>0</v>
      </c>
      <c r="D53">
        <v>5.3532516956329346</v>
      </c>
      <c r="E53">
        <f>ROUND(SUM(recreation_v2_6!E53,recreation_v2_7!E53,recreation_v2_8!E53,recreation_v2_9!E53,recreation_v2_10!E53)/COUNT(recreation_v2_6!E53,recreation_v2_7!E53,recreation_v2_8!E53,recreation_v2_9!E53,recreation_v2_10!E53),0)</f>
        <v>1</v>
      </c>
      <c r="F53">
        <f>IF($E53=0, "NA", ROUND(SUM(recreation_v2_6!F53,recreation_v2_7!F53,recreation_v2_8!F53,recreation_v2_9!F53,recreation_v2_10!F53)/COUNT(recreation_v2_6!F53,recreation_v2_7!F53,recreation_v2_8!F53,recreation_v2_9!F53,recreation_v2_10!F53),0))</f>
        <v>1</v>
      </c>
      <c r="G53">
        <f>IF($E53=0,"NA",ROUND(SUM(recreation_v2_6!G53,recreation_v2_7!G53,recreation_v2_8!G53,recreation_v2_9!G53,recreation_v2_10!G53)/COUNT(recreation_v2_6!G53,recreation_v2_7!G53,recreation_v2_8!G53,recreation_v2_9!G53,recreation_v2_10!G53),0))</f>
        <v>1</v>
      </c>
      <c r="H53">
        <f>IF(AND(F53=1, G53=1),ROUND(SUM(recreation_v2_6!H53,recreation_v2_7!H53,recreation_v2_8!H53,recreation_v2_9!H53,recreation_v2_10!H53)/COUNT(recreation_v2_6!H53,recreation_v2_7!H53,recreation_v2_8!H53,recreation_v2_9!H53,recreation_v2_10!H53),0),"NA")</f>
        <v>1</v>
      </c>
      <c r="I53">
        <f>IF($E53=0, "NA", ROUND(SUM(recreation_v2_6!I53,recreation_v2_7!I53,recreation_v2_8!I53,recreation_v2_9!I53,recreation_v2_10!I53)/COUNT(recreation_v2_6!I53,recreation_v2_7!I53,recreation_v2_8!I53,recreation_v2_9!I53,recreation_v2_10!I53),0))</f>
        <v>1</v>
      </c>
      <c r="J53">
        <f>IF(F53=1,ROUND(SUM(recreation_v2_6!J53,recreation_v2_7!J53,recreation_v2_8!J53,recreation_v2_9!J53,recreation_v2_10!J53)/COUNT(recreation_v2_6!J53,recreation_v2_7!J53,recreation_v2_8!J53,recreation_v2_9!J53,recreation_v2_10!J53),0),"NA")</f>
        <v>0</v>
      </c>
      <c r="K53">
        <f>IF($E53=0, "NA", ROUND(SUM(recreation_v2_6!K53,recreation_v2_7!K53,recreation_v2_8!K53,recreation_v2_9!K53,recreation_v2_10!K53)/COUNT(recreation_v2_6!K53,recreation_v2_7!K53,recreation_v2_8!K53,recreation_v2_9!K53,recreation_v2_10!K53),0))</f>
        <v>1</v>
      </c>
      <c r="L53">
        <f>IF($E53=0,"NA",ROUND(SUM(recreation_v2_6!L53,recreation_v2_7!L53,recreation_v2_8!L53,recreation_v2_9!L53,recreation_v2_10!L53)/COUNT(recreation_v2_6!L53,recreation_v2_7!L53,recreation_v2_8!L53,recreation_v2_9!L53,recreation_v2_10!L53),0))</f>
        <v>1</v>
      </c>
      <c r="M53">
        <f>IF($E53=0, "NA", ROUND(SUM(recreation_v2_6!M53,recreation_v2_7!M53,recreation_v2_8!M53,recreation_v2_9!M53,recreation_v2_10!M53)/COUNT(recreation_v2_6!M53,recreation_v2_7!M53,recreation_v2_8!M53,recreation_v2_9!M53,recreation_v2_10!M53),0))</f>
        <v>1</v>
      </c>
      <c r="N53">
        <f>IF($E53=0,"NA",ROUND(SUM(recreation_v2_6!N53,recreation_v2_7!N53,recreation_v2_8!N53,recreation_v2_9!N53,recreation_v2_10!N53)/COUNT(recreation_v2_6!N53,recreation_v2_7!N53,recreation_v2_8!N53,recreation_v2_9!N53,recreation_v2_10!N53),0))</f>
        <v>1</v>
      </c>
      <c r="O53">
        <f>IF($E53=0, "NA", ROUND(SUM(recreation_v2_6!O53,recreation_v2_7!O53,recreation_v2_8!O53,recreation_v2_9!O53,recreation_v2_10!O53)/COUNT(recreation_v2_6!O53,recreation_v2_7!O53,recreation_v2_8!O53,recreation_v2_9!O53,recreation_v2_10!O53),0))</f>
        <v>1</v>
      </c>
    </row>
    <row r="54" spans="1:15" x14ac:dyDescent="0.25">
      <c r="A54" t="s">
        <v>73</v>
      </c>
      <c r="B54" t="s">
        <v>22</v>
      </c>
      <c r="C54">
        <v>0</v>
      </c>
      <c r="D54">
        <v>5.1352615356445313</v>
      </c>
      <c r="E54">
        <f>ROUND(SUM(recreation_v2_6!E54,recreation_v2_7!E54,recreation_v2_8!E54,recreation_v2_9!E54,recreation_v2_10!E54)/COUNT(recreation_v2_6!E54,recreation_v2_7!E54,recreation_v2_8!E54,recreation_v2_9!E54,recreation_v2_10!E54),0)</f>
        <v>1</v>
      </c>
      <c r="F54">
        <f>IF($E54=0, "NA", ROUND(SUM(recreation_v2_6!F54,recreation_v2_7!F54,recreation_v2_8!F54,recreation_v2_9!F54,recreation_v2_10!F54)/COUNT(recreation_v2_6!F54,recreation_v2_7!F54,recreation_v2_8!F54,recreation_v2_9!F54,recreation_v2_10!F54),0))</f>
        <v>1</v>
      </c>
      <c r="G54">
        <f>IF($E54=0,"NA",ROUND(SUM(recreation_v2_6!G54,recreation_v2_7!G54,recreation_v2_8!G54,recreation_v2_9!G54,recreation_v2_10!G54)/COUNT(recreation_v2_6!G54,recreation_v2_7!G54,recreation_v2_8!G54,recreation_v2_9!G54,recreation_v2_10!G54),0))</f>
        <v>1</v>
      </c>
      <c r="H54">
        <f>IF(AND(F54=1, G54=1),ROUND(SUM(recreation_v2_6!H54,recreation_v2_7!H54,recreation_v2_8!H54,recreation_v2_9!H54,recreation_v2_10!H54)/COUNT(recreation_v2_6!H54,recreation_v2_7!H54,recreation_v2_8!H54,recreation_v2_9!H54,recreation_v2_10!H54),0),"NA")</f>
        <v>1</v>
      </c>
      <c r="I54">
        <f>IF($E54=0, "NA", ROUND(SUM(recreation_v2_6!I54,recreation_v2_7!I54,recreation_v2_8!I54,recreation_v2_9!I54,recreation_v2_10!I54)/COUNT(recreation_v2_6!I54,recreation_v2_7!I54,recreation_v2_8!I54,recreation_v2_9!I54,recreation_v2_10!I54),0))</f>
        <v>1</v>
      </c>
      <c r="J54">
        <f>IF(F54=1,ROUND(SUM(recreation_v2_6!J54,recreation_v2_7!J54,recreation_v2_8!J54,recreation_v2_9!J54,recreation_v2_10!J54)/COUNT(recreation_v2_6!J54,recreation_v2_7!J54,recreation_v2_8!J54,recreation_v2_9!J54,recreation_v2_10!J54),0),"NA")</f>
        <v>0</v>
      </c>
      <c r="K54">
        <f>IF($E54=0, "NA", ROUND(SUM(recreation_v2_6!K54,recreation_v2_7!K54,recreation_v2_8!K54,recreation_v2_9!K54,recreation_v2_10!K54)/COUNT(recreation_v2_6!K54,recreation_v2_7!K54,recreation_v2_8!K54,recreation_v2_9!K54,recreation_v2_10!K54),0))</f>
        <v>1</v>
      </c>
      <c r="L54">
        <f>IF($E54=0,"NA",ROUND(SUM(recreation_v2_6!L54,recreation_v2_7!L54,recreation_v2_8!L54,recreation_v2_9!L54,recreation_v2_10!L54)/COUNT(recreation_v2_6!L54,recreation_v2_7!L54,recreation_v2_8!L54,recreation_v2_9!L54,recreation_v2_10!L54),0))</f>
        <v>1</v>
      </c>
      <c r="M54">
        <f>IF($E54=0, "NA", ROUND(SUM(recreation_v2_6!M54,recreation_v2_7!M54,recreation_v2_8!M54,recreation_v2_9!M54,recreation_v2_10!M54)/COUNT(recreation_v2_6!M54,recreation_v2_7!M54,recreation_v2_8!M54,recreation_v2_9!M54,recreation_v2_10!M54),0))</f>
        <v>1</v>
      </c>
      <c r="N54">
        <f>IF($E54=0,"NA",ROUND(SUM(recreation_v2_6!N54,recreation_v2_7!N54,recreation_v2_8!N54,recreation_v2_9!N54,recreation_v2_10!N54)/COUNT(recreation_v2_6!N54,recreation_v2_7!N54,recreation_v2_8!N54,recreation_v2_9!N54,recreation_v2_10!N54),0))</f>
        <v>1</v>
      </c>
      <c r="O54">
        <f>IF($E54=0, "NA", ROUND(SUM(recreation_v2_6!O54,recreation_v2_7!O54,recreation_v2_8!O54,recreation_v2_9!O54,recreation_v2_10!O54)/COUNT(recreation_v2_6!O54,recreation_v2_7!O54,recreation_v2_8!O54,recreation_v2_9!O54,recreation_v2_10!O54),0))</f>
        <v>1</v>
      </c>
    </row>
    <row r="55" spans="1:15" x14ac:dyDescent="0.25">
      <c r="A55" t="s">
        <v>73</v>
      </c>
      <c r="B55" t="s">
        <v>24</v>
      </c>
      <c r="C55">
        <v>0</v>
      </c>
      <c r="D55">
        <v>9.6598236560821533</v>
      </c>
      <c r="E55">
        <f>ROUND(SUM(recreation_v2_6!E55,recreation_v2_7!E55,recreation_v2_8!E55,recreation_v2_9!E55,recreation_v2_10!E55)/COUNT(recreation_v2_6!E55,recreation_v2_7!E55,recreation_v2_8!E55,recreation_v2_9!E55,recreation_v2_10!E55),0)</f>
        <v>1</v>
      </c>
      <c r="F55">
        <f>IF($E55=0, "NA", ROUND(SUM(recreation_v2_6!F55,recreation_v2_7!F55,recreation_v2_8!F55,recreation_v2_9!F55,recreation_v2_10!F55)/COUNT(recreation_v2_6!F55,recreation_v2_7!F55,recreation_v2_8!F55,recreation_v2_9!F55,recreation_v2_10!F55),0))</f>
        <v>1</v>
      </c>
      <c r="G55">
        <f>IF($E55=0,"NA",ROUND(SUM(recreation_v2_6!G55,recreation_v2_7!G55,recreation_v2_8!G55,recreation_v2_9!G55,recreation_v2_10!G55)/COUNT(recreation_v2_6!G55,recreation_v2_7!G55,recreation_v2_8!G55,recreation_v2_9!G55,recreation_v2_10!G55),0))</f>
        <v>1</v>
      </c>
      <c r="H55">
        <f>IF(AND(F55=1, G55=1),ROUND(SUM(recreation_v2_6!H55,recreation_v2_7!H55,recreation_v2_8!H55,recreation_v2_9!H55,recreation_v2_10!H55)/COUNT(recreation_v2_6!H55,recreation_v2_7!H55,recreation_v2_8!H55,recreation_v2_9!H55,recreation_v2_10!H55),0),"NA")</f>
        <v>1</v>
      </c>
      <c r="I55">
        <f>IF($E55=0, "NA", ROUND(SUM(recreation_v2_6!I55,recreation_v2_7!I55,recreation_v2_8!I55,recreation_v2_9!I55,recreation_v2_10!I55)/COUNT(recreation_v2_6!I55,recreation_v2_7!I55,recreation_v2_8!I55,recreation_v2_9!I55,recreation_v2_10!I55),0))</f>
        <v>1</v>
      </c>
      <c r="J55">
        <f>IF(F55=1,ROUND(SUM(recreation_v2_6!J55,recreation_v2_7!J55,recreation_v2_8!J55,recreation_v2_9!J55,recreation_v2_10!J55)/COUNT(recreation_v2_6!J55,recreation_v2_7!J55,recreation_v2_8!J55,recreation_v2_9!J55,recreation_v2_10!J55),0),"NA")</f>
        <v>1</v>
      </c>
      <c r="K55">
        <f>IF($E55=0, "NA", ROUND(SUM(recreation_v2_6!K55,recreation_v2_7!K55,recreation_v2_8!K55,recreation_v2_9!K55,recreation_v2_10!K55)/COUNT(recreation_v2_6!K55,recreation_v2_7!K55,recreation_v2_8!K55,recreation_v2_9!K55,recreation_v2_10!K55),0))</f>
        <v>0</v>
      </c>
      <c r="L55">
        <f>IF($E55=0,"NA",ROUND(SUM(recreation_v2_6!L55,recreation_v2_7!L55,recreation_v2_8!L55,recreation_v2_9!L55,recreation_v2_10!L55)/COUNT(recreation_v2_6!L55,recreation_v2_7!L55,recreation_v2_8!L55,recreation_v2_9!L55,recreation_v2_10!L55),0))</f>
        <v>0</v>
      </c>
      <c r="M55">
        <f>IF($E55=0, "NA", ROUND(SUM(recreation_v2_6!M55,recreation_v2_7!M55,recreation_v2_8!M55,recreation_v2_9!M55,recreation_v2_10!M55)/COUNT(recreation_v2_6!M55,recreation_v2_7!M55,recreation_v2_8!M55,recreation_v2_9!M55,recreation_v2_10!M55),0))</f>
        <v>1</v>
      </c>
      <c r="N55">
        <f>IF($E55=0,"NA",ROUND(SUM(recreation_v2_6!N55,recreation_v2_7!N55,recreation_v2_8!N55,recreation_v2_9!N55,recreation_v2_10!N55)/COUNT(recreation_v2_6!N55,recreation_v2_7!N55,recreation_v2_8!N55,recreation_v2_9!N55,recreation_v2_10!N55),0))</f>
        <v>1</v>
      </c>
      <c r="O55">
        <f>IF($E55=0, "NA", ROUND(SUM(recreation_v2_6!O55,recreation_v2_7!O55,recreation_v2_8!O55,recreation_v2_9!O55,recreation_v2_10!O55)/COUNT(recreation_v2_6!O55,recreation_v2_7!O55,recreation_v2_8!O55,recreation_v2_9!O55,recreation_v2_10!O55),0))</f>
        <v>1</v>
      </c>
    </row>
    <row r="56" spans="1:15" x14ac:dyDescent="0.25">
      <c r="A56" t="s">
        <v>73</v>
      </c>
      <c r="B56" t="s">
        <v>25</v>
      </c>
      <c r="C56">
        <v>0</v>
      </c>
      <c r="D56">
        <v>12.324697971343991</v>
      </c>
      <c r="E56">
        <f>ROUND(SUM(recreation_v2_6!E56,recreation_v2_7!E56,recreation_v2_8!E56,recreation_v2_9!E56,recreation_v2_10!E56)/COUNT(recreation_v2_6!E56,recreation_v2_7!E56,recreation_v2_8!E56,recreation_v2_9!E56,recreation_v2_10!E56),0)</f>
        <v>1</v>
      </c>
      <c r="F56">
        <f>IF($E56=0, "NA", ROUND(SUM(recreation_v2_6!F56,recreation_v2_7!F56,recreation_v2_8!F56,recreation_v2_9!F56,recreation_v2_10!F56)/COUNT(recreation_v2_6!F56,recreation_v2_7!F56,recreation_v2_8!F56,recreation_v2_9!F56,recreation_v2_10!F56),0))</f>
        <v>1</v>
      </c>
      <c r="G56">
        <f>IF($E56=0,"NA",ROUND(SUM(recreation_v2_6!G56,recreation_v2_7!G56,recreation_v2_8!G56,recreation_v2_9!G56,recreation_v2_10!G56)/COUNT(recreation_v2_6!G56,recreation_v2_7!G56,recreation_v2_8!G56,recreation_v2_9!G56,recreation_v2_10!G56),0))</f>
        <v>1</v>
      </c>
      <c r="H56">
        <f>IF(AND(F56=1, G56=1),ROUND(SUM(recreation_v2_6!H56,recreation_v2_7!H56,recreation_v2_8!H56,recreation_v2_9!H56,recreation_v2_10!H56)/COUNT(recreation_v2_6!H56,recreation_v2_7!H56,recreation_v2_8!H56,recreation_v2_9!H56,recreation_v2_10!H56),0),"NA")</f>
        <v>1</v>
      </c>
      <c r="I56">
        <f>IF($E56=0, "NA", ROUND(SUM(recreation_v2_6!I56,recreation_v2_7!I56,recreation_v2_8!I56,recreation_v2_9!I56,recreation_v2_10!I56)/COUNT(recreation_v2_6!I56,recreation_v2_7!I56,recreation_v2_8!I56,recreation_v2_9!I56,recreation_v2_10!I56),0))</f>
        <v>1</v>
      </c>
      <c r="J56">
        <f>IF(F56=1,ROUND(SUM(recreation_v2_6!J56,recreation_v2_7!J56,recreation_v2_8!J56,recreation_v2_9!J56,recreation_v2_10!J56)/COUNT(recreation_v2_6!J56,recreation_v2_7!J56,recreation_v2_8!J56,recreation_v2_9!J56,recreation_v2_10!J56),0),"NA")</f>
        <v>1</v>
      </c>
      <c r="K56">
        <f>IF($E56=0, "NA", ROUND(SUM(recreation_v2_6!K56,recreation_v2_7!K56,recreation_v2_8!K56,recreation_v2_9!K56,recreation_v2_10!K56)/COUNT(recreation_v2_6!K56,recreation_v2_7!K56,recreation_v2_8!K56,recreation_v2_9!K56,recreation_v2_10!K56),0))</f>
        <v>1</v>
      </c>
      <c r="L56">
        <f>IF($E56=0,"NA",ROUND(SUM(recreation_v2_6!L56,recreation_v2_7!L56,recreation_v2_8!L56,recreation_v2_9!L56,recreation_v2_10!L56)/COUNT(recreation_v2_6!L56,recreation_v2_7!L56,recreation_v2_8!L56,recreation_v2_9!L56,recreation_v2_10!L56),0))</f>
        <v>0</v>
      </c>
      <c r="M56">
        <f>IF($E56=0, "NA", ROUND(SUM(recreation_v2_6!M56,recreation_v2_7!M56,recreation_v2_8!M56,recreation_v2_9!M56,recreation_v2_10!M56)/COUNT(recreation_v2_6!M56,recreation_v2_7!M56,recreation_v2_8!M56,recreation_v2_9!M56,recreation_v2_10!M56),0))</f>
        <v>1</v>
      </c>
      <c r="N56">
        <f>IF($E56=0,"NA",ROUND(SUM(recreation_v2_6!N56,recreation_v2_7!N56,recreation_v2_8!N56,recreation_v2_9!N56,recreation_v2_10!N56)/COUNT(recreation_v2_6!N56,recreation_v2_7!N56,recreation_v2_8!N56,recreation_v2_9!N56,recreation_v2_10!N56),0))</f>
        <v>1</v>
      </c>
      <c r="O56">
        <f>IF($E56=0, "NA", ROUND(SUM(recreation_v2_6!O56,recreation_v2_7!O56,recreation_v2_8!O56,recreation_v2_9!O56,recreation_v2_10!O56)/COUNT(recreation_v2_6!O56,recreation_v2_7!O56,recreation_v2_8!O56,recreation_v2_9!O56,recreation_v2_10!O56),0))</f>
        <v>1</v>
      </c>
    </row>
    <row r="57" spans="1:15" x14ac:dyDescent="0.25">
      <c r="A57" t="s">
        <v>73</v>
      </c>
      <c r="B57" t="s">
        <v>26</v>
      </c>
      <c r="C57">
        <v>0</v>
      </c>
      <c r="D57">
        <v>4.4525837898254386</v>
      </c>
      <c r="E57">
        <f>ROUND(SUM(recreation_v2_6!E57,recreation_v2_7!E57,recreation_v2_8!E57,recreation_v2_9!E57,recreation_v2_10!E57)/COUNT(recreation_v2_6!E57,recreation_v2_7!E57,recreation_v2_8!E57,recreation_v2_9!E57,recreation_v2_10!E57),0)</f>
        <v>1</v>
      </c>
      <c r="F57">
        <f>IF($E57=0, "NA", ROUND(SUM(recreation_v2_6!F57,recreation_v2_7!F57,recreation_v2_8!F57,recreation_v2_9!F57,recreation_v2_10!F57)/COUNT(recreation_v2_6!F57,recreation_v2_7!F57,recreation_v2_8!F57,recreation_v2_9!F57,recreation_v2_10!F57),0))</f>
        <v>1</v>
      </c>
      <c r="G57">
        <f>IF($E57=0,"NA",ROUND(SUM(recreation_v2_6!G57,recreation_v2_7!G57,recreation_v2_8!G57,recreation_v2_9!G57,recreation_v2_10!G57)/COUNT(recreation_v2_6!G57,recreation_v2_7!G57,recreation_v2_8!G57,recreation_v2_9!G57,recreation_v2_10!G57),0))</f>
        <v>1</v>
      </c>
      <c r="H57">
        <f>IF(AND(F57=1, G57=1),ROUND(SUM(recreation_v2_6!H57,recreation_v2_7!H57,recreation_v2_8!H57,recreation_v2_9!H57,recreation_v2_10!H57)/COUNT(recreation_v2_6!H57,recreation_v2_7!H57,recreation_v2_8!H57,recreation_v2_9!H57,recreation_v2_10!H57),0),"NA")</f>
        <v>1</v>
      </c>
      <c r="I57">
        <f>IF($E57=0, "NA", ROUND(SUM(recreation_v2_6!I57,recreation_v2_7!I57,recreation_v2_8!I57,recreation_v2_9!I57,recreation_v2_10!I57)/COUNT(recreation_v2_6!I57,recreation_v2_7!I57,recreation_v2_8!I57,recreation_v2_9!I57,recreation_v2_10!I57),0))</f>
        <v>1</v>
      </c>
      <c r="J57">
        <f>IF(F57=1,ROUND(SUM(recreation_v2_6!J57,recreation_v2_7!J57,recreation_v2_8!J57,recreation_v2_9!J57,recreation_v2_10!J57)/COUNT(recreation_v2_6!J57,recreation_v2_7!J57,recreation_v2_8!J57,recreation_v2_9!J57,recreation_v2_10!J57),0),"NA")</f>
        <v>1</v>
      </c>
      <c r="K57">
        <f>IF($E57=0, "NA", ROUND(SUM(recreation_v2_6!K57,recreation_v2_7!K57,recreation_v2_8!K57,recreation_v2_9!K57,recreation_v2_10!K57)/COUNT(recreation_v2_6!K57,recreation_v2_7!K57,recreation_v2_8!K57,recreation_v2_9!K57,recreation_v2_10!K57),0))</f>
        <v>0</v>
      </c>
      <c r="L57">
        <f>IF($E57=0,"NA",ROUND(SUM(recreation_v2_6!L57,recreation_v2_7!L57,recreation_v2_8!L57,recreation_v2_9!L57,recreation_v2_10!L57)/COUNT(recreation_v2_6!L57,recreation_v2_7!L57,recreation_v2_8!L57,recreation_v2_9!L57,recreation_v2_10!L57),0))</f>
        <v>1</v>
      </c>
      <c r="M57">
        <f>IF($E57=0, "NA", ROUND(SUM(recreation_v2_6!M57,recreation_v2_7!M57,recreation_v2_8!M57,recreation_v2_9!M57,recreation_v2_10!M57)/COUNT(recreation_v2_6!M57,recreation_v2_7!M57,recreation_v2_8!M57,recreation_v2_9!M57,recreation_v2_10!M57),0))</f>
        <v>1</v>
      </c>
      <c r="N57">
        <f>IF($E57=0,"NA",ROUND(SUM(recreation_v2_6!N57,recreation_v2_7!N57,recreation_v2_8!N57,recreation_v2_9!N57,recreation_v2_10!N57)/COUNT(recreation_v2_6!N57,recreation_v2_7!N57,recreation_v2_8!N57,recreation_v2_9!N57,recreation_v2_10!N57),0))</f>
        <v>1</v>
      </c>
      <c r="O57">
        <f>IF($E57=0, "NA", ROUND(SUM(recreation_v2_6!O57,recreation_v2_7!O57,recreation_v2_8!O57,recreation_v2_9!O57,recreation_v2_10!O57)/COUNT(recreation_v2_6!O57,recreation_v2_7!O57,recreation_v2_8!O57,recreation_v2_9!O57,recreation_v2_10!O57),0))</f>
        <v>1</v>
      </c>
    </row>
    <row r="58" spans="1:15" x14ac:dyDescent="0.25">
      <c r="A58" t="s">
        <v>73</v>
      </c>
      <c r="B58" t="s">
        <v>27</v>
      </c>
      <c r="C58">
        <v>0</v>
      </c>
      <c r="D58">
        <v>5.0736181735992432</v>
      </c>
      <c r="E58">
        <f>ROUND(SUM(recreation_v2_6!E58,recreation_v2_7!E58,recreation_v2_8!E58,recreation_v2_9!E58,recreation_v2_10!E58)/COUNT(recreation_v2_6!E58,recreation_v2_7!E58,recreation_v2_8!E58,recreation_v2_9!E58,recreation_v2_10!E58),0)</f>
        <v>1</v>
      </c>
      <c r="F58">
        <f>IF($E58=0, "NA", ROUND(SUM(recreation_v2_6!F58,recreation_v2_7!F58,recreation_v2_8!F58,recreation_v2_9!F58,recreation_v2_10!F58)/COUNT(recreation_v2_6!F58,recreation_v2_7!F58,recreation_v2_8!F58,recreation_v2_9!F58,recreation_v2_10!F58),0))</f>
        <v>1</v>
      </c>
      <c r="G58">
        <f>IF($E58=0,"NA",ROUND(SUM(recreation_v2_6!G58,recreation_v2_7!G58,recreation_v2_8!G58,recreation_v2_9!G58,recreation_v2_10!G58)/COUNT(recreation_v2_6!G58,recreation_v2_7!G58,recreation_v2_8!G58,recreation_v2_9!G58,recreation_v2_10!G58),0))</f>
        <v>1</v>
      </c>
      <c r="H58">
        <f>IF(AND(F58=1, G58=1),ROUND(SUM(recreation_v2_6!H58,recreation_v2_7!H58,recreation_v2_8!H58,recreation_v2_9!H58,recreation_v2_10!H58)/COUNT(recreation_v2_6!H58,recreation_v2_7!H58,recreation_v2_8!H58,recreation_v2_9!H58,recreation_v2_10!H58),0),"NA")</f>
        <v>1</v>
      </c>
      <c r="I58">
        <f>IF($E58=0, "NA", ROUND(SUM(recreation_v2_6!I58,recreation_v2_7!I58,recreation_v2_8!I58,recreation_v2_9!I58,recreation_v2_10!I58)/COUNT(recreation_v2_6!I58,recreation_v2_7!I58,recreation_v2_8!I58,recreation_v2_9!I58,recreation_v2_10!I58),0))</f>
        <v>1</v>
      </c>
      <c r="J58">
        <f>IF(F58=1,ROUND(SUM(recreation_v2_6!J58,recreation_v2_7!J58,recreation_v2_8!J58,recreation_v2_9!J58,recreation_v2_10!J58)/COUNT(recreation_v2_6!J58,recreation_v2_7!J58,recreation_v2_8!J58,recreation_v2_9!J58,recreation_v2_10!J58),0),"NA")</f>
        <v>0</v>
      </c>
      <c r="K58">
        <f>IF($E58=0, "NA", ROUND(SUM(recreation_v2_6!K58,recreation_v2_7!K58,recreation_v2_8!K58,recreation_v2_9!K58,recreation_v2_10!K58)/COUNT(recreation_v2_6!K58,recreation_v2_7!K58,recreation_v2_8!K58,recreation_v2_9!K58,recreation_v2_10!K58),0))</f>
        <v>0</v>
      </c>
      <c r="L58">
        <f>IF($E58=0,"NA",ROUND(SUM(recreation_v2_6!L58,recreation_v2_7!L58,recreation_v2_8!L58,recreation_v2_9!L58,recreation_v2_10!L58)/COUNT(recreation_v2_6!L58,recreation_v2_7!L58,recreation_v2_8!L58,recreation_v2_9!L58,recreation_v2_10!L58),0))</f>
        <v>1</v>
      </c>
      <c r="M58">
        <f>IF($E58=0, "NA", ROUND(SUM(recreation_v2_6!M58,recreation_v2_7!M58,recreation_v2_8!M58,recreation_v2_9!M58,recreation_v2_10!M58)/COUNT(recreation_v2_6!M58,recreation_v2_7!M58,recreation_v2_8!M58,recreation_v2_9!M58,recreation_v2_10!M58),0))</f>
        <v>1</v>
      </c>
      <c r="N58">
        <f>IF($E58=0,"NA",ROUND(SUM(recreation_v2_6!N58,recreation_v2_7!N58,recreation_v2_8!N58,recreation_v2_9!N58,recreation_v2_10!N58)/COUNT(recreation_v2_6!N58,recreation_v2_7!N58,recreation_v2_8!N58,recreation_v2_9!N58,recreation_v2_10!N58),0))</f>
        <v>1</v>
      </c>
      <c r="O58">
        <f>IF($E58=0, "NA", ROUND(SUM(recreation_v2_6!O58,recreation_v2_7!O58,recreation_v2_8!O58,recreation_v2_9!O58,recreation_v2_10!O58)/COUNT(recreation_v2_6!O58,recreation_v2_7!O58,recreation_v2_8!O58,recreation_v2_9!O58,recreation_v2_10!O58),0))</f>
        <v>1</v>
      </c>
    </row>
    <row r="59" spans="1:15" x14ac:dyDescent="0.25">
      <c r="A59" t="s">
        <v>73</v>
      </c>
      <c r="B59" t="s">
        <v>29</v>
      </c>
      <c r="C59">
        <v>0</v>
      </c>
      <c r="D59">
        <v>9.2630355358123779</v>
      </c>
      <c r="E59">
        <f>ROUND(SUM(recreation_v2_6!E59,recreation_v2_7!E59,recreation_v2_8!E59,recreation_v2_9!E59,recreation_v2_10!E59)/COUNT(recreation_v2_6!E59,recreation_v2_7!E59,recreation_v2_8!E59,recreation_v2_9!E59,recreation_v2_10!E59),0)</f>
        <v>1</v>
      </c>
      <c r="F59">
        <f>IF($E59=0, "NA", ROUND(SUM(recreation_v2_6!F59,recreation_v2_7!F59,recreation_v2_8!F59,recreation_v2_9!F59,recreation_v2_10!F59)/COUNT(recreation_v2_6!F59,recreation_v2_7!F59,recreation_v2_8!F59,recreation_v2_9!F59,recreation_v2_10!F59),0))</f>
        <v>1</v>
      </c>
      <c r="G59">
        <f>IF($E59=0,"NA",ROUND(SUM(recreation_v2_6!G59,recreation_v2_7!G59,recreation_v2_8!G59,recreation_v2_9!G59,recreation_v2_10!G59)/COUNT(recreation_v2_6!G59,recreation_v2_7!G59,recreation_v2_8!G59,recreation_v2_9!G59,recreation_v2_10!G59),0))</f>
        <v>1</v>
      </c>
      <c r="H59">
        <f>IF(AND(F59=1, G59=1),ROUND(SUM(recreation_v2_6!H59,recreation_v2_7!H59,recreation_v2_8!H59,recreation_v2_9!H59,recreation_v2_10!H59)/COUNT(recreation_v2_6!H59,recreation_v2_7!H59,recreation_v2_8!H59,recreation_v2_9!H59,recreation_v2_10!H59),0),"NA")</f>
        <v>1</v>
      </c>
      <c r="I59">
        <f>IF($E59=0, "NA", ROUND(SUM(recreation_v2_6!I59,recreation_v2_7!I59,recreation_v2_8!I59,recreation_v2_9!I59,recreation_v2_10!I59)/COUNT(recreation_v2_6!I59,recreation_v2_7!I59,recreation_v2_8!I59,recreation_v2_9!I59,recreation_v2_10!I59),0))</f>
        <v>1</v>
      </c>
      <c r="J59">
        <f>IF(F59=1,ROUND(SUM(recreation_v2_6!J59,recreation_v2_7!J59,recreation_v2_8!J59,recreation_v2_9!J59,recreation_v2_10!J59)/COUNT(recreation_v2_6!J59,recreation_v2_7!J59,recreation_v2_8!J59,recreation_v2_9!J59,recreation_v2_10!J59),0),"NA")</f>
        <v>1</v>
      </c>
      <c r="K59">
        <f>IF($E59=0, "NA", ROUND(SUM(recreation_v2_6!K59,recreation_v2_7!K59,recreation_v2_8!K59,recreation_v2_9!K59,recreation_v2_10!K59)/COUNT(recreation_v2_6!K59,recreation_v2_7!K59,recreation_v2_8!K59,recreation_v2_9!K59,recreation_v2_10!K59),0))</f>
        <v>1</v>
      </c>
      <c r="L59">
        <f>IF($E59=0,"NA",ROUND(SUM(recreation_v2_6!L59,recreation_v2_7!L59,recreation_v2_8!L59,recreation_v2_9!L59,recreation_v2_10!L59)/COUNT(recreation_v2_6!L59,recreation_v2_7!L59,recreation_v2_8!L59,recreation_v2_9!L59,recreation_v2_10!L59),0))</f>
        <v>1</v>
      </c>
      <c r="M59">
        <f>IF($E59=0, "NA", ROUND(SUM(recreation_v2_6!M59,recreation_v2_7!M59,recreation_v2_8!M59,recreation_v2_9!M59,recreation_v2_10!M59)/COUNT(recreation_v2_6!M59,recreation_v2_7!M59,recreation_v2_8!M59,recreation_v2_9!M59,recreation_v2_10!M59),0))</f>
        <v>1</v>
      </c>
      <c r="N59">
        <f>IF($E59=0,"NA",ROUND(SUM(recreation_v2_6!N59,recreation_v2_7!N59,recreation_v2_8!N59,recreation_v2_9!N59,recreation_v2_10!N59)/COUNT(recreation_v2_6!N59,recreation_v2_7!N59,recreation_v2_8!N59,recreation_v2_9!N59,recreation_v2_10!N59),0))</f>
        <v>1</v>
      </c>
      <c r="O59">
        <f>IF($E59=0, "NA", ROUND(SUM(recreation_v2_6!O59,recreation_v2_7!O59,recreation_v2_8!O59,recreation_v2_9!O59,recreation_v2_10!O59)/COUNT(recreation_v2_6!O59,recreation_v2_7!O59,recreation_v2_8!O59,recreation_v2_9!O59,recreation_v2_10!O59),0))</f>
        <v>1</v>
      </c>
    </row>
    <row r="60" spans="1:15" x14ac:dyDescent="0.25">
      <c r="A60" t="s">
        <v>73</v>
      </c>
      <c r="B60" t="s">
        <v>30</v>
      </c>
      <c r="C60">
        <v>0</v>
      </c>
      <c r="D60">
        <v>4.523517370223999</v>
      </c>
      <c r="E60">
        <f>ROUND(SUM(recreation_v2_6!E60,recreation_v2_7!E60,recreation_v2_8!E60,recreation_v2_9!E60,recreation_v2_10!E60)/COUNT(recreation_v2_6!E60,recreation_v2_7!E60,recreation_v2_8!E60,recreation_v2_9!E60,recreation_v2_10!E60),0)</f>
        <v>1</v>
      </c>
      <c r="F60">
        <f>IF($E60=0, "NA", ROUND(SUM(recreation_v2_6!F60,recreation_v2_7!F60,recreation_v2_8!F60,recreation_v2_9!F60,recreation_v2_10!F60)/COUNT(recreation_v2_6!F60,recreation_v2_7!F60,recreation_v2_8!F60,recreation_v2_9!F60,recreation_v2_10!F60),0))</f>
        <v>1</v>
      </c>
      <c r="G60">
        <f>IF($E60=0,"NA",ROUND(SUM(recreation_v2_6!G60,recreation_v2_7!G60,recreation_v2_8!G60,recreation_v2_9!G60,recreation_v2_10!G60)/COUNT(recreation_v2_6!G60,recreation_v2_7!G60,recreation_v2_8!G60,recreation_v2_9!G60,recreation_v2_10!G60),0))</f>
        <v>1</v>
      </c>
      <c r="H60">
        <f>IF(AND(F60=1, G60=1),ROUND(SUM(recreation_v2_6!H60,recreation_v2_7!H60,recreation_v2_8!H60,recreation_v2_9!H60,recreation_v2_10!H60)/COUNT(recreation_v2_6!H60,recreation_v2_7!H60,recreation_v2_8!H60,recreation_v2_9!H60,recreation_v2_10!H60),0),"NA")</f>
        <v>1</v>
      </c>
      <c r="I60">
        <f>IF($E60=0, "NA", ROUND(SUM(recreation_v2_6!I60,recreation_v2_7!I60,recreation_v2_8!I60,recreation_v2_9!I60,recreation_v2_10!I60)/COUNT(recreation_v2_6!I60,recreation_v2_7!I60,recreation_v2_8!I60,recreation_v2_9!I60,recreation_v2_10!I60),0))</f>
        <v>1</v>
      </c>
      <c r="J60">
        <f>IF(F60=1,ROUND(SUM(recreation_v2_6!J60,recreation_v2_7!J60,recreation_v2_8!J60,recreation_v2_9!J60,recreation_v2_10!J60)/COUNT(recreation_v2_6!J60,recreation_v2_7!J60,recreation_v2_8!J60,recreation_v2_9!J60,recreation_v2_10!J60),0),"NA")</f>
        <v>0</v>
      </c>
      <c r="K60">
        <f>IF($E60=0, "NA", ROUND(SUM(recreation_v2_6!K60,recreation_v2_7!K60,recreation_v2_8!K60,recreation_v2_9!K60,recreation_v2_10!K60)/COUNT(recreation_v2_6!K60,recreation_v2_7!K60,recreation_v2_8!K60,recreation_v2_9!K60,recreation_v2_10!K60),0))</f>
        <v>1</v>
      </c>
      <c r="L60">
        <f>IF($E60=0,"NA",ROUND(SUM(recreation_v2_6!L60,recreation_v2_7!L60,recreation_v2_8!L60,recreation_v2_9!L60,recreation_v2_10!L60)/COUNT(recreation_v2_6!L60,recreation_v2_7!L60,recreation_v2_8!L60,recreation_v2_9!L60,recreation_v2_10!L60),0))</f>
        <v>1</v>
      </c>
      <c r="M60">
        <f>IF($E60=0, "NA", ROUND(SUM(recreation_v2_6!M60,recreation_v2_7!M60,recreation_v2_8!M60,recreation_v2_9!M60,recreation_v2_10!M60)/COUNT(recreation_v2_6!M60,recreation_v2_7!M60,recreation_v2_8!M60,recreation_v2_9!M60,recreation_v2_10!M60),0))</f>
        <v>1</v>
      </c>
      <c r="N60">
        <f>IF($E60=0,"NA",ROUND(SUM(recreation_v2_6!N60,recreation_v2_7!N60,recreation_v2_8!N60,recreation_v2_9!N60,recreation_v2_10!N60)/COUNT(recreation_v2_6!N60,recreation_v2_7!N60,recreation_v2_8!N60,recreation_v2_9!N60,recreation_v2_10!N60),0))</f>
        <v>1</v>
      </c>
      <c r="O60">
        <f>IF($E60=0, "NA", ROUND(SUM(recreation_v2_6!O60,recreation_v2_7!O60,recreation_v2_8!O60,recreation_v2_9!O60,recreation_v2_10!O60)/COUNT(recreation_v2_6!O60,recreation_v2_7!O60,recreation_v2_8!O60,recreation_v2_9!O60,recreation_v2_10!O60),0))</f>
        <v>1</v>
      </c>
    </row>
    <row r="61" spans="1:15" x14ac:dyDescent="0.25">
      <c r="A61" t="s">
        <v>73</v>
      </c>
      <c r="B61" t="s">
        <v>32</v>
      </c>
      <c r="C61">
        <v>0</v>
      </c>
      <c r="D61">
        <v>10.67812538146973</v>
      </c>
      <c r="E61">
        <f>ROUND(SUM(recreation_v2_6!E61,recreation_v2_7!E61,recreation_v2_8!E61,recreation_v2_9!E61,recreation_v2_10!E61)/COUNT(recreation_v2_6!E61,recreation_v2_7!E61,recreation_v2_8!E61,recreation_v2_9!E61,recreation_v2_10!E61),0)</f>
        <v>1</v>
      </c>
      <c r="F61">
        <f>IF($E61=0, "NA", ROUND(SUM(recreation_v2_6!F61,recreation_v2_7!F61,recreation_v2_8!F61,recreation_v2_9!F61,recreation_v2_10!F61)/COUNT(recreation_v2_6!F61,recreation_v2_7!F61,recreation_v2_8!F61,recreation_v2_9!F61,recreation_v2_10!F61),0))</f>
        <v>1</v>
      </c>
      <c r="G61">
        <f>IF($E61=0,"NA",ROUND(SUM(recreation_v2_6!G61,recreation_v2_7!G61,recreation_v2_8!G61,recreation_v2_9!G61,recreation_v2_10!G61)/COUNT(recreation_v2_6!G61,recreation_v2_7!G61,recreation_v2_8!G61,recreation_v2_9!G61,recreation_v2_10!G61),0))</f>
        <v>1</v>
      </c>
      <c r="H61">
        <f>IF(AND(F61=1, G61=1),ROUND(SUM(recreation_v2_6!H61,recreation_v2_7!H61,recreation_v2_8!H61,recreation_v2_9!H61,recreation_v2_10!H61)/COUNT(recreation_v2_6!H61,recreation_v2_7!H61,recreation_v2_8!H61,recreation_v2_9!H61,recreation_v2_10!H61),0),"NA")</f>
        <v>1</v>
      </c>
      <c r="I61">
        <f>IF($E61=0, "NA", ROUND(SUM(recreation_v2_6!I61,recreation_v2_7!I61,recreation_v2_8!I61,recreation_v2_9!I61,recreation_v2_10!I61)/COUNT(recreation_v2_6!I61,recreation_v2_7!I61,recreation_v2_8!I61,recreation_v2_9!I61,recreation_v2_10!I61),0))</f>
        <v>1</v>
      </c>
      <c r="J61">
        <f>IF(F61=1,ROUND(SUM(recreation_v2_6!J61,recreation_v2_7!J61,recreation_v2_8!J61,recreation_v2_9!J61,recreation_v2_10!J61)/COUNT(recreation_v2_6!J61,recreation_v2_7!J61,recreation_v2_8!J61,recreation_v2_9!J61,recreation_v2_10!J61),0),"NA")</f>
        <v>1</v>
      </c>
      <c r="K61">
        <f>IF($E61=0, "NA", ROUND(SUM(recreation_v2_6!K61,recreation_v2_7!K61,recreation_v2_8!K61,recreation_v2_9!K61,recreation_v2_10!K61)/COUNT(recreation_v2_6!K61,recreation_v2_7!K61,recreation_v2_8!K61,recreation_v2_9!K61,recreation_v2_10!K61),0))</f>
        <v>0</v>
      </c>
      <c r="L61">
        <f>IF($E61=0,"NA",ROUND(SUM(recreation_v2_6!L61,recreation_v2_7!L61,recreation_v2_8!L61,recreation_v2_9!L61,recreation_v2_10!L61)/COUNT(recreation_v2_6!L61,recreation_v2_7!L61,recreation_v2_8!L61,recreation_v2_9!L61,recreation_v2_10!L61),0))</f>
        <v>0</v>
      </c>
      <c r="M61">
        <f>IF($E61=0, "NA", ROUND(SUM(recreation_v2_6!M61,recreation_v2_7!M61,recreation_v2_8!M61,recreation_v2_9!M61,recreation_v2_10!M61)/COUNT(recreation_v2_6!M61,recreation_v2_7!M61,recreation_v2_8!M61,recreation_v2_9!M61,recreation_v2_10!M61),0))</f>
        <v>1</v>
      </c>
      <c r="N61">
        <f>IF($E61=0,"NA",ROUND(SUM(recreation_v2_6!N61,recreation_v2_7!N61,recreation_v2_8!N61,recreation_v2_9!N61,recreation_v2_10!N61)/COUNT(recreation_v2_6!N61,recreation_v2_7!N61,recreation_v2_8!N61,recreation_v2_9!N61,recreation_v2_10!N61),0))</f>
        <v>1</v>
      </c>
      <c r="O61">
        <f>IF($E61=0, "NA", ROUND(SUM(recreation_v2_6!O61,recreation_v2_7!O61,recreation_v2_8!O61,recreation_v2_9!O61,recreation_v2_10!O61)/COUNT(recreation_v2_6!O61,recreation_v2_7!O61,recreation_v2_8!O61,recreation_v2_9!O61,recreation_v2_10!O61),0))</f>
        <v>1</v>
      </c>
    </row>
    <row r="62" spans="1:15" x14ac:dyDescent="0.25">
      <c r="A62" t="s">
        <v>73</v>
      </c>
      <c r="B62" t="s">
        <v>33</v>
      </c>
      <c r="C62">
        <v>0</v>
      </c>
      <c r="D62">
        <v>9.9704163074493408</v>
      </c>
      <c r="E62">
        <f>ROUND(SUM(recreation_v2_6!E62,recreation_v2_7!E62,recreation_v2_8!E62,recreation_v2_9!E62,recreation_v2_10!E62)/COUNT(recreation_v2_6!E62,recreation_v2_7!E62,recreation_v2_8!E62,recreation_v2_9!E62,recreation_v2_10!E62),0)</f>
        <v>1</v>
      </c>
      <c r="F62">
        <f>IF($E62=0, "NA", ROUND(SUM(recreation_v2_6!F62,recreation_v2_7!F62,recreation_v2_8!F62,recreation_v2_9!F62,recreation_v2_10!F62)/COUNT(recreation_v2_6!F62,recreation_v2_7!F62,recreation_v2_8!F62,recreation_v2_9!F62,recreation_v2_10!F62),0))</f>
        <v>1</v>
      </c>
      <c r="G62">
        <f>IF($E62=0,"NA",ROUND(SUM(recreation_v2_6!G62,recreation_v2_7!G62,recreation_v2_8!G62,recreation_v2_9!G62,recreation_v2_10!G62)/COUNT(recreation_v2_6!G62,recreation_v2_7!G62,recreation_v2_8!G62,recreation_v2_9!G62,recreation_v2_10!G62),0))</f>
        <v>1</v>
      </c>
      <c r="H62">
        <f>IF(AND(F62=1, G62=1),ROUND(SUM(recreation_v2_6!H62,recreation_v2_7!H62,recreation_v2_8!H62,recreation_v2_9!H62,recreation_v2_10!H62)/COUNT(recreation_v2_6!H62,recreation_v2_7!H62,recreation_v2_8!H62,recreation_v2_9!H62,recreation_v2_10!H62),0),"NA")</f>
        <v>1</v>
      </c>
      <c r="I62">
        <f>IF($E62=0, "NA", ROUND(SUM(recreation_v2_6!I62,recreation_v2_7!I62,recreation_v2_8!I62,recreation_v2_9!I62,recreation_v2_10!I62)/COUNT(recreation_v2_6!I62,recreation_v2_7!I62,recreation_v2_8!I62,recreation_v2_9!I62,recreation_v2_10!I62),0))</f>
        <v>1</v>
      </c>
      <c r="J62">
        <f>IF(F62=1,ROUND(SUM(recreation_v2_6!J62,recreation_v2_7!J62,recreation_v2_8!J62,recreation_v2_9!J62,recreation_v2_10!J62)/COUNT(recreation_v2_6!J62,recreation_v2_7!J62,recreation_v2_8!J62,recreation_v2_9!J62,recreation_v2_10!J62),0),"NA")</f>
        <v>1</v>
      </c>
      <c r="K62">
        <f>IF($E62=0, "NA", ROUND(SUM(recreation_v2_6!K62,recreation_v2_7!K62,recreation_v2_8!K62,recreation_v2_9!K62,recreation_v2_10!K62)/COUNT(recreation_v2_6!K62,recreation_v2_7!K62,recreation_v2_8!K62,recreation_v2_9!K62,recreation_v2_10!K62),0))</f>
        <v>1</v>
      </c>
      <c r="L62">
        <f>IF($E62=0,"NA",ROUND(SUM(recreation_v2_6!L62,recreation_v2_7!L62,recreation_v2_8!L62,recreation_v2_9!L62,recreation_v2_10!L62)/COUNT(recreation_v2_6!L62,recreation_v2_7!L62,recreation_v2_8!L62,recreation_v2_9!L62,recreation_v2_10!L62),0))</f>
        <v>1</v>
      </c>
      <c r="M62">
        <f>IF($E62=0, "NA", ROUND(SUM(recreation_v2_6!M62,recreation_v2_7!M62,recreation_v2_8!M62,recreation_v2_9!M62,recreation_v2_10!M62)/COUNT(recreation_v2_6!M62,recreation_v2_7!M62,recreation_v2_8!M62,recreation_v2_9!M62,recreation_v2_10!M62),0))</f>
        <v>1</v>
      </c>
      <c r="N62">
        <f>IF($E62=0,"NA",ROUND(SUM(recreation_v2_6!N62,recreation_v2_7!N62,recreation_v2_8!N62,recreation_v2_9!N62,recreation_v2_10!N62)/COUNT(recreation_v2_6!N62,recreation_v2_7!N62,recreation_v2_8!N62,recreation_v2_9!N62,recreation_v2_10!N62),0))</f>
        <v>1</v>
      </c>
      <c r="O62">
        <f>IF($E62=0, "NA", ROUND(SUM(recreation_v2_6!O62,recreation_v2_7!O62,recreation_v2_8!O62,recreation_v2_9!O62,recreation_v2_10!O62)/COUNT(recreation_v2_6!O62,recreation_v2_7!O62,recreation_v2_8!O62,recreation_v2_9!O62,recreation_v2_10!O62),0))</f>
        <v>1</v>
      </c>
    </row>
    <row r="63" spans="1:15" x14ac:dyDescent="0.25">
      <c r="A63" t="s">
        <v>73</v>
      </c>
      <c r="B63" t="s">
        <v>35</v>
      </c>
      <c r="C63">
        <v>0</v>
      </c>
      <c r="D63">
        <v>5.2519850730895996</v>
      </c>
      <c r="E63">
        <f>ROUND(SUM(recreation_v2_6!E63,recreation_v2_7!E63,recreation_v2_8!E63,recreation_v2_9!E63,recreation_v2_10!E63)/COUNT(recreation_v2_6!E63,recreation_v2_7!E63,recreation_v2_8!E63,recreation_v2_9!E63,recreation_v2_10!E63),0)</f>
        <v>1</v>
      </c>
      <c r="F63">
        <f>IF($E63=0, "NA", ROUND(SUM(recreation_v2_6!F63,recreation_v2_7!F63,recreation_v2_8!F63,recreation_v2_9!F63,recreation_v2_10!F63)/COUNT(recreation_v2_6!F63,recreation_v2_7!F63,recreation_v2_8!F63,recreation_v2_9!F63,recreation_v2_10!F63),0))</f>
        <v>1</v>
      </c>
      <c r="G63">
        <f>IF($E63=0,"NA",ROUND(SUM(recreation_v2_6!G63,recreation_v2_7!G63,recreation_v2_8!G63,recreation_v2_9!G63,recreation_v2_10!G63)/COUNT(recreation_v2_6!G63,recreation_v2_7!G63,recreation_v2_8!G63,recreation_v2_9!G63,recreation_v2_10!G63),0))</f>
        <v>1</v>
      </c>
      <c r="H63">
        <f>IF(AND(F63=1, G63=1),ROUND(SUM(recreation_v2_6!H63,recreation_v2_7!H63,recreation_v2_8!H63,recreation_v2_9!H63,recreation_v2_10!H63)/COUNT(recreation_v2_6!H63,recreation_v2_7!H63,recreation_v2_8!H63,recreation_v2_9!H63,recreation_v2_10!H63),0),"NA")</f>
        <v>1</v>
      </c>
      <c r="I63">
        <f>IF($E63=0, "NA", ROUND(SUM(recreation_v2_6!I63,recreation_v2_7!I63,recreation_v2_8!I63,recreation_v2_9!I63,recreation_v2_10!I63)/COUNT(recreation_v2_6!I63,recreation_v2_7!I63,recreation_v2_8!I63,recreation_v2_9!I63,recreation_v2_10!I63),0))</f>
        <v>1</v>
      </c>
      <c r="J63">
        <f>IF(F63=1,ROUND(SUM(recreation_v2_6!J63,recreation_v2_7!J63,recreation_v2_8!J63,recreation_v2_9!J63,recreation_v2_10!J63)/COUNT(recreation_v2_6!J63,recreation_v2_7!J63,recreation_v2_8!J63,recreation_v2_9!J63,recreation_v2_10!J63),0),"NA")</f>
        <v>0</v>
      </c>
      <c r="K63">
        <f>IF($E63=0, "NA", ROUND(SUM(recreation_v2_6!K63,recreation_v2_7!K63,recreation_v2_8!K63,recreation_v2_9!K63,recreation_v2_10!K63)/COUNT(recreation_v2_6!K63,recreation_v2_7!K63,recreation_v2_8!K63,recreation_v2_9!K63,recreation_v2_10!K63),0))</f>
        <v>0</v>
      </c>
      <c r="L63">
        <f>IF($E63=0,"NA",ROUND(SUM(recreation_v2_6!L63,recreation_v2_7!L63,recreation_v2_8!L63,recreation_v2_9!L63,recreation_v2_10!L63)/COUNT(recreation_v2_6!L63,recreation_v2_7!L63,recreation_v2_8!L63,recreation_v2_9!L63,recreation_v2_10!L63),0))</f>
        <v>1</v>
      </c>
      <c r="M63">
        <f>IF($E63=0, "NA", ROUND(SUM(recreation_v2_6!M63,recreation_v2_7!M63,recreation_v2_8!M63,recreation_v2_9!M63,recreation_v2_10!M63)/COUNT(recreation_v2_6!M63,recreation_v2_7!M63,recreation_v2_8!M63,recreation_v2_9!M63,recreation_v2_10!M63),0))</f>
        <v>1</v>
      </c>
      <c r="N63">
        <f>IF($E63=0,"NA",ROUND(SUM(recreation_v2_6!N63,recreation_v2_7!N63,recreation_v2_8!N63,recreation_v2_9!N63,recreation_v2_10!N63)/COUNT(recreation_v2_6!N63,recreation_v2_7!N63,recreation_v2_8!N63,recreation_v2_9!N63,recreation_v2_10!N63),0))</f>
        <v>1</v>
      </c>
      <c r="O63">
        <f>IF($E63=0, "NA", ROUND(SUM(recreation_v2_6!O63,recreation_v2_7!O63,recreation_v2_8!O63,recreation_v2_9!O63,recreation_v2_10!O63)/COUNT(recreation_v2_6!O63,recreation_v2_7!O63,recreation_v2_8!O63,recreation_v2_9!O63,recreation_v2_10!O63),0))</f>
        <v>1</v>
      </c>
    </row>
    <row r="64" spans="1:15" x14ac:dyDescent="0.25">
      <c r="A64" t="s">
        <v>73</v>
      </c>
      <c r="B64" t="s">
        <v>37</v>
      </c>
      <c r="C64">
        <v>0</v>
      </c>
      <c r="D64">
        <v>9.4419152736663818</v>
      </c>
      <c r="E64">
        <f>ROUND(SUM(recreation_v2_6!E64,recreation_v2_7!E64,recreation_v2_8!E64,recreation_v2_9!E64,recreation_v2_10!E64)/COUNT(recreation_v2_6!E64,recreation_v2_7!E64,recreation_v2_8!E64,recreation_v2_9!E64,recreation_v2_10!E64),0)</f>
        <v>1</v>
      </c>
      <c r="F64">
        <f>IF($E64=0, "NA", ROUND(SUM(recreation_v2_6!F64,recreation_v2_7!F64,recreation_v2_8!F64,recreation_v2_9!F64,recreation_v2_10!F64)/COUNT(recreation_v2_6!F64,recreation_v2_7!F64,recreation_v2_8!F64,recreation_v2_9!F64,recreation_v2_10!F64),0))</f>
        <v>1</v>
      </c>
      <c r="G64">
        <f>IF($E64=0,"NA",ROUND(SUM(recreation_v2_6!G64,recreation_v2_7!G64,recreation_v2_8!G64,recreation_v2_9!G64,recreation_v2_10!G64)/COUNT(recreation_v2_6!G64,recreation_v2_7!G64,recreation_v2_8!G64,recreation_v2_9!G64,recreation_v2_10!G64),0))</f>
        <v>1</v>
      </c>
      <c r="H64">
        <f>IF(AND(F64=1, G64=1),ROUND(SUM(recreation_v2_6!H64,recreation_v2_7!H64,recreation_v2_8!H64,recreation_v2_9!H64,recreation_v2_10!H64)/COUNT(recreation_v2_6!H64,recreation_v2_7!H64,recreation_v2_8!H64,recreation_v2_9!H64,recreation_v2_10!H64),0),"NA")</f>
        <v>1</v>
      </c>
      <c r="I64">
        <f>IF($E64=0, "NA", ROUND(SUM(recreation_v2_6!I64,recreation_v2_7!I64,recreation_v2_8!I64,recreation_v2_9!I64,recreation_v2_10!I64)/COUNT(recreation_v2_6!I64,recreation_v2_7!I64,recreation_v2_8!I64,recreation_v2_9!I64,recreation_v2_10!I64),0))</f>
        <v>1</v>
      </c>
      <c r="J64">
        <f>IF(F64=1,ROUND(SUM(recreation_v2_6!J64,recreation_v2_7!J64,recreation_v2_8!J64,recreation_v2_9!J64,recreation_v2_10!J64)/COUNT(recreation_v2_6!J64,recreation_v2_7!J64,recreation_v2_8!J64,recreation_v2_9!J64,recreation_v2_10!J64),0),"NA")</f>
        <v>1</v>
      </c>
      <c r="K64">
        <f>IF($E64=0, "NA", ROUND(SUM(recreation_v2_6!K64,recreation_v2_7!K64,recreation_v2_8!K64,recreation_v2_9!K64,recreation_v2_10!K64)/COUNT(recreation_v2_6!K64,recreation_v2_7!K64,recreation_v2_8!K64,recreation_v2_9!K64,recreation_v2_10!K64),0))</f>
        <v>1</v>
      </c>
      <c r="L64">
        <f>IF($E64=0,"NA",ROUND(SUM(recreation_v2_6!L64,recreation_v2_7!L64,recreation_v2_8!L64,recreation_v2_9!L64,recreation_v2_10!L64)/COUNT(recreation_v2_6!L64,recreation_v2_7!L64,recreation_v2_8!L64,recreation_v2_9!L64,recreation_v2_10!L64),0))</f>
        <v>1</v>
      </c>
      <c r="M64">
        <f>IF($E64=0, "NA", ROUND(SUM(recreation_v2_6!M64,recreation_v2_7!M64,recreation_v2_8!M64,recreation_v2_9!M64,recreation_v2_10!M64)/COUNT(recreation_v2_6!M64,recreation_v2_7!M64,recreation_v2_8!M64,recreation_v2_9!M64,recreation_v2_10!M64),0))</f>
        <v>1</v>
      </c>
      <c r="N64">
        <f>IF($E64=0,"NA",ROUND(SUM(recreation_v2_6!N64,recreation_v2_7!N64,recreation_v2_8!N64,recreation_v2_9!N64,recreation_v2_10!N64)/COUNT(recreation_v2_6!N64,recreation_v2_7!N64,recreation_v2_8!N64,recreation_v2_9!N64,recreation_v2_10!N64),0))</f>
        <v>1</v>
      </c>
      <c r="O64">
        <f>IF($E64=0, "NA", ROUND(SUM(recreation_v2_6!O64,recreation_v2_7!O64,recreation_v2_8!O64,recreation_v2_9!O64,recreation_v2_10!O64)/COUNT(recreation_v2_6!O64,recreation_v2_7!O64,recreation_v2_8!O64,recreation_v2_9!O64,recreation_v2_10!O64),0))</f>
        <v>1</v>
      </c>
    </row>
    <row r="65" spans="1:15" x14ac:dyDescent="0.25">
      <c r="A65" t="s">
        <v>73</v>
      </c>
      <c r="B65" t="s">
        <v>39</v>
      </c>
      <c r="C65">
        <v>0</v>
      </c>
      <c r="D65">
        <v>2.7431545257568359</v>
      </c>
      <c r="E65">
        <f>ROUND(SUM(recreation_v2_6!E65,recreation_v2_7!E65,recreation_v2_8!E65,recreation_v2_9!E65,recreation_v2_10!E65)/COUNT(recreation_v2_6!E65,recreation_v2_7!E65,recreation_v2_8!E65,recreation_v2_9!E65,recreation_v2_10!E65),0)</f>
        <v>1</v>
      </c>
      <c r="F65">
        <f>IF($E65=0, "NA", ROUND(SUM(recreation_v2_6!F65,recreation_v2_7!F65,recreation_v2_8!F65,recreation_v2_9!F65,recreation_v2_10!F65)/COUNT(recreation_v2_6!F65,recreation_v2_7!F65,recreation_v2_8!F65,recreation_v2_9!F65,recreation_v2_10!F65),0))</f>
        <v>1</v>
      </c>
      <c r="G65">
        <f>IF($E65=0,"NA",ROUND(SUM(recreation_v2_6!G65,recreation_v2_7!G65,recreation_v2_8!G65,recreation_v2_9!G65,recreation_v2_10!G65)/COUNT(recreation_v2_6!G65,recreation_v2_7!G65,recreation_v2_8!G65,recreation_v2_9!G65,recreation_v2_10!G65),0))</f>
        <v>1</v>
      </c>
      <c r="H65">
        <f>IF(AND(F65=1, G65=1),ROUND(SUM(recreation_v2_6!H65,recreation_v2_7!H65,recreation_v2_8!H65,recreation_v2_9!H65,recreation_v2_10!H65)/COUNT(recreation_v2_6!H65,recreation_v2_7!H65,recreation_v2_8!H65,recreation_v2_9!H65,recreation_v2_10!H65),0),"NA")</f>
        <v>1</v>
      </c>
      <c r="I65">
        <f>IF($E65=0, "NA", ROUND(SUM(recreation_v2_6!I65,recreation_v2_7!I65,recreation_v2_8!I65,recreation_v2_9!I65,recreation_v2_10!I65)/COUNT(recreation_v2_6!I65,recreation_v2_7!I65,recreation_v2_8!I65,recreation_v2_9!I65,recreation_v2_10!I65),0))</f>
        <v>1</v>
      </c>
      <c r="J65">
        <f>IF(F65=1,ROUND(SUM(recreation_v2_6!J65,recreation_v2_7!J65,recreation_v2_8!J65,recreation_v2_9!J65,recreation_v2_10!J65)/COUNT(recreation_v2_6!J65,recreation_v2_7!J65,recreation_v2_8!J65,recreation_v2_9!J65,recreation_v2_10!J65),0),"NA")</f>
        <v>1</v>
      </c>
      <c r="K65">
        <f>IF($E65=0, "NA", ROUND(SUM(recreation_v2_6!K65,recreation_v2_7!K65,recreation_v2_8!K65,recreation_v2_9!K65,recreation_v2_10!K65)/COUNT(recreation_v2_6!K65,recreation_v2_7!K65,recreation_v2_8!K65,recreation_v2_9!K65,recreation_v2_10!K65),0))</f>
        <v>1</v>
      </c>
      <c r="L65">
        <f>IF($E65=0,"NA",ROUND(SUM(recreation_v2_6!L65,recreation_v2_7!L65,recreation_v2_8!L65,recreation_v2_9!L65,recreation_v2_10!L65)/COUNT(recreation_v2_6!L65,recreation_v2_7!L65,recreation_v2_8!L65,recreation_v2_9!L65,recreation_v2_10!L65),0))</f>
        <v>1</v>
      </c>
      <c r="M65">
        <f>IF($E65=0, "NA", ROUND(SUM(recreation_v2_6!M65,recreation_v2_7!M65,recreation_v2_8!M65,recreation_v2_9!M65,recreation_v2_10!M65)/COUNT(recreation_v2_6!M65,recreation_v2_7!M65,recreation_v2_8!M65,recreation_v2_9!M65,recreation_v2_10!M65),0))</f>
        <v>1</v>
      </c>
      <c r="N65">
        <f>IF($E65=0,"NA",ROUND(SUM(recreation_v2_6!N65,recreation_v2_7!N65,recreation_v2_8!N65,recreation_v2_9!N65,recreation_v2_10!N65)/COUNT(recreation_v2_6!N65,recreation_v2_7!N65,recreation_v2_8!N65,recreation_v2_9!N65,recreation_v2_10!N65),0))</f>
        <v>1</v>
      </c>
      <c r="O65">
        <f>IF($E65=0, "NA", ROUND(SUM(recreation_v2_6!O65,recreation_v2_7!O65,recreation_v2_8!O65,recreation_v2_9!O65,recreation_v2_10!O65)/COUNT(recreation_v2_6!O65,recreation_v2_7!O65,recreation_v2_8!O65,recreation_v2_9!O65,recreation_v2_10!O65),0))</f>
        <v>1</v>
      </c>
    </row>
    <row r="66" spans="1:15" x14ac:dyDescent="0.25">
      <c r="A66" t="s">
        <v>73</v>
      </c>
      <c r="B66" t="s">
        <v>41</v>
      </c>
      <c r="C66">
        <v>0</v>
      </c>
      <c r="D66">
        <v>5.1635518074035636</v>
      </c>
      <c r="E66">
        <f>ROUND(SUM(recreation_v2_6!E66,recreation_v2_7!E66,recreation_v2_8!E66,recreation_v2_9!E66,recreation_v2_10!E66)/COUNT(recreation_v2_6!E66,recreation_v2_7!E66,recreation_v2_8!E66,recreation_v2_9!E66,recreation_v2_10!E66),0)</f>
        <v>1</v>
      </c>
      <c r="F66">
        <f>IF($E66=0, "NA", ROUND(SUM(recreation_v2_6!F66,recreation_v2_7!F66,recreation_v2_8!F66,recreation_v2_9!F66,recreation_v2_10!F66)/COUNT(recreation_v2_6!F66,recreation_v2_7!F66,recreation_v2_8!F66,recreation_v2_9!F66,recreation_v2_10!F66),0))</f>
        <v>1</v>
      </c>
      <c r="G66">
        <f>IF($E66=0,"NA",ROUND(SUM(recreation_v2_6!G66,recreation_v2_7!G66,recreation_v2_8!G66,recreation_v2_9!G66,recreation_v2_10!G66)/COUNT(recreation_v2_6!G66,recreation_v2_7!G66,recreation_v2_8!G66,recreation_v2_9!G66,recreation_v2_10!G66),0))</f>
        <v>1</v>
      </c>
      <c r="H66">
        <f>IF(AND(F66=1, G66=1),ROUND(SUM(recreation_v2_6!H66,recreation_v2_7!H66,recreation_v2_8!H66,recreation_v2_9!H66,recreation_v2_10!H66)/COUNT(recreation_v2_6!H66,recreation_v2_7!H66,recreation_v2_8!H66,recreation_v2_9!H66,recreation_v2_10!H66),0),"NA")</f>
        <v>1</v>
      </c>
      <c r="I66">
        <f>IF($E66=0, "NA", ROUND(SUM(recreation_v2_6!I66,recreation_v2_7!I66,recreation_v2_8!I66,recreation_v2_9!I66,recreation_v2_10!I66)/COUNT(recreation_v2_6!I66,recreation_v2_7!I66,recreation_v2_8!I66,recreation_v2_9!I66,recreation_v2_10!I66),0))</f>
        <v>1</v>
      </c>
      <c r="J66">
        <f>IF(F66=1,ROUND(SUM(recreation_v2_6!J66,recreation_v2_7!J66,recreation_v2_8!J66,recreation_v2_9!J66,recreation_v2_10!J66)/COUNT(recreation_v2_6!J66,recreation_v2_7!J66,recreation_v2_8!J66,recreation_v2_9!J66,recreation_v2_10!J66),0),"NA")</f>
        <v>0</v>
      </c>
      <c r="K66">
        <f>IF($E66=0, "NA", ROUND(SUM(recreation_v2_6!K66,recreation_v2_7!K66,recreation_v2_8!K66,recreation_v2_9!K66,recreation_v2_10!K66)/COUNT(recreation_v2_6!K66,recreation_v2_7!K66,recreation_v2_8!K66,recreation_v2_9!K66,recreation_v2_10!K66),0))</f>
        <v>1</v>
      </c>
      <c r="L66">
        <f>IF($E66=0,"NA",ROUND(SUM(recreation_v2_6!L66,recreation_v2_7!L66,recreation_v2_8!L66,recreation_v2_9!L66,recreation_v2_10!L66)/COUNT(recreation_v2_6!L66,recreation_v2_7!L66,recreation_v2_8!L66,recreation_v2_9!L66,recreation_v2_10!L66),0))</f>
        <v>1</v>
      </c>
      <c r="M66">
        <f>IF($E66=0, "NA", ROUND(SUM(recreation_v2_6!M66,recreation_v2_7!M66,recreation_v2_8!M66,recreation_v2_9!M66,recreation_v2_10!M66)/COUNT(recreation_v2_6!M66,recreation_v2_7!M66,recreation_v2_8!M66,recreation_v2_9!M66,recreation_v2_10!M66),0))</f>
        <v>1</v>
      </c>
      <c r="N66">
        <f>IF($E66=0,"NA",ROUND(SUM(recreation_v2_6!N66,recreation_v2_7!N66,recreation_v2_8!N66,recreation_v2_9!N66,recreation_v2_10!N66)/COUNT(recreation_v2_6!N66,recreation_v2_7!N66,recreation_v2_8!N66,recreation_v2_9!N66,recreation_v2_10!N66),0))</f>
        <v>1</v>
      </c>
      <c r="O66">
        <f>IF($E66=0, "NA", ROUND(SUM(recreation_v2_6!O66,recreation_v2_7!O66,recreation_v2_8!O66,recreation_v2_9!O66,recreation_v2_10!O66)/COUNT(recreation_v2_6!O66,recreation_v2_7!O66,recreation_v2_8!O66,recreation_v2_9!O66,recreation_v2_10!O66),0))</f>
        <v>1</v>
      </c>
    </row>
    <row r="67" spans="1:15" x14ac:dyDescent="0.25">
      <c r="A67" t="s">
        <v>73</v>
      </c>
      <c r="B67" t="s">
        <v>43</v>
      </c>
      <c r="C67">
        <v>0</v>
      </c>
      <c r="D67">
        <v>9.3248615264892578</v>
      </c>
      <c r="E67">
        <f>ROUND(SUM(recreation_v2_6!E67,recreation_v2_7!E67,recreation_v2_8!E67,recreation_v2_9!E67,recreation_v2_10!E67)/COUNT(recreation_v2_6!E67,recreation_v2_7!E67,recreation_v2_8!E67,recreation_v2_9!E67,recreation_v2_10!E67),0)</f>
        <v>1</v>
      </c>
      <c r="F67">
        <f>IF($E67=0, "NA", ROUND(SUM(recreation_v2_6!F67,recreation_v2_7!F67,recreation_v2_8!F67,recreation_v2_9!F67,recreation_v2_10!F67)/COUNT(recreation_v2_6!F67,recreation_v2_7!F67,recreation_v2_8!F67,recreation_v2_9!F67,recreation_v2_10!F67),0))</f>
        <v>1</v>
      </c>
      <c r="G67">
        <f>IF($E67=0,"NA",ROUND(SUM(recreation_v2_6!G67,recreation_v2_7!G67,recreation_v2_8!G67,recreation_v2_9!G67,recreation_v2_10!G67)/COUNT(recreation_v2_6!G67,recreation_v2_7!G67,recreation_v2_8!G67,recreation_v2_9!G67,recreation_v2_10!G67),0))</f>
        <v>1</v>
      </c>
      <c r="H67">
        <f>IF(AND(F67=1, G67=1),ROUND(SUM(recreation_v2_6!H67,recreation_v2_7!H67,recreation_v2_8!H67,recreation_v2_9!H67,recreation_v2_10!H67)/COUNT(recreation_v2_6!H67,recreation_v2_7!H67,recreation_v2_8!H67,recreation_v2_9!H67,recreation_v2_10!H67),0),"NA")</f>
        <v>1</v>
      </c>
      <c r="I67">
        <f>IF($E67=0, "NA", ROUND(SUM(recreation_v2_6!I67,recreation_v2_7!I67,recreation_v2_8!I67,recreation_v2_9!I67,recreation_v2_10!I67)/COUNT(recreation_v2_6!I67,recreation_v2_7!I67,recreation_v2_8!I67,recreation_v2_9!I67,recreation_v2_10!I67),0))</f>
        <v>1</v>
      </c>
      <c r="J67">
        <f>IF(F67=1,ROUND(SUM(recreation_v2_6!J67,recreation_v2_7!J67,recreation_v2_8!J67,recreation_v2_9!J67,recreation_v2_10!J67)/COUNT(recreation_v2_6!J67,recreation_v2_7!J67,recreation_v2_8!J67,recreation_v2_9!J67,recreation_v2_10!J67),0),"NA")</f>
        <v>1</v>
      </c>
      <c r="K67">
        <f>IF($E67=0, "NA", ROUND(SUM(recreation_v2_6!K67,recreation_v2_7!K67,recreation_v2_8!K67,recreation_v2_9!K67,recreation_v2_10!K67)/COUNT(recreation_v2_6!K67,recreation_v2_7!K67,recreation_v2_8!K67,recreation_v2_9!K67,recreation_v2_10!K67),0))</f>
        <v>1</v>
      </c>
      <c r="L67">
        <f>IF($E67=0,"NA",ROUND(SUM(recreation_v2_6!L67,recreation_v2_7!L67,recreation_v2_8!L67,recreation_v2_9!L67,recreation_v2_10!L67)/COUNT(recreation_v2_6!L67,recreation_v2_7!L67,recreation_v2_8!L67,recreation_v2_9!L67,recreation_v2_10!L67),0))</f>
        <v>1</v>
      </c>
      <c r="M67">
        <f>IF($E67=0, "NA", ROUND(SUM(recreation_v2_6!M67,recreation_v2_7!M67,recreation_v2_8!M67,recreation_v2_9!M67,recreation_v2_10!M67)/COUNT(recreation_v2_6!M67,recreation_v2_7!M67,recreation_v2_8!M67,recreation_v2_9!M67,recreation_v2_10!M67),0))</f>
        <v>1</v>
      </c>
      <c r="N67">
        <f>IF($E67=0,"NA",ROUND(SUM(recreation_v2_6!N67,recreation_v2_7!N67,recreation_v2_8!N67,recreation_v2_9!N67,recreation_v2_10!N67)/COUNT(recreation_v2_6!N67,recreation_v2_7!N67,recreation_v2_8!N67,recreation_v2_9!N67,recreation_v2_10!N67),0))</f>
        <v>1</v>
      </c>
      <c r="O67">
        <f>IF($E67=0, "NA", ROUND(SUM(recreation_v2_6!O67,recreation_v2_7!O67,recreation_v2_8!O67,recreation_v2_9!O67,recreation_v2_10!O67)/COUNT(recreation_v2_6!O67,recreation_v2_7!O67,recreation_v2_8!O67,recreation_v2_9!O67,recreation_v2_10!O67),0))</f>
        <v>1</v>
      </c>
    </row>
    <row r="68" spans="1:15" x14ac:dyDescent="0.25">
      <c r="A68" t="s">
        <v>73</v>
      </c>
      <c r="B68" t="s">
        <v>45</v>
      </c>
      <c r="C68">
        <v>0</v>
      </c>
      <c r="D68">
        <v>12.93442964553833</v>
      </c>
      <c r="E68">
        <f>ROUND(SUM(recreation_v2_6!E68,recreation_v2_7!E68,recreation_v2_8!E68,recreation_v2_9!E68,recreation_v2_10!E68)/COUNT(recreation_v2_6!E68,recreation_v2_7!E68,recreation_v2_8!E68,recreation_v2_9!E68,recreation_v2_10!E68),0)</f>
        <v>0</v>
      </c>
      <c r="F68" t="str">
        <f>IF($E68=0, "NA", ROUND(SUM(recreation_v2_6!F68,recreation_v2_7!F68,recreation_v2_8!F68,recreation_v2_9!F68,recreation_v2_10!F68)/COUNT(recreation_v2_6!F68,recreation_v2_7!F68,recreation_v2_8!F68,recreation_v2_9!F68,recreation_v2_10!F68),0))</f>
        <v>NA</v>
      </c>
      <c r="G68" t="str">
        <f>IF($E68=0,"NA",ROUND(SUM(recreation_v2_6!G68,recreation_v2_7!G68,recreation_v2_8!G68,recreation_v2_9!G68,recreation_v2_10!G68)/COUNT(recreation_v2_6!G68,recreation_v2_7!G68,recreation_v2_8!G68,recreation_v2_9!G68,recreation_v2_10!G68),0))</f>
        <v>NA</v>
      </c>
      <c r="H68" t="str">
        <f>IF(AND(F68=1, G68=1),ROUND(SUM(recreation_v2_6!H68,recreation_v2_7!H68,recreation_v2_8!H68,recreation_v2_9!H68,recreation_v2_10!H68)/COUNT(recreation_v2_6!H68,recreation_v2_7!H68,recreation_v2_8!H68,recreation_v2_9!H68,recreation_v2_10!H68),0),"NA")</f>
        <v>NA</v>
      </c>
      <c r="I68" t="str">
        <f>IF($E68=0, "NA", ROUND(SUM(recreation_v2_6!I68,recreation_v2_7!I68,recreation_v2_8!I68,recreation_v2_9!I68,recreation_v2_10!I68)/COUNT(recreation_v2_6!I68,recreation_v2_7!I68,recreation_v2_8!I68,recreation_v2_9!I68,recreation_v2_10!I68),0))</f>
        <v>NA</v>
      </c>
      <c r="J68" t="str">
        <f>IF(F68=1,ROUND(SUM(recreation_v2_6!J68,recreation_v2_7!J68,recreation_v2_8!J68,recreation_v2_9!J68,recreation_v2_10!J68)/COUNT(recreation_v2_6!J68,recreation_v2_7!J68,recreation_v2_8!J68,recreation_v2_9!J68,recreation_v2_10!J68),0),"NA")</f>
        <v>NA</v>
      </c>
      <c r="K68" t="str">
        <f>IF($E68=0, "NA", ROUND(SUM(recreation_v2_6!K68,recreation_v2_7!K68,recreation_v2_8!K68,recreation_v2_9!K68,recreation_v2_10!K68)/COUNT(recreation_v2_6!K68,recreation_v2_7!K68,recreation_v2_8!K68,recreation_v2_9!K68,recreation_v2_10!K68),0))</f>
        <v>NA</v>
      </c>
      <c r="L68" t="str">
        <f>IF($E68=0,"NA",ROUND(SUM(recreation_v2_6!L68,recreation_v2_7!L68,recreation_v2_8!L68,recreation_v2_9!L68,recreation_v2_10!L68)/COUNT(recreation_v2_6!L68,recreation_v2_7!L68,recreation_v2_8!L68,recreation_v2_9!L68,recreation_v2_10!L68),0))</f>
        <v>NA</v>
      </c>
      <c r="M68" t="str">
        <f>IF($E68=0, "NA", ROUND(SUM(recreation_v2_6!M68,recreation_v2_7!M68,recreation_v2_8!M68,recreation_v2_9!M68,recreation_v2_10!M68)/COUNT(recreation_v2_6!M68,recreation_v2_7!M68,recreation_v2_8!M68,recreation_v2_9!M68,recreation_v2_10!M68),0))</f>
        <v>NA</v>
      </c>
      <c r="N68" t="str">
        <f>IF($E68=0,"NA",ROUND(SUM(recreation_v2_6!N68,recreation_v2_7!N68,recreation_v2_8!N68,recreation_v2_9!N68,recreation_v2_10!N68)/COUNT(recreation_v2_6!N68,recreation_v2_7!N68,recreation_v2_8!N68,recreation_v2_9!N68,recreation_v2_10!N68),0))</f>
        <v>NA</v>
      </c>
      <c r="O68" t="str">
        <f>IF($E68=0, "NA", ROUND(SUM(recreation_v2_6!O68,recreation_v2_7!O68,recreation_v2_8!O68,recreation_v2_9!O68,recreation_v2_10!O68)/COUNT(recreation_v2_6!O68,recreation_v2_7!O68,recreation_v2_8!O68,recreation_v2_9!O68,recreation_v2_10!O68),0))</f>
        <v>NA</v>
      </c>
    </row>
    <row r="69" spans="1:15" x14ac:dyDescent="0.25">
      <c r="A69" t="s">
        <v>73</v>
      </c>
      <c r="B69" t="s">
        <v>47</v>
      </c>
      <c r="C69">
        <v>0</v>
      </c>
      <c r="D69">
        <v>10.700333595275881</v>
      </c>
      <c r="E69">
        <f>ROUND(SUM(recreation_v2_6!E69,recreation_v2_7!E69,recreation_v2_8!E69,recreation_v2_9!E69,recreation_v2_10!E69)/COUNT(recreation_v2_6!E69,recreation_v2_7!E69,recreation_v2_8!E69,recreation_v2_9!E69,recreation_v2_10!E69),0)</f>
        <v>1</v>
      </c>
      <c r="F69">
        <f>IF($E69=0, "NA", ROUND(SUM(recreation_v2_6!F69,recreation_v2_7!F69,recreation_v2_8!F69,recreation_v2_9!F69,recreation_v2_10!F69)/COUNT(recreation_v2_6!F69,recreation_v2_7!F69,recreation_v2_8!F69,recreation_v2_9!F69,recreation_v2_10!F69),0))</f>
        <v>1</v>
      </c>
      <c r="G69">
        <f>IF($E69=0,"NA",ROUND(SUM(recreation_v2_6!G69,recreation_v2_7!G69,recreation_v2_8!G69,recreation_v2_9!G69,recreation_v2_10!G69)/COUNT(recreation_v2_6!G69,recreation_v2_7!G69,recreation_v2_8!G69,recreation_v2_9!G69,recreation_v2_10!G69),0))</f>
        <v>1</v>
      </c>
      <c r="H69">
        <f>IF(AND(F69=1, G69=1),ROUND(SUM(recreation_v2_6!H69,recreation_v2_7!H69,recreation_v2_8!H69,recreation_v2_9!H69,recreation_v2_10!H69)/COUNT(recreation_v2_6!H69,recreation_v2_7!H69,recreation_v2_8!H69,recreation_v2_9!H69,recreation_v2_10!H69),0),"NA")</f>
        <v>1</v>
      </c>
      <c r="I69">
        <f>IF($E69=0, "NA", ROUND(SUM(recreation_v2_6!I69,recreation_v2_7!I69,recreation_v2_8!I69,recreation_v2_9!I69,recreation_v2_10!I69)/COUNT(recreation_v2_6!I69,recreation_v2_7!I69,recreation_v2_8!I69,recreation_v2_9!I69,recreation_v2_10!I69),0))</f>
        <v>1</v>
      </c>
      <c r="J69">
        <f>IF(F69=1,ROUND(SUM(recreation_v2_6!J69,recreation_v2_7!J69,recreation_v2_8!J69,recreation_v2_9!J69,recreation_v2_10!J69)/COUNT(recreation_v2_6!J69,recreation_v2_7!J69,recreation_v2_8!J69,recreation_v2_9!J69,recreation_v2_10!J69),0),"NA")</f>
        <v>1</v>
      </c>
      <c r="K69">
        <f>IF($E69=0, "NA", ROUND(SUM(recreation_v2_6!K69,recreation_v2_7!K69,recreation_v2_8!K69,recreation_v2_9!K69,recreation_v2_10!K69)/COUNT(recreation_v2_6!K69,recreation_v2_7!K69,recreation_v2_8!K69,recreation_v2_9!K69,recreation_v2_10!K69),0))</f>
        <v>1</v>
      </c>
      <c r="L69">
        <f>IF($E69=0,"NA",ROUND(SUM(recreation_v2_6!L69,recreation_v2_7!L69,recreation_v2_8!L69,recreation_v2_9!L69,recreation_v2_10!L69)/COUNT(recreation_v2_6!L69,recreation_v2_7!L69,recreation_v2_8!L69,recreation_v2_9!L69,recreation_v2_10!L69),0))</f>
        <v>1</v>
      </c>
      <c r="M69">
        <f>IF($E69=0, "NA", ROUND(SUM(recreation_v2_6!M69,recreation_v2_7!M69,recreation_v2_8!M69,recreation_v2_9!M69,recreation_v2_10!M69)/COUNT(recreation_v2_6!M69,recreation_v2_7!M69,recreation_v2_8!M69,recreation_v2_9!M69,recreation_v2_10!M69),0))</f>
        <v>1</v>
      </c>
      <c r="N69">
        <f>IF($E69=0,"NA",ROUND(SUM(recreation_v2_6!N69,recreation_v2_7!N69,recreation_v2_8!N69,recreation_v2_9!N69,recreation_v2_10!N69)/COUNT(recreation_v2_6!N69,recreation_v2_7!N69,recreation_v2_8!N69,recreation_v2_9!N69,recreation_v2_10!N69),0))</f>
        <v>1</v>
      </c>
      <c r="O69">
        <f>IF($E69=0, "NA", ROUND(SUM(recreation_v2_6!O69,recreation_v2_7!O69,recreation_v2_8!O69,recreation_v2_9!O69,recreation_v2_10!O69)/COUNT(recreation_v2_6!O69,recreation_v2_7!O69,recreation_v2_8!O69,recreation_v2_9!O69,recreation_v2_10!O69),0))</f>
        <v>1</v>
      </c>
    </row>
    <row r="70" spans="1:15" x14ac:dyDescent="0.25">
      <c r="A70" t="s">
        <v>73</v>
      </c>
      <c r="B70" t="s">
        <v>48</v>
      </c>
      <c r="C70">
        <v>0</v>
      </c>
      <c r="D70">
        <v>2.6512436866760249</v>
      </c>
      <c r="E70">
        <f>ROUND(SUM(recreation_v2_6!E70,recreation_v2_7!E70,recreation_v2_8!E70,recreation_v2_9!E70,recreation_v2_10!E70)/COUNT(recreation_v2_6!E70,recreation_v2_7!E70,recreation_v2_8!E70,recreation_v2_9!E70,recreation_v2_10!E70),0)</f>
        <v>1</v>
      </c>
      <c r="F70">
        <f>IF($E70=0, "NA", ROUND(SUM(recreation_v2_6!F70,recreation_v2_7!F70,recreation_v2_8!F70,recreation_v2_9!F70,recreation_v2_10!F70)/COUNT(recreation_v2_6!F70,recreation_v2_7!F70,recreation_v2_8!F70,recreation_v2_9!F70,recreation_v2_10!F70),0))</f>
        <v>1</v>
      </c>
      <c r="G70">
        <f>IF($E70=0,"NA",ROUND(SUM(recreation_v2_6!G70,recreation_v2_7!G70,recreation_v2_8!G70,recreation_v2_9!G70,recreation_v2_10!G70)/COUNT(recreation_v2_6!G70,recreation_v2_7!G70,recreation_v2_8!G70,recreation_v2_9!G70,recreation_v2_10!G70),0))</f>
        <v>1</v>
      </c>
      <c r="H70">
        <f>IF(AND(F70=1, G70=1),ROUND(SUM(recreation_v2_6!H70,recreation_v2_7!H70,recreation_v2_8!H70,recreation_v2_9!H70,recreation_v2_10!H70)/COUNT(recreation_v2_6!H70,recreation_v2_7!H70,recreation_v2_8!H70,recreation_v2_9!H70,recreation_v2_10!H70),0),"NA")</f>
        <v>1</v>
      </c>
      <c r="I70">
        <f>IF($E70=0, "NA", ROUND(SUM(recreation_v2_6!I70,recreation_v2_7!I70,recreation_v2_8!I70,recreation_v2_9!I70,recreation_v2_10!I70)/COUNT(recreation_v2_6!I70,recreation_v2_7!I70,recreation_v2_8!I70,recreation_v2_9!I70,recreation_v2_10!I70),0))</f>
        <v>1</v>
      </c>
      <c r="J70">
        <f>IF(F70=1,ROUND(SUM(recreation_v2_6!J70,recreation_v2_7!J70,recreation_v2_8!J70,recreation_v2_9!J70,recreation_v2_10!J70)/COUNT(recreation_v2_6!J70,recreation_v2_7!J70,recreation_v2_8!J70,recreation_v2_9!J70,recreation_v2_10!J70),0),"NA")</f>
        <v>1</v>
      </c>
      <c r="K70">
        <f>IF($E70=0, "NA", ROUND(SUM(recreation_v2_6!K70,recreation_v2_7!K70,recreation_v2_8!K70,recreation_v2_9!K70,recreation_v2_10!K70)/COUNT(recreation_v2_6!K70,recreation_v2_7!K70,recreation_v2_8!K70,recreation_v2_9!K70,recreation_v2_10!K70),0))</f>
        <v>1</v>
      </c>
      <c r="L70">
        <f>IF($E70=0,"NA",ROUND(SUM(recreation_v2_6!L70,recreation_v2_7!L70,recreation_v2_8!L70,recreation_v2_9!L70,recreation_v2_10!L70)/COUNT(recreation_v2_6!L70,recreation_v2_7!L70,recreation_v2_8!L70,recreation_v2_9!L70,recreation_v2_10!L70),0))</f>
        <v>1</v>
      </c>
      <c r="M70">
        <f>IF($E70=0, "NA", ROUND(SUM(recreation_v2_6!M70,recreation_v2_7!M70,recreation_v2_8!M70,recreation_v2_9!M70,recreation_v2_10!M70)/COUNT(recreation_v2_6!M70,recreation_v2_7!M70,recreation_v2_8!M70,recreation_v2_9!M70,recreation_v2_10!M70),0))</f>
        <v>1</v>
      </c>
      <c r="N70">
        <f>IF($E70=0,"NA",ROUND(SUM(recreation_v2_6!N70,recreation_v2_7!N70,recreation_v2_8!N70,recreation_v2_9!N70,recreation_v2_10!N70)/COUNT(recreation_v2_6!N70,recreation_v2_7!N70,recreation_v2_8!N70,recreation_v2_9!N70,recreation_v2_10!N70),0))</f>
        <v>1</v>
      </c>
      <c r="O70">
        <f>IF($E70=0, "NA", ROUND(SUM(recreation_v2_6!O70,recreation_v2_7!O70,recreation_v2_8!O70,recreation_v2_9!O70,recreation_v2_10!O70)/COUNT(recreation_v2_6!O70,recreation_v2_7!O70,recreation_v2_8!O70,recreation_v2_9!O70,recreation_v2_10!O70),0))</f>
        <v>1</v>
      </c>
    </row>
    <row r="71" spans="1:15" x14ac:dyDescent="0.25">
      <c r="A71" t="s">
        <v>73</v>
      </c>
      <c r="B71" t="s">
        <v>49</v>
      </c>
      <c r="C71">
        <v>0</v>
      </c>
      <c r="D71">
        <v>6.2599444389343262</v>
      </c>
      <c r="E71">
        <f>ROUND(SUM(recreation_v2_6!E71,recreation_v2_7!E71,recreation_v2_8!E71,recreation_v2_9!E71,recreation_v2_10!E71)/COUNT(recreation_v2_6!E71,recreation_v2_7!E71,recreation_v2_8!E71,recreation_v2_9!E71,recreation_v2_10!E71),0)</f>
        <v>1</v>
      </c>
      <c r="F71">
        <f>IF($E71=0, "NA", ROUND(SUM(recreation_v2_6!F71,recreation_v2_7!F71,recreation_v2_8!F71,recreation_v2_9!F71,recreation_v2_10!F71)/COUNT(recreation_v2_6!F71,recreation_v2_7!F71,recreation_v2_8!F71,recreation_v2_9!F71,recreation_v2_10!F71),0))</f>
        <v>0</v>
      </c>
      <c r="G71">
        <f>IF($E71=0,"NA",ROUND(SUM(recreation_v2_6!G71,recreation_v2_7!G71,recreation_v2_8!G71,recreation_v2_9!G71,recreation_v2_10!G71)/COUNT(recreation_v2_6!G71,recreation_v2_7!G71,recreation_v2_8!G71,recreation_v2_9!G71,recreation_v2_10!G71),0))</f>
        <v>1</v>
      </c>
      <c r="H71" t="str">
        <f>IF(AND(F71=1, G71=1),ROUND(SUM(recreation_v2_6!H71,recreation_v2_7!H71,recreation_v2_8!H71,recreation_v2_9!H71,recreation_v2_10!H71)/COUNT(recreation_v2_6!H71,recreation_v2_7!H71,recreation_v2_8!H71,recreation_v2_9!H71,recreation_v2_10!H71),0),"NA")</f>
        <v>NA</v>
      </c>
      <c r="I71">
        <f>IF($E71=0, "NA", ROUND(SUM(recreation_v2_6!I71,recreation_v2_7!I71,recreation_v2_8!I71,recreation_v2_9!I71,recreation_v2_10!I71)/COUNT(recreation_v2_6!I71,recreation_v2_7!I71,recreation_v2_8!I71,recreation_v2_9!I71,recreation_v2_10!I71),0))</f>
        <v>1</v>
      </c>
      <c r="J71" t="str">
        <f>IF(F71=1,ROUND(SUM(recreation_v2_6!J71,recreation_v2_7!J71,recreation_v2_8!J71,recreation_v2_9!J71,recreation_v2_10!J71)/COUNT(recreation_v2_6!J71,recreation_v2_7!J71,recreation_v2_8!J71,recreation_v2_9!J71,recreation_v2_10!J71),0),"NA")</f>
        <v>NA</v>
      </c>
      <c r="K71">
        <f>IF($E71=0, "NA", ROUND(SUM(recreation_v2_6!K71,recreation_v2_7!K71,recreation_v2_8!K71,recreation_v2_9!K71,recreation_v2_10!K71)/COUNT(recreation_v2_6!K71,recreation_v2_7!K71,recreation_v2_8!K71,recreation_v2_9!K71,recreation_v2_10!K71),0))</f>
        <v>1</v>
      </c>
      <c r="L71">
        <f>IF($E71=0,"NA",ROUND(SUM(recreation_v2_6!L71,recreation_v2_7!L71,recreation_v2_8!L71,recreation_v2_9!L71,recreation_v2_10!L71)/COUNT(recreation_v2_6!L71,recreation_v2_7!L71,recreation_v2_8!L71,recreation_v2_9!L71,recreation_v2_10!L71),0))</f>
        <v>1</v>
      </c>
      <c r="M71">
        <f>IF($E71=0, "NA", ROUND(SUM(recreation_v2_6!M71,recreation_v2_7!M71,recreation_v2_8!M71,recreation_v2_9!M71,recreation_v2_10!M71)/COUNT(recreation_v2_6!M71,recreation_v2_7!M71,recreation_v2_8!M71,recreation_v2_9!M71,recreation_v2_10!M71),0))</f>
        <v>1</v>
      </c>
      <c r="N71">
        <f>IF($E71=0,"NA",ROUND(SUM(recreation_v2_6!N71,recreation_v2_7!N71,recreation_v2_8!N71,recreation_v2_9!N71,recreation_v2_10!N71)/COUNT(recreation_v2_6!N71,recreation_v2_7!N71,recreation_v2_8!N71,recreation_v2_9!N71,recreation_v2_10!N71),0))</f>
        <v>1</v>
      </c>
      <c r="O71">
        <f>IF($E71=0, "NA", ROUND(SUM(recreation_v2_6!O71,recreation_v2_7!O71,recreation_v2_8!O71,recreation_v2_9!O71,recreation_v2_10!O71)/COUNT(recreation_v2_6!O71,recreation_v2_7!O71,recreation_v2_8!O71,recreation_v2_9!O71,recreation_v2_10!O71),0))</f>
        <v>1</v>
      </c>
    </row>
    <row r="72" spans="1:15" x14ac:dyDescent="0.25">
      <c r="A72" t="s">
        <v>73</v>
      </c>
      <c r="B72" t="s">
        <v>51</v>
      </c>
      <c r="C72">
        <v>0</v>
      </c>
      <c r="D72">
        <v>5.3412446975708008</v>
      </c>
      <c r="E72">
        <f>ROUND(SUM(recreation_v2_6!E72,recreation_v2_7!E72,recreation_v2_8!E72,recreation_v2_9!E72,recreation_v2_10!E72)/COUNT(recreation_v2_6!E72,recreation_v2_7!E72,recreation_v2_8!E72,recreation_v2_9!E72,recreation_v2_10!E72),0)</f>
        <v>1</v>
      </c>
      <c r="F72">
        <f>IF($E72=0, "NA", ROUND(SUM(recreation_v2_6!F72,recreation_v2_7!F72,recreation_v2_8!F72,recreation_v2_9!F72,recreation_v2_10!F72)/COUNT(recreation_v2_6!F72,recreation_v2_7!F72,recreation_v2_8!F72,recreation_v2_9!F72,recreation_v2_10!F72),0))</f>
        <v>1</v>
      </c>
      <c r="G72">
        <f>IF($E72=0,"NA",ROUND(SUM(recreation_v2_6!G72,recreation_v2_7!G72,recreation_v2_8!G72,recreation_v2_9!G72,recreation_v2_10!G72)/COUNT(recreation_v2_6!G72,recreation_v2_7!G72,recreation_v2_8!G72,recreation_v2_9!G72,recreation_v2_10!G72),0))</f>
        <v>1</v>
      </c>
      <c r="H72">
        <f>IF(AND(F72=1, G72=1),ROUND(SUM(recreation_v2_6!H72,recreation_v2_7!H72,recreation_v2_8!H72,recreation_v2_9!H72,recreation_v2_10!H72)/COUNT(recreation_v2_6!H72,recreation_v2_7!H72,recreation_v2_8!H72,recreation_v2_9!H72,recreation_v2_10!H72),0),"NA")</f>
        <v>1</v>
      </c>
      <c r="I72">
        <f>IF($E72=0, "NA", ROUND(SUM(recreation_v2_6!I72,recreation_v2_7!I72,recreation_v2_8!I72,recreation_v2_9!I72,recreation_v2_10!I72)/COUNT(recreation_v2_6!I72,recreation_v2_7!I72,recreation_v2_8!I72,recreation_v2_9!I72,recreation_v2_10!I72),0))</f>
        <v>1</v>
      </c>
      <c r="J72">
        <f>IF(F72=1,ROUND(SUM(recreation_v2_6!J72,recreation_v2_7!J72,recreation_v2_8!J72,recreation_v2_9!J72,recreation_v2_10!J72)/COUNT(recreation_v2_6!J72,recreation_v2_7!J72,recreation_v2_8!J72,recreation_v2_9!J72,recreation_v2_10!J72),0),"NA")</f>
        <v>0</v>
      </c>
      <c r="K72">
        <f>IF($E72=0, "NA", ROUND(SUM(recreation_v2_6!K72,recreation_v2_7!K72,recreation_v2_8!K72,recreation_v2_9!K72,recreation_v2_10!K72)/COUNT(recreation_v2_6!K72,recreation_v2_7!K72,recreation_v2_8!K72,recreation_v2_9!K72,recreation_v2_10!K72),0))</f>
        <v>1</v>
      </c>
      <c r="L72">
        <f>IF($E72=0,"NA",ROUND(SUM(recreation_v2_6!L72,recreation_v2_7!L72,recreation_v2_8!L72,recreation_v2_9!L72,recreation_v2_10!L72)/COUNT(recreation_v2_6!L72,recreation_v2_7!L72,recreation_v2_8!L72,recreation_v2_9!L72,recreation_v2_10!L72),0))</f>
        <v>1</v>
      </c>
      <c r="M72">
        <f>IF($E72=0, "NA", ROUND(SUM(recreation_v2_6!M72,recreation_v2_7!M72,recreation_v2_8!M72,recreation_v2_9!M72,recreation_v2_10!M72)/COUNT(recreation_v2_6!M72,recreation_v2_7!M72,recreation_v2_8!M72,recreation_v2_9!M72,recreation_v2_10!M72),0))</f>
        <v>1</v>
      </c>
      <c r="N72">
        <f>IF($E72=0,"NA",ROUND(SUM(recreation_v2_6!N72,recreation_v2_7!N72,recreation_v2_8!N72,recreation_v2_9!N72,recreation_v2_10!N72)/COUNT(recreation_v2_6!N72,recreation_v2_7!N72,recreation_v2_8!N72,recreation_v2_9!N72,recreation_v2_10!N72),0))</f>
        <v>1</v>
      </c>
      <c r="O72">
        <f>IF($E72=0, "NA", ROUND(SUM(recreation_v2_6!O72,recreation_v2_7!O72,recreation_v2_8!O72,recreation_v2_9!O72,recreation_v2_10!O72)/COUNT(recreation_v2_6!O72,recreation_v2_7!O72,recreation_v2_8!O72,recreation_v2_9!O72,recreation_v2_10!O72),0))</f>
        <v>1</v>
      </c>
    </row>
    <row r="73" spans="1:15" x14ac:dyDescent="0.25">
      <c r="A73" t="s">
        <v>73</v>
      </c>
      <c r="B73" t="s">
        <v>52</v>
      </c>
      <c r="C73">
        <v>0</v>
      </c>
      <c r="D73">
        <v>9.3305220603942871</v>
      </c>
      <c r="E73">
        <f>ROUND(SUM(recreation_v2_6!E73,recreation_v2_7!E73,recreation_v2_8!E73,recreation_v2_9!E73,recreation_v2_10!E73)/COUNT(recreation_v2_6!E73,recreation_v2_7!E73,recreation_v2_8!E73,recreation_v2_9!E73,recreation_v2_10!E73),0)</f>
        <v>1</v>
      </c>
      <c r="F73">
        <f>IF($E73=0, "NA", ROUND(SUM(recreation_v2_6!F73,recreation_v2_7!F73,recreation_v2_8!F73,recreation_v2_9!F73,recreation_v2_10!F73)/COUNT(recreation_v2_6!F73,recreation_v2_7!F73,recreation_v2_8!F73,recreation_v2_9!F73,recreation_v2_10!F73),0))</f>
        <v>1</v>
      </c>
      <c r="G73">
        <f>IF($E73=0,"NA",ROUND(SUM(recreation_v2_6!G73,recreation_v2_7!G73,recreation_v2_8!G73,recreation_v2_9!G73,recreation_v2_10!G73)/COUNT(recreation_v2_6!G73,recreation_v2_7!G73,recreation_v2_8!G73,recreation_v2_9!G73,recreation_v2_10!G73),0))</f>
        <v>1</v>
      </c>
      <c r="H73">
        <f>IF(AND(F73=1, G73=1),ROUND(SUM(recreation_v2_6!H73,recreation_v2_7!H73,recreation_v2_8!H73,recreation_v2_9!H73,recreation_v2_10!H73)/COUNT(recreation_v2_6!H73,recreation_v2_7!H73,recreation_v2_8!H73,recreation_v2_9!H73,recreation_v2_10!H73),0),"NA")</f>
        <v>1</v>
      </c>
      <c r="I73">
        <f>IF($E73=0, "NA", ROUND(SUM(recreation_v2_6!I73,recreation_v2_7!I73,recreation_v2_8!I73,recreation_v2_9!I73,recreation_v2_10!I73)/COUNT(recreation_v2_6!I73,recreation_v2_7!I73,recreation_v2_8!I73,recreation_v2_9!I73,recreation_v2_10!I73),0))</f>
        <v>1</v>
      </c>
      <c r="J73">
        <f>IF(F73=1,ROUND(SUM(recreation_v2_6!J73,recreation_v2_7!J73,recreation_v2_8!J73,recreation_v2_9!J73,recreation_v2_10!J73)/COUNT(recreation_v2_6!J73,recreation_v2_7!J73,recreation_v2_8!J73,recreation_v2_9!J73,recreation_v2_10!J73),0),"NA")</f>
        <v>1</v>
      </c>
      <c r="K73">
        <f>IF($E73=0, "NA", ROUND(SUM(recreation_v2_6!K73,recreation_v2_7!K73,recreation_v2_8!K73,recreation_v2_9!K73,recreation_v2_10!K73)/COUNT(recreation_v2_6!K73,recreation_v2_7!K73,recreation_v2_8!K73,recreation_v2_9!K73,recreation_v2_10!K73),0))</f>
        <v>1</v>
      </c>
      <c r="L73">
        <f>IF($E73=0,"NA",ROUND(SUM(recreation_v2_6!L73,recreation_v2_7!L73,recreation_v2_8!L73,recreation_v2_9!L73,recreation_v2_10!L73)/COUNT(recreation_v2_6!L73,recreation_v2_7!L73,recreation_v2_8!L73,recreation_v2_9!L73,recreation_v2_10!L73),0))</f>
        <v>1</v>
      </c>
      <c r="M73">
        <f>IF($E73=0, "NA", ROUND(SUM(recreation_v2_6!M73,recreation_v2_7!M73,recreation_v2_8!M73,recreation_v2_9!M73,recreation_v2_10!M73)/COUNT(recreation_v2_6!M73,recreation_v2_7!M73,recreation_v2_8!M73,recreation_v2_9!M73,recreation_v2_10!M73),0))</f>
        <v>1</v>
      </c>
      <c r="N73">
        <f>IF($E73=0,"NA",ROUND(SUM(recreation_v2_6!N73,recreation_v2_7!N73,recreation_v2_8!N73,recreation_v2_9!N73,recreation_v2_10!N73)/COUNT(recreation_v2_6!N73,recreation_v2_7!N73,recreation_v2_8!N73,recreation_v2_9!N73,recreation_v2_10!N73),0))</f>
        <v>1</v>
      </c>
      <c r="O73">
        <f>IF($E73=0, "NA", ROUND(SUM(recreation_v2_6!O73,recreation_v2_7!O73,recreation_v2_8!O73,recreation_v2_9!O73,recreation_v2_10!O73)/COUNT(recreation_v2_6!O73,recreation_v2_7!O73,recreation_v2_8!O73,recreation_v2_9!O73,recreation_v2_10!O73),0))</f>
        <v>1</v>
      </c>
    </row>
    <row r="74" spans="1:15" x14ac:dyDescent="0.25">
      <c r="A74" t="s">
        <v>73</v>
      </c>
      <c r="B74" t="s">
        <v>54</v>
      </c>
      <c r="C74">
        <v>0</v>
      </c>
      <c r="D74">
        <v>6.0656611919403076</v>
      </c>
      <c r="E74">
        <f>ROUND(SUM(recreation_v2_6!E74,recreation_v2_7!E74,recreation_v2_8!E74,recreation_v2_9!E74,recreation_v2_10!E74)/COUNT(recreation_v2_6!E74,recreation_v2_7!E74,recreation_v2_8!E74,recreation_v2_9!E74,recreation_v2_10!E74),0)</f>
        <v>1</v>
      </c>
      <c r="F74">
        <f>IF($E74=0, "NA", ROUND(SUM(recreation_v2_6!F74,recreation_v2_7!F74,recreation_v2_8!F74,recreation_v2_9!F74,recreation_v2_10!F74)/COUNT(recreation_v2_6!F74,recreation_v2_7!F74,recreation_v2_8!F74,recreation_v2_9!F74,recreation_v2_10!F74),0))</f>
        <v>1</v>
      </c>
      <c r="G74">
        <f>IF($E74=0,"NA",ROUND(SUM(recreation_v2_6!G74,recreation_v2_7!G74,recreation_v2_8!G74,recreation_v2_9!G74,recreation_v2_10!G74)/COUNT(recreation_v2_6!G74,recreation_v2_7!G74,recreation_v2_8!G74,recreation_v2_9!G74,recreation_v2_10!G74),0))</f>
        <v>1</v>
      </c>
      <c r="H74">
        <f>IF(AND(F74=1, G74=1),ROUND(SUM(recreation_v2_6!H74,recreation_v2_7!H74,recreation_v2_8!H74,recreation_v2_9!H74,recreation_v2_10!H74)/COUNT(recreation_v2_6!H74,recreation_v2_7!H74,recreation_v2_8!H74,recreation_v2_9!H74,recreation_v2_10!H74),0),"NA")</f>
        <v>0</v>
      </c>
      <c r="I74">
        <f>IF($E74=0, "NA", ROUND(SUM(recreation_v2_6!I74,recreation_v2_7!I74,recreation_v2_8!I74,recreation_v2_9!I74,recreation_v2_10!I74)/COUNT(recreation_v2_6!I74,recreation_v2_7!I74,recreation_v2_8!I74,recreation_v2_9!I74,recreation_v2_10!I74),0))</f>
        <v>1</v>
      </c>
      <c r="J74">
        <f>IF(F74=1,ROUND(SUM(recreation_v2_6!J74,recreation_v2_7!J74,recreation_v2_8!J74,recreation_v2_9!J74,recreation_v2_10!J74)/COUNT(recreation_v2_6!J74,recreation_v2_7!J74,recreation_v2_8!J74,recreation_v2_9!J74,recreation_v2_10!J74),0),"NA")</f>
        <v>0</v>
      </c>
      <c r="K74">
        <f>IF($E74=0, "NA", ROUND(SUM(recreation_v2_6!K74,recreation_v2_7!K74,recreation_v2_8!K74,recreation_v2_9!K74,recreation_v2_10!K74)/COUNT(recreation_v2_6!K74,recreation_v2_7!K74,recreation_v2_8!K74,recreation_v2_9!K74,recreation_v2_10!K74),0))</f>
        <v>1</v>
      </c>
      <c r="L74">
        <f>IF($E74=0,"NA",ROUND(SUM(recreation_v2_6!L74,recreation_v2_7!L74,recreation_v2_8!L74,recreation_v2_9!L74,recreation_v2_10!L74)/COUNT(recreation_v2_6!L74,recreation_v2_7!L74,recreation_v2_8!L74,recreation_v2_9!L74,recreation_v2_10!L74),0))</f>
        <v>1</v>
      </c>
      <c r="M74">
        <f>IF($E74=0, "NA", ROUND(SUM(recreation_v2_6!M74,recreation_v2_7!M74,recreation_v2_8!M74,recreation_v2_9!M74,recreation_v2_10!M74)/COUNT(recreation_v2_6!M74,recreation_v2_7!M74,recreation_v2_8!M74,recreation_v2_9!M74,recreation_v2_10!M74),0))</f>
        <v>1</v>
      </c>
      <c r="N74">
        <f>IF($E74=0,"NA",ROUND(SUM(recreation_v2_6!N74,recreation_v2_7!N74,recreation_v2_8!N74,recreation_v2_9!N74,recreation_v2_10!N74)/COUNT(recreation_v2_6!N74,recreation_v2_7!N74,recreation_v2_8!N74,recreation_v2_9!N74,recreation_v2_10!N74),0))</f>
        <v>1</v>
      </c>
      <c r="O74">
        <f>IF($E74=0, "NA", ROUND(SUM(recreation_v2_6!O74,recreation_v2_7!O74,recreation_v2_8!O74,recreation_v2_9!O74,recreation_v2_10!O74)/COUNT(recreation_v2_6!O74,recreation_v2_7!O74,recreation_v2_8!O74,recreation_v2_9!O74,recreation_v2_10!O74),0))</f>
        <v>1</v>
      </c>
    </row>
    <row r="75" spans="1:15" x14ac:dyDescent="0.25">
      <c r="A75" t="s">
        <v>73</v>
      </c>
      <c r="B75" t="s">
        <v>56</v>
      </c>
      <c r="C75">
        <v>0</v>
      </c>
      <c r="D75">
        <v>5.8493928909301758</v>
      </c>
      <c r="E75">
        <f>ROUND(SUM(recreation_v2_6!E75,recreation_v2_7!E75,recreation_v2_8!E75,recreation_v2_9!E75,recreation_v2_10!E75)/COUNT(recreation_v2_6!E75,recreation_v2_7!E75,recreation_v2_8!E75,recreation_v2_9!E75,recreation_v2_10!E75),0)</f>
        <v>1</v>
      </c>
      <c r="F75">
        <f>IF($E75=0, "NA", ROUND(SUM(recreation_v2_6!F75,recreation_v2_7!F75,recreation_v2_8!F75,recreation_v2_9!F75,recreation_v2_10!F75)/COUNT(recreation_v2_6!F75,recreation_v2_7!F75,recreation_v2_8!F75,recreation_v2_9!F75,recreation_v2_10!F75),0))</f>
        <v>0</v>
      </c>
      <c r="G75">
        <f>IF($E75=0,"NA",ROUND(SUM(recreation_v2_6!G75,recreation_v2_7!G75,recreation_v2_8!G75,recreation_v2_9!G75,recreation_v2_10!G75)/COUNT(recreation_v2_6!G75,recreation_v2_7!G75,recreation_v2_8!G75,recreation_v2_9!G75,recreation_v2_10!G75),0))</f>
        <v>1</v>
      </c>
      <c r="H75" t="str">
        <f>IF(AND(F75=1, G75=1),ROUND(SUM(recreation_v2_6!H75,recreation_v2_7!H75,recreation_v2_8!H75,recreation_v2_9!H75,recreation_v2_10!H75)/COUNT(recreation_v2_6!H75,recreation_v2_7!H75,recreation_v2_8!H75,recreation_v2_9!H75,recreation_v2_10!H75),0),"NA")</f>
        <v>NA</v>
      </c>
      <c r="I75">
        <f>IF($E75=0, "NA", ROUND(SUM(recreation_v2_6!I75,recreation_v2_7!I75,recreation_v2_8!I75,recreation_v2_9!I75,recreation_v2_10!I75)/COUNT(recreation_v2_6!I75,recreation_v2_7!I75,recreation_v2_8!I75,recreation_v2_9!I75,recreation_v2_10!I75),0))</f>
        <v>1</v>
      </c>
      <c r="J75" t="str">
        <f>IF(F75=1,ROUND(SUM(recreation_v2_6!J75,recreation_v2_7!J75,recreation_v2_8!J75,recreation_v2_9!J75,recreation_v2_10!J75)/COUNT(recreation_v2_6!J75,recreation_v2_7!J75,recreation_v2_8!J75,recreation_v2_9!J75,recreation_v2_10!J75),0),"NA")</f>
        <v>NA</v>
      </c>
      <c r="K75">
        <f>IF($E75=0, "NA", ROUND(SUM(recreation_v2_6!K75,recreation_v2_7!K75,recreation_v2_8!K75,recreation_v2_9!K75,recreation_v2_10!K75)/COUNT(recreation_v2_6!K75,recreation_v2_7!K75,recreation_v2_8!K75,recreation_v2_9!K75,recreation_v2_10!K75),0))</f>
        <v>1</v>
      </c>
      <c r="L75">
        <f>IF($E75=0,"NA",ROUND(SUM(recreation_v2_6!L75,recreation_v2_7!L75,recreation_v2_8!L75,recreation_v2_9!L75,recreation_v2_10!L75)/COUNT(recreation_v2_6!L75,recreation_v2_7!L75,recreation_v2_8!L75,recreation_v2_9!L75,recreation_v2_10!L75),0))</f>
        <v>1</v>
      </c>
      <c r="M75">
        <f>IF($E75=0, "NA", ROUND(SUM(recreation_v2_6!M75,recreation_v2_7!M75,recreation_v2_8!M75,recreation_v2_9!M75,recreation_v2_10!M75)/COUNT(recreation_v2_6!M75,recreation_v2_7!M75,recreation_v2_8!M75,recreation_v2_9!M75,recreation_v2_10!M75),0))</f>
        <v>1</v>
      </c>
      <c r="N75">
        <f>IF($E75=0,"NA",ROUND(SUM(recreation_v2_6!N75,recreation_v2_7!N75,recreation_v2_8!N75,recreation_v2_9!N75,recreation_v2_10!N75)/COUNT(recreation_v2_6!N75,recreation_v2_7!N75,recreation_v2_8!N75,recreation_v2_9!N75,recreation_v2_10!N75),0))</f>
        <v>1</v>
      </c>
      <c r="O75">
        <f>IF($E75=0, "NA", ROUND(SUM(recreation_v2_6!O75,recreation_v2_7!O75,recreation_v2_8!O75,recreation_v2_9!O75,recreation_v2_10!O75)/COUNT(recreation_v2_6!O75,recreation_v2_7!O75,recreation_v2_8!O75,recreation_v2_9!O75,recreation_v2_10!O75),0))</f>
        <v>1</v>
      </c>
    </row>
    <row r="76" spans="1:15" x14ac:dyDescent="0.25">
      <c r="A76" t="s">
        <v>73</v>
      </c>
      <c r="B76" t="s">
        <v>58</v>
      </c>
      <c r="C76">
        <v>0</v>
      </c>
      <c r="D76">
        <v>11.308775424957281</v>
      </c>
      <c r="E76">
        <f>ROUND(SUM(recreation_v2_6!E76,recreation_v2_7!E76,recreation_v2_8!E76,recreation_v2_9!E76,recreation_v2_10!E76)/COUNT(recreation_v2_6!E76,recreation_v2_7!E76,recreation_v2_8!E76,recreation_v2_9!E76,recreation_v2_10!E76),0)</f>
        <v>1</v>
      </c>
      <c r="F76">
        <f>IF($E76=0, "NA", ROUND(SUM(recreation_v2_6!F76,recreation_v2_7!F76,recreation_v2_8!F76,recreation_v2_9!F76,recreation_v2_10!F76)/COUNT(recreation_v2_6!F76,recreation_v2_7!F76,recreation_v2_8!F76,recreation_v2_9!F76,recreation_v2_10!F76),0))</f>
        <v>1</v>
      </c>
      <c r="G76">
        <f>IF($E76=0,"NA",ROUND(SUM(recreation_v2_6!G76,recreation_v2_7!G76,recreation_v2_8!G76,recreation_v2_9!G76,recreation_v2_10!G76)/COUNT(recreation_v2_6!G76,recreation_v2_7!G76,recreation_v2_8!G76,recreation_v2_9!G76,recreation_v2_10!G76),0))</f>
        <v>1</v>
      </c>
      <c r="H76">
        <f>IF(AND(F76=1, G76=1),ROUND(SUM(recreation_v2_6!H76,recreation_v2_7!H76,recreation_v2_8!H76,recreation_v2_9!H76,recreation_v2_10!H76)/COUNT(recreation_v2_6!H76,recreation_v2_7!H76,recreation_v2_8!H76,recreation_v2_9!H76,recreation_v2_10!H76),0),"NA")</f>
        <v>1</v>
      </c>
      <c r="I76">
        <f>IF($E76=0, "NA", ROUND(SUM(recreation_v2_6!I76,recreation_v2_7!I76,recreation_v2_8!I76,recreation_v2_9!I76,recreation_v2_10!I76)/COUNT(recreation_v2_6!I76,recreation_v2_7!I76,recreation_v2_8!I76,recreation_v2_9!I76,recreation_v2_10!I76),0))</f>
        <v>1</v>
      </c>
      <c r="J76">
        <f>IF(F76=1,ROUND(SUM(recreation_v2_6!J76,recreation_v2_7!J76,recreation_v2_8!J76,recreation_v2_9!J76,recreation_v2_10!J76)/COUNT(recreation_v2_6!J76,recreation_v2_7!J76,recreation_v2_8!J76,recreation_v2_9!J76,recreation_v2_10!J76),0),"NA")</f>
        <v>1</v>
      </c>
      <c r="K76">
        <f>IF($E76=0, "NA", ROUND(SUM(recreation_v2_6!K76,recreation_v2_7!K76,recreation_v2_8!K76,recreation_v2_9!K76,recreation_v2_10!K76)/COUNT(recreation_v2_6!K76,recreation_v2_7!K76,recreation_v2_8!K76,recreation_v2_9!K76,recreation_v2_10!K76),0))</f>
        <v>1</v>
      </c>
      <c r="L76">
        <f>IF($E76=0,"NA",ROUND(SUM(recreation_v2_6!L76,recreation_v2_7!L76,recreation_v2_8!L76,recreation_v2_9!L76,recreation_v2_10!L76)/COUNT(recreation_v2_6!L76,recreation_v2_7!L76,recreation_v2_8!L76,recreation_v2_9!L76,recreation_v2_10!L76),0))</f>
        <v>1</v>
      </c>
      <c r="M76">
        <f>IF($E76=0, "NA", ROUND(SUM(recreation_v2_6!M76,recreation_v2_7!M76,recreation_v2_8!M76,recreation_v2_9!M76,recreation_v2_10!M76)/COUNT(recreation_v2_6!M76,recreation_v2_7!M76,recreation_v2_8!M76,recreation_v2_9!M76,recreation_v2_10!M76),0))</f>
        <v>1</v>
      </c>
      <c r="N76">
        <f>IF($E76=0,"NA",ROUND(SUM(recreation_v2_6!N76,recreation_v2_7!N76,recreation_v2_8!N76,recreation_v2_9!N76,recreation_v2_10!N76)/COUNT(recreation_v2_6!N76,recreation_v2_7!N76,recreation_v2_8!N76,recreation_v2_9!N76,recreation_v2_10!N76),0))</f>
        <v>1</v>
      </c>
      <c r="O76">
        <f>IF($E76=0, "NA", ROUND(SUM(recreation_v2_6!O76,recreation_v2_7!O76,recreation_v2_8!O76,recreation_v2_9!O76,recreation_v2_10!O76)/COUNT(recreation_v2_6!O76,recreation_v2_7!O76,recreation_v2_8!O76,recreation_v2_9!O76,recreation_v2_10!O76),0))</f>
        <v>1</v>
      </c>
    </row>
    <row r="77" spans="1:15" x14ac:dyDescent="0.25">
      <c r="A77" t="s">
        <v>73</v>
      </c>
      <c r="B77" t="s">
        <v>89</v>
      </c>
      <c r="C77">
        <v>0</v>
      </c>
      <c r="D77">
        <v>9.2338697910308838</v>
      </c>
      <c r="E77">
        <f>ROUND(SUM(recreation_v2_6!E77,recreation_v2_7!E77,recreation_v2_8!E77,recreation_v2_9!E77,recreation_v2_10!E77)/COUNT(recreation_v2_6!E77,recreation_v2_7!E77,recreation_v2_8!E77,recreation_v2_9!E77,recreation_v2_10!E77),0)</f>
        <v>0</v>
      </c>
      <c r="F77" t="str">
        <f>IF($E77=0, "NA", ROUND(SUM(recreation_v2_6!F77,recreation_v2_7!F77,recreation_v2_8!F77,recreation_v2_9!F77,recreation_v2_10!F77)/COUNT(recreation_v2_6!F77,recreation_v2_7!F77,recreation_v2_8!F77,recreation_v2_9!F77,recreation_v2_10!F77),0))</f>
        <v>NA</v>
      </c>
      <c r="G77" t="str">
        <f>IF($E77=0,"NA",ROUND(SUM(recreation_v2_6!G77,recreation_v2_7!G77,recreation_v2_8!G77,recreation_v2_9!G77,recreation_v2_10!G77)/COUNT(recreation_v2_6!G77,recreation_v2_7!G77,recreation_v2_8!G77,recreation_v2_9!G77,recreation_v2_10!G77),0))</f>
        <v>NA</v>
      </c>
      <c r="H77" t="str">
        <f>IF(AND(F77=1, G77=1),ROUND(SUM(recreation_v2_6!H77,recreation_v2_7!H77,recreation_v2_8!H77,recreation_v2_9!H77,recreation_v2_10!H77)/COUNT(recreation_v2_6!H77,recreation_v2_7!H77,recreation_v2_8!H77,recreation_v2_9!H77,recreation_v2_10!H77),0),"NA")</f>
        <v>NA</v>
      </c>
      <c r="I77" t="str">
        <f>IF($E77=0, "NA", ROUND(SUM(recreation_v2_6!I77,recreation_v2_7!I77,recreation_v2_8!I77,recreation_v2_9!I77,recreation_v2_10!I77)/COUNT(recreation_v2_6!I77,recreation_v2_7!I77,recreation_v2_8!I77,recreation_v2_9!I77,recreation_v2_10!I77),0))</f>
        <v>NA</v>
      </c>
      <c r="J77" t="str">
        <f>IF(F77=1,ROUND(SUM(recreation_v2_6!J77,recreation_v2_7!J77,recreation_v2_8!J77,recreation_v2_9!J77,recreation_v2_10!J77)/COUNT(recreation_v2_6!J77,recreation_v2_7!J77,recreation_v2_8!J77,recreation_v2_9!J77,recreation_v2_10!J77),0),"NA")</f>
        <v>NA</v>
      </c>
      <c r="K77" t="str">
        <f>IF($E77=0, "NA", ROUND(SUM(recreation_v2_6!K77,recreation_v2_7!K77,recreation_v2_8!K77,recreation_v2_9!K77,recreation_v2_10!K77)/COUNT(recreation_v2_6!K77,recreation_v2_7!K77,recreation_v2_8!K77,recreation_v2_9!K77,recreation_v2_10!K77),0))</f>
        <v>NA</v>
      </c>
      <c r="L77" t="str">
        <f>IF($E77=0,"NA",ROUND(SUM(recreation_v2_6!L77,recreation_v2_7!L77,recreation_v2_8!L77,recreation_v2_9!L77,recreation_v2_10!L77)/COUNT(recreation_v2_6!L77,recreation_v2_7!L77,recreation_v2_8!L77,recreation_v2_9!L77,recreation_v2_10!L77),0))</f>
        <v>NA</v>
      </c>
      <c r="M77" t="str">
        <f>IF($E77=0, "NA", ROUND(SUM(recreation_v2_6!M77,recreation_v2_7!M77,recreation_v2_8!M77,recreation_v2_9!M77,recreation_v2_10!M77)/COUNT(recreation_v2_6!M77,recreation_v2_7!M77,recreation_v2_8!M77,recreation_v2_9!M77,recreation_v2_10!M77),0))</f>
        <v>NA</v>
      </c>
      <c r="N77" t="str">
        <f>IF($E77=0,"NA",ROUND(SUM(recreation_v2_6!N77,recreation_v2_7!N77,recreation_v2_8!N77,recreation_v2_9!N77,recreation_v2_10!N77)/COUNT(recreation_v2_6!N77,recreation_v2_7!N77,recreation_v2_8!N77,recreation_v2_9!N77,recreation_v2_10!N77),0))</f>
        <v>NA</v>
      </c>
      <c r="O77" t="str">
        <f>IF($E77=0, "NA", ROUND(SUM(recreation_v2_6!O77,recreation_v2_7!O77,recreation_v2_8!O77,recreation_v2_9!O77,recreation_v2_10!O77)/COUNT(recreation_v2_6!O77,recreation_v2_7!O77,recreation_v2_8!O77,recreation_v2_9!O77,recreation_v2_10!O77),0))</f>
        <v>NA</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recreation_v2_10</vt:lpstr>
      <vt:lpstr>recreation_v2_6</vt:lpstr>
      <vt:lpstr>recreation_v2_7</vt:lpstr>
      <vt:lpstr>recreation_v2_8</vt:lpstr>
      <vt:lpstr>recreation_v2_9</vt:lpstr>
      <vt:lpstr>Compiled Votes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#BUI GIA NHAT MINH#</cp:lastModifiedBy>
  <dcterms:created xsi:type="dcterms:W3CDTF">2025-07-22T03:08:45Z</dcterms:created>
  <dcterms:modified xsi:type="dcterms:W3CDTF">2025-07-22T04:00:53Z</dcterms:modified>
</cp:coreProperties>
</file>